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グラフ" sheetId="2" state="visible" r:id="rId4"/>
    <sheet name="地域別四半期" sheetId="3" state="visible" r:id="rId5"/>
    <sheet name="年次検算" sheetId="4" state="visible" r:id="rId6"/>
    <sheet name="直近の新規装置・FS" sheetId="5" state="visible" r:id="rId7"/>
    <sheet name="出典" sheetId="6" state="visible" r:id="rId8"/>
    <sheet name="未取得・要確認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<sst xmlns="http://schemas.openxmlformats.org/spreadsheetml/2006/main" count="370" uniqueCount="231">
  <si>
    <t xml:space="preserve">目的</t>
  </si>
  <si>
    <r>
      <rPr>
        <sz val="10"/>
        <rFont val="Arial"/>
        <family val="0"/>
        <charset val="1"/>
      </rPr>
      <t xml:space="preserve">TEL</t>
    </r>
    <r>
      <rPr>
        <sz val="10"/>
        <rFont val="Noto Sans CJK SC"/>
        <family val="2"/>
      </rPr>
      <t xml:space="preserve">（東京エレクトロン）の四半期売上を、地域別に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月（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四半期）まで延ばし、日本側輸出統計との照合に使う。</t>
    </r>
  </si>
  <si>
    <t xml:space="preserve">単位・期間</t>
  </si>
  <si>
    <t xml:space="preserve">億円。暦四半期（TELは3月決算のため、決算四半期の末と一致）。</t>
  </si>
  <si>
    <t xml:space="preserve">定義の変化</t>
  </si>
  <si>
    <r>
      <rPr>
        <sz val="10"/>
        <rFont val="Arial"/>
        <family val="0"/>
        <charset val="1"/>
      </rPr>
      <t xml:space="preserve">2016Q1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2023Q1</t>
    </r>
    <r>
      <rPr>
        <sz val="10"/>
        <rFont val="Noto Sans CJK SC"/>
        <family val="2"/>
      </rPr>
      <t xml:space="preserve">は半導体製造装置（</t>
    </r>
    <r>
      <rPr>
        <sz val="10"/>
        <rFont val="Arial"/>
        <family val="0"/>
        <charset val="1"/>
      </rPr>
      <t xml:space="preserve">SPE</t>
    </r>
    <r>
      <rPr>
        <sz val="10"/>
        <rFont val="Noto Sans CJK SC"/>
        <family val="2"/>
      </rPr>
      <t xml:space="preserve">）部門のみの地域別売上。</t>
    </r>
    <r>
      <rPr>
        <sz val="10"/>
        <rFont val="Arial"/>
        <family val="0"/>
        <charset val="1"/>
      </rPr>
      <t xml:space="preserve">2023Q2</t>
    </r>
    <r>
      <rPr>
        <sz val="10"/>
        <rFont val="Noto Sans CJK SC"/>
        <family val="2"/>
      </rPr>
      <t xml:space="preserve">以降は全社（</t>
    </r>
    <r>
      <rPr>
        <sz val="10"/>
        <rFont val="Arial"/>
        <family val="0"/>
        <charset val="1"/>
      </rPr>
      <t xml:space="preserve">FPD</t>
    </r>
    <r>
      <rPr>
        <sz val="10"/>
        <rFont val="Noto Sans CJK SC"/>
        <family val="2"/>
      </rPr>
      <t xml:space="preserve">等を含む）の地域別売上。境界で</t>
    </r>
    <r>
      <rPr>
        <sz val="10"/>
        <rFont val="Arial"/>
        <family val="0"/>
        <charset val="1"/>
      </rPr>
      <t xml:space="preserve">FPD</t>
    </r>
    <r>
      <rPr>
        <sz val="10"/>
        <rFont val="Noto Sans CJK SC"/>
        <family val="2"/>
      </rPr>
      <t xml:space="preserve">分（約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）の水準差がある。</t>
    </r>
  </si>
  <si>
    <t xml:space="preserve">取得方法</t>
  </si>
  <si>
    <r>
      <rPr>
        <sz val="10"/>
        <rFont val="Arial"/>
        <family val="0"/>
        <charset val="1"/>
      </rPr>
      <t xml:space="preserve">TEL IR</t>
    </r>
    <r>
      <rPr>
        <sz val="10"/>
        <rFont val="Noto Sans CJK SC"/>
        <family val="2"/>
      </rPr>
      <t xml:space="preserve">サイトの決算説明資料（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）を、読み取りツールで文字起こしした。読み取りが不安定なため、年合計の検算と、複数資料での一致確認を通ったセルだけを採用した。</t>
    </r>
  </si>
  <si>
    <t xml:space="preserve">検算結果</t>
  </si>
  <si>
    <r>
      <rPr>
        <sz val="10"/>
        <rFont val="Arial"/>
        <family val="0"/>
        <charset val="1"/>
      </rPr>
      <t xml:space="preserve">SPE</t>
    </r>
    <r>
      <rPr>
        <sz val="10"/>
        <rFont val="Noto Sans CJK SC"/>
        <family val="2"/>
      </rPr>
      <t xml:space="preserve">部門の地域別四半期合計は、</t>
    </r>
    <r>
      <rPr>
        <sz val="10"/>
        <rFont val="Arial"/>
        <family val="0"/>
        <charset val="1"/>
      </rPr>
      <t xml:space="preserve">FY2017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FY2022</t>
    </r>
    <r>
      <rPr>
        <sz val="10"/>
        <rFont val="Noto Sans CJK SC"/>
        <family val="2"/>
      </rPr>
      <t xml:space="preserve">の各年で</t>
    </r>
    <r>
      <rPr>
        <sz val="10"/>
        <rFont val="Arial"/>
        <family val="0"/>
        <charset val="1"/>
      </rPr>
      <t xml:space="preserve">SPE</t>
    </r>
    <r>
      <rPr>
        <sz val="10"/>
        <rFont val="Noto Sans CJK SC"/>
        <family val="2"/>
      </rPr>
      <t xml:space="preserve">年間売上と差</t>
    </r>
    <r>
      <rPr>
        <sz val="10"/>
        <rFont val="Arial"/>
        <family val="0"/>
        <charset val="1"/>
      </rPr>
      <t xml:space="preserve">0.2%</t>
    </r>
    <r>
      <rPr>
        <sz val="10"/>
        <rFont val="Noto Sans CJK SC"/>
        <family val="2"/>
      </rPr>
      <t xml:space="preserve">以内（『年次検算』シート）。</t>
    </r>
  </si>
  <si>
    <t xml:space="preserve">採用しなかったもの</t>
  </si>
  <si>
    <r>
      <rPr>
        <sz val="10"/>
        <rFont val="Arial"/>
        <family val="0"/>
        <charset val="1"/>
      </rPr>
      <t xml:space="preserve">FY2015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FY2016</t>
    </r>
    <r>
      <rPr>
        <sz val="10"/>
        <rFont val="Noto Sans CJK SC"/>
        <family val="2"/>
      </rPr>
      <t xml:space="preserve">の旧資料（資料間で値が矛盾）、</t>
    </r>
    <r>
      <rPr>
        <sz val="10"/>
        <rFont val="Arial"/>
        <family val="0"/>
        <charset val="1"/>
      </rPr>
      <t xml:space="preserve">FY2018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FY2020</t>
    </r>
    <r>
      <rPr>
        <sz val="10"/>
        <rFont val="Noto Sans CJK SC"/>
        <family val="2"/>
      </rPr>
      <t xml:space="preserve">の四半期全社売上（誤読を確認）、フィールドソリューション・用途別の長期系列（資料間で矛盾）。『未取得・要確認』シート参照。</t>
    </r>
  </si>
  <si>
    <t xml:space="preserve">より確実な取得方法</t>
  </si>
  <si>
    <t xml:space="preserve">データブック2026（Excel）に長期の四半期データがある可能性が高い。このセッションからは読めないため、ファイルを添付いただければ正確に取り込み、本台帳を置き換える。</t>
  </si>
  <si>
    <t xml:space="preserve">シート</t>
  </si>
  <si>
    <t xml:space="preserve">地域別四半期 / 年次検算 / 直近の新規装置・FS / 出典 / 未取得・要確認</t>
  </si>
  <si>
    <r>
      <rPr>
        <b val="true"/>
        <sz val="12"/>
        <rFont val="Arial"/>
        <family val="0"/>
        <charset val="1"/>
      </rPr>
      <t xml:space="preserve">TEL</t>
    </r>
    <r>
      <rPr>
        <b val="true"/>
        <sz val="12"/>
        <rFont val="Noto Sans CJK SC"/>
        <family val="2"/>
      </rPr>
      <t xml:space="preserve">地域別売上のグラフ（億円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四半期）。</t>
    </r>
    <r>
      <rPr>
        <b val="true"/>
        <sz val="12"/>
        <rFont val="Arial"/>
        <family val="0"/>
        <charset val="1"/>
      </rPr>
      <t xml:space="preserve">2023Q2</t>
    </r>
    <r>
      <rPr>
        <b val="true"/>
        <sz val="12"/>
        <rFont val="Noto Sans CJK SC"/>
        <family val="2"/>
      </rPr>
      <t xml:space="preserve">から全社（</t>
    </r>
    <r>
      <rPr>
        <b val="true"/>
        <sz val="12"/>
        <rFont val="Arial"/>
        <family val="0"/>
        <charset val="1"/>
      </rPr>
      <t xml:space="preserve">FPD</t>
    </r>
    <r>
      <rPr>
        <b val="true"/>
        <sz val="12"/>
        <rFont val="Noto Sans CJK SC"/>
        <family val="2"/>
      </rPr>
      <t xml:space="preserve">含む）のため、境界で約</t>
    </r>
    <r>
      <rPr>
        <b val="true"/>
        <sz val="12"/>
        <rFont val="Arial"/>
        <family val="0"/>
        <charset val="1"/>
      </rPr>
      <t xml:space="preserve">3%</t>
    </r>
    <r>
      <rPr>
        <b val="true"/>
        <sz val="12"/>
        <rFont val="Noto Sans CJK SC"/>
        <family val="2"/>
      </rPr>
      <t xml:space="preserve">の水準差がある。</t>
    </r>
  </si>
  <si>
    <t xml:space="preserve">青字＝資料から転記した入力値、黒字＝数式。差額は2023Q1以前ではFPD等の相当額。</t>
  </si>
  <si>
    <t xml:space="preserve">暦四半期</t>
  </si>
  <si>
    <t xml:space="preserve">決算期</t>
  </si>
  <si>
    <t xml:space="preserve">区分</t>
  </si>
  <si>
    <t xml:space="preserve">日本</t>
  </si>
  <si>
    <t xml:space="preserve">北米</t>
  </si>
  <si>
    <t xml:space="preserve">欧州</t>
  </si>
  <si>
    <t xml:space="preserve">韓国</t>
  </si>
  <si>
    <t xml:space="preserve">台湾</t>
  </si>
  <si>
    <t xml:space="preserve">中国</t>
  </si>
  <si>
    <t xml:space="preserve">東南アジア・その他</t>
  </si>
  <si>
    <t xml:space="preserve">地域合計</t>
  </si>
  <si>
    <t xml:space="preserve">海外（合計－日本）</t>
  </si>
  <si>
    <t xml:space="preserve">報告売上高（全社）</t>
  </si>
  <si>
    <t xml:space="preserve">差額（報告－地域合計）</t>
  </si>
  <si>
    <t xml:space="preserve">検証状況</t>
  </si>
  <si>
    <t xml:space="preserve">出典資料</t>
  </si>
  <si>
    <t xml:space="preserve">2016Q1</t>
  </si>
  <si>
    <t xml:space="preserve">FY16/3 4Q</t>
  </si>
  <si>
    <r>
      <rPr>
        <sz val="10"/>
        <rFont val="Arial"/>
        <family val="0"/>
        <charset val="1"/>
      </rPr>
      <t xml:space="preserve">SPE</t>
    </r>
    <r>
      <rPr>
        <sz val="10"/>
        <rFont val="Noto Sans CJK SC"/>
        <family val="2"/>
      </rPr>
      <t xml:space="preserve">部門のみ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</si>
  <si>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資料で一致（</t>
    </r>
    <r>
      <rPr>
        <sz val="10"/>
        <rFont val="Arial"/>
        <family val="0"/>
        <charset val="1"/>
      </rPr>
      <t xml:space="preserve">FY17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FY18</t>
    </r>
    <r>
      <rPr>
        <sz val="10"/>
        <rFont val="Noto Sans CJK SC"/>
        <family val="2"/>
      </rPr>
      <t xml:space="preserve">の資料）</t>
    </r>
  </si>
  <si>
    <t xml:space="preserve">D17</t>
  </si>
  <si>
    <t xml:space="preserve">2016Q2</t>
  </si>
  <si>
    <t xml:space="preserve">FY17/3 1Q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</si>
  <si>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資料で一致＋年合計検算</t>
    </r>
  </si>
  <si>
    <t xml:space="preserve">2016Q3</t>
  </si>
  <si>
    <t xml:space="preserve">FY17/3 2Q</t>
  </si>
  <si>
    <t xml:space="preserve">2016Q4</t>
  </si>
  <si>
    <t xml:space="preserve">FY17/3 3Q</t>
  </si>
  <si>
    <t xml:space="preserve">2017Q1</t>
  </si>
  <si>
    <t xml:space="preserve">FY17/3 4Q</t>
  </si>
  <si>
    <t xml:space="preserve">2017Q2</t>
  </si>
  <si>
    <t xml:space="preserve">FY18/3 1Q</t>
  </si>
  <si>
    <t xml:space="preserve">年合計検算</t>
  </si>
  <si>
    <t xml:space="preserve">D18</t>
  </si>
  <si>
    <t xml:space="preserve">2017Q3</t>
  </si>
  <si>
    <t xml:space="preserve">FY18/3 2Q</t>
  </si>
  <si>
    <t xml:space="preserve">2017Q4</t>
  </si>
  <si>
    <t xml:space="preserve">FY18/3 3Q</t>
  </si>
  <si>
    <t xml:space="preserve">2018Q1</t>
  </si>
  <si>
    <t xml:space="preserve">FY18/3 4Q</t>
  </si>
  <si>
    <t xml:space="preserve">年合計検算＋2資料で一致</t>
  </si>
  <si>
    <t xml:space="preserve">2018Q2</t>
  </si>
  <si>
    <t xml:space="preserve">FY19/3 1Q</t>
  </si>
  <si>
    <t xml:space="preserve">D20</t>
  </si>
  <si>
    <t xml:space="preserve">2018Q3</t>
  </si>
  <si>
    <t xml:space="preserve">FY19/3 2Q</t>
  </si>
  <si>
    <t xml:space="preserve">2018Q4</t>
  </si>
  <si>
    <t xml:space="preserve">FY19/3 3Q</t>
  </si>
  <si>
    <t xml:space="preserve">2019Q1</t>
  </si>
  <si>
    <t xml:space="preserve">FY19/3 4Q</t>
  </si>
  <si>
    <t xml:space="preserve">2019Q2</t>
  </si>
  <si>
    <t xml:space="preserve">FY20/3 1Q</t>
  </si>
  <si>
    <t xml:space="preserve">2019Q3</t>
  </si>
  <si>
    <t xml:space="preserve">FY20/3 2Q</t>
  </si>
  <si>
    <t xml:space="preserve">2019Q4</t>
  </si>
  <si>
    <t xml:space="preserve">FY20/3 3Q</t>
  </si>
  <si>
    <t xml:space="preserve">2020Q1</t>
  </si>
  <si>
    <t xml:space="preserve">FY20/3 4Q</t>
  </si>
  <si>
    <t xml:space="preserve">2020Q2</t>
  </si>
  <si>
    <t xml:space="preserve">FY21/3 1Q</t>
  </si>
  <si>
    <t xml:space="preserve">D21</t>
  </si>
  <si>
    <t xml:space="preserve">2020Q3</t>
  </si>
  <si>
    <t xml:space="preserve">FY21/3 2Q</t>
  </si>
  <si>
    <t xml:space="preserve">2020Q4</t>
  </si>
  <si>
    <t xml:space="preserve">FY21/3 3Q</t>
  </si>
  <si>
    <t xml:space="preserve">2021Q1</t>
  </si>
  <si>
    <t xml:space="preserve">FY21/3 4Q</t>
  </si>
  <si>
    <t xml:space="preserve">2021Q2</t>
  </si>
  <si>
    <t xml:space="preserve">FY22/3 1Q</t>
  </si>
  <si>
    <t xml:space="preserve">D22</t>
  </si>
  <si>
    <t xml:space="preserve">2021Q3</t>
  </si>
  <si>
    <t xml:space="preserve">FY22/3 2Q</t>
  </si>
  <si>
    <t xml:space="preserve">2021Q4</t>
  </si>
  <si>
    <t xml:space="preserve">FY22/3 3Q</t>
  </si>
  <si>
    <t xml:space="preserve">2022Q1</t>
  </si>
  <si>
    <t xml:space="preserve">FY22/3 4Q</t>
  </si>
  <si>
    <t xml:space="preserve">2022Q2</t>
  </si>
  <si>
    <t xml:space="preserve">FY23/3 1Q</t>
  </si>
  <si>
    <t xml:space="preserve">単独読取（年合計は総売上との差で整合を確認）</t>
  </si>
  <si>
    <t xml:space="preserve">D23</t>
  </si>
  <si>
    <t xml:space="preserve">2022Q3</t>
  </si>
  <si>
    <t xml:space="preserve">FY23/3 2Q</t>
  </si>
  <si>
    <t xml:space="preserve">2022Q4</t>
  </si>
  <si>
    <t xml:space="preserve">FY23/3 3Q</t>
  </si>
  <si>
    <t xml:space="preserve">2023Q1</t>
  </si>
  <si>
    <t xml:space="preserve">FY23/3 4Q</t>
  </si>
  <si>
    <t xml:space="preserve">2023Q2</t>
  </si>
  <si>
    <t xml:space="preserve">FY24/3 1Q</t>
  </si>
  <si>
    <t xml:space="preserve">全社</t>
  </si>
  <si>
    <t xml:space="preserve">既存ファイル（決算説明会資料の転記）と一致</t>
  </si>
  <si>
    <t xml:space="preserve">D24</t>
  </si>
  <si>
    <t xml:space="preserve">2023Q3</t>
  </si>
  <si>
    <t xml:space="preserve">FY24/3 2Q</t>
  </si>
  <si>
    <t xml:space="preserve">2023Q4</t>
  </si>
  <si>
    <t xml:space="preserve">FY24/3 3Q</t>
  </si>
  <si>
    <t xml:space="preserve">2024Q1</t>
  </si>
  <si>
    <t xml:space="preserve">FY24/3 4Q</t>
  </si>
  <si>
    <t xml:space="preserve">2024Q2</t>
  </si>
  <si>
    <t xml:space="preserve">FY25/3 1Q</t>
  </si>
  <si>
    <t xml:space="preserve">D27</t>
  </si>
  <si>
    <t xml:space="preserve">2024Q3</t>
  </si>
  <si>
    <t xml:space="preserve">FY25/3 2Q</t>
  </si>
  <si>
    <t xml:space="preserve">2024Q4</t>
  </si>
  <si>
    <t xml:space="preserve">FY25/3 3Q</t>
  </si>
  <si>
    <t xml:space="preserve">2025Q1</t>
  </si>
  <si>
    <t xml:space="preserve">FY25/3 4Q</t>
  </si>
  <si>
    <t xml:space="preserve">2025Q2</t>
  </si>
  <si>
    <t xml:space="preserve">FY26/3 1Q</t>
  </si>
  <si>
    <t xml:space="preserve">2025Q3</t>
  </si>
  <si>
    <t xml:space="preserve">FY26/3 2Q</t>
  </si>
  <si>
    <t xml:space="preserve">2025Q4</t>
  </si>
  <si>
    <t xml:space="preserve">FY26/3 3Q</t>
  </si>
  <si>
    <t xml:space="preserve">2026Q1</t>
  </si>
  <si>
    <t xml:space="preserve">FY26/3 4Q</t>
  </si>
  <si>
    <t xml:space="preserve">2026Q2</t>
  </si>
  <si>
    <t xml:space="preserve">FY27/3 1Q</t>
  </si>
  <si>
    <r>
      <rPr>
        <i val="true"/>
        <sz val="10"/>
        <rFont val="Arial"/>
        <family val="0"/>
        <charset val="1"/>
      </rPr>
      <t xml:space="preserve">SPE</t>
    </r>
    <r>
      <rPr>
        <i val="true"/>
        <sz val="10"/>
        <rFont val="Noto Sans CJK SC"/>
        <family val="2"/>
      </rPr>
      <t xml:space="preserve">部門の地域別四半期合計（</t>
    </r>
    <r>
      <rPr>
        <i val="true"/>
        <sz val="10"/>
        <rFont val="Arial"/>
        <family val="0"/>
        <charset val="1"/>
      </rPr>
      <t xml:space="preserve">4</t>
    </r>
    <r>
      <rPr>
        <i val="true"/>
        <sz val="10"/>
        <rFont val="Noto Sans CJK SC"/>
        <family val="2"/>
      </rPr>
      <t xml:space="preserve">四半期）と、決算説明資料に載る</t>
    </r>
    <r>
      <rPr>
        <i val="true"/>
        <sz val="10"/>
        <rFont val="Arial"/>
        <family val="0"/>
        <charset val="1"/>
      </rPr>
      <t xml:space="preserve">SPE</t>
    </r>
    <r>
      <rPr>
        <i val="true"/>
        <sz val="10"/>
        <rFont val="Noto Sans CJK SC"/>
        <family val="2"/>
      </rPr>
      <t xml:space="preserve">年間売上の照合。年間売上は資料から転記（青字）。</t>
    </r>
  </si>
  <si>
    <t xml:space="preserve">決算年度</t>
  </si>
  <si>
    <t xml:space="preserve">対象四半期</t>
  </si>
  <si>
    <t xml:space="preserve">地域合計（4四半期）</t>
  </si>
  <si>
    <r>
      <rPr>
        <b val="true"/>
        <sz val="10"/>
        <rFont val="Arial"/>
        <family val="0"/>
        <charset val="1"/>
      </rPr>
      <t xml:space="preserve">SPE</t>
    </r>
    <r>
      <rPr>
        <b val="true"/>
        <sz val="10"/>
        <rFont val="Noto Sans CJK SC"/>
        <family val="2"/>
      </rPr>
      <t xml:space="preserve">年間売上（資料）</t>
    </r>
  </si>
  <si>
    <t xml:space="preserve">差</t>
  </si>
  <si>
    <t xml:space="preserve">差率</t>
  </si>
  <si>
    <t xml:space="preserve">出典</t>
  </si>
  <si>
    <t xml:space="preserve">FY2017/3</t>
  </si>
  <si>
    <r>
      <rPr>
        <sz val="10"/>
        <rFont val="Arial"/>
        <family val="0"/>
        <charset val="1"/>
      </rPr>
      <t xml:space="preserve">2016Q2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2017Q1</t>
    </r>
  </si>
  <si>
    <t xml:space="preserve">FY2018/3</t>
  </si>
  <si>
    <r>
      <rPr>
        <sz val="10"/>
        <rFont val="Arial"/>
        <family val="0"/>
        <charset val="1"/>
      </rPr>
      <t xml:space="preserve">2017Q2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2018Q1</t>
    </r>
  </si>
  <si>
    <t xml:space="preserve">FY2019/3</t>
  </si>
  <si>
    <r>
      <rPr>
        <sz val="10"/>
        <rFont val="Arial"/>
        <family val="0"/>
        <charset val="1"/>
      </rPr>
      <t xml:space="preserve">2018Q2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2019Q1</t>
    </r>
  </si>
  <si>
    <t xml:space="preserve">FY2020/3</t>
  </si>
  <si>
    <r>
      <rPr>
        <sz val="10"/>
        <rFont val="Arial"/>
        <family val="0"/>
        <charset val="1"/>
      </rPr>
      <t xml:space="preserve">2019Q2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2020Q1</t>
    </r>
  </si>
  <si>
    <t xml:space="preserve">FY2021/3</t>
  </si>
  <si>
    <r>
      <rPr>
        <sz val="10"/>
        <rFont val="Arial"/>
        <family val="0"/>
        <charset val="1"/>
      </rPr>
      <t xml:space="preserve">2020Q2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2021Q1</t>
    </r>
  </si>
  <si>
    <t xml:space="preserve">FY2022/3</t>
  </si>
  <si>
    <r>
      <rPr>
        <sz val="10"/>
        <rFont val="Arial"/>
        <family val="0"/>
        <charset val="1"/>
      </rPr>
      <t xml:space="preserve">2021Q2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2022Q1</t>
    </r>
  </si>
  <si>
    <t xml:space="preserve">FY2023/3</t>
  </si>
  <si>
    <r>
      <rPr>
        <sz val="10"/>
        <rFont val="Arial"/>
        <family val="0"/>
        <charset val="1"/>
      </rPr>
      <t xml:space="preserve">2022Q2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2023Q1</t>
    </r>
  </si>
  <si>
    <t xml:space="preserve">連結売上高との差（FPD相当）</t>
  </si>
  <si>
    <t xml:space="preserve">連結売上高2,209,025百万円（決算短信）。SPE年間売上は未取得のため、連結との差550億円がFPD相当として妥当かを確認</t>
  </si>
  <si>
    <r>
      <rPr>
        <i val="true"/>
        <sz val="10"/>
        <rFont val="Arial"/>
        <family val="0"/>
        <charset val="1"/>
      </rPr>
      <t xml:space="preserve">FY2027 Q1</t>
    </r>
    <r>
      <rPr>
        <i val="true"/>
        <sz val="10"/>
        <rFont val="Noto Sans CJK SC"/>
        <family val="2"/>
      </rPr>
      <t xml:space="preserve">決算説明資料から転記（</t>
    </r>
    <r>
      <rPr>
        <i val="true"/>
        <sz val="10"/>
        <rFont val="Arial"/>
        <family val="0"/>
        <charset val="1"/>
      </rPr>
      <t xml:space="preserve">FY2025 Q1</t>
    </r>
    <r>
      <rPr>
        <i val="true"/>
        <sz val="10"/>
        <rFont val="Noto Sans CJK SC"/>
        <family val="2"/>
      </rPr>
      <t xml:space="preserve">〜</t>
    </r>
    <r>
      <rPr>
        <i val="true"/>
        <sz val="10"/>
        <rFont val="Arial"/>
        <family val="0"/>
        <charset val="1"/>
      </rPr>
      <t xml:space="preserve">FY2027 Q1</t>
    </r>
    <r>
      <rPr>
        <i val="true"/>
        <sz val="10"/>
        <rFont val="Noto Sans CJK SC"/>
        <family val="2"/>
      </rPr>
      <t xml:space="preserve">）。単独の読み取り。パーツ・サービス＋中古・改造＝</t>
    </r>
    <r>
      <rPr>
        <i val="true"/>
        <sz val="10"/>
        <rFont val="Arial"/>
        <family val="0"/>
        <charset val="1"/>
      </rPr>
      <t xml:space="preserve">FS</t>
    </r>
    <r>
      <rPr>
        <i val="true"/>
        <sz val="10"/>
        <rFont val="Noto Sans CJK SC"/>
        <family val="2"/>
      </rPr>
      <t xml:space="preserve">合計は一致を確認（検算列）。</t>
    </r>
  </si>
  <si>
    <r>
      <rPr>
        <b val="true"/>
        <sz val="10"/>
        <rFont val="Arial"/>
        <family val="0"/>
        <charset val="1"/>
      </rPr>
      <t xml:space="preserve">SPE</t>
    </r>
    <r>
      <rPr>
        <b val="true"/>
        <sz val="10"/>
        <rFont val="Noto Sans CJK SC"/>
        <family val="2"/>
      </rPr>
      <t xml:space="preserve">新規装置</t>
    </r>
  </si>
  <si>
    <r>
      <rPr>
        <b val="true"/>
        <sz val="10"/>
        <rFont val="Arial"/>
        <family val="0"/>
        <charset val="1"/>
      </rPr>
      <t xml:space="preserve">DRAM</t>
    </r>
    <r>
      <rPr>
        <b val="true"/>
        <sz val="10"/>
        <rFont val="Noto Sans CJK SC"/>
        <family val="2"/>
      </rPr>
      <t xml:space="preserve">比率</t>
    </r>
  </si>
  <si>
    <t xml:space="preserve">不揮発性メモリ比率</t>
  </si>
  <si>
    <t xml:space="preserve">非メモリ比率</t>
  </si>
  <si>
    <t xml:space="preserve">パーツ・サービス</t>
  </si>
  <si>
    <t xml:space="preserve">中古・改造</t>
  </si>
  <si>
    <r>
      <rPr>
        <b val="true"/>
        <sz val="10"/>
        <rFont val="Arial"/>
        <family val="0"/>
        <charset val="1"/>
      </rPr>
      <t xml:space="preserve">FS</t>
    </r>
    <r>
      <rPr>
        <b val="true"/>
        <sz val="10"/>
        <rFont val="Noto Sans CJK SC"/>
        <family val="2"/>
      </rPr>
      <t xml:space="preserve">合計（資料）</t>
    </r>
  </si>
  <si>
    <r>
      <rPr>
        <b val="true"/>
        <sz val="10"/>
        <rFont val="Arial"/>
        <family val="0"/>
        <charset val="1"/>
      </rPr>
      <t xml:space="preserve">FS</t>
    </r>
    <r>
      <rPr>
        <b val="true"/>
        <sz val="10"/>
        <rFont val="Noto Sans CJK SC"/>
        <family val="2"/>
      </rPr>
      <t xml:space="preserve">検算（差）</t>
    </r>
  </si>
  <si>
    <t xml:space="preserve">新規＋FS</t>
  </si>
  <si>
    <t xml:space="preserve">報告売上高</t>
  </si>
  <si>
    <t xml:space="preserve">差（FPD等）</t>
  </si>
  <si>
    <t xml:space="preserve">注：比率は丸め済みのため、構成比×新規装置の金額は概算。差（FPD等）がプラスで小さいことを検算の目安とした。</t>
  </si>
  <si>
    <t xml:space="preserve">コード</t>
  </si>
  <si>
    <t xml:space="preserve">資料</t>
  </si>
  <si>
    <t xml:space="preserve">掲載期間（暦四半期）</t>
  </si>
  <si>
    <t xml:space="preserve">URL</t>
  </si>
  <si>
    <r>
      <rPr>
        <sz val="10"/>
        <rFont val="Arial"/>
        <family val="0"/>
        <charset val="1"/>
      </rPr>
      <t xml:space="preserve">FY2017/3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2017/4/28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</si>
  <si>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2016Q1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2017Q1</t>
    </r>
  </si>
  <si>
    <t xml:space="preserve">https://www.tel.co.jp/ir/library/report/hq95qj0000002sqj-att/2017fy54q4presentations-j.pdf</t>
  </si>
  <si>
    <r>
      <rPr>
        <sz val="10"/>
        <rFont val="Arial"/>
        <family val="0"/>
        <charset val="1"/>
      </rPr>
      <t xml:space="preserve">FY2018/3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2018/4/25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</si>
  <si>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2016Q1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2018Q1</t>
    </r>
  </si>
  <si>
    <t xml:space="preserve">https://www.tel.co.jp/ir/library/report/hq95qj0000002sbb-att/fy55q4presentations-j.pdf</t>
  </si>
  <si>
    <t xml:space="preserve">D19</t>
  </si>
  <si>
    <r>
      <rPr>
        <sz val="10"/>
        <rFont val="Arial"/>
        <family val="0"/>
        <charset val="1"/>
      </rPr>
      <t xml:space="preserve">FY2019/3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2019/4/26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</si>
  <si>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2018Q1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2019Q1</t>
    </r>
  </si>
  <si>
    <t xml:space="preserve">https://www.tel.co.jp/ir/library/report/hq95qj0000002rw3-att/fy56q4presentations-j.pdf</t>
  </si>
  <si>
    <r>
      <rPr>
        <sz val="10"/>
        <rFont val="Arial"/>
        <family val="0"/>
        <charset val="1"/>
      </rPr>
      <t xml:space="preserve">FY2020/3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2020/4/30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</si>
  <si>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2018Q1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2020Q1</t>
    </r>
  </si>
  <si>
    <t xml:space="preserve">https://www.tel.co.jp/ir/library/report/hq95qj0000002rgv-att/fy57Q4_presentations_j.pdf</t>
  </si>
  <si>
    <r>
      <rPr>
        <sz val="10"/>
        <rFont val="Arial"/>
        <family val="0"/>
        <charset val="1"/>
      </rPr>
      <t xml:space="preserve">FY2021/3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2021/4/30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</si>
  <si>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2019Q1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2021Q1</t>
    </r>
  </si>
  <si>
    <t xml:space="preserve">https://www.tel.co.jp/ir/library/report/hq95qj0000000puk-att/fy58q4presentations-j.pdf</t>
  </si>
  <si>
    <r>
      <rPr>
        <sz val="10"/>
        <rFont val="Arial"/>
        <family val="0"/>
        <charset val="1"/>
      </rPr>
      <t xml:space="preserve">FY2022/3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2022/5/12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</si>
  <si>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2021Q1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2022Q1</t>
    </r>
  </si>
  <si>
    <t xml:space="preserve">https://www.tel.co.jp/ir/library/report/hq95qj00000007nc-att/fy22q4presentations-j.pdf</t>
  </si>
  <si>
    <r>
      <rPr>
        <sz val="10"/>
        <rFont val="Arial"/>
        <family val="0"/>
        <charset val="1"/>
      </rPr>
      <t xml:space="preserve">FY2023/3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2023/5/11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</si>
  <si>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2021Q1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2023Q1</t>
    </r>
  </si>
  <si>
    <t xml:space="preserve">https://www.tel.co.jp/ir/library/report/sjfrqq000000008t-att/fy23q4presentations-j.pdf</t>
  </si>
  <si>
    <r>
      <rPr>
        <sz val="10"/>
        <rFont val="Arial"/>
        <family val="0"/>
        <charset val="1"/>
      </rPr>
      <t xml:space="preserve">FY2024/3 Q4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2024/5/10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</si>
  <si>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2023Q2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2024Q1</t>
    </r>
  </si>
  <si>
    <t xml:space="preserve">https://www.tel.co.jp/ir/library/report/j8ht1m00000000pg-att/fy24q4presentations-j.pdf</t>
  </si>
  <si>
    <r>
      <rPr>
        <sz val="10"/>
        <rFont val="Arial"/>
        <family val="0"/>
        <charset val="1"/>
      </rPr>
      <t xml:space="preserve">FY2027/3 Q1 </t>
    </r>
    <r>
      <rPr>
        <sz val="10"/>
        <rFont val="Noto Sans CJK SC"/>
        <family val="2"/>
      </rPr>
      <t xml:space="preserve">決算説明会資料（</t>
    </r>
    <r>
      <rPr>
        <sz val="10"/>
        <rFont val="Arial"/>
        <family val="0"/>
        <charset val="1"/>
      </rPr>
      <t xml:space="preserve">2026/7/30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</si>
  <si>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2024Q2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2026Q2</t>
    </r>
  </si>
  <si>
    <t xml:space="preserve">https://www.tel.co.jp/ir/library/report/negqvb0000000eqw-att/fy27q1presentations-j.pdf</t>
  </si>
  <si>
    <t xml:space="preserve">決算短信</t>
  </si>
  <si>
    <r>
      <rPr>
        <sz val="10"/>
        <rFont val="Arial"/>
        <family val="0"/>
        <charset val="1"/>
      </rPr>
      <t xml:space="preserve">FY2023/3 Q4 </t>
    </r>
    <r>
      <rPr>
        <sz val="10"/>
        <rFont val="Noto Sans CJK SC"/>
        <family val="2"/>
      </rPr>
      <t xml:space="preserve">決算短信（連結売上高の確認）</t>
    </r>
  </si>
  <si>
    <t xml:space="preserve">https://www.tel.co.jp/ir/library/report/sjfrqq000000008t-att/fy23q4tanshin-j.pdf</t>
  </si>
  <si>
    <t xml:space="preserve">データブック</t>
  </si>
  <si>
    <t xml:space="preserve">データブック2026（Excel。未読）</t>
  </si>
  <si>
    <t xml:space="preserve">長期（未確認）</t>
  </si>
  <si>
    <t xml:space="preserve">https://www.tel.co.jp/ir/library/db/negqvb0000000ey6-att/db2026.xlsx</t>
  </si>
  <si>
    <t xml:space="preserve">データブック2025（Excel。未読）</t>
  </si>
  <si>
    <t xml:space="preserve">https://www.tel.co.jp/ir/library/db/fm5s6g00000000h2-att/db2025_rev1.xlsx</t>
  </si>
  <si>
    <t xml:space="preserve">項目</t>
  </si>
  <si>
    <t xml:space="preserve">状況</t>
  </si>
  <si>
    <t xml:space="preserve">理由・対応</t>
  </si>
  <si>
    <r>
      <rPr>
        <sz val="10"/>
        <rFont val="Arial"/>
        <family val="0"/>
        <charset val="1"/>
      </rPr>
      <t xml:space="preserve">FY2015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FY2016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2014Q1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2015Q4</t>
    </r>
    <r>
      <rPr>
        <sz val="10"/>
        <rFont val="Noto Sans CJK SC"/>
        <family val="2"/>
      </rPr>
      <t xml:space="preserve">）の地域別</t>
    </r>
  </si>
  <si>
    <t xml:space="preserve">未採用</t>
  </si>
  <si>
    <r>
      <rPr>
        <sz val="10"/>
        <rFont val="Arial"/>
        <family val="0"/>
        <charset val="1"/>
      </rPr>
      <t xml:space="preserve">FY2016</t>
    </r>
    <r>
      <rPr>
        <sz val="10"/>
        <rFont val="Noto Sans CJK SC"/>
        <family val="2"/>
      </rPr>
      <t xml:space="preserve">資料の読み取り結果が、</t>
    </r>
    <r>
      <rPr>
        <sz val="10"/>
        <rFont val="Arial"/>
        <family val="0"/>
        <charset val="1"/>
      </rPr>
      <t xml:space="preserve">FY17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FY18</t>
    </r>
    <r>
      <rPr>
        <sz val="10"/>
        <rFont val="Noto Sans CJK SC"/>
        <family val="2"/>
      </rPr>
      <t xml:space="preserve">資料と矛盾（例：</t>
    </r>
    <r>
      <rPr>
        <sz val="10"/>
        <rFont val="Arial"/>
        <family val="0"/>
        <charset val="1"/>
      </rPr>
      <t xml:space="preserve">2016Q1</t>
    </r>
    <r>
      <rPr>
        <sz val="10"/>
        <rFont val="Noto Sans CJK SC"/>
        <family val="2"/>
      </rPr>
      <t xml:space="preserve">の北米 </t>
    </r>
    <r>
      <rPr>
        <sz val="10"/>
        <rFont val="Arial"/>
        <family val="0"/>
        <charset val="1"/>
      </rPr>
      <t xml:space="preserve">321 </t>
    </r>
    <r>
      <rPr>
        <sz val="10"/>
        <rFont val="Noto Sans CJK SC"/>
        <family val="2"/>
      </rPr>
      <t xml:space="preserve">対 </t>
    </r>
    <r>
      <rPr>
        <sz val="10"/>
        <rFont val="Arial"/>
        <family val="0"/>
        <charset val="1"/>
      </rPr>
      <t xml:space="preserve">197</t>
    </r>
    <r>
      <rPr>
        <sz val="10"/>
        <rFont val="Noto Sans CJK SC"/>
        <family val="2"/>
      </rPr>
      <t xml:space="preserve">）。日本の行も不自然。データブックで再取得したい</t>
    </r>
  </si>
  <si>
    <r>
      <rPr>
        <sz val="10"/>
        <rFont val="Arial"/>
        <family val="0"/>
        <charset val="1"/>
      </rPr>
      <t xml:space="preserve">FY2018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FY2020</t>
    </r>
    <r>
      <rPr>
        <sz val="10"/>
        <rFont val="Noto Sans CJK SC"/>
        <family val="2"/>
      </rPr>
      <t xml:space="preserve">の四半期全社売上</t>
    </r>
  </si>
  <si>
    <t xml:space="preserve">読み取りで他表の値との取り違えを確認（例：2019Q2〜Q4の売上が年間と合わない）。地域合計（SPE）は検算済みなので分析にはそちらを使用</t>
  </si>
  <si>
    <t xml:space="preserve">フィールドソリューション・用途別の長期系列</t>
  </si>
  <si>
    <t xml:space="preserve">資料間で値が矛盾（例：2021Q1のFS 1,032 対 1,004）。直近9四半期のみ別シートに掲載</t>
  </si>
  <si>
    <t xml:space="preserve">受注高</t>
  </si>
  <si>
    <t xml:space="preserve">非開示</t>
  </si>
  <si>
    <t xml:space="preserve">決算説明資料に受注高は掲載されていない（読み取り結果）。先行指標としての受注は取得できない</t>
  </si>
  <si>
    <t xml:space="preserve">ガイダンス（業績予想）</t>
  </si>
  <si>
    <t xml:space="preserve">未取得</t>
  </si>
  <si>
    <t xml:space="preserve">半期・通期予想は載るが、四半期ガイダンス対比の分析は未実施。必要なら次の作業で取得</t>
  </si>
  <si>
    <t xml:space="preserve">データブック（Excel）</t>
  </si>
  <si>
    <t xml:space="preserve">未読</t>
  </si>
  <si>
    <t xml:space="preserve">このセッションからはExcelを読めない。添付いただければ本台帳を置き換え、長期・製品別・用途別まで取り込める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</si>
</sst>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b val="true"/>
      <sz val="11"/>
      <color rgb="FF000000"/>
      <name val="Calibri"/>
      <family val="2"/>
    </font>
    <font>
      <b val="true"/>
      <sz val="11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i val="true"/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E3E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C8C88"/>
      <rgbColor rgb="FF9999FF"/>
      <rgbColor rgb="FF993366"/>
      <rgbColor rgb="FFFFFFCC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0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999999"/>
      <rgbColor rgb="FF003366"/>
      <rgbColor rgb="FF1BAF7A"/>
      <rgbColor rgb="FF003300"/>
      <rgbColor rgb="FF333300"/>
      <rgbColor rgb="FF993300"/>
      <rgbColor rgb="FF993366"/>
      <rgbColor rgb="FF4A3AA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TEL地域別売上（積み上げ）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地域別四半期!D2</c:f>
              <c:strCache>
                <c:ptCount val="1"/>
                <c:pt idx="0">
                  <c:v>日本</c:v>
                </c:pt>
              </c:strCache>
            </c:strRef>
          </c:tx>
          <c:spPr>
            <a:solidFill>
              <a:srgbClr val="4a3aa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地域別四半期!$D$3:$D$44</c:f>
              <c:numCache>
                <c:formatCode>#,##0</c:formatCode>
                <c:ptCount val="42"/>
                <c:pt idx="0">
                  <c:v>264</c:v>
                </c:pt>
                <c:pt idx="1">
                  <c:v>178</c:v>
                </c:pt>
                <c:pt idx="2">
                  <c:v>264</c:v>
                </c:pt>
                <c:pt idx="3">
                  <c:v>203</c:v>
                </c:pt>
                <c:pt idx="4">
                  <c:v>266</c:v>
                </c:pt>
                <c:pt idx="5">
                  <c:v>267</c:v>
                </c:pt>
                <c:pt idx="6">
                  <c:v>384</c:v>
                </c:pt>
                <c:pt idx="7">
                  <c:v>351</c:v>
                </c:pt>
                <c:pt idx="8">
                  <c:v>451</c:v>
                </c:pt>
                <c:pt idx="9">
                  <c:v>511</c:v>
                </c:pt>
                <c:pt idx="10">
                  <c:v>580</c:v>
                </c:pt>
                <c:pt idx="11">
                  <c:v>540</c:v>
                </c:pt>
                <c:pt idx="12">
                  <c:v>427</c:v>
                </c:pt>
                <c:pt idx="13">
                  <c:v>325</c:v>
                </c:pt>
                <c:pt idx="14">
                  <c:v>410</c:v>
                </c:pt>
                <c:pt idx="15">
                  <c:v>359</c:v>
                </c:pt>
                <c:pt idx="16">
                  <c:v>496</c:v>
                </c:pt>
                <c:pt idx="17">
                  <c:v>491</c:v>
                </c:pt>
                <c:pt idx="18">
                  <c:v>568</c:v>
                </c:pt>
                <c:pt idx="19">
                  <c:v>361</c:v>
                </c:pt>
                <c:pt idx="20">
                  <c:v>536</c:v>
                </c:pt>
                <c:pt idx="21">
                  <c:v>548</c:v>
                </c:pt>
                <c:pt idx="22">
                  <c:v>539</c:v>
                </c:pt>
                <c:pt idx="23">
                  <c:v>631</c:v>
                </c:pt>
                <c:pt idx="24">
                  <c:v>569</c:v>
                </c:pt>
                <c:pt idx="25">
                  <c:v>420</c:v>
                </c:pt>
                <c:pt idx="26">
                  <c:v>905</c:v>
                </c:pt>
                <c:pt idx="27">
                  <c:v>482</c:v>
                </c:pt>
                <c:pt idx="28">
                  <c:v>576</c:v>
                </c:pt>
                <c:pt idx="29">
                  <c:v>295</c:v>
                </c:pt>
                <c:pt idx="30">
                  <c:v>412</c:v>
                </c:pt>
                <c:pt idx="31">
                  <c:v>574</c:v>
                </c:pt>
                <c:pt idx="32">
                  <c:v>567</c:v>
                </c:pt>
                <c:pt idx="33">
                  <c:v>385</c:v>
                </c:pt>
                <c:pt idx="34">
                  <c:v>526</c:v>
                </c:pt>
                <c:pt idx="35">
                  <c:v>453</c:v>
                </c:pt>
                <c:pt idx="36">
                  <c:v>534</c:v>
                </c:pt>
                <c:pt idx="37">
                  <c:v>643</c:v>
                </c:pt>
                <c:pt idx="38">
                  <c:v>529</c:v>
                </c:pt>
                <c:pt idx="39">
                  <c:v>393</c:v>
                </c:pt>
                <c:pt idx="40">
                  <c:v>828</c:v>
                </c:pt>
                <c:pt idx="41">
                  <c:v>646</c:v>
                </c:pt>
              </c:numCache>
            </c:numRef>
          </c:val>
        </c:ser>
        <c:ser>
          <c:idx val="1"/>
          <c:order val="1"/>
          <c:tx>
            <c:strRef>
              <c:f>地域別四半期!E2</c:f>
              <c:strCache>
                <c:ptCount val="1"/>
                <c:pt idx="0">
                  <c:v>北米</c:v>
                </c:pt>
              </c:strCache>
            </c:strRef>
          </c:tx>
          <c:spPr>
            <a:solidFill>
              <a:srgbClr val="eda1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地域別四半期!$E$3:$E$44</c:f>
              <c:numCache>
                <c:formatCode>#,##0</c:formatCode>
                <c:ptCount val="42"/>
                <c:pt idx="0">
                  <c:v>197</c:v>
                </c:pt>
                <c:pt idx="1">
                  <c:v>170</c:v>
                </c:pt>
                <c:pt idx="2">
                  <c:v>344</c:v>
                </c:pt>
                <c:pt idx="3">
                  <c:v>246</c:v>
                </c:pt>
                <c:pt idx="4">
                  <c:v>254</c:v>
                </c:pt>
                <c:pt idx="5">
                  <c:v>240</c:v>
                </c:pt>
                <c:pt idx="6">
                  <c:v>320</c:v>
                </c:pt>
                <c:pt idx="7">
                  <c:v>291</c:v>
                </c:pt>
                <c:pt idx="8">
                  <c:v>339</c:v>
                </c:pt>
                <c:pt idx="9">
                  <c:v>284</c:v>
                </c:pt>
                <c:pt idx="10">
                  <c:v>459</c:v>
                </c:pt>
                <c:pt idx="11">
                  <c:v>227</c:v>
                </c:pt>
                <c:pt idx="12">
                  <c:v>347</c:v>
                </c:pt>
                <c:pt idx="13">
                  <c:v>285</c:v>
                </c:pt>
                <c:pt idx="14">
                  <c:v>588</c:v>
                </c:pt>
                <c:pt idx="15">
                  <c:v>610</c:v>
                </c:pt>
                <c:pt idx="16">
                  <c:v>572</c:v>
                </c:pt>
                <c:pt idx="17">
                  <c:v>423</c:v>
                </c:pt>
                <c:pt idx="18">
                  <c:v>440</c:v>
                </c:pt>
                <c:pt idx="19">
                  <c:v>345</c:v>
                </c:pt>
                <c:pt idx="20">
                  <c:v>312</c:v>
                </c:pt>
                <c:pt idx="21">
                  <c:v>439</c:v>
                </c:pt>
                <c:pt idx="22">
                  <c:v>618</c:v>
                </c:pt>
                <c:pt idx="23">
                  <c:v>768</c:v>
                </c:pt>
                <c:pt idx="24">
                  <c:v>853</c:v>
                </c:pt>
                <c:pt idx="25">
                  <c:v>673</c:v>
                </c:pt>
                <c:pt idx="26">
                  <c:v>1083</c:v>
                </c:pt>
                <c:pt idx="27">
                  <c:v>584</c:v>
                </c:pt>
                <c:pt idx="28">
                  <c:v>1102</c:v>
                </c:pt>
                <c:pt idx="29">
                  <c:v>301</c:v>
                </c:pt>
                <c:pt idx="30">
                  <c:v>474</c:v>
                </c:pt>
                <c:pt idx="31">
                  <c:v>421</c:v>
                </c:pt>
                <c:pt idx="32">
                  <c:v>483</c:v>
                </c:pt>
                <c:pt idx="33">
                  <c:v>590</c:v>
                </c:pt>
                <c:pt idx="34">
                  <c:v>799</c:v>
                </c:pt>
                <c:pt idx="35">
                  <c:v>577</c:v>
                </c:pt>
                <c:pt idx="36">
                  <c:v>462</c:v>
                </c:pt>
                <c:pt idx="37">
                  <c:v>434</c:v>
                </c:pt>
                <c:pt idx="38">
                  <c:v>384</c:v>
                </c:pt>
                <c:pt idx="39">
                  <c:v>278</c:v>
                </c:pt>
                <c:pt idx="40">
                  <c:v>567</c:v>
                </c:pt>
                <c:pt idx="41">
                  <c:v>590</c:v>
                </c:pt>
              </c:numCache>
            </c:numRef>
          </c:val>
        </c:ser>
        <c:ser>
          <c:idx val="2"/>
          <c:order val="2"/>
          <c:tx>
            <c:strRef>
              <c:f>地域別四半期!F2</c:f>
              <c:strCache>
                <c:ptCount val="1"/>
                <c:pt idx="0">
                  <c:v>欧州</c:v>
                </c:pt>
              </c:strCache>
            </c:strRef>
          </c:tx>
          <c:spPr>
            <a:solidFill>
              <a:srgbClr val="e87ba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地域別四半期!$F$3:$F$44</c:f>
              <c:numCache>
                <c:formatCode>#,##0</c:formatCode>
                <c:ptCount val="42"/>
                <c:pt idx="0">
                  <c:v>95</c:v>
                </c:pt>
                <c:pt idx="1">
                  <c:v>52</c:v>
                </c:pt>
                <c:pt idx="2">
                  <c:v>66</c:v>
                </c:pt>
                <c:pt idx="3">
                  <c:v>150</c:v>
                </c:pt>
                <c:pt idx="4">
                  <c:v>329</c:v>
                </c:pt>
                <c:pt idx="5">
                  <c:v>253</c:v>
                </c:pt>
                <c:pt idx="6">
                  <c:v>269</c:v>
                </c:pt>
                <c:pt idx="7">
                  <c:v>196</c:v>
                </c:pt>
                <c:pt idx="8">
                  <c:v>250</c:v>
                </c:pt>
                <c:pt idx="9">
                  <c:v>177</c:v>
                </c:pt>
                <c:pt idx="10">
                  <c:v>313</c:v>
                </c:pt>
                <c:pt idx="11">
                  <c:v>186</c:v>
                </c:pt>
                <c:pt idx="12">
                  <c:v>253</c:v>
                </c:pt>
                <c:pt idx="13">
                  <c:v>202</c:v>
                </c:pt>
                <c:pt idx="14">
                  <c:v>144</c:v>
                </c:pt>
                <c:pt idx="15">
                  <c:v>108</c:v>
                </c:pt>
                <c:pt idx="16">
                  <c:v>133</c:v>
                </c:pt>
                <c:pt idx="17">
                  <c:v>157</c:v>
                </c:pt>
                <c:pt idx="18">
                  <c:v>163</c:v>
                </c:pt>
                <c:pt idx="19">
                  <c:v>127</c:v>
                </c:pt>
                <c:pt idx="20">
                  <c:v>186</c:v>
                </c:pt>
                <c:pt idx="21">
                  <c:v>134</c:v>
                </c:pt>
                <c:pt idx="22">
                  <c:v>203</c:v>
                </c:pt>
                <c:pt idx="23">
                  <c:v>170</c:v>
                </c:pt>
                <c:pt idx="24">
                  <c:v>571</c:v>
                </c:pt>
                <c:pt idx="25">
                  <c:v>565</c:v>
                </c:pt>
                <c:pt idx="26">
                  <c:v>509</c:v>
                </c:pt>
                <c:pt idx="27">
                  <c:v>426</c:v>
                </c:pt>
                <c:pt idx="28">
                  <c:v>341</c:v>
                </c:pt>
                <c:pt idx="29">
                  <c:v>281</c:v>
                </c:pt>
                <c:pt idx="30">
                  <c:v>335</c:v>
                </c:pt>
                <c:pt idx="31">
                  <c:v>294</c:v>
                </c:pt>
                <c:pt idx="32">
                  <c:v>281</c:v>
                </c:pt>
                <c:pt idx="33">
                  <c:v>155</c:v>
                </c:pt>
                <c:pt idx="34">
                  <c:v>238</c:v>
                </c:pt>
                <c:pt idx="35">
                  <c:v>157</c:v>
                </c:pt>
                <c:pt idx="36">
                  <c:v>203</c:v>
                </c:pt>
                <c:pt idx="37">
                  <c:v>140</c:v>
                </c:pt>
                <c:pt idx="38">
                  <c:v>108</c:v>
                </c:pt>
                <c:pt idx="39">
                  <c:v>127</c:v>
                </c:pt>
                <c:pt idx="40">
                  <c:v>297</c:v>
                </c:pt>
                <c:pt idx="41">
                  <c:v>242</c:v>
                </c:pt>
              </c:numCache>
            </c:numRef>
          </c:val>
        </c:ser>
        <c:ser>
          <c:idx val="3"/>
          <c:order val="3"/>
          <c:tx>
            <c:strRef>
              <c:f>地域別四半期!G2</c:f>
              <c:strCache>
                <c:ptCount val="1"/>
                <c:pt idx="0">
                  <c:v>韓国</c:v>
                </c:pt>
              </c:strCache>
            </c:strRef>
          </c:tx>
          <c:spPr>
            <a:solidFill>
              <a:srgbClr val="2a78d6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地域別四半期!$G$3:$G$44</c:f>
              <c:numCache>
                <c:formatCode>#,##0</c:formatCode>
                <c:ptCount val="42"/>
                <c:pt idx="0">
                  <c:v>309</c:v>
                </c:pt>
                <c:pt idx="1">
                  <c:v>198</c:v>
                </c:pt>
                <c:pt idx="2">
                  <c:v>290</c:v>
                </c:pt>
                <c:pt idx="3">
                  <c:v>333</c:v>
                </c:pt>
                <c:pt idx="4">
                  <c:v>555</c:v>
                </c:pt>
                <c:pt idx="5">
                  <c:v>683</c:v>
                </c:pt>
                <c:pt idx="6">
                  <c:v>1017</c:v>
                </c:pt>
                <c:pt idx="7">
                  <c:v>794</c:v>
                </c:pt>
                <c:pt idx="8">
                  <c:v>1223</c:v>
                </c:pt>
                <c:pt idx="9">
                  <c:v>889</c:v>
                </c:pt>
                <c:pt idx="10">
                  <c:v>865</c:v>
                </c:pt>
                <c:pt idx="11">
                  <c:v>609</c:v>
                </c:pt>
                <c:pt idx="12">
                  <c:v>689</c:v>
                </c:pt>
                <c:pt idx="13">
                  <c:v>369</c:v>
                </c:pt>
                <c:pt idx="14">
                  <c:v>364</c:v>
                </c:pt>
                <c:pt idx="15">
                  <c:v>310</c:v>
                </c:pt>
                <c:pt idx="16">
                  <c:v>471</c:v>
                </c:pt>
                <c:pt idx="17">
                  <c:v>670</c:v>
                </c:pt>
                <c:pt idx="18">
                  <c:v>721</c:v>
                </c:pt>
                <c:pt idx="19">
                  <c:v>393</c:v>
                </c:pt>
                <c:pt idx="20">
                  <c:v>1014</c:v>
                </c:pt>
                <c:pt idx="21">
                  <c:v>953</c:v>
                </c:pt>
                <c:pt idx="22">
                  <c:v>935</c:v>
                </c:pt>
                <c:pt idx="23">
                  <c:v>930</c:v>
                </c:pt>
                <c:pt idx="24">
                  <c:v>959</c:v>
                </c:pt>
                <c:pt idx="25">
                  <c:v>851</c:v>
                </c:pt>
                <c:pt idx="26">
                  <c:v>842</c:v>
                </c:pt>
                <c:pt idx="27">
                  <c:v>754</c:v>
                </c:pt>
                <c:pt idx="28">
                  <c:v>1047</c:v>
                </c:pt>
                <c:pt idx="29">
                  <c:v>767</c:v>
                </c:pt>
                <c:pt idx="30">
                  <c:v>674</c:v>
                </c:pt>
                <c:pt idx="31">
                  <c:v>582</c:v>
                </c:pt>
                <c:pt idx="32">
                  <c:v>820</c:v>
                </c:pt>
                <c:pt idx="33">
                  <c:v>678</c:v>
                </c:pt>
                <c:pt idx="34">
                  <c:v>795</c:v>
                </c:pt>
                <c:pt idx="35">
                  <c:v>1145</c:v>
                </c:pt>
                <c:pt idx="36">
                  <c:v>1470</c:v>
                </c:pt>
                <c:pt idx="37">
                  <c:v>883</c:v>
                </c:pt>
                <c:pt idx="38">
                  <c:v>1325</c:v>
                </c:pt>
                <c:pt idx="39">
                  <c:v>1497</c:v>
                </c:pt>
                <c:pt idx="40">
                  <c:v>1731</c:v>
                </c:pt>
                <c:pt idx="41">
                  <c:v>1524</c:v>
                </c:pt>
              </c:numCache>
            </c:numRef>
          </c:val>
        </c:ser>
        <c:ser>
          <c:idx val="4"/>
          <c:order val="4"/>
          <c:tx>
            <c:strRef>
              <c:f>地域別四半期!H2</c:f>
              <c:strCache>
                <c:ptCount val="1"/>
                <c:pt idx="0">
                  <c:v>台湾</c:v>
                </c:pt>
              </c:strCache>
            </c:strRef>
          </c:tx>
          <c:spPr>
            <a:solidFill>
              <a:srgbClr val="eb683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地域別四半期!$H$3:$H$44</c:f>
              <c:numCache>
                <c:formatCode>#,##0</c:formatCode>
                <c:ptCount val="42"/>
                <c:pt idx="0">
                  <c:v>425</c:v>
                </c:pt>
                <c:pt idx="1">
                  <c:v>305</c:v>
                </c:pt>
                <c:pt idx="2">
                  <c:v>582</c:v>
                </c:pt>
                <c:pt idx="3">
                  <c:v>623</c:v>
                </c:pt>
                <c:pt idx="4">
                  <c:v>747</c:v>
                </c:pt>
                <c:pt idx="5">
                  <c:v>458</c:v>
                </c:pt>
                <c:pt idx="6">
                  <c:v>366</c:v>
                </c:pt>
                <c:pt idx="7">
                  <c:v>421</c:v>
                </c:pt>
                <c:pt idx="8">
                  <c:v>443</c:v>
                </c:pt>
                <c:pt idx="9">
                  <c:v>263</c:v>
                </c:pt>
                <c:pt idx="10">
                  <c:v>480</c:v>
                </c:pt>
                <c:pt idx="11">
                  <c:v>293</c:v>
                </c:pt>
                <c:pt idx="12">
                  <c:v>591</c:v>
                </c:pt>
                <c:pt idx="13">
                  <c:v>483</c:v>
                </c:pt>
                <c:pt idx="14">
                  <c:v>487</c:v>
                </c:pt>
                <c:pt idx="15">
                  <c:v>762</c:v>
                </c:pt>
                <c:pt idx="16">
                  <c:v>831</c:v>
                </c:pt>
                <c:pt idx="17">
                  <c:v>509</c:v>
                </c:pt>
                <c:pt idx="18">
                  <c:v>539</c:v>
                </c:pt>
                <c:pt idx="19">
                  <c:v>525</c:v>
                </c:pt>
                <c:pt idx="20">
                  <c:v>882</c:v>
                </c:pt>
                <c:pt idx="21">
                  <c:v>628</c:v>
                </c:pt>
                <c:pt idx="22">
                  <c:v>1025</c:v>
                </c:pt>
                <c:pt idx="23">
                  <c:v>874</c:v>
                </c:pt>
                <c:pt idx="24">
                  <c:v>1063</c:v>
                </c:pt>
                <c:pt idx="25">
                  <c:v>968</c:v>
                </c:pt>
                <c:pt idx="26">
                  <c:v>1338</c:v>
                </c:pt>
                <c:pt idx="27">
                  <c:v>1101</c:v>
                </c:pt>
                <c:pt idx="28">
                  <c:v>794</c:v>
                </c:pt>
                <c:pt idx="29">
                  <c:v>639</c:v>
                </c:pt>
                <c:pt idx="30">
                  <c:v>399</c:v>
                </c:pt>
                <c:pt idx="31">
                  <c:v>463</c:v>
                </c:pt>
                <c:pt idx="32">
                  <c:v>552</c:v>
                </c:pt>
                <c:pt idx="33">
                  <c:v>800</c:v>
                </c:pt>
                <c:pt idx="34">
                  <c:v>753</c:v>
                </c:pt>
                <c:pt idx="35">
                  <c:v>1193</c:v>
                </c:pt>
                <c:pt idx="36">
                  <c:v>1358</c:v>
                </c:pt>
                <c:pt idx="37">
                  <c:v>1115</c:v>
                </c:pt>
                <c:pt idx="38">
                  <c:v>1197</c:v>
                </c:pt>
                <c:pt idx="39">
                  <c:v>1119</c:v>
                </c:pt>
                <c:pt idx="40">
                  <c:v>1565</c:v>
                </c:pt>
                <c:pt idx="41">
                  <c:v>1861</c:v>
                </c:pt>
              </c:numCache>
            </c:numRef>
          </c:val>
        </c:ser>
        <c:ser>
          <c:idx val="5"/>
          <c:order val="5"/>
          <c:tx>
            <c:strRef>
              <c:f>地域別四半期!I2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1baf7a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地域別四半期!$I$3:$I$44</c:f>
              <c:numCache>
                <c:formatCode>#,##0</c:formatCode>
                <c:ptCount val="42"/>
                <c:pt idx="0">
                  <c:v>152</c:v>
                </c:pt>
                <c:pt idx="1">
                  <c:v>300</c:v>
                </c:pt>
                <c:pt idx="2">
                  <c:v>240</c:v>
                </c:pt>
                <c:pt idx="3">
                  <c:v>137</c:v>
                </c:pt>
                <c:pt idx="4">
                  <c:v>227</c:v>
                </c:pt>
                <c:pt idx="5">
                  <c:v>267</c:v>
                </c:pt>
                <c:pt idx="6">
                  <c:v>230</c:v>
                </c:pt>
                <c:pt idx="7">
                  <c:v>226</c:v>
                </c:pt>
                <c:pt idx="8">
                  <c:v>318</c:v>
                </c:pt>
                <c:pt idx="9">
                  <c:v>549</c:v>
                </c:pt>
                <c:pt idx="10">
                  <c:v>713</c:v>
                </c:pt>
                <c:pt idx="11">
                  <c:v>380</c:v>
                </c:pt>
                <c:pt idx="12">
                  <c:v>425</c:v>
                </c:pt>
                <c:pt idx="13">
                  <c:v>270</c:v>
                </c:pt>
                <c:pt idx="14">
                  <c:v>568</c:v>
                </c:pt>
                <c:pt idx="15">
                  <c:v>591</c:v>
                </c:pt>
                <c:pt idx="16">
                  <c:v>506</c:v>
                </c:pt>
                <c:pt idx="17">
                  <c:v>739</c:v>
                </c:pt>
                <c:pt idx="18">
                  <c:v>791</c:v>
                </c:pt>
                <c:pt idx="19">
                  <c:v>705</c:v>
                </c:pt>
                <c:pt idx="20">
                  <c:v>1022</c:v>
                </c:pt>
                <c:pt idx="21">
                  <c:v>1536</c:v>
                </c:pt>
                <c:pt idx="22">
                  <c:v>1088</c:v>
                </c:pt>
                <c:pt idx="23">
                  <c:v>1322</c:v>
                </c:pt>
                <c:pt idx="24">
                  <c:v>1188</c:v>
                </c:pt>
                <c:pt idx="25">
                  <c:v>940</c:v>
                </c:pt>
                <c:pt idx="26">
                  <c:v>1686</c:v>
                </c:pt>
                <c:pt idx="27">
                  <c:v>1027</c:v>
                </c:pt>
                <c:pt idx="28">
                  <c:v>1312</c:v>
                </c:pt>
                <c:pt idx="29">
                  <c:v>1539</c:v>
                </c:pt>
                <c:pt idx="30">
                  <c:v>1829</c:v>
                </c:pt>
                <c:pt idx="31">
                  <c:v>2172</c:v>
                </c:pt>
                <c:pt idx="32">
                  <c:v>2591</c:v>
                </c:pt>
                <c:pt idx="33">
                  <c:v>2770</c:v>
                </c:pt>
                <c:pt idx="34">
                  <c:v>2339</c:v>
                </c:pt>
                <c:pt idx="35">
                  <c:v>2794</c:v>
                </c:pt>
                <c:pt idx="36">
                  <c:v>2246</c:v>
                </c:pt>
                <c:pt idx="37">
                  <c:v>2121</c:v>
                </c:pt>
                <c:pt idx="38">
                  <c:v>2541</c:v>
                </c:pt>
                <c:pt idx="39">
                  <c:v>1755</c:v>
                </c:pt>
                <c:pt idx="40">
                  <c:v>1907</c:v>
                </c:pt>
                <c:pt idx="41">
                  <c:v>2229</c:v>
                </c:pt>
              </c:numCache>
            </c:numRef>
          </c:val>
        </c:ser>
        <c:ser>
          <c:idx val="6"/>
          <c:order val="6"/>
          <c:tx>
            <c:strRef>
              <c:f>地域別四半期!J2</c:f>
              <c:strCache>
                <c:ptCount val="1"/>
                <c:pt idx="0">
                  <c:v>東南アジア・その他</c:v>
                </c:pt>
              </c:strCache>
            </c:strRef>
          </c:tx>
          <c:spPr>
            <a:solidFill>
              <a:srgbClr val="8c8c88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地域別四半期!$J$3:$J$44</c:f>
              <c:numCache>
                <c:formatCode>#,##0</c:formatCode>
                <c:ptCount val="42"/>
                <c:pt idx="0">
                  <c:v>50</c:v>
                </c:pt>
                <c:pt idx="1">
                  <c:v>103</c:v>
                </c:pt>
                <c:pt idx="2">
                  <c:v>173</c:v>
                </c:pt>
                <c:pt idx="3">
                  <c:v>98</c:v>
                </c:pt>
                <c:pt idx="4">
                  <c:v>53</c:v>
                </c:pt>
                <c:pt idx="5">
                  <c:v>46</c:v>
                </c:pt>
                <c:pt idx="6">
                  <c:v>67</c:v>
                </c:pt>
                <c:pt idx="7">
                  <c:v>132</c:v>
                </c:pt>
                <c:pt idx="8">
                  <c:v>234</c:v>
                </c:pt>
                <c:pt idx="9">
                  <c:v>127</c:v>
                </c:pt>
                <c:pt idx="10">
                  <c:v>168</c:v>
                </c:pt>
                <c:pt idx="11">
                  <c:v>156</c:v>
                </c:pt>
                <c:pt idx="12">
                  <c:v>152</c:v>
                </c:pt>
                <c:pt idx="13">
                  <c:v>44</c:v>
                </c:pt>
                <c:pt idx="14">
                  <c:v>155</c:v>
                </c:pt>
                <c:pt idx="15">
                  <c:v>77</c:v>
                </c:pt>
                <c:pt idx="16">
                  <c:v>77</c:v>
                </c:pt>
                <c:pt idx="17">
                  <c:v>46</c:v>
                </c:pt>
                <c:pt idx="18">
                  <c:v>92</c:v>
                </c:pt>
                <c:pt idx="19">
                  <c:v>184</c:v>
                </c:pt>
                <c:pt idx="20">
                  <c:v>200</c:v>
                </c:pt>
                <c:pt idx="21">
                  <c:v>138</c:v>
                </c:pt>
                <c:pt idx="22">
                  <c:v>267</c:v>
                </c:pt>
                <c:pt idx="23">
                  <c:v>189</c:v>
                </c:pt>
                <c:pt idx="24">
                  <c:v>287</c:v>
                </c:pt>
                <c:pt idx="25">
                  <c:v>220</c:v>
                </c:pt>
                <c:pt idx="26">
                  <c:v>525</c:v>
                </c:pt>
                <c:pt idx="27">
                  <c:v>211</c:v>
                </c:pt>
                <c:pt idx="28">
                  <c:v>258</c:v>
                </c:pt>
                <c:pt idx="29">
                  <c:v>92</c:v>
                </c:pt>
                <c:pt idx="30">
                  <c:v>151</c:v>
                </c:pt>
                <c:pt idx="31">
                  <c:v>127</c:v>
                </c:pt>
                <c:pt idx="32">
                  <c:v>175</c:v>
                </c:pt>
                <c:pt idx="33">
                  <c:v>170</c:v>
                </c:pt>
                <c:pt idx="34">
                  <c:v>212</c:v>
                </c:pt>
                <c:pt idx="35">
                  <c:v>223</c:v>
                </c:pt>
                <c:pt idx="36">
                  <c:v>278</c:v>
                </c:pt>
                <c:pt idx="37">
                  <c:v>156</c:v>
                </c:pt>
                <c:pt idx="38">
                  <c:v>213</c:v>
                </c:pt>
                <c:pt idx="39">
                  <c:v>348</c:v>
                </c:pt>
                <c:pt idx="40">
                  <c:v>221</c:v>
                </c:pt>
                <c:pt idx="41">
                  <c:v>229</c:v>
                </c:pt>
              </c:numCache>
            </c:numRef>
          </c:val>
        </c:ser>
        <c:gapWidth val="30"/>
        <c:overlap val="100"/>
        <c:axId val="55681978"/>
        <c:axId val="57228660"/>
      </c:barChart>
      <c:catAx>
        <c:axId val="55681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28660"/>
        <c:crosses val="autoZero"/>
        <c:auto val="1"/>
        <c:lblAlgn val="ctr"/>
        <c:lblOffset val="100"/>
        <c:noMultiLvlLbl val="0"/>
      </c:catAx>
      <c:valAx>
        <c:axId val="57228660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19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TEL地域別売上の構成比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地域別四半期!D2</c:f>
              <c:strCache>
                <c:ptCount val="1"/>
                <c:pt idx="0">
                  <c:v>日本</c:v>
                </c:pt>
              </c:strCache>
            </c:strRef>
          </c:tx>
          <c:spPr>
            <a:solidFill>
              <a:srgbClr val="4a3aa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地域別四半期!$D$3:$D$44</c:f>
              <c:numCache>
                <c:formatCode>#,##0</c:formatCode>
                <c:ptCount val="42"/>
                <c:pt idx="0">
                  <c:v>264</c:v>
                </c:pt>
                <c:pt idx="1">
                  <c:v>178</c:v>
                </c:pt>
                <c:pt idx="2">
                  <c:v>264</c:v>
                </c:pt>
                <c:pt idx="3">
                  <c:v>203</c:v>
                </c:pt>
                <c:pt idx="4">
                  <c:v>266</c:v>
                </c:pt>
                <c:pt idx="5">
                  <c:v>267</c:v>
                </c:pt>
                <c:pt idx="6">
                  <c:v>384</c:v>
                </c:pt>
                <c:pt idx="7">
                  <c:v>351</c:v>
                </c:pt>
                <c:pt idx="8">
                  <c:v>451</c:v>
                </c:pt>
                <c:pt idx="9">
                  <c:v>511</c:v>
                </c:pt>
                <c:pt idx="10">
                  <c:v>580</c:v>
                </c:pt>
                <c:pt idx="11">
                  <c:v>540</c:v>
                </c:pt>
                <c:pt idx="12">
                  <c:v>427</c:v>
                </c:pt>
                <c:pt idx="13">
                  <c:v>325</c:v>
                </c:pt>
                <c:pt idx="14">
                  <c:v>410</c:v>
                </c:pt>
                <c:pt idx="15">
                  <c:v>359</c:v>
                </c:pt>
                <c:pt idx="16">
                  <c:v>496</c:v>
                </c:pt>
                <c:pt idx="17">
                  <c:v>491</c:v>
                </c:pt>
                <c:pt idx="18">
                  <c:v>568</c:v>
                </c:pt>
                <c:pt idx="19">
                  <c:v>361</c:v>
                </c:pt>
                <c:pt idx="20">
                  <c:v>536</c:v>
                </c:pt>
                <c:pt idx="21">
                  <c:v>548</c:v>
                </c:pt>
                <c:pt idx="22">
                  <c:v>539</c:v>
                </c:pt>
                <c:pt idx="23">
                  <c:v>631</c:v>
                </c:pt>
                <c:pt idx="24">
                  <c:v>569</c:v>
                </c:pt>
                <c:pt idx="25">
                  <c:v>420</c:v>
                </c:pt>
                <c:pt idx="26">
                  <c:v>905</c:v>
                </c:pt>
                <c:pt idx="27">
                  <c:v>482</c:v>
                </c:pt>
                <c:pt idx="28">
                  <c:v>576</c:v>
                </c:pt>
                <c:pt idx="29">
                  <c:v>295</c:v>
                </c:pt>
                <c:pt idx="30">
                  <c:v>412</c:v>
                </c:pt>
                <c:pt idx="31">
                  <c:v>574</c:v>
                </c:pt>
                <c:pt idx="32">
                  <c:v>567</c:v>
                </c:pt>
                <c:pt idx="33">
                  <c:v>385</c:v>
                </c:pt>
                <c:pt idx="34">
                  <c:v>526</c:v>
                </c:pt>
                <c:pt idx="35">
                  <c:v>453</c:v>
                </c:pt>
                <c:pt idx="36">
                  <c:v>534</c:v>
                </c:pt>
                <c:pt idx="37">
                  <c:v>643</c:v>
                </c:pt>
                <c:pt idx="38">
                  <c:v>529</c:v>
                </c:pt>
                <c:pt idx="39">
                  <c:v>393</c:v>
                </c:pt>
                <c:pt idx="40">
                  <c:v>828</c:v>
                </c:pt>
                <c:pt idx="41">
                  <c:v>646</c:v>
                </c:pt>
              </c:numCache>
            </c:numRef>
          </c:val>
        </c:ser>
        <c:ser>
          <c:idx val="1"/>
          <c:order val="1"/>
          <c:tx>
            <c:strRef>
              <c:f>地域別四半期!E2</c:f>
              <c:strCache>
                <c:ptCount val="1"/>
                <c:pt idx="0">
                  <c:v>北米</c:v>
                </c:pt>
              </c:strCache>
            </c:strRef>
          </c:tx>
          <c:spPr>
            <a:solidFill>
              <a:srgbClr val="eda10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地域別四半期!$E$3:$E$44</c:f>
              <c:numCache>
                <c:formatCode>#,##0</c:formatCode>
                <c:ptCount val="42"/>
                <c:pt idx="0">
                  <c:v>197</c:v>
                </c:pt>
                <c:pt idx="1">
                  <c:v>170</c:v>
                </c:pt>
                <c:pt idx="2">
                  <c:v>344</c:v>
                </c:pt>
                <c:pt idx="3">
                  <c:v>246</c:v>
                </c:pt>
                <c:pt idx="4">
                  <c:v>254</c:v>
                </c:pt>
                <c:pt idx="5">
                  <c:v>240</c:v>
                </c:pt>
                <c:pt idx="6">
                  <c:v>320</c:v>
                </c:pt>
                <c:pt idx="7">
                  <c:v>291</c:v>
                </c:pt>
                <c:pt idx="8">
                  <c:v>339</c:v>
                </c:pt>
                <c:pt idx="9">
                  <c:v>284</c:v>
                </c:pt>
                <c:pt idx="10">
                  <c:v>459</c:v>
                </c:pt>
                <c:pt idx="11">
                  <c:v>227</c:v>
                </c:pt>
                <c:pt idx="12">
                  <c:v>347</c:v>
                </c:pt>
                <c:pt idx="13">
                  <c:v>285</c:v>
                </c:pt>
                <c:pt idx="14">
                  <c:v>588</c:v>
                </c:pt>
                <c:pt idx="15">
                  <c:v>610</c:v>
                </c:pt>
                <c:pt idx="16">
                  <c:v>572</c:v>
                </c:pt>
                <c:pt idx="17">
                  <c:v>423</c:v>
                </c:pt>
                <c:pt idx="18">
                  <c:v>440</c:v>
                </c:pt>
                <c:pt idx="19">
                  <c:v>345</c:v>
                </c:pt>
                <c:pt idx="20">
                  <c:v>312</c:v>
                </c:pt>
                <c:pt idx="21">
                  <c:v>439</c:v>
                </c:pt>
                <c:pt idx="22">
                  <c:v>618</c:v>
                </c:pt>
                <c:pt idx="23">
                  <c:v>768</c:v>
                </c:pt>
                <c:pt idx="24">
                  <c:v>853</c:v>
                </c:pt>
                <c:pt idx="25">
                  <c:v>673</c:v>
                </c:pt>
                <c:pt idx="26">
                  <c:v>1083</c:v>
                </c:pt>
                <c:pt idx="27">
                  <c:v>584</c:v>
                </c:pt>
                <c:pt idx="28">
                  <c:v>1102</c:v>
                </c:pt>
                <c:pt idx="29">
                  <c:v>301</c:v>
                </c:pt>
                <c:pt idx="30">
                  <c:v>474</c:v>
                </c:pt>
                <c:pt idx="31">
                  <c:v>421</c:v>
                </c:pt>
                <c:pt idx="32">
                  <c:v>483</c:v>
                </c:pt>
                <c:pt idx="33">
                  <c:v>590</c:v>
                </c:pt>
                <c:pt idx="34">
                  <c:v>799</c:v>
                </c:pt>
                <c:pt idx="35">
                  <c:v>577</c:v>
                </c:pt>
                <c:pt idx="36">
                  <c:v>462</c:v>
                </c:pt>
                <c:pt idx="37">
                  <c:v>434</c:v>
                </c:pt>
                <c:pt idx="38">
                  <c:v>384</c:v>
                </c:pt>
                <c:pt idx="39">
                  <c:v>278</c:v>
                </c:pt>
                <c:pt idx="40">
                  <c:v>567</c:v>
                </c:pt>
                <c:pt idx="41">
                  <c:v>590</c:v>
                </c:pt>
              </c:numCache>
            </c:numRef>
          </c:val>
        </c:ser>
        <c:ser>
          <c:idx val="2"/>
          <c:order val="2"/>
          <c:tx>
            <c:strRef>
              <c:f>地域別四半期!F2</c:f>
              <c:strCache>
                <c:ptCount val="1"/>
                <c:pt idx="0">
                  <c:v>欧州</c:v>
                </c:pt>
              </c:strCache>
            </c:strRef>
          </c:tx>
          <c:spPr>
            <a:solidFill>
              <a:srgbClr val="e87ba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地域別四半期!$F$3:$F$44</c:f>
              <c:numCache>
                <c:formatCode>#,##0</c:formatCode>
                <c:ptCount val="42"/>
                <c:pt idx="0">
                  <c:v>95</c:v>
                </c:pt>
                <c:pt idx="1">
                  <c:v>52</c:v>
                </c:pt>
                <c:pt idx="2">
                  <c:v>66</c:v>
                </c:pt>
                <c:pt idx="3">
                  <c:v>150</c:v>
                </c:pt>
                <c:pt idx="4">
                  <c:v>329</c:v>
                </c:pt>
                <c:pt idx="5">
                  <c:v>253</c:v>
                </c:pt>
                <c:pt idx="6">
                  <c:v>269</c:v>
                </c:pt>
                <c:pt idx="7">
                  <c:v>196</c:v>
                </c:pt>
                <c:pt idx="8">
                  <c:v>250</c:v>
                </c:pt>
                <c:pt idx="9">
                  <c:v>177</c:v>
                </c:pt>
                <c:pt idx="10">
                  <c:v>313</c:v>
                </c:pt>
                <c:pt idx="11">
                  <c:v>186</c:v>
                </c:pt>
                <c:pt idx="12">
                  <c:v>253</c:v>
                </c:pt>
                <c:pt idx="13">
                  <c:v>202</c:v>
                </c:pt>
                <c:pt idx="14">
                  <c:v>144</c:v>
                </c:pt>
                <c:pt idx="15">
                  <c:v>108</c:v>
                </c:pt>
                <c:pt idx="16">
                  <c:v>133</c:v>
                </c:pt>
                <c:pt idx="17">
                  <c:v>157</c:v>
                </c:pt>
                <c:pt idx="18">
                  <c:v>163</c:v>
                </c:pt>
                <c:pt idx="19">
                  <c:v>127</c:v>
                </c:pt>
                <c:pt idx="20">
                  <c:v>186</c:v>
                </c:pt>
                <c:pt idx="21">
                  <c:v>134</c:v>
                </c:pt>
                <c:pt idx="22">
                  <c:v>203</c:v>
                </c:pt>
                <c:pt idx="23">
                  <c:v>170</c:v>
                </c:pt>
                <c:pt idx="24">
                  <c:v>571</c:v>
                </c:pt>
                <c:pt idx="25">
                  <c:v>565</c:v>
                </c:pt>
                <c:pt idx="26">
                  <c:v>509</c:v>
                </c:pt>
                <c:pt idx="27">
                  <c:v>426</c:v>
                </c:pt>
                <c:pt idx="28">
                  <c:v>341</c:v>
                </c:pt>
                <c:pt idx="29">
                  <c:v>281</c:v>
                </c:pt>
                <c:pt idx="30">
                  <c:v>335</c:v>
                </c:pt>
                <c:pt idx="31">
                  <c:v>294</c:v>
                </c:pt>
                <c:pt idx="32">
                  <c:v>281</c:v>
                </c:pt>
                <c:pt idx="33">
                  <c:v>155</c:v>
                </c:pt>
                <c:pt idx="34">
                  <c:v>238</c:v>
                </c:pt>
                <c:pt idx="35">
                  <c:v>157</c:v>
                </c:pt>
                <c:pt idx="36">
                  <c:v>203</c:v>
                </c:pt>
                <c:pt idx="37">
                  <c:v>140</c:v>
                </c:pt>
                <c:pt idx="38">
                  <c:v>108</c:v>
                </c:pt>
                <c:pt idx="39">
                  <c:v>127</c:v>
                </c:pt>
                <c:pt idx="40">
                  <c:v>297</c:v>
                </c:pt>
                <c:pt idx="41">
                  <c:v>242</c:v>
                </c:pt>
              </c:numCache>
            </c:numRef>
          </c:val>
        </c:ser>
        <c:ser>
          <c:idx val="3"/>
          <c:order val="3"/>
          <c:tx>
            <c:strRef>
              <c:f>地域別四半期!G2</c:f>
              <c:strCache>
                <c:ptCount val="1"/>
                <c:pt idx="0">
                  <c:v>韓国</c:v>
                </c:pt>
              </c:strCache>
            </c:strRef>
          </c:tx>
          <c:spPr>
            <a:solidFill>
              <a:srgbClr val="2a78d6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地域別四半期!$G$3:$G$44</c:f>
              <c:numCache>
                <c:formatCode>#,##0</c:formatCode>
                <c:ptCount val="42"/>
                <c:pt idx="0">
                  <c:v>309</c:v>
                </c:pt>
                <c:pt idx="1">
                  <c:v>198</c:v>
                </c:pt>
                <c:pt idx="2">
                  <c:v>290</c:v>
                </c:pt>
                <c:pt idx="3">
                  <c:v>333</c:v>
                </c:pt>
                <c:pt idx="4">
                  <c:v>555</c:v>
                </c:pt>
                <c:pt idx="5">
                  <c:v>683</c:v>
                </c:pt>
                <c:pt idx="6">
                  <c:v>1017</c:v>
                </c:pt>
                <c:pt idx="7">
                  <c:v>794</c:v>
                </c:pt>
                <c:pt idx="8">
                  <c:v>1223</c:v>
                </c:pt>
                <c:pt idx="9">
                  <c:v>889</c:v>
                </c:pt>
                <c:pt idx="10">
                  <c:v>865</c:v>
                </c:pt>
                <c:pt idx="11">
                  <c:v>609</c:v>
                </c:pt>
                <c:pt idx="12">
                  <c:v>689</c:v>
                </c:pt>
                <c:pt idx="13">
                  <c:v>369</c:v>
                </c:pt>
                <c:pt idx="14">
                  <c:v>364</c:v>
                </c:pt>
                <c:pt idx="15">
                  <c:v>310</c:v>
                </c:pt>
                <c:pt idx="16">
                  <c:v>471</c:v>
                </c:pt>
                <c:pt idx="17">
                  <c:v>670</c:v>
                </c:pt>
                <c:pt idx="18">
                  <c:v>721</c:v>
                </c:pt>
                <c:pt idx="19">
                  <c:v>393</c:v>
                </c:pt>
                <c:pt idx="20">
                  <c:v>1014</c:v>
                </c:pt>
                <c:pt idx="21">
                  <c:v>953</c:v>
                </c:pt>
                <c:pt idx="22">
                  <c:v>935</c:v>
                </c:pt>
                <c:pt idx="23">
                  <c:v>930</c:v>
                </c:pt>
                <c:pt idx="24">
                  <c:v>959</c:v>
                </c:pt>
                <c:pt idx="25">
                  <c:v>851</c:v>
                </c:pt>
                <c:pt idx="26">
                  <c:v>842</c:v>
                </c:pt>
                <c:pt idx="27">
                  <c:v>754</c:v>
                </c:pt>
                <c:pt idx="28">
                  <c:v>1047</c:v>
                </c:pt>
                <c:pt idx="29">
                  <c:v>767</c:v>
                </c:pt>
                <c:pt idx="30">
                  <c:v>674</c:v>
                </c:pt>
                <c:pt idx="31">
                  <c:v>582</c:v>
                </c:pt>
                <c:pt idx="32">
                  <c:v>820</c:v>
                </c:pt>
                <c:pt idx="33">
                  <c:v>678</c:v>
                </c:pt>
                <c:pt idx="34">
                  <c:v>795</c:v>
                </c:pt>
                <c:pt idx="35">
                  <c:v>1145</c:v>
                </c:pt>
                <c:pt idx="36">
                  <c:v>1470</c:v>
                </c:pt>
                <c:pt idx="37">
                  <c:v>883</c:v>
                </c:pt>
                <c:pt idx="38">
                  <c:v>1325</c:v>
                </c:pt>
                <c:pt idx="39">
                  <c:v>1497</c:v>
                </c:pt>
                <c:pt idx="40">
                  <c:v>1731</c:v>
                </c:pt>
                <c:pt idx="41">
                  <c:v>1524</c:v>
                </c:pt>
              </c:numCache>
            </c:numRef>
          </c:val>
        </c:ser>
        <c:ser>
          <c:idx val="4"/>
          <c:order val="4"/>
          <c:tx>
            <c:strRef>
              <c:f>地域別四半期!H2</c:f>
              <c:strCache>
                <c:ptCount val="1"/>
                <c:pt idx="0">
                  <c:v>台湾</c:v>
                </c:pt>
              </c:strCache>
            </c:strRef>
          </c:tx>
          <c:spPr>
            <a:solidFill>
              <a:srgbClr val="eb683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地域別四半期!$H$3:$H$44</c:f>
              <c:numCache>
                <c:formatCode>#,##0</c:formatCode>
                <c:ptCount val="42"/>
                <c:pt idx="0">
                  <c:v>425</c:v>
                </c:pt>
                <c:pt idx="1">
                  <c:v>305</c:v>
                </c:pt>
                <c:pt idx="2">
                  <c:v>582</c:v>
                </c:pt>
                <c:pt idx="3">
                  <c:v>623</c:v>
                </c:pt>
                <c:pt idx="4">
                  <c:v>747</c:v>
                </c:pt>
                <c:pt idx="5">
                  <c:v>458</c:v>
                </c:pt>
                <c:pt idx="6">
                  <c:v>366</c:v>
                </c:pt>
                <c:pt idx="7">
                  <c:v>421</c:v>
                </c:pt>
                <c:pt idx="8">
                  <c:v>443</c:v>
                </c:pt>
                <c:pt idx="9">
                  <c:v>263</c:v>
                </c:pt>
                <c:pt idx="10">
                  <c:v>480</c:v>
                </c:pt>
                <c:pt idx="11">
                  <c:v>293</c:v>
                </c:pt>
                <c:pt idx="12">
                  <c:v>591</c:v>
                </c:pt>
                <c:pt idx="13">
                  <c:v>483</c:v>
                </c:pt>
                <c:pt idx="14">
                  <c:v>487</c:v>
                </c:pt>
                <c:pt idx="15">
                  <c:v>762</c:v>
                </c:pt>
                <c:pt idx="16">
                  <c:v>831</c:v>
                </c:pt>
                <c:pt idx="17">
                  <c:v>509</c:v>
                </c:pt>
                <c:pt idx="18">
                  <c:v>539</c:v>
                </c:pt>
                <c:pt idx="19">
                  <c:v>525</c:v>
                </c:pt>
                <c:pt idx="20">
                  <c:v>882</c:v>
                </c:pt>
                <c:pt idx="21">
                  <c:v>628</c:v>
                </c:pt>
                <c:pt idx="22">
                  <c:v>1025</c:v>
                </c:pt>
                <c:pt idx="23">
                  <c:v>874</c:v>
                </c:pt>
                <c:pt idx="24">
                  <c:v>1063</c:v>
                </c:pt>
                <c:pt idx="25">
                  <c:v>968</c:v>
                </c:pt>
                <c:pt idx="26">
                  <c:v>1338</c:v>
                </c:pt>
                <c:pt idx="27">
                  <c:v>1101</c:v>
                </c:pt>
                <c:pt idx="28">
                  <c:v>794</c:v>
                </c:pt>
                <c:pt idx="29">
                  <c:v>639</c:v>
                </c:pt>
                <c:pt idx="30">
                  <c:v>399</c:v>
                </c:pt>
                <c:pt idx="31">
                  <c:v>463</c:v>
                </c:pt>
                <c:pt idx="32">
                  <c:v>552</c:v>
                </c:pt>
                <c:pt idx="33">
                  <c:v>800</c:v>
                </c:pt>
                <c:pt idx="34">
                  <c:v>753</c:v>
                </c:pt>
                <c:pt idx="35">
                  <c:v>1193</c:v>
                </c:pt>
                <c:pt idx="36">
                  <c:v>1358</c:v>
                </c:pt>
                <c:pt idx="37">
                  <c:v>1115</c:v>
                </c:pt>
                <c:pt idx="38">
                  <c:v>1197</c:v>
                </c:pt>
                <c:pt idx="39">
                  <c:v>1119</c:v>
                </c:pt>
                <c:pt idx="40">
                  <c:v>1565</c:v>
                </c:pt>
                <c:pt idx="41">
                  <c:v>1861</c:v>
                </c:pt>
              </c:numCache>
            </c:numRef>
          </c:val>
        </c:ser>
        <c:ser>
          <c:idx val="5"/>
          <c:order val="5"/>
          <c:tx>
            <c:strRef>
              <c:f>地域別四半期!I2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1baf7a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地域別四半期!$I$3:$I$44</c:f>
              <c:numCache>
                <c:formatCode>#,##0</c:formatCode>
                <c:ptCount val="42"/>
                <c:pt idx="0">
                  <c:v>152</c:v>
                </c:pt>
                <c:pt idx="1">
                  <c:v>300</c:v>
                </c:pt>
                <c:pt idx="2">
                  <c:v>240</c:v>
                </c:pt>
                <c:pt idx="3">
                  <c:v>137</c:v>
                </c:pt>
                <c:pt idx="4">
                  <c:v>227</c:v>
                </c:pt>
                <c:pt idx="5">
                  <c:v>267</c:v>
                </c:pt>
                <c:pt idx="6">
                  <c:v>230</c:v>
                </c:pt>
                <c:pt idx="7">
                  <c:v>226</c:v>
                </c:pt>
                <c:pt idx="8">
                  <c:v>318</c:v>
                </c:pt>
                <c:pt idx="9">
                  <c:v>549</c:v>
                </c:pt>
                <c:pt idx="10">
                  <c:v>713</c:v>
                </c:pt>
                <c:pt idx="11">
                  <c:v>380</c:v>
                </c:pt>
                <c:pt idx="12">
                  <c:v>425</c:v>
                </c:pt>
                <c:pt idx="13">
                  <c:v>270</c:v>
                </c:pt>
                <c:pt idx="14">
                  <c:v>568</c:v>
                </c:pt>
                <c:pt idx="15">
                  <c:v>591</c:v>
                </c:pt>
                <c:pt idx="16">
                  <c:v>506</c:v>
                </c:pt>
                <c:pt idx="17">
                  <c:v>739</c:v>
                </c:pt>
                <c:pt idx="18">
                  <c:v>791</c:v>
                </c:pt>
                <c:pt idx="19">
                  <c:v>705</c:v>
                </c:pt>
                <c:pt idx="20">
                  <c:v>1022</c:v>
                </c:pt>
                <c:pt idx="21">
                  <c:v>1536</c:v>
                </c:pt>
                <c:pt idx="22">
                  <c:v>1088</c:v>
                </c:pt>
                <c:pt idx="23">
                  <c:v>1322</c:v>
                </c:pt>
                <c:pt idx="24">
                  <c:v>1188</c:v>
                </c:pt>
                <c:pt idx="25">
                  <c:v>940</c:v>
                </c:pt>
                <c:pt idx="26">
                  <c:v>1686</c:v>
                </c:pt>
                <c:pt idx="27">
                  <c:v>1027</c:v>
                </c:pt>
                <c:pt idx="28">
                  <c:v>1312</c:v>
                </c:pt>
                <c:pt idx="29">
                  <c:v>1539</c:v>
                </c:pt>
                <c:pt idx="30">
                  <c:v>1829</c:v>
                </c:pt>
                <c:pt idx="31">
                  <c:v>2172</c:v>
                </c:pt>
                <c:pt idx="32">
                  <c:v>2591</c:v>
                </c:pt>
                <c:pt idx="33">
                  <c:v>2770</c:v>
                </c:pt>
                <c:pt idx="34">
                  <c:v>2339</c:v>
                </c:pt>
                <c:pt idx="35">
                  <c:v>2794</c:v>
                </c:pt>
                <c:pt idx="36">
                  <c:v>2246</c:v>
                </c:pt>
                <c:pt idx="37">
                  <c:v>2121</c:v>
                </c:pt>
                <c:pt idx="38">
                  <c:v>2541</c:v>
                </c:pt>
                <c:pt idx="39">
                  <c:v>1755</c:v>
                </c:pt>
                <c:pt idx="40">
                  <c:v>1907</c:v>
                </c:pt>
                <c:pt idx="41">
                  <c:v>2229</c:v>
                </c:pt>
              </c:numCache>
            </c:numRef>
          </c:val>
        </c:ser>
        <c:ser>
          <c:idx val="6"/>
          <c:order val="6"/>
          <c:tx>
            <c:strRef>
              <c:f>地域別四半期!J2</c:f>
              <c:strCache>
                <c:ptCount val="1"/>
                <c:pt idx="0">
                  <c:v>東南アジア・その他</c:v>
                </c:pt>
              </c:strCache>
            </c:strRef>
          </c:tx>
          <c:spPr>
            <a:solidFill>
              <a:srgbClr val="8c8c88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地域別四半期!$J$3:$J$44</c:f>
              <c:numCache>
                <c:formatCode>#,##0</c:formatCode>
                <c:ptCount val="42"/>
                <c:pt idx="0">
                  <c:v>50</c:v>
                </c:pt>
                <c:pt idx="1">
                  <c:v>103</c:v>
                </c:pt>
                <c:pt idx="2">
                  <c:v>173</c:v>
                </c:pt>
                <c:pt idx="3">
                  <c:v>98</c:v>
                </c:pt>
                <c:pt idx="4">
                  <c:v>53</c:v>
                </c:pt>
                <c:pt idx="5">
                  <c:v>46</c:v>
                </c:pt>
                <c:pt idx="6">
                  <c:v>67</c:v>
                </c:pt>
                <c:pt idx="7">
                  <c:v>132</c:v>
                </c:pt>
                <c:pt idx="8">
                  <c:v>234</c:v>
                </c:pt>
                <c:pt idx="9">
                  <c:v>127</c:v>
                </c:pt>
                <c:pt idx="10">
                  <c:v>168</c:v>
                </c:pt>
                <c:pt idx="11">
                  <c:v>156</c:v>
                </c:pt>
                <c:pt idx="12">
                  <c:v>152</c:v>
                </c:pt>
                <c:pt idx="13">
                  <c:v>44</c:v>
                </c:pt>
                <c:pt idx="14">
                  <c:v>155</c:v>
                </c:pt>
                <c:pt idx="15">
                  <c:v>77</c:v>
                </c:pt>
                <c:pt idx="16">
                  <c:v>77</c:v>
                </c:pt>
                <c:pt idx="17">
                  <c:v>46</c:v>
                </c:pt>
                <c:pt idx="18">
                  <c:v>92</c:v>
                </c:pt>
                <c:pt idx="19">
                  <c:v>184</c:v>
                </c:pt>
                <c:pt idx="20">
                  <c:v>200</c:v>
                </c:pt>
                <c:pt idx="21">
                  <c:v>138</c:v>
                </c:pt>
                <c:pt idx="22">
                  <c:v>267</c:v>
                </c:pt>
                <c:pt idx="23">
                  <c:v>189</c:v>
                </c:pt>
                <c:pt idx="24">
                  <c:v>287</c:v>
                </c:pt>
                <c:pt idx="25">
                  <c:v>220</c:v>
                </c:pt>
                <c:pt idx="26">
                  <c:v>525</c:v>
                </c:pt>
                <c:pt idx="27">
                  <c:v>211</c:v>
                </c:pt>
                <c:pt idx="28">
                  <c:v>258</c:v>
                </c:pt>
                <c:pt idx="29">
                  <c:v>92</c:v>
                </c:pt>
                <c:pt idx="30">
                  <c:v>151</c:v>
                </c:pt>
                <c:pt idx="31">
                  <c:v>127</c:v>
                </c:pt>
                <c:pt idx="32">
                  <c:v>175</c:v>
                </c:pt>
                <c:pt idx="33">
                  <c:v>170</c:v>
                </c:pt>
                <c:pt idx="34">
                  <c:v>212</c:v>
                </c:pt>
                <c:pt idx="35">
                  <c:v>223</c:v>
                </c:pt>
                <c:pt idx="36">
                  <c:v>278</c:v>
                </c:pt>
                <c:pt idx="37">
                  <c:v>156</c:v>
                </c:pt>
                <c:pt idx="38">
                  <c:v>213</c:v>
                </c:pt>
                <c:pt idx="39">
                  <c:v>348</c:v>
                </c:pt>
                <c:pt idx="40">
                  <c:v>221</c:v>
                </c:pt>
                <c:pt idx="41">
                  <c:v>229</c:v>
                </c:pt>
              </c:numCache>
            </c:numRef>
          </c:val>
        </c:ser>
        <c:gapWidth val="30"/>
        <c:overlap val="100"/>
        <c:axId val="59820874"/>
        <c:axId val="9906257"/>
      </c:barChart>
      <c:catAx>
        <c:axId val="59820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6257"/>
        <c:crosses val="autoZero"/>
        <c:auto val="1"/>
        <c:lblAlgn val="ctr"/>
        <c:lblOffset val="100"/>
        <c:noMultiLvlLbl val="0"/>
      </c:catAx>
      <c:valAx>
        <c:axId val="9906257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構成比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208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海外売上（合計－日本）と日本向け売上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地域別四半期!L2</c:f>
              <c:strCache>
                <c:ptCount val="1"/>
                <c:pt idx="0">
                  <c:v>海外（合計－日本）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地域別四半期!$L$3:$L$44</c:f>
              <c:numCache>
                <c:formatCode>#,##0</c:formatCode>
                <c:ptCount val="42"/>
                <c:pt idx="0">
                  <c:v>1228</c:v>
                </c:pt>
                <c:pt idx="1">
                  <c:v>1128</c:v>
                </c:pt>
                <c:pt idx="2">
                  <c:v>1695</c:v>
                </c:pt>
                <c:pt idx="3">
                  <c:v>1587</c:v>
                </c:pt>
                <c:pt idx="4">
                  <c:v>2165</c:v>
                </c:pt>
                <c:pt idx="5">
                  <c:v>1947</c:v>
                </c:pt>
                <c:pt idx="6">
                  <c:v>2269</c:v>
                </c:pt>
                <c:pt idx="7">
                  <c:v>2060</c:v>
                </c:pt>
                <c:pt idx="8">
                  <c:v>2807</c:v>
                </c:pt>
                <c:pt idx="9">
                  <c:v>2289</c:v>
                </c:pt>
                <c:pt idx="10">
                  <c:v>2998</c:v>
                </c:pt>
                <c:pt idx="11">
                  <c:v>1851</c:v>
                </c:pt>
                <c:pt idx="12">
                  <c:v>2457</c:v>
                </c:pt>
                <c:pt idx="13">
                  <c:v>1653</c:v>
                </c:pt>
                <c:pt idx="14">
                  <c:v>2306</c:v>
                </c:pt>
                <c:pt idx="15">
                  <c:v>2458</c:v>
                </c:pt>
                <c:pt idx="16">
                  <c:v>2590</c:v>
                </c:pt>
                <c:pt idx="17">
                  <c:v>2544</c:v>
                </c:pt>
                <c:pt idx="18">
                  <c:v>2746</c:v>
                </c:pt>
                <c:pt idx="19">
                  <c:v>2279</c:v>
                </c:pt>
                <c:pt idx="20">
                  <c:v>3616</c:v>
                </c:pt>
                <c:pt idx="21">
                  <c:v>3828</c:v>
                </c:pt>
                <c:pt idx="22">
                  <c:v>4136</c:v>
                </c:pt>
                <c:pt idx="23">
                  <c:v>4253</c:v>
                </c:pt>
                <c:pt idx="24">
                  <c:v>4921</c:v>
                </c:pt>
                <c:pt idx="25">
                  <c:v>4217</c:v>
                </c:pt>
                <c:pt idx="26">
                  <c:v>5983</c:v>
                </c:pt>
                <c:pt idx="27">
                  <c:v>4103</c:v>
                </c:pt>
                <c:pt idx="28">
                  <c:v>4854</c:v>
                </c:pt>
                <c:pt idx="29">
                  <c:v>3619</c:v>
                </c:pt>
                <c:pt idx="30">
                  <c:v>3862</c:v>
                </c:pt>
                <c:pt idx="31">
                  <c:v>4059</c:v>
                </c:pt>
                <c:pt idx="32">
                  <c:v>4902</c:v>
                </c:pt>
                <c:pt idx="33">
                  <c:v>5163</c:v>
                </c:pt>
                <c:pt idx="34">
                  <c:v>5136</c:v>
                </c:pt>
                <c:pt idx="35">
                  <c:v>6089</c:v>
                </c:pt>
                <c:pt idx="36">
                  <c:v>6017</c:v>
                </c:pt>
                <c:pt idx="37">
                  <c:v>4849</c:v>
                </c:pt>
                <c:pt idx="38">
                  <c:v>5768</c:v>
                </c:pt>
                <c:pt idx="39">
                  <c:v>5124</c:v>
                </c:pt>
                <c:pt idx="40">
                  <c:v>6288</c:v>
                </c:pt>
                <c:pt idx="41">
                  <c:v>6675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地域別四半期!D2</c:f>
              <c:strCache>
                <c:ptCount val="1"/>
                <c:pt idx="0">
                  <c:v>日本</c:v>
                </c:pt>
              </c:strCache>
            </c:strRef>
          </c:tx>
          <c:spPr>
            <a:solidFill>
              <a:srgbClr val="4a3aa7"/>
            </a:solidFill>
            <a:ln w="22320">
              <a:solidFill>
                <a:srgbClr val="4a3a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地域別四半期!$D$3:$D$44</c:f>
              <c:numCache>
                <c:formatCode>#,##0</c:formatCode>
                <c:ptCount val="42"/>
                <c:pt idx="0">
                  <c:v>264</c:v>
                </c:pt>
                <c:pt idx="1">
                  <c:v>178</c:v>
                </c:pt>
                <c:pt idx="2">
                  <c:v>264</c:v>
                </c:pt>
                <c:pt idx="3">
                  <c:v>203</c:v>
                </c:pt>
                <c:pt idx="4">
                  <c:v>266</c:v>
                </c:pt>
                <c:pt idx="5">
                  <c:v>267</c:v>
                </c:pt>
                <c:pt idx="6">
                  <c:v>384</c:v>
                </c:pt>
                <c:pt idx="7">
                  <c:v>351</c:v>
                </c:pt>
                <c:pt idx="8">
                  <c:v>451</c:v>
                </c:pt>
                <c:pt idx="9">
                  <c:v>511</c:v>
                </c:pt>
                <c:pt idx="10">
                  <c:v>580</c:v>
                </c:pt>
                <c:pt idx="11">
                  <c:v>540</c:v>
                </c:pt>
                <c:pt idx="12">
                  <c:v>427</c:v>
                </c:pt>
                <c:pt idx="13">
                  <c:v>325</c:v>
                </c:pt>
                <c:pt idx="14">
                  <c:v>410</c:v>
                </c:pt>
                <c:pt idx="15">
                  <c:v>359</c:v>
                </c:pt>
                <c:pt idx="16">
                  <c:v>496</c:v>
                </c:pt>
                <c:pt idx="17">
                  <c:v>491</c:v>
                </c:pt>
                <c:pt idx="18">
                  <c:v>568</c:v>
                </c:pt>
                <c:pt idx="19">
                  <c:v>361</c:v>
                </c:pt>
                <c:pt idx="20">
                  <c:v>536</c:v>
                </c:pt>
                <c:pt idx="21">
                  <c:v>548</c:v>
                </c:pt>
                <c:pt idx="22">
                  <c:v>539</c:v>
                </c:pt>
                <c:pt idx="23">
                  <c:v>631</c:v>
                </c:pt>
                <c:pt idx="24">
                  <c:v>569</c:v>
                </c:pt>
                <c:pt idx="25">
                  <c:v>420</c:v>
                </c:pt>
                <c:pt idx="26">
                  <c:v>905</c:v>
                </c:pt>
                <c:pt idx="27">
                  <c:v>482</c:v>
                </c:pt>
                <c:pt idx="28">
                  <c:v>576</c:v>
                </c:pt>
                <c:pt idx="29">
                  <c:v>295</c:v>
                </c:pt>
                <c:pt idx="30">
                  <c:v>412</c:v>
                </c:pt>
                <c:pt idx="31">
                  <c:v>574</c:v>
                </c:pt>
                <c:pt idx="32">
                  <c:v>567</c:v>
                </c:pt>
                <c:pt idx="33">
                  <c:v>385</c:v>
                </c:pt>
                <c:pt idx="34">
                  <c:v>526</c:v>
                </c:pt>
                <c:pt idx="35">
                  <c:v>453</c:v>
                </c:pt>
                <c:pt idx="36">
                  <c:v>534</c:v>
                </c:pt>
                <c:pt idx="37">
                  <c:v>643</c:v>
                </c:pt>
                <c:pt idx="38">
                  <c:v>529</c:v>
                </c:pt>
                <c:pt idx="39">
                  <c:v>393</c:v>
                </c:pt>
                <c:pt idx="40">
                  <c:v>828</c:v>
                </c:pt>
                <c:pt idx="41">
                  <c:v>646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013363"/>
        <c:axId val="80905279"/>
      </c:lineChart>
      <c:catAx>
        <c:axId val="16013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05279"/>
        <c:crosses val="autoZero"/>
        <c:auto val="1"/>
        <c:lblAlgn val="ctr"/>
        <c:lblOffset val="100"/>
        <c:noMultiLvlLbl val="0"/>
      </c:catAx>
      <c:valAx>
        <c:axId val="80905279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133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主要3地域の売上（韓国・台湾・中国）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地域別四半期!G2</c:f>
              <c:strCache>
                <c:ptCount val="1"/>
                <c:pt idx="0">
                  <c:v>韓国</c:v>
                </c:pt>
              </c:strCache>
            </c:strRef>
          </c:tx>
          <c:spPr>
            <a:solidFill>
              <a:srgbClr val="2a78d6"/>
            </a:solidFill>
            <a:ln w="223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地域別四半期!$G$3:$G$44</c:f>
              <c:numCache>
                <c:formatCode>#,##0</c:formatCode>
                <c:ptCount val="42"/>
                <c:pt idx="0">
                  <c:v>309</c:v>
                </c:pt>
                <c:pt idx="1">
                  <c:v>198</c:v>
                </c:pt>
                <c:pt idx="2">
                  <c:v>290</c:v>
                </c:pt>
                <c:pt idx="3">
                  <c:v>333</c:v>
                </c:pt>
                <c:pt idx="4">
                  <c:v>555</c:v>
                </c:pt>
                <c:pt idx="5">
                  <c:v>683</c:v>
                </c:pt>
                <c:pt idx="6">
                  <c:v>1017</c:v>
                </c:pt>
                <c:pt idx="7">
                  <c:v>794</c:v>
                </c:pt>
                <c:pt idx="8">
                  <c:v>1223</c:v>
                </c:pt>
                <c:pt idx="9">
                  <c:v>889</c:v>
                </c:pt>
                <c:pt idx="10">
                  <c:v>865</c:v>
                </c:pt>
                <c:pt idx="11">
                  <c:v>609</c:v>
                </c:pt>
                <c:pt idx="12">
                  <c:v>689</c:v>
                </c:pt>
                <c:pt idx="13">
                  <c:v>369</c:v>
                </c:pt>
                <c:pt idx="14">
                  <c:v>364</c:v>
                </c:pt>
                <c:pt idx="15">
                  <c:v>310</c:v>
                </c:pt>
                <c:pt idx="16">
                  <c:v>471</c:v>
                </c:pt>
                <c:pt idx="17">
                  <c:v>670</c:v>
                </c:pt>
                <c:pt idx="18">
                  <c:v>721</c:v>
                </c:pt>
                <c:pt idx="19">
                  <c:v>393</c:v>
                </c:pt>
                <c:pt idx="20">
                  <c:v>1014</c:v>
                </c:pt>
                <c:pt idx="21">
                  <c:v>953</c:v>
                </c:pt>
                <c:pt idx="22">
                  <c:v>935</c:v>
                </c:pt>
                <c:pt idx="23">
                  <c:v>930</c:v>
                </c:pt>
                <c:pt idx="24">
                  <c:v>959</c:v>
                </c:pt>
                <c:pt idx="25">
                  <c:v>851</c:v>
                </c:pt>
                <c:pt idx="26">
                  <c:v>842</c:v>
                </c:pt>
                <c:pt idx="27">
                  <c:v>754</c:v>
                </c:pt>
                <c:pt idx="28">
                  <c:v>1047</c:v>
                </c:pt>
                <c:pt idx="29">
                  <c:v>767</c:v>
                </c:pt>
                <c:pt idx="30">
                  <c:v>674</c:v>
                </c:pt>
                <c:pt idx="31">
                  <c:v>582</c:v>
                </c:pt>
                <c:pt idx="32">
                  <c:v>820</c:v>
                </c:pt>
                <c:pt idx="33">
                  <c:v>678</c:v>
                </c:pt>
                <c:pt idx="34">
                  <c:v>795</c:v>
                </c:pt>
                <c:pt idx="35">
                  <c:v>1145</c:v>
                </c:pt>
                <c:pt idx="36">
                  <c:v>1470</c:v>
                </c:pt>
                <c:pt idx="37">
                  <c:v>883</c:v>
                </c:pt>
                <c:pt idx="38">
                  <c:v>1325</c:v>
                </c:pt>
                <c:pt idx="39">
                  <c:v>1497</c:v>
                </c:pt>
                <c:pt idx="40">
                  <c:v>1731</c:v>
                </c:pt>
                <c:pt idx="41">
                  <c:v>1524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地域別四半期!H2</c:f>
              <c:strCache>
                <c:ptCount val="1"/>
                <c:pt idx="0">
                  <c:v>台湾</c:v>
                </c:pt>
              </c:strCache>
            </c:strRef>
          </c:tx>
          <c:spPr>
            <a:solidFill>
              <a:srgbClr val="eb6834"/>
            </a:solidFill>
            <a:ln w="223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地域別四半期!$H$3:$H$44</c:f>
              <c:numCache>
                <c:formatCode>#,##0</c:formatCode>
                <c:ptCount val="42"/>
                <c:pt idx="0">
                  <c:v>425</c:v>
                </c:pt>
                <c:pt idx="1">
                  <c:v>305</c:v>
                </c:pt>
                <c:pt idx="2">
                  <c:v>582</c:v>
                </c:pt>
                <c:pt idx="3">
                  <c:v>623</c:v>
                </c:pt>
                <c:pt idx="4">
                  <c:v>747</c:v>
                </c:pt>
                <c:pt idx="5">
                  <c:v>458</c:v>
                </c:pt>
                <c:pt idx="6">
                  <c:v>366</c:v>
                </c:pt>
                <c:pt idx="7">
                  <c:v>421</c:v>
                </c:pt>
                <c:pt idx="8">
                  <c:v>443</c:v>
                </c:pt>
                <c:pt idx="9">
                  <c:v>263</c:v>
                </c:pt>
                <c:pt idx="10">
                  <c:v>480</c:v>
                </c:pt>
                <c:pt idx="11">
                  <c:v>293</c:v>
                </c:pt>
                <c:pt idx="12">
                  <c:v>591</c:v>
                </c:pt>
                <c:pt idx="13">
                  <c:v>483</c:v>
                </c:pt>
                <c:pt idx="14">
                  <c:v>487</c:v>
                </c:pt>
                <c:pt idx="15">
                  <c:v>762</c:v>
                </c:pt>
                <c:pt idx="16">
                  <c:v>831</c:v>
                </c:pt>
                <c:pt idx="17">
                  <c:v>509</c:v>
                </c:pt>
                <c:pt idx="18">
                  <c:v>539</c:v>
                </c:pt>
                <c:pt idx="19">
                  <c:v>525</c:v>
                </c:pt>
                <c:pt idx="20">
                  <c:v>882</c:v>
                </c:pt>
                <c:pt idx="21">
                  <c:v>628</c:v>
                </c:pt>
                <c:pt idx="22">
                  <c:v>1025</c:v>
                </c:pt>
                <c:pt idx="23">
                  <c:v>874</c:v>
                </c:pt>
                <c:pt idx="24">
                  <c:v>1063</c:v>
                </c:pt>
                <c:pt idx="25">
                  <c:v>968</c:v>
                </c:pt>
                <c:pt idx="26">
                  <c:v>1338</c:v>
                </c:pt>
                <c:pt idx="27">
                  <c:v>1101</c:v>
                </c:pt>
                <c:pt idx="28">
                  <c:v>794</c:v>
                </c:pt>
                <c:pt idx="29">
                  <c:v>639</c:v>
                </c:pt>
                <c:pt idx="30">
                  <c:v>399</c:v>
                </c:pt>
                <c:pt idx="31">
                  <c:v>463</c:v>
                </c:pt>
                <c:pt idx="32">
                  <c:v>552</c:v>
                </c:pt>
                <c:pt idx="33">
                  <c:v>800</c:v>
                </c:pt>
                <c:pt idx="34">
                  <c:v>753</c:v>
                </c:pt>
                <c:pt idx="35">
                  <c:v>1193</c:v>
                </c:pt>
                <c:pt idx="36">
                  <c:v>1358</c:v>
                </c:pt>
                <c:pt idx="37">
                  <c:v>1115</c:v>
                </c:pt>
                <c:pt idx="38">
                  <c:v>1197</c:v>
                </c:pt>
                <c:pt idx="39">
                  <c:v>1119</c:v>
                </c:pt>
                <c:pt idx="40">
                  <c:v>1565</c:v>
                </c:pt>
                <c:pt idx="41">
                  <c:v>1861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地域別四半期!I2</c:f>
              <c:strCache>
                <c:ptCount val="1"/>
                <c:pt idx="0">
                  <c:v>中国</c:v>
                </c:pt>
              </c:strCache>
            </c:strRef>
          </c:tx>
          <c:spPr>
            <a:solidFill>
              <a:srgbClr val="1baf7a"/>
            </a:solidFill>
            <a:ln w="2232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地域別四半期!$A$3:$A$44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地域別四半期!$I$3:$I$44</c:f>
              <c:numCache>
                <c:formatCode>#,##0</c:formatCode>
                <c:ptCount val="42"/>
                <c:pt idx="0">
                  <c:v>152</c:v>
                </c:pt>
                <c:pt idx="1">
                  <c:v>300</c:v>
                </c:pt>
                <c:pt idx="2">
                  <c:v>240</c:v>
                </c:pt>
                <c:pt idx="3">
                  <c:v>137</c:v>
                </c:pt>
                <c:pt idx="4">
                  <c:v>227</c:v>
                </c:pt>
                <c:pt idx="5">
                  <c:v>267</c:v>
                </c:pt>
                <c:pt idx="6">
                  <c:v>230</c:v>
                </c:pt>
                <c:pt idx="7">
                  <c:v>226</c:v>
                </c:pt>
                <c:pt idx="8">
                  <c:v>318</c:v>
                </c:pt>
                <c:pt idx="9">
                  <c:v>549</c:v>
                </c:pt>
                <c:pt idx="10">
                  <c:v>713</c:v>
                </c:pt>
                <c:pt idx="11">
                  <c:v>380</c:v>
                </c:pt>
                <c:pt idx="12">
                  <c:v>425</c:v>
                </c:pt>
                <c:pt idx="13">
                  <c:v>270</c:v>
                </c:pt>
                <c:pt idx="14">
                  <c:v>568</c:v>
                </c:pt>
                <c:pt idx="15">
                  <c:v>591</c:v>
                </c:pt>
                <c:pt idx="16">
                  <c:v>506</c:v>
                </c:pt>
                <c:pt idx="17">
                  <c:v>739</c:v>
                </c:pt>
                <c:pt idx="18">
                  <c:v>791</c:v>
                </c:pt>
                <c:pt idx="19">
                  <c:v>705</c:v>
                </c:pt>
                <c:pt idx="20">
                  <c:v>1022</c:v>
                </c:pt>
                <c:pt idx="21">
                  <c:v>1536</c:v>
                </c:pt>
                <c:pt idx="22">
                  <c:v>1088</c:v>
                </c:pt>
                <c:pt idx="23">
                  <c:v>1322</c:v>
                </c:pt>
                <c:pt idx="24">
                  <c:v>1188</c:v>
                </c:pt>
                <c:pt idx="25">
                  <c:v>940</c:v>
                </c:pt>
                <c:pt idx="26">
                  <c:v>1686</c:v>
                </c:pt>
                <c:pt idx="27">
                  <c:v>1027</c:v>
                </c:pt>
                <c:pt idx="28">
                  <c:v>1312</c:v>
                </c:pt>
                <c:pt idx="29">
                  <c:v>1539</c:v>
                </c:pt>
                <c:pt idx="30">
                  <c:v>1829</c:v>
                </c:pt>
                <c:pt idx="31">
                  <c:v>2172</c:v>
                </c:pt>
                <c:pt idx="32">
                  <c:v>2591</c:v>
                </c:pt>
                <c:pt idx="33">
                  <c:v>2770</c:v>
                </c:pt>
                <c:pt idx="34">
                  <c:v>2339</c:v>
                </c:pt>
                <c:pt idx="35">
                  <c:v>2794</c:v>
                </c:pt>
                <c:pt idx="36">
                  <c:v>2246</c:v>
                </c:pt>
                <c:pt idx="37">
                  <c:v>2121</c:v>
                </c:pt>
                <c:pt idx="38">
                  <c:v>2541</c:v>
                </c:pt>
                <c:pt idx="39">
                  <c:v>1755</c:v>
                </c:pt>
                <c:pt idx="40">
                  <c:v>1907</c:v>
                </c:pt>
                <c:pt idx="41">
                  <c:v>2229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050069"/>
        <c:axId val="19123593"/>
      </c:lineChart>
      <c:catAx>
        <c:axId val="28050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23593"/>
        <c:crosses val="autoZero"/>
        <c:auto val="1"/>
        <c:lblAlgn val="ctr"/>
        <c:lblOffset val="100"/>
        <c:noMultiLvlLbl val="0"/>
      </c:catAx>
      <c:valAx>
        <c:axId val="19123593"/>
        <c:scaling>
          <c:orientation val="minMax"/>
        </c:scaling>
        <c:delete val="0"/>
        <c:axPos val="l"/>
        <c:majorGridlines>
          <c:spPr>
            <a:ln w="6480">
              <a:solidFill>
                <a:srgbClr val="e3e3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億円/四半期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500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134640</xdr:rowOff>
    </xdr:from>
    <xdr:to>
      <xdr:col>10</xdr:col>
      <xdr:colOff>364680</xdr:colOff>
      <xdr:row>18</xdr:row>
      <xdr:rowOff>135720</xdr:rowOff>
    </xdr:to>
    <xdr:graphicFrame>
      <xdr:nvGraphicFramePr>
        <xdr:cNvPr id="0" name="Chart 1"/>
        <xdr:cNvGraphicFramePr/>
      </xdr:nvGraphicFramePr>
      <xdr:xfrm>
        <a:off x="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134640</xdr:rowOff>
    </xdr:from>
    <xdr:to>
      <xdr:col>20</xdr:col>
      <xdr:colOff>364320</xdr:colOff>
      <xdr:row>18</xdr:row>
      <xdr:rowOff>135720</xdr:rowOff>
    </xdr:to>
    <xdr:graphicFrame>
      <xdr:nvGraphicFramePr>
        <xdr:cNvPr id="1" name="Chart 2"/>
        <xdr:cNvGraphicFramePr/>
      </xdr:nvGraphicFramePr>
      <xdr:xfrm>
        <a:off x="61149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134640</xdr:rowOff>
    </xdr:from>
    <xdr:to>
      <xdr:col>10</xdr:col>
      <xdr:colOff>364680</xdr:colOff>
      <xdr:row>38</xdr:row>
      <xdr:rowOff>135720</xdr:rowOff>
    </xdr:to>
    <xdr:graphicFrame>
      <xdr:nvGraphicFramePr>
        <xdr:cNvPr id="2" name="Chart 3"/>
        <xdr:cNvGraphicFramePr/>
      </xdr:nvGraphicFramePr>
      <xdr:xfrm>
        <a:off x="0" y="4191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134640</xdr:rowOff>
    </xdr:from>
    <xdr:to>
      <xdr:col>20</xdr:col>
      <xdr:colOff>364320</xdr:colOff>
      <xdr:row>38</xdr:row>
      <xdr:rowOff>135720</xdr:rowOff>
    </xdr:to>
    <xdr:graphicFrame>
      <xdr:nvGraphicFramePr>
        <xdr:cNvPr id="3" name="Chart 4"/>
        <xdr:cNvGraphicFramePr/>
      </xdr:nvGraphicFramePr>
      <xdr:xfrm>
        <a:off x="6114960" y="4191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0</v>
      </c>
      <c r="B1" s="3" t="s">
        <v>1</v>
      </c>
    </row>
    <row r="2" customFormat="false" ht="15" hidden="false" customHeight="true" outlineLevel="0" collapsed="false">
      <c r="A2" s="2" t="s">
        <v>2</v>
      </c>
      <c r="B2" s="4" t="s">
        <v>3</v>
      </c>
    </row>
    <row r="3" customFormat="false" ht="29.25" hidden="false" customHeight="true" outlineLevel="0" collapsed="false">
      <c r="A3" s="2" t="s">
        <v>4</v>
      </c>
      <c r="B3" s="3" t="s">
        <v>5</v>
      </c>
    </row>
    <row r="4" customFormat="false" ht="29.25" hidden="false" customHeight="true" outlineLevel="0" collapsed="false">
      <c r="A4" s="2" t="s">
        <v>6</v>
      </c>
      <c r="B4" s="3" t="s">
        <v>7</v>
      </c>
    </row>
    <row r="5" customFormat="false" ht="15" hidden="false" customHeight="true" outlineLevel="0" collapsed="false">
      <c r="A5" s="2" t="s">
        <v>8</v>
      </c>
      <c r="B5" s="3" t="s">
        <v>9</v>
      </c>
    </row>
    <row r="6" customFormat="false" ht="29.25" hidden="false" customHeight="true" outlineLevel="0" collapsed="false">
      <c r="A6" s="2" t="s">
        <v>10</v>
      </c>
      <c r="B6" s="3" t="s">
        <v>11</v>
      </c>
    </row>
    <row r="7" customFormat="false" ht="29.25" hidden="false" customHeight="true" outlineLevel="0" collapsed="false">
      <c r="A7" s="2" t="s">
        <v>12</v>
      </c>
      <c r="B7" s="4" t="s">
        <v>13</v>
      </c>
    </row>
    <row r="8" customFormat="false" ht="15" hidden="false" customHeight="true" outlineLevel="0" collapsed="false">
      <c r="A8" s="2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4" hidden="false" customHeight="false" outlineLevel="0" collapsed="false">
      <c r="A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9" min="4" style="1" width="8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4" min="12" style="1" width="12"/>
    <col collapsed="false" customWidth="true" hidden="false" outlineLevel="0" max="15" min="15" style="1" width="36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6" t="s">
        <v>17</v>
      </c>
    </row>
    <row r="2" customFormat="false" ht="29.25" hidden="false" customHeight="true" outlineLevel="0" collapsed="false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33</v>
      </c>
    </row>
    <row r="3" customFormat="false" ht="15" hidden="false" customHeight="true" outlineLevel="0" collapsed="false">
      <c r="A3" s="8" t="s">
        <v>34</v>
      </c>
      <c r="B3" s="8" t="s">
        <v>35</v>
      </c>
      <c r="C3" s="8" t="s">
        <v>36</v>
      </c>
      <c r="D3" s="9" t="n">
        <v>264</v>
      </c>
      <c r="E3" s="9" t="n">
        <v>197</v>
      </c>
      <c r="F3" s="9" t="n">
        <v>95</v>
      </c>
      <c r="G3" s="9" t="n">
        <v>309</v>
      </c>
      <c r="H3" s="9" t="n">
        <v>425</v>
      </c>
      <c r="I3" s="9" t="n">
        <v>152</v>
      </c>
      <c r="J3" s="9" t="n">
        <v>50</v>
      </c>
      <c r="K3" s="10" t="n">
        <f aca="false">SUM(D3:J3)</f>
        <v>1492</v>
      </c>
      <c r="L3" s="10" t="n">
        <f aca="false">K3-D3</f>
        <v>1228</v>
      </c>
      <c r="M3" s="9" t="n">
        <v>1642</v>
      </c>
      <c r="N3" s="10" t="n">
        <f aca="false">IF(M3="","",M3-K3)</f>
        <v>150</v>
      </c>
      <c r="O3" s="8" t="s">
        <v>37</v>
      </c>
      <c r="P3" s="8" t="s">
        <v>38</v>
      </c>
    </row>
    <row r="4" customFormat="false" ht="15" hidden="false" customHeight="true" outlineLevel="0" collapsed="false">
      <c r="A4" s="8" t="s">
        <v>39</v>
      </c>
      <c r="B4" s="8" t="s">
        <v>40</v>
      </c>
      <c r="C4" s="8" t="s">
        <v>36</v>
      </c>
      <c r="D4" s="9" t="n">
        <v>178</v>
      </c>
      <c r="E4" s="9" t="n">
        <v>170</v>
      </c>
      <c r="F4" s="9" t="n">
        <v>52</v>
      </c>
      <c r="G4" s="9" t="n">
        <v>198</v>
      </c>
      <c r="H4" s="9" t="n">
        <v>305</v>
      </c>
      <c r="I4" s="9" t="n">
        <v>300</v>
      </c>
      <c r="J4" s="9" t="n">
        <v>103</v>
      </c>
      <c r="K4" s="10" t="n">
        <f aca="false">SUM(D4:J4)</f>
        <v>1306</v>
      </c>
      <c r="L4" s="10" t="n">
        <f aca="false">K4-D4</f>
        <v>1128</v>
      </c>
      <c r="M4" s="9" t="n">
        <v>1479</v>
      </c>
      <c r="N4" s="10" t="n">
        <f aca="false">IF(M4="","",M4-K4)</f>
        <v>173</v>
      </c>
      <c r="O4" s="8" t="s">
        <v>41</v>
      </c>
      <c r="P4" s="8" t="s">
        <v>38</v>
      </c>
    </row>
    <row r="5" customFormat="false" ht="15" hidden="false" customHeight="true" outlineLevel="0" collapsed="false">
      <c r="A5" s="8" t="s">
        <v>42</v>
      </c>
      <c r="B5" s="8" t="s">
        <v>43</v>
      </c>
      <c r="C5" s="8" t="s">
        <v>36</v>
      </c>
      <c r="D5" s="9" t="n">
        <v>264</v>
      </c>
      <c r="E5" s="9" t="n">
        <v>344</v>
      </c>
      <c r="F5" s="9" t="n">
        <v>66</v>
      </c>
      <c r="G5" s="9" t="n">
        <v>290</v>
      </c>
      <c r="H5" s="9" t="n">
        <v>582</v>
      </c>
      <c r="I5" s="9" t="n">
        <v>240</v>
      </c>
      <c r="J5" s="9" t="n">
        <v>173</v>
      </c>
      <c r="K5" s="10" t="n">
        <f aca="false">SUM(D5:J5)</f>
        <v>1959</v>
      </c>
      <c r="L5" s="10" t="n">
        <f aca="false">K5-D5</f>
        <v>1695</v>
      </c>
      <c r="M5" s="9" t="n">
        <v>2047</v>
      </c>
      <c r="N5" s="10" t="n">
        <f aca="false">IF(M5="","",M5-K5)</f>
        <v>88</v>
      </c>
      <c r="O5" s="8" t="s">
        <v>41</v>
      </c>
      <c r="P5" s="8" t="s">
        <v>38</v>
      </c>
    </row>
    <row r="6" customFormat="false" ht="15" hidden="false" customHeight="true" outlineLevel="0" collapsed="false">
      <c r="A6" s="8" t="s">
        <v>44</v>
      </c>
      <c r="B6" s="8" t="s">
        <v>45</v>
      </c>
      <c r="C6" s="8" t="s">
        <v>36</v>
      </c>
      <c r="D6" s="9" t="n">
        <v>203</v>
      </c>
      <c r="E6" s="9" t="n">
        <v>246</v>
      </c>
      <c r="F6" s="9" t="n">
        <v>150</v>
      </c>
      <c r="G6" s="9" t="n">
        <v>333</v>
      </c>
      <c r="H6" s="9" t="n">
        <v>623</v>
      </c>
      <c r="I6" s="9" t="n">
        <v>137</v>
      </c>
      <c r="J6" s="9" t="n">
        <v>98</v>
      </c>
      <c r="K6" s="10" t="n">
        <f aca="false">SUM(D6:J6)</f>
        <v>1790</v>
      </c>
      <c r="L6" s="10" t="n">
        <f aca="false">K6-D6</f>
        <v>1587</v>
      </c>
      <c r="M6" s="9" t="n">
        <v>1863</v>
      </c>
      <c r="N6" s="10" t="n">
        <f aca="false">IF(M6="","",M6-K6)</f>
        <v>73</v>
      </c>
      <c r="O6" s="8" t="s">
        <v>41</v>
      </c>
      <c r="P6" s="8" t="s">
        <v>38</v>
      </c>
    </row>
    <row r="7" customFormat="false" ht="15" hidden="false" customHeight="true" outlineLevel="0" collapsed="false">
      <c r="A7" s="8" t="s">
        <v>46</v>
      </c>
      <c r="B7" s="8" t="s">
        <v>47</v>
      </c>
      <c r="C7" s="8" t="s">
        <v>36</v>
      </c>
      <c r="D7" s="9" t="n">
        <v>266</v>
      </c>
      <c r="E7" s="9" t="n">
        <v>254</v>
      </c>
      <c r="F7" s="9" t="n">
        <v>329</v>
      </c>
      <c r="G7" s="9" t="n">
        <v>555</v>
      </c>
      <c r="H7" s="9" t="n">
        <v>747</v>
      </c>
      <c r="I7" s="9" t="n">
        <v>227</v>
      </c>
      <c r="J7" s="9" t="n">
        <v>53</v>
      </c>
      <c r="K7" s="10" t="n">
        <f aca="false">SUM(D7:J7)</f>
        <v>2431</v>
      </c>
      <c r="L7" s="10" t="n">
        <f aca="false">K7-D7</f>
        <v>2165</v>
      </c>
      <c r="M7" s="9" t="n">
        <v>2606</v>
      </c>
      <c r="N7" s="10" t="n">
        <f aca="false">IF(M7="","",M7-K7)</f>
        <v>175</v>
      </c>
      <c r="O7" s="8" t="s">
        <v>41</v>
      </c>
      <c r="P7" s="8" t="s">
        <v>38</v>
      </c>
    </row>
    <row r="8" customFormat="false" ht="15" hidden="false" customHeight="true" outlineLevel="0" collapsed="false">
      <c r="A8" s="8" t="s">
        <v>48</v>
      </c>
      <c r="B8" s="8" t="s">
        <v>49</v>
      </c>
      <c r="C8" s="8" t="s">
        <v>36</v>
      </c>
      <c r="D8" s="9" t="n">
        <v>267</v>
      </c>
      <c r="E8" s="9" t="n">
        <v>240</v>
      </c>
      <c r="F8" s="9" t="n">
        <v>253</v>
      </c>
      <c r="G8" s="9" t="n">
        <v>683</v>
      </c>
      <c r="H8" s="9" t="n">
        <v>458</v>
      </c>
      <c r="I8" s="9" t="n">
        <v>267</v>
      </c>
      <c r="J8" s="9" t="n">
        <v>46</v>
      </c>
      <c r="K8" s="10" t="n">
        <f aca="false">SUM(D8:J8)</f>
        <v>2214</v>
      </c>
      <c r="L8" s="10" t="n">
        <f aca="false">K8-D8</f>
        <v>1947</v>
      </c>
      <c r="M8" s="9"/>
      <c r="N8" s="10" t="str">
        <f aca="false">IF(M8="","",M8-K8)</f>
        <v/>
      </c>
      <c r="O8" s="11" t="s">
        <v>50</v>
      </c>
      <c r="P8" s="8" t="s">
        <v>51</v>
      </c>
    </row>
    <row r="9" customFormat="false" ht="15" hidden="false" customHeight="true" outlineLevel="0" collapsed="false">
      <c r="A9" s="8" t="s">
        <v>52</v>
      </c>
      <c r="B9" s="8" t="s">
        <v>53</v>
      </c>
      <c r="C9" s="8" t="s">
        <v>36</v>
      </c>
      <c r="D9" s="9" t="n">
        <v>384</v>
      </c>
      <c r="E9" s="9" t="n">
        <v>320</v>
      </c>
      <c r="F9" s="9" t="n">
        <v>269</v>
      </c>
      <c r="G9" s="9" t="n">
        <v>1017</v>
      </c>
      <c r="H9" s="9" t="n">
        <v>366</v>
      </c>
      <c r="I9" s="9" t="n">
        <v>230</v>
      </c>
      <c r="J9" s="9" t="n">
        <v>67</v>
      </c>
      <c r="K9" s="10" t="n">
        <f aca="false">SUM(D9:J9)</f>
        <v>2653</v>
      </c>
      <c r="L9" s="10" t="n">
        <f aca="false">K9-D9</f>
        <v>2269</v>
      </c>
      <c r="M9" s="9"/>
      <c r="N9" s="10" t="str">
        <f aca="false">IF(M9="","",M9-K9)</f>
        <v/>
      </c>
      <c r="O9" s="11" t="s">
        <v>50</v>
      </c>
      <c r="P9" s="8" t="s">
        <v>51</v>
      </c>
    </row>
    <row r="10" customFormat="false" ht="15" hidden="false" customHeight="true" outlineLevel="0" collapsed="false">
      <c r="A10" s="8" t="s">
        <v>54</v>
      </c>
      <c r="B10" s="8" t="s">
        <v>55</v>
      </c>
      <c r="C10" s="8" t="s">
        <v>36</v>
      </c>
      <c r="D10" s="9" t="n">
        <v>351</v>
      </c>
      <c r="E10" s="9" t="n">
        <v>291</v>
      </c>
      <c r="F10" s="9" t="n">
        <v>196</v>
      </c>
      <c r="G10" s="9" t="n">
        <v>794</v>
      </c>
      <c r="H10" s="9" t="n">
        <v>421</v>
      </c>
      <c r="I10" s="9" t="n">
        <v>226</v>
      </c>
      <c r="J10" s="9" t="n">
        <v>132</v>
      </c>
      <c r="K10" s="10" t="n">
        <f aca="false">SUM(D10:J10)</f>
        <v>2411</v>
      </c>
      <c r="L10" s="10" t="n">
        <f aca="false">K10-D10</f>
        <v>2060</v>
      </c>
      <c r="M10" s="9"/>
      <c r="N10" s="10" t="str">
        <f aca="false">IF(M10="","",M10-K10)</f>
        <v/>
      </c>
      <c r="O10" s="11" t="s">
        <v>50</v>
      </c>
      <c r="P10" s="8" t="s">
        <v>51</v>
      </c>
    </row>
    <row r="11" customFormat="false" ht="15" hidden="false" customHeight="true" outlineLevel="0" collapsed="false">
      <c r="A11" s="8" t="s">
        <v>56</v>
      </c>
      <c r="B11" s="8" t="s">
        <v>57</v>
      </c>
      <c r="C11" s="8" t="s">
        <v>36</v>
      </c>
      <c r="D11" s="9" t="n">
        <v>451</v>
      </c>
      <c r="E11" s="9" t="n">
        <v>339</v>
      </c>
      <c r="F11" s="9" t="n">
        <v>250</v>
      </c>
      <c r="G11" s="9" t="n">
        <v>1223</v>
      </c>
      <c r="H11" s="9" t="n">
        <v>443</v>
      </c>
      <c r="I11" s="9" t="n">
        <v>318</v>
      </c>
      <c r="J11" s="9" t="n">
        <v>234</v>
      </c>
      <c r="K11" s="10" t="n">
        <f aca="false">SUM(D11:J11)</f>
        <v>3258</v>
      </c>
      <c r="L11" s="10" t="n">
        <f aca="false">K11-D11</f>
        <v>2807</v>
      </c>
      <c r="M11" s="9"/>
      <c r="N11" s="10" t="str">
        <f aca="false">IF(M11="","",M11-K11)</f>
        <v/>
      </c>
      <c r="O11" s="11" t="s">
        <v>58</v>
      </c>
      <c r="P11" s="8" t="s">
        <v>51</v>
      </c>
    </row>
    <row r="12" customFormat="false" ht="15" hidden="false" customHeight="true" outlineLevel="0" collapsed="false">
      <c r="A12" s="8" t="s">
        <v>59</v>
      </c>
      <c r="B12" s="8" t="s">
        <v>60</v>
      </c>
      <c r="C12" s="8" t="s">
        <v>36</v>
      </c>
      <c r="D12" s="9" t="n">
        <v>511</v>
      </c>
      <c r="E12" s="9" t="n">
        <v>284</v>
      </c>
      <c r="F12" s="9" t="n">
        <v>177</v>
      </c>
      <c r="G12" s="9" t="n">
        <v>889</v>
      </c>
      <c r="H12" s="9" t="n">
        <v>263</v>
      </c>
      <c r="I12" s="9" t="n">
        <v>549</v>
      </c>
      <c r="J12" s="9" t="n">
        <v>127</v>
      </c>
      <c r="K12" s="10" t="n">
        <f aca="false">SUM(D12:J12)</f>
        <v>2800</v>
      </c>
      <c r="L12" s="10" t="n">
        <f aca="false">K12-D12</f>
        <v>2289</v>
      </c>
      <c r="M12" s="9" t="n">
        <v>2955</v>
      </c>
      <c r="N12" s="10" t="n">
        <f aca="false">IF(M12="","",M12-K12)</f>
        <v>155</v>
      </c>
      <c r="O12" s="8" t="s">
        <v>41</v>
      </c>
      <c r="P12" s="8" t="s">
        <v>61</v>
      </c>
    </row>
    <row r="13" customFormat="false" ht="15" hidden="false" customHeight="true" outlineLevel="0" collapsed="false">
      <c r="A13" s="8" t="s">
        <v>62</v>
      </c>
      <c r="B13" s="8" t="s">
        <v>63</v>
      </c>
      <c r="C13" s="8" t="s">
        <v>36</v>
      </c>
      <c r="D13" s="9" t="n">
        <v>580</v>
      </c>
      <c r="E13" s="9" t="n">
        <v>459</v>
      </c>
      <c r="F13" s="9" t="n">
        <v>313</v>
      </c>
      <c r="G13" s="9" t="n">
        <v>865</v>
      </c>
      <c r="H13" s="9" t="n">
        <v>480</v>
      </c>
      <c r="I13" s="9" t="n">
        <v>713</v>
      </c>
      <c r="J13" s="9" t="n">
        <v>168</v>
      </c>
      <c r="K13" s="10" t="n">
        <f aca="false">SUM(D13:J13)</f>
        <v>3578</v>
      </c>
      <c r="L13" s="10" t="n">
        <f aca="false">K13-D13</f>
        <v>2998</v>
      </c>
      <c r="M13" s="9" t="n">
        <v>3954</v>
      </c>
      <c r="N13" s="10" t="n">
        <f aca="false">IF(M13="","",M13-K13)</f>
        <v>376</v>
      </c>
      <c r="O13" s="8" t="s">
        <v>41</v>
      </c>
      <c r="P13" s="8" t="s">
        <v>61</v>
      </c>
    </row>
    <row r="14" customFormat="false" ht="15" hidden="false" customHeight="true" outlineLevel="0" collapsed="false">
      <c r="A14" s="8" t="s">
        <v>64</v>
      </c>
      <c r="B14" s="8" t="s">
        <v>65</v>
      </c>
      <c r="C14" s="8" t="s">
        <v>36</v>
      </c>
      <c r="D14" s="9" t="n">
        <v>540</v>
      </c>
      <c r="E14" s="9" t="n">
        <v>227</v>
      </c>
      <c r="F14" s="9" t="n">
        <v>186</v>
      </c>
      <c r="G14" s="9" t="n">
        <v>609</v>
      </c>
      <c r="H14" s="9" t="n">
        <v>293</v>
      </c>
      <c r="I14" s="9" t="n">
        <v>380</v>
      </c>
      <c r="J14" s="9" t="n">
        <v>156</v>
      </c>
      <c r="K14" s="10" t="n">
        <f aca="false">SUM(D14:J14)</f>
        <v>2391</v>
      </c>
      <c r="L14" s="10" t="n">
        <f aca="false">K14-D14</f>
        <v>1851</v>
      </c>
      <c r="M14" s="9" t="n">
        <v>2681</v>
      </c>
      <c r="N14" s="10" t="n">
        <f aca="false">IF(M14="","",M14-K14)</f>
        <v>290</v>
      </c>
      <c r="O14" s="8" t="s">
        <v>41</v>
      </c>
      <c r="P14" s="8" t="s">
        <v>61</v>
      </c>
    </row>
    <row r="15" customFormat="false" ht="15" hidden="false" customHeight="true" outlineLevel="0" collapsed="false">
      <c r="A15" s="8" t="s">
        <v>66</v>
      </c>
      <c r="B15" s="8" t="s">
        <v>67</v>
      </c>
      <c r="C15" s="8" t="s">
        <v>36</v>
      </c>
      <c r="D15" s="9" t="n">
        <v>427</v>
      </c>
      <c r="E15" s="9" t="n">
        <v>347</v>
      </c>
      <c r="F15" s="9" t="n">
        <v>253</v>
      </c>
      <c r="G15" s="9" t="n">
        <v>689</v>
      </c>
      <c r="H15" s="9" t="n">
        <v>591</v>
      </c>
      <c r="I15" s="9" t="n">
        <v>425</v>
      </c>
      <c r="J15" s="9" t="n">
        <v>152</v>
      </c>
      <c r="K15" s="10" t="n">
        <f aca="false">SUM(D15:J15)</f>
        <v>2884</v>
      </c>
      <c r="L15" s="10" t="n">
        <f aca="false">K15-D15</f>
        <v>2457</v>
      </c>
      <c r="M15" s="9" t="n">
        <v>3190</v>
      </c>
      <c r="N15" s="10" t="n">
        <f aca="false">IF(M15="","",M15-K15)</f>
        <v>306</v>
      </c>
      <c r="O15" s="8" t="s">
        <v>41</v>
      </c>
      <c r="P15" s="8" t="s">
        <v>61</v>
      </c>
    </row>
    <row r="16" customFormat="false" ht="15" hidden="false" customHeight="true" outlineLevel="0" collapsed="false">
      <c r="A16" s="8" t="s">
        <v>68</v>
      </c>
      <c r="B16" s="8" t="s">
        <v>69</v>
      </c>
      <c r="C16" s="8" t="s">
        <v>36</v>
      </c>
      <c r="D16" s="9" t="n">
        <v>325</v>
      </c>
      <c r="E16" s="9" t="n">
        <v>285</v>
      </c>
      <c r="F16" s="9" t="n">
        <v>202</v>
      </c>
      <c r="G16" s="9" t="n">
        <v>369</v>
      </c>
      <c r="H16" s="9" t="n">
        <v>483</v>
      </c>
      <c r="I16" s="9" t="n">
        <v>270</v>
      </c>
      <c r="J16" s="9" t="n">
        <v>44</v>
      </c>
      <c r="K16" s="10" t="n">
        <f aca="false">SUM(D16:J16)</f>
        <v>1978</v>
      </c>
      <c r="L16" s="10" t="n">
        <f aca="false">K16-D16</f>
        <v>1653</v>
      </c>
      <c r="M16" s="9"/>
      <c r="N16" s="10" t="str">
        <f aca="false">IF(M16="","",M16-K16)</f>
        <v/>
      </c>
      <c r="O16" s="11" t="s">
        <v>50</v>
      </c>
      <c r="P16" s="8" t="s">
        <v>61</v>
      </c>
    </row>
    <row r="17" customFormat="false" ht="15" hidden="false" customHeight="true" outlineLevel="0" collapsed="false">
      <c r="A17" s="8" t="s">
        <v>70</v>
      </c>
      <c r="B17" s="8" t="s">
        <v>71</v>
      </c>
      <c r="C17" s="8" t="s">
        <v>36</v>
      </c>
      <c r="D17" s="9" t="n">
        <v>410</v>
      </c>
      <c r="E17" s="9" t="n">
        <v>588</v>
      </c>
      <c r="F17" s="9" t="n">
        <v>144</v>
      </c>
      <c r="G17" s="9" t="n">
        <v>364</v>
      </c>
      <c r="H17" s="9" t="n">
        <v>487</v>
      </c>
      <c r="I17" s="9" t="n">
        <v>568</v>
      </c>
      <c r="J17" s="9" t="n">
        <v>155</v>
      </c>
      <c r="K17" s="10" t="n">
        <f aca="false">SUM(D17:J17)</f>
        <v>2716</v>
      </c>
      <c r="L17" s="10" t="n">
        <f aca="false">K17-D17</f>
        <v>2306</v>
      </c>
      <c r="M17" s="9"/>
      <c r="N17" s="10" t="str">
        <f aca="false">IF(M17="","",M17-K17)</f>
        <v/>
      </c>
      <c r="O17" s="11" t="s">
        <v>50</v>
      </c>
      <c r="P17" s="8" t="s">
        <v>61</v>
      </c>
    </row>
    <row r="18" customFormat="false" ht="15" hidden="false" customHeight="true" outlineLevel="0" collapsed="false">
      <c r="A18" s="8" t="s">
        <v>72</v>
      </c>
      <c r="B18" s="8" t="s">
        <v>73</v>
      </c>
      <c r="C18" s="8" t="s">
        <v>36</v>
      </c>
      <c r="D18" s="9" t="n">
        <v>359</v>
      </c>
      <c r="E18" s="9" t="n">
        <v>610</v>
      </c>
      <c r="F18" s="9" t="n">
        <v>108</v>
      </c>
      <c r="G18" s="9" t="n">
        <v>310</v>
      </c>
      <c r="H18" s="9" t="n">
        <v>762</v>
      </c>
      <c r="I18" s="9" t="n">
        <v>591</v>
      </c>
      <c r="J18" s="9" t="n">
        <v>77</v>
      </c>
      <c r="K18" s="10" t="n">
        <f aca="false">SUM(D18:J18)</f>
        <v>2817</v>
      </c>
      <c r="L18" s="10" t="n">
        <f aca="false">K18-D18</f>
        <v>2458</v>
      </c>
      <c r="M18" s="9"/>
      <c r="N18" s="10" t="str">
        <f aca="false">IF(M18="","",M18-K18)</f>
        <v/>
      </c>
      <c r="O18" s="11" t="s">
        <v>50</v>
      </c>
      <c r="P18" s="8" t="s">
        <v>61</v>
      </c>
    </row>
    <row r="19" customFormat="false" ht="15" hidden="false" customHeight="true" outlineLevel="0" collapsed="false">
      <c r="A19" s="8" t="s">
        <v>74</v>
      </c>
      <c r="B19" s="8" t="s">
        <v>75</v>
      </c>
      <c r="C19" s="8" t="s">
        <v>36</v>
      </c>
      <c r="D19" s="9" t="n">
        <v>496</v>
      </c>
      <c r="E19" s="9" t="n">
        <v>572</v>
      </c>
      <c r="F19" s="9" t="n">
        <v>133</v>
      </c>
      <c r="G19" s="9" t="n">
        <v>471</v>
      </c>
      <c r="H19" s="9" t="n">
        <v>831</v>
      </c>
      <c r="I19" s="9" t="n">
        <v>506</v>
      </c>
      <c r="J19" s="9" t="n">
        <v>77</v>
      </c>
      <c r="K19" s="10" t="n">
        <f aca="false">SUM(D19:J19)</f>
        <v>3086</v>
      </c>
      <c r="L19" s="10" t="n">
        <f aca="false">K19-D19</f>
        <v>2590</v>
      </c>
      <c r="M19" s="9"/>
      <c r="N19" s="10" t="str">
        <f aca="false">IF(M19="","",M19-K19)</f>
        <v/>
      </c>
      <c r="O19" s="11" t="s">
        <v>58</v>
      </c>
      <c r="P19" s="8" t="s">
        <v>61</v>
      </c>
    </row>
    <row r="20" customFormat="false" ht="15" hidden="false" customHeight="true" outlineLevel="0" collapsed="false">
      <c r="A20" s="8" t="s">
        <v>76</v>
      </c>
      <c r="B20" s="8" t="s">
        <v>77</v>
      </c>
      <c r="C20" s="8" t="s">
        <v>36</v>
      </c>
      <c r="D20" s="9" t="n">
        <v>491</v>
      </c>
      <c r="E20" s="9" t="n">
        <v>423</v>
      </c>
      <c r="F20" s="9" t="n">
        <v>157</v>
      </c>
      <c r="G20" s="9" t="n">
        <v>670</v>
      </c>
      <c r="H20" s="9" t="n">
        <v>509</v>
      </c>
      <c r="I20" s="9" t="n">
        <v>739</v>
      </c>
      <c r="J20" s="9" t="n">
        <v>46</v>
      </c>
      <c r="K20" s="10" t="n">
        <f aca="false">SUM(D20:J20)</f>
        <v>3035</v>
      </c>
      <c r="L20" s="10" t="n">
        <f aca="false">K20-D20</f>
        <v>2544</v>
      </c>
      <c r="M20" s="9" t="n">
        <v>3148</v>
      </c>
      <c r="N20" s="10" t="n">
        <f aca="false">IF(M20="","",M20-K20)</f>
        <v>113</v>
      </c>
      <c r="O20" s="11" t="s">
        <v>50</v>
      </c>
      <c r="P20" s="8" t="s">
        <v>78</v>
      </c>
    </row>
    <row r="21" customFormat="false" ht="15" hidden="false" customHeight="true" outlineLevel="0" collapsed="false">
      <c r="A21" s="8" t="s">
        <v>79</v>
      </c>
      <c r="B21" s="8" t="s">
        <v>80</v>
      </c>
      <c r="C21" s="8" t="s">
        <v>36</v>
      </c>
      <c r="D21" s="9" t="n">
        <v>568</v>
      </c>
      <c r="E21" s="9" t="n">
        <v>440</v>
      </c>
      <c r="F21" s="9" t="n">
        <v>163</v>
      </c>
      <c r="G21" s="9" t="n">
        <v>721</v>
      </c>
      <c r="H21" s="9" t="n">
        <v>539</v>
      </c>
      <c r="I21" s="9" t="n">
        <v>791</v>
      </c>
      <c r="J21" s="9" t="n">
        <v>92</v>
      </c>
      <c r="K21" s="10" t="n">
        <f aca="false">SUM(D21:J21)</f>
        <v>3314</v>
      </c>
      <c r="L21" s="10" t="n">
        <f aca="false">K21-D21</f>
        <v>2746</v>
      </c>
      <c r="M21" s="9" t="n">
        <v>3533</v>
      </c>
      <c r="N21" s="10" t="n">
        <f aca="false">IF(M21="","",M21-K21)</f>
        <v>219</v>
      </c>
      <c r="O21" s="11" t="s">
        <v>50</v>
      </c>
      <c r="P21" s="8" t="s">
        <v>78</v>
      </c>
    </row>
    <row r="22" customFormat="false" ht="15" hidden="false" customHeight="true" outlineLevel="0" collapsed="false">
      <c r="A22" s="8" t="s">
        <v>81</v>
      </c>
      <c r="B22" s="8" t="s">
        <v>82</v>
      </c>
      <c r="C22" s="8" t="s">
        <v>36</v>
      </c>
      <c r="D22" s="9" t="n">
        <v>361</v>
      </c>
      <c r="E22" s="9" t="n">
        <v>345</v>
      </c>
      <c r="F22" s="9" t="n">
        <v>127</v>
      </c>
      <c r="G22" s="9" t="n">
        <v>393</v>
      </c>
      <c r="H22" s="9" t="n">
        <v>525</v>
      </c>
      <c r="I22" s="9" t="n">
        <v>705</v>
      </c>
      <c r="J22" s="9" t="n">
        <v>184</v>
      </c>
      <c r="K22" s="10" t="n">
        <f aca="false">SUM(D22:J22)</f>
        <v>2640</v>
      </c>
      <c r="L22" s="10" t="n">
        <f aca="false">K22-D22</f>
        <v>2279</v>
      </c>
      <c r="M22" s="9" t="n">
        <v>2917</v>
      </c>
      <c r="N22" s="10" t="n">
        <f aca="false">IF(M22="","",M22-K22)</f>
        <v>277</v>
      </c>
      <c r="O22" s="11" t="s">
        <v>50</v>
      </c>
      <c r="P22" s="8" t="s">
        <v>78</v>
      </c>
    </row>
    <row r="23" customFormat="false" ht="15" hidden="false" customHeight="true" outlineLevel="0" collapsed="false">
      <c r="A23" s="8" t="s">
        <v>83</v>
      </c>
      <c r="B23" s="8" t="s">
        <v>84</v>
      </c>
      <c r="C23" s="8" t="s">
        <v>36</v>
      </c>
      <c r="D23" s="9" t="n">
        <v>536</v>
      </c>
      <c r="E23" s="9" t="n">
        <v>312</v>
      </c>
      <c r="F23" s="9" t="n">
        <v>186</v>
      </c>
      <c r="G23" s="9" t="n">
        <v>1014</v>
      </c>
      <c r="H23" s="9" t="n">
        <v>882</v>
      </c>
      <c r="I23" s="9" t="n">
        <v>1022</v>
      </c>
      <c r="J23" s="9" t="n">
        <v>200</v>
      </c>
      <c r="K23" s="10" t="n">
        <f aca="false">SUM(D23:J23)</f>
        <v>4152</v>
      </c>
      <c r="L23" s="10" t="n">
        <f aca="false">K23-D23</f>
        <v>3616</v>
      </c>
      <c r="M23" s="9" t="n">
        <v>4392</v>
      </c>
      <c r="N23" s="10" t="n">
        <f aca="false">IF(M23="","",M23-K23)</f>
        <v>240</v>
      </c>
      <c r="O23" s="11" t="s">
        <v>58</v>
      </c>
      <c r="P23" s="8" t="s">
        <v>78</v>
      </c>
    </row>
    <row r="24" customFormat="false" ht="15" hidden="false" customHeight="true" outlineLevel="0" collapsed="false">
      <c r="A24" s="8" t="s">
        <v>85</v>
      </c>
      <c r="B24" s="8" t="s">
        <v>86</v>
      </c>
      <c r="C24" s="8" t="s">
        <v>36</v>
      </c>
      <c r="D24" s="9" t="n">
        <v>548</v>
      </c>
      <c r="E24" s="9" t="n">
        <v>439</v>
      </c>
      <c r="F24" s="9" t="n">
        <v>134</v>
      </c>
      <c r="G24" s="9" t="n">
        <v>953</v>
      </c>
      <c r="H24" s="9" t="n">
        <v>628</v>
      </c>
      <c r="I24" s="9" t="n">
        <v>1536</v>
      </c>
      <c r="J24" s="9" t="n">
        <v>138</v>
      </c>
      <c r="K24" s="10" t="n">
        <f aca="false">SUM(D24:J24)</f>
        <v>4376</v>
      </c>
      <c r="L24" s="10" t="n">
        <f aca="false">K24-D24</f>
        <v>3828</v>
      </c>
      <c r="M24" s="9" t="n">
        <v>4520</v>
      </c>
      <c r="N24" s="10" t="n">
        <f aca="false">IF(M24="","",M24-K24)</f>
        <v>144</v>
      </c>
      <c r="O24" s="8" t="s">
        <v>41</v>
      </c>
      <c r="P24" s="8" t="s">
        <v>87</v>
      </c>
    </row>
    <row r="25" customFormat="false" ht="15" hidden="false" customHeight="true" outlineLevel="0" collapsed="false">
      <c r="A25" s="8" t="s">
        <v>88</v>
      </c>
      <c r="B25" s="8" t="s">
        <v>89</v>
      </c>
      <c r="C25" s="8" t="s">
        <v>36</v>
      </c>
      <c r="D25" s="9" t="n">
        <v>539</v>
      </c>
      <c r="E25" s="9" t="n">
        <v>618</v>
      </c>
      <c r="F25" s="9" t="n">
        <v>203</v>
      </c>
      <c r="G25" s="9" t="n">
        <v>935</v>
      </c>
      <c r="H25" s="9" t="n">
        <v>1025</v>
      </c>
      <c r="I25" s="9" t="n">
        <v>1088</v>
      </c>
      <c r="J25" s="9" t="n">
        <v>267</v>
      </c>
      <c r="K25" s="10" t="n">
        <f aca="false">SUM(D25:J25)</f>
        <v>4675</v>
      </c>
      <c r="L25" s="10" t="n">
        <f aca="false">K25-D25</f>
        <v>4136</v>
      </c>
      <c r="M25" s="9" t="n">
        <v>4804</v>
      </c>
      <c r="N25" s="10" t="n">
        <f aca="false">IF(M25="","",M25-K25)</f>
        <v>129</v>
      </c>
      <c r="O25" s="8" t="s">
        <v>41</v>
      </c>
      <c r="P25" s="8" t="s">
        <v>87</v>
      </c>
    </row>
    <row r="26" customFormat="false" ht="15" hidden="false" customHeight="true" outlineLevel="0" collapsed="false">
      <c r="A26" s="8" t="s">
        <v>90</v>
      </c>
      <c r="B26" s="8" t="s">
        <v>91</v>
      </c>
      <c r="C26" s="8" t="s">
        <v>36</v>
      </c>
      <c r="D26" s="9" t="n">
        <v>631</v>
      </c>
      <c r="E26" s="9" t="n">
        <v>768</v>
      </c>
      <c r="F26" s="9" t="n">
        <v>170</v>
      </c>
      <c r="G26" s="9" t="n">
        <v>930</v>
      </c>
      <c r="H26" s="9" t="n">
        <v>874</v>
      </c>
      <c r="I26" s="9" t="n">
        <v>1322</v>
      </c>
      <c r="J26" s="9" t="n">
        <v>189</v>
      </c>
      <c r="K26" s="10" t="n">
        <f aca="false">SUM(D26:J26)</f>
        <v>4884</v>
      </c>
      <c r="L26" s="10" t="n">
        <f aca="false">K26-D26</f>
        <v>4253</v>
      </c>
      <c r="M26" s="9" t="n">
        <v>5064</v>
      </c>
      <c r="N26" s="10" t="n">
        <f aca="false">IF(M26="","",M26-K26)</f>
        <v>180</v>
      </c>
      <c r="O26" s="8" t="s">
        <v>41</v>
      </c>
      <c r="P26" s="8" t="s">
        <v>87</v>
      </c>
    </row>
    <row r="27" customFormat="false" ht="15" hidden="false" customHeight="true" outlineLevel="0" collapsed="false">
      <c r="A27" s="8" t="s">
        <v>92</v>
      </c>
      <c r="B27" s="8" t="s">
        <v>93</v>
      </c>
      <c r="C27" s="8" t="s">
        <v>36</v>
      </c>
      <c r="D27" s="9" t="n">
        <v>569</v>
      </c>
      <c r="E27" s="9" t="n">
        <v>853</v>
      </c>
      <c r="F27" s="9" t="n">
        <v>571</v>
      </c>
      <c r="G27" s="9" t="n">
        <v>959</v>
      </c>
      <c r="H27" s="9" t="n">
        <v>1063</v>
      </c>
      <c r="I27" s="9" t="n">
        <v>1188</v>
      </c>
      <c r="J27" s="9" t="n">
        <v>287</v>
      </c>
      <c r="K27" s="10" t="n">
        <f aca="false">SUM(D27:J27)</f>
        <v>5490</v>
      </c>
      <c r="L27" s="10" t="n">
        <f aca="false">K27-D27</f>
        <v>4921</v>
      </c>
      <c r="M27" s="9" t="n">
        <v>5648</v>
      </c>
      <c r="N27" s="10" t="n">
        <f aca="false">IF(M27="","",M27-K27)</f>
        <v>158</v>
      </c>
      <c r="O27" s="8" t="s">
        <v>41</v>
      </c>
      <c r="P27" s="8" t="s">
        <v>87</v>
      </c>
    </row>
    <row r="28" customFormat="false" ht="15" hidden="false" customHeight="true" outlineLevel="0" collapsed="false">
      <c r="A28" s="8" t="s">
        <v>94</v>
      </c>
      <c r="B28" s="8" t="s">
        <v>95</v>
      </c>
      <c r="C28" s="8" t="s">
        <v>36</v>
      </c>
      <c r="D28" s="9" t="n">
        <v>420</v>
      </c>
      <c r="E28" s="9" t="n">
        <v>673</v>
      </c>
      <c r="F28" s="9" t="n">
        <v>565</v>
      </c>
      <c r="G28" s="9" t="n">
        <v>851</v>
      </c>
      <c r="H28" s="9" t="n">
        <v>968</v>
      </c>
      <c r="I28" s="9" t="n">
        <v>940</v>
      </c>
      <c r="J28" s="9" t="n">
        <v>220</v>
      </c>
      <c r="K28" s="10" t="n">
        <f aca="false">SUM(D28:J28)</f>
        <v>4637</v>
      </c>
      <c r="L28" s="10" t="n">
        <f aca="false">K28-D28</f>
        <v>4217</v>
      </c>
      <c r="M28" s="9" t="n">
        <v>4736</v>
      </c>
      <c r="N28" s="10" t="n">
        <f aca="false">IF(M28="","",M28-K28)</f>
        <v>99</v>
      </c>
      <c r="O28" s="11" t="s">
        <v>96</v>
      </c>
      <c r="P28" s="8" t="s">
        <v>97</v>
      </c>
    </row>
    <row r="29" customFormat="false" ht="15" hidden="false" customHeight="true" outlineLevel="0" collapsed="false">
      <c r="A29" s="8" t="s">
        <v>98</v>
      </c>
      <c r="B29" s="8" t="s">
        <v>99</v>
      </c>
      <c r="C29" s="8" t="s">
        <v>36</v>
      </c>
      <c r="D29" s="9" t="n">
        <v>905</v>
      </c>
      <c r="E29" s="9" t="n">
        <v>1083</v>
      </c>
      <c r="F29" s="9" t="n">
        <v>509</v>
      </c>
      <c r="G29" s="9" t="n">
        <v>842</v>
      </c>
      <c r="H29" s="9" t="n">
        <v>1338</v>
      </c>
      <c r="I29" s="9" t="n">
        <v>1686</v>
      </c>
      <c r="J29" s="9" t="n">
        <v>525</v>
      </c>
      <c r="K29" s="10" t="n">
        <f aca="false">SUM(D29:J29)</f>
        <v>6888</v>
      </c>
      <c r="L29" s="10" t="n">
        <f aca="false">K29-D29</f>
        <v>5983</v>
      </c>
      <c r="M29" s="9" t="n">
        <v>7092</v>
      </c>
      <c r="N29" s="10" t="n">
        <f aca="false">IF(M29="","",M29-K29)</f>
        <v>204</v>
      </c>
      <c r="O29" s="11" t="s">
        <v>96</v>
      </c>
      <c r="P29" s="8" t="s">
        <v>97</v>
      </c>
    </row>
    <row r="30" customFormat="false" ht="15" hidden="false" customHeight="true" outlineLevel="0" collapsed="false">
      <c r="A30" s="8" t="s">
        <v>100</v>
      </c>
      <c r="B30" s="8" t="s">
        <v>101</v>
      </c>
      <c r="C30" s="8" t="s">
        <v>36</v>
      </c>
      <c r="D30" s="9" t="n">
        <v>482</v>
      </c>
      <c r="E30" s="9" t="n">
        <v>584</v>
      </c>
      <c r="F30" s="9" t="n">
        <v>426</v>
      </c>
      <c r="G30" s="9" t="n">
        <v>754</v>
      </c>
      <c r="H30" s="9" t="n">
        <v>1101</v>
      </c>
      <c r="I30" s="9" t="n">
        <v>1027</v>
      </c>
      <c r="J30" s="9" t="n">
        <v>211</v>
      </c>
      <c r="K30" s="10" t="n">
        <f aca="false">SUM(D30:J30)</f>
        <v>4585</v>
      </c>
      <c r="L30" s="10" t="n">
        <f aca="false">K30-D30</f>
        <v>4103</v>
      </c>
      <c r="M30" s="9" t="n">
        <v>4678</v>
      </c>
      <c r="N30" s="10" t="n">
        <f aca="false">IF(M30="","",M30-K30)</f>
        <v>93</v>
      </c>
      <c r="O30" s="11" t="s">
        <v>96</v>
      </c>
      <c r="P30" s="8" t="s">
        <v>97</v>
      </c>
    </row>
    <row r="31" customFormat="false" ht="15" hidden="false" customHeight="true" outlineLevel="0" collapsed="false">
      <c r="A31" s="8" t="s">
        <v>102</v>
      </c>
      <c r="B31" s="8" t="s">
        <v>103</v>
      </c>
      <c r="C31" s="8" t="s">
        <v>36</v>
      </c>
      <c r="D31" s="9" t="n">
        <v>576</v>
      </c>
      <c r="E31" s="9" t="n">
        <v>1102</v>
      </c>
      <c r="F31" s="9" t="n">
        <v>341</v>
      </c>
      <c r="G31" s="9" t="n">
        <v>1047</v>
      </c>
      <c r="H31" s="9" t="n">
        <v>794</v>
      </c>
      <c r="I31" s="9" t="n">
        <v>1312</v>
      </c>
      <c r="J31" s="9" t="n">
        <v>258</v>
      </c>
      <c r="K31" s="10" t="n">
        <f aca="false">SUM(D31:J31)</f>
        <v>5430</v>
      </c>
      <c r="L31" s="10" t="n">
        <f aca="false">K31-D31</f>
        <v>4854</v>
      </c>
      <c r="M31" s="9" t="n">
        <v>5582</v>
      </c>
      <c r="N31" s="10" t="n">
        <f aca="false">IF(M31="","",M31-K31)</f>
        <v>152</v>
      </c>
      <c r="O31" s="11" t="s">
        <v>96</v>
      </c>
      <c r="P31" s="8" t="s">
        <v>97</v>
      </c>
    </row>
    <row r="32" customFormat="false" ht="15" hidden="false" customHeight="true" outlineLevel="0" collapsed="false">
      <c r="A32" s="8" t="s">
        <v>104</v>
      </c>
      <c r="B32" s="8" t="s">
        <v>105</v>
      </c>
      <c r="C32" s="11" t="s">
        <v>106</v>
      </c>
      <c r="D32" s="9" t="n">
        <v>295</v>
      </c>
      <c r="E32" s="9" t="n">
        <v>301</v>
      </c>
      <c r="F32" s="9" t="n">
        <v>281</v>
      </c>
      <c r="G32" s="9" t="n">
        <v>767</v>
      </c>
      <c r="H32" s="9" t="n">
        <v>639</v>
      </c>
      <c r="I32" s="9" t="n">
        <v>1539</v>
      </c>
      <c r="J32" s="9" t="n">
        <v>92</v>
      </c>
      <c r="K32" s="10" t="n">
        <f aca="false">SUM(D32:J32)</f>
        <v>3914</v>
      </c>
      <c r="L32" s="10" t="n">
        <f aca="false">K32-D32</f>
        <v>3619</v>
      </c>
      <c r="M32" s="9" t="n">
        <v>3917</v>
      </c>
      <c r="N32" s="10" t="n">
        <f aca="false">IF(M32="","",M32-K32)</f>
        <v>3</v>
      </c>
      <c r="O32" s="11" t="s">
        <v>107</v>
      </c>
      <c r="P32" s="8" t="s">
        <v>108</v>
      </c>
    </row>
    <row r="33" customFormat="false" ht="15" hidden="false" customHeight="true" outlineLevel="0" collapsed="false">
      <c r="A33" s="8" t="s">
        <v>109</v>
      </c>
      <c r="B33" s="8" t="s">
        <v>110</v>
      </c>
      <c r="C33" s="11" t="s">
        <v>106</v>
      </c>
      <c r="D33" s="9" t="n">
        <v>412</v>
      </c>
      <c r="E33" s="9" t="n">
        <v>474</v>
      </c>
      <c r="F33" s="9" t="n">
        <v>335</v>
      </c>
      <c r="G33" s="9" t="n">
        <v>674</v>
      </c>
      <c r="H33" s="9" t="n">
        <v>399</v>
      </c>
      <c r="I33" s="9" t="n">
        <v>1829</v>
      </c>
      <c r="J33" s="9" t="n">
        <v>151</v>
      </c>
      <c r="K33" s="10" t="n">
        <f aca="false">SUM(D33:J33)</f>
        <v>4274</v>
      </c>
      <c r="L33" s="10" t="n">
        <f aca="false">K33-D33</f>
        <v>3862</v>
      </c>
      <c r="M33" s="9" t="n">
        <v>4278</v>
      </c>
      <c r="N33" s="10" t="n">
        <f aca="false">IF(M33="","",M33-K33)</f>
        <v>4</v>
      </c>
      <c r="O33" s="11" t="s">
        <v>107</v>
      </c>
      <c r="P33" s="8" t="s">
        <v>108</v>
      </c>
    </row>
    <row r="34" customFormat="false" ht="15" hidden="false" customHeight="true" outlineLevel="0" collapsed="false">
      <c r="A34" s="8" t="s">
        <v>111</v>
      </c>
      <c r="B34" s="8" t="s">
        <v>112</v>
      </c>
      <c r="C34" s="11" t="s">
        <v>106</v>
      </c>
      <c r="D34" s="9" t="n">
        <v>574</v>
      </c>
      <c r="E34" s="9" t="n">
        <v>421</v>
      </c>
      <c r="F34" s="9" t="n">
        <v>294</v>
      </c>
      <c r="G34" s="9" t="n">
        <v>582</v>
      </c>
      <c r="H34" s="9" t="n">
        <v>463</v>
      </c>
      <c r="I34" s="9" t="n">
        <v>2172</v>
      </c>
      <c r="J34" s="9" t="n">
        <v>127</v>
      </c>
      <c r="K34" s="10" t="n">
        <f aca="false">SUM(D34:J34)</f>
        <v>4633</v>
      </c>
      <c r="L34" s="10" t="n">
        <f aca="false">K34-D34</f>
        <v>4059</v>
      </c>
      <c r="M34" s="9" t="n">
        <v>4636</v>
      </c>
      <c r="N34" s="10" t="n">
        <f aca="false">IF(M34="","",M34-K34)</f>
        <v>3</v>
      </c>
      <c r="O34" s="11" t="s">
        <v>107</v>
      </c>
      <c r="P34" s="8" t="s">
        <v>108</v>
      </c>
    </row>
    <row r="35" customFormat="false" ht="15" hidden="false" customHeight="true" outlineLevel="0" collapsed="false">
      <c r="A35" s="8" t="s">
        <v>113</v>
      </c>
      <c r="B35" s="8" t="s">
        <v>114</v>
      </c>
      <c r="C35" s="11" t="s">
        <v>106</v>
      </c>
      <c r="D35" s="9" t="n">
        <v>567</v>
      </c>
      <c r="E35" s="9" t="n">
        <v>483</v>
      </c>
      <c r="F35" s="9" t="n">
        <v>281</v>
      </c>
      <c r="G35" s="9" t="n">
        <v>820</v>
      </c>
      <c r="H35" s="9" t="n">
        <v>552</v>
      </c>
      <c r="I35" s="9" t="n">
        <v>2591</v>
      </c>
      <c r="J35" s="9" t="n">
        <v>175</v>
      </c>
      <c r="K35" s="10" t="n">
        <f aca="false">SUM(D35:J35)</f>
        <v>5469</v>
      </c>
      <c r="L35" s="10" t="n">
        <f aca="false">K35-D35</f>
        <v>4902</v>
      </c>
      <c r="M35" s="9" t="n">
        <v>5472</v>
      </c>
      <c r="N35" s="10" t="n">
        <f aca="false">IF(M35="","",M35-K35)</f>
        <v>3</v>
      </c>
      <c r="O35" s="11" t="s">
        <v>107</v>
      </c>
      <c r="P35" s="8" t="s">
        <v>108</v>
      </c>
    </row>
    <row r="36" customFormat="false" ht="15" hidden="false" customHeight="true" outlineLevel="0" collapsed="false">
      <c r="A36" s="8" t="s">
        <v>115</v>
      </c>
      <c r="B36" s="8" t="s">
        <v>116</v>
      </c>
      <c r="C36" s="11" t="s">
        <v>106</v>
      </c>
      <c r="D36" s="9" t="n">
        <v>385</v>
      </c>
      <c r="E36" s="9" t="n">
        <v>590</v>
      </c>
      <c r="F36" s="9" t="n">
        <v>155</v>
      </c>
      <c r="G36" s="9" t="n">
        <v>678</v>
      </c>
      <c r="H36" s="9" t="n">
        <v>800</v>
      </c>
      <c r="I36" s="9" t="n">
        <v>2770</v>
      </c>
      <c r="J36" s="9" t="n">
        <v>170</v>
      </c>
      <c r="K36" s="10" t="n">
        <f aca="false">SUM(D36:J36)</f>
        <v>5548</v>
      </c>
      <c r="L36" s="10" t="n">
        <f aca="false">K36-D36</f>
        <v>5163</v>
      </c>
      <c r="M36" s="9" t="n">
        <v>5550</v>
      </c>
      <c r="N36" s="10" t="n">
        <f aca="false">IF(M36="","",M36-K36)</f>
        <v>2</v>
      </c>
      <c r="O36" s="11" t="s">
        <v>107</v>
      </c>
      <c r="P36" s="8" t="s">
        <v>117</v>
      </c>
    </row>
    <row r="37" customFormat="false" ht="15" hidden="false" customHeight="true" outlineLevel="0" collapsed="false">
      <c r="A37" s="8" t="s">
        <v>118</v>
      </c>
      <c r="B37" s="8" t="s">
        <v>119</v>
      </c>
      <c r="C37" s="11" t="s">
        <v>106</v>
      </c>
      <c r="D37" s="9" t="n">
        <v>526</v>
      </c>
      <c r="E37" s="9" t="n">
        <v>799</v>
      </c>
      <c r="F37" s="9" t="n">
        <v>238</v>
      </c>
      <c r="G37" s="9" t="n">
        <v>795</v>
      </c>
      <c r="H37" s="9" t="n">
        <v>753</v>
      </c>
      <c r="I37" s="9" t="n">
        <v>2339</v>
      </c>
      <c r="J37" s="9" t="n">
        <v>212</v>
      </c>
      <c r="K37" s="10" t="n">
        <f aca="false">SUM(D37:J37)</f>
        <v>5662</v>
      </c>
      <c r="L37" s="10" t="n">
        <f aca="false">K37-D37</f>
        <v>5136</v>
      </c>
      <c r="M37" s="9" t="n">
        <v>5665</v>
      </c>
      <c r="N37" s="10" t="n">
        <f aca="false">IF(M37="","",M37-K37)</f>
        <v>3</v>
      </c>
      <c r="O37" s="11" t="s">
        <v>107</v>
      </c>
      <c r="P37" s="8" t="s">
        <v>117</v>
      </c>
    </row>
    <row r="38" customFormat="false" ht="15" hidden="false" customHeight="true" outlineLevel="0" collapsed="false">
      <c r="A38" s="8" t="s">
        <v>120</v>
      </c>
      <c r="B38" s="8" t="s">
        <v>121</v>
      </c>
      <c r="C38" s="11" t="s">
        <v>106</v>
      </c>
      <c r="D38" s="9" t="n">
        <v>453</v>
      </c>
      <c r="E38" s="9" t="n">
        <v>577</v>
      </c>
      <c r="F38" s="9" t="n">
        <v>157</v>
      </c>
      <c r="G38" s="9" t="n">
        <v>1145</v>
      </c>
      <c r="H38" s="9" t="n">
        <v>1193</v>
      </c>
      <c r="I38" s="9" t="n">
        <v>2794</v>
      </c>
      <c r="J38" s="9" t="n">
        <v>223</v>
      </c>
      <c r="K38" s="10" t="n">
        <f aca="false">SUM(D38:J38)</f>
        <v>6542</v>
      </c>
      <c r="L38" s="10" t="n">
        <f aca="false">K38-D38</f>
        <v>6089</v>
      </c>
      <c r="M38" s="9" t="n">
        <v>6545</v>
      </c>
      <c r="N38" s="10" t="n">
        <f aca="false">IF(M38="","",M38-K38)</f>
        <v>3</v>
      </c>
      <c r="O38" s="11" t="s">
        <v>107</v>
      </c>
      <c r="P38" s="8" t="s">
        <v>117</v>
      </c>
    </row>
    <row r="39" customFormat="false" ht="15" hidden="false" customHeight="true" outlineLevel="0" collapsed="false">
      <c r="A39" s="8" t="s">
        <v>122</v>
      </c>
      <c r="B39" s="8" t="s">
        <v>123</v>
      </c>
      <c r="C39" s="11" t="s">
        <v>106</v>
      </c>
      <c r="D39" s="9" t="n">
        <v>534</v>
      </c>
      <c r="E39" s="9" t="n">
        <v>462</v>
      </c>
      <c r="F39" s="9" t="n">
        <v>203</v>
      </c>
      <c r="G39" s="9" t="n">
        <v>1470</v>
      </c>
      <c r="H39" s="9" t="n">
        <v>1358</v>
      </c>
      <c r="I39" s="9" t="n">
        <v>2246</v>
      </c>
      <c r="J39" s="9" t="n">
        <v>278</v>
      </c>
      <c r="K39" s="10" t="n">
        <f aca="false">SUM(D39:J39)</f>
        <v>6551</v>
      </c>
      <c r="L39" s="10" t="n">
        <f aca="false">K39-D39</f>
        <v>6017</v>
      </c>
      <c r="M39" s="9" t="n">
        <v>6554</v>
      </c>
      <c r="N39" s="10" t="n">
        <f aca="false">IF(M39="","",M39-K39)</f>
        <v>3</v>
      </c>
      <c r="O39" s="11" t="s">
        <v>107</v>
      </c>
      <c r="P39" s="8" t="s">
        <v>117</v>
      </c>
    </row>
    <row r="40" customFormat="false" ht="15" hidden="false" customHeight="true" outlineLevel="0" collapsed="false">
      <c r="A40" s="8" t="s">
        <v>124</v>
      </c>
      <c r="B40" s="8" t="s">
        <v>125</v>
      </c>
      <c r="C40" s="11" t="s">
        <v>106</v>
      </c>
      <c r="D40" s="9" t="n">
        <v>643</v>
      </c>
      <c r="E40" s="9" t="n">
        <v>434</v>
      </c>
      <c r="F40" s="9" t="n">
        <v>140</v>
      </c>
      <c r="G40" s="9" t="n">
        <v>883</v>
      </c>
      <c r="H40" s="9" t="n">
        <v>1115</v>
      </c>
      <c r="I40" s="9" t="n">
        <v>2121</v>
      </c>
      <c r="J40" s="9" t="n">
        <v>156</v>
      </c>
      <c r="K40" s="10" t="n">
        <f aca="false">SUM(D40:J40)</f>
        <v>5492</v>
      </c>
      <c r="L40" s="10" t="n">
        <f aca="false">K40-D40</f>
        <v>4849</v>
      </c>
      <c r="M40" s="9" t="n">
        <v>5495</v>
      </c>
      <c r="N40" s="10" t="n">
        <f aca="false">IF(M40="","",M40-K40)</f>
        <v>3</v>
      </c>
      <c r="O40" s="11" t="s">
        <v>107</v>
      </c>
      <c r="P40" s="8" t="s">
        <v>117</v>
      </c>
    </row>
    <row r="41" customFormat="false" ht="15" hidden="false" customHeight="true" outlineLevel="0" collapsed="false">
      <c r="A41" s="8" t="s">
        <v>126</v>
      </c>
      <c r="B41" s="8" t="s">
        <v>127</v>
      </c>
      <c r="C41" s="11" t="s">
        <v>106</v>
      </c>
      <c r="D41" s="9" t="n">
        <v>529</v>
      </c>
      <c r="E41" s="9" t="n">
        <v>384</v>
      </c>
      <c r="F41" s="9" t="n">
        <v>108</v>
      </c>
      <c r="G41" s="9" t="n">
        <v>1325</v>
      </c>
      <c r="H41" s="9" t="n">
        <v>1197</v>
      </c>
      <c r="I41" s="9" t="n">
        <v>2541</v>
      </c>
      <c r="J41" s="9" t="n">
        <v>213</v>
      </c>
      <c r="K41" s="10" t="n">
        <f aca="false">SUM(D41:J41)</f>
        <v>6297</v>
      </c>
      <c r="L41" s="10" t="n">
        <f aca="false">K41-D41</f>
        <v>5768</v>
      </c>
      <c r="M41" s="9" t="n">
        <v>6300</v>
      </c>
      <c r="N41" s="10" t="n">
        <f aca="false">IF(M41="","",M41-K41)</f>
        <v>3</v>
      </c>
      <c r="O41" s="11" t="s">
        <v>107</v>
      </c>
      <c r="P41" s="8" t="s">
        <v>117</v>
      </c>
    </row>
    <row r="42" customFormat="false" ht="15" hidden="false" customHeight="true" outlineLevel="0" collapsed="false">
      <c r="A42" s="8" t="s">
        <v>128</v>
      </c>
      <c r="B42" s="8" t="s">
        <v>129</v>
      </c>
      <c r="C42" s="11" t="s">
        <v>106</v>
      </c>
      <c r="D42" s="9" t="n">
        <v>393</v>
      </c>
      <c r="E42" s="9" t="n">
        <v>278</v>
      </c>
      <c r="F42" s="9" t="n">
        <v>127</v>
      </c>
      <c r="G42" s="9" t="n">
        <v>1497</v>
      </c>
      <c r="H42" s="9" t="n">
        <v>1119</v>
      </c>
      <c r="I42" s="9" t="n">
        <v>1755</v>
      </c>
      <c r="J42" s="9" t="n">
        <v>348</v>
      </c>
      <c r="K42" s="10" t="n">
        <f aca="false">SUM(D42:J42)</f>
        <v>5517</v>
      </c>
      <c r="L42" s="10" t="n">
        <f aca="false">K42-D42</f>
        <v>5124</v>
      </c>
      <c r="M42" s="9" t="n">
        <v>5520</v>
      </c>
      <c r="N42" s="10" t="n">
        <f aca="false">IF(M42="","",M42-K42)</f>
        <v>3</v>
      </c>
      <c r="O42" s="11" t="s">
        <v>107</v>
      </c>
      <c r="P42" s="8" t="s">
        <v>117</v>
      </c>
    </row>
    <row r="43" customFormat="false" ht="15" hidden="false" customHeight="true" outlineLevel="0" collapsed="false">
      <c r="A43" s="8" t="s">
        <v>130</v>
      </c>
      <c r="B43" s="8" t="s">
        <v>131</v>
      </c>
      <c r="C43" s="11" t="s">
        <v>106</v>
      </c>
      <c r="D43" s="9" t="n">
        <v>828</v>
      </c>
      <c r="E43" s="9" t="n">
        <v>567</v>
      </c>
      <c r="F43" s="9" t="n">
        <v>297</v>
      </c>
      <c r="G43" s="9" t="n">
        <v>1731</v>
      </c>
      <c r="H43" s="9" t="n">
        <v>1565</v>
      </c>
      <c r="I43" s="9" t="n">
        <v>1907</v>
      </c>
      <c r="J43" s="9" t="n">
        <v>221</v>
      </c>
      <c r="K43" s="10" t="n">
        <f aca="false">SUM(D43:J43)</f>
        <v>7116</v>
      </c>
      <c r="L43" s="10" t="n">
        <f aca="false">K43-D43</f>
        <v>6288</v>
      </c>
      <c r="M43" s="9" t="n">
        <v>7118</v>
      </c>
      <c r="N43" s="10" t="n">
        <f aca="false">IF(M43="","",M43-K43)</f>
        <v>2</v>
      </c>
      <c r="O43" s="11" t="s">
        <v>107</v>
      </c>
      <c r="P43" s="8" t="s">
        <v>117</v>
      </c>
    </row>
    <row r="44" customFormat="false" ht="15" hidden="false" customHeight="true" outlineLevel="0" collapsed="false">
      <c r="A44" s="8" t="s">
        <v>132</v>
      </c>
      <c r="B44" s="8" t="s">
        <v>133</v>
      </c>
      <c r="C44" s="11" t="s">
        <v>106</v>
      </c>
      <c r="D44" s="9" t="n">
        <v>646</v>
      </c>
      <c r="E44" s="9" t="n">
        <v>590</v>
      </c>
      <c r="F44" s="9" t="n">
        <v>242</v>
      </c>
      <c r="G44" s="9" t="n">
        <v>1524</v>
      </c>
      <c r="H44" s="9" t="n">
        <v>1861</v>
      </c>
      <c r="I44" s="9" t="n">
        <v>2229</v>
      </c>
      <c r="J44" s="9" t="n">
        <v>229</v>
      </c>
      <c r="K44" s="10" t="n">
        <f aca="false">SUM(D44:J44)</f>
        <v>7321</v>
      </c>
      <c r="L44" s="10" t="n">
        <f aca="false">K44-D44</f>
        <v>6675</v>
      </c>
      <c r="M44" s="9" t="n">
        <v>7323</v>
      </c>
      <c r="N44" s="10" t="n">
        <f aca="false">IF(M44="","",M44-K44)</f>
        <v>2</v>
      </c>
      <c r="O44" s="11" t="s">
        <v>107</v>
      </c>
      <c r="P44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60"/>
  </cols>
  <sheetData>
    <row r="1" customFormat="false" ht="15" hidden="false" customHeight="true" outlineLevel="0" collapsed="false">
      <c r="A1" s="12" t="s">
        <v>134</v>
      </c>
    </row>
    <row r="2" customFormat="false" ht="29.25" hidden="false" customHeight="true" outlineLevel="0" collapsed="false">
      <c r="A2" s="7" t="s">
        <v>135</v>
      </c>
      <c r="B2" s="7" t="s">
        <v>136</v>
      </c>
      <c r="C2" s="7" t="s">
        <v>137</v>
      </c>
      <c r="D2" s="13" t="s">
        <v>138</v>
      </c>
      <c r="E2" s="7" t="s">
        <v>139</v>
      </c>
      <c r="F2" s="7" t="s">
        <v>140</v>
      </c>
      <c r="G2" s="7" t="s">
        <v>141</v>
      </c>
    </row>
    <row r="3" customFormat="false" ht="15" hidden="false" customHeight="true" outlineLevel="0" collapsed="false">
      <c r="A3" s="8" t="s">
        <v>142</v>
      </c>
      <c r="B3" s="8" t="s">
        <v>143</v>
      </c>
      <c r="C3" s="10" t="n">
        <f aca="false">SUM(地域別四半期!K4:K7)</f>
        <v>7486</v>
      </c>
      <c r="D3" s="9" t="n">
        <v>7498</v>
      </c>
      <c r="E3" s="10" t="n">
        <f aca="false">C3-D3</f>
        <v>-12</v>
      </c>
      <c r="F3" s="14" t="n">
        <f aca="false">E3/D3</f>
        <v>-0.00160042678047479</v>
      </c>
      <c r="G3" s="8" t="s">
        <v>38</v>
      </c>
    </row>
    <row r="4" customFormat="false" ht="15" hidden="false" customHeight="true" outlineLevel="0" collapsed="false">
      <c r="A4" s="8" t="s">
        <v>144</v>
      </c>
      <c r="B4" s="8" t="s">
        <v>145</v>
      </c>
      <c r="C4" s="10" t="n">
        <f aca="false">SUM(地域別四半期!K8:K11)</f>
        <v>10536</v>
      </c>
      <c r="D4" s="9" t="n">
        <v>10552</v>
      </c>
      <c r="E4" s="10" t="n">
        <f aca="false">C4-D4</f>
        <v>-16</v>
      </c>
      <c r="F4" s="14" t="n">
        <f aca="false">E4/D4</f>
        <v>-0.00151630022744503</v>
      </c>
      <c r="G4" s="8" t="s">
        <v>51</v>
      </c>
    </row>
    <row r="5" customFormat="false" ht="15" hidden="false" customHeight="true" outlineLevel="0" collapsed="false">
      <c r="A5" s="8" t="s">
        <v>146</v>
      </c>
      <c r="B5" s="8" t="s">
        <v>147</v>
      </c>
      <c r="C5" s="10" t="n">
        <f aca="false">SUM(地域別四半期!K12:K15)</f>
        <v>11653</v>
      </c>
      <c r="D5" s="9" t="n">
        <v>11667</v>
      </c>
      <c r="E5" s="10" t="n">
        <f aca="false">C5-D5</f>
        <v>-14</v>
      </c>
      <c r="F5" s="14" t="n">
        <f aca="false">E5/D5</f>
        <v>-0.00119996571526528</v>
      </c>
      <c r="G5" s="8" t="s">
        <v>61</v>
      </c>
    </row>
    <row r="6" customFormat="false" ht="15" hidden="false" customHeight="true" outlineLevel="0" collapsed="false">
      <c r="A6" s="8" t="s">
        <v>148</v>
      </c>
      <c r="B6" s="8" t="s">
        <v>149</v>
      </c>
      <c r="C6" s="10" t="n">
        <f aca="false">SUM(地域別四半期!K16:K19)</f>
        <v>10597</v>
      </c>
      <c r="D6" s="9" t="n">
        <v>10609</v>
      </c>
      <c r="E6" s="10" t="n">
        <f aca="false">C6-D6</f>
        <v>-12</v>
      </c>
      <c r="F6" s="14" t="n">
        <f aca="false">E6/D6</f>
        <v>-0.00113111509096051</v>
      </c>
      <c r="G6" s="8" t="s">
        <v>61</v>
      </c>
    </row>
    <row r="7" customFormat="false" ht="15" hidden="false" customHeight="true" outlineLevel="0" collapsed="false">
      <c r="A7" s="8" t="s">
        <v>150</v>
      </c>
      <c r="B7" s="8" t="s">
        <v>151</v>
      </c>
      <c r="C7" s="10" t="n">
        <f aca="false">SUM(地域別四半期!K20:K23)</f>
        <v>13141</v>
      </c>
      <c r="D7" s="9" t="n">
        <v>13152</v>
      </c>
      <c r="E7" s="10" t="n">
        <f aca="false">C7-D7</f>
        <v>-11</v>
      </c>
      <c r="F7" s="14" t="n">
        <f aca="false">E7/D7</f>
        <v>-0.000836374695863747</v>
      </c>
      <c r="G7" s="8" t="s">
        <v>78</v>
      </c>
    </row>
    <row r="8" customFormat="false" ht="15" hidden="false" customHeight="true" outlineLevel="0" collapsed="false">
      <c r="A8" s="8" t="s">
        <v>152</v>
      </c>
      <c r="B8" s="8" t="s">
        <v>153</v>
      </c>
      <c r="C8" s="10" t="n">
        <f aca="false">SUM(地域別四半期!K24:K27)</f>
        <v>19425</v>
      </c>
      <c r="D8" s="9" t="n">
        <v>19438</v>
      </c>
      <c r="E8" s="10" t="n">
        <f aca="false">C8-D8</f>
        <v>-13</v>
      </c>
      <c r="F8" s="14" t="n">
        <f aca="false">E8/D8</f>
        <v>-0.000668793085708406</v>
      </c>
      <c r="G8" s="8" t="s">
        <v>87</v>
      </c>
    </row>
    <row r="10" customFormat="false" ht="15" hidden="false" customHeight="true" outlineLevel="0" collapsed="false">
      <c r="A10" s="8" t="s">
        <v>154</v>
      </c>
      <c r="B10" s="8" t="s">
        <v>155</v>
      </c>
      <c r="C10" s="10" t="n">
        <f aca="false">SUM(地域別四半期!K28:K31)</f>
        <v>21540</v>
      </c>
      <c r="D10" s="9" t="n">
        <v>22090</v>
      </c>
      <c r="E10" s="10" t="n">
        <f aca="false">D10-C10</f>
        <v>550</v>
      </c>
      <c r="F10" s="11" t="s">
        <v>156</v>
      </c>
      <c r="G10" s="1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2" min="11" style="1" width="12"/>
  </cols>
  <sheetData>
    <row r="1" customFormat="false" ht="15" hidden="false" customHeight="true" outlineLevel="0" collapsed="false">
      <c r="A1" s="12" t="s">
        <v>158</v>
      </c>
    </row>
    <row r="2" customFormat="false" ht="29.25" hidden="false" customHeight="true" outlineLevel="0" collapsed="false">
      <c r="A2" s="7" t="s">
        <v>18</v>
      </c>
      <c r="B2" s="13" t="s">
        <v>159</v>
      </c>
      <c r="C2" s="13" t="s">
        <v>160</v>
      </c>
      <c r="D2" s="7" t="s">
        <v>161</v>
      </c>
      <c r="E2" s="7" t="s">
        <v>162</v>
      </c>
      <c r="F2" s="7" t="s">
        <v>163</v>
      </c>
      <c r="G2" s="7" t="s">
        <v>164</v>
      </c>
      <c r="H2" s="13" t="s">
        <v>165</v>
      </c>
      <c r="I2" s="13" t="s">
        <v>166</v>
      </c>
      <c r="J2" s="7" t="s">
        <v>167</v>
      </c>
      <c r="K2" s="7" t="s">
        <v>168</v>
      </c>
      <c r="L2" s="7" t="s">
        <v>169</v>
      </c>
    </row>
    <row r="3" customFormat="false" ht="15" hidden="false" customHeight="true" outlineLevel="0" collapsed="false">
      <c r="A3" s="8" t="s">
        <v>115</v>
      </c>
      <c r="B3" s="9" t="n">
        <v>4315</v>
      </c>
      <c r="C3" s="15" t="n">
        <v>0.72</v>
      </c>
      <c r="D3" s="15" t="n">
        <v>0.02</v>
      </c>
      <c r="E3" s="15" t="n">
        <v>0.26</v>
      </c>
      <c r="F3" s="9" t="n">
        <v>930</v>
      </c>
      <c r="G3" s="9" t="n">
        <v>250</v>
      </c>
      <c r="H3" s="9" t="n">
        <v>1181</v>
      </c>
      <c r="I3" s="10" t="n">
        <f aca="false">F3+G3-H3</f>
        <v>-1</v>
      </c>
      <c r="J3" s="10" t="n">
        <f aca="false">B3+H3</f>
        <v>5496</v>
      </c>
      <c r="K3" s="10" t="n">
        <f aca="false">INDEX(地域別四半期!$M$3:$M$44,MATCH(A3,地域別四半期!$A$3:$A$44,0))</f>
        <v>5550</v>
      </c>
      <c r="L3" s="10" t="n">
        <f aca="false">K3-J3</f>
        <v>54</v>
      </c>
    </row>
    <row r="4" customFormat="false" ht="15" hidden="false" customHeight="true" outlineLevel="0" collapsed="false">
      <c r="A4" s="8" t="s">
        <v>118</v>
      </c>
      <c r="B4" s="9" t="n">
        <v>4150</v>
      </c>
      <c r="C4" s="15" t="n">
        <v>0.71</v>
      </c>
      <c r="D4" s="15" t="n">
        <v>0.03</v>
      </c>
      <c r="E4" s="15" t="n">
        <v>0.26</v>
      </c>
      <c r="F4" s="9" t="n">
        <v>966</v>
      </c>
      <c r="G4" s="9" t="n">
        <v>429</v>
      </c>
      <c r="H4" s="9" t="n">
        <v>1395</v>
      </c>
      <c r="I4" s="10" t="n">
        <f aca="false">F4+G4-H4</f>
        <v>0</v>
      </c>
      <c r="J4" s="10" t="n">
        <f aca="false">B4+H4</f>
        <v>5545</v>
      </c>
      <c r="K4" s="10" t="n">
        <f aca="false">INDEX(地域別四半期!$M$3:$M$44,MATCH(A4,地域別四半期!$A$3:$A$44,0))</f>
        <v>5665</v>
      </c>
      <c r="L4" s="10" t="n">
        <f aca="false">K4-J4</f>
        <v>120</v>
      </c>
    </row>
    <row r="5" customFormat="false" ht="15" hidden="false" customHeight="true" outlineLevel="0" collapsed="false">
      <c r="A5" s="8" t="s">
        <v>120</v>
      </c>
      <c r="B5" s="9" t="n">
        <v>5106</v>
      </c>
      <c r="C5" s="15" t="n">
        <v>0.57</v>
      </c>
      <c r="D5" s="15" t="n">
        <v>0.08</v>
      </c>
      <c r="E5" s="15" t="n">
        <v>0.35</v>
      </c>
      <c r="F5" s="9" t="n">
        <v>1026</v>
      </c>
      <c r="G5" s="9" t="n">
        <v>389</v>
      </c>
      <c r="H5" s="9" t="n">
        <v>1415</v>
      </c>
      <c r="I5" s="10" t="n">
        <f aca="false">F5+G5-H5</f>
        <v>0</v>
      </c>
      <c r="J5" s="10" t="n">
        <f aca="false">B5+H5</f>
        <v>6521</v>
      </c>
      <c r="K5" s="10" t="n">
        <f aca="false">INDEX(地域別四半期!$M$3:$M$44,MATCH(A5,地域別四半期!$A$3:$A$44,0))</f>
        <v>6545</v>
      </c>
      <c r="L5" s="10" t="n">
        <f aca="false">K5-J5</f>
        <v>24</v>
      </c>
    </row>
    <row r="6" customFormat="false" ht="15" hidden="false" customHeight="true" outlineLevel="0" collapsed="false">
      <c r="A6" s="8" t="s">
        <v>122</v>
      </c>
      <c r="B6" s="9" t="n">
        <v>5039</v>
      </c>
      <c r="C6" s="15" t="n">
        <v>0.51</v>
      </c>
      <c r="D6" s="15" t="n">
        <v>0.12</v>
      </c>
      <c r="E6" s="15" t="n">
        <v>0.37</v>
      </c>
      <c r="F6" s="9" t="n">
        <v>968</v>
      </c>
      <c r="G6" s="9" t="n">
        <v>421</v>
      </c>
      <c r="H6" s="9" t="n">
        <v>1389</v>
      </c>
      <c r="I6" s="10" t="n">
        <f aca="false">F6+G6-H6</f>
        <v>0</v>
      </c>
      <c r="J6" s="10" t="n">
        <f aca="false">B6+H6</f>
        <v>6428</v>
      </c>
      <c r="K6" s="10" t="n">
        <f aca="false">INDEX(地域別四半期!$M$3:$M$44,MATCH(A6,地域別四半期!$A$3:$A$44,0))</f>
        <v>6554</v>
      </c>
      <c r="L6" s="10" t="n">
        <f aca="false">K6-J6</f>
        <v>126</v>
      </c>
    </row>
    <row r="7" customFormat="false" ht="15" hidden="false" customHeight="true" outlineLevel="0" collapsed="false">
      <c r="A7" s="8" t="s">
        <v>124</v>
      </c>
      <c r="B7" s="9" t="n">
        <v>3950</v>
      </c>
      <c r="C7" s="15" t="n">
        <v>0.64</v>
      </c>
      <c r="D7" s="15" t="n">
        <v>0.1</v>
      </c>
      <c r="E7" s="15" t="n">
        <v>0.26</v>
      </c>
      <c r="F7" s="9" t="n">
        <v>987</v>
      </c>
      <c r="G7" s="9" t="n">
        <v>425</v>
      </c>
      <c r="H7" s="9" t="n">
        <v>1412</v>
      </c>
      <c r="I7" s="10" t="n">
        <f aca="false">F7+G7-H7</f>
        <v>0</v>
      </c>
      <c r="J7" s="10" t="n">
        <f aca="false">B7+H7</f>
        <v>5362</v>
      </c>
      <c r="K7" s="10" t="n">
        <f aca="false">INDEX(地域別四半期!$M$3:$M$44,MATCH(A7,地域別四半期!$A$3:$A$44,0))</f>
        <v>5495</v>
      </c>
      <c r="L7" s="10" t="n">
        <f aca="false">K7-J7</f>
        <v>133</v>
      </c>
    </row>
    <row r="8" customFormat="false" ht="15" hidden="false" customHeight="true" outlineLevel="0" collapsed="false">
      <c r="A8" s="8" t="s">
        <v>126</v>
      </c>
      <c r="B8" s="9" t="n">
        <v>4550</v>
      </c>
      <c r="C8" s="15" t="n">
        <v>0.59</v>
      </c>
      <c r="D8" s="15" t="n">
        <v>0.14</v>
      </c>
      <c r="E8" s="15" t="n">
        <v>0.27</v>
      </c>
      <c r="F8" s="9" t="n">
        <v>1021</v>
      </c>
      <c r="G8" s="9" t="n">
        <v>582</v>
      </c>
      <c r="H8" s="9" t="n">
        <v>1603</v>
      </c>
      <c r="I8" s="10" t="n">
        <f aca="false">F8+G8-H8</f>
        <v>0</v>
      </c>
      <c r="J8" s="10" t="n">
        <f aca="false">B8+H8</f>
        <v>6153</v>
      </c>
      <c r="K8" s="10" t="n">
        <f aca="false">INDEX(地域別四半期!$M$3:$M$44,MATCH(A8,地域別四半期!$A$3:$A$44,0))</f>
        <v>6300</v>
      </c>
      <c r="L8" s="10" t="n">
        <f aca="false">K8-J8</f>
        <v>147</v>
      </c>
    </row>
    <row r="9" customFormat="false" ht="15" hidden="false" customHeight="true" outlineLevel="0" collapsed="false">
      <c r="A9" s="8" t="s">
        <v>128</v>
      </c>
      <c r="B9" s="9" t="n">
        <v>3851</v>
      </c>
      <c r="C9" s="15" t="n">
        <v>0.56</v>
      </c>
      <c r="D9" s="15" t="n">
        <v>0.08</v>
      </c>
      <c r="E9" s="15" t="n">
        <v>0.36</v>
      </c>
      <c r="F9" s="9" t="n">
        <v>1157</v>
      </c>
      <c r="G9" s="9" t="n">
        <v>458</v>
      </c>
      <c r="H9" s="9" t="n">
        <v>1616</v>
      </c>
      <c r="I9" s="10" t="n">
        <f aca="false">F9+G9-H9</f>
        <v>-1</v>
      </c>
      <c r="J9" s="10" t="n">
        <f aca="false">B9+H9</f>
        <v>5467</v>
      </c>
      <c r="K9" s="10" t="n">
        <f aca="false">INDEX(地域別四半期!$M$3:$M$44,MATCH(A9,地域別四半期!$A$3:$A$44,0))</f>
        <v>5520</v>
      </c>
      <c r="L9" s="10" t="n">
        <f aca="false">K9-J9</f>
        <v>53</v>
      </c>
    </row>
    <row r="10" customFormat="false" ht="15" hidden="false" customHeight="true" outlineLevel="0" collapsed="false">
      <c r="A10" s="8" t="s">
        <v>130</v>
      </c>
      <c r="B10" s="9" t="n">
        <v>5401</v>
      </c>
      <c r="C10" s="15" t="n">
        <v>0.58</v>
      </c>
      <c r="D10" s="15" t="n">
        <v>0.08</v>
      </c>
      <c r="E10" s="15" t="n">
        <v>0.34</v>
      </c>
      <c r="F10" s="9" t="n">
        <v>1194</v>
      </c>
      <c r="G10" s="9" t="n">
        <v>434</v>
      </c>
      <c r="H10" s="9" t="n">
        <v>1628</v>
      </c>
      <c r="I10" s="10" t="n">
        <f aca="false">F10+G10-H10</f>
        <v>0</v>
      </c>
      <c r="J10" s="10" t="n">
        <f aca="false">B10+H10</f>
        <v>7029</v>
      </c>
      <c r="K10" s="10" t="n">
        <f aca="false">INDEX(地域別四半期!$M$3:$M$44,MATCH(A10,地域別四半期!$A$3:$A$44,0))</f>
        <v>7118</v>
      </c>
      <c r="L10" s="10" t="n">
        <f aca="false">K10-J10</f>
        <v>89</v>
      </c>
    </row>
    <row r="11" customFormat="false" ht="15" hidden="false" customHeight="true" outlineLevel="0" collapsed="false">
      <c r="A11" s="8" t="s">
        <v>132</v>
      </c>
      <c r="B11" s="9" t="n">
        <v>5313</v>
      </c>
      <c r="C11" s="15" t="n">
        <v>0.57</v>
      </c>
      <c r="D11" s="15" t="n">
        <v>0.11</v>
      </c>
      <c r="E11" s="15" t="n">
        <v>0.32</v>
      </c>
      <c r="F11" s="9" t="n">
        <v>1357</v>
      </c>
      <c r="G11" s="9" t="n">
        <v>523</v>
      </c>
      <c r="H11" s="9" t="n">
        <v>1880</v>
      </c>
      <c r="I11" s="10" t="n">
        <f aca="false">F11+G11-H11</f>
        <v>0</v>
      </c>
      <c r="J11" s="10" t="n">
        <f aca="false">B11+H11</f>
        <v>7193</v>
      </c>
      <c r="K11" s="10" t="n">
        <f aca="false">INDEX(地域別四半期!$M$3:$M$44,MATCH(A11,地域別四半期!$A$3:$A$44,0))</f>
        <v>7323</v>
      </c>
      <c r="L11" s="10" t="n">
        <f aca="false">K11-J11</f>
        <v>130</v>
      </c>
    </row>
    <row r="13" customFormat="false" ht="15" hidden="false" customHeight="true" outlineLevel="0" collapsed="false">
      <c r="A13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22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7" t="s">
        <v>171</v>
      </c>
      <c r="B1" s="7" t="s">
        <v>172</v>
      </c>
      <c r="C1" s="7" t="s">
        <v>173</v>
      </c>
      <c r="D1" s="13" t="s">
        <v>174</v>
      </c>
    </row>
    <row r="2" customFormat="false" ht="15" hidden="false" customHeight="true" outlineLevel="0" collapsed="false">
      <c r="A2" s="16" t="s">
        <v>38</v>
      </c>
      <c r="B2" s="16" t="s">
        <v>175</v>
      </c>
      <c r="C2" s="16" t="s">
        <v>176</v>
      </c>
      <c r="D2" s="16" t="s">
        <v>177</v>
      </c>
    </row>
    <row r="3" customFormat="false" ht="15" hidden="false" customHeight="true" outlineLevel="0" collapsed="false">
      <c r="A3" s="16" t="s">
        <v>51</v>
      </c>
      <c r="B3" s="16" t="s">
        <v>178</v>
      </c>
      <c r="C3" s="16" t="s">
        <v>179</v>
      </c>
      <c r="D3" s="16" t="s">
        <v>180</v>
      </c>
    </row>
    <row r="4" customFormat="false" ht="15" hidden="false" customHeight="true" outlineLevel="0" collapsed="false">
      <c r="A4" s="16" t="s">
        <v>181</v>
      </c>
      <c r="B4" s="16" t="s">
        <v>182</v>
      </c>
      <c r="C4" s="16" t="s">
        <v>183</v>
      </c>
      <c r="D4" s="16" t="s">
        <v>184</v>
      </c>
    </row>
    <row r="5" customFormat="false" ht="15" hidden="false" customHeight="true" outlineLevel="0" collapsed="false">
      <c r="A5" s="16" t="s">
        <v>61</v>
      </c>
      <c r="B5" s="16" t="s">
        <v>185</v>
      </c>
      <c r="C5" s="16" t="s">
        <v>186</v>
      </c>
      <c r="D5" s="16" t="s">
        <v>187</v>
      </c>
    </row>
    <row r="6" customFormat="false" ht="15" hidden="false" customHeight="true" outlineLevel="0" collapsed="false">
      <c r="A6" s="16" t="s">
        <v>78</v>
      </c>
      <c r="B6" s="16" t="s">
        <v>188</v>
      </c>
      <c r="C6" s="16" t="s">
        <v>189</v>
      </c>
      <c r="D6" s="16" t="s">
        <v>190</v>
      </c>
    </row>
    <row r="7" customFormat="false" ht="15" hidden="false" customHeight="true" outlineLevel="0" collapsed="false">
      <c r="A7" s="16" t="s">
        <v>87</v>
      </c>
      <c r="B7" s="16" t="s">
        <v>191</v>
      </c>
      <c r="C7" s="16" t="s">
        <v>192</v>
      </c>
      <c r="D7" s="16" t="s">
        <v>193</v>
      </c>
    </row>
    <row r="8" customFormat="false" ht="15" hidden="false" customHeight="true" outlineLevel="0" collapsed="false">
      <c r="A8" s="16" t="s">
        <v>97</v>
      </c>
      <c r="B8" s="16" t="s">
        <v>194</v>
      </c>
      <c r="C8" s="16" t="s">
        <v>195</v>
      </c>
      <c r="D8" s="16" t="s">
        <v>196</v>
      </c>
    </row>
    <row r="9" customFormat="false" ht="15" hidden="false" customHeight="true" outlineLevel="0" collapsed="false">
      <c r="A9" s="16" t="s">
        <v>108</v>
      </c>
      <c r="B9" s="16" t="s">
        <v>197</v>
      </c>
      <c r="C9" s="16" t="s">
        <v>198</v>
      </c>
      <c r="D9" s="16" t="s">
        <v>199</v>
      </c>
    </row>
    <row r="10" customFormat="false" ht="15" hidden="false" customHeight="true" outlineLevel="0" collapsed="false">
      <c r="A10" s="16" t="s">
        <v>117</v>
      </c>
      <c r="B10" s="16" t="s">
        <v>200</v>
      </c>
      <c r="C10" s="16" t="s">
        <v>201</v>
      </c>
      <c r="D10" s="16" t="s">
        <v>202</v>
      </c>
    </row>
    <row r="11" customFormat="false" ht="15" hidden="false" customHeight="true" outlineLevel="0" collapsed="false">
      <c r="A11" s="17" t="s">
        <v>203</v>
      </c>
      <c r="B11" s="16" t="s">
        <v>204</v>
      </c>
      <c r="C11" s="16" t="s">
        <v>154</v>
      </c>
      <c r="D11" s="16" t="s">
        <v>205</v>
      </c>
    </row>
    <row r="12" customFormat="false" ht="15" hidden="false" customHeight="true" outlineLevel="0" collapsed="false">
      <c r="A12" s="17" t="s">
        <v>206</v>
      </c>
      <c r="B12" s="17" t="s">
        <v>207</v>
      </c>
      <c r="C12" s="17" t="s">
        <v>208</v>
      </c>
      <c r="D12" s="16" t="s">
        <v>209</v>
      </c>
    </row>
    <row r="13" customFormat="false" ht="15" hidden="false" customHeight="true" outlineLevel="0" collapsed="false">
      <c r="A13" s="17" t="s">
        <v>206</v>
      </c>
      <c r="B13" s="17" t="s">
        <v>210</v>
      </c>
      <c r="C13" s="17" t="s">
        <v>208</v>
      </c>
      <c r="D13" s="16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7" t="s">
        <v>212</v>
      </c>
      <c r="B1" s="7" t="s">
        <v>213</v>
      </c>
      <c r="C1" s="7" t="s">
        <v>214</v>
      </c>
    </row>
    <row r="2" customFormat="false" ht="29.25" hidden="false" customHeight="true" outlineLevel="0" collapsed="false">
      <c r="A2" s="16" t="s">
        <v>215</v>
      </c>
      <c r="B2" s="17" t="s">
        <v>216</v>
      </c>
      <c r="C2" s="16" t="s">
        <v>217</v>
      </c>
    </row>
    <row r="3" customFormat="false" ht="29.25" hidden="false" customHeight="true" outlineLevel="0" collapsed="false">
      <c r="A3" s="16" t="s">
        <v>218</v>
      </c>
      <c r="B3" s="17" t="s">
        <v>216</v>
      </c>
      <c r="C3" s="17" t="s">
        <v>219</v>
      </c>
    </row>
    <row r="4" customFormat="false" ht="15" hidden="false" customHeight="true" outlineLevel="0" collapsed="false">
      <c r="A4" s="17" t="s">
        <v>220</v>
      </c>
      <c r="B4" s="17" t="s">
        <v>216</v>
      </c>
      <c r="C4" s="17" t="s">
        <v>221</v>
      </c>
    </row>
    <row r="5" customFormat="false" ht="15" hidden="false" customHeight="true" outlineLevel="0" collapsed="false">
      <c r="A5" s="17" t="s">
        <v>222</v>
      </c>
      <c r="B5" s="17" t="s">
        <v>223</v>
      </c>
      <c r="C5" s="17" t="s">
        <v>224</v>
      </c>
    </row>
    <row r="6" customFormat="false" ht="15" hidden="false" customHeight="true" outlineLevel="0" collapsed="false">
      <c r="A6" s="17" t="s">
        <v>225</v>
      </c>
      <c r="B6" s="17" t="s">
        <v>226</v>
      </c>
      <c r="C6" s="17" t="s">
        <v>227</v>
      </c>
    </row>
    <row r="7" customFormat="false" ht="15" hidden="false" customHeight="true" outlineLevel="0" collapsed="false">
      <c r="A7" s="17" t="s">
        <v>228</v>
      </c>
      <c r="B7" s="17" t="s">
        <v>229</v>
      </c>
      <c r="C7" s="17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2026-10-02T03:03:41Z</dcterms:created>
  <dc:creator>openpyxl</dc:creator>
  <dc:description/>
  <dc:language>en-US</dc:language>
  <cp:lastModifiedBy/>
  <dcterms:modified xsi:type="dcterms:W3CDTF">2026-10-02T12:13:31Z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