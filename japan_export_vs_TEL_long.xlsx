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グラフ" sheetId="2" state="visible" r:id="rId4"/>
    <sheet name="ラグ相関" sheetId="3" state="visible" r:id="rId5"/>
    <sheet name="分布ラグ" sheetId="4" state="visible" r:id="rId6"/>
    <sheet name="推定誤差比較" sheetId="5" state="visible" r:id="rId7"/>
    <sheet name="海外_四半期推定" sheetId="6" state="visible" r:id="rId8"/>
    <sheet name="グラフ用データ" sheetId="7" state="visible" r:id="rId9"/>
    <sheet name="月次輸出" sheetId="8" state="visible" r:id="rId10"/>
    <sheet name="四半期輸出" sheetId="9" state="visible" r:id="rId11"/>
    <sheet name="グラフ用ラ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<sst xmlns="http://schemas.openxmlformats.org/spreadsheetml/2006/main" count="493" uniqueCount="366">
  <si>
    <t xml:space="preserve">対象</t>
  </si>
  <si>
    <t xml:space="preserve">日本の輸出（848620000）と、TEL地域別売上（2016Q1〜2026Q2、42四半期）。前回の13四半期の結果を、長期の標本で見直した。</t>
  </si>
  <si>
    <t xml:space="preserve">修正点</t>
  </si>
  <si>
    <t xml:space="preserve">前回は全地域でラグ0（同時）に見えたが、42四半期では韓国向け輸出がTEL韓国売上に約1か月先行する傾向が出た。台湾（約0.3か月）・中国（約0.6か月）はほぼ同時。北米・欧州は区間が広く判断できない。標本が増えたことで結論が変わった。</t>
  </si>
  <si>
    <t xml:space="preserve">先行性の大きさ</t>
  </si>
  <si>
    <t xml:space="preserve">韓国：輸出の重心がラグ0.0の場合に比べ約1.3か月先行（90%区間の目安 0.5〜2.5か月）。世界合計は約0.6か月。先行は1か月前後で、四半期をまたぐ先行ではない。</t>
  </si>
  <si>
    <t xml:space="preserve">推定精度</t>
  </si>
  <si>
    <r>
      <rPr>
        <sz val="10"/>
        <rFont val="Arial"/>
        <family val="0"/>
        <charset val="1"/>
      </rPr>
      <t xml:space="preserve">TEL</t>
    </r>
    <r>
      <rPr>
        <sz val="10"/>
        <rFont val="Noto Sans CJK SC"/>
        <family val="2"/>
      </rPr>
      <t xml:space="preserve">海外売上を、同四半期の比率（過去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年の同四半期比率の平均）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当四半期の輸出で推定すると、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四半期の平均誤差は</t>
    </r>
    <r>
      <rPr>
        <sz val="10"/>
        <rFont val="Arial"/>
        <family val="0"/>
        <charset val="1"/>
      </rPr>
      <t xml:space="preserve">8.1%</t>
    </r>
    <r>
      <rPr>
        <sz val="10"/>
        <rFont val="Noto Sans CJK SC"/>
        <family val="2"/>
      </rPr>
      <t xml:space="preserve">。前期の値で代用すると</t>
    </r>
    <r>
      <rPr>
        <sz val="10"/>
        <rFont val="Arial"/>
        <family val="0"/>
        <charset val="1"/>
      </rPr>
      <t xml:space="preserve">15.9%</t>
    </r>
    <r>
      <rPr>
        <sz val="10"/>
        <rFont val="Noto Sans CJK SC"/>
        <family val="2"/>
      </rPr>
      <t xml:space="preserve">、前年同期の値では</t>
    </r>
    <r>
      <rPr>
        <sz val="10"/>
        <rFont val="Arial"/>
        <family val="0"/>
        <charset val="1"/>
      </rPr>
      <t xml:space="preserve">21.1%</t>
    </r>
    <r>
      <rPr>
        <sz val="10"/>
        <rFont val="Noto Sans CJK SC"/>
        <family val="2"/>
      </rPr>
      <t xml:space="preserve">。</t>
    </r>
  </si>
  <si>
    <t xml:space="preserve">決算前の推定</t>
  </si>
  <si>
    <t xml:space="preserve">四半期末月の20日ごろに出る第2月までの輸出（窓k=1）で推定すると誤差は約9.7%。決算発表の約6週間前に使える。前回の13四半期の推定誤差（約6.7%）は標本が小さく楽観的だった。</t>
  </si>
  <si>
    <t xml:space="preserve">季節性</t>
  </si>
  <si>
    <r>
      <rPr>
        <sz val="10"/>
        <rFont val="Arial"/>
        <family val="0"/>
        <charset val="1"/>
      </rPr>
      <t xml:space="preserve">TEL</t>
    </r>
    <r>
      <rPr>
        <sz val="10"/>
        <rFont val="Noto Sans CJK SC"/>
        <family val="2"/>
      </rPr>
      <t xml:space="preserve">海外売上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輸出の比率は、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月（暦</t>
    </r>
    <r>
      <rPr>
        <sz val="10"/>
        <rFont val="Arial"/>
        <family val="0"/>
        <charset val="1"/>
      </rPr>
      <t xml:space="preserve">3Q</t>
    </r>
    <r>
      <rPr>
        <sz val="10"/>
        <rFont val="Noto Sans CJK SC"/>
        <family val="2"/>
      </rPr>
      <t xml:space="preserve">）に高く（</t>
    </r>
    <r>
      <rPr>
        <sz val="10"/>
        <rFont val="Arial"/>
        <family val="0"/>
        <charset val="1"/>
      </rPr>
      <t xml:space="preserve">0.88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1.02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月に低い（</t>
    </r>
    <r>
      <rPr>
        <sz val="10"/>
        <rFont val="Arial"/>
        <family val="0"/>
        <charset val="1"/>
      </rPr>
      <t xml:space="preserve">0.64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0.66</t>
    </r>
    <r>
      <rPr>
        <sz val="10"/>
        <rFont val="Noto Sans CJK SC"/>
        <family val="2"/>
      </rPr>
      <t xml:space="preserve">）。同四半期の比率を使うほうが精度が上がる。</t>
    </r>
  </si>
  <si>
    <t xml:space="preserve">結論</t>
  </si>
  <si>
    <t xml:space="preserve">日本側輸出は、需要の先行指標ではなく、約1か月先行する同時指標である。決算前の着地推定に使える。数か月〜四半期先の先行性は、上流の指標（顧客capex、材料、工場建設）に求める必要がある。</t>
  </si>
  <si>
    <t xml:space="preserve">注意</t>
  </si>
  <si>
    <r>
      <rPr>
        <sz val="10"/>
        <rFont val="Arial"/>
        <family val="0"/>
        <charset val="1"/>
      </rPr>
      <t xml:space="preserve">(1) 2023Q2</t>
    </r>
    <r>
      <rPr>
        <sz val="10"/>
        <rFont val="Noto Sans CJK SC"/>
        <family val="2"/>
      </rPr>
      <t xml:space="preserve">以降の</t>
    </r>
    <r>
      <rPr>
        <sz val="10"/>
        <rFont val="Arial"/>
        <family val="0"/>
        <charset val="1"/>
      </rPr>
      <t xml:space="preserve">TEL</t>
    </r>
    <r>
      <rPr>
        <sz val="10"/>
        <rFont val="Noto Sans CJK SC"/>
        <family val="2"/>
      </rPr>
      <t xml:space="preserve">は全社（</t>
    </r>
    <r>
      <rPr>
        <sz val="10"/>
        <rFont val="Arial"/>
        <family val="0"/>
        <charset val="1"/>
      </rPr>
      <t xml:space="preserve">FPD</t>
    </r>
    <r>
      <rPr>
        <sz val="10"/>
        <rFont val="Noto Sans CJK SC"/>
        <family val="2"/>
      </rPr>
      <t xml:space="preserve">含む）、それ以前は</t>
    </r>
    <r>
      <rPr>
        <sz val="10"/>
        <rFont val="Arial"/>
        <family val="0"/>
        <charset val="1"/>
      </rPr>
      <t xml:space="preserve">SPE</t>
    </r>
    <r>
      <rPr>
        <sz val="10"/>
        <rFont val="Noto Sans CJK SC"/>
        <family val="2"/>
      </rPr>
      <t xml:space="preserve">部門のみ（水準差約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(2) 848620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TEL</t>
    </r>
    <r>
      <rPr>
        <sz val="10"/>
        <rFont val="Noto Sans CJK SC"/>
        <family val="2"/>
      </rPr>
      <t xml:space="preserve">以外の日本メーカー（露光、洗浄等）も含む。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輸出は確定・確報値で、速報の改訂差は未検証。</t>
    </r>
    <r>
      <rPr>
        <sz val="10"/>
        <rFont val="Arial"/>
        <family val="0"/>
        <charset val="1"/>
      </rPr>
      <t xml:space="preserve">(4) YoY</t>
    </r>
    <r>
      <rPr>
        <sz val="10"/>
        <rFont val="Noto Sans CJK SC"/>
        <family val="2"/>
      </rPr>
      <t xml:space="preserve">相関は重なる期間による自己相関で、有意性が過大に見える。</t>
    </r>
  </si>
  <si>
    <t xml:space="preserve">シート</t>
  </si>
  <si>
    <t xml:space="preserve">ラグ相関 / 分布ラグ / 推定誤差比較 / 海外_四半期推定</t>
  </si>
  <si>
    <r>
      <rPr>
        <b val="true"/>
        <sz val="12"/>
        <rFont val="Noto Sans CJK SC"/>
        <family val="2"/>
      </rPr>
      <t xml:space="preserve">グラフ（すべて億円。青＝</t>
    </r>
    <r>
      <rPr>
        <b val="true"/>
        <sz val="12"/>
        <rFont val="Arial"/>
        <family val="0"/>
        <charset val="1"/>
      </rPr>
      <t xml:space="preserve">TEL</t>
    </r>
    <r>
      <rPr>
        <b val="true"/>
        <sz val="12"/>
        <rFont val="Noto Sans CJK SC"/>
        <family val="2"/>
      </rPr>
      <t xml:space="preserve">売上、橙＝日本の輸出。国別は同じ縦軸の単位で比較できる）</t>
    </r>
  </si>
  <si>
    <r>
      <rPr>
        <i val="true"/>
        <sz val="10"/>
        <rFont val="Arial"/>
        <family val="0"/>
        <charset val="1"/>
      </rPr>
      <t xml:space="preserve">k&gt;0</t>
    </r>
    <r>
      <rPr>
        <i val="true"/>
        <sz val="10"/>
        <rFont val="Noto Sans CJK SC"/>
        <family val="2"/>
      </rPr>
      <t xml:space="preserve">：輸出の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か月窓が売上四半期末の</t>
    </r>
    <r>
      <rPr>
        <i val="true"/>
        <sz val="10"/>
        <rFont val="Arial"/>
        <family val="0"/>
        <charset val="1"/>
      </rPr>
      <t xml:space="preserve">k</t>
    </r>
    <r>
      <rPr>
        <i val="true"/>
        <sz val="10"/>
        <rFont val="Noto Sans CJK SC"/>
        <family val="2"/>
      </rPr>
      <t xml:space="preserve">月前に終わる（輸出が先行）。</t>
    </r>
    <r>
      <rPr>
        <i val="true"/>
        <sz val="10"/>
        <rFont val="Arial"/>
        <family val="0"/>
        <charset val="1"/>
      </rPr>
      <t xml:space="preserve">k&lt;0</t>
    </r>
    <r>
      <rPr>
        <i val="true"/>
        <sz val="10"/>
        <rFont val="Noto Sans CJK SC"/>
        <family val="2"/>
      </rPr>
      <t xml:space="preserve">：輸出が後。相関は変化率（</t>
    </r>
    <r>
      <rPr>
        <i val="true"/>
        <sz val="10"/>
        <rFont val="Arial"/>
        <family val="0"/>
        <charset val="1"/>
      </rPr>
      <t xml:space="preserve">QoQ</t>
    </r>
    <r>
      <rPr>
        <i val="true"/>
        <sz val="10"/>
        <rFont val="Noto Sans CJK SC"/>
        <family val="2"/>
      </rPr>
      <t xml:space="preserve">・</t>
    </r>
    <r>
      <rPr>
        <i val="true"/>
        <sz val="10"/>
        <rFont val="Arial"/>
        <family val="0"/>
        <charset val="1"/>
      </rPr>
      <t xml:space="preserve">YoY</t>
    </r>
    <r>
      <rPr>
        <i val="true"/>
        <sz val="10"/>
        <rFont val="Noto Sans CJK SC"/>
        <family val="2"/>
      </rPr>
      <t xml:space="preserve">）。</t>
    </r>
    <r>
      <rPr>
        <i val="true"/>
        <sz val="10"/>
        <rFont val="Arial"/>
        <family val="0"/>
        <charset val="1"/>
      </rPr>
      <t xml:space="preserve">QoQ n=41</t>
    </r>
    <r>
      <rPr>
        <i val="true"/>
        <sz val="10"/>
        <rFont val="Noto Sans CJK SC"/>
        <family val="2"/>
      </rPr>
      <t xml:space="preserve">、</t>
    </r>
    <r>
      <rPr>
        <i val="true"/>
        <sz val="10"/>
        <rFont val="Arial"/>
        <family val="0"/>
        <charset val="1"/>
      </rPr>
      <t xml:space="preserve">YoY n=38</t>
    </r>
    <r>
      <rPr>
        <i val="true"/>
        <sz val="10"/>
        <rFont val="Noto Sans CJK SC"/>
        <family val="2"/>
      </rPr>
      <t xml:space="preserve">。</t>
    </r>
  </si>
  <si>
    <t xml:space="preserve">系列</t>
  </si>
  <si>
    <t xml:space="preserve">変化率</t>
  </si>
  <si>
    <t xml:space="preserve">k=-3</t>
  </si>
  <si>
    <t xml:space="preserve">k=-2</t>
  </si>
  <si>
    <t xml:space="preserve">k=-1</t>
  </si>
  <si>
    <t xml:space="preserve">k=0</t>
  </si>
  <si>
    <t xml:space="preserve">k=1</t>
  </si>
  <si>
    <t xml:space="preserve">k=2</t>
  </si>
  <si>
    <t xml:space="preserve">k=3</t>
  </si>
  <si>
    <t xml:space="preserve">k=4</t>
  </si>
  <si>
    <t xml:space="preserve">k=5</t>
  </si>
  <si>
    <t xml:space="preserve">k=6</t>
  </si>
  <si>
    <t xml:space="preserve">最大のk</t>
  </si>
  <si>
    <t xml:space="preserve">世界→TEL海外</t>
  </si>
  <si>
    <t xml:space="preserve">QoQ</t>
  </si>
  <si>
    <t xml:space="preserve">YoY</t>
  </si>
  <si>
    <t xml:space="preserve">韓国</t>
  </si>
  <si>
    <t xml:space="preserve">台湾</t>
  </si>
  <si>
    <t xml:space="preserve">中国</t>
  </si>
  <si>
    <t xml:space="preserve">北米</t>
  </si>
  <si>
    <t xml:space="preserve">欧州</t>
  </si>
  <si>
    <t xml:space="preserve">四半期売上＝Σ（輸出月×重み）の比例モデルを、非負最小二乗で推定。d＝輸出月－四半期末月（d=0が四半期末月、負が前）。重みは合計1。区間は4四半期ブロックのブートストラップ300回の90%区間。</t>
  </si>
  <si>
    <t xml:space="preserve">同四半期内（d=-2〜0）</t>
  </si>
  <si>
    <r>
      <rPr>
        <b val="true"/>
        <sz val="10"/>
        <rFont val="Arial"/>
        <family val="0"/>
        <charset val="1"/>
      </rPr>
      <t xml:space="preserve">90%</t>
    </r>
    <r>
      <rPr>
        <b val="true"/>
        <sz val="10"/>
        <rFont val="Noto Sans CJK SC"/>
        <family val="2"/>
      </rPr>
      <t xml:space="preserve">下</t>
    </r>
  </si>
  <si>
    <r>
      <rPr>
        <b val="true"/>
        <sz val="10"/>
        <rFont val="Arial"/>
        <family val="0"/>
        <charset val="1"/>
      </rPr>
      <t xml:space="preserve">90%</t>
    </r>
    <r>
      <rPr>
        <b val="true"/>
        <sz val="10"/>
        <rFont val="Noto Sans CJK SC"/>
        <family val="2"/>
      </rPr>
      <t xml:space="preserve">上</t>
    </r>
  </si>
  <si>
    <t xml:space="preserve">前の四半期（d=-5〜-3）</t>
  </si>
  <si>
    <t xml:space="preserve">さらに前（d≦-6）</t>
  </si>
  <si>
    <t xml:space="preserve">四半期末後（d=+1,+2）</t>
  </si>
  <si>
    <t xml:space="preserve">平均ラグ（月）</t>
  </si>
  <si>
    <t xml:space="preserve">同四半期一様の場合のラグ</t>
  </si>
  <si>
    <t xml:space="preserve">同時指標を超える先行（月）</t>
  </si>
  <si>
    <t xml:space="preserve">読み方：『同時指標を超える先行（月）』が正で、区間の下限も正なら、輸出が売上の計上より先に動いている。韓国で明確。重みが『さらに前』に出るのはトレンドの影響を含む可能性がある。</t>
  </si>
  <si>
    <t xml:space="preserve">ローリング推定（その時点で入手可能な過去のみ使用）。誤差＝|推定/実績－1|の平均（MAPE）。n=30四半期（2019Q1〜2026Q2）。k0＝当四半期の輸出、k1＝四半期末月の20日ごろに入手できる第2月までの輸出、k2＝さらに1か月前まで。</t>
  </si>
  <si>
    <t xml:space="preserve">推定方法</t>
  </si>
  <si>
    <r>
      <rPr>
        <b val="true"/>
        <sz val="10"/>
        <rFont val="Arial"/>
        <family val="0"/>
        <charset val="1"/>
      </rPr>
      <t xml:space="preserve">TEL</t>
    </r>
    <r>
      <rPr>
        <b val="true"/>
        <sz val="10"/>
        <rFont val="Noto Sans CJK SC"/>
        <family val="2"/>
      </rPr>
      <t xml:space="preserve">海外</t>
    </r>
  </si>
  <si>
    <t xml:space="preserve">前期の値（比較）</t>
  </si>
  <si>
    <t xml:space="preserve">前年同期の値（比較）</t>
  </si>
  <si>
    <t xml:space="preserve">直近4Q比率×輸出（k0）</t>
  </si>
  <si>
    <t xml:space="preserve">同四半期比率×輸出（k0）</t>
  </si>
  <si>
    <t xml:space="preserve">直近4Q比率×輸出（k1）</t>
  </si>
  <si>
    <t xml:space="preserve">同四半期比率×輸出（k1）</t>
  </si>
  <si>
    <t xml:space="preserve">同四半期比率×輸出（k2）</t>
  </si>
  <si>
    <t xml:space="preserve">前年同期×輸出YoY（k0）</t>
  </si>
  <si>
    <t xml:space="preserve">この表の値は、各地域の『海外_四半期推定』と同形式の計算結果（Pythonで算出）。TEL海外の四半期別の内訳と数式は次のシートにある。</t>
  </si>
  <si>
    <t xml:space="preserve">暦四半期</t>
  </si>
  <si>
    <r>
      <rPr>
        <b val="true"/>
        <sz val="10"/>
        <rFont val="Arial"/>
        <family val="0"/>
        <charset val="1"/>
      </rPr>
      <t xml:space="preserve">TEL</t>
    </r>
    <r>
      <rPr>
        <b val="true"/>
        <sz val="10"/>
        <rFont val="Noto Sans CJK SC"/>
        <family val="2"/>
      </rPr>
      <t xml:space="preserve">海外（実績）</t>
    </r>
  </si>
  <si>
    <t xml:space="preserve">前期</t>
  </si>
  <si>
    <t xml:space="preserve">前年同期</t>
  </si>
  <si>
    <t xml:space="preserve">直近4Q比率×輸出(k0)</t>
  </si>
  <si>
    <t xml:space="preserve">同四半期比率×輸出(k0)</t>
  </si>
  <si>
    <t xml:space="preserve">同四半期比率×輸出(k1)</t>
  </si>
  <si>
    <t xml:space="preserve">誤差：前期</t>
  </si>
  <si>
    <t xml:space="preserve">誤差：前年同期</t>
  </si>
  <si>
    <t xml:space="preserve">誤差：直近4Q(k0)</t>
  </si>
  <si>
    <t xml:space="preserve">誤差：同四半期(k0)</t>
  </si>
  <si>
    <t xml:space="preserve">誤差：同四半期(k1)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</si>
  <si>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</si>
  <si>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</si>
  <si>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</si>
  <si>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</si>
  <si>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</si>
  <si>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</si>
  <si>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</si>
  <si>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</si>
  <si>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</si>
  <si>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</si>
  <si>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</si>
  <si>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</si>
  <si>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</si>
  <si>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</si>
  <si>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</si>
  <si>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</si>
  <si>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</si>
  <si>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</si>
  <si>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</si>
  <si>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</si>
  <si>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</si>
  <si>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</si>
  <si>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</si>
  <si>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</si>
  <si>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</si>
  <si>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</si>
  <si>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</si>
  <si>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</si>
  <si>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</si>
  <si>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</si>
  <si>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MAPE</t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</si>
  <si>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世界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</si>
  <si>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海外</t>
    </r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</si>
  <si>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韓国</t>
    </r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</si>
  <si>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台湾</t>
    </r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</si>
  <si>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中国</t>
    </r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</si>
  <si>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北米</t>
    </r>
  </si>
  <si>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 欧州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</si>
  <si>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韓国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</si>
  <si>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台湾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</si>
  <si>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中国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</si>
  <si>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北米</t>
    </r>
  </si>
  <si>
    <r>
      <rPr>
        <b val="true"/>
        <sz val="10"/>
        <rFont val="Arial"/>
        <family val="0"/>
        <charset val="1"/>
      </rPr>
      <t xml:space="preserve">TEL </t>
    </r>
    <r>
      <rPr>
        <b val="true"/>
        <sz val="10"/>
        <rFont val="Noto Sans CJK SC"/>
        <family val="2"/>
      </rPr>
      <t xml:space="preserve">欧州</t>
    </r>
  </si>
  <si>
    <r>
      <rPr>
        <b val="true"/>
        <sz val="10"/>
        <rFont val="Noto Sans CJK SC"/>
        <family val="2"/>
      </rPr>
      <t xml:space="preserve">比率 </t>
    </r>
    <r>
      <rPr>
        <b val="true"/>
        <sz val="10"/>
        <rFont val="Arial"/>
        <family val="0"/>
        <charset val="1"/>
      </rPr>
      <t xml:space="preserve">TEL</t>
    </r>
    <r>
      <rPr>
        <b val="true"/>
        <sz val="10"/>
        <rFont val="Noto Sans CJK SC"/>
        <family val="2"/>
      </rPr>
      <t xml:space="preserve">海外</t>
    </r>
    <r>
      <rPr>
        <b val="true"/>
        <sz val="10"/>
        <rFont val="Arial"/>
        <family val="0"/>
        <charset val="1"/>
      </rPr>
      <t xml:space="preserve">÷JP</t>
    </r>
    <r>
      <rPr>
        <b val="true"/>
        <sz val="10"/>
        <rFont val="Noto Sans CJK SC"/>
        <family val="2"/>
      </rPr>
      <t xml:space="preserve">輸出</t>
    </r>
  </si>
  <si>
    <r>
      <rPr>
        <b val="true"/>
        <sz val="10"/>
        <rFont val="Noto Sans CJK SC"/>
        <family val="2"/>
      </rPr>
      <t xml:space="preserve">前年比 </t>
    </r>
    <r>
      <rPr>
        <b val="true"/>
        <sz val="10"/>
        <rFont val="Arial"/>
        <family val="0"/>
        <charset val="1"/>
      </rPr>
      <t xml:space="preserve">TEL</t>
    </r>
    <r>
      <rPr>
        <b val="true"/>
        <sz val="10"/>
        <rFont val="Noto Sans CJK SC"/>
        <family val="2"/>
      </rPr>
      <t xml:space="preserve">海外</t>
    </r>
  </si>
  <si>
    <r>
      <rPr>
        <b val="true"/>
        <sz val="10"/>
        <rFont val="Noto Sans CJK SC"/>
        <family val="2"/>
      </rPr>
      <t xml:space="preserve">前年比 </t>
    </r>
    <r>
      <rPr>
        <b val="true"/>
        <sz val="10"/>
        <rFont val="Arial"/>
        <family val="0"/>
        <charset val="1"/>
      </rPr>
      <t xml:space="preserve">JP</t>
    </r>
    <r>
      <rPr>
        <b val="true"/>
        <sz val="10"/>
        <rFont val="Noto Sans CJK SC"/>
        <family val="2"/>
      </rPr>
      <t xml:space="preserve">輸出世界</t>
    </r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</si>
  <si>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</si>
  <si>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</si>
  <si>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</si>
  <si>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</si>
  <si>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</si>
  <si>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</si>
  <si>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</si>
  <si>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</si>
  <si>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</si>
  <si>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</si>
  <si>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</si>
  <si>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</si>
  <si>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r>
      <rPr>
        <i val="true"/>
        <sz val="10"/>
        <rFont val="Noto Sans CJK SC"/>
        <family val="2"/>
      </rPr>
      <t xml:space="preserve">単位：億円。</t>
    </r>
    <r>
      <rPr>
        <i val="true"/>
        <sz val="10"/>
        <rFont val="Arial"/>
        <family val="0"/>
        <charset val="1"/>
      </rPr>
      <t xml:space="preserve">JP</t>
    </r>
    <r>
      <rPr>
        <i val="true"/>
        <sz val="10"/>
        <rFont val="Noto Sans CJK SC"/>
        <family val="2"/>
      </rPr>
      <t xml:space="preserve">輸出＝日本から各地域への</t>
    </r>
    <r>
      <rPr>
        <i val="true"/>
        <sz val="10"/>
        <rFont val="Arial"/>
        <family val="0"/>
        <charset val="1"/>
      </rPr>
      <t xml:space="preserve">848620000</t>
    </r>
    <r>
      <rPr>
        <i val="true"/>
        <sz val="10"/>
        <rFont val="Noto Sans CJK SC"/>
        <family val="2"/>
      </rPr>
      <t xml:space="preserve">（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か月合計）。</t>
    </r>
    <r>
      <rPr>
        <i val="true"/>
        <sz val="10"/>
        <rFont val="Arial"/>
        <family val="0"/>
        <charset val="1"/>
      </rPr>
      <t xml:space="preserve">TEL</t>
    </r>
    <r>
      <rPr>
        <i val="true"/>
        <sz val="10"/>
        <rFont val="Noto Sans CJK SC"/>
        <family val="2"/>
      </rPr>
      <t xml:space="preserve">＝地域別売上（</t>
    </r>
    <r>
      <rPr>
        <i val="true"/>
        <sz val="10"/>
        <rFont val="Arial"/>
        <family val="0"/>
        <charset val="1"/>
      </rPr>
      <t xml:space="preserve">2023Q1</t>
    </r>
    <r>
      <rPr>
        <i val="true"/>
        <sz val="10"/>
        <rFont val="Noto Sans CJK SC"/>
        <family val="2"/>
      </rPr>
      <t xml:space="preserve">までは</t>
    </r>
    <r>
      <rPr>
        <i val="true"/>
        <sz val="10"/>
        <rFont val="Arial"/>
        <family val="0"/>
        <charset val="1"/>
      </rPr>
      <t xml:space="preserve">SPE</t>
    </r>
    <r>
      <rPr>
        <i val="true"/>
        <sz val="10"/>
        <rFont val="Noto Sans CJK SC"/>
        <family val="2"/>
      </rPr>
      <t xml:space="preserve">部門のみ、以降は全社）。輸出は仕向地、</t>
    </r>
    <r>
      <rPr>
        <i val="true"/>
        <sz val="10"/>
        <rFont val="Arial"/>
        <family val="0"/>
        <charset val="1"/>
      </rPr>
      <t xml:space="preserve">TEL</t>
    </r>
    <r>
      <rPr>
        <i val="true"/>
        <sz val="10"/>
        <rFont val="Noto Sans CJK SC"/>
        <family val="2"/>
      </rPr>
      <t xml:space="preserve">は顧客所在地の定義で、完全には一致しない。</t>
    </r>
  </si>
  <si>
    <t xml:space="preserve">年月</t>
  </si>
  <si>
    <t xml:space="preserve">東南アジア・その他</t>
  </si>
  <si>
    <t xml:space="preserve">世界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</si>
  <si>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</si>
  <si>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</si>
  <si>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</si>
  <si>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</si>
  <si>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</si>
  <si>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</si>
  <si>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</si>
  <si>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</si>
  <si>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</si>
  <si>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</si>
  <si>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</si>
  <si>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</si>
  <si>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</si>
  <si>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</si>
  <si>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</si>
  <si>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</si>
  <si>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</si>
  <si>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</si>
  <si>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</si>
  <si>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</si>
  <si>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</si>
  <si>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</si>
  <si>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</si>
  <si>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</si>
  <si>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</si>
  <si>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</si>
  <si>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</si>
  <si>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</si>
  <si>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</si>
  <si>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</si>
  <si>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</si>
  <si>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</si>
  <si>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</si>
  <si>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</si>
  <si>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</si>
  <si>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</si>
  <si>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</si>
  <si>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</si>
  <si>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</si>
  <si>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</si>
  <si>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</si>
  <si>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</si>
  <si>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</si>
  <si>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</si>
  <si>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</si>
  <si>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</si>
  <si>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</si>
  <si>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</si>
  <si>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</si>
  <si>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</si>
  <si>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</si>
  <si>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</si>
  <si>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</si>
  <si>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</si>
  <si>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</si>
  <si>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</si>
  <si>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</si>
  <si>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</si>
  <si>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</si>
  <si>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</si>
  <si>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</si>
  <si>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</si>
  <si>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</si>
  <si>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</si>
  <si>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</si>
  <si>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</si>
  <si>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</si>
  <si>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</si>
  <si>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</si>
  <si>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</si>
  <si>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</si>
  <si>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</si>
  <si>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</si>
  <si>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</si>
  <si>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</si>
  <si>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</si>
  <si>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</si>
  <si>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</si>
  <si>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</si>
  <si>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</si>
  <si>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</si>
  <si>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</si>
  <si>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</si>
  <si>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</si>
  <si>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</si>
  <si>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</si>
  <si>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</si>
  <si>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</si>
  <si>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</si>
  <si>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</si>
  <si>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</si>
  <si>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</si>
  <si>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</si>
  <si>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</si>
  <si>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</si>
  <si>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</si>
  <si>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</si>
  <si>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</si>
  <si>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</si>
  <si>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</si>
  <si>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</si>
  <si>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</si>
  <si>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</si>
  <si>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</si>
  <si>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</si>
  <si>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</si>
  <si>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</si>
  <si>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</si>
  <si>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</si>
  <si>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</si>
  <si>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</si>
  <si>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</si>
  <si>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</si>
  <si>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</si>
  <si>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</si>
  <si>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</si>
  <si>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</si>
  <si>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</si>
  <si>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</si>
  <si>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</si>
  <si>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</si>
  <si>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</si>
  <si>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</si>
  <si>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</si>
  <si>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</si>
  <si>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</si>
  <si>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</si>
  <si>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</si>
  <si>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</si>
  <si>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</si>
  <si>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</si>
  <si>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</si>
  <si>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</si>
  <si>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</si>
  <si>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</si>
  <si>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</si>
  <si>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</si>
  <si>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</si>
  <si>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</si>
  <si>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</si>
  <si>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</si>
  <si>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</si>
  <si>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</si>
  <si>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</si>
  <si>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</si>
  <si>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</si>
  <si>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</si>
  <si>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</si>
  <si>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</si>
  <si>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</si>
  <si>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</si>
  <si>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</si>
  <si>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</si>
  <si>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</si>
  <si>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</si>
  <si>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</si>
  <si>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</si>
  <si>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</si>
  <si>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</si>
  <si>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</si>
  <si>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</si>
  <si>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</si>
  <si>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</si>
  <si>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</si>
  <si>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</si>
  <si>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</si>
  <si>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</si>
  <si>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</si>
  <si>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</si>
  <si>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</si>
  <si>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</si>
  <si>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</si>
  <si>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</si>
  <si>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</si>
  <si>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</si>
  <si>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</si>
  <si>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</si>
  <si>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</si>
  <si>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</si>
  <si>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</si>
  <si>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</si>
  <si>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</si>
  <si>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</si>
  <si>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</si>
  <si>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</si>
  <si>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</si>
  <si>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</si>
  <si>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</si>
  <si>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</si>
  <si>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</si>
  <si>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</si>
  <si>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</si>
  <si>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</si>
  <si>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</si>
  <si>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</si>
  <si>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</si>
  <si>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</si>
  <si>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</si>
  <si>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</si>
  <si>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</si>
  <si>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r>
      <rPr>
        <i val="true"/>
        <sz val="10"/>
        <rFont val="Noto Sans CJK SC"/>
        <family val="2"/>
      </rPr>
      <t xml:space="preserve">単位：億円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月。日本から各仕向地域への</t>
    </r>
    <r>
      <rPr>
        <i val="true"/>
        <sz val="10"/>
        <rFont val="Arial"/>
        <family val="0"/>
        <charset val="1"/>
      </rPr>
      <t xml:space="preserve">848620000</t>
    </r>
    <r>
      <rPr>
        <i val="true"/>
        <sz val="10"/>
        <rFont val="Noto Sans CJK SC"/>
        <family val="2"/>
      </rPr>
      <t xml:space="preserve">の輸出（確定・確報値）。</t>
    </r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</si>
  <si>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</si>
  <si>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</si>
  <si>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</si>
  <si>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</si>
  <si>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</si>
  <si>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</si>
  <si>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</si>
  <si>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</si>
  <si>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</si>
  <si>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</si>
  <si>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</si>
  <si>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</si>
  <si>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</si>
  <si>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</si>
  <si>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</si>
  <si>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</si>
  <si>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</si>
  <si>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</si>
  <si>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</si>
  <si>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</si>
  <si>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</si>
  <si>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</si>
  <si>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</si>
  <si>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</si>
  <si>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r>
      <rPr>
        <i val="true"/>
        <sz val="10"/>
        <rFont val="Noto Sans CJK SC"/>
        <family val="2"/>
      </rPr>
      <t xml:space="preserve">単位：億円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四半期。日本から各仕向地域への</t>
    </r>
    <r>
      <rPr>
        <i val="true"/>
        <sz val="10"/>
        <rFont val="Arial"/>
        <family val="0"/>
        <charset val="1"/>
      </rPr>
      <t xml:space="preserve">848620000</t>
    </r>
    <r>
      <rPr>
        <i val="true"/>
        <sz val="10"/>
        <rFont val="Noto Sans CJK SC"/>
        <family val="2"/>
      </rPr>
      <t xml:space="preserve">の</t>
    </r>
    <r>
      <rPr>
        <i val="true"/>
        <sz val="10"/>
        <rFont val="Arial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か月合計。</t>
    </r>
    <r>
      <rPr>
        <i val="true"/>
        <sz val="10"/>
        <rFont val="Arial"/>
        <family val="0"/>
        <charset val="1"/>
      </rPr>
      <t xml:space="preserve">2026Q3</t>
    </r>
    <r>
      <rPr>
        <i val="true"/>
        <sz val="10"/>
        <rFont val="Noto Sans CJK SC"/>
        <family val="2"/>
      </rPr>
      <t xml:space="preserve">は</t>
    </r>
    <r>
      <rPr>
        <i val="true"/>
        <sz val="10"/>
        <rFont val="Arial"/>
        <family val="0"/>
        <charset val="1"/>
      </rPr>
      <t xml:space="preserve">2</t>
    </r>
    <r>
      <rPr>
        <i val="true"/>
        <sz val="10"/>
        <rFont val="Noto Sans CJK SC"/>
        <family val="2"/>
      </rPr>
      <t xml:space="preserve">か月分のため除外。</t>
    </r>
  </si>
  <si>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（輸出が先行＝正）</t>
    </r>
  </si>
  <si>
    <r>
      <rPr>
        <b val="true"/>
        <sz val="10"/>
        <rFont val="Noto Sans CJK SC"/>
        <family val="2"/>
      </rPr>
      <t xml:space="preserve">世界→</t>
    </r>
    <r>
      <rPr>
        <b val="true"/>
        <sz val="10"/>
        <rFont val="Arial"/>
        <family val="0"/>
        <charset val="1"/>
      </rPr>
      <t xml:space="preserve">TEL</t>
    </r>
    <r>
      <rPr>
        <b val="true"/>
        <sz val="10"/>
        <rFont val="Noto Sans CJK SC"/>
        <family val="2"/>
      </rPr>
      <t xml:space="preserve">海外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</si>
</sst>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%"/>
    <numFmt numFmtId="168" formatCode="0.0"/>
    <numFmt numFmtId="169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name val="Noto Sans CJK SC"/>
      <family val="2"/>
      <charset val="1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E3E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C8C88"/>
      <rgbColor rgb="FF9999FF"/>
      <rgbColor rgb="FF993366"/>
      <rgbColor rgb="FFFFFFCC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0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999999"/>
      <rgbColor rgb="FF003366"/>
      <rgbColor rgb="FF1BAF7A"/>
      <rgbColor rgb="FF003300"/>
      <rgbColor rgb="FF333300"/>
      <rgbColor rgb="FF993300"/>
      <rgbColor rgb="FF993366"/>
      <rgbColor rgb="FF4A3A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全体：TEL海外売上と日本の輸出（848620、世界向け）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グラフ用データ!C1</c:f>
              <c:strCache>
                <c:ptCount val="1"/>
                <c:pt idx="0">
                  <c:v>TEL 海外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グラフ用データ!$C$2:$C$43</c:f>
              <c:numCache>
                <c:formatCode>#,##0</c:formatCode>
                <c:ptCount val="42"/>
                <c:pt idx="0">
                  <c:v>1228</c:v>
                </c:pt>
                <c:pt idx="1">
                  <c:v>1128</c:v>
                </c:pt>
                <c:pt idx="2">
                  <c:v>1695</c:v>
                </c:pt>
                <c:pt idx="3">
                  <c:v>1587</c:v>
                </c:pt>
                <c:pt idx="4">
                  <c:v>2165</c:v>
                </c:pt>
                <c:pt idx="5">
                  <c:v>1947</c:v>
                </c:pt>
                <c:pt idx="6">
                  <c:v>2269</c:v>
                </c:pt>
                <c:pt idx="7">
                  <c:v>2060</c:v>
                </c:pt>
                <c:pt idx="8">
                  <c:v>2807</c:v>
                </c:pt>
                <c:pt idx="9">
                  <c:v>2289</c:v>
                </c:pt>
                <c:pt idx="10">
                  <c:v>2998</c:v>
                </c:pt>
                <c:pt idx="11">
                  <c:v>1851</c:v>
                </c:pt>
                <c:pt idx="12">
                  <c:v>2457</c:v>
                </c:pt>
                <c:pt idx="13">
                  <c:v>1653</c:v>
                </c:pt>
                <c:pt idx="14">
                  <c:v>2306</c:v>
                </c:pt>
                <c:pt idx="15">
                  <c:v>2458</c:v>
                </c:pt>
                <c:pt idx="16">
                  <c:v>2590</c:v>
                </c:pt>
                <c:pt idx="17">
                  <c:v>2544</c:v>
                </c:pt>
                <c:pt idx="18">
                  <c:v>2746</c:v>
                </c:pt>
                <c:pt idx="19">
                  <c:v>2279</c:v>
                </c:pt>
                <c:pt idx="20">
                  <c:v>3616</c:v>
                </c:pt>
                <c:pt idx="21">
                  <c:v>3828</c:v>
                </c:pt>
                <c:pt idx="22">
                  <c:v>4136</c:v>
                </c:pt>
                <c:pt idx="23">
                  <c:v>4253</c:v>
                </c:pt>
                <c:pt idx="24">
                  <c:v>4921</c:v>
                </c:pt>
                <c:pt idx="25">
                  <c:v>4217</c:v>
                </c:pt>
                <c:pt idx="26">
                  <c:v>5983</c:v>
                </c:pt>
                <c:pt idx="27">
                  <c:v>4103</c:v>
                </c:pt>
                <c:pt idx="28">
                  <c:v>4854</c:v>
                </c:pt>
                <c:pt idx="29">
                  <c:v>3619</c:v>
                </c:pt>
                <c:pt idx="30">
                  <c:v>3862</c:v>
                </c:pt>
                <c:pt idx="31">
                  <c:v>4059</c:v>
                </c:pt>
                <c:pt idx="32">
                  <c:v>4902</c:v>
                </c:pt>
                <c:pt idx="33">
                  <c:v>5163</c:v>
                </c:pt>
                <c:pt idx="34">
                  <c:v>5136</c:v>
                </c:pt>
                <c:pt idx="35">
                  <c:v>6089</c:v>
                </c:pt>
                <c:pt idx="36">
                  <c:v>6017</c:v>
                </c:pt>
                <c:pt idx="37">
                  <c:v>4849</c:v>
                </c:pt>
                <c:pt idx="38">
                  <c:v>5768</c:v>
                </c:pt>
                <c:pt idx="39">
                  <c:v>5124</c:v>
                </c:pt>
                <c:pt idx="40">
                  <c:v>6288</c:v>
                </c:pt>
                <c:pt idx="41">
                  <c:v>6675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グラフ用データ!B1</c:f>
              <c:strCache>
                <c:ptCount val="1"/>
                <c:pt idx="0">
                  <c:v>JP輸出 世界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グラフ用データ!$B$2:$B$43</c:f>
              <c:numCache>
                <c:formatCode>#,##0</c:formatCode>
                <c:ptCount val="42"/>
                <c:pt idx="0">
                  <c:v>1891.39591</c:v>
                </c:pt>
                <c:pt idx="1">
                  <c:v>2102.24945</c:v>
                </c:pt>
                <c:pt idx="2">
                  <c:v>2389.99739</c:v>
                </c:pt>
                <c:pt idx="3">
                  <c:v>2400.9764</c:v>
                </c:pt>
                <c:pt idx="4">
                  <c:v>2927.44848</c:v>
                </c:pt>
                <c:pt idx="5">
                  <c:v>2906.11214</c:v>
                </c:pt>
                <c:pt idx="6">
                  <c:v>2523.69394</c:v>
                </c:pt>
                <c:pt idx="7">
                  <c:v>3210.2353</c:v>
                </c:pt>
                <c:pt idx="8">
                  <c:v>3832.80777</c:v>
                </c:pt>
                <c:pt idx="9">
                  <c:v>3182.45652</c:v>
                </c:pt>
                <c:pt idx="10">
                  <c:v>2928.30812</c:v>
                </c:pt>
                <c:pt idx="11">
                  <c:v>2849.95816</c:v>
                </c:pt>
                <c:pt idx="12">
                  <c:v>3353.69091</c:v>
                </c:pt>
                <c:pt idx="13">
                  <c:v>2816.79791</c:v>
                </c:pt>
                <c:pt idx="14">
                  <c:v>3026.11497</c:v>
                </c:pt>
                <c:pt idx="15">
                  <c:v>3446.8356</c:v>
                </c:pt>
                <c:pt idx="16">
                  <c:v>3397.15424</c:v>
                </c:pt>
                <c:pt idx="17">
                  <c:v>3180.0989</c:v>
                </c:pt>
                <c:pt idx="18">
                  <c:v>2784.00247</c:v>
                </c:pt>
                <c:pt idx="19">
                  <c:v>3470.86601</c:v>
                </c:pt>
                <c:pt idx="20">
                  <c:v>4309.10938</c:v>
                </c:pt>
                <c:pt idx="21">
                  <c:v>4931.92358</c:v>
                </c:pt>
                <c:pt idx="22">
                  <c:v>5111.95892</c:v>
                </c:pt>
                <c:pt idx="23">
                  <c:v>5818.29163</c:v>
                </c:pt>
                <c:pt idx="24">
                  <c:v>5963.42674</c:v>
                </c:pt>
                <c:pt idx="25">
                  <c:v>5733.54004</c:v>
                </c:pt>
                <c:pt idx="26">
                  <c:v>6722.75915</c:v>
                </c:pt>
                <c:pt idx="27">
                  <c:v>6356.33218</c:v>
                </c:pt>
                <c:pt idx="28">
                  <c:v>5682.3316</c:v>
                </c:pt>
                <c:pt idx="29">
                  <c:v>5065.10925</c:v>
                </c:pt>
                <c:pt idx="30">
                  <c:v>4972.86107</c:v>
                </c:pt>
                <c:pt idx="31">
                  <c:v>6142.28439</c:v>
                </c:pt>
                <c:pt idx="32">
                  <c:v>6456.13718</c:v>
                </c:pt>
                <c:pt idx="33">
                  <c:v>7202.51351</c:v>
                </c:pt>
                <c:pt idx="34">
                  <c:v>6962.93694</c:v>
                </c:pt>
                <c:pt idx="35">
                  <c:v>8122.21778</c:v>
                </c:pt>
                <c:pt idx="36">
                  <c:v>7568.67347</c:v>
                </c:pt>
                <c:pt idx="37">
                  <c:v>6405.04019</c:v>
                </c:pt>
                <c:pt idx="38">
                  <c:v>6522.43275</c:v>
                </c:pt>
                <c:pt idx="39">
                  <c:v>7243.43727</c:v>
                </c:pt>
                <c:pt idx="40">
                  <c:v>7232.33085</c:v>
                </c:pt>
                <c:pt idx="41">
                  <c:v>7518.70484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631421"/>
        <c:axId val="65160351"/>
      </c:lineChart>
      <c:catAx>
        <c:axId val="37631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60351"/>
        <c:crosses val="autoZero"/>
        <c:auto val="1"/>
        <c:lblAlgn val="ctr"/>
        <c:lblOffset val="100"/>
        <c:noMultiLvlLbl val="0"/>
      </c:catAx>
      <c:valAx>
        <c:axId val="6516035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314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全体：TEL海外売上 ÷ 日本の輸出（比率）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グラフ用データ!N1</c:f>
              <c:strCache>
                <c:ptCount val="1"/>
                <c:pt idx="0">
                  <c:v>比率 TEL海外÷JP輸出</c:v>
                </c:pt>
              </c:strCache>
            </c:strRef>
          </c:tx>
          <c:spPr>
            <a:solidFill>
              <a:srgbClr val="4a3aa7"/>
            </a:solidFill>
            <a:ln w="22320">
              <a:solidFill>
                <a:srgbClr val="4a3a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グラフ用データ!$N$2:$N$43</c:f>
              <c:numCache>
                <c:formatCode>0.00</c:formatCode>
                <c:ptCount val="42"/>
                <c:pt idx="0">
                  <c:v>0.649255924424622</c:v>
                </c:pt>
                <c:pt idx="1">
                  <c:v>0.536568103276231</c:v>
                </c:pt>
                <c:pt idx="2">
                  <c:v>0.709205795408839</c:v>
                </c:pt>
                <c:pt idx="3">
                  <c:v>0.660981090859535</c:v>
                </c:pt>
                <c:pt idx="4">
                  <c:v>0.739551870781343</c:v>
                </c:pt>
                <c:pt idx="5">
                  <c:v>0.669967264236403</c:v>
                </c:pt>
                <c:pt idx="6">
                  <c:v>0.899078911288268</c:v>
                </c:pt>
                <c:pt idx="7">
                  <c:v>0.641697510459747</c:v>
                </c:pt>
                <c:pt idx="8">
                  <c:v>0.732361278843891</c:v>
                </c:pt>
                <c:pt idx="9">
                  <c:v>0.719255702509959</c:v>
                </c:pt>
                <c:pt idx="10">
                  <c:v>1.02379936712398</c:v>
                </c:pt>
                <c:pt idx="11">
                  <c:v>0.64948321907996</c:v>
                </c:pt>
                <c:pt idx="12">
                  <c:v>0.732625655117394</c:v>
                </c:pt>
                <c:pt idx="13">
                  <c:v>0.586836561519602</c:v>
                </c:pt>
                <c:pt idx="14">
                  <c:v>0.76203317549432</c:v>
                </c:pt>
                <c:pt idx="15">
                  <c:v>0.713117852212041</c:v>
                </c:pt>
                <c:pt idx="16">
                  <c:v>0.762402828080011</c:v>
                </c:pt>
                <c:pt idx="17">
                  <c:v>0.799975120270631</c:v>
                </c:pt>
                <c:pt idx="18">
                  <c:v>0.986349699610719</c:v>
                </c:pt>
                <c:pt idx="19">
                  <c:v>0.656608464122186</c:v>
                </c:pt>
                <c:pt idx="20">
                  <c:v>0.839152521117948</c:v>
                </c:pt>
                <c:pt idx="21">
                  <c:v>0.776167744269874</c:v>
                </c:pt>
                <c:pt idx="22">
                  <c:v>0.809083184103522</c:v>
                </c:pt>
                <c:pt idx="23">
                  <c:v>0.730970578729826</c:v>
                </c:pt>
                <c:pt idx="24">
                  <c:v>0.825196688842026</c:v>
                </c:pt>
                <c:pt idx="25">
                  <c:v>0.735496738590841</c:v>
                </c:pt>
                <c:pt idx="26">
                  <c:v>0.889961973425747</c:v>
                </c:pt>
                <c:pt idx="27">
                  <c:v>0.645498045698423</c:v>
                </c:pt>
                <c:pt idx="28">
                  <c:v>0.854226810698622</c:v>
                </c:pt>
                <c:pt idx="29">
                  <c:v>0.714495941030295</c:v>
                </c:pt>
                <c:pt idx="30">
                  <c:v>0.776615301661745</c:v>
                </c:pt>
                <c:pt idx="31">
                  <c:v>0.660829056793315</c:v>
                </c:pt>
                <c:pt idx="32">
                  <c:v>0.759277546825608</c:v>
                </c:pt>
                <c:pt idx="33">
                  <c:v>0.71683308789795</c:v>
                </c:pt>
                <c:pt idx="34">
                  <c:v>0.737619778012811</c:v>
                </c:pt>
                <c:pt idx="35">
                  <c:v>0.749672092638718</c:v>
                </c:pt>
                <c:pt idx="36">
                  <c:v>0.794987394270558</c:v>
                </c:pt>
                <c:pt idx="37">
                  <c:v>0.757060042741121</c:v>
                </c:pt>
                <c:pt idx="38">
                  <c:v>0.884332613471561</c:v>
                </c:pt>
                <c:pt idx="39">
                  <c:v>0.707398961156462</c:v>
                </c:pt>
                <c:pt idx="40">
                  <c:v>0.869429251843477</c:v>
                </c:pt>
                <c:pt idx="41">
                  <c:v>0.887785880952337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352434"/>
        <c:axId val="52357081"/>
      </c:lineChart>
      <c:catAx>
        <c:axId val="14352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7081"/>
        <c:crosses val="autoZero"/>
        <c:auto val="1"/>
        <c:lblAlgn val="ctr"/>
        <c:lblOffset val="100"/>
        <c:noMultiLvlLbl val="0"/>
      </c:catAx>
      <c:valAx>
        <c:axId val="5235708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比率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52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韓国：TELの韓国向け売上と日本の対韓国輸出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グラフ用データ!I1</c:f>
              <c:strCache>
                <c:ptCount val="1"/>
                <c:pt idx="0">
                  <c:v>TEL 韓国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グラフ用データ!$I$2:$I$43</c:f>
              <c:numCache>
                <c:formatCode>#,##0</c:formatCode>
                <c:ptCount val="42"/>
                <c:pt idx="0">
                  <c:v>309</c:v>
                </c:pt>
                <c:pt idx="1">
                  <c:v>198</c:v>
                </c:pt>
                <c:pt idx="2">
                  <c:v>290</c:v>
                </c:pt>
                <c:pt idx="3">
                  <c:v>333</c:v>
                </c:pt>
                <c:pt idx="4">
                  <c:v>555</c:v>
                </c:pt>
                <c:pt idx="5">
                  <c:v>683</c:v>
                </c:pt>
                <c:pt idx="6">
                  <c:v>1017</c:v>
                </c:pt>
                <c:pt idx="7">
                  <c:v>794</c:v>
                </c:pt>
                <c:pt idx="8">
                  <c:v>1223</c:v>
                </c:pt>
                <c:pt idx="9">
                  <c:v>889</c:v>
                </c:pt>
                <c:pt idx="10">
                  <c:v>865</c:v>
                </c:pt>
                <c:pt idx="11">
                  <c:v>609</c:v>
                </c:pt>
                <c:pt idx="12">
                  <c:v>689</c:v>
                </c:pt>
                <c:pt idx="13">
                  <c:v>369</c:v>
                </c:pt>
                <c:pt idx="14">
                  <c:v>364</c:v>
                </c:pt>
                <c:pt idx="15">
                  <c:v>310</c:v>
                </c:pt>
                <c:pt idx="16">
                  <c:v>471</c:v>
                </c:pt>
                <c:pt idx="17">
                  <c:v>670</c:v>
                </c:pt>
                <c:pt idx="18">
                  <c:v>721</c:v>
                </c:pt>
                <c:pt idx="19">
                  <c:v>393</c:v>
                </c:pt>
                <c:pt idx="20">
                  <c:v>1014</c:v>
                </c:pt>
                <c:pt idx="21">
                  <c:v>953</c:v>
                </c:pt>
                <c:pt idx="22">
                  <c:v>935</c:v>
                </c:pt>
                <c:pt idx="23">
                  <c:v>930</c:v>
                </c:pt>
                <c:pt idx="24">
                  <c:v>959</c:v>
                </c:pt>
                <c:pt idx="25">
                  <c:v>851</c:v>
                </c:pt>
                <c:pt idx="26">
                  <c:v>842</c:v>
                </c:pt>
                <c:pt idx="27">
                  <c:v>754</c:v>
                </c:pt>
                <c:pt idx="28">
                  <c:v>1047</c:v>
                </c:pt>
                <c:pt idx="29">
                  <c:v>767</c:v>
                </c:pt>
                <c:pt idx="30">
                  <c:v>674</c:v>
                </c:pt>
                <c:pt idx="31">
                  <c:v>582</c:v>
                </c:pt>
                <c:pt idx="32">
                  <c:v>820</c:v>
                </c:pt>
                <c:pt idx="33">
                  <c:v>678</c:v>
                </c:pt>
                <c:pt idx="34">
                  <c:v>795</c:v>
                </c:pt>
                <c:pt idx="35">
                  <c:v>1145</c:v>
                </c:pt>
                <c:pt idx="36">
                  <c:v>1470</c:v>
                </c:pt>
                <c:pt idx="37">
                  <c:v>883</c:v>
                </c:pt>
                <c:pt idx="38">
                  <c:v>1325</c:v>
                </c:pt>
                <c:pt idx="39">
                  <c:v>1497</c:v>
                </c:pt>
                <c:pt idx="40">
                  <c:v>1731</c:v>
                </c:pt>
                <c:pt idx="41">
                  <c:v>1524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グラフ用データ!D1</c:f>
              <c:strCache>
                <c:ptCount val="1"/>
                <c:pt idx="0">
                  <c:v>JP輸出 韓国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グラフ用データ!$D$2:$D$43</c:f>
              <c:numCache>
                <c:formatCode>#,##0</c:formatCode>
                <c:ptCount val="42"/>
                <c:pt idx="0">
                  <c:v>418.067</c:v>
                </c:pt>
                <c:pt idx="1">
                  <c:v>262.73222</c:v>
                </c:pt>
                <c:pt idx="2">
                  <c:v>538.62127</c:v>
                </c:pt>
                <c:pt idx="3">
                  <c:v>525.71787</c:v>
                </c:pt>
                <c:pt idx="4">
                  <c:v>1123.58593</c:v>
                </c:pt>
                <c:pt idx="5">
                  <c:v>1249.79837</c:v>
                </c:pt>
                <c:pt idx="6">
                  <c:v>985.06527</c:v>
                </c:pt>
                <c:pt idx="7">
                  <c:v>1200.67054</c:v>
                </c:pt>
                <c:pt idx="8">
                  <c:v>1674.62288</c:v>
                </c:pt>
                <c:pt idx="9">
                  <c:v>1193.07861</c:v>
                </c:pt>
                <c:pt idx="10">
                  <c:v>791.31092</c:v>
                </c:pt>
                <c:pt idx="11">
                  <c:v>687.87781</c:v>
                </c:pt>
                <c:pt idx="12">
                  <c:v>553.0653</c:v>
                </c:pt>
                <c:pt idx="13">
                  <c:v>408.88525</c:v>
                </c:pt>
                <c:pt idx="14">
                  <c:v>333.1369</c:v>
                </c:pt>
                <c:pt idx="15">
                  <c:v>342.16431</c:v>
                </c:pt>
                <c:pt idx="16">
                  <c:v>822.25463</c:v>
                </c:pt>
                <c:pt idx="17">
                  <c:v>902.70341</c:v>
                </c:pt>
                <c:pt idx="18">
                  <c:v>411.98759</c:v>
                </c:pt>
                <c:pt idx="19">
                  <c:v>770.29773</c:v>
                </c:pt>
                <c:pt idx="20">
                  <c:v>1245.36955</c:v>
                </c:pt>
                <c:pt idx="21">
                  <c:v>1024.53678</c:v>
                </c:pt>
                <c:pt idx="22">
                  <c:v>940.67325</c:v>
                </c:pt>
                <c:pt idx="23">
                  <c:v>1063.46687</c:v>
                </c:pt>
                <c:pt idx="24">
                  <c:v>1202.59137</c:v>
                </c:pt>
                <c:pt idx="25">
                  <c:v>1064.34707</c:v>
                </c:pt>
                <c:pt idx="26">
                  <c:v>933.02796</c:v>
                </c:pt>
                <c:pt idx="27">
                  <c:v>992.70406</c:v>
                </c:pt>
                <c:pt idx="28">
                  <c:v>1072.76146</c:v>
                </c:pt>
                <c:pt idx="29">
                  <c:v>973.11555</c:v>
                </c:pt>
                <c:pt idx="30">
                  <c:v>745.02583</c:v>
                </c:pt>
                <c:pt idx="31">
                  <c:v>755.39245</c:v>
                </c:pt>
                <c:pt idx="32">
                  <c:v>1142.82045</c:v>
                </c:pt>
                <c:pt idx="33">
                  <c:v>802.56793</c:v>
                </c:pt>
                <c:pt idx="34">
                  <c:v>923.89946</c:v>
                </c:pt>
                <c:pt idx="35">
                  <c:v>1318.90009</c:v>
                </c:pt>
                <c:pt idx="36">
                  <c:v>1580.22156</c:v>
                </c:pt>
                <c:pt idx="37">
                  <c:v>962.207760000001</c:v>
                </c:pt>
                <c:pt idx="38">
                  <c:v>985.91832</c:v>
                </c:pt>
                <c:pt idx="39">
                  <c:v>1382.78039</c:v>
                </c:pt>
                <c:pt idx="40">
                  <c:v>1790.50751</c:v>
                </c:pt>
                <c:pt idx="41">
                  <c:v>1573.77089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261535"/>
        <c:axId val="15435050"/>
      </c:lineChart>
      <c:catAx>
        <c:axId val="602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35050"/>
        <c:crosses val="autoZero"/>
        <c:auto val="1"/>
        <c:lblAlgn val="ctr"/>
        <c:lblOffset val="100"/>
        <c:noMultiLvlLbl val="0"/>
      </c:catAx>
      <c:valAx>
        <c:axId val="15435050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61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台湾：TELの台湾向け売上と日本の対台湾輸出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グラフ用データ!J1</c:f>
              <c:strCache>
                <c:ptCount val="1"/>
                <c:pt idx="0">
                  <c:v>TEL 台湾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グラフ用データ!$J$2:$J$43</c:f>
              <c:numCache>
                <c:formatCode>#,##0</c:formatCode>
                <c:ptCount val="42"/>
                <c:pt idx="0">
                  <c:v>425</c:v>
                </c:pt>
                <c:pt idx="1">
                  <c:v>305</c:v>
                </c:pt>
                <c:pt idx="2">
                  <c:v>582</c:v>
                </c:pt>
                <c:pt idx="3">
                  <c:v>623</c:v>
                </c:pt>
                <c:pt idx="4">
                  <c:v>747</c:v>
                </c:pt>
                <c:pt idx="5">
                  <c:v>458</c:v>
                </c:pt>
                <c:pt idx="6">
                  <c:v>366</c:v>
                </c:pt>
                <c:pt idx="7">
                  <c:v>421</c:v>
                </c:pt>
                <c:pt idx="8">
                  <c:v>443</c:v>
                </c:pt>
                <c:pt idx="9">
                  <c:v>263</c:v>
                </c:pt>
                <c:pt idx="10">
                  <c:v>480</c:v>
                </c:pt>
                <c:pt idx="11">
                  <c:v>293</c:v>
                </c:pt>
                <c:pt idx="12">
                  <c:v>591</c:v>
                </c:pt>
                <c:pt idx="13">
                  <c:v>483</c:v>
                </c:pt>
                <c:pt idx="14">
                  <c:v>487</c:v>
                </c:pt>
                <c:pt idx="15">
                  <c:v>762</c:v>
                </c:pt>
                <c:pt idx="16">
                  <c:v>831</c:v>
                </c:pt>
                <c:pt idx="17">
                  <c:v>509</c:v>
                </c:pt>
                <c:pt idx="18">
                  <c:v>539</c:v>
                </c:pt>
                <c:pt idx="19">
                  <c:v>525</c:v>
                </c:pt>
                <c:pt idx="20">
                  <c:v>882</c:v>
                </c:pt>
                <c:pt idx="21">
                  <c:v>628</c:v>
                </c:pt>
                <c:pt idx="22">
                  <c:v>1025</c:v>
                </c:pt>
                <c:pt idx="23">
                  <c:v>874</c:v>
                </c:pt>
                <c:pt idx="24">
                  <c:v>1063</c:v>
                </c:pt>
                <c:pt idx="25">
                  <c:v>968</c:v>
                </c:pt>
                <c:pt idx="26">
                  <c:v>1338</c:v>
                </c:pt>
                <c:pt idx="27">
                  <c:v>1101</c:v>
                </c:pt>
                <c:pt idx="28">
                  <c:v>794</c:v>
                </c:pt>
                <c:pt idx="29">
                  <c:v>639</c:v>
                </c:pt>
                <c:pt idx="30">
                  <c:v>399</c:v>
                </c:pt>
                <c:pt idx="31">
                  <c:v>463</c:v>
                </c:pt>
                <c:pt idx="32">
                  <c:v>552</c:v>
                </c:pt>
                <c:pt idx="33">
                  <c:v>800</c:v>
                </c:pt>
                <c:pt idx="34">
                  <c:v>753</c:v>
                </c:pt>
                <c:pt idx="35">
                  <c:v>1193</c:v>
                </c:pt>
                <c:pt idx="36">
                  <c:v>1358</c:v>
                </c:pt>
                <c:pt idx="37">
                  <c:v>1115</c:v>
                </c:pt>
                <c:pt idx="38">
                  <c:v>1197</c:v>
                </c:pt>
                <c:pt idx="39">
                  <c:v>1119</c:v>
                </c:pt>
                <c:pt idx="40">
                  <c:v>1565</c:v>
                </c:pt>
                <c:pt idx="41">
                  <c:v>1861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グラフ用データ!E1</c:f>
              <c:strCache>
                <c:ptCount val="1"/>
                <c:pt idx="0">
                  <c:v>JP輸出 台湾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グラフ用データ!$E$2:$E$43</c:f>
              <c:numCache>
                <c:formatCode>#,##0</c:formatCode>
                <c:ptCount val="42"/>
                <c:pt idx="0">
                  <c:v>608.24786</c:v>
                </c:pt>
                <c:pt idx="1">
                  <c:v>693.32761</c:v>
                </c:pt>
                <c:pt idx="2">
                  <c:v>921.1264</c:v>
                </c:pt>
                <c:pt idx="3">
                  <c:v>1146.99844</c:v>
                </c:pt>
                <c:pt idx="4">
                  <c:v>820.19104</c:v>
                </c:pt>
                <c:pt idx="5">
                  <c:v>576.69033</c:v>
                </c:pt>
                <c:pt idx="6">
                  <c:v>469.96215</c:v>
                </c:pt>
                <c:pt idx="7">
                  <c:v>639.52583</c:v>
                </c:pt>
                <c:pt idx="8">
                  <c:v>508.01099</c:v>
                </c:pt>
                <c:pt idx="9">
                  <c:v>381.23576</c:v>
                </c:pt>
                <c:pt idx="10">
                  <c:v>634.31817</c:v>
                </c:pt>
                <c:pt idx="11">
                  <c:v>500.88068</c:v>
                </c:pt>
                <c:pt idx="12">
                  <c:v>1118.1286</c:v>
                </c:pt>
                <c:pt idx="13">
                  <c:v>578.48942</c:v>
                </c:pt>
                <c:pt idx="14">
                  <c:v>841.0438</c:v>
                </c:pt>
                <c:pt idx="15">
                  <c:v>1362.31828</c:v>
                </c:pt>
                <c:pt idx="16">
                  <c:v>810.65093</c:v>
                </c:pt>
                <c:pt idx="17">
                  <c:v>651.84246</c:v>
                </c:pt>
                <c:pt idx="18">
                  <c:v>680.93843</c:v>
                </c:pt>
                <c:pt idx="19">
                  <c:v>881.25215</c:v>
                </c:pt>
                <c:pt idx="20">
                  <c:v>917.39988</c:v>
                </c:pt>
                <c:pt idx="21">
                  <c:v>870.10155</c:v>
                </c:pt>
                <c:pt idx="22">
                  <c:v>1360.49966</c:v>
                </c:pt>
                <c:pt idx="23">
                  <c:v>1375.71077</c:v>
                </c:pt>
                <c:pt idx="24">
                  <c:v>1185.13402</c:v>
                </c:pt>
                <c:pt idx="25">
                  <c:v>1384.29908</c:v>
                </c:pt>
                <c:pt idx="26">
                  <c:v>1592.53335</c:v>
                </c:pt>
                <c:pt idx="27">
                  <c:v>1940.79096</c:v>
                </c:pt>
                <c:pt idx="28">
                  <c:v>1185.28842</c:v>
                </c:pt>
                <c:pt idx="29">
                  <c:v>858.76509</c:v>
                </c:pt>
                <c:pt idx="30">
                  <c:v>387.37968</c:v>
                </c:pt>
                <c:pt idx="31">
                  <c:v>640.75783</c:v>
                </c:pt>
                <c:pt idx="32">
                  <c:v>606.8901</c:v>
                </c:pt>
                <c:pt idx="33">
                  <c:v>1176.2418</c:v>
                </c:pt>
                <c:pt idx="34">
                  <c:v>1037.48496</c:v>
                </c:pt>
                <c:pt idx="35">
                  <c:v>1472.1108</c:v>
                </c:pt>
                <c:pt idx="36">
                  <c:v>1954.72001</c:v>
                </c:pt>
                <c:pt idx="37">
                  <c:v>1708.87877</c:v>
                </c:pt>
                <c:pt idx="38">
                  <c:v>1356.01769</c:v>
                </c:pt>
                <c:pt idx="39">
                  <c:v>1853.96111</c:v>
                </c:pt>
                <c:pt idx="40">
                  <c:v>2020.68618</c:v>
                </c:pt>
                <c:pt idx="41">
                  <c:v>2250.93994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361244"/>
        <c:axId val="48132565"/>
      </c:lineChart>
      <c:catAx>
        <c:axId val="26361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32565"/>
        <c:crosses val="autoZero"/>
        <c:auto val="1"/>
        <c:lblAlgn val="ctr"/>
        <c:lblOffset val="100"/>
        <c:noMultiLvlLbl val="0"/>
      </c:catAx>
      <c:valAx>
        <c:axId val="48132565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12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中国：TELの中国向け売上と日本の対中国輸出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グラフ用データ!K1</c:f>
              <c:strCache>
                <c:ptCount val="1"/>
                <c:pt idx="0">
                  <c:v>TEL 中国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グラフ用データ!$K$2:$K$43</c:f>
              <c:numCache>
                <c:formatCode>#,##0</c:formatCode>
                <c:ptCount val="42"/>
                <c:pt idx="0">
                  <c:v>152</c:v>
                </c:pt>
                <c:pt idx="1">
                  <c:v>300</c:v>
                </c:pt>
                <c:pt idx="2">
                  <c:v>240</c:v>
                </c:pt>
                <c:pt idx="3">
                  <c:v>137</c:v>
                </c:pt>
                <c:pt idx="4">
                  <c:v>227</c:v>
                </c:pt>
                <c:pt idx="5">
                  <c:v>267</c:v>
                </c:pt>
                <c:pt idx="6">
                  <c:v>230</c:v>
                </c:pt>
                <c:pt idx="7">
                  <c:v>226</c:v>
                </c:pt>
                <c:pt idx="8">
                  <c:v>318</c:v>
                </c:pt>
                <c:pt idx="9">
                  <c:v>549</c:v>
                </c:pt>
                <c:pt idx="10">
                  <c:v>713</c:v>
                </c:pt>
                <c:pt idx="11">
                  <c:v>380</c:v>
                </c:pt>
                <c:pt idx="12">
                  <c:v>425</c:v>
                </c:pt>
                <c:pt idx="13">
                  <c:v>270</c:v>
                </c:pt>
                <c:pt idx="14">
                  <c:v>568</c:v>
                </c:pt>
                <c:pt idx="15">
                  <c:v>591</c:v>
                </c:pt>
                <c:pt idx="16">
                  <c:v>506</c:v>
                </c:pt>
                <c:pt idx="17">
                  <c:v>739</c:v>
                </c:pt>
                <c:pt idx="18">
                  <c:v>791</c:v>
                </c:pt>
                <c:pt idx="19">
                  <c:v>705</c:v>
                </c:pt>
                <c:pt idx="20">
                  <c:v>1022</c:v>
                </c:pt>
                <c:pt idx="21">
                  <c:v>1536</c:v>
                </c:pt>
                <c:pt idx="22">
                  <c:v>1088</c:v>
                </c:pt>
                <c:pt idx="23">
                  <c:v>1322</c:v>
                </c:pt>
                <c:pt idx="24">
                  <c:v>1188</c:v>
                </c:pt>
                <c:pt idx="25">
                  <c:v>940</c:v>
                </c:pt>
                <c:pt idx="26">
                  <c:v>1686</c:v>
                </c:pt>
                <c:pt idx="27">
                  <c:v>1027</c:v>
                </c:pt>
                <c:pt idx="28">
                  <c:v>1312</c:v>
                </c:pt>
                <c:pt idx="29">
                  <c:v>1539</c:v>
                </c:pt>
                <c:pt idx="30">
                  <c:v>1829</c:v>
                </c:pt>
                <c:pt idx="31">
                  <c:v>2172</c:v>
                </c:pt>
                <c:pt idx="32">
                  <c:v>2591</c:v>
                </c:pt>
                <c:pt idx="33">
                  <c:v>2770</c:v>
                </c:pt>
                <c:pt idx="34">
                  <c:v>2339</c:v>
                </c:pt>
                <c:pt idx="35">
                  <c:v>2794</c:v>
                </c:pt>
                <c:pt idx="36">
                  <c:v>2246</c:v>
                </c:pt>
                <c:pt idx="37">
                  <c:v>2121</c:v>
                </c:pt>
                <c:pt idx="38">
                  <c:v>2541</c:v>
                </c:pt>
                <c:pt idx="39">
                  <c:v>1755</c:v>
                </c:pt>
                <c:pt idx="40">
                  <c:v>1907</c:v>
                </c:pt>
                <c:pt idx="41">
                  <c:v>2229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グラフ用データ!F1</c:f>
              <c:strCache>
                <c:ptCount val="1"/>
                <c:pt idx="0">
                  <c:v>JP輸出 中国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グラフ用データ!$F$2:$F$43</c:f>
              <c:numCache>
                <c:formatCode>#,##0</c:formatCode>
                <c:ptCount val="42"/>
                <c:pt idx="0">
                  <c:v>332.28004</c:v>
                </c:pt>
                <c:pt idx="1">
                  <c:v>454.34719</c:v>
                </c:pt>
                <c:pt idx="2">
                  <c:v>325.10752</c:v>
                </c:pt>
                <c:pt idx="3">
                  <c:v>221.41985</c:v>
                </c:pt>
                <c:pt idx="4">
                  <c:v>388.06389</c:v>
                </c:pt>
                <c:pt idx="5">
                  <c:v>472.64565</c:v>
                </c:pt>
                <c:pt idx="6">
                  <c:v>297.44551</c:v>
                </c:pt>
                <c:pt idx="7">
                  <c:v>504.5745</c:v>
                </c:pt>
                <c:pt idx="8">
                  <c:v>737.92263</c:v>
                </c:pt>
                <c:pt idx="9">
                  <c:v>930.12498</c:v>
                </c:pt>
                <c:pt idx="10">
                  <c:v>851.52409</c:v>
                </c:pt>
                <c:pt idx="11">
                  <c:v>513.9752</c:v>
                </c:pt>
                <c:pt idx="12">
                  <c:v>746.2972</c:v>
                </c:pt>
                <c:pt idx="13">
                  <c:v>644.99075</c:v>
                </c:pt>
                <c:pt idx="14">
                  <c:v>940.53972</c:v>
                </c:pt>
                <c:pt idx="15">
                  <c:v>811.84172</c:v>
                </c:pt>
                <c:pt idx="16">
                  <c:v>954.60898</c:v>
                </c:pt>
                <c:pt idx="17">
                  <c:v>946.81411</c:v>
                </c:pt>
                <c:pt idx="18">
                  <c:v>1159.19034</c:v>
                </c:pt>
                <c:pt idx="19">
                  <c:v>1122.64407</c:v>
                </c:pt>
                <c:pt idx="20">
                  <c:v>1331.82432</c:v>
                </c:pt>
                <c:pt idx="21">
                  <c:v>2226.57179</c:v>
                </c:pt>
                <c:pt idx="22">
                  <c:v>1690.01544</c:v>
                </c:pt>
                <c:pt idx="23">
                  <c:v>2095.25785</c:v>
                </c:pt>
                <c:pt idx="24">
                  <c:v>1945.11353</c:v>
                </c:pt>
                <c:pt idx="25">
                  <c:v>1448.31462</c:v>
                </c:pt>
                <c:pt idx="26">
                  <c:v>2209.89738</c:v>
                </c:pt>
                <c:pt idx="27">
                  <c:v>1918.67204</c:v>
                </c:pt>
                <c:pt idx="28">
                  <c:v>1843.71859</c:v>
                </c:pt>
                <c:pt idx="29">
                  <c:v>2117.22298</c:v>
                </c:pt>
                <c:pt idx="30">
                  <c:v>2865.92529</c:v>
                </c:pt>
                <c:pt idx="31">
                  <c:v>3619.22629</c:v>
                </c:pt>
                <c:pt idx="32">
                  <c:v>3625.95821</c:v>
                </c:pt>
                <c:pt idx="33">
                  <c:v>4130.53807</c:v>
                </c:pt>
                <c:pt idx="34">
                  <c:v>3679.24223</c:v>
                </c:pt>
                <c:pt idx="35">
                  <c:v>3960.49147</c:v>
                </c:pt>
                <c:pt idx="36">
                  <c:v>3036.93258</c:v>
                </c:pt>
                <c:pt idx="37">
                  <c:v>3004.63801</c:v>
                </c:pt>
                <c:pt idx="38">
                  <c:v>3487.53108</c:v>
                </c:pt>
                <c:pt idx="39">
                  <c:v>2921.08677</c:v>
                </c:pt>
                <c:pt idx="40">
                  <c:v>2334.01134</c:v>
                </c:pt>
                <c:pt idx="41">
                  <c:v>2471.72286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576222"/>
        <c:axId val="72101868"/>
      </c:lineChart>
      <c:catAx>
        <c:axId val="49576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01868"/>
        <c:crosses val="autoZero"/>
        <c:auto val="1"/>
        <c:lblAlgn val="ctr"/>
        <c:lblOffset val="100"/>
        <c:noMultiLvlLbl val="0"/>
      </c:catAx>
      <c:valAx>
        <c:axId val="72101868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762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北米：TELの北米向け売上と日本の対北米輸出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グラフ用データ!L1</c:f>
              <c:strCache>
                <c:ptCount val="1"/>
                <c:pt idx="0">
                  <c:v>TEL 北米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グラフ用データ!$L$2:$L$43</c:f>
              <c:numCache>
                <c:formatCode>#,##0</c:formatCode>
                <c:ptCount val="42"/>
                <c:pt idx="0">
                  <c:v>197</c:v>
                </c:pt>
                <c:pt idx="1">
                  <c:v>170</c:v>
                </c:pt>
                <c:pt idx="2">
                  <c:v>344</c:v>
                </c:pt>
                <c:pt idx="3">
                  <c:v>246</c:v>
                </c:pt>
                <c:pt idx="4">
                  <c:v>254</c:v>
                </c:pt>
                <c:pt idx="5">
                  <c:v>240</c:v>
                </c:pt>
                <c:pt idx="6">
                  <c:v>320</c:v>
                </c:pt>
                <c:pt idx="7">
                  <c:v>291</c:v>
                </c:pt>
                <c:pt idx="8">
                  <c:v>339</c:v>
                </c:pt>
                <c:pt idx="9">
                  <c:v>284</c:v>
                </c:pt>
                <c:pt idx="10">
                  <c:v>459</c:v>
                </c:pt>
                <c:pt idx="11">
                  <c:v>227</c:v>
                </c:pt>
                <c:pt idx="12">
                  <c:v>347</c:v>
                </c:pt>
                <c:pt idx="13">
                  <c:v>285</c:v>
                </c:pt>
                <c:pt idx="14">
                  <c:v>588</c:v>
                </c:pt>
                <c:pt idx="15">
                  <c:v>610</c:v>
                </c:pt>
                <c:pt idx="16">
                  <c:v>572</c:v>
                </c:pt>
                <c:pt idx="17">
                  <c:v>423</c:v>
                </c:pt>
                <c:pt idx="18">
                  <c:v>440</c:v>
                </c:pt>
                <c:pt idx="19">
                  <c:v>345</c:v>
                </c:pt>
                <c:pt idx="20">
                  <c:v>312</c:v>
                </c:pt>
                <c:pt idx="21">
                  <c:v>439</c:v>
                </c:pt>
                <c:pt idx="22">
                  <c:v>618</c:v>
                </c:pt>
                <c:pt idx="23">
                  <c:v>768</c:v>
                </c:pt>
                <c:pt idx="24">
                  <c:v>853</c:v>
                </c:pt>
                <c:pt idx="25">
                  <c:v>673</c:v>
                </c:pt>
                <c:pt idx="26">
                  <c:v>1083</c:v>
                </c:pt>
                <c:pt idx="27">
                  <c:v>584</c:v>
                </c:pt>
                <c:pt idx="28">
                  <c:v>1102</c:v>
                </c:pt>
                <c:pt idx="29">
                  <c:v>301</c:v>
                </c:pt>
                <c:pt idx="30">
                  <c:v>474</c:v>
                </c:pt>
                <c:pt idx="31">
                  <c:v>421</c:v>
                </c:pt>
                <c:pt idx="32">
                  <c:v>483</c:v>
                </c:pt>
                <c:pt idx="33">
                  <c:v>590</c:v>
                </c:pt>
                <c:pt idx="34">
                  <c:v>799</c:v>
                </c:pt>
                <c:pt idx="35">
                  <c:v>577</c:v>
                </c:pt>
                <c:pt idx="36">
                  <c:v>462</c:v>
                </c:pt>
                <c:pt idx="37">
                  <c:v>434</c:v>
                </c:pt>
                <c:pt idx="38">
                  <c:v>384</c:v>
                </c:pt>
                <c:pt idx="39">
                  <c:v>278</c:v>
                </c:pt>
                <c:pt idx="40">
                  <c:v>567</c:v>
                </c:pt>
                <c:pt idx="41">
                  <c:v>590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グラフ用データ!G1</c:f>
              <c:strCache>
                <c:ptCount val="1"/>
                <c:pt idx="0">
                  <c:v>JP輸出 北米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グラフ用データ!$G$2:$G$43</c:f>
              <c:numCache>
                <c:formatCode>#,##0</c:formatCode>
                <c:ptCount val="42"/>
                <c:pt idx="0">
                  <c:v>387.76089</c:v>
                </c:pt>
                <c:pt idx="1">
                  <c:v>353.27412</c:v>
                </c:pt>
                <c:pt idx="2">
                  <c:v>129.70085</c:v>
                </c:pt>
                <c:pt idx="3">
                  <c:v>215.83605</c:v>
                </c:pt>
                <c:pt idx="4">
                  <c:v>281.38839</c:v>
                </c:pt>
                <c:pt idx="5">
                  <c:v>364.09965</c:v>
                </c:pt>
                <c:pt idx="6">
                  <c:v>390.79784</c:v>
                </c:pt>
                <c:pt idx="7">
                  <c:v>281.91348</c:v>
                </c:pt>
                <c:pt idx="8">
                  <c:v>324.86435</c:v>
                </c:pt>
                <c:pt idx="9">
                  <c:v>221.47514</c:v>
                </c:pt>
                <c:pt idx="10">
                  <c:v>251.96619</c:v>
                </c:pt>
                <c:pt idx="11">
                  <c:v>521.36438</c:v>
                </c:pt>
                <c:pt idx="12">
                  <c:v>629.54491</c:v>
                </c:pt>
                <c:pt idx="13">
                  <c:v>965.9927</c:v>
                </c:pt>
                <c:pt idx="14">
                  <c:v>677.4426</c:v>
                </c:pt>
                <c:pt idx="15">
                  <c:v>686.01125</c:v>
                </c:pt>
                <c:pt idx="16">
                  <c:v>568.30825</c:v>
                </c:pt>
                <c:pt idx="17">
                  <c:v>501.79825</c:v>
                </c:pt>
                <c:pt idx="18">
                  <c:v>275.02403</c:v>
                </c:pt>
                <c:pt idx="19">
                  <c:v>285.02508</c:v>
                </c:pt>
                <c:pt idx="20">
                  <c:v>292.34333</c:v>
                </c:pt>
                <c:pt idx="21">
                  <c:v>454.90913</c:v>
                </c:pt>
                <c:pt idx="22">
                  <c:v>647.65171</c:v>
                </c:pt>
                <c:pt idx="23">
                  <c:v>775.51253</c:v>
                </c:pt>
                <c:pt idx="24">
                  <c:v>919.64823</c:v>
                </c:pt>
                <c:pt idx="25">
                  <c:v>666.17773</c:v>
                </c:pt>
                <c:pt idx="26">
                  <c:v>897.48906</c:v>
                </c:pt>
                <c:pt idx="27">
                  <c:v>789.29508</c:v>
                </c:pt>
                <c:pt idx="28">
                  <c:v>935.86097</c:v>
                </c:pt>
                <c:pt idx="29">
                  <c:v>623.80419</c:v>
                </c:pt>
                <c:pt idx="30">
                  <c:v>451.53328</c:v>
                </c:pt>
                <c:pt idx="31">
                  <c:v>663.03611</c:v>
                </c:pt>
                <c:pt idx="32">
                  <c:v>572.50389</c:v>
                </c:pt>
                <c:pt idx="33">
                  <c:v>654.70356</c:v>
                </c:pt>
                <c:pt idx="34">
                  <c:v>813.10006</c:v>
                </c:pt>
                <c:pt idx="35">
                  <c:v>764.95821</c:v>
                </c:pt>
                <c:pt idx="36">
                  <c:v>467.14456</c:v>
                </c:pt>
                <c:pt idx="37">
                  <c:v>378.5889</c:v>
                </c:pt>
                <c:pt idx="38">
                  <c:v>322.11587</c:v>
                </c:pt>
                <c:pt idx="39">
                  <c:v>265.56305</c:v>
                </c:pt>
                <c:pt idx="40">
                  <c:v>463.05684</c:v>
                </c:pt>
                <c:pt idx="41">
                  <c:v>720.08008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277646"/>
        <c:axId val="29212876"/>
      </c:lineChart>
      <c:catAx>
        <c:axId val="91277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12876"/>
        <c:crosses val="autoZero"/>
        <c:auto val="1"/>
        <c:lblAlgn val="ctr"/>
        <c:lblOffset val="100"/>
        <c:noMultiLvlLbl val="0"/>
      </c:catAx>
      <c:valAx>
        <c:axId val="29212876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77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欧州：TELの欧州向け売上と日本の対欧州輸出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グラフ用データ!M1</c:f>
              <c:strCache>
                <c:ptCount val="1"/>
                <c:pt idx="0">
                  <c:v>TEL 欧州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グラフ用データ!$M$2:$M$43</c:f>
              <c:numCache>
                <c:formatCode>#,##0</c:formatCode>
                <c:ptCount val="42"/>
                <c:pt idx="0">
                  <c:v>95</c:v>
                </c:pt>
                <c:pt idx="1">
                  <c:v>52</c:v>
                </c:pt>
                <c:pt idx="2">
                  <c:v>66</c:v>
                </c:pt>
                <c:pt idx="3">
                  <c:v>150</c:v>
                </c:pt>
                <c:pt idx="4">
                  <c:v>329</c:v>
                </c:pt>
                <c:pt idx="5">
                  <c:v>253</c:v>
                </c:pt>
                <c:pt idx="6">
                  <c:v>269</c:v>
                </c:pt>
                <c:pt idx="7">
                  <c:v>196</c:v>
                </c:pt>
                <c:pt idx="8">
                  <c:v>250</c:v>
                </c:pt>
                <c:pt idx="9">
                  <c:v>177</c:v>
                </c:pt>
                <c:pt idx="10">
                  <c:v>313</c:v>
                </c:pt>
                <c:pt idx="11">
                  <c:v>186</c:v>
                </c:pt>
                <c:pt idx="12">
                  <c:v>253</c:v>
                </c:pt>
                <c:pt idx="13">
                  <c:v>202</c:v>
                </c:pt>
                <c:pt idx="14">
                  <c:v>144</c:v>
                </c:pt>
                <c:pt idx="15">
                  <c:v>108</c:v>
                </c:pt>
                <c:pt idx="16">
                  <c:v>133</c:v>
                </c:pt>
                <c:pt idx="17">
                  <c:v>157</c:v>
                </c:pt>
                <c:pt idx="18">
                  <c:v>163</c:v>
                </c:pt>
                <c:pt idx="19">
                  <c:v>127</c:v>
                </c:pt>
                <c:pt idx="20">
                  <c:v>186</c:v>
                </c:pt>
                <c:pt idx="21">
                  <c:v>134</c:v>
                </c:pt>
                <c:pt idx="22">
                  <c:v>203</c:v>
                </c:pt>
                <c:pt idx="23">
                  <c:v>170</c:v>
                </c:pt>
                <c:pt idx="24">
                  <c:v>571</c:v>
                </c:pt>
                <c:pt idx="25">
                  <c:v>565</c:v>
                </c:pt>
                <c:pt idx="26">
                  <c:v>509</c:v>
                </c:pt>
                <c:pt idx="27">
                  <c:v>426</c:v>
                </c:pt>
                <c:pt idx="28">
                  <c:v>341</c:v>
                </c:pt>
                <c:pt idx="29">
                  <c:v>281</c:v>
                </c:pt>
                <c:pt idx="30">
                  <c:v>335</c:v>
                </c:pt>
                <c:pt idx="31">
                  <c:v>294</c:v>
                </c:pt>
                <c:pt idx="32">
                  <c:v>281</c:v>
                </c:pt>
                <c:pt idx="33">
                  <c:v>155</c:v>
                </c:pt>
                <c:pt idx="34">
                  <c:v>238</c:v>
                </c:pt>
                <c:pt idx="35">
                  <c:v>157</c:v>
                </c:pt>
                <c:pt idx="36">
                  <c:v>203</c:v>
                </c:pt>
                <c:pt idx="37">
                  <c:v>140</c:v>
                </c:pt>
                <c:pt idx="38">
                  <c:v>108</c:v>
                </c:pt>
                <c:pt idx="39">
                  <c:v>127</c:v>
                </c:pt>
                <c:pt idx="40">
                  <c:v>297</c:v>
                </c:pt>
                <c:pt idx="41">
                  <c:v>242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グラフ用データ!H1</c:f>
              <c:strCache>
                <c:ptCount val="1"/>
                <c:pt idx="0">
                  <c:v>JP輸出 欧州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グラフ用データ!$H$2:$H$43</c:f>
              <c:numCache>
                <c:formatCode>#,##0</c:formatCode>
                <c:ptCount val="42"/>
                <c:pt idx="0">
                  <c:v>32.90122</c:v>
                </c:pt>
                <c:pt idx="1">
                  <c:v>27.41545</c:v>
                </c:pt>
                <c:pt idx="2">
                  <c:v>25.0055</c:v>
                </c:pt>
                <c:pt idx="3">
                  <c:v>67.05864</c:v>
                </c:pt>
                <c:pt idx="4">
                  <c:v>97.22085</c:v>
                </c:pt>
                <c:pt idx="5">
                  <c:v>40.91457</c:v>
                </c:pt>
                <c:pt idx="6">
                  <c:v>44.19744</c:v>
                </c:pt>
                <c:pt idx="7">
                  <c:v>107.13577</c:v>
                </c:pt>
                <c:pt idx="8">
                  <c:v>92.78707</c:v>
                </c:pt>
                <c:pt idx="9">
                  <c:v>121.28414</c:v>
                </c:pt>
                <c:pt idx="10">
                  <c:v>143.9241</c:v>
                </c:pt>
                <c:pt idx="11">
                  <c:v>150.96925</c:v>
                </c:pt>
                <c:pt idx="12">
                  <c:v>99.54519</c:v>
                </c:pt>
                <c:pt idx="13">
                  <c:v>64.2347</c:v>
                </c:pt>
                <c:pt idx="14">
                  <c:v>46.06359</c:v>
                </c:pt>
                <c:pt idx="15">
                  <c:v>55.68534</c:v>
                </c:pt>
                <c:pt idx="16">
                  <c:v>110.69163</c:v>
                </c:pt>
                <c:pt idx="17">
                  <c:v>73.26403</c:v>
                </c:pt>
                <c:pt idx="18">
                  <c:v>59.92803</c:v>
                </c:pt>
                <c:pt idx="19">
                  <c:v>88.12548</c:v>
                </c:pt>
                <c:pt idx="20">
                  <c:v>96.7292</c:v>
                </c:pt>
                <c:pt idx="21">
                  <c:v>96.73772</c:v>
                </c:pt>
                <c:pt idx="22">
                  <c:v>131.90897</c:v>
                </c:pt>
                <c:pt idx="23">
                  <c:v>196.94488</c:v>
                </c:pt>
                <c:pt idx="24">
                  <c:v>409.96284</c:v>
                </c:pt>
                <c:pt idx="25">
                  <c:v>827.89075</c:v>
                </c:pt>
                <c:pt idx="26">
                  <c:v>414.46903</c:v>
                </c:pt>
                <c:pt idx="27">
                  <c:v>426.75772</c:v>
                </c:pt>
                <c:pt idx="28">
                  <c:v>362.01425</c:v>
                </c:pt>
                <c:pt idx="29">
                  <c:v>372.49682</c:v>
                </c:pt>
                <c:pt idx="30">
                  <c:v>293.31471</c:v>
                </c:pt>
                <c:pt idx="31">
                  <c:v>240.57873</c:v>
                </c:pt>
                <c:pt idx="32">
                  <c:v>253.36244</c:v>
                </c:pt>
                <c:pt idx="33">
                  <c:v>147.31691</c:v>
                </c:pt>
                <c:pt idx="34">
                  <c:v>152.55722</c:v>
                </c:pt>
                <c:pt idx="35">
                  <c:v>249.41809</c:v>
                </c:pt>
                <c:pt idx="36">
                  <c:v>145.91002</c:v>
                </c:pt>
                <c:pt idx="37">
                  <c:v>113.18455</c:v>
                </c:pt>
                <c:pt idx="38">
                  <c:v>106.98395</c:v>
                </c:pt>
                <c:pt idx="39">
                  <c:v>111.71363</c:v>
                </c:pt>
                <c:pt idx="40">
                  <c:v>287.47926</c:v>
                </c:pt>
                <c:pt idx="41">
                  <c:v>193.58125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725184"/>
        <c:axId val="52612481"/>
      </c:lineChart>
      <c:catAx>
        <c:axId val="9072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12481"/>
        <c:crosses val="autoZero"/>
        <c:auto val="1"/>
        <c:lblAlgn val="ctr"/>
        <c:lblOffset val="100"/>
        <c:noMultiLvlLbl val="0"/>
      </c:catAx>
      <c:valAx>
        <c:axId val="5261248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25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全体：前年比（TEL海外売上 と 日本の輸出）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グラフ用データ!O1</c:f>
              <c:strCache>
                <c:ptCount val="1"/>
                <c:pt idx="0">
                  <c:v>前年比 TEL海外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グラフ用データ!$O$2:$O$43</c:f>
              <c:numCache>
                <c:formatCode>0%</c:formatCode>
                <c:ptCount val="42"/>
                <c:pt idx="4">
                  <c:v>0.763029315960912</c:v>
                </c:pt>
                <c:pt idx="5">
                  <c:v>0.726063829787234</c:v>
                </c:pt>
                <c:pt idx="6">
                  <c:v>0.338643067846608</c:v>
                </c:pt>
                <c:pt idx="7">
                  <c:v>0.298046628859483</c:v>
                </c:pt>
                <c:pt idx="8">
                  <c:v>0.296535796766744</c:v>
                </c:pt>
                <c:pt idx="9">
                  <c:v>0.175654853620955</c:v>
                </c:pt>
                <c:pt idx="10">
                  <c:v>0.321286910533275</c:v>
                </c:pt>
                <c:pt idx="11">
                  <c:v>-0.101456310679612</c:v>
                </c:pt>
                <c:pt idx="12">
                  <c:v>-0.124688279301746</c:v>
                </c:pt>
                <c:pt idx="13">
                  <c:v>-0.277850589777195</c:v>
                </c:pt>
                <c:pt idx="14">
                  <c:v>-0.230820547031354</c:v>
                </c:pt>
                <c:pt idx="15">
                  <c:v>0.327930848190168</c:v>
                </c:pt>
                <c:pt idx="16">
                  <c:v>0.0541310541310542</c:v>
                </c:pt>
                <c:pt idx="17">
                  <c:v>0.539019963702359</c:v>
                </c:pt>
                <c:pt idx="18">
                  <c:v>0.190806591500434</c:v>
                </c:pt>
                <c:pt idx="19">
                  <c:v>-0.0728234336859235</c:v>
                </c:pt>
                <c:pt idx="20">
                  <c:v>0.396138996138996</c:v>
                </c:pt>
                <c:pt idx="21">
                  <c:v>0.504716981132076</c:v>
                </c:pt>
                <c:pt idx="22">
                  <c:v>0.506190823015295</c:v>
                </c:pt>
                <c:pt idx="23">
                  <c:v>0.866169372531812</c:v>
                </c:pt>
                <c:pt idx="24">
                  <c:v>0.360896017699115</c:v>
                </c:pt>
                <c:pt idx="25">
                  <c:v>0.101619644723093</c:v>
                </c:pt>
                <c:pt idx="26">
                  <c:v>0.446566731141199</c:v>
                </c:pt>
                <c:pt idx="27">
                  <c:v>-0.0352692217258406</c:v>
                </c:pt>
                <c:pt idx="28">
                  <c:v>-0.0136151188782768</c:v>
                </c:pt>
                <c:pt idx="29">
                  <c:v>-0.141806971780887</c:v>
                </c:pt>
                <c:pt idx="30">
                  <c:v>-0.354504429216112</c:v>
                </c:pt>
                <c:pt idx="31">
                  <c:v>-0.0107238605898123</c:v>
                </c:pt>
                <c:pt idx="32">
                  <c:v>0.00988875154511737</c:v>
                </c:pt>
                <c:pt idx="33">
                  <c:v>0.42663719259464</c:v>
                </c:pt>
                <c:pt idx="34">
                  <c:v>0.329880890730192</c:v>
                </c:pt>
                <c:pt idx="35">
                  <c:v>0.500123183050012</c:v>
                </c:pt>
                <c:pt idx="36">
                  <c:v>0.227458180334557</c:v>
                </c:pt>
                <c:pt idx="37">
                  <c:v>-0.0608173542514042</c:v>
                </c:pt>
                <c:pt idx="38">
                  <c:v>0.123052959501558</c:v>
                </c:pt>
                <c:pt idx="39">
                  <c:v>-0.158482509443258</c:v>
                </c:pt>
                <c:pt idx="40">
                  <c:v>0.0450390560079774</c:v>
                </c:pt>
                <c:pt idx="41">
                  <c:v>0.376572489173025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グラフ用データ!P1</c:f>
              <c:strCache>
                <c:ptCount val="1"/>
                <c:pt idx="0">
                  <c:v>前年比 JP輸出世界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グラフ用データ!$A$2:$A$43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グラフ用データ!$P$2:$P$43</c:f>
              <c:numCache>
                <c:formatCode>0%</c:formatCode>
                <c:ptCount val="42"/>
                <c:pt idx="4">
                  <c:v>0.547771391765355</c:v>
                </c:pt>
                <c:pt idx="5">
                  <c:v>0.38238216211687</c:v>
                </c:pt>
                <c:pt idx="6">
                  <c:v>0.0559400401688306</c:v>
                </c:pt>
                <c:pt idx="7">
                  <c:v>0.337054083497031</c:v>
                </c:pt>
                <c:pt idx="8">
                  <c:v>0.309265661269639</c:v>
                </c:pt>
                <c:pt idx="9">
                  <c:v>0.0950907489757089</c:v>
                </c:pt>
                <c:pt idx="10">
                  <c:v>0.160326168552753</c:v>
                </c:pt>
                <c:pt idx="11">
                  <c:v>-0.112227642627941</c:v>
                </c:pt>
                <c:pt idx="12">
                  <c:v>-0.125004145459661</c:v>
                </c:pt>
                <c:pt idx="13">
                  <c:v>-0.114898226480719</c:v>
                </c:pt>
                <c:pt idx="14">
                  <c:v>0.0334004640194763</c:v>
                </c:pt>
                <c:pt idx="15">
                  <c:v>0.209433755336254</c:v>
                </c:pt>
                <c:pt idx="16">
                  <c:v>0.0129598496600869</c:v>
                </c:pt>
                <c:pt idx="17">
                  <c:v>0.128976590301432</c:v>
                </c:pt>
                <c:pt idx="18">
                  <c:v>-0.080007700434462</c:v>
                </c:pt>
                <c:pt idx="19">
                  <c:v>0.0069717308246442</c:v>
                </c:pt>
                <c:pt idx="20">
                  <c:v>0.268446786802356</c:v>
                </c:pt>
                <c:pt idx="21">
                  <c:v>0.550871131712287</c:v>
                </c:pt>
                <c:pt idx="22">
                  <c:v>0.83619051171316</c:v>
                </c:pt>
                <c:pt idx="23">
                  <c:v>0.676322742864971</c:v>
                </c:pt>
                <c:pt idx="24">
                  <c:v>0.38391166575586</c:v>
                </c:pt>
                <c:pt idx="25">
                  <c:v>0.162536269469123</c:v>
                </c:pt>
                <c:pt idx="26">
                  <c:v>0.315104298608096</c:v>
                </c:pt>
                <c:pt idx="27">
                  <c:v>0.0924739741861307</c:v>
                </c:pt>
                <c:pt idx="28">
                  <c:v>-0.0471365126554737</c:v>
                </c:pt>
                <c:pt idx="29">
                  <c:v>-0.116582562489613</c:v>
                </c:pt>
                <c:pt idx="30">
                  <c:v>-0.260294626202695</c:v>
                </c:pt>
                <c:pt idx="31">
                  <c:v>-0.0336747331540499</c:v>
                </c:pt>
                <c:pt idx="32">
                  <c:v>0.136177476865307</c:v>
                </c:pt>
                <c:pt idx="33">
                  <c:v>0.421985816001895</c:v>
                </c:pt>
                <c:pt idx="34">
                  <c:v>0.400187305051738</c:v>
                </c:pt>
                <c:pt idx="35">
                  <c:v>0.322344792960653</c:v>
                </c:pt>
                <c:pt idx="36">
                  <c:v>0.172322281726982</c:v>
                </c:pt>
                <c:pt idx="37">
                  <c:v>-0.110721530600781</c:v>
                </c:pt>
                <c:pt idx="38">
                  <c:v>-0.0632641360672729</c:v>
                </c:pt>
                <c:pt idx="39">
                  <c:v>-0.10819465000851</c:v>
                </c:pt>
                <c:pt idx="40">
                  <c:v>-0.0444387806308678</c:v>
                </c:pt>
                <c:pt idx="41">
                  <c:v>0.173873171278259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979429"/>
        <c:axId val="21989282"/>
      </c:lineChart>
      <c:catAx>
        <c:axId val="52979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89282"/>
        <c:crosses val="autoZero"/>
        <c:auto val="1"/>
        <c:lblAlgn val="ctr"/>
        <c:lblOffset val="100"/>
        <c:noMultiLvlLbl val="0"/>
      </c:catAx>
      <c:valAx>
        <c:axId val="21989282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前年比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94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日本の輸出（848620）：仕向地域別（四半期、2010年〜）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四半期輸出!B1</c:f>
              <c:strCache>
                <c:ptCount val="1"/>
                <c:pt idx="0">
                  <c:v>韓国</c:v>
                </c:pt>
              </c:strCache>
            </c:strRef>
          </c:tx>
          <c:spPr>
            <a:solidFill>
              <a:srgbClr val="2a78d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四半期輸出!$B$2:$B$67</c:f>
              <c:numCache>
                <c:formatCode>#,##0</c:formatCode>
                <c:ptCount val="66"/>
                <c:pt idx="0">
                  <c:v>400.80378</c:v>
                </c:pt>
                <c:pt idx="1">
                  <c:v>389.44481</c:v>
                </c:pt>
                <c:pt idx="2">
                  <c:v>446.49183</c:v>
                </c:pt>
                <c:pt idx="3">
                  <c:v>270.38901</c:v>
                </c:pt>
                <c:pt idx="4">
                  <c:v>302.59681</c:v>
                </c:pt>
                <c:pt idx="5">
                  <c:v>384.59549</c:v>
                </c:pt>
                <c:pt idx="6">
                  <c:v>336.49574</c:v>
                </c:pt>
                <c:pt idx="7">
                  <c:v>521.20417</c:v>
                </c:pt>
                <c:pt idx="8">
                  <c:v>780.4344</c:v>
                </c:pt>
                <c:pt idx="9">
                  <c:v>454.68194</c:v>
                </c:pt>
                <c:pt idx="10">
                  <c:v>219.02487</c:v>
                </c:pt>
                <c:pt idx="11">
                  <c:v>93.94006</c:v>
                </c:pt>
                <c:pt idx="12">
                  <c:v>163.96301</c:v>
                </c:pt>
                <c:pt idx="13">
                  <c:v>219.44177</c:v>
                </c:pt>
                <c:pt idx="14">
                  <c:v>316.06617</c:v>
                </c:pt>
                <c:pt idx="15">
                  <c:v>370.79342</c:v>
                </c:pt>
                <c:pt idx="16">
                  <c:v>399.48186</c:v>
                </c:pt>
                <c:pt idx="17">
                  <c:v>287.39957</c:v>
                </c:pt>
                <c:pt idx="18">
                  <c:v>163.31503</c:v>
                </c:pt>
                <c:pt idx="19">
                  <c:v>462.65271</c:v>
                </c:pt>
                <c:pt idx="20">
                  <c:v>661.67823</c:v>
                </c:pt>
                <c:pt idx="21">
                  <c:v>348.43137</c:v>
                </c:pt>
                <c:pt idx="22">
                  <c:v>313.52174</c:v>
                </c:pt>
                <c:pt idx="23">
                  <c:v>341.7834</c:v>
                </c:pt>
                <c:pt idx="24">
                  <c:v>418.067</c:v>
                </c:pt>
                <c:pt idx="25">
                  <c:v>262.73222</c:v>
                </c:pt>
                <c:pt idx="26">
                  <c:v>538.62127</c:v>
                </c:pt>
                <c:pt idx="27">
                  <c:v>525.71787</c:v>
                </c:pt>
                <c:pt idx="28">
                  <c:v>1123.58593</c:v>
                </c:pt>
                <c:pt idx="29">
                  <c:v>1249.79837</c:v>
                </c:pt>
                <c:pt idx="30">
                  <c:v>985.06527</c:v>
                </c:pt>
                <c:pt idx="31">
                  <c:v>1200.67054</c:v>
                </c:pt>
                <c:pt idx="32">
                  <c:v>1674.62288</c:v>
                </c:pt>
                <c:pt idx="33">
                  <c:v>1193.07861</c:v>
                </c:pt>
                <c:pt idx="34">
                  <c:v>791.31092</c:v>
                </c:pt>
                <c:pt idx="35">
                  <c:v>687.87781</c:v>
                </c:pt>
                <c:pt idx="36">
                  <c:v>553.0653</c:v>
                </c:pt>
                <c:pt idx="37">
                  <c:v>408.88525</c:v>
                </c:pt>
                <c:pt idx="38">
                  <c:v>333.1369</c:v>
                </c:pt>
                <c:pt idx="39">
                  <c:v>342.16431</c:v>
                </c:pt>
                <c:pt idx="40">
                  <c:v>822.25463</c:v>
                </c:pt>
                <c:pt idx="41">
                  <c:v>902.70341</c:v>
                </c:pt>
                <c:pt idx="42">
                  <c:v>411.98759</c:v>
                </c:pt>
                <c:pt idx="43">
                  <c:v>770.29773</c:v>
                </c:pt>
                <c:pt idx="44">
                  <c:v>1245.36955</c:v>
                </c:pt>
                <c:pt idx="45">
                  <c:v>1024.53678</c:v>
                </c:pt>
                <c:pt idx="46">
                  <c:v>940.67325</c:v>
                </c:pt>
                <c:pt idx="47">
                  <c:v>1063.46687</c:v>
                </c:pt>
                <c:pt idx="48">
                  <c:v>1202.59137</c:v>
                </c:pt>
                <c:pt idx="49">
                  <c:v>1064.34707</c:v>
                </c:pt>
                <c:pt idx="50">
                  <c:v>933.02796</c:v>
                </c:pt>
                <c:pt idx="51">
                  <c:v>992.70406</c:v>
                </c:pt>
                <c:pt idx="52">
                  <c:v>1072.76146</c:v>
                </c:pt>
                <c:pt idx="53">
                  <c:v>973.11555</c:v>
                </c:pt>
                <c:pt idx="54">
                  <c:v>745.02583</c:v>
                </c:pt>
                <c:pt idx="55">
                  <c:v>755.39245</c:v>
                </c:pt>
                <c:pt idx="56">
                  <c:v>1142.82045</c:v>
                </c:pt>
                <c:pt idx="57">
                  <c:v>802.56793</c:v>
                </c:pt>
                <c:pt idx="58">
                  <c:v>923.89946</c:v>
                </c:pt>
                <c:pt idx="59">
                  <c:v>1318.90009</c:v>
                </c:pt>
                <c:pt idx="60">
                  <c:v>1580.22156</c:v>
                </c:pt>
                <c:pt idx="61">
                  <c:v>962.20776</c:v>
                </c:pt>
                <c:pt idx="62">
                  <c:v>985.91832</c:v>
                </c:pt>
                <c:pt idx="63">
                  <c:v>1382.78039</c:v>
                </c:pt>
                <c:pt idx="64">
                  <c:v>1790.50751</c:v>
                </c:pt>
                <c:pt idx="65">
                  <c:v>1573.77089</c:v>
                </c:pt>
              </c:numCache>
            </c:numRef>
          </c:val>
        </c:ser>
        <c:ser>
          <c:idx val="1"/>
          <c:order val="1"/>
          <c:tx>
            <c:strRef>
              <c:f>四半期輸出!C1</c:f>
              <c:strCache>
                <c:ptCount val="1"/>
                <c:pt idx="0">
                  <c:v>台湾</c:v>
                </c:pt>
              </c:strCache>
            </c:strRef>
          </c:tx>
          <c:spPr>
            <a:solidFill>
              <a:srgbClr val="eb683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四半期輸出!$C$2:$C$67</c:f>
              <c:numCache>
                <c:formatCode>#,##0</c:formatCode>
                <c:ptCount val="66"/>
                <c:pt idx="0">
                  <c:v>510.29483</c:v>
                </c:pt>
                <c:pt idx="1">
                  <c:v>515.1794</c:v>
                </c:pt>
                <c:pt idx="2">
                  <c:v>589.80245</c:v>
                </c:pt>
                <c:pt idx="3">
                  <c:v>658.61732</c:v>
                </c:pt>
                <c:pt idx="4">
                  <c:v>594.28124</c:v>
                </c:pt>
                <c:pt idx="5">
                  <c:v>476.18945</c:v>
                </c:pt>
                <c:pt idx="6">
                  <c:v>213.39778</c:v>
                </c:pt>
                <c:pt idx="7">
                  <c:v>357.10455</c:v>
                </c:pt>
                <c:pt idx="8">
                  <c:v>340.45133</c:v>
                </c:pt>
                <c:pt idx="9">
                  <c:v>479.94007</c:v>
                </c:pt>
                <c:pt idx="10">
                  <c:v>395.29468</c:v>
                </c:pt>
                <c:pt idx="11">
                  <c:v>356.09756</c:v>
                </c:pt>
                <c:pt idx="12">
                  <c:v>550.57251</c:v>
                </c:pt>
                <c:pt idx="13">
                  <c:v>632.89813</c:v>
                </c:pt>
                <c:pt idx="14">
                  <c:v>332.26178</c:v>
                </c:pt>
                <c:pt idx="15">
                  <c:v>657.55728</c:v>
                </c:pt>
                <c:pt idx="16">
                  <c:v>722.33789</c:v>
                </c:pt>
                <c:pt idx="17">
                  <c:v>507.95869</c:v>
                </c:pt>
                <c:pt idx="18">
                  <c:v>429.48203</c:v>
                </c:pt>
                <c:pt idx="19">
                  <c:v>475.30022</c:v>
                </c:pt>
                <c:pt idx="20">
                  <c:v>491.7565</c:v>
                </c:pt>
                <c:pt idx="21">
                  <c:v>668.95415</c:v>
                </c:pt>
                <c:pt idx="22">
                  <c:v>701.23819</c:v>
                </c:pt>
                <c:pt idx="23">
                  <c:v>715.03875</c:v>
                </c:pt>
                <c:pt idx="24">
                  <c:v>608.24786</c:v>
                </c:pt>
                <c:pt idx="25">
                  <c:v>693.32761</c:v>
                </c:pt>
                <c:pt idx="26">
                  <c:v>921.1264</c:v>
                </c:pt>
                <c:pt idx="27">
                  <c:v>1146.99844</c:v>
                </c:pt>
                <c:pt idx="28">
                  <c:v>820.19104</c:v>
                </c:pt>
                <c:pt idx="29">
                  <c:v>576.69033</c:v>
                </c:pt>
                <c:pt idx="30">
                  <c:v>469.96215</c:v>
                </c:pt>
                <c:pt idx="31">
                  <c:v>639.52583</c:v>
                </c:pt>
                <c:pt idx="32">
                  <c:v>508.01099</c:v>
                </c:pt>
                <c:pt idx="33">
                  <c:v>381.23576</c:v>
                </c:pt>
                <c:pt idx="34">
                  <c:v>634.31817</c:v>
                </c:pt>
                <c:pt idx="35">
                  <c:v>500.88068</c:v>
                </c:pt>
                <c:pt idx="36">
                  <c:v>1118.1286</c:v>
                </c:pt>
                <c:pt idx="37">
                  <c:v>578.48942</c:v>
                </c:pt>
                <c:pt idx="38">
                  <c:v>841.0438</c:v>
                </c:pt>
                <c:pt idx="39">
                  <c:v>1362.31828</c:v>
                </c:pt>
                <c:pt idx="40">
                  <c:v>810.65093</c:v>
                </c:pt>
                <c:pt idx="41">
                  <c:v>651.84246</c:v>
                </c:pt>
                <c:pt idx="42">
                  <c:v>680.93843</c:v>
                </c:pt>
                <c:pt idx="43">
                  <c:v>881.25215</c:v>
                </c:pt>
                <c:pt idx="44">
                  <c:v>917.39988</c:v>
                </c:pt>
                <c:pt idx="45">
                  <c:v>870.10155</c:v>
                </c:pt>
                <c:pt idx="46">
                  <c:v>1360.49966</c:v>
                </c:pt>
                <c:pt idx="47">
                  <c:v>1375.71077</c:v>
                </c:pt>
                <c:pt idx="48">
                  <c:v>1185.13402</c:v>
                </c:pt>
                <c:pt idx="49">
                  <c:v>1384.29908</c:v>
                </c:pt>
                <c:pt idx="50">
                  <c:v>1592.53335</c:v>
                </c:pt>
                <c:pt idx="51">
                  <c:v>1940.79096</c:v>
                </c:pt>
                <c:pt idx="52">
                  <c:v>1185.28842</c:v>
                </c:pt>
                <c:pt idx="53">
                  <c:v>858.76509</c:v>
                </c:pt>
                <c:pt idx="54">
                  <c:v>387.37968</c:v>
                </c:pt>
                <c:pt idx="55">
                  <c:v>640.75783</c:v>
                </c:pt>
                <c:pt idx="56">
                  <c:v>606.8901</c:v>
                </c:pt>
                <c:pt idx="57">
                  <c:v>1176.2418</c:v>
                </c:pt>
                <c:pt idx="58">
                  <c:v>1037.48496</c:v>
                </c:pt>
                <c:pt idx="59">
                  <c:v>1472.1108</c:v>
                </c:pt>
                <c:pt idx="60">
                  <c:v>1954.72001</c:v>
                </c:pt>
                <c:pt idx="61">
                  <c:v>1708.87877</c:v>
                </c:pt>
                <c:pt idx="62">
                  <c:v>1356.01769</c:v>
                </c:pt>
                <c:pt idx="63">
                  <c:v>1853.96111</c:v>
                </c:pt>
                <c:pt idx="64">
                  <c:v>2020.68618</c:v>
                </c:pt>
                <c:pt idx="65">
                  <c:v>2250.93994</c:v>
                </c:pt>
              </c:numCache>
            </c:numRef>
          </c:val>
        </c:ser>
        <c:ser>
          <c:idx val="2"/>
          <c:order val="2"/>
          <c:tx>
            <c:strRef>
              <c:f>四半期輸出!D1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1baf7a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四半期輸出!$D$2:$D$67</c:f>
              <c:numCache>
                <c:formatCode>#,##0</c:formatCode>
                <c:ptCount val="66"/>
                <c:pt idx="0">
                  <c:v>84.5381</c:v>
                </c:pt>
                <c:pt idx="1">
                  <c:v>135.82764</c:v>
                </c:pt>
                <c:pt idx="2">
                  <c:v>212.67388</c:v>
                </c:pt>
                <c:pt idx="3">
                  <c:v>245.77301</c:v>
                </c:pt>
                <c:pt idx="4">
                  <c:v>235.65632</c:v>
                </c:pt>
                <c:pt idx="5">
                  <c:v>254.41634</c:v>
                </c:pt>
                <c:pt idx="6">
                  <c:v>157.00362</c:v>
                </c:pt>
                <c:pt idx="7">
                  <c:v>78.23182</c:v>
                </c:pt>
                <c:pt idx="8">
                  <c:v>214.06644</c:v>
                </c:pt>
                <c:pt idx="9">
                  <c:v>123.34526</c:v>
                </c:pt>
                <c:pt idx="10">
                  <c:v>126.76342</c:v>
                </c:pt>
                <c:pt idx="11">
                  <c:v>75.56965</c:v>
                </c:pt>
                <c:pt idx="12">
                  <c:v>107.89155</c:v>
                </c:pt>
                <c:pt idx="13">
                  <c:v>142.25886</c:v>
                </c:pt>
                <c:pt idx="14">
                  <c:v>178.48307</c:v>
                </c:pt>
                <c:pt idx="15">
                  <c:v>417.76279</c:v>
                </c:pt>
                <c:pt idx="16">
                  <c:v>317.57222</c:v>
                </c:pt>
                <c:pt idx="17">
                  <c:v>189.78112</c:v>
                </c:pt>
                <c:pt idx="18">
                  <c:v>168.61972</c:v>
                </c:pt>
                <c:pt idx="19">
                  <c:v>159.8387</c:v>
                </c:pt>
                <c:pt idx="20">
                  <c:v>257.83476</c:v>
                </c:pt>
                <c:pt idx="21">
                  <c:v>220.3523</c:v>
                </c:pt>
                <c:pt idx="22">
                  <c:v>360.0853</c:v>
                </c:pt>
                <c:pt idx="23">
                  <c:v>223.69117</c:v>
                </c:pt>
                <c:pt idx="24">
                  <c:v>332.28004</c:v>
                </c:pt>
                <c:pt idx="25">
                  <c:v>454.34719</c:v>
                </c:pt>
                <c:pt idx="26">
                  <c:v>325.10752</c:v>
                </c:pt>
                <c:pt idx="27">
                  <c:v>221.41985</c:v>
                </c:pt>
                <c:pt idx="28">
                  <c:v>388.06389</c:v>
                </c:pt>
                <c:pt idx="29">
                  <c:v>472.64565</c:v>
                </c:pt>
                <c:pt idx="30">
                  <c:v>297.44551</c:v>
                </c:pt>
                <c:pt idx="31">
                  <c:v>504.5745</c:v>
                </c:pt>
                <c:pt idx="32">
                  <c:v>737.92263</c:v>
                </c:pt>
                <c:pt idx="33">
                  <c:v>930.12498</c:v>
                </c:pt>
                <c:pt idx="34">
                  <c:v>851.52409</c:v>
                </c:pt>
                <c:pt idx="35">
                  <c:v>513.9752</c:v>
                </c:pt>
                <c:pt idx="36">
                  <c:v>746.2972</c:v>
                </c:pt>
                <c:pt idx="37">
                  <c:v>644.99075</c:v>
                </c:pt>
                <c:pt idx="38">
                  <c:v>940.53972</c:v>
                </c:pt>
                <c:pt idx="39">
                  <c:v>811.84172</c:v>
                </c:pt>
                <c:pt idx="40">
                  <c:v>954.60898</c:v>
                </c:pt>
                <c:pt idx="41">
                  <c:v>946.81411</c:v>
                </c:pt>
                <c:pt idx="42">
                  <c:v>1159.19034</c:v>
                </c:pt>
                <c:pt idx="43">
                  <c:v>1122.64407</c:v>
                </c:pt>
                <c:pt idx="44">
                  <c:v>1331.82432</c:v>
                </c:pt>
                <c:pt idx="45">
                  <c:v>2226.57179</c:v>
                </c:pt>
                <c:pt idx="46">
                  <c:v>1690.01544</c:v>
                </c:pt>
                <c:pt idx="47">
                  <c:v>2095.25785</c:v>
                </c:pt>
                <c:pt idx="48">
                  <c:v>1945.11353</c:v>
                </c:pt>
                <c:pt idx="49">
                  <c:v>1448.31462</c:v>
                </c:pt>
                <c:pt idx="50">
                  <c:v>2209.89738</c:v>
                </c:pt>
                <c:pt idx="51">
                  <c:v>1918.67204</c:v>
                </c:pt>
                <c:pt idx="52">
                  <c:v>1843.71859</c:v>
                </c:pt>
                <c:pt idx="53">
                  <c:v>2117.22298</c:v>
                </c:pt>
                <c:pt idx="54">
                  <c:v>2865.92529</c:v>
                </c:pt>
                <c:pt idx="55">
                  <c:v>3619.22629</c:v>
                </c:pt>
                <c:pt idx="56">
                  <c:v>3625.95821</c:v>
                </c:pt>
                <c:pt idx="57">
                  <c:v>4130.53807</c:v>
                </c:pt>
                <c:pt idx="58">
                  <c:v>3679.24223</c:v>
                </c:pt>
                <c:pt idx="59">
                  <c:v>3960.49147</c:v>
                </c:pt>
                <c:pt idx="60">
                  <c:v>3036.93258</c:v>
                </c:pt>
                <c:pt idx="61">
                  <c:v>3004.63801</c:v>
                </c:pt>
                <c:pt idx="62">
                  <c:v>3487.53108</c:v>
                </c:pt>
                <c:pt idx="63">
                  <c:v>2921.08677</c:v>
                </c:pt>
                <c:pt idx="64">
                  <c:v>2334.01134</c:v>
                </c:pt>
                <c:pt idx="65">
                  <c:v>2471.72286</c:v>
                </c:pt>
              </c:numCache>
            </c:numRef>
          </c:val>
        </c:ser>
        <c:ser>
          <c:idx val="3"/>
          <c:order val="3"/>
          <c:tx>
            <c:strRef>
              <c:f>四半期輸出!E1</c:f>
              <c:strCache>
                <c:ptCount val="1"/>
                <c:pt idx="0">
                  <c:v>北米</c:v>
                </c:pt>
              </c:strCache>
            </c:strRef>
          </c:tx>
          <c:spPr>
            <a:solidFill>
              <a:srgbClr val="eda1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四半期輸出!$E$2:$E$67</c:f>
              <c:numCache>
                <c:formatCode>#,##0</c:formatCode>
                <c:ptCount val="66"/>
                <c:pt idx="0">
                  <c:v>162.62715</c:v>
                </c:pt>
                <c:pt idx="1">
                  <c:v>272.0849</c:v>
                </c:pt>
                <c:pt idx="2">
                  <c:v>262.11845</c:v>
                </c:pt>
                <c:pt idx="3">
                  <c:v>567.92103</c:v>
                </c:pt>
                <c:pt idx="4">
                  <c:v>549.48502</c:v>
                </c:pt>
                <c:pt idx="5">
                  <c:v>360.88964</c:v>
                </c:pt>
                <c:pt idx="6">
                  <c:v>418.54709</c:v>
                </c:pt>
                <c:pt idx="7">
                  <c:v>325.38356</c:v>
                </c:pt>
                <c:pt idx="8">
                  <c:v>434.76362</c:v>
                </c:pt>
                <c:pt idx="9">
                  <c:v>324.82703</c:v>
                </c:pt>
                <c:pt idx="10">
                  <c:v>403.77287</c:v>
                </c:pt>
                <c:pt idx="11">
                  <c:v>311.63447</c:v>
                </c:pt>
                <c:pt idx="12">
                  <c:v>312.85074</c:v>
                </c:pt>
                <c:pt idx="13">
                  <c:v>289.02122</c:v>
                </c:pt>
                <c:pt idx="14">
                  <c:v>347.83807</c:v>
                </c:pt>
                <c:pt idx="15">
                  <c:v>266.33135</c:v>
                </c:pt>
                <c:pt idx="16">
                  <c:v>401.56997</c:v>
                </c:pt>
                <c:pt idx="17">
                  <c:v>404.08419</c:v>
                </c:pt>
                <c:pt idx="18">
                  <c:v>301.23862</c:v>
                </c:pt>
                <c:pt idx="19">
                  <c:v>333.10406</c:v>
                </c:pt>
                <c:pt idx="20">
                  <c:v>392.3951</c:v>
                </c:pt>
                <c:pt idx="21">
                  <c:v>325.15503</c:v>
                </c:pt>
                <c:pt idx="22">
                  <c:v>225.01639</c:v>
                </c:pt>
                <c:pt idx="23">
                  <c:v>294.38681</c:v>
                </c:pt>
                <c:pt idx="24">
                  <c:v>387.76089</c:v>
                </c:pt>
                <c:pt idx="25">
                  <c:v>353.27412</c:v>
                </c:pt>
                <c:pt idx="26">
                  <c:v>129.70085</c:v>
                </c:pt>
                <c:pt idx="27">
                  <c:v>215.83605</c:v>
                </c:pt>
                <c:pt idx="28">
                  <c:v>281.38839</c:v>
                </c:pt>
                <c:pt idx="29">
                  <c:v>364.09965</c:v>
                </c:pt>
                <c:pt idx="30">
                  <c:v>390.79784</c:v>
                </c:pt>
                <c:pt idx="31">
                  <c:v>281.91348</c:v>
                </c:pt>
                <c:pt idx="32">
                  <c:v>324.86435</c:v>
                </c:pt>
                <c:pt idx="33">
                  <c:v>221.47514</c:v>
                </c:pt>
                <c:pt idx="34">
                  <c:v>251.96619</c:v>
                </c:pt>
                <c:pt idx="35">
                  <c:v>521.36438</c:v>
                </c:pt>
                <c:pt idx="36">
                  <c:v>629.54491</c:v>
                </c:pt>
                <c:pt idx="37">
                  <c:v>965.9927</c:v>
                </c:pt>
                <c:pt idx="38">
                  <c:v>677.4426</c:v>
                </c:pt>
                <c:pt idx="39">
                  <c:v>686.01125</c:v>
                </c:pt>
                <c:pt idx="40">
                  <c:v>568.30825</c:v>
                </c:pt>
                <c:pt idx="41">
                  <c:v>501.79825</c:v>
                </c:pt>
                <c:pt idx="42">
                  <c:v>275.02403</c:v>
                </c:pt>
                <c:pt idx="43">
                  <c:v>285.02508</c:v>
                </c:pt>
                <c:pt idx="44">
                  <c:v>292.34333</c:v>
                </c:pt>
                <c:pt idx="45">
                  <c:v>454.90913</c:v>
                </c:pt>
                <c:pt idx="46">
                  <c:v>647.65171</c:v>
                </c:pt>
                <c:pt idx="47">
                  <c:v>775.51253</c:v>
                </c:pt>
                <c:pt idx="48">
                  <c:v>919.64823</c:v>
                </c:pt>
                <c:pt idx="49">
                  <c:v>666.17773</c:v>
                </c:pt>
                <c:pt idx="50">
                  <c:v>897.48906</c:v>
                </c:pt>
                <c:pt idx="51">
                  <c:v>789.29508</c:v>
                </c:pt>
                <c:pt idx="52">
                  <c:v>935.86097</c:v>
                </c:pt>
                <c:pt idx="53">
                  <c:v>623.80419</c:v>
                </c:pt>
                <c:pt idx="54">
                  <c:v>451.53328</c:v>
                </c:pt>
                <c:pt idx="55">
                  <c:v>663.03611</c:v>
                </c:pt>
                <c:pt idx="56">
                  <c:v>572.50389</c:v>
                </c:pt>
                <c:pt idx="57">
                  <c:v>654.70356</c:v>
                </c:pt>
                <c:pt idx="58">
                  <c:v>813.10006</c:v>
                </c:pt>
                <c:pt idx="59">
                  <c:v>764.95821</c:v>
                </c:pt>
                <c:pt idx="60">
                  <c:v>467.14456</c:v>
                </c:pt>
                <c:pt idx="61">
                  <c:v>378.5889</c:v>
                </c:pt>
                <c:pt idx="62">
                  <c:v>322.11587</c:v>
                </c:pt>
                <c:pt idx="63">
                  <c:v>265.56305</c:v>
                </c:pt>
                <c:pt idx="64">
                  <c:v>463.05684</c:v>
                </c:pt>
                <c:pt idx="65">
                  <c:v>720.08008</c:v>
                </c:pt>
              </c:numCache>
            </c:numRef>
          </c:val>
        </c:ser>
        <c:ser>
          <c:idx val="4"/>
          <c:order val="4"/>
          <c:tx>
            <c:strRef>
              <c:f>四半期輸出!F1</c:f>
              <c:strCache>
                <c:ptCount val="1"/>
                <c:pt idx="0">
                  <c:v>欧州</c:v>
                </c:pt>
              </c:strCache>
            </c:strRef>
          </c:tx>
          <c:spPr>
            <a:solidFill>
              <a:srgbClr val="e87ba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四半期輸出!$F$2:$F$67</c:f>
              <c:numCache>
                <c:formatCode>#,##0</c:formatCode>
                <c:ptCount val="66"/>
                <c:pt idx="0">
                  <c:v>55.13158</c:v>
                </c:pt>
                <c:pt idx="1">
                  <c:v>59.27749</c:v>
                </c:pt>
                <c:pt idx="2">
                  <c:v>109.43331</c:v>
                </c:pt>
                <c:pt idx="3">
                  <c:v>203.24097</c:v>
                </c:pt>
                <c:pt idx="4">
                  <c:v>244.43647</c:v>
                </c:pt>
                <c:pt idx="5">
                  <c:v>130.37977</c:v>
                </c:pt>
                <c:pt idx="6">
                  <c:v>81.30664</c:v>
                </c:pt>
                <c:pt idx="7">
                  <c:v>50.34931</c:v>
                </c:pt>
                <c:pt idx="8">
                  <c:v>107.29855</c:v>
                </c:pt>
                <c:pt idx="9">
                  <c:v>88.72426</c:v>
                </c:pt>
                <c:pt idx="10">
                  <c:v>45.93408</c:v>
                </c:pt>
                <c:pt idx="11">
                  <c:v>53.34256</c:v>
                </c:pt>
                <c:pt idx="12">
                  <c:v>38.71538</c:v>
                </c:pt>
                <c:pt idx="13">
                  <c:v>48.88044</c:v>
                </c:pt>
                <c:pt idx="14">
                  <c:v>78.28868</c:v>
                </c:pt>
                <c:pt idx="15">
                  <c:v>108.31013</c:v>
                </c:pt>
                <c:pt idx="16">
                  <c:v>125.65375</c:v>
                </c:pt>
                <c:pt idx="17">
                  <c:v>110.70178</c:v>
                </c:pt>
                <c:pt idx="18">
                  <c:v>151.69065</c:v>
                </c:pt>
                <c:pt idx="19">
                  <c:v>214.15844</c:v>
                </c:pt>
                <c:pt idx="20">
                  <c:v>136.42798</c:v>
                </c:pt>
                <c:pt idx="21">
                  <c:v>79.52538</c:v>
                </c:pt>
                <c:pt idx="22">
                  <c:v>76.22693</c:v>
                </c:pt>
                <c:pt idx="23">
                  <c:v>50.45366</c:v>
                </c:pt>
                <c:pt idx="24">
                  <c:v>32.90122</c:v>
                </c:pt>
                <c:pt idx="25">
                  <c:v>27.41545</c:v>
                </c:pt>
                <c:pt idx="26">
                  <c:v>25.0055</c:v>
                </c:pt>
                <c:pt idx="27">
                  <c:v>67.05864</c:v>
                </c:pt>
                <c:pt idx="28">
                  <c:v>97.22085</c:v>
                </c:pt>
                <c:pt idx="29">
                  <c:v>40.91457</c:v>
                </c:pt>
                <c:pt idx="30">
                  <c:v>44.19744</c:v>
                </c:pt>
                <c:pt idx="31">
                  <c:v>107.13577</c:v>
                </c:pt>
                <c:pt idx="32">
                  <c:v>92.78707</c:v>
                </c:pt>
                <c:pt idx="33">
                  <c:v>121.28414</c:v>
                </c:pt>
                <c:pt idx="34">
                  <c:v>143.9241</c:v>
                </c:pt>
                <c:pt idx="35">
                  <c:v>150.96925</c:v>
                </c:pt>
                <c:pt idx="36">
                  <c:v>99.54519</c:v>
                </c:pt>
                <c:pt idx="37">
                  <c:v>64.2347</c:v>
                </c:pt>
                <c:pt idx="38">
                  <c:v>46.06359</c:v>
                </c:pt>
                <c:pt idx="39">
                  <c:v>55.68534</c:v>
                </c:pt>
                <c:pt idx="40">
                  <c:v>110.69163</c:v>
                </c:pt>
                <c:pt idx="41">
                  <c:v>73.26403</c:v>
                </c:pt>
                <c:pt idx="42">
                  <c:v>59.92803</c:v>
                </c:pt>
                <c:pt idx="43">
                  <c:v>88.12548</c:v>
                </c:pt>
                <c:pt idx="44">
                  <c:v>96.7292</c:v>
                </c:pt>
                <c:pt idx="45">
                  <c:v>96.73772</c:v>
                </c:pt>
                <c:pt idx="46">
                  <c:v>131.90897</c:v>
                </c:pt>
                <c:pt idx="47">
                  <c:v>196.94488</c:v>
                </c:pt>
                <c:pt idx="48">
                  <c:v>409.96284</c:v>
                </c:pt>
                <c:pt idx="49">
                  <c:v>827.89075</c:v>
                </c:pt>
                <c:pt idx="50">
                  <c:v>414.46903</c:v>
                </c:pt>
                <c:pt idx="51">
                  <c:v>426.75772</c:v>
                </c:pt>
                <c:pt idx="52">
                  <c:v>362.01425</c:v>
                </c:pt>
                <c:pt idx="53">
                  <c:v>372.49682</c:v>
                </c:pt>
                <c:pt idx="54">
                  <c:v>293.31471</c:v>
                </c:pt>
                <c:pt idx="55">
                  <c:v>240.57873</c:v>
                </c:pt>
                <c:pt idx="56">
                  <c:v>253.36244</c:v>
                </c:pt>
                <c:pt idx="57">
                  <c:v>147.31691</c:v>
                </c:pt>
                <c:pt idx="58">
                  <c:v>152.55722</c:v>
                </c:pt>
                <c:pt idx="59">
                  <c:v>249.41809</c:v>
                </c:pt>
                <c:pt idx="60">
                  <c:v>145.91002</c:v>
                </c:pt>
                <c:pt idx="61">
                  <c:v>113.18455</c:v>
                </c:pt>
                <c:pt idx="62">
                  <c:v>106.98395</c:v>
                </c:pt>
                <c:pt idx="63">
                  <c:v>111.71363</c:v>
                </c:pt>
                <c:pt idx="64">
                  <c:v>287.47926</c:v>
                </c:pt>
                <c:pt idx="65">
                  <c:v>193.58125</c:v>
                </c:pt>
              </c:numCache>
            </c:numRef>
          </c:val>
        </c:ser>
        <c:ser>
          <c:idx val="5"/>
          <c:order val="5"/>
          <c:tx>
            <c:strRef>
              <c:f>四半期輸出!G1</c:f>
              <c:strCache>
                <c:ptCount val="1"/>
                <c:pt idx="0">
                  <c:v>東南アジア・その他</c:v>
                </c:pt>
              </c:strCache>
            </c:strRef>
          </c:tx>
          <c:spPr>
            <a:solidFill>
              <a:srgbClr val="8c8c88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四半期輸出!$A$2:$A$67</c:f>
              <c:strCache>
                <c:ptCount val="66"/>
                <c:pt idx="0">
                  <c:v>2010Q1</c:v>
                </c:pt>
                <c:pt idx="1">
                  <c:v>2010Q2</c:v>
                </c:pt>
                <c:pt idx="2">
                  <c:v>2010Q3</c:v>
                </c:pt>
                <c:pt idx="3">
                  <c:v>2010Q4</c:v>
                </c:pt>
                <c:pt idx="4">
                  <c:v>2011Q1</c:v>
                </c:pt>
                <c:pt idx="5">
                  <c:v>2011Q2</c:v>
                </c:pt>
                <c:pt idx="6">
                  <c:v>2011Q3</c:v>
                </c:pt>
                <c:pt idx="7">
                  <c:v>2011Q4</c:v>
                </c:pt>
                <c:pt idx="8">
                  <c:v>2012Q1</c:v>
                </c:pt>
                <c:pt idx="9">
                  <c:v>2012Q2</c:v>
                </c:pt>
                <c:pt idx="10">
                  <c:v>2012Q3</c:v>
                </c:pt>
                <c:pt idx="11">
                  <c:v>2012Q4</c:v>
                </c:pt>
                <c:pt idx="12">
                  <c:v>2013Q1</c:v>
                </c:pt>
                <c:pt idx="13">
                  <c:v>2013Q2</c:v>
                </c:pt>
                <c:pt idx="14">
                  <c:v>2013Q3</c:v>
                </c:pt>
                <c:pt idx="15">
                  <c:v>2013Q4</c:v>
                </c:pt>
                <c:pt idx="16">
                  <c:v>2014Q1</c:v>
                </c:pt>
                <c:pt idx="17">
                  <c:v>2014Q2</c:v>
                </c:pt>
                <c:pt idx="18">
                  <c:v>2014Q3</c:v>
                </c:pt>
                <c:pt idx="19">
                  <c:v>2014Q4</c:v>
                </c:pt>
                <c:pt idx="20">
                  <c:v>2015Q1</c:v>
                </c:pt>
                <c:pt idx="21">
                  <c:v>2015Q2</c:v>
                </c:pt>
                <c:pt idx="22">
                  <c:v>2015Q3</c:v>
                </c:pt>
                <c:pt idx="23">
                  <c:v>2015Q4</c:v>
                </c:pt>
                <c:pt idx="24">
                  <c:v>2016Q1</c:v>
                </c:pt>
                <c:pt idx="25">
                  <c:v>2016Q2</c:v>
                </c:pt>
                <c:pt idx="26">
                  <c:v>2016Q3</c:v>
                </c:pt>
                <c:pt idx="27">
                  <c:v>2016Q4</c:v>
                </c:pt>
                <c:pt idx="28">
                  <c:v>2017Q1</c:v>
                </c:pt>
                <c:pt idx="29">
                  <c:v>2017Q2</c:v>
                </c:pt>
                <c:pt idx="30">
                  <c:v>2017Q3</c:v>
                </c:pt>
                <c:pt idx="31">
                  <c:v>2017Q4</c:v>
                </c:pt>
                <c:pt idx="32">
                  <c:v>2018Q1</c:v>
                </c:pt>
                <c:pt idx="33">
                  <c:v>2018Q2</c:v>
                </c:pt>
                <c:pt idx="34">
                  <c:v>2018Q3</c:v>
                </c:pt>
                <c:pt idx="35">
                  <c:v>2018Q4</c:v>
                </c:pt>
                <c:pt idx="36">
                  <c:v>2019Q1</c:v>
                </c:pt>
                <c:pt idx="37">
                  <c:v>2019Q2</c:v>
                </c:pt>
                <c:pt idx="38">
                  <c:v>2019Q3</c:v>
                </c:pt>
                <c:pt idx="39">
                  <c:v>2019Q4</c:v>
                </c:pt>
                <c:pt idx="40">
                  <c:v>2020Q1</c:v>
                </c:pt>
                <c:pt idx="41">
                  <c:v>2020Q2</c:v>
                </c:pt>
                <c:pt idx="42">
                  <c:v>2020Q3</c:v>
                </c:pt>
                <c:pt idx="43">
                  <c:v>2020Q4</c:v>
                </c:pt>
                <c:pt idx="44">
                  <c:v>2021Q1</c:v>
                </c:pt>
                <c:pt idx="45">
                  <c:v>2021Q2</c:v>
                </c:pt>
                <c:pt idx="46">
                  <c:v>2021Q3</c:v>
                </c:pt>
                <c:pt idx="47">
                  <c:v>2021Q4</c:v>
                </c:pt>
                <c:pt idx="48">
                  <c:v>2022Q1</c:v>
                </c:pt>
                <c:pt idx="49">
                  <c:v>2022Q2</c:v>
                </c:pt>
                <c:pt idx="50">
                  <c:v>2022Q3</c:v>
                </c:pt>
                <c:pt idx="51">
                  <c:v>2022Q4</c:v>
                </c:pt>
                <c:pt idx="52">
                  <c:v>2023Q1</c:v>
                </c:pt>
                <c:pt idx="53">
                  <c:v>2023Q2</c:v>
                </c:pt>
                <c:pt idx="54">
                  <c:v>2023Q3</c:v>
                </c:pt>
                <c:pt idx="55">
                  <c:v>2023Q4</c:v>
                </c:pt>
                <c:pt idx="56">
                  <c:v>2024Q1</c:v>
                </c:pt>
                <c:pt idx="57">
                  <c:v>2024Q2</c:v>
                </c:pt>
                <c:pt idx="58">
                  <c:v>2024Q3</c:v>
                </c:pt>
                <c:pt idx="59">
                  <c:v>2024Q4</c:v>
                </c:pt>
                <c:pt idx="60">
                  <c:v>2025Q1</c:v>
                </c:pt>
                <c:pt idx="61">
                  <c:v>2025Q2</c:v>
                </c:pt>
                <c:pt idx="62">
                  <c:v>2025Q3</c:v>
                </c:pt>
                <c:pt idx="63">
                  <c:v>2025Q4</c:v>
                </c:pt>
                <c:pt idx="64">
                  <c:v>2026Q1</c:v>
                </c:pt>
                <c:pt idx="65">
                  <c:v>2026Q2</c:v>
                </c:pt>
              </c:strCache>
            </c:strRef>
          </c:cat>
          <c:val>
            <c:numRef>
              <c:f>四半期輸出!$G$2:$G$67</c:f>
              <c:numCache>
                <c:formatCode>#,##0</c:formatCode>
                <c:ptCount val="66"/>
                <c:pt idx="0">
                  <c:v>182.99702</c:v>
                </c:pt>
                <c:pt idx="1">
                  <c:v>210.2318</c:v>
                </c:pt>
                <c:pt idx="2">
                  <c:v>147.67186</c:v>
                </c:pt>
                <c:pt idx="3">
                  <c:v>215.40153</c:v>
                </c:pt>
                <c:pt idx="4">
                  <c:v>173.41771</c:v>
                </c:pt>
                <c:pt idx="5">
                  <c:v>220.20512</c:v>
                </c:pt>
                <c:pt idx="6">
                  <c:v>241.64288</c:v>
                </c:pt>
                <c:pt idx="7">
                  <c:v>164.19149</c:v>
                </c:pt>
                <c:pt idx="8">
                  <c:v>234.32621</c:v>
                </c:pt>
                <c:pt idx="9">
                  <c:v>89.47152</c:v>
                </c:pt>
                <c:pt idx="10">
                  <c:v>150.93463</c:v>
                </c:pt>
                <c:pt idx="11">
                  <c:v>80.14648</c:v>
                </c:pt>
                <c:pt idx="12">
                  <c:v>83.30094</c:v>
                </c:pt>
                <c:pt idx="13">
                  <c:v>108.63385</c:v>
                </c:pt>
                <c:pt idx="14">
                  <c:v>88.99455</c:v>
                </c:pt>
                <c:pt idx="15">
                  <c:v>77.46059</c:v>
                </c:pt>
                <c:pt idx="16">
                  <c:v>69.36827</c:v>
                </c:pt>
                <c:pt idx="17">
                  <c:v>85.5331</c:v>
                </c:pt>
                <c:pt idx="18">
                  <c:v>126.569</c:v>
                </c:pt>
                <c:pt idx="19">
                  <c:v>109.48784</c:v>
                </c:pt>
                <c:pt idx="20">
                  <c:v>79.53986</c:v>
                </c:pt>
                <c:pt idx="21">
                  <c:v>98.80354</c:v>
                </c:pt>
                <c:pt idx="22">
                  <c:v>123.8818</c:v>
                </c:pt>
                <c:pt idx="23">
                  <c:v>72.26144</c:v>
                </c:pt>
                <c:pt idx="24">
                  <c:v>112.1389</c:v>
                </c:pt>
                <c:pt idx="25">
                  <c:v>311.15286</c:v>
                </c:pt>
                <c:pt idx="26">
                  <c:v>450.43585</c:v>
                </c:pt>
                <c:pt idx="27">
                  <c:v>223.94555</c:v>
                </c:pt>
                <c:pt idx="28">
                  <c:v>216.99838</c:v>
                </c:pt>
                <c:pt idx="29">
                  <c:v>201.96357</c:v>
                </c:pt>
                <c:pt idx="30">
                  <c:v>336.22573</c:v>
                </c:pt>
                <c:pt idx="31">
                  <c:v>476.41518</c:v>
                </c:pt>
                <c:pt idx="32">
                  <c:v>494.59985</c:v>
                </c:pt>
                <c:pt idx="33">
                  <c:v>335.25789</c:v>
                </c:pt>
                <c:pt idx="34">
                  <c:v>255.26465</c:v>
                </c:pt>
                <c:pt idx="35">
                  <c:v>474.89084</c:v>
                </c:pt>
                <c:pt idx="36">
                  <c:v>207.10971</c:v>
                </c:pt>
                <c:pt idx="37">
                  <c:v>154.20509</c:v>
                </c:pt>
                <c:pt idx="38">
                  <c:v>187.88836</c:v>
                </c:pt>
                <c:pt idx="39">
                  <c:v>188.8147</c:v>
                </c:pt>
                <c:pt idx="40">
                  <c:v>130.63982</c:v>
                </c:pt>
                <c:pt idx="41">
                  <c:v>103.67664</c:v>
                </c:pt>
                <c:pt idx="42">
                  <c:v>196.93405</c:v>
                </c:pt>
                <c:pt idx="43">
                  <c:v>323.5215</c:v>
                </c:pt>
                <c:pt idx="44">
                  <c:v>425.4431</c:v>
                </c:pt>
                <c:pt idx="45">
                  <c:v>259.06661</c:v>
                </c:pt>
                <c:pt idx="46">
                  <c:v>341.20989</c:v>
                </c:pt>
                <c:pt idx="47">
                  <c:v>311.39873</c:v>
                </c:pt>
                <c:pt idx="48">
                  <c:v>300.97675</c:v>
                </c:pt>
                <c:pt idx="49">
                  <c:v>342.51079</c:v>
                </c:pt>
                <c:pt idx="50">
                  <c:v>675.34237</c:v>
                </c:pt>
                <c:pt idx="51">
                  <c:v>288.11232</c:v>
                </c:pt>
                <c:pt idx="52">
                  <c:v>282.68791</c:v>
                </c:pt>
                <c:pt idx="53">
                  <c:v>119.70462</c:v>
                </c:pt>
                <c:pt idx="54">
                  <c:v>229.68228</c:v>
                </c:pt>
                <c:pt idx="55">
                  <c:v>223.29298</c:v>
                </c:pt>
                <c:pt idx="56">
                  <c:v>254.60209</c:v>
                </c:pt>
                <c:pt idx="57">
                  <c:v>291.14524</c:v>
                </c:pt>
                <c:pt idx="58">
                  <c:v>356.65301</c:v>
                </c:pt>
                <c:pt idx="59">
                  <c:v>356.33912</c:v>
                </c:pt>
                <c:pt idx="60">
                  <c:v>383.74474</c:v>
                </c:pt>
                <c:pt idx="61">
                  <c:v>237.5422</c:v>
                </c:pt>
                <c:pt idx="62">
                  <c:v>263.86584</c:v>
                </c:pt>
                <c:pt idx="63">
                  <c:v>708.33232</c:v>
                </c:pt>
                <c:pt idx="64">
                  <c:v>336.58972</c:v>
                </c:pt>
                <c:pt idx="65">
                  <c:v>308.60982</c:v>
                </c:pt>
              </c:numCache>
            </c:numRef>
          </c:val>
        </c:ser>
        <c:gapWidth val="30"/>
        <c:overlap val="100"/>
        <c:axId val="89411866"/>
        <c:axId val="63575978"/>
      </c:barChart>
      <c:catAx>
        <c:axId val="89411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75978"/>
        <c:crosses val="autoZero"/>
        <c:auto val="1"/>
        <c:lblAlgn val="ctr"/>
        <c:lblOffset val="100"/>
        <c:noMultiLvlLbl val="0"/>
      </c:catAx>
      <c:valAx>
        <c:axId val="63575978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118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ラグ相関（YoY）：k&gt;0は輸出が先行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グラフ用ラグ!B1</c:f>
              <c:strCache>
                <c:ptCount val="1"/>
                <c:pt idx="0">
                  <c:v>世界→TEL海外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グラフ用ラグ!$A$2:$A$11</c:f>
              <c:strCache>
                <c:ptCount val="10"/>
                <c:pt idx="0">
                  <c:v>k=-3</c:v>
                </c:pt>
                <c:pt idx="1">
                  <c:v>k=-2</c:v>
                </c:pt>
                <c:pt idx="2">
                  <c:v>k=-1</c:v>
                </c:pt>
                <c:pt idx="3">
                  <c:v>k=0</c:v>
                </c:pt>
                <c:pt idx="4">
                  <c:v>k=1</c:v>
                </c:pt>
                <c:pt idx="5">
                  <c:v>k=2</c:v>
                </c:pt>
                <c:pt idx="6">
                  <c:v>k=3</c:v>
                </c:pt>
                <c:pt idx="7">
                  <c:v>k=4</c:v>
                </c:pt>
                <c:pt idx="8">
                  <c:v>k=5</c:v>
                </c:pt>
                <c:pt idx="9">
                  <c:v>k=6</c:v>
                </c:pt>
              </c:strCache>
            </c:strRef>
          </c:cat>
          <c:val>
            <c:numRef>
              <c:f>グラフ用ラグ!$B$2:$B$11</c:f>
              <c:numCache>
                <c:formatCode>0.00</c:formatCode>
                <c:ptCount val="10"/>
                <c:pt idx="0">
                  <c:v>0.47</c:v>
                </c:pt>
                <c:pt idx="1">
                  <c:v>0.59</c:v>
                </c:pt>
                <c:pt idx="2">
                  <c:v>0.75</c:v>
                </c:pt>
                <c:pt idx="3">
                  <c:v>0.86</c:v>
                </c:pt>
                <c:pt idx="4">
                  <c:v>0.83</c:v>
                </c:pt>
                <c:pt idx="5">
                  <c:v>0.73</c:v>
                </c:pt>
                <c:pt idx="6">
                  <c:v>0.66</c:v>
                </c:pt>
                <c:pt idx="7">
                  <c:v>0.67</c:v>
                </c:pt>
                <c:pt idx="8">
                  <c:v>0.53</c:v>
                </c:pt>
                <c:pt idx="9">
                  <c:v>0.45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グラフ用ラグ!C1</c:f>
              <c:strCache>
                <c:ptCount val="1"/>
                <c:pt idx="0">
                  <c:v>韓国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グラフ用ラグ!$A$2:$A$11</c:f>
              <c:strCache>
                <c:ptCount val="10"/>
                <c:pt idx="0">
                  <c:v>k=-3</c:v>
                </c:pt>
                <c:pt idx="1">
                  <c:v>k=-2</c:v>
                </c:pt>
                <c:pt idx="2">
                  <c:v>k=-1</c:v>
                </c:pt>
                <c:pt idx="3">
                  <c:v>k=0</c:v>
                </c:pt>
                <c:pt idx="4">
                  <c:v>k=1</c:v>
                </c:pt>
                <c:pt idx="5">
                  <c:v>k=2</c:v>
                </c:pt>
                <c:pt idx="6">
                  <c:v>k=3</c:v>
                </c:pt>
                <c:pt idx="7">
                  <c:v>k=4</c:v>
                </c:pt>
                <c:pt idx="8">
                  <c:v>k=5</c:v>
                </c:pt>
                <c:pt idx="9">
                  <c:v>k=6</c:v>
                </c:pt>
              </c:strCache>
            </c:strRef>
          </c:cat>
          <c:val>
            <c:numRef>
              <c:f>グラフ用ラグ!$C$2:$C$11</c:f>
              <c:numCache>
                <c:formatCode>0.00</c:formatCode>
                <c:ptCount val="10"/>
                <c:pt idx="0">
                  <c:v>0.57</c:v>
                </c:pt>
                <c:pt idx="1">
                  <c:v>0.64</c:v>
                </c:pt>
                <c:pt idx="2">
                  <c:v>0.69</c:v>
                </c:pt>
                <c:pt idx="3">
                  <c:v>0.83</c:v>
                </c:pt>
                <c:pt idx="4">
                  <c:v>0.93</c:v>
                </c:pt>
                <c:pt idx="5">
                  <c:v>0.94</c:v>
                </c:pt>
                <c:pt idx="6">
                  <c:v>0.93</c:v>
                </c:pt>
                <c:pt idx="7">
                  <c:v>0.83</c:v>
                </c:pt>
                <c:pt idx="8">
                  <c:v>0.66</c:v>
                </c:pt>
                <c:pt idx="9">
                  <c:v>0.63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グラフ用ラグ!D1</c:f>
              <c:strCache>
                <c:ptCount val="1"/>
                <c:pt idx="0">
                  <c:v>台湾</c:v>
                </c:pt>
              </c:strCache>
            </c:strRef>
          </c:tx>
          <c:spPr>
            <a:solidFill>
              <a:srgbClr val="1baf7a"/>
            </a:solidFill>
            <a:ln w="2232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グラフ用ラグ!$A$2:$A$11</c:f>
              <c:strCache>
                <c:ptCount val="10"/>
                <c:pt idx="0">
                  <c:v>k=-3</c:v>
                </c:pt>
                <c:pt idx="1">
                  <c:v>k=-2</c:v>
                </c:pt>
                <c:pt idx="2">
                  <c:v>k=-1</c:v>
                </c:pt>
                <c:pt idx="3">
                  <c:v>k=0</c:v>
                </c:pt>
                <c:pt idx="4">
                  <c:v>k=1</c:v>
                </c:pt>
                <c:pt idx="5">
                  <c:v>k=2</c:v>
                </c:pt>
                <c:pt idx="6">
                  <c:v>k=3</c:v>
                </c:pt>
                <c:pt idx="7">
                  <c:v>k=4</c:v>
                </c:pt>
                <c:pt idx="8">
                  <c:v>k=5</c:v>
                </c:pt>
                <c:pt idx="9">
                  <c:v>k=6</c:v>
                </c:pt>
              </c:strCache>
            </c:strRef>
          </c:cat>
          <c:val>
            <c:numRef>
              <c:f>グラフ用ラグ!$D$2:$D$11</c:f>
              <c:numCache>
                <c:formatCode>0.00</c:formatCode>
                <c:ptCount val="10"/>
                <c:pt idx="0">
                  <c:v>0.5</c:v>
                </c:pt>
                <c:pt idx="1">
                  <c:v>0.65</c:v>
                </c:pt>
                <c:pt idx="2">
                  <c:v>0.82</c:v>
                </c:pt>
                <c:pt idx="3">
                  <c:v>0.91</c:v>
                </c:pt>
                <c:pt idx="4">
                  <c:v>0.9</c:v>
                </c:pt>
                <c:pt idx="5">
                  <c:v>0.82</c:v>
                </c:pt>
                <c:pt idx="6">
                  <c:v>0.67</c:v>
                </c:pt>
                <c:pt idx="7">
                  <c:v>0.58</c:v>
                </c:pt>
                <c:pt idx="8">
                  <c:v>0.44</c:v>
                </c:pt>
                <c:pt idx="9">
                  <c:v>0.36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グラフ用ラグ!E1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e87ba4"/>
            </a:solidFill>
            <a:ln w="22320">
              <a:solidFill>
                <a:srgbClr val="e87ba4"/>
              </a:solidFill>
              <a:round/>
            </a:ln>
          </c:spPr>
          <c:marker>
            <c:symbol val="circle"/>
            <c:size val="6"/>
            <c:spPr>
              <a:solidFill>
                <a:srgbClr val="e87ba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グラフ用ラグ!$A$2:$A$11</c:f>
              <c:strCache>
                <c:ptCount val="10"/>
                <c:pt idx="0">
                  <c:v>k=-3</c:v>
                </c:pt>
                <c:pt idx="1">
                  <c:v>k=-2</c:v>
                </c:pt>
                <c:pt idx="2">
                  <c:v>k=-1</c:v>
                </c:pt>
                <c:pt idx="3">
                  <c:v>k=0</c:v>
                </c:pt>
                <c:pt idx="4">
                  <c:v>k=1</c:v>
                </c:pt>
                <c:pt idx="5">
                  <c:v>k=2</c:v>
                </c:pt>
                <c:pt idx="6">
                  <c:v>k=3</c:v>
                </c:pt>
                <c:pt idx="7">
                  <c:v>k=4</c:v>
                </c:pt>
                <c:pt idx="8">
                  <c:v>k=5</c:v>
                </c:pt>
                <c:pt idx="9">
                  <c:v>k=6</c:v>
                </c:pt>
              </c:strCache>
            </c:strRef>
          </c:cat>
          <c:val>
            <c:numRef>
              <c:f>グラフ用ラグ!$E$2:$E$11</c:f>
              <c:numCache>
                <c:formatCode>0.00</c:formatCode>
                <c:ptCount val="10"/>
                <c:pt idx="0">
                  <c:v>0.36</c:v>
                </c:pt>
                <c:pt idx="1">
                  <c:v>0.56</c:v>
                </c:pt>
                <c:pt idx="2">
                  <c:v>0.76</c:v>
                </c:pt>
                <c:pt idx="3">
                  <c:v>0.85</c:v>
                </c:pt>
                <c:pt idx="4">
                  <c:v>0.76</c:v>
                </c:pt>
                <c:pt idx="5">
                  <c:v>0.6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504485"/>
        <c:axId val="66494266"/>
      </c:lineChart>
      <c:catAx>
        <c:axId val="65504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94266"/>
        <c:crosses val="autoZero"/>
        <c:auto val="1"/>
        <c:lblAlgn val="ctr"/>
        <c:lblOffset val="100"/>
        <c:noMultiLvlLbl val="0"/>
      </c:catAx>
      <c:valAx>
        <c:axId val="66494266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相関係数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44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TEL海外売上の推定誤差（30四半期の平均）：短いほど良い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推定誤差比較!B3</c:f>
              <c:strCache>
                <c:ptCount val="1"/>
                <c:pt idx="0">
                  <c:v>TEL海外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推定誤差比較!$A$4:$A$11</c:f>
              <c:strCache>
                <c:ptCount val="8"/>
                <c:pt idx="0">
                  <c:v>前期の値（比較）</c:v>
                </c:pt>
                <c:pt idx="1">
                  <c:v>前年同期の値（比較）</c:v>
                </c:pt>
                <c:pt idx="2">
                  <c:v>直近4Q比率×輸出（k0）</c:v>
                </c:pt>
                <c:pt idx="3">
                  <c:v>同四半期比率×輸出（k0）</c:v>
                </c:pt>
                <c:pt idx="4">
                  <c:v>直近4Q比率×輸出（k1）</c:v>
                </c:pt>
                <c:pt idx="5">
                  <c:v>同四半期比率×輸出（k1）</c:v>
                </c:pt>
                <c:pt idx="6">
                  <c:v>同四半期比率×輸出（k2）</c:v>
                </c:pt>
                <c:pt idx="7">
                  <c:v>前年同期×輸出YoY（k0）</c:v>
                </c:pt>
              </c:strCache>
            </c:strRef>
          </c:cat>
          <c:val>
            <c:numRef>
              <c:f>推定誤差比較!$B$4:$B$11</c:f>
              <c:numCache>
                <c:formatCode>0.0%</c:formatCode>
                <c:ptCount val="8"/>
                <c:pt idx="0">
                  <c:v>0.159379746322156</c:v>
                </c:pt>
                <c:pt idx="1">
                  <c:v>0.211022258664115</c:v>
                </c:pt>
                <c:pt idx="2">
                  <c:v>0.0900153401975389</c:v>
                </c:pt>
                <c:pt idx="3">
                  <c:v>0.0812705101670767</c:v>
                </c:pt>
                <c:pt idx="4">
                  <c:v>0.0969340173432486</c:v>
                </c:pt>
                <c:pt idx="5">
                  <c:v>0.0977151722806632</c:v>
                </c:pt>
                <c:pt idx="6">
                  <c:v>0.110853162089952</c:v>
                </c:pt>
                <c:pt idx="7">
                  <c:v>0.103499622729137</c:v>
                </c:pt>
              </c:numCache>
            </c:numRef>
          </c:val>
        </c:ser>
        <c:gapWidth val="60"/>
        <c:overlap val="0"/>
        <c:axId val="87134772"/>
        <c:axId val="32230830"/>
      </c:barChart>
      <c:catAx>
        <c:axId val="871347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30830"/>
        <c:crosses val="autoZero"/>
        <c:auto val="1"/>
        <c:lblAlgn val="ctr"/>
        <c:lblOffset val="100"/>
        <c:noMultiLvlLbl val="0"/>
      </c:catAx>
      <c:valAx>
        <c:axId val="32230830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平均誤差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34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134640</xdr:rowOff>
    </xdr:from>
    <xdr:to>
      <xdr:col>10</xdr:col>
      <xdr:colOff>364680</xdr:colOff>
      <xdr:row>17</xdr:row>
      <xdr:rowOff>146160</xdr:rowOff>
    </xdr:to>
    <xdr:graphicFrame>
      <xdr:nvGraphicFramePr>
        <xdr:cNvPr id="0" name="Chart 1"/>
        <xdr:cNvGraphicFramePr/>
      </xdr:nvGraphicFramePr>
      <xdr:xfrm>
        <a:off x="0" y="3808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134640</xdr:rowOff>
    </xdr:from>
    <xdr:to>
      <xdr:col>20</xdr:col>
      <xdr:colOff>364320</xdr:colOff>
      <xdr:row>17</xdr:row>
      <xdr:rowOff>146160</xdr:rowOff>
    </xdr:to>
    <xdr:graphicFrame>
      <xdr:nvGraphicFramePr>
        <xdr:cNvPr id="1" name="Chart 2"/>
        <xdr:cNvGraphicFramePr/>
      </xdr:nvGraphicFramePr>
      <xdr:xfrm>
        <a:off x="6114960" y="3808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134640</xdr:rowOff>
    </xdr:from>
    <xdr:to>
      <xdr:col>10</xdr:col>
      <xdr:colOff>364680</xdr:colOff>
      <xdr:row>55</xdr:row>
      <xdr:rowOff>146520</xdr:rowOff>
    </xdr:to>
    <xdr:graphicFrame>
      <xdr:nvGraphicFramePr>
        <xdr:cNvPr id="2" name="Chart 3"/>
        <xdr:cNvGraphicFramePr/>
      </xdr:nvGraphicFramePr>
      <xdr:xfrm>
        <a:off x="0" y="762012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39</xdr:row>
      <xdr:rowOff>134640</xdr:rowOff>
    </xdr:from>
    <xdr:to>
      <xdr:col>20</xdr:col>
      <xdr:colOff>364320</xdr:colOff>
      <xdr:row>55</xdr:row>
      <xdr:rowOff>146520</xdr:rowOff>
    </xdr:to>
    <xdr:graphicFrame>
      <xdr:nvGraphicFramePr>
        <xdr:cNvPr id="3" name="Chart 4"/>
        <xdr:cNvGraphicFramePr/>
      </xdr:nvGraphicFramePr>
      <xdr:xfrm>
        <a:off x="6114960" y="762012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134640</xdr:rowOff>
    </xdr:from>
    <xdr:to>
      <xdr:col>10</xdr:col>
      <xdr:colOff>364680</xdr:colOff>
      <xdr:row>74</xdr:row>
      <xdr:rowOff>146160</xdr:rowOff>
    </xdr:to>
    <xdr:graphicFrame>
      <xdr:nvGraphicFramePr>
        <xdr:cNvPr id="4" name="Chart 5"/>
        <xdr:cNvGraphicFramePr/>
      </xdr:nvGraphicFramePr>
      <xdr:xfrm>
        <a:off x="0" y="1123956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58</xdr:row>
      <xdr:rowOff>134640</xdr:rowOff>
    </xdr:from>
    <xdr:to>
      <xdr:col>20</xdr:col>
      <xdr:colOff>364320</xdr:colOff>
      <xdr:row>74</xdr:row>
      <xdr:rowOff>146160</xdr:rowOff>
    </xdr:to>
    <xdr:graphicFrame>
      <xdr:nvGraphicFramePr>
        <xdr:cNvPr id="5" name="Chart 6"/>
        <xdr:cNvGraphicFramePr/>
      </xdr:nvGraphicFramePr>
      <xdr:xfrm>
        <a:off x="6114960" y="1123956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77</xdr:row>
      <xdr:rowOff>134640</xdr:rowOff>
    </xdr:from>
    <xdr:to>
      <xdr:col>10</xdr:col>
      <xdr:colOff>364680</xdr:colOff>
      <xdr:row>93</xdr:row>
      <xdr:rowOff>146160</xdr:rowOff>
    </xdr:to>
    <xdr:graphicFrame>
      <xdr:nvGraphicFramePr>
        <xdr:cNvPr id="6" name="Chart 7"/>
        <xdr:cNvGraphicFramePr/>
      </xdr:nvGraphicFramePr>
      <xdr:xfrm>
        <a:off x="0" y="1485900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20</xdr:row>
      <xdr:rowOff>134640</xdr:rowOff>
    </xdr:from>
    <xdr:to>
      <xdr:col>10</xdr:col>
      <xdr:colOff>364680</xdr:colOff>
      <xdr:row>36</xdr:row>
      <xdr:rowOff>146520</xdr:rowOff>
    </xdr:to>
    <xdr:graphicFrame>
      <xdr:nvGraphicFramePr>
        <xdr:cNvPr id="7" name="Chart 8"/>
        <xdr:cNvGraphicFramePr/>
      </xdr:nvGraphicFramePr>
      <xdr:xfrm>
        <a:off x="0" y="4000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134640</xdr:rowOff>
    </xdr:from>
    <xdr:to>
      <xdr:col>20</xdr:col>
      <xdr:colOff>364320</xdr:colOff>
      <xdr:row>36</xdr:row>
      <xdr:rowOff>146520</xdr:rowOff>
    </xdr:to>
    <xdr:graphicFrame>
      <xdr:nvGraphicFramePr>
        <xdr:cNvPr id="8" name="Chart 9"/>
        <xdr:cNvGraphicFramePr/>
      </xdr:nvGraphicFramePr>
      <xdr:xfrm>
        <a:off x="6114960" y="4000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77</xdr:row>
      <xdr:rowOff>134640</xdr:rowOff>
    </xdr:from>
    <xdr:to>
      <xdr:col>20</xdr:col>
      <xdr:colOff>364320</xdr:colOff>
      <xdr:row>93</xdr:row>
      <xdr:rowOff>146160</xdr:rowOff>
    </xdr:to>
    <xdr:graphicFrame>
      <xdr:nvGraphicFramePr>
        <xdr:cNvPr id="9" name="Chart 10"/>
        <xdr:cNvGraphicFramePr/>
      </xdr:nvGraphicFramePr>
      <xdr:xfrm>
        <a:off x="6114960" y="1485900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96</xdr:row>
      <xdr:rowOff>134640</xdr:rowOff>
    </xdr:from>
    <xdr:to>
      <xdr:col>10</xdr:col>
      <xdr:colOff>364680</xdr:colOff>
      <xdr:row>115</xdr:row>
      <xdr:rowOff>114840</xdr:rowOff>
    </xdr:to>
    <xdr:graphicFrame>
      <xdr:nvGraphicFramePr>
        <xdr:cNvPr id="10" name="Chart 11"/>
        <xdr:cNvGraphicFramePr/>
      </xdr:nvGraphicFramePr>
      <xdr:xfrm>
        <a:off x="0" y="18478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29.25" hidden="false" customHeight="true" outlineLevel="0" collapsed="false">
      <c r="A2" s="2" t="s">
        <v>2</v>
      </c>
      <c r="B2" s="3" t="s">
        <v>3</v>
      </c>
    </row>
    <row r="3" customFormat="false" ht="29.25" hidden="false" customHeight="true" outlineLevel="0" collapsed="false">
      <c r="A3" s="2" t="s">
        <v>4</v>
      </c>
      <c r="B3" s="3" t="s">
        <v>5</v>
      </c>
    </row>
    <row r="4" customFormat="false" ht="29.25" hidden="false" customHeight="true" outlineLevel="0" collapsed="false">
      <c r="A4" s="2" t="s">
        <v>6</v>
      </c>
      <c r="B4" s="4" t="s">
        <v>7</v>
      </c>
    </row>
    <row r="5" customFormat="false" ht="29.25" hidden="false" customHeight="true" outlineLevel="0" collapsed="false">
      <c r="A5" s="2" t="s">
        <v>8</v>
      </c>
      <c r="B5" s="3" t="s">
        <v>9</v>
      </c>
    </row>
    <row r="6" customFormat="false" ht="29.25" hidden="false" customHeight="true" outlineLevel="0" collapsed="false">
      <c r="A6" s="2" t="s">
        <v>10</v>
      </c>
      <c r="B6" s="4" t="s">
        <v>11</v>
      </c>
    </row>
    <row r="7" customFormat="false" ht="29.25" hidden="false" customHeight="true" outlineLevel="0" collapsed="false">
      <c r="A7" s="2" t="s">
        <v>12</v>
      </c>
      <c r="B7" s="3" t="s">
        <v>13</v>
      </c>
    </row>
    <row r="8" customFormat="false" ht="29.25" hidden="false" customHeight="true" outlineLevel="0" collapsed="false">
      <c r="A8" s="2" t="s">
        <v>14</v>
      </c>
      <c r="B8" s="4" t="s">
        <v>15</v>
      </c>
    </row>
    <row r="9" customFormat="false" ht="15" hidden="false" customHeight="true" outlineLevel="0" collapsed="false">
      <c r="A9" s="2" t="s">
        <v>16</v>
      </c>
      <c r="B9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2" min="2" style="1" width="8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6" t="s">
        <v>19</v>
      </c>
    </row>
    <row r="3" customFormat="false" ht="15" hidden="false" customHeight="true" outlineLevel="0" collapsed="false">
      <c r="A3" s="7" t="s">
        <v>20</v>
      </c>
      <c r="B3" s="7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7" t="s">
        <v>32</v>
      </c>
    </row>
    <row r="4" customFormat="false" ht="15" hidden="false" customHeight="true" outlineLevel="0" collapsed="false">
      <c r="A4" s="9" t="s">
        <v>33</v>
      </c>
      <c r="B4" s="10" t="s">
        <v>34</v>
      </c>
      <c r="C4" s="11" t="n">
        <v>-0.12</v>
      </c>
      <c r="D4" s="11" t="n">
        <v>0.02</v>
      </c>
      <c r="E4" s="11" t="n">
        <v>0.44</v>
      </c>
      <c r="F4" s="11" t="n">
        <v>0.45</v>
      </c>
      <c r="G4" s="11" t="n">
        <v>0.27</v>
      </c>
      <c r="H4" s="11" t="n">
        <v>-0.05</v>
      </c>
      <c r="I4" s="11" t="n">
        <v>0.01</v>
      </c>
      <c r="J4" s="11" t="n">
        <v>0.09</v>
      </c>
      <c r="K4" s="11" t="n">
        <v>0.23</v>
      </c>
      <c r="L4" s="11" t="n">
        <v>0.15</v>
      </c>
      <c r="M4" s="9" t="str">
        <f aca="false">INDEX($C$3:$L$3,MATCH(MAX(C4:L4),C4:L4,0))</f>
        <v>k=0</v>
      </c>
    </row>
    <row r="5" customFormat="false" ht="15" hidden="false" customHeight="true" outlineLevel="0" collapsed="false">
      <c r="A5" s="9" t="s">
        <v>33</v>
      </c>
      <c r="B5" s="10" t="s">
        <v>35</v>
      </c>
      <c r="C5" s="11" t="n">
        <v>0.47</v>
      </c>
      <c r="D5" s="11" t="n">
        <v>0.59</v>
      </c>
      <c r="E5" s="11" t="n">
        <v>0.75</v>
      </c>
      <c r="F5" s="11" t="n">
        <v>0.86</v>
      </c>
      <c r="G5" s="11" t="n">
        <v>0.83</v>
      </c>
      <c r="H5" s="11" t="n">
        <v>0.73</v>
      </c>
      <c r="I5" s="11" t="n">
        <v>0.66</v>
      </c>
      <c r="J5" s="11" t="n">
        <v>0.67</v>
      </c>
      <c r="K5" s="11" t="n">
        <v>0.53</v>
      </c>
      <c r="L5" s="11" t="n">
        <v>0.45</v>
      </c>
      <c r="M5" s="9" t="str">
        <f aca="false">INDEX($C$3:$L$3,MATCH(MAX(C5:L5),C5:L5,0))</f>
        <v>k=0</v>
      </c>
    </row>
    <row r="6" customFormat="false" ht="15" hidden="false" customHeight="true" outlineLevel="0" collapsed="false">
      <c r="A6" s="9" t="s">
        <v>36</v>
      </c>
      <c r="B6" s="10" t="s">
        <v>34</v>
      </c>
      <c r="C6" s="11" t="n">
        <v>-0.21</v>
      </c>
      <c r="D6" s="11" t="n">
        <v>-0.01</v>
      </c>
      <c r="E6" s="11" t="n">
        <v>0.2</v>
      </c>
      <c r="F6" s="11" t="n">
        <v>0.52</v>
      </c>
      <c r="G6" s="11" t="n">
        <v>0.61</v>
      </c>
      <c r="H6" s="11" t="n">
        <v>0.55</v>
      </c>
      <c r="I6" s="11" t="n">
        <v>0.31</v>
      </c>
      <c r="J6" s="11" t="n">
        <v>0.04</v>
      </c>
      <c r="K6" s="11" t="n">
        <v>-0.15</v>
      </c>
      <c r="L6" s="11" t="n">
        <v>-0.14</v>
      </c>
      <c r="M6" s="9" t="str">
        <f aca="false">INDEX($C$3:$L$3,MATCH(MAX(C6:L6),C6:L6,0))</f>
        <v>k=1</v>
      </c>
    </row>
    <row r="7" customFormat="false" ht="15" hidden="false" customHeight="true" outlineLevel="0" collapsed="false">
      <c r="A7" s="9" t="s">
        <v>36</v>
      </c>
      <c r="B7" s="10" t="s">
        <v>35</v>
      </c>
      <c r="C7" s="11" t="n">
        <v>0.57</v>
      </c>
      <c r="D7" s="11" t="n">
        <v>0.64</v>
      </c>
      <c r="E7" s="11" t="n">
        <v>0.69</v>
      </c>
      <c r="F7" s="11" t="n">
        <v>0.83</v>
      </c>
      <c r="G7" s="11" t="n">
        <v>0.93</v>
      </c>
      <c r="H7" s="11" t="n">
        <v>0.94</v>
      </c>
      <c r="I7" s="11" t="n">
        <v>0.93</v>
      </c>
      <c r="J7" s="11" t="n">
        <v>0.83</v>
      </c>
      <c r="K7" s="11" t="n">
        <v>0.66</v>
      </c>
      <c r="L7" s="11" t="n">
        <v>0.63</v>
      </c>
      <c r="M7" s="9" t="str">
        <f aca="false">INDEX($C$3:$L$3,MATCH(MAX(C7:L7),C7:L7,0))</f>
        <v>k=2</v>
      </c>
    </row>
    <row r="8" customFormat="false" ht="15" hidden="false" customHeight="true" outlineLevel="0" collapsed="false">
      <c r="A8" s="9" t="s">
        <v>37</v>
      </c>
      <c r="B8" s="10" t="s">
        <v>34</v>
      </c>
      <c r="C8" s="11" t="n">
        <v>-0.28</v>
      </c>
      <c r="D8" s="11" t="n">
        <v>0.03</v>
      </c>
      <c r="E8" s="11" t="n">
        <v>0.48</v>
      </c>
      <c r="F8" s="11" t="n">
        <v>0.67</v>
      </c>
      <c r="G8" s="11" t="n">
        <v>0.66</v>
      </c>
      <c r="H8" s="11" t="n">
        <v>0.38</v>
      </c>
      <c r="I8" s="11" t="n">
        <v>0.09</v>
      </c>
      <c r="J8" s="11" t="n">
        <v>-0.03</v>
      </c>
      <c r="K8" s="11" t="n">
        <v>-0.14</v>
      </c>
      <c r="L8" s="11" t="n">
        <v>-0.02</v>
      </c>
      <c r="M8" s="9" t="str">
        <f aca="false">INDEX($C$3:$L$3,MATCH(MAX(C8:L8),C8:L8,0))</f>
        <v>k=0</v>
      </c>
    </row>
    <row r="9" customFormat="false" ht="15" hidden="false" customHeight="true" outlineLevel="0" collapsed="false">
      <c r="A9" s="9" t="s">
        <v>37</v>
      </c>
      <c r="B9" s="10" t="s">
        <v>35</v>
      </c>
      <c r="C9" s="11" t="n">
        <v>0.5</v>
      </c>
      <c r="D9" s="11" t="n">
        <v>0.65</v>
      </c>
      <c r="E9" s="11" t="n">
        <v>0.82</v>
      </c>
      <c r="F9" s="11" t="n">
        <v>0.91</v>
      </c>
      <c r="G9" s="11" t="n">
        <v>0.9</v>
      </c>
      <c r="H9" s="11" t="n">
        <v>0.82</v>
      </c>
      <c r="I9" s="11" t="n">
        <v>0.67</v>
      </c>
      <c r="J9" s="11" t="n">
        <v>0.58</v>
      </c>
      <c r="K9" s="11" t="n">
        <v>0.44</v>
      </c>
      <c r="L9" s="11" t="n">
        <v>0.36</v>
      </c>
      <c r="M9" s="9" t="str">
        <f aca="false">INDEX($C$3:$L$3,MATCH(MAX(C9:L9),C9:L9,0))</f>
        <v>k=0</v>
      </c>
    </row>
    <row r="10" customFormat="false" ht="15" hidden="false" customHeight="true" outlineLevel="0" collapsed="false">
      <c r="A10" s="9" t="s">
        <v>38</v>
      </c>
      <c r="B10" s="10" t="s">
        <v>34</v>
      </c>
      <c r="C10" s="11" t="n">
        <v>-0.33</v>
      </c>
      <c r="D10" s="11" t="n">
        <v>-0.08</v>
      </c>
      <c r="E10" s="11" t="n">
        <v>0.36</v>
      </c>
      <c r="F10" s="11" t="n">
        <v>0.75</v>
      </c>
      <c r="G10" s="11" t="n">
        <v>0.65</v>
      </c>
      <c r="H10" s="11" t="n">
        <v>0.38</v>
      </c>
      <c r="I10" s="11" t="n">
        <v>-0.08</v>
      </c>
      <c r="J10" s="11" t="n">
        <v>-0.1</v>
      </c>
      <c r="K10" s="11" t="n">
        <v>-0.1</v>
      </c>
      <c r="L10" s="11" t="n">
        <v>-0.06</v>
      </c>
      <c r="M10" s="9" t="str">
        <f aca="false">INDEX($C$3:$L$3,MATCH(MAX(C10:L10),C10:L10,0))</f>
        <v>k=0</v>
      </c>
    </row>
    <row r="11" customFormat="false" ht="15" hidden="false" customHeight="true" outlineLevel="0" collapsed="false">
      <c r="A11" s="9" t="s">
        <v>38</v>
      </c>
      <c r="B11" s="10" t="s">
        <v>35</v>
      </c>
      <c r="C11" s="11" t="n">
        <v>0.36</v>
      </c>
      <c r="D11" s="11" t="n">
        <v>0.56</v>
      </c>
      <c r="E11" s="11" t="n">
        <v>0.76</v>
      </c>
      <c r="F11" s="11" t="n">
        <v>0.85</v>
      </c>
      <c r="G11" s="11" t="n">
        <v>0.76</v>
      </c>
      <c r="H11" s="11" t="n">
        <v>0.6</v>
      </c>
      <c r="I11" s="11" t="n">
        <v>0.42</v>
      </c>
      <c r="J11" s="11" t="n">
        <v>0.42</v>
      </c>
      <c r="K11" s="11" t="n">
        <v>0.42</v>
      </c>
      <c r="L11" s="11" t="n">
        <v>0.43</v>
      </c>
      <c r="M11" s="9" t="str">
        <f aca="false">INDEX($C$3:$L$3,MATCH(MAX(C11:L11),C11:L11,0))</f>
        <v>k=0</v>
      </c>
    </row>
    <row r="12" customFormat="false" ht="15" hidden="false" customHeight="true" outlineLevel="0" collapsed="false">
      <c r="A12" s="9" t="s">
        <v>39</v>
      </c>
      <c r="B12" s="10" t="s">
        <v>34</v>
      </c>
      <c r="C12" s="11" t="n">
        <v>0.27</v>
      </c>
      <c r="D12" s="11" t="n">
        <v>0.21</v>
      </c>
      <c r="E12" s="11" t="n">
        <v>0.39</v>
      </c>
      <c r="F12" s="11" t="n">
        <v>0.06</v>
      </c>
      <c r="G12" s="11" t="n">
        <v>0.05</v>
      </c>
      <c r="H12" s="11" t="n">
        <v>-0.23</v>
      </c>
      <c r="I12" s="11" t="n">
        <v>0.02</v>
      </c>
      <c r="J12" s="11" t="n">
        <v>0.05</v>
      </c>
      <c r="K12" s="11" t="n">
        <v>0.37</v>
      </c>
      <c r="L12" s="11" t="n">
        <v>0.28</v>
      </c>
      <c r="M12" s="9" t="str">
        <f aca="false">INDEX($C$3:$L$3,MATCH(MAX(C12:L12),C12:L12,0))</f>
        <v>k=-1</v>
      </c>
    </row>
    <row r="13" customFormat="false" ht="15" hidden="false" customHeight="true" outlineLevel="0" collapsed="false">
      <c r="A13" s="9" t="s">
        <v>39</v>
      </c>
      <c r="B13" s="10" t="s">
        <v>35</v>
      </c>
      <c r="C13" s="11" t="n">
        <v>0.37</v>
      </c>
      <c r="D13" s="11" t="n">
        <v>0.49</v>
      </c>
      <c r="E13" s="11" t="n">
        <v>0.57</v>
      </c>
      <c r="F13" s="11" t="n">
        <v>0.56</v>
      </c>
      <c r="G13" s="11" t="n">
        <v>0.57</v>
      </c>
      <c r="H13" s="11" t="n">
        <v>0.51</v>
      </c>
      <c r="I13" s="11" t="n">
        <v>0.52</v>
      </c>
      <c r="J13" s="11" t="n">
        <v>0.49</v>
      </c>
      <c r="K13" s="11" t="n">
        <v>0.48</v>
      </c>
      <c r="L13" s="11" t="n">
        <v>0.43</v>
      </c>
      <c r="M13" s="9" t="str">
        <f aca="false">INDEX($C$3:$L$3,MATCH(MAX(C13:L13),C13:L13,0))</f>
        <v>k=-1</v>
      </c>
    </row>
    <row r="14" customFormat="false" ht="15" hidden="false" customHeight="true" outlineLevel="0" collapsed="false">
      <c r="A14" s="9" t="s">
        <v>40</v>
      </c>
      <c r="B14" s="10" t="s">
        <v>34</v>
      </c>
      <c r="C14" s="11" t="n">
        <v>0.1</v>
      </c>
      <c r="D14" s="11" t="n">
        <v>0.39</v>
      </c>
      <c r="E14" s="11" t="n">
        <v>0.62</v>
      </c>
      <c r="F14" s="11" t="n">
        <v>0.42</v>
      </c>
      <c r="G14" s="11" t="n">
        <v>0.22</v>
      </c>
      <c r="H14" s="11" t="n">
        <v>0.08</v>
      </c>
      <c r="I14" s="11" t="n">
        <v>0.29</v>
      </c>
      <c r="J14" s="11" t="n">
        <v>0.3</v>
      </c>
      <c r="K14" s="11" t="n">
        <v>0.29</v>
      </c>
      <c r="L14" s="11" t="n">
        <v>0.03</v>
      </c>
      <c r="M14" s="9" t="str">
        <f aca="false">INDEX($C$3:$L$3,MATCH(MAX(C14:L14),C14:L14,0))</f>
        <v>k=-1</v>
      </c>
    </row>
    <row r="15" customFormat="false" ht="15" hidden="false" customHeight="true" outlineLevel="0" collapsed="false">
      <c r="A15" s="9" t="s">
        <v>40</v>
      </c>
      <c r="B15" s="10" t="s">
        <v>35</v>
      </c>
      <c r="C15" s="11" t="n">
        <v>0.53</v>
      </c>
      <c r="D15" s="11" t="n">
        <v>0.66</v>
      </c>
      <c r="E15" s="11" t="n">
        <v>0.76</v>
      </c>
      <c r="F15" s="11" t="n">
        <v>0.73</v>
      </c>
      <c r="G15" s="11" t="n">
        <v>0.75</v>
      </c>
      <c r="H15" s="11" t="n">
        <v>0.7</v>
      </c>
      <c r="I15" s="11" t="n">
        <v>0.67</v>
      </c>
      <c r="J15" s="11" t="n">
        <v>0.58</v>
      </c>
      <c r="K15" s="11" t="n">
        <v>0.47</v>
      </c>
      <c r="L15" s="11" t="n">
        <v>0.38</v>
      </c>
      <c r="M15" s="9" t="str">
        <f aca="false">INDEX($C$3:$L$3,MATCH(MAX(C15:L15),C15:L15,0))</f>
        <v>k=-1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10" min="9" style="1" width="8"/>
    <col collapsed="false" customWidth="true" hidden="false" outlineLevel="0" max="12" min="11" style="1" width="16"/>
  </cols>
  <sheetData>
    <row r="1" customFormat="false" ht="15" hidden="false" customHeight="true" outlineLevel="0" collapsed="false">
      <c r="A1" s="12" t="s">
        <v>41</v>
      </c>
    </row>
    <row r="3" customFormat="false" ht="29.25" hidden="false" customHeight="true" outlineLevel="0" collapsed="false">
      <c r="A3" s="7" t="s">
        <v>20</v>
      </c>
      <c r="B3" s="7" t="s">
        <v>42</v>
      </c>
      <c r="C3" s="8" t="s">
        <v>43</v>
      </c>
      <c r="D3" s="8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8" t="s">
        <v>43</v>
      </c>
      <c r="J3" s="8" t="s">
        <v>44</v>
      </c>
      <c r="K3" s="7" t="s">
        <v>49</v>
      </c>
      <c r="L3" s="7" t="s">
        <v>50</v>
      </c>
    </row>
    <row r="4" customFormat="false" ht="15" hidden="false" customHeight="true" outlineLevel="0" collapsed="false">
      <c r="A4" s="9" t="s">
        <v>33</v>
      </c>
      <c r="B4" s="13" t="n">
        <v>0.630006688843802</v>
      </c>
      <c r="C4" s="13" t="n">
        <v>0.39083661867115</v>
      </c>
      <c r="D4" s="13" t="n">
        <v>0.837112940385294</v>
      </c>
      <c r="E4" s="13" t="n">
        <v>0</v>
      </c>
      <c r="F4" s="13" t="n">
        <v>0.196018050373782</v>
      </c>
      <c r="G4" s="13" t="n">
        <v>0.173975260782417</v>
      </c>
      <c r="H4" s="11" t="n">
        <v>1.62329887970547</v>
      </c>
      <c r="I4" s="11" t="n">
        <v>1.13999798098941</v>
      </c>
      <c r="J4" s="11" t="n">
        <v>2.70519577269951</v>
      </c>
      <c r="K4" s="11" t="n">
        <v>1</v>
      </c>
      <c r="L4" s="11" t="n">
        <f aca="false">H4-K4</f>
        <v>0.62329887970547</v>
      </c>
    </row>
    <row r="5" customFormat="false" ht="15" hidden="false" customHeight="true" outlineLevel="0" collapsed="false">
      <c r="A5" s="9" t="s">
        <v>36</v>
      </c>
      <c r="B5" s="13" t="n">
        <v>0.69679948371828</v>
      </c>
      <c r="C5" s="13" t="n">
        <v>0.444574269646376</v>
      </c>
      <c r="D5" s="13" t="n">
        <v>0.78532407408105</v>
      </c>
      <c r="E5" s="13" t="n">
        <v>0.14100676251504</v>
      </c>
      <c r="F5" s="13" t="n">
        <v>0.16219375376668</v>
      </c>
      <c r="G5" s="13" t="n">
        <v>0</v>
      </c>
      <c r="H5" s="11" t="n">
        <v>2.32918741617541</v>
      </c>
      <c r="I5" s="11" t="n">
        <v>1.47396606109125</v>
      </c>
      <c r="J5" s="11" t="n">
        <v>3.49781108000418</v>
      </c>
      <c r="K5" s="11" t="n">
        <v>1</v>
      </c>
      <c r="L5" s="11" t="n">
        <f aca="false">H5-K5</f>
        <v>1.32918741617541</v>
      </c>
    </row>
    <row r="6" customFormat="false" ht="15" hidden="false" customHeight="true" outlineLevel="0" collapsed="false">
      <c r="A6" s="9" t="s">
        <v>37</v>
      </c>
      <c r="B6" s="13" t="n">
        <v>0.556205230805887</v>
      </c>
      <c r="C6" s="13" t="n">
        <v>0.391178917232971</v>
      </c>
      <c r="D6" s="13" t="n">
        <v>0.632327269553031</v>
      </c>
      <c r="E6" s="13" t="n">
        <v>0.238466717610208</v>
      </c>
      <c r="F6" s="13" t="n">
        <v>0.0240841458884433</v>
      </c>
      <c r="G6" s="13" t="n">
        <v>0.181243905695462</v>
      </c>
      <c r="H6" s="11" t="n">
        <v>1.25683047205666</v>
      </c>
      <c r="I6" s="11" t="n">
        <v>0.88981816290709</v>
      </c>
      <c r="J6" s="11" t="n">
        <v>2.4478660921616</v>
      </c>
      <c r="K6" s="11" t="n">
        <v>1</v>
      </c>
      <c r="L6" s="11" t="n">
        <f aca="false">H6-K6</f>
        <v>0.25683047205666</v>
      </c>
    </row>
    <row r="7" customFormat="false" ht="15" hidden="false" customHeight="true" outlineLevel="0" collapsed="false">
      <c r="A7" s="9" t="s">
        <v>38</v>
      </c>
      <c r="B7" s="13" t="n">
        <v>0.713990921294482</v>
      </c>
      <c r="C7" s="13" t="n">
        <v>0.600712448069656</v>
      </c>
      <c r="D7" s="13" t="n">
        <v>0.906351426731376</v>
      </c>
      <c r="E7" s="13" t="n">
        <v>0</v>
      </c>
      <c r="F7" s="13" t="n">
        <v>0.14315632996835</v>
      </c>
      <c r="G7" s="13" t="n">
        <v>0.142852748737169</v>
      </c>
      <c r="H7" s="11" t="n">
        <v>1.57851702489116</v>
      </c>
      <c r="I7" s="11" t="n">
        <v>0.79856012750915</v>
      </c>
      <c r="J7" s="11" t="n">
        <v>2.24658135987942</v>
      </c>
      <c r="K7" s="11" t="n">
        <v>1</v>
      </c>
      <c r="L7" s="11" t="n">
        <f aca="false">H7-K7</f>
        <v>0.57851702489116</v>
      </c>
    </row>
    <row r="8" customFormat="false" ht="15" hidden="false" customHeight="true" outlineLevel="0" collapsed="false">
      <c r="A8" s="9" t="s">
        <v>39</v>
      </c>
      <c r="B8" s="13" t="n">
        <v>0.417556774603032</v>
      </c>
      <c r="C8" s="13" t="n">
        <v>0.00209914369110912</v>
      </c>
      <c r="D8" s="13" t="n">
        <v>0.732161194875112</v>
      </c>
      <c r="E8" s="13" t="n">
        <v>0</v>
      </c>
      <c r="F8" s="13" t="n">
        <v>0.350540569501132</v>
      </c>
      <c r="G8" s="13" t="n">
        <v>0.231902655895836</v>
      </c>
      <c r="H8" s="11" t="n">
        <v>2.66262885699511</v>
      </c>
      <c r="I8" s="11" t="n">
        <v>1.20445829471214</v>
      </c>
      <c r="J8" s="11" t="n">
        <v>4.48906306871044</v>
      </c>
      <c r="K8" s="11" t="n">
        <v>1</v>
      </c>
      <c r="L8" s="11" t="n">
        <f aca="false">H8-K8</f>
        <v>1.66262885699511</v>
      </c>
    </row>
    <row r="9" customFormat="false" ht="15" hidden="false" customHeight="true" outlineLevel="0" collapsed="false">
      <c r="A9" s="9" t="s">
        <v>40</v>
      </c>
      <c r="B9" s="13" t="n">
        <v>0.359911612287255</v>
      </c>
      <c r="C9" s="13" t="n">
        <v>0.280469109984431</v>
      </c>
      <c r="D9" s="13" t="n">
        <v>0.663654859155934</v>
      </c>
      <c r="E9" s="13" t="n">
        <v>0.214954909893514</v>
      </c>
      <c r="F9" s="13" t="n">
        <v>0.145871755828488</v>
      </c>
      <c r="G9" s="13" t="n">
        <v>0.279261721990743</v>
      </c>
      <c r="H9" s="11" t="n">
        <v>1.75401336333578</v>
      </c>
      <c r="I9" s="11" t="n">
        <v>0.978945664316568</v>
      </c>
      <c r="J9" s="11" t="n">
        <v>3.02679462683601</v>
      </c>
      <c r="K9" s="11" t="n">
        <v>1</v>
      </c>
      <c r="L9" s="11" t="n">
        <f aca="false">H9-K9</f>
        <v>0.75401336333578</v>
      </c>
    </row>
    <row r="11" customFormat="false" ht="15" hidden="false" customHeight="true" outlineLevel="0" collapsed="false">
      <c r="A11" s="1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2"/>
  </cols>
  <sheetData>
    <row r="1" customFormat="false" ht="15" hidden="false" customHeight="true" outlineLevel="0" collapsed="false">
      <c r="A1" s="12" t="s">
        <v>52</v>
      </c>
    </row>
    <row r="3" customFormat="false" ht="15" hidden="false" customHeight="true" outlineLevel="0" collapsed="false">
      <c r="A3" s="7" t="s">
        <v>53</v>
      </c>
      <c r="B3" s="8" t="s">
        <v>54</v>
      </c>
      <c r="C3" s="7" t="s">
        <v>36</v>
      </c>
      <c r="D3" s="7" t="s">
        <v>37</v>
      </c>
      <c r="E3" s="7" t="s">
        <v>38</v>
      </c>
    </row>
    <row r="4" customFormat="false" ht="15" hidden="false" customHeight="true" outlineLevel="0" collapsed="false">
      <c r="A4" s="9" t="s">
        <v>55</v>
      </c>
      <c r="B4" s="14" t="n">
        <v>0.159379746322156</v>
      </c>
      <c r="C4" s="14" t="n">
        <v>0.239996431203073</v>
      </c>
      <c r="D4" s="14" t="n">
        <v>0.240834980366972</v>
      </c>
      <c r="E4" s="14" t="n">
        <v>0.2334587044615</v>
      </c>
    </row>
    <row r="5" customFormat="false" ht="15" hidden="false" customHeight="true" outlineLevel="0" collapsed="false">
      <c r="A5" s="9" t="s">
        <v>56</v>
      </c>
      <c r="B5" s="14" t="n">
        <v>0.211022258664115</v>
      </c>
      <c r="C5" s="14" t="n">
        <v>0.399154691318138</v>
      </c>
      <c r="D5" s="14" t="n">
        <v>0.415295371494548</v>
      </c>
      <c r="E5" s="14" t="n">
        <v>0.338000698109009</v>
      </c>
    </row>
    <row r="6" customFormat="false" ht="15" hidden="false" customHeight="true" outlineLevel="0" collapsed="false">
      <c r="A6" s="9" t="s">
        <v>57</v>
      </c>
      <c r="B6" s="14" t="n">
        <v>0.0900153401975389</v>
      </c>
      <c r="C6" s="14" t="n">
        <v>0.175251225407486</v>
      </c>
      <c r="D6" s="14" t="n">
        <v>0.163585985824763</v>
      </c>
      <c r="E6" s="14" t="n">
        <v>0.120276233783737</v>
      </c>
    </row>
    <row r="7" customFormat="false" ht="15" hidden="false" customHeight="true" outlineLevel="0" collapsed="false">
      <c r="A7" s="9" t="s">
        <v>58</v>
      </c>
      <c r="B7" s="14" t="n">
        <v>0.0812705101670767</v>
      </c>
      <c r="C7" s="14" t="n">
        <v>0.19663041345643</v>
      </c>
      <c r="D7" s="14" t="n">
        <v>0.142516147187539</v>
      </c>
      <c r="E7" s="14" t="n">
        <v>0.12214220768062</v>
      </c>
    </row>
    <row r="8" customFormat="false" ht="15" hidden="false" customHeight="true" outlineLevel="0" collapsed="false">
      <c r="A8" s="9" t="s">
        <v>59</v>
      </c>
      <c r="B8" s="14" t="n">
        <v>0.0969340173432486</v>
      </c>
      <c r="C8" s="14" t="n">
        <v>0.159076277924321</v>
      </c>
      <c r="D8" s="14" t="n">
        <v>0.158979685601602</v>
      </c>
      <c r="E8" s="14" t="n">
        <v>0.169182516031762</v>
      </c>
    </row>
    <row r="9" customFormat="false" ht="15" hidden="false" customHeight="true" outlineLevel="0" collapsed="false">
      <c r="A9" s="9" t="s">
        <v>60</v>
      </c>
      <c r="B9" s="14" t="n">
        <v>0.0977151722806632</v>
      </c>
      <c r="C9" s="14" t="n">
        <v>0.166350060269882</v>
      </c>
      <c r="D9" s="14" t="n">
        <v>0.174332353243581</v>
      </c>
      <c r="E9" s="14" t="n">
        <v>0.161891490789107</v>
      </c>
    </row>
    <row r="10" customFormat="false" ht="15" hidden="false" customHeight="true" outlineLevel="0" collapsed="false">
      <c r="A10" s="9" t="s">
        <v>61</v>
      </c>
      <c r="B10" s="14" t="n">
        <v>0.110853162089952</v>
      </c>
      <c r="C10" s="14" t="n">
        <v>0.162150336539462</v>
      </c>
      <c r="D10" s="14" t="n">
        <v>0.219725486799211</v>
      </c>
      <c r="E10" s="14" t="n">
        <v>0.191300776592591</v>
      </c>
    </row>
    <row r="11" customFormat="false" ht="15" hidden="false" customHeight="true" outlineLevel="0" collapsed="false">
      <c r="A11" s="9" t="s">
        <v>62</v>
      </c>
      <c r="B11" s="14" t="n">
        <v>0.103499622729137</v>
      </c>
      <c r="C11" s="14" t="n">
        <v>0.234254541726155</v>
      </c>
      <c r="D11" s="14" t="n">
        <v>0.183900417467164</v>
      </c>
      <c r="E11" s="14" t="n">
        <v>0.15061194612556</v>
      </c>
    </row>
    <row r="13" customFormat="false" ht="15" hidden="false" customHeight="true" outlineLevel="0" collapsed="false">
      <c r="A13" s="1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7" min="5" style="1" width="1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2" min="10" style="1" width="14"/>
  </cols>
  <sheetData>
    <row r="1" customFormat="false" ht="29.25" hidden="false" customHeight="true" outlineLevel="0" collapsed="false">
      <c r="A1" s="7" t="s">
        <v>64</v>
      </c>
      <c r="B1" s="8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</row>
    <row r="2" customFormat="false" ht="15" hidden="false" customHeight="true" outlineLevel="0" collapsed="false">
      <c r="A2" s="15" t="s">
        <v>76</v>
      </c>
      <c r="B2" s="16" t="n">
        <v>2457</v>
      </c>
      <c r="C2" s="16" t="n">
        <v>1851</v>
      </c>
      <c r="D2" s="16" t="n">
        <v>2807</v>
      </c>
      <c r="E2" s="16" t="n">
        <v>2619.98681859537</v>
      </c>
      <c r="F2" s="16" t="n">
        <v>2371.24848073804</v>
      </c>
      <c r="G2" s="16" t="n">
        <v>2358.15101683022</v>
      </c>
      <c r="H2" s="17" t="n">
        <f aca="false">ABS(C2/B2-1)</f>
        <v>0.246642246642247</v>
      </c>
      <c r="I2" s="17" t="n">
        <f aca="false">ABS(D2/B2-1)</f>
        <v>0.142450142450143</v>
      </c>
      <c r="J2" s="17" t="n">
        <f aca="false">ABS(E2/B2-1)</f>
        <v>0.0663357015040171</v>
      </c>
      <c r="K2" s="17" t="n">
        <f aca="false">ABS(F2/B2-1)</f>
        <v>0.0349009032405209</v>
      </c>
      <c r="L2" s="17" t="n">
        <f aca="false">ABS(G2/B2-1)</f>
        <v>0.0402315763816767</v>
      </c>
    </row>
    <row r="3" customFormat="false" ht="15" hidden="false" customHeight="true" outlineLevel="0" collapsed="false">
      <c r="A3" s="15" t="s">
        <v>77</v>
      </c>
      <c r="B3" s="16" t="n">
        <v>1653</v>
      </c>
      <c r="C3" s="16" t="n">
        <v>2457</v>
      </c>
      <c r="D3" s="16" t="n">
        <v>2289</v>
      </c>
      <c r="E3" s="16" t="n">
        <v>2200.73881634783</v>
      </c>
      <c r="F3" s="16" t="n">
        <v>1808.18808704544</v>
      </c>
      <c r="G3" s="16" t="n">
        <v>1693.04785761477</v>
      </c>
      <c r="H3" s="17" t="n">
        <f aca="false">ABS(C3/B3-1)</f>
        <v>0.486388384754991</v>
      </c>
      <c r="I3" s="17" t="n">
        <f aca="false">ABS(D3/B3-1)</f>
        <v>0.38475499092559</v>
      </c>
      <c r="J3" s="17" t="n">
        <f aca="false">ABS(E3/B3-1)</f>
        <v>0.331360445461482</v>
      </c>
      <c r="K3" s="17" t="n">
        <f aca="false">ABS(F3/B3-1)</f>
        <v>0.0938826902876224</v>
      </c>
      <c r="L3" s="17" t="n">
        <f aca="false">ABS(G3/B3-1)</f>
        <v>0.0242273790772958</v>
      </c>
    </row>
    <row r="4" customFormat="false" ht="15" hidden="false" customHeight="true" outlineLevel="0" collapsed="false">
      <c r="A4" s="15" t="s">
        <v>78</v>
      </c>
      <c r="B4" s="16" t="n">
        <v>2306</v>
      </c>
      <c r="C4" s="16" t="n">
        <v>1653</v>
      </c>
      <c r="D4" s="16" t="n">
        <v>2998</v>
      </c>
      <c r="E4" s="16" t="n">
        <v>2264.09746231666</v>
      </c>
      <c r="F4" s="16" t="n">
        <v>2654.99633936286</v>
      </c>
      <c r="G4" s="16" t="n">
        <v>2785.79561657393</v>
      </c>
      <c r="H4" s="17" t="n">
        <f aca="false">ABS(C4/B4-1)</f>
        <v>0.283174327840416</v>
      </c>
      <c r="I4" s="17" t="n">
        <f aca="false">ABS(D4/B4-1)</f>
        <v>0.300086730268864</v>
      </c>
      <c r="J4" s="17" t="n">
        <f aca="false">ABS(E4/B4-1)</f>
        <v>0.018171091796765</v>
      </c>
      <c r="K4" s="17" t="n">
        <f aca="false">ABS(F4/B4-1)</f>
        <v>0.151342731727173</v>
      </c>
      <c r="L4" s="17" t="n">
        <f aca="false">ABS(G4/B4-1)</f>
        <v>0.208064014125729</v>
      </c>
    </row>
    <row r="5" customFormat="false" ht="15" hidden="false" customHeight="true" outlineLevel="0" collapsed="false">
      <c r="A5" s="15" t="s">
        <v>79</v>
      </c>
      <c r="B5" s="16" t="n">
        <v>2458</v>
      </c>
      <c r="C5" s="16" t="n">
        <v>2306</v>
      </c>
      <c r="D5" s="16" t="n">
        <v>1851</v>
      </c>
      <c r="E5" s="16" t="n">
        <v>2353.3085749904</v>
      </c>
      <c r="F5" s="16" t="n">
        <v>2242.92695317097</v>
      </c>
      <c r="G5" s="16" t="n">
        <v>2252.27242449013</v>
      </c>
      <c r="H5" s="17" t="n">
        <f aca="false">ABS(C5/B5-1)</f>
        <v>0.0618388934092758</v>
      </c>
      <c r="I5" s="17" t="n">
        <f aca="false">ABS(D5/B5-1)</f>
        <v>0.246948738812042</v>
      </c>
      <c r="J5" s="17" t="n">
        <f aca="false">ABS(E5/B5-1)</f>
        <v>0.0425921175791701</v>
      </c>
      <c r="K5" s="17" t="n">
        <f aca="false">ABS(F5/B5-1)</f>
        <v>0.08749920538203</v>
      </c>
      <c r="L5" s="17" t="n">
        <f aca="false">ABS(G5/B5-1)</f>
        <v>0.0836971421927868</v>
      </c>
    </row>
    <row r="6" customFormat="false" ht="15" hidden="false" customHeight="true" outlineLevel="0" collapsed="false">
      <c r="A6" s="15" t="s">
        <v>80</v>
      </c>
      <c r="B6" s="16" t="n">
        <v>2590</v>
      </c>
      <c r="C6" s="16" t="n">
        <v>2458</v>
      </c>
      <c r="D6" s="16" t="n">
        <v>2457</v>
      </c>
      <c r="E6" s="16" t="n">
        <v>2373.4330580453</v>
      </c>
      <c r="F6" s="16" t="n">
        <v>2496.38611592532</v>
      </c>
      <c r="G6" s="16" t="n">
        <v>2741.87256056411</v>
      </c>
      <c r="H6" s="17" t="n">
        <f aca="false">ABS(C6/B6-1)</f>
        <v>0.050965250965251</v>
      </c>
      <c r="I6" s="17" t="n">
        <f aca="false">ABS(D6/B6-1)</f>
        <v>0.0513513513513514</v>
      </c>
      <c r="J6" s="17" t="n">
        <f aca="false">ABS(E6/B6-1)</f>
        <v>0.0836165799052895</v>
      </c>
      <c r="K6" s="17" t="n">
        <f aca="false">ABS(F6/B6-1)</f>
        <v>0.0361443567855907</v>
      </c>
      <c r="L6" s="17" t="n">
        <f aca="false">ABS(G6/B6-1)</f>
        <v>0.058638054271857</v>
      </c>
    </row>
    <row r="7" customFormat="false" ht="15" hidden="false" customHeight="true" outlineLevel="0" collapsed="false">
      <c r="A7" s="15" t="s">
        <v>81</v>
      </c>
      <c r="B7" s="16" t="n">
        <v>2544</v>
      </c>
      <c r="C7" s="16" t="n">
        <v>2590</v>
      </c>
      <c r="D7" s="16" t="n">
        <v>1653</v>
      </c>
      <c r="E7" s="16" t="n">
        <v>2245.46021481132</v>
      </c>
      <c r="F7" s="16" t="n">
        <v>2094.6882440577</v>
      </c>
      <c r="G7" s="16" t="n">
        <v>1997.22941727582</v>
      </c>
      <c r="H7" s="17" t="n">
        <f aca="false">ABS(C7/B7-1)</f>
        <v>0.0180817610062893</v>
      </c>
      <c r="I7" s="17" t="n">
        <f aca="false">ABS(D7/B7-1)</f>
        <v>0.350235849056604</v>
      </c>
      <c r="J7" s="17" t="n">
        <f aca="false">ABS(E7/B7-1)</f>
        <v>0.117350544492406</v>
      </c>
      <c r="K7" s="17" t="n">
        <f aca="false">ABS(F7/B7-1)</f>
        <v>0.176616256266627</v>
      </c>
      <c r="L7" s="17" t="n">
        <f aca="false">ABS(G7/B7-1)</f>
        <v>0.214925543523656</v>
      </c>
    </row>
    <row r="8" customFormat="false" ht="15" hidden="false" customHeight="true" outlineLevel="0" collapsed="false">
      <c r="A8" s="15" t="s">
        <v>82</v>
      </c>
      <c r="B8" s="16" t="n">
        <v>2746</v>
      </c>
      <c r="C8" s="16" t="n">
        <v>2544</v>
      </c>
      <c r="D8" s="16" t="n">
        <v>2306</v>
      </c>
      <c r="E8" s="16" t="n">
        <v>2114.12204300982</v>
      </c>
      <c r="F8" s="16" t="n">
        <v>2491.60003980239</v>
      </c>
      <c r="G8" s="16" t="n">
        <v>2569.50710065073</v>
      </c>
      <c r="H8" s="17" t="n">
        <f aca="false">ABS(C8/B8-1)</f>
        <v>0.0735615440640932</v>
      </c>
      <c r="I8" s="17" t="n">
        <f aca="false">ABS(D8/B8-1)</f>
        <v>0.160233066278223</v>
      </c>
      <c r="J8" s="17" t="n">
        <f aca="false">ABS(E8/B8-1)</f>
        <v>0.230108505823081</v>
      </c>
      <c r="K8" s="17" t="n">
        <f aca="false">ABS(F8/B8-1)</f>
        <v>0.0926438310989112</v>
      </c>
      <c r="L8" s="17" t="n">
        <f aca="false">ABS(G8/B8-1)</f>
        <v>0.0642727237251529</v>
      </c>
    </row>
    <row r="9" customFormat="false" ht="15" hidden="false" customHeight="true" outlineLevel="0" collapsed="false">
      <c r="A9" s="15" t="s">
        <v>83</v>
      </c>
      <c r="B9" s="16" t="n">
        <v>2279</v>
      </c>
      <c r="C9" s="16" t="n">
        <v>2746</v>
      </c>
      <c r="D9" s="16" t="n">
        <v>2458</v>
      </c>
      <c r="E9" s="16" t="n">
        <v>2830.35716910583</v>
      </c>
      <c r="F9" s="16" t="n">
        <v>2318.88394043112</v>
      </c>
      <c r="G9" s="16" t="n">
        <v>2148.17309947271</v>
      </c>
      <c r="H9" s="17" t="n">
        <f aca="false">ABS(C9/B9-1)</f>
        <v>0.204914436156209</v>
      </c>
      <c r="I9" s="17" t="n">
        <f aca="false">ABS(D9/B9-1)</f>
        <v>0.0785432207108381</v>
      </c>
      <c r="J9" s="17" t="n">
        <f aca="false">ABS(E9/B9-1)</f>
        <v>0.241929429182023</v>
      </c>
      <c r="K9" s="17" t="n">
        <f aca="false">ABS(F9/B9-1)</f>
        <v>0.017500632045248</v>
      </c>
      <c r="L9" s="17" t="n">
        <f aca="false">ABS(G9/B9-1)</f>
        <v>0.057405397335362</v>
      </c>
    </row>
    <row r="10" customFormat="false" ht="15" hidden="false" customHeight="true" outlineLevel="0" collapsed="false">
      <c r="A10" s="15" t="s">
        <v>84</v>
      </c>
      <c r="B10" s="16" t="n">
        <v>3616</v>
      </c>
      <c r="C10" s="16" t="n">
        <v>2279</v>
      </c>
      <c r="D10" s="16" t="n">
        <v>2590</v>
      </c>
      <c r="E10" s="16" t="n">
        <v>3453.03597665799</v>
      </c>
      <c r="F10" s="16" t="n">
        <v>3199.35537217604</v>
      </c>
      <c r="G10" s="16" t="n">
        <v>3310.75299046682</v>
      </c>
      <c r="H10" s="17" t="n">
        <f aca="false">ABS(C10/B10-1)</f>
        <v>0.369745575221239</v>
      </c>
      <c r="I10" s="17" t="n">
        <f aca="false">ABS(D10/B10-1)</f>
        <v>0.283738938053097</v>
      </c>
      <c r="J10" s="17" t="n">
        <f aca="false">ABS(E10/B10-1)</f>
        <v>0.045067484331308</v>
      </c>
      <c r="K10" s="17" t="n">
        <f aca="false">ABS(F10/B10-1)</f>
        <v>0.115222518756626</v>
      </c>
      <c r="L10" s="17" t="n">
        <f aca="false">ABS(G10/B10-1)</f>
        <v>0.0844156552912555</v>
      </c>
    </row>
    <row r="11" customFormat="false" ht="15" hidden="false" customHeight="true" outlineLevel="0" collapsed="false">
      <c r="A11" s="15" t="s">
        <v>85</v>
      </c>
      <c r="B11" s="16" t="n">
        <v>3828</v>
      </c>
      <c r="C11" s="16" t="n">
        <v>3616</v>
      </c>
      <c r="D11" s="16" t="n">
        <v>2544</v>
      </c>
      <c r="E11" s="16" t="n">
        <v>4046.74909346548</v>
      </c>
      <c r="F11" s="16" t="n">
        <v>3462.32113123301</v>
      </c>
      <c r="G11" s="16" t="n">
        <v>3067.61711756313</v>
      </c>
      <c r="H11" s="17" t="n">
        <f aca="false">ABS(C11/B11-1)</f>
        <v>0.0553814002089864</v>
      </c>
      <c r="I11" s="17" t="n">
        <f aca="false">ABS(D11/B11-1)</f>
        <v>0.335423197492163</v>
      </c>
      <c r="J11" s="17" t="n">
        <f aca="false">ABS(E11/B11-1)</f>
        <v>0.0571444862762487</v>
      </c>
      <c r="K11" s="17" t="n">
        <f aca="false">ABS(F11/B11-1)</f>
        <v>0.0955273951846891</v>
      </c>
      <c r="L11" s="17" t="n">
        <f aca="false">ABS(G11/B11-1)</f>
        <v>0.198637116624052</v>
      </c>
    </row>
    <row r="12" customFormat="false" ht="15" hidden="false" customHeight="true" outlineLevel="0" collapsed="false">
      <c r="A12" s="15" t="s">
        <v>86</v>
      </c>
      <c r="B12" s="16" t="n">
        <v>4136</v>
      </c>
      <c r="C12" s="16" t="n">
        <v>3828</v>
      </c>
      <c r="D12" s="16" t="n">
        <v>2746</v>
      </c>
      <c r="E12" s="16" t="n">
        <v>4164.04636989682</v>
      </c>
      <c r="F12" s="16" t="n">
        <v>4723.76058034274</v>
      </c>
      <c r="G12" s="16" t="n">
        <v>4571.03030583233</v>
      </c>
      <c r="H12" s="17" t="n">
        <f aca="false">ABS(C12/B12-1)</f>
        <v>0.074468085106383</v>
      </c>
      <c r="I12" s="17" t="n">
        <f aca="false">ABS(D12/B12-1)</f>
        <v>0.336073500967118</v>
      </c>
      <c r="J12" s="17" t="n">
        <f aca="false">ABS(E12/B12-1)</f>
        <v>0.00678103720909573</v>
      </c>
      <c r="K12" s="17" t="n">
        <f aca="false">ABS(F12/B12-1)</f>
        <v>0.142108457529676</v>
      </c>
      <c r="L12" s="17" t="n">
        <f aca="false">ABS(G12/B12-1)</f>
        <v>0.105181408566811</v>
      </c>
    </row>
    <row r="13" customFormat="false" ht="15" hidden="false" customHeight="true" outlineLevel="0" collapsed="false">
      <c r="A13" s="15" t="s">
        <v>87</v>
      </c>
      <c r="B13" s="16" t="n">
        <v>4253</v>
      </c>
      <c r="C13" s="16" t="n">
        <v>4136</v>
      </c>
      <c r="D13" s="16" t="n">
        <v>2279</v>
      </c>
      <c r="E13" s="16" t="n">
        <v>4481.55645722697</v>
      </c>
      <c r="F13" s="16" t="n">
        <v>3916.11664637218</v>
      </c>
      <c r="G13" s="16" t="n">
        <v>3972.19788698578</v>
      </c>
      <c r="H13" s="17" t="n">
        <f aca="false">ABS(C13/B13-1)</f>
        <v>0.0275099929461556</v>
      </c>
      <c r="I13" s="17" t="n">
        <f aca="false">ABS(D13/B13-1)</f>
        <v>0.464142957912062</v>
      </c>
      <c r="J13" s="17" t="n">
        <f aca="false">ABS(E13/B13-1)</f>
        <v>0.0537400557787375</v>
      </c>
      <c r="K13" s="17" t="n">
        <f aca="false">ABS(F13/B13-1)</f>
        <v>0.0792107579656289</v>
      </c>
      <c r="L13" s="17" t="n">
        <f aca="false">ABS(G13/B13-1)</f>
        <v>0.0660244798998871</v>
      </c>
    </row>
    <row r="14" customFormat="false" ht="15" hidden="false" customHeight="true" outlineLevel="0" collapsed="false">
      <c r="A14" s="15" t="s">
        <v>88</v>
      </c>
      <c r="B14" s="16" t="n">
        <v>4921</v>
      </c>
      <c r="C14" s="16" t="n">
        <v>4253</v>
      </c>
      <c r="D14" s="16" t="n">
        <v>3616</v>
      </c>
      <c r="E14" s="16" t="n">
        <v>4704.21046364891</v>
      </c>
      <c r="F14" s="16" t="n">
        <v>4639.90580571141</v>
      </c>
      <c r="G14" s="16" t="n">
        <v>4417.26637456254</v>
      </c>
      <c r="H14" s="17" t="n">
        <f aca="false">ABS(C14/B14-1)</f>
        <v>0.135744767323715</v>
      </c>
      <c r="I14" s="17" t="n">
        <f aca="false">ABS(D14/B14-1)</f>
        <v>0.265190002032107</v>
      </c>
      <c r="J14" s="17" t="n">
        <f aca="false">ABS(E14/B14-1)</f>
        <v>0.0440539598356208</v>
      </c>
      <c r="K14" s="17" t="n">
        <f aca="false">ABS(F14/B14-1)</f>
        <v>0.0571213562870535</v>
      </c>
      <c r="L14" s="17" t="n">
        <f aca="false">ABS(G14/B14-1)</f>
        <v>0.102364077512185</v>
      </c>
    </row>
    <row r="15" customFormat="false" ht="15" hidden="false" customHeight="true" outlineLevel="0" collapsed="false">
      <c r="A15" s="15" t="s">
        <v>89</v>
      </c>
      <c r="B15" s="16" t="n">
        <v>4217</v>
      </c>
      <c r="C15" s="16" t="n">
        <v>4921</v>
      </c>
      <c r="D15" s="16" t="n">
        <v>3828</v>
      </c>
      <c r="E15" s="16" t="n">
        <v>4502.86175220916</v>
      </c>
      <c r="F15" s="16" t="n">
        <v>4133.84304833728</v>
      </c>
      <c r="G15" s="16" t="n">
        <v>4504.74261253676</v>
      </c>
      <c r="H15" s="17" t="n">
        <f aca="false">ABS(C15/B15-1)</f>
        <v>0.166943324638368</v>
      </c>
      <c r="I15" s="17" t="n">
        <f aca="false">ABS(D15/B15-1)</f>
        <v>0.0922456722788713</v>
      </c>
      <c r="J15" s="17" t="n">
        <f aca="false">ABS(E15/B15-1)</f>
        <v>0.0677879421885606</v>
      </c>
      <c r="K15" s="17" t="n">
        <f aca="false">ABS(F15/B15-1)</f>
        <v>0.0197194573542138</v>
      </c>
      <c r="L15" s="17" t="n">
        <f aca="false">ABS(G15/B15-1)</f>
        <v>0.0682339607628077</v>
      </c>
    </row>
    <row r="16" customFormat="false" ht="15" hidden="false" customHeight="true" outlineLevel="0" collapsed="false">
      <c r="A16" s="15" t="s">
        <v>90</v>
      </c>
      <c r="B16" s="16" t="n">
        <v>5983</v>
      </c>
      <c r="C16" s="16" t="n">
        <v>4217</v>
      </c>
      <c r="D16" s="16" t="n">
        <v>4136</v>
      </c>
      <c r="E16" s="16" t="n">
        <v>5211.39413629975</v>
      </c>
      <c r="F16" s="16" t="n">
        <v>5731.07611678627</v>
      </c>
      <c r="G16" s="16" t="n">
        <v>5301.54786859209</v>
      </c>
      <c r="H16" s="17" t="n">
        <f aca="false">ABS(C16/B16-1)</f>
        <v>0.295169647334113</v>
      </c>
      <c r="I16" s="17" t="n">
        <f aca="false">ABS(D16/B16-1)</f>
        <v>0.308708006017048</v>
      </c>
      <c r="J16" s="17" t="n">
        <f aca="false">ABS(E16/B16-1)</f>
        <v>0.128966382032467</v>
      </c>
      <c r="K16" s="17" t="n">
        <f aca="false">ABS(F16/B16-1)</f>
        <v>0.0421066159474728</v>
      </c>
      <c r="L16" s="17" t="n">
        <f aca="false">ABS(G16/B16-1)</f>
        <v>0.11389806642285</v>
      </c>
    </row>
    <row r="17" customFormat="false" ht="15" hidden="false" customHeight="true" outlineLevel="0" collapsed="false">
      <c r="A17" s="15" t="s">
        <v>91</v>
      </c>
      <c r="B17" s="16" t="n">
        <v>4103</v>
      </c>
      <c r="C17" s="16" t="n">
        <v>5983</v>
      </c>
      <c r="D17" s="16" t="n">
        <v>4253</v>
      </c>
      <c r="E17" s="16" t="n">
        <v>5055.86789969551</v>
      </c>
      <c r="F17" s="16" t="n">
        <v>4450.90909150724</v>
      </c>
      <c r="G17" s="16" t="n">
        <v>4876.83742389167</v>
      </c>
      <c r="H17" s="17" t="n">
        <f aca="false">ABS(C17/B17-1)</f>
        <v>0.458201316110163</v>
      </c>
      <c r="I17" s="17" t="n">
        <f aca="false">ABS(D17/B17-1)</f>
        <v>0.0365586156470874</v>
      </c>
      <c r="J17" s="17" t="n">
        <f aca="false">ABS(E17/B17-1)</f>
        <v>0.232236875382771</v>
      </c>
      <c r="K17" s="17" t="n">
        <f aca="false">ABS(F17/B17-1)</f>
        <v>0.0847938317102706</v>
      </c>
      <c r="L17" s="17" t="n">
        <f aca="false">ABS(G17/B17-1)</f>
        <v>0.188602833022586</v>
      </c>
    </row>
    <row r="18" customFormat="false" ht="15" hidden="false" customHeight="true" outlineLevel="0" collapsed="false">
      <c r="A18" s="15" t="s">
        <v>92</v>
      </c>
      <c r="B18" s="16" t="n">
        <v>4854</v>
      </c>
      <c r="C18" s="16" t="n">
        <v>4103</v>
      </c>
      <c r="D18" s="16" t="n">
        <v>4921</v>
      </c>
      <c r="E18" s="16" t="n">
        <v>4398.34264195499</v>
      </c>
      <c r="F18" s="16" t="n">
        <v>4596.53659703967</v>
      </c>
      <c r="G18" s="16" t="n">
        <v>4452.5977292774</v>
      </c>
      <c r="H18" s="17" t="n">
        <f aca="false">ABS(C18/B18-1)</f>
        <v>0.15471775854965</v>
      </c>
      <c r="I18" s="17" t="n">
        <f aca="false">ABS(D18/B18-1)</f>
        <v>0.0138030490317265</v>
      </c>
      <c r="J18" s="17" t="n">
        <f aca="false">ABS(E18/B18-1)</f>
        <v>0.0938725500710775</v>
      </c>
      <c r="K18" s="17" t="n">
        <f aca="false">ABS(F18/B18-1)</f>
        <v>0.0530414921632324</v>
      </c>
      <c r="L18" s="17" t="n">
        <f aca="false">ABS(G18/B18-1)</f>
        <v>0.0826951526004534</v>
      </c>
    </row>
    <row r="19" customFormat="false" ht="15" hidden="false" customHeight="true" outlineLevel="0" collapsed="false">
      <c r="A19" s="15" t="s">
        <v>93</v>
      </c>
      <c r="B19" s="16" t="n">
        <v>3619</v>
      </c>
      <c r="C19" s="16" t="n">
        <v>4854</v>
      </c>
      <c r="D19" s="16" t="n">
        <v>4217</v>
      </c>
      <c r="E19" s="16" t="n">
        <v>3957.34905007998</v>
      </c>
      <c r="F19" s="16" t="n">
        <v>3902.90237882897</v>
      </c>
      <c r="G19" s="16" t="n">
        <v>4496.80792616015</v>
      </c>
      <c r="H19" s="17" t="n">
        <f aca="false">ABS(C19/B19-1)</f>
        <v>0.34125449019066</v>
      </c>
      <c r="I19" s="17" t="n">
        <f aca="false">ABS(D19/B19-1)</f>
        <v>0.165239016302846</v>
      </c>
      <c r="J19" s="17" t="n">
        <f aca="false">ABS(E19/B19-1)</f>
        <v>0.0934924150538767</v>
      </c>
      <c r="K19" s="17" t="n">
        <f aca="false">ABS(F19/B19-1)</f>
        <v>0.0784477421467174</v>
      </c>
      <c r="L19" s="17" t="n">
        <f aca="false">ABS(G19/B19-1)</f>
        <v>0.242555381641379</v>
      </c>
    </row>
    <row r="20" customFormat="false" ht="15" hidden="false" customHeight="true" outlineLevel="0" collapsed="false">
      <c r="A20" s="15" t="s">
        <v>94</v>
      </c>
      <c r="B20" s="16" t="n">
        <v>3862</v>
      </c>
      <c r="C20" s="16" t="n">
        <v>3619</v>
      </c>
      <c r="D20" s="16" t="n">
        <v>5983</v>
      </c>
      <c r="E20" s="16" t="n">
        <v>3859.16741383501</v>
      </c>
      <c r="F20" s="16" t="n">
        <v>4451.36518088322</v>
      </c>
      <c r="G20" s="16" t="n">
        <v>4201.54225860347</v>
      </c>
      <c r="H20" s="17" t="n">
        <f aca="false">ABS(C20/B20-1)</f>
        <v>0.0629207664422579</v>
      </c>
      <c r="I20" s="17" t="n">
        <f aca="false">ABS(D20/B20-1)</f>
        <v>0.54919730709477</v>
      </c>
      <c r="J20" s="17" t="n">
        <f aca="false">ABS(E20/B20-1)</f>
        <v>0.00073345058648111</v>
      </c>
      <c r="K20" s="17" t="n">
        <f aca="false">ABS(F20/B20-1)</f>
        <v>0.152606209446717</v>
      </c>
      <c r="L20" s="17" t="n">
        <f aca="false">ABS(G20/B20-1)</f>
        <v>0.0879187619377189</v>
      </c>
    </row>
    <row r="21" customFormat="false" ht="15" hidden="false" customHeight="true" outlineLevel="0" collapsed="false">
      <c r="A21" s="15" t="s">
        <v>95</v>
      </c>
      <c r="B21" s="16" t="n">
        <v>4059</v>
      </c>
      <c r="C21" s="16" t="n">
        <v>3862</v>
      </c>
      <c r="D21" s="16" t="n">
        <v>4103</v>
      </c>
      <c r="E21" s="16" t="n">
        <v>4592.64147112085</v>
      </c>
      <c r="F21" s="16" t="n">
        <v>4162.57922155666</v>
      </c>
      <c r="G21" s="16" t="n">
        <v>4089.84784977019</v>
      </c>
      <c r="H21" s="17" t="n">
        <f aca="false">ABS(C21/B21-1)</f>
        <v>0.0485341217048534</v>
      </c>
      <c r="I21" s="17" t="n">
        <f aca="false">ABS(D21/B21-1)</f>
        <v>0.0108401084010841</v>
      </c>
      <c r="J21" s="17" t="n">
        <f aca="false">ABS(E21/B21-1)</f>
        <v>0.131471168051454</v>
      </c>
      <c r="K21" s="17" t="n">
        <f aca="false">ABS(F21/B21-1)</f>
        <v>0.0255184088585021</v>
      </c>
      <c r="L21" s="17" t="n">
        <f aca="false">ABS(G21/B21-1)</f>
        <v>0.00759986444202765</v>
      </c>
    </row>
    <row r="22" customFormat="false" ht="15" hidden="false" customHeight="true" outlineLevel="0" collapsed="false">
      <c r="A22" s="15" t="s">
        <v>96</v>
      </c>
      <c r="B22" s="16" t="n">
        <v>4902</v>
      </c>
      <c r="C22" s="16" t="n">
        <v>4059</v>
      </c>
      <c r="D22" s="16" t="n">
        <v>4854</v>
      </c>
      <c r="E22" s="16" t="n">
        <v>4852.05681233798</v>
      </c>
      <c r="F22" s="16" t="n">
        <v>5420.09076254347</v>
      </c>
      <c r="G22" s="16" t="n">
        <v>5434.34511488107</v>
      </c>
      <c r="H22" s="17" t="n">
        <f aca="false">ABS(C22/B22-1)</f>
        <v>0.171970624235006</v>
      </c>
      <c r="I22" s="17" t="n">
        <f aca="false">ABS(D22/B22-1)</f>
        <v>0.00979192166462672</v>
      </c>
      <c r="J22" s="17" t="n">
        <f aca="false">ABS(E22/B22-1)</f>
        <v>0.010188328776422</v>
      </c>
      <c r="K22" s="17" t="n">
        <f aca="false">ABS(F22/B22-1)</f>
        <v>0.105689670041508</v>
      </c>
      <c r="L22" s="17" t="n">
        <f aca="false">ABS(G22/B22-1)</f>
        <v>0.108597534655461</v>
      </c>
    </row>
    <row r="23" customFormat="false" ht="15" hidden="false" customHeight="true" outlineLevel="0" collapsed="false">
      <c r="A23" s="15" t="s">
        <v>97</v>
      </c>
      <c r="B23" s="16" t="n">
        <v>5163</v>
      </c>
      <c r="C23" s="16" t="n">
        <v>4902</v>
      </c>
      <c r="D23" s="16" t="n">
        <v>3619</v>
      </c>
      <c r="E23" s="16" t="n">
        <v>5242.02146715195</v>
      </c>
      <c r="F23" s="16" t="n">
        <v>5344.65017616744</v>
      </c>
      <c r="G23" s="16" t="n">
        <v>5270.9281792132</v>
      </c>
      <c r="H23" s="17" t="n">
        <f aca="false">ABS(C23/B23-1)</f>
        <v>0.0505520046484602</v>
      </c>
      <c r="I23" s="17" t="n">
        <f aca="false">ABS(D23/B23-1)</f>
        <v>0.299050939376332</v>
      </c>
      <c r="J23" s="17" t="n">
        <f aca="false">ABS(E23/B23-1)</f>
        <v>0.0153053393670251</v>
      </c>
      <c r="K23" s="17" t="n">
        <f aca="false">ABS(F23/B23-1)</f>
        <v>0.0351830672414177</v>
      </c>
      <c r="L23" s="17" t="n">
        <f aca="false">ABS(G23/B23-1)</f>
        <v>0.0209041602194848</v>
      </c>
    </row>
    <row r="24" customFormat="false" ht="15" hidden="false" customHeight="true" outlineLevel="0" collapsed="false">
      <c r="A24" s="15" t="s">
        <v>98</v>
      </c>
      <c r="B24" s="16" t="n">
        <v>5136</v>
      </c>
      <c r="C24" s="16" t="n">
        <v>5163</v>
      </c>
      <c r="D24" s="16" t="n">
        <v>3862</v>
      </c>
      <c r="E24" s="16" t="n">
        <v>5071.72492218121</v>
      </c>
      <c r="F24" s="16" t="n">
        <v>5745.95588739949</v>
      </c>
      <c r="G24" s="16" t="n">
        <v>5848.89077447982</v>
      </c>
      <c r="H24" s="17" t="n">
        <f aca="false">ABS(C24/B24-1)</f>
        <v>0.00525700934579443</v>
      </c>
      <c r="I24" s="17" t="n">
        <f aca="false">ABS(D24/B24-1)</f>
        <v>0.248052959501558</v>
      </c>
      <c r="J24" s="17" t="n">
        <f aca="false">ABS(E24/B24-1)</f>
        <v>0.0125146179553719</v>
      </c>
      <c r="K24" s="17" t="n">
        <f aca="false">ABS(F24/B24-1)</f>
        <v>0.118760881503016</v>
      </c>
      <c r="L24" s="17" t="n">
        <f aca="false">ABS(G24/B24-1)</f>
        <v>0.138802720887815</v>
      </c>
    </row>
    <row r="25" customFormat="false" ht="15" hidden="false" customHeight="true" outlineLevel="0" collapsed="false">
      <c r="A25" s="15" t="s">
        <v>99</v>
      </c>
      <c r="B25" s="16" t="n">
        <v>6089</v>
      </c>
      <c r="C25" s="16" t="n">
        <v>5136</v>
      </c>
      <c r="D25" s="16" t="n">
        <v>4059</v>
      </c>
      <c r="E25" s="16" t="n">
        <v>5836.94950827034</v>
      </c>
      <c r="F25" s="16" t="n">
        <v>5515.79181652352</v>
      </c>
      <c r="G25" s="16" t="n">
        <v>5586.36897006161</v>
      </c>
      <c r="H25" s="17" t="n">
        <f aca="false">ABS(C25/B25-1)</f>
        <v>0.156511742486451</v>
      </c>
      <c r="I25" s="17" t="n">
        <f aca="false">ABS(D25/B25-1)</f>
        <v>0.333388076859911</v>
      </c>
      <c r="J25" s="17" t="n">
        <f aca="false">ABS(E25/B25-1)</f>
        <v>0.0413943983789884</v>
      </c>
      <c r="K25" s="17" t="n">
        <f aca="false">ABS(F25/B25-1)</f>
        <v>0.0941383122805847</v>
      </c>
      <c r="L25" s="17" t="n">
        <f aca="false">ABS(G25/B25-1)</f>
        <v>0.0825473854390525</v>
      </c>
    </row>
    <row r="26" customFormat="false" ht="15" hidden="false" customHeight="true" outlineLevel="0" collapsed="false">
      <c r="A26" s="15" t="s">
        <v>100</v>
      </c>
      <c r="B26" s="16" t="n">
        <v>6017</v>
      </c>
      <c r="C26" s="16" t="n">
        <v>6089</v>
      </c>
      <c r="D26" s="16" t="n">
        <v>4902</v>
      </c>
      <c r="E26" s="16" t="n">
        <v>5607.25648084099</v>
      </c>
      <c r="F26" s="16" t="n">
        <v>6152.57730363118</v>
      </c>
      <c r="G26" s="16" t="n">
        <v>6236.7389525799</v>
      </c>
      <c r="H26" s="17" t="n">
        <f aca="false">ABS(C26/B26-1)</f>
        <v>0.0119660960611601</v>
      </c>
      <c r="I26" s="17" t="n">
        <f aca="false">ABS(D26/B26-1)</f>
        <v>0.185308293169354</v>
      </c>
      <c r="J26" s="17" t="n">
        <f aca="false">ABS(E26/B26-1)</f>
        <v>0.0680976432040902</v>
      </c>
      <c r="K26" s="17" t="n">
        <f aca="false">ABS(F26/B26-1)</f>
        <v>0.0225323755411635</v>
      </c>
      <c r="L26" s="17" t="n">
        <f aca="false">ABS(G26/B26-1)</f>
        <v>0.0365196863187469</v>
      </c>
    </row>
    <row r="27" customFormat="false" ht="15" hidden="false" customHeight="true" outlineLevel="0" collapsed="false">
      <c r="A27" s="15" t="s">
        <v>101</v>
      </c>
      <c r="B27" s="16" t="n">
        <v>4849</v>
      </c>
      <c r="C27" s="16" t="n">
        <v>6017</v>
      </c>
      <c r="D27" s="16" t="n">
        <v>5163</v>
      </c>
      <c r="E27" s="16" t="n">
        <v>4802.35878853445</v>
      </c>
      <c r="F27" s="16" t="n">
        <v>4626.20204189578</v>
      </c>
      <c r="G27" s="16" t="n">
        <v>4847.22161492149</v>
      </c>
      <c r="H27" s="17" t="n">
        <f aca="false">ABS(C27/B27-1)</f>
        <v>0.240874407094246</v>
      </c>
      <c r="I27" s="17" t="n">
        <f aca="false">ABS(D27/B27-1)</f>
        <v>0.0647556197154053</v>
      </c>
      <c r="J27" s="17" t="n">
        <f aca="false">ABS(E27/B27-1)</f>
        <v>0.00961872787493312</v>
      </c>
      <c r="K27" s="17" t="n">
        <f aca="false">ABS(F27/B27-1)</f>
        <v>0.0459471969693174</v>
      </c>
      <c r="L27" s="17" t="n">
        <f aca="false">ABS(G27/B27-1)</f>
        <v>0.000366752954941263</v>
      </c>
    </row>
    <row r="28" customFormat="false" ht="15" hidden="false" customHeight="true" outlineLevel="0" collapsed="false">
      <c r="A28" s="15" t="s">
        <v>102</v>
      </c>
      <c r="B28" s="16" t="n">
        <v>5768</v>
      </c>
      <c r="C28" s="16" t="n">
        <v>4849</v>
      </c>
      <c r="D28" s="16" t="n">
        <v>5136</v>
      </c>
      <c r="E28" s="16" t="n">
        <v>4955.97155966621</v>
      </c>
      <c r="F28" s="16" t="n">
        <v>5227.07119886497</v>
      </c>
      <c r="G28" s="16" t="n">
        <v>5358.84154556845</v>
      </c>
      <c r="H28" s="17" t="n">
        <f aca="false">ABS(C28/B28-1)</f>
        <v>0.159327323162275</v>
      </c>
      <c r="I28" s="17" t="n">
        <f aca="false">ABS(D28/B28-1)</f>
        <v>0.109570041608877</v>
      </c>
      <c r="J28" s="17" t="n">
        <f aca="false">ABS(E28/B28-1)</f>
        <v>0.140781629738868</v>
      </c>
      <c r="K28" s="17" t="n">
        <f aca="false">ABS(F28/B28-1)</f>
        <v>0.0937809988098179</v>
      </c>
      <c r="L28" s="17" t="n">
        <f aca="false">ABS(G28/B28-1)</f>
        <v>0.0709359317669123</v>
      </c>
    </row>
    <row r="29" customFormat="false" ht="15" hidden="false" customHeight="true" outlineLevel="0" collapsed="false">
      <c r="A29" s="15" t="s">
        <v>103</v>
      </c>
      <c r="B29" s="16" t="n">
        <v>5124</v>
      </c>
      <c r="C29" s="16" t="n">
        <v>5768</v>
      </c>
      <c r="D29" s="16" t="n">
        <v>6089</v>
      </c>
      <c r="E29" s="16" t="n">
        <v>5769.49220941324</v>
      </c>
      <c r="F29" s="16" t="n">
        <v>4964.16706569932</v>
      </c>
      <c r="G29" s="16" t="n">
        <v>5076.29938150128</v>
      </c>
      <c r="H29" s="17" t="n">
        <f aca="false">ABS(C29/B29-1)</f>
        <v>0.12568306010929</v>
      </c>
      <c r="I29" s="17" t="n">
        <f aca="false">ABS(D29/B29-1)</f>
        <v>0.188329430132709</v>
      </c>
      <c r="J29" s="17" t="n">
        <f aca="false">ABS(E29/B29-1)</f>
        <v>0.125974279744973</v>
      </c>
      <c r="K29" s="17" t="n">
        <f aca="false">ABS(F29/B29-1)</f>
        <v>0.0311930004490008</v>
      </c>
      <c r="L29" s="17" t="n">
        <f aca="false">ABS(G29/B29-1)</f>
        <v>0.00930925419569095</v>
      </c>
    </row>
    <row r="30" customFormat="false" ht="15" hidden="false" customHeight="true" outlineLevel="0" collapsed="false">
      <c r="A30" s="15" t="s">
        <v>104</v>
      </c>
      <c r="B30" s="16" t="n">
        <v>6288</v>
      </c>
      <c r="C30" s="16" t="n">
        <v>5124</v>
      </c>
      <c r="D30" s="16" t="n">
        <v>6017</v>
      </c>
      <c r="E30" s="16" t="n">
        <v>5684.21248286608</v>
      </c>
      <c r="F30" s="16" t="n">
        <v>5806.336399492</v>
      </c>
      <c r="G30" s="16" t="n">
        <v>5263.06669240972</v>
      </c>
      <c r="H30" s="17" t="n">
        <f aca="false">ABS(C30/B30-1)</f>
        <v>0.185114503816794</v>
      </c>
      <c r="I30" s="17" t="n">
        <f aca="false">ABS(D30/B30-1)</f>
        <v>0.0430979643765903</v>
      </c>
      <c r="J30" s="17" t="n">
        <f aca="false">ABS(E30/B30-1)</f>
        <v>0.0960221878393639</v>
      </c>
      <c r="K30" s="17" t="n">
        <f aca="false">ABS(F30/B30-1)</f>
        <v>0.0766004453734097</v>
      </c>
      <c r="L30" s="17" t="n">
        <f aca="false">ABS(G30/B30-1)</f>
        <v>0.162998299553161</v>
      </c>
    </row>
    <row r="31" customFormat="false" ht="15" hidden="false" customHeight="true" outlineLevel="0" collapsed="false">
      <c r="A31" s="15" t="s">
        <v>105</v>
      </c>
      <c r="B31" s="16" t="n">
        <v>6675</v>
      </c>
      <c r="C31" s="16" t="n">
        <v>6288</v>
      </c>
      <c r="D31" s="16" t="n">
        <v>4849</v>
      </c>
      <c r="E31" s="16" t="n">
        <v>6049.21320638449</v>
      </c>
      <c r="F31" s="16" t="n">
        <v>5484.61716832119</v>
      </c>
      <c r="G31" s="16" t="n">
        <v>5334.0936057504</v>
      </c>
      <c r="H31" s="17" t="n">
        <f aca="false">ABS(C31/B31-1)</f>
        <v>0.0579775280898877</v>
      </c>
      <c r="I31" s="17" t="n">
        <f aca="false">ABS(D31/B31-1)</f>
        <v>0.273558052434457</v>
      </c>
      <c r="J31" s="17" t="n">
        <f aca="false">ABS(E31/B31-1)</f>
        <v>0.0937508305041962</v>
      </c>
      <c r="K31" s="17" t="n">
        <f aca="false">ABS(F31/B31-1)</f>
        <v>0.178334506618548</v>
      </c>
      <c r="L31" s="17" t="n">
        <f aca="false">ABS(G31/B31-1)</f>
        <v>0.200884853071101</v>
      </c>
    </row>
    <row r="33" customFormat="false" ht="15" hidden="false" customHeight="true" outlineLevel="0" collapsed="false">
      <c r="A33" s="18" t="s">
        <v>106</v>
      </c>
      <c r="H33" s="19" t="n">
        <f aca="false">AVERAGE(H2:H31)</f>
        <v>0.159379746322156</v>
      </c>
      <c r="I33" s="19" t="n">
        <f aca="false">AVERAGE(I2:I31)</f>
        <v>0.211022258664115</v>
      </c>
      <c r="J33" s="19" t="n">
        <f aca="false">AVERAGE(J2:J31)</f>
        <v>0.0900153401975388</v>
      </c>
      <c r="K33" s="19" t="n">
        <f aca="false">AVERAGE(K2:K31)</f>
        <v>0.0812705101670768</v>
      </c>
      <c r="L33" s="19" t="n">
        <f aca="false">AVERAGE(L2:L31)</f>
        <v>0.0977151722806632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29.85" hidden="false" customHeight="false" outlineLevel="0" collapsed="false">
      <c r="A1" s="20" t="s">
        <v>64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8" t="s">
        <v>112</v>
      </c>
      <c r="H1" s="8" t="s">
        <v>113</v>
      </c>
      <c r="I1" s="8" t="s">
        <v>114</v>
      </c>
      <c r="J1" s="8" t="s">
        <v>115</v>
      </c>
      <c r="K1" s="8" t="s">
        <v>116</v>
      </c>
      <c r="L1" s="8" t="s">
        <v>117</v>
      </c>
      <c r="M1" s="8" t="s">
        <v>118</v>
      </c>
      <c r="N1" s="20" t="s">
        <v>119</v>
      </c>
      <c r="O1" s="20" t="s">
        <v>120</v>
      </c>
      <c r="P1" s="20" t="s">
        <v>121</v>
      </c>
    </row>
    <row r="2" customFormat="false" ht="15" hidden="false" customHeight="false" outlineLevel="0" collapsed="false">
      <c r="A2" s="21" t="s">
        <v>122</v>
      </c>
      <c r="B2" s="22" t="n">
        <v>1891.39591</v>
      </c>
      <c r="C2" s="22" t="n">
        <v>1228</v>
      </c>
      <c r="D2" s="22" t="n">
        <v>418.067</v>
      </c>
      <c r="E2" s="22" t="n">
        <v>608.24786</v>
      </c>
      <c r="F2" s="22" t="n">
        <v>332.28004</v>
      </c>
      <c r="G2" s="22" t="n">
        <v>387.76089</v>
      </c>
      <c r="H2" s="22" t="n">
        <v>32.90122</v>
      </c>
      <c r="I2" s="22" t="n">
        <v>309</v>
      </c>
      <c r="J2" s="22" t="n">
        <v>425</v>
      </c>
      <c r="K2" s="22" t="n">
        <v>152</v>
      </c>
      <c r="L2" s="22" t="n">
        <v>197</v>
      </c>
      <c r="M2" s="22" t="n">
        <v>95</v>
      </c>
      <c r="N2" s="23" t="n">
        <f aca="false">C2/B2</f>
        <v>0.649255924424622</v>
      </c>
      <c r="O2" s="21"/>
      <c r="P2" s="21"/>
    </row>
    <row r="3" customFormat="false" ht="15" hidden="false" customHeight="false" outlineLevel="0" collapsed="false">
      <c r="A3" s="21" t="s">
        <v>123</v>
      </c>
      <c r="B3" s="22" t="n">
        <v>2102.24945</v>
      </c>
      <c r="C3" s="22" t="n">
        <v>1128</v>
      </c>
      <c r="D3" s="22" t="n">
        <v>262.73222</v>
      </c>
      <c r="E3" s="22" t="n">
        <v>693.32761</v>
      </c>
      <c r="F3" s="22" t="n">
        <v>454.34719</v>
      </c>
      <c r="G3" s="22" t="n">
        <v>353.27412</v>
      </c>
      <c r="H3" s="22" t="n">
        <v>27.41545</v>
      </c>
      <c r="I3" s="22" t="n">
        <v>198</v>
      </c>
      <c r="J3" s="22" t="n">
        <v>305</v>
      </c>
      <c r="K3" s="22" t="n">
        <v>300</v>
      </c>
      <c r="L3" s="22" t="n">
        <v>170</v>
      </c>
      <c r="M3" s="22" t="n">
        <v>52</v>
      </c>
      <c r="N3" s="23" t="n">
        <f aca="false">C3/B3</f>
        <v>0.536568103276231</v>
      </c>
      <c r="O3" s="21"/>
      <c r="P3" s="21"/>
    </row>
    <row r="4" customFormat="false" ht="15" hidden="false" customHeight="false" outlineLevel="0" collapsed="false">
      <c r="A4" s="21" t="s">
        <v>124</v>
      </c>
      <c r="B4" s="22" t="n">
        <v>2389.99739</v>
      </c>
      <c r="C4" s="22" t="n">
        <v>1695</v>
      </c>
      <c r="D4" s="22" t="n">
        <v>538.62127</v>
      </c>
      <c r="E4" s="22" t="n">
        <v>921.1264</v>
      </c>
      <c r="F4" s="22" t="n">
        <v>325.10752</v>
      </c>
      <c r="G4" s="22" t="n">
        <v>129.70085</v>
      </c>
      <c r="H4" s="22" t="n">
        <v>25.0055</v>
      </c>
      <c r="I4" s="22" t="n">
        <v>290</v>
      </c>
      <c r="J4" s="22" t="n">
        <v>582</v>
      </c>
      <c r="K4" s="22" t="n">
        <v>240</v>
      </c>
      <c r="L4" s="22" t="n">
        <v>344</v>
      </c>
      <c r="M4" s="22" t="n">
        <v>66</v>
      </c>
      <c r="N4" s="23" t="n">
        <f aca="false">C4/B4</f>
        <v>0.709205795408839</v>
      </c>
      <c r="O4" s="21"/>
      <c r="P4" s="21"/>
    </row>
    <row r="5" customFormat="false" ht="15" hidden="false" customHeight="false" outlineLevel="0" collapsed="false">
      <c r="A5" s="21" t="s">
        <v>125</v>
      </c>
      <c r="B5" s="22" t="n">
        <v>2400.9764</v>
      </c>
      <c r="C5" s="22" t="n">
        <v>1587</v>
      </c>
      <c r="D5" s="22" t="n">
        <v>525.71787</v>
      </c>
      <c r="E5" s="22" t="n">
        <v>1146.99844</v>
      </c>
      <c r="F5" s="22" t="n">
        <v>221.41985</v>
      </c>
      <c r="G5" s="22" t="n">
        <v>215.83605</v>
      </c>
      <c r="H5" s="22" t="n">
        <v>67.05864</v>
      </c>
      <c r="I5" s="22" t="n">
        <v>333</v>
      </c>
      <c r="J5" s="22" t="n">
        <v>623</v>
      </c>
      <c r="K5" s="22" t="n">
        <v>137</v>
      </c>
      <c r="L5" s="22" t="n">
        <v>246</v>
      </c>
      <c r="M5" s="22" t="n">
        <v>150</v>
      </c>
      <c r="N5" s="23" t="n">
        <f aca="false">C5/B5</f>
        <v>0.660981090859535</v>
      </c>
      <c r="O5" s="21"/>
      <c r="P5" s="21"/>
    </row>
    <row r="6" customFormat="false" ht="15" hidden="false" customHeight="false" outlineLevel="0" collapsed="false">
      <c r="A6" s="21" t="s">
        <v>126</v>
      </c>
      <c r="B6" s="22" t="n">
        <v>2927.44848</v>
      </c>
      <c r="C6" s="22" t="n">
        <v>2165</v>
      </c>
      <c r="D6" s="22" t="n">
        <v>1123.58593</v>
      </c>
      <c r="E6" s="22" t="n">
        <v>820.19104</v>
      </c>
      <c r="F6" s="22" t="n">
        <v>388.06389</v>
      </c>
      <c r="G6" s="22" t="n">
        <v>281.38839</v>
      </c>
      <c r="H6" s="22" t="n">
        <v>97.22085</v>
      </c>
      <c r="I6" s="22" t="n">
        <v>555</v>
      </c>
      <c r="J6" s="22" t="n">
        <v>747</v>
      </c>
      <c r="K6" s="22" t="n">
        <v>227</v>
      </c>
      <c r="L6" s="22" t="n">
        <v>254</v>
      </c>
      <c r="M6" s="22" t="n">
        <v>329</v>
      </c>
      <c r="N6" s="23" t="n">
        <f aca="false">C6/B6</f>
        <v>0.739551870781343</v>
      </c>
      <c r="O6" s="24" t="n">
        <f aca="false">C6/C2-1</f>
        <v>0.763029315960912</v>
      </c>
      <c r="P6" s="24" t="n">
        <f aca="false">B6/B2-1</f>
        <v>0.547771391765355</v>
      </c>
    </row>
    <row r="7" customFormat="false" ht="15" hidden="false" customHeight="false" outlineLevel="0" collapsed="false">
      <c r="A7" s="21" t="s">
        <v>127</v>
      </c>
      <c r="B7" s="22" t="n">
        <v>2906.11214</v>
      </c>
      <c r="C7" s="22" t="n">
        <v>1947</v>
      </c>
      <c r="D7" s="22" t="n">
        <v>1249.79837</v>
      </c>
      <c r="E7" s="22" t="n">
        <v>576.69033</v>
      </c>
      <c r="F7" s="22" t="n">
        <v>472.64565</v>
      </c>
      <c r="G7" s="22" t="n">
        <v>364.09965</v>
      </c>
      <c r="H7" s="22" t="n">
        <v>40.91457</v>
      </c>
      <c r="I7" s="22" t="n">
        <v>683</v>
      </c>
      <c r="J7" s="22" t="n">
        <v>458</v>
      </c>
      <c r="K7" s="22" t="n">
        <v>267</v>
      </c>
      <c r="L7" s="22" t="n">
        <v>240</v>
      </c>
      <c r="M7" s="22" t="n">
        <v>253</v>
      </c>
      <c r="N7" s="23" t="n">
        <f aca="false">C7/B7</f>
        <v>0.669967264236403</v>
      </c>
      <c r="O7" s="24" t="n">
        <f aca="false">C7/C3-1</f>
        <v>0.726063829787234</v>
      </c>
      <c r="P7" s="24" t="n">
        <f aca="false">B7/B3-1</f>
        <v>0.38238216211687</v>
      </c>
    </row>
    <row r="8" customFormat="false" ht="15" hidden="false" customHeight="false" outlineLevel="0" collapsed="false">
      <c r="A8" s="21" t="s">
        <v>128</v>
      </c>
      <c r="B8" s="22" t="n">
        <v>2523.69394</v>
      </c>
      <c r="C8" s="22" t="n">
        <v>2269</v>
      </c>
      <c r="D8" s="22" t="n">
        <v>985.06527</v>
      </c>
      <c r="E8" s="22" t="n">
        <v>469.96215</v>
      </c>
      <c r="F8" s="22" t="n">
        <v>297.44551</v>
      </c>
      <c r="G8" s="22" t="n">
        <v>390.79784</v>
      </c>
      <c r="H8" s="22" t="n">
        <v>44.19744</v>
      </c>
      <c r="I8" s="22" t="n">
        <v>1017</v>
      </c>
      <c r="J8" s="22" t="n">
        <v>366</v>
      </c>
      <c r="K8" s="22" t="n">
        <v>230</v>
      </c>
      <c r="L8" s="22" t="n">
        <v>320</v>
      </c>
      <c r="M8" s="22" t="n">
        <v>269</v>
      </c>
      <c r="N8" s="23" t="n">
        <f aca="false">C8/B8</f>
        <v>0.899078911288268</v>
      </c>
      <c r="O8" s="24" t="n">
        <f aca="false">C8/C4-1</f>
        <v>0.338643067846608</v>
      </c>
      <c r="P8" s="24" t="n">
        <f aca="false">B8/B4-1</f>
        <v>0.0559400401688306</v>
      </c>
    </row>
    <row r="9" customFormat="false" ht="15" hidden="false" customHeight="false" outlineLevel="0" collapsed="false">
      <c r="A9" s="21" t="s">
        <v>129</v>
      </c>
      <c r="B9" s="22" t="n">
        <v>3210.2353</v>
      </c>
      <c r="C9" s="22" t="n">
        <v>2060</v>
      </c>
      <c r="D9" s="22" t="n">
        <v>1200.67054</v>
      </c>
      <c r="E9" s="22" t="n">
        <v>639.52583</v>
      </c>
      <c r="F9" s="22" t="n">
        <v>504.5745</v>
      </c>
      <c r="G9" s="22" t="n">
        <v>281.91348</v>
      </c>
      <c r="H9" s="22" t="n">
        <v>107.13577</v>
      </c>
      <c r="I9" s="22" t="n">
        <v>794</v>
      </c>
      <c r="J9" s="22" t="n">
        <v>421</v>
      </c>
      <c r="K9" s="22" t="n">
        <v>226</v>
      </c>
      <c r="L9" s="22" t="n">
        <v>291</v>
      </c>
      <c r="M9" s="22" t="n">
        <v>196</v>
      </c>
      <c r="N9" s="23" t="n">
        <f aca="false">C9/B9</f>
        <v>0.641697510459747</v>
      </c>
      <c r="O9" s="24" t="n">
        <f aca="false">C9/C5-1</f>
        <v>0.298046628859483</v>
      </c>
      <c r="P9" s="24" t="n">
        <f aca="false">B9/B5-1</f>
        <v>0.337054083497031</v>
      </c>
    </row>
    <row r="10" customFormat="false" ht="15" hidden="false" customHeight="false" outlineLevel="0" collapsed="false">
      <c r="A10" s="21" t="s">
        <v>130</v>
      </c>
      <c r="B10" s="22" t="n">
        <v>3832.80777</v>
      </c>
      <c r="C10" s="22" t="n">
        <v>2807</v>
      </c>
      <c r="D10" s="22" t="n">
        <v>1674.62288</v>
      </c>
      <c r="E10" s="22" t="n">
        <v>508.01099</v>
      </c>
      <c r="F10" s="22" t="n">
        <v>737.92263</v>
      </c>
      <c r="G10" s="22" t="n">
        <v>324.86435</v>
      </c>
      <c r="H10" s="22" t="n">
        <v>92.78707</v>
      </c>
      <c r="I10" s="22" t="n">
        <v>1223</v>
      </c>
      <c r="J10" s="22" t="n">
        <v>443</v>
      </c>
      <c r="K10" s="22" t="n">
        <v>318</v>
      </c>
      <c r="L10" s="22" t="n">
        <v>339</v>
      </c>
      <c r="M10" s="22" t="n">
        <v>250</v>
      </c>
      <c r="N10" s="23" t="n">
        <f aca="false">C10/B10</f>
        <v>0.732361278843891</v>
      </c>
      <c r="O10" s="24" t="n">
        <f aca="false">C10/C6-1</f>
        <v>0.296535796766744</v>
      </c>
      <c r="P10" s="24" t="n">
        <f aca="false">B10/B6-1</f>
        <v>0.309265661269639</v>
      </c>
    </row>
    <row r="11" customFormat="false" ht="15" hidden="false" customHeight="false" outlineLevel="0" collapsed="false">
      <c r="A11" s="21" t="s">
        <v>131</v>
      </c>
      <c r="B11" s="22" t="n">
        <v>3182.45652</v>
      </c>
      <c r="C11" s="22" t="n">
        <v>2289</v>
      </c>
      <c r="D11" s="22" t="n">
        <v>1193.07861</v>
      </c>
      <c r="E11" s="22" t="n">
        <v>381.23576</v>
      </c>
      <c r="F11" s="22" t="n">
        <v>930.12498</v>
      </c>
      <c r="G11" s="22" t="n">
        <v>221.47514</v>
      </c>
      <c r="H11" s="22" t="n">
        <v>121.28414</v>
      </c>
      <c r="I11" s="22" t="n">
        <v>889</v>
      </c>
      <c r="J11" s="22" t="n">
        <v>263</v>
      </c>
      <c r="K11" s="22" t="n">
        <v>549</v>
      </c>
      <c r="L11" s="22" t="n">
        <v>284</v>
      </c>
      <c r="M11" s="22" t="n">
        <v>177</v>
      </c>
      <c r="N11" s="23" t="n">
        <f aca="false">C11/B11</f>
        <v>0.719255702509959</v>
      </c>
      <c r="O11" s="24" t="n">
        <f aca="false">C11/C7-1</f>
        <v>0.175654853620955</v>
      </c>
      <c r="P11" s="24" t="n">
        <f aca="false">B11/B7-1</f>
        <v>0.0950907489757089</v>
      </c>
    </row>
    <row r="12" customFormat="false" ht="15" hidden="false" customHeight="false" outlineLevel="0" collapsed="false">
      <c r="A12" s="21" t="s">
        <v>132</v>
      </c>
      <c r="B12" s="22" t="n">
        <v>2928.30812</v>
      </c>
      <c r="C12" s="22" t="n">
        <v>2998</v>
      </c>
      <c r="D12" s="22" t="n">
        <v>791.31092</v>
      </c>
      <c r="E12" s="22" t="n">
        <v>634.31817</v>
      </c>
      <c r="F12" s="22" t="n">
        <v>851.52409</v>
      </c>
      <c r="G12" s="22" t="n">
        <v>251.96619</v>
      </c>
      <c r="H12" s="22" t="n">
        <v>143.9241</v>
      </c>
      <c r="I12" s="22" t="n">
        <v>865</v>
      </c>
      <c r="J12" s="22" t="n">
        <v>480</v>
      </c>
      <c r="K12" s="22" t="n">
        <v>713</v>
      </c>
      <c r="L12" s="22" t="n">
        <v>459</v>
      </c>
      <c r="M12" s="22" t="n">
        <v>313</v>
      </c>
      <c r="N12" s="23" t="n">
        <f aca="false">C12/B12</f>
        <v>1.02379936712398</v>
      </c>
      <c r="O12" s="24" t="n">
        <f aca="false">C12/C8-1</f>
        <v>0.321286910533275</v>
      </c>
      <c r="P12" s="24" t="n">
        <f aca="false">B12/B8-1</f>
        <v>0.160326168552753</v>
      </c>
    </row>
    <row r="13" customFormat="false" ht="15" hidden="false" customHeight="false" outlineLevel="0" collapsed="false">
      <c r="A13" s="21" t="s">
        <v>133</v>
      </c>
      <c r="B13" s="22" t="n">
        <v>2849.95816</v>
      </c>
      <c r="C13" s="22" t="n">
        <v>1851</v>
      </c>
      <c r="D13" s="22" t="n">
        <v>687.87781</v>
      </c>
      <c r="E13" s="22" t="n">
        <v>500.88068</v>
      </c>
      <c r="F13" s="22" t="n">
        <v>513.9752</v>
      </c>
      <c r="G13" s="22" t="n">
        <v>521.36438</v>
      </c>
      <c r="H13" s="22" t="n">
        <v>150.96925</v>
      </c>
      <c r="I13" s="22" t="n">
        <v>609</v>
      </c>
      <c r="J13" s="22" t="n">
        <v>293</v>
      </c>
      <c r="K13" s="22" t="n">
        <v>380</v>
      </c>
      <c r="L13" s="22" t="n">
        <v>227</v>
      </c>
      <c r="M13" s="22" t="n">
        <v>186</v>
      </c>
      <c r="N13" s="23" t="n">
        <f aca="false">C13/B13</f>
        <v>0.64948321907996</v>
      </c>
      <c r="O13" s="24" t="n">
        <f aca="false">C13/C9-1</f>
        <v>-0.101456310679612</v>
      </c>
      <c r="P13" s="24" t="n">
        <f aca="false">B13/B9-1</f>
        <v>-0.112227642627941</v>
      </c>
    </row>
    <row r="14" customFormat="false" ht="15" hidden="false" customHeight="false" outlineLevel="0" collapsed="false">
      <c r="A14" s="21" t="s">
        <v>76</v>
      </c>
      <c r="B14" s="22" t="n">
        <v>3353.69091</v>
      </c>
      <c r="C14" s="22" t="n">
        <v>2457</v>
      </c>
      <c r="D14" s="22" t="n">
        <v>553.0653</v>
      </c>
      <c r="E14" s="22" t="n">
        <v>1118.1286</v>
      </c>
      <c r="F14" s="22" t="n">
        <v>746.2972</v>
      </c>
      <c r="G14" s="22" t="n">
        <v>629.54491</v>
      </c>
      <c r="H14" s="22" t="n">
        <v>99.54519</v>
      </c>
      <c r="I14" s="22" t="n">
        <v>689</v>
      </c>
      <c r="J14" s="22" t="n">
        <v>591</v>
      </c>
      <c r="K14" s="22" t="n">
        <v>425</v>
      </c>
      <c r="L14" s="22" t="n">
        <v>347</v>
      </c>
      <c r="M14" s="22" t="n">
        <v>253</v>
      </c>
      <c r="N14" s="23" t="n">
        <f aca="false">C14/B14</f>
        <v>0.732625655117394</v>
      </c>
      <c r="O14" s="24" t="n">
        <f aca="false">C14/C10-1</f>
        <v>-0.124688279301746</v>
      </c>
      <c r="P14" s="24" t="n">
        <f aca="false">B14/B10-1</f>
        <v>-0.125004145459661</v>
      </c>
    </row>
    <row r="15" customFormat="false" ht="15" hidden="false" customHeight="false" outlineLevel="0" collapsed="false">
      <c r="A15" s="21" t="s">
        <v>77</v>
      </c>
      <c r="B15" s="22" t="n">
        <v>2816.79791</v>
      </c>
      <c r="C15" s="22" t="n">
        <v>1653</v>
      </c>
      <c r="D15" s="22" t="n">
        <v>408.88525</v>
      </c>
      <c r="E15" s="22" t="n">
        <v>578.48942</v>
      </c>
      <c r="F15" s="22" t="n">
        <v>644.99075</v>
      </c>
      <c r="G15" s="22" t="n">
        <v>965.9927</v>
      </c>
      <c r="H15" s="22" t="n">
        <v>64.2347</v>
      </c>
      <c r="I15" s="22" t="n">
        <v>369</v>
      </c>
      <c r="J15" s="22" t="n">
        <v>483</v>
      </c>
      <c r="K15" s="22" t="n">
        <v>270</v>
      </c>
      <c r="L15" s="22" t="n">
        <v>285</v>
      </c>
      <c r="M15" s="22" t="n">
        <v>202</v>
      </c>
      <c r="N15" s="23" t="n">
        <f aca="false">C15/B15</f>
        <v>0.586836561519602</v>
      </c>
      <c r="O15" s="24" t="n">
        <f aca="false">C15/C11-1</f>
        <v>-0.277850589777195</v>
      </c>
      <c r="P15" s="24" t="n">
        <f aca="false">B15/B11-1</f>
        <v>-0.114898226480719</v>
      </c>
    </row>
    <row r="16" customFormat="false" ht="15" hidden="false" customHeight="false" outlineLevel="0" collapsed="false">
      <c r="A16" s="21" t="s">
        <v>78</v>
      </c>
      <c r="B16" s="22" t="n">
        <v>3026.11497</v>
      </c>
      <c r="C16" s="22" t="n">
        <v>2306</v>
      </c>
      <c r="D16" s="22" t="n">
        <v>333.1369</v>
      </c>
      <c r="E16" s="22" t="n">
        <v>841.0438</v>
      </c>
      <c r="F16" s="22" t="n">
        <v>940.53972</v>
      </c>
      <c r="G16" s="22" t="n">
        <v>677.4426</v>
      </c>
      <c r="H16" s="22" t="n">
        <v>46.06359</v>
      </c>
      <c r="I16" s="22" t="n">
        <v>364</v>
      </c>
      <c r="J16" s="22" t="n">
        <v>487</v>
      </c>
      <c r="K16" s="22" t="n">
        <v>568</v>
      </c>
      <c r="L16" s="22" t="n">
        <v>588</v>
      </c>
      <c r="M16" s="22" t="n">
        <v>144</v>
      </c>
      <c r="N16" s="23" t="n">
        <f aca="false">C16/B16</f>
        <v>0.76203317549432</v>
      </c>
      <c r="O16" s="24" t="n">
        <f aca="false">C16/C12-1</f>
        <v>-0.230820547031354</v>
      </c>
      <c r="P16" s="24" t="n">
        <f aca="false">B16/B12-1</f>
        <v>0.0334004640194763</v>
      </c>
    </row>
    <row r="17" customFormat="false" ht="15" hidden="false" customHeight="false" outlineLevel="0" collapsed="false">
      <c r="A17" s="21" t="s">
        <v>79</v>
      </c>
      <c r="B17" s="22" t="n">
        <v>3446.8356</v>
      </c>
      <c r="C17" s="22" t="n">
        <v>2458</v>
      </c>
      <c r="D17" s="22" t="n">
        <v>342.16431</v>
      </c>
      <c r="E17" s="22" t="n">
        <v>1362.31828</v>
      </c>
      <c r="F17" s="22" t="n">
        <v>811.84172</v>
      </c>
      <c r="G17" s="22" t="n">
        <v>686.01125</v>
      </c>
      <c r="H17" s="22" t="n">
        <v>55.68534</v>
      </c>
      <c r="I17" s="22" t="n">
        <v>310</v>
      </c>
      <c r="J17" s="22" t="n">
        <v>762</v>
      </c>
      <c r="K17" s="22" t="n">
        <v>591</v>
      </c>
      <c r="L17" s="22" t="n">
        <v>610</v>
      </c>
      <c r="M17" s="22" t="n">
        <v>108</v>
      </c>
      <c r="N17" s="23" t="n">
        <f aca="false">C17/B17</f>
        <v>0.713117852212041</v>
      </c>
      <c r="O17" s="24" t="n">
        <f aca="false">C17/C13-1</f>
        <v>0.327930848190168</v>
      </c>
      <c r="P17" s="24" t="n">
        <f aca="false">B17/B13-1</f>
        <v>0.209433755336254</v>
      </c>
    </row>
    <row r="18" customFormat="false" ht="15" hidden="false" customHeight="false" outlineLevel="0" collapsed="false">
      <c r="A18" s="21" t="s">
        <v>80</v>
      </c>
      <c r="B18" s="22" t="n">
        <v>3397.15424</v>
      </c>
      <c r="C18" s="22" t="n">
        <v>2590</v>
      </c>
      <c r="D18" s="22" t="n">
        <v>822.25463</v>
      </c>
      <c r="E18" s="22" t="n">
        <v>810.65093</v>
      </c>
      <c r="F18" s="22" t="n">
        <v>954.60898</v>
      </c>
      <c r="G18" s="22" t="n">
        <v>568.30825</v>
      </c>
      <c r="H18" s="22" t="n">
        <v>110.69163</v>
      </c>
      <c r="I18" s="22" t="n">
        <v>471</v>
      </c>
      <c r="J18" s="22" t="n">
        <v>831</v>
      </c>
      <c r="K18" s="22" t="n">
        <v>506</v>
      </c>
      <c r="L18" s="22" t="n">
        <v>572</v>
      </c>
      <c r="M18" s="22" t="n">
        <v>133</v>
      </c>
      <c r="N18" s="23" t="n">
        <f aca="false">C18/B18</f>
        <v>0.762402828080011</v>
      </c>
      <c r="O18" s="24" t="n">
        <f aca="false">C18/C14-1</f>
        <v>0.0541310541310542</v>
      </c>
      <c r="P18" s="24" t="n">
        <f aca="false">B18/B14-1</f>
        <v>0.0129598496600869</v>
      </c>
    </row>
    <row r="19" customFormat="false" ht="15" hidden="false" customHeight="false" outlineLevel="0" collapsed="false">
      <c r="A19" s="21" t="s">
        <v>81</v>
      </c>
      <c r="B19" s="22" t="n">
        <v>3180.0989</v>
      </c>
      <c r="C19" s="22" t="n">
        <v>2544</v>
      </c>
      <c r="D19" s="22" t="n">
        <v>902.70341</v>
      </c>
      <c r="E19" s="22" t="n">
        <v>651.84246</v>
      </c>
      <c r="F19" s="22" t="n">
        <v>946.81411</v>
      </c>
      <c r="G19" s="22" t="n">
        <v>501.79825</v>
      </c>
      <c r="H19" s="22" t="n">
        <v>73.26403</v>
      </c>
      <c r="I19" s="22" t="n">
        <v>670</v>
      </c>
      <c r="J19" s="22" t="n">
        <v>509</v>
      </c>
      <c r="K19" s="22" t="n">
        <v>739</v>
      </c>
      <c r="L19" s="22" t="n">
        <v>423</v>
      </c>
      <c r="M19" s="22" t="n">
        <v>157</v>
      </c>
      <c r="N19" s="23" t="n">
        <f aca="false">C19/B19</f>
        <v>0.799975120270631</v>
      </c>
      <c r="O19" s="24" t="n">
        <f aca="false">C19/C15-1</f>
        <v>0.539019963702359</v>
      </c>
      <c r="P19" s="24" t="n">
        <f aca="false">B19/B15-1</f>
        <v>0.128976590301432</v>
      </c>
    </row>
    <row r="20" customFormat="false" ht="15" hidden="false" customHeight="false" outlineLevel="0" collapsed="false">
      <c r="A20" s="21" t="s">
        <v>82</v>
      </c>
      <c r="B20" s="22" t="n">
        <v>2784.00247</v>
      </c>
      <c r="C20" s="22" t="n">
        <v>2746</v>
      </c>
      <c r="D20" s="22" t="n">
        <v>411.98759</v>
      </c>
      <c r="E20" s="22" t="n">
        <v>680.93843</v>
      </c>
      <c r="F20" s="22" t="n">
        <v>1159.19034</v>
      </c>
      <c r="G20" s="22" t="n">
        <v>275.02403</v>
      </c>
      <c r="H20" s="22" t="n">
        <v>59.92803</v>
      </c>
      <c r="I20" s="22" t="n">
        <v>721</v>
      </c>
      <c r="J20" s="22" t="n">
        <v>539</v>
      </c>
      <c r="K20" s="22" t="n">
        <v>791</v>
      </c>
      <c r="L20" s="22" t="n">
        <v>440</v>
      </c>
      <c r="M20" s="22" t="n">
        <v>163</v>
      </c>
      <c r="N20" s="23" t="n">
        <f aca="false">C20/B20</f>
        <v>0.986349699610719</v>
      </c>
      <c r="O20" s="24" t="n">
        <f aca="false">C20/C16-1</f>
        <v>0.190806591500434</v>
      </c>
      <c r="P20" s="24" t="n">
        <f aca="false">B20/B16-1</f>
        <v>-0.080007700434462</v>
      </c>
    </row>
    <row r="21" customFormat="false" ht="15" hidden="false" customHeight="false" outlineLevel="0" collapsed="false">
      <c r="A21" s="21" t="s">
        <v>83</v>
      </c>
      <c r="B21" s="22" t="n">
        <v>3470.86601</v>
      </c>
      <c r="C21" s="22" t="n">
        <v>2279</v>
      </c>
      <c r="D21" s="22" t="n">
        <v>770.29773</v>
      </c>
      <c r="E21" s="22" t="n">
        <v>881.25215</v>
      </c>
      <c r="F21" s="22" t="n">
        <v>1122.64407</v>
      </c>
      <c r="G21" s="22" t="n">
        <v>285.02508</v>
      </c>
      <c r="H21" s="22" t="n">
        <v>88.12548</v>
      </c>
      <c r="I21" s="22" t="n">
        <v>393</v>
      </c>
      <c r="J21" s="22" t="n">
        <v>525</v>
      </c>
      <c r="K21" s="22" t="n">
        <v>705</v>
      </c>
      <c r="L21" s="22" t="n">
        <v>345</v>
      </c>
      <c r="M21" s="22" t="n">
        <v>127</v>
      </c>
      <c r="N21" s="23" t="n">
        <f aca="false">C21/B21</f>
        <v>0.656608464122186</v>
      </c>
      <c r="O21" s="24" t="n">
        <f aca="false">C21/C17-1</f>
        <v>-0.0728234336859235</v>
      </c>
      <c r="P21" s="24" t="n">
        <f aca="false">B21/B17-1</f>
        <v>0.0069717308246442</v>
      </c>
    </row>
    <row r="22" customFormat="false" ht="15" hidden="false" customHeight="false" outlineLevel="0" collapsed="false">
      <c r="A22" s="21" t="s">
        <v>84</v>
      </c>
      <c r="B22" s="22" t="n">
        <v>4309.10938</v>
      </c>
      <c r="C22" s="22" t="n">
        <v>3616</v>
      </c>
      <c r="D22" s="22" t="n">
        <v>1245.36955</v>
      </c>
      <c r="E22" s="22" t="n">
        <v>917.39988</v>
      </c>
      <c r="F22" s="22" t="n">
        <v>1331.82432</v>
      </c>
      <c r="G22" s="22" t="n">
        <v>292.34333</v>
      </c>
      <c r="H22" s="22" t="n">
        <v>96.7292</v>
      </c>
      <c r="I22" s="22" t="n">
        <v>1014</v>
      </c>
      <c r="J22" s="22" t="n">
        <v>882</v>
      </c>
      <c r="K22" s="22" t="n">
        <v>1022</v>
      </c>
      <c r="L22" s="22" t="n">
        <v>312</v>
      </c>
      <c r="M22" s="22" t="n">
        <v>186</v>
      </c>
      <c r="N22" s="23" t="n">
        <f aca="false">C22/B22</f>
        <v>0.839152521117948</v>
      </c>
      <c r="O22" s="24" t="n">
        <f aca="false">C22/C18-1</f>
        <v>0.396138996138996</v>
      </c>
      <c r="P22" s="24" t="n">
        <f aca="false">B22/B18-1</f>
        <v>0.268446786802356</v>
      </c>
    </row>
    <row r="23" customFormat="false" ht="15" hidden="false" customHeight="false" outlineLevel="0" collapsed="false">
      <c r="A23" s="21" t="s">
        <v>85</v>
      </c>
      <c r="B23" s="22" t="n">
        <v>4931.92358</v>
      </c>
      <c r="C23" s="22" t="n">
        <v>3828</v>
      </c>
      <c r="D23" s="22" t="n">
        <v>1024.53678</v>
      </c>
      <c r="E23" s="22" t="n">
        <v>870.10155</v>
      </c>
      <c r="F23" s="22" t="n">
        <v>2226.57179</v>
      </c>
      <c r="G23" s="22" t="n">
        <v>454.90913</v>
      </c>
      <c r="H23" s="22" t="n">
        <v>96.73772</v>
      </c>
      <c r="I23" s="22" t="n">
        <v>953</v>
      </c>
      <c r="J23" s="22" t="n">
        <v>628</v>
      </c>
      <c r="K23" s="22" t="n">
        <v>1536</v>
      </c>
      <c r="L23" s="22" t="n">
        <v>439</v>
      </c>
      <c r="M23" s="22" t="n">
        <v>134</v>
      </c>
      <c r="N23" s="23" t="n">
        <f aca="false">C23/B23</f>
        <v>0.776167744269874</v>
      </c>
      <c r="O23" s="24" t="n">
        <f aca="false">C23/C19-1</f>
        <v>0.504716981132076</v>
      </c>
      <c r="P23" s="24" t="n">
        <f aca="false">B23/B19-1</f>
        <v>0.550871131712287</v>
      </c>
    </row>
    <row r="24" customFormat="false" ht="15" hidden="false" customHeight="false" outlineLevel="0" collapsed="false">
      <c r="A24" s="21" t="s">
        <v>86</v>
      </c>
      <c r="B24" s="22" t="n">
        <v>5111.95892</v>
      </c>
      <c r="C24" s="22" t="n">
        <v>4136</v>
      </c>
      <c r="D24" s="22" t="n">
        <v>940.67325</v>
      </c>
      <c r="E24" s="22" t="n">
        <v>1360.49966</v>
      </c>
      <c r="F24" s="22" t="n">
        <v>1690.01544</v>
      </c>
      <c r="G24" s="22" t="n">
        <v>647.65171</v>
      </c>
      <c r="H24" s="22" t="n">
        <v>131.90897</v>
      </c>
      <c r="I24" s="22" t="n">
        <v>935</v>
      </c>
      <c r="J24" s="22" t="n">
        <v>1025</v>
      </c>
      <c r="K24" s="22" t="n">
        <v>1088</v>
      </c>
      <c r="L24" s="22" t="n">
        <v>618</v>
      </c>
      <c r="M24" s="22" t="n">
        <v>203</v>
      </c>
      <c r="N24" s="23" t="n">
        <f aca="false">C24/B24</f>
        <v>0.809083184103522</v>
      </c>
      <c r="O24" s="24" t="n">
        <f aca="false">C24/C20-1</f>
        <v>0.506190823015295</v>
      </c>
      <c r="P24" s="24" t="n">
        <f aca="false">B24/B20-1</f>
        <v>0.83619051171316</v>
      </c>
    </row>
    <row r="25" customFormat="false" ht="15" hidden="false" customHeight="false" outlineLevel="0" collapsed="false">
      <c r="A25" s="21" t="s">
        <v>87</v>
      </c>
      <c r="B25" s="22" t="n">
        <v>5818.29163</v>
      </c>
      <c r="C25" s="22" t="n">
        <v>4253</v>
      </c>
      <c r="D25" s="22" t="n">
        <v>1063.46687</v>
      </c>
      <c r="E25" s="22" t="n">
        <v>1375.71077</v>
      </c>
      <c r="F25" s="22" t="n">
        <v>2095.25785</v>
      </c>
      <c r="G25" s="22" t="n">
        <v>775.51253</v>
      </c>
      <c r="H25" s="22" t="n">
        <v>196.94488</v>
      </c>
      <c r="I25" s="22" t="n">
        <v>930</v>
      </c>
      <c r="J25" s="22" t="n">
        <v>874</v>
      </c>
      <c r="K25" s="22" t="n">
        <v>1322</v>
      </c>
      <c r="L25" s="22" t="n">
        <v>768</v>
      </c>
      <c r="M25" s="22" t="n">
        <v>170</v>
      </c>
      <c r="N25" s="23" t="n">
        <f aca="false">C25/B25</f>
        <v>0.730970578729826</v>
      </c>
      <c r="O25" s="24" t="n">
        <f aca="false">C25/C21-1</f>
        <v>0.866169372531812</v>
      </c>
      <c r="P25" s="24" t="n">
        <f aca="false">B25/B21-1</f>
        <v>0.676322742864971</v>
      </c>
    </row>
    <row r="26" customFormat="false" ht="15" hidden="false" customHeight="false" outlineLevel="0" collapsed="false">
      <c r="A26" s="21" t="s">
        <v>88</v>
      </c>
      <c r="B26" s="22" t="n">
        <v>5963.42674</v>
      </c>
      <c r="C26" s="22" t="n">
        <v>4921</v>
      </c>
      <c r="D26" s="22" t="n">
        <v>1202.59137</v>
      </c>
      <c r="E26" s="22" t="n">
        <v>1185.13402</v>
      </c>
      <c r="F26" s="22" t="n">
        <v>1945.11353</v>
      </c>
      <c r="G26" s="22" t="n">
        <v>919.64823</v>
      </c>
      <c r="H26" s="22" t="n">
        <v>409.96284</v>
      </c>
      <c r="I26" s="22" t="n">
        <v>959</v>
      </c>
      <c r="J26" s="22" t="n">
        <v>1063</v>
      </c>
      <c r="K26" s="22" t="n">
        <v>1188</v>
      </c>
      <c r="L26" s="22" t="n">
        <v>853</v>
      </c>
      <c r="M26" s="22" t="n">
        <v>571</v>
      </c>
      <c r="N26" s="23" t="n">
        <f aca="false">C26/B26</f>
        <v>0.825196688842026</v>
      </c>
      <c r="O26" s="24" t="n">
        <f aca="false">C26/C22-1</f>
        <v>0.360896017699115</v>
      </c>
      <c r="P26" s="24" t="n">
        <f aca="false">B26/B22-1</f>
        <v>0.38391166575586</v>
      </c>
    </row>
    <row r="27" customFormat="false" ht="15" hidden="false" customHeight="false" outlineLevel="0" collapsed="false">
      <c r="A27" s="21" t="s">
        <v>89</v>
      </c>
      <c r="B27" s="22" t="n">
        <v>5733.54004</v>
      </c>
      <c r="C27" s="22" t="n">
        <v>4217</v>
      </c>
      <c r="D27" s="22" t="n">
        <v>1064.34707</v>
      </c>
      <c r="E27" s="22" t="n">
        <v>1384.29908</v>
      </c>
      <c r="F27" s="22" t="n">
        <v>1448.31462</v>
      </c>
      <c r="G27" s="22" t="n">
        <v>666.17773</v>
      </c>
      <c r="H27" s="22" t="n">
        <v>827.89075</v>
      </c>
      <c r="I27" s="22" t="n">
        <v>851</v>
      </c>
      <c r="J27" s="22" t="n">
        <v>968</v>
      </c>
      <c r="K27" s="22" t="n">
        <v>940</v>
      </c>
      <c r="L27" s="22" t="n">
        <v>673</v>
      </c>
      <c r="M27" s="22" t="n">
        <v>565</v>
      </c>
      <c r="N27" s="23" t="n">
        <f aca="false">C27/B27</f>
        <v>0.735496738590841</v>
      </c>
      <c r="O27" s="24" t="n">
        <f aca="false">C27/C23-1</f>
        <v>0.101619644723093</v>
      </c>
      <c r="P27" s="24" t="n">
        <f aca="false">B27/B23-1</f>
        <v>0.162536269469123</v>
      </c>
    </row>
    <row r="28" customFormat="false" ht="15" hidden="false" customHeight="false" outlineLevel="0" collapsed="false">
      <c r="A28" s="21" t="s">
        <v>90</v>
      </c>
      <c r="B28" s="22" t="n">
        <v>6722.75915</v>
      </c>
      <c r="C28" s="22" t="n">
        <v>5983</v>
      </c>
      <c r="D28" s="22" t="n">
        <v>933.02796</v>
      </c>
      <c r="E28" s="22" t="n">
        <v>1592.53335</v>
      </c>
      <c r="F28" s="22" t="n">
        <v>2209.89738</v>
      </c>
      <c r="G28" s="22" t="n">
        <v>897.48906</v>
      </c>
      <c r="H28" s="22" t="n">
        <v>414.46903</v>
      </c>
      <c r="I28" s="22" t="n">
        <v>842</v>
      </c>
      <c r="J28" s="22" t="n">
        <v>1338</v>
      </c>
      <c r="K28" s="22" t="n">
        <v>1686</v>
      </c>
      <c r="L28" s="22" t="n">
        <v>1083</v>
      </c>
      <c r="M28" s="22" t="n">
        <v>509</v>
      </c>
      <c r="N28" s="23" t="n">
        <f aca="false">C28/B28</f>
        <v>0.889961973425747</v>
      </c>
      <c r="O28" s="24" t="n">
        <f aca="false">C28/C24-1</f>
        <v>0.446566731141199</v>
      </c>
      <c r="P28" s="24" t="n">
        <f aca="false">B28/B24-1</f>
        <v>0.315104298608096</v>
      </c>
    </row>
    <row r="29" customFormat="false" ht="15" hidden="false" customHeight="false" outlineLevel="0" collapsed="false">
      <c r="A29" s="21" t="s">
        <v>91</v>
      </c>
      <c r="B29" s="22" t="n">
        <v>6356.33218</v>
      </c>
      <c r="C29" s="22" t="n">
        <v>4103</v>
      </c>
      <c r="D29" s="22" t="n">
        <v>992.70406</v>
      </c>
      <c r="E29" s="22" t="n">
        <v>1940.79096</v>
      </c>
      <c r="F29" s="22" t="n">
        <v>1918.67204</v>
      </c>
      <c r="G29" s="22" t="n">
        <v>789.29508</v>
      </c>
      <c r="H29" s="22" t="n">
        <v>426.75772</v>
      </c>
      <c r="I29" s="22" t="n">
        <v>754</v>
      </c>
      <c r="J29" s="22" t="n">
        <v>1101</v>
      </c>
      <c r="K29" s="22" t="n">
        <v>1027</v>
      </c>
      <c r="L29" s="22" t="n">
        <v>584</v>
      </c>
      <c r="M29" s="22" t="n">
        <v>426</v>
      </c>
      <c r="N29" s="23" t="n">
        <f aca="false">C29/B29</f>
        <v>0.645498045698423</v>
      </c>
      <c r="O29" s="24" t="n">
        <f aca="false">C29/C25-1</f>
        <v>-0.0352692217258406</v>
      </c>
      <c r="P29" s="24" t="n">
        <f aca="false">B29/B25-1</f>
        <v>0.0924739741861307</v>
      </c>
    </row>
    <row r="30" customFormat="false" ht="15" hidden="false" customHeight="false" outlineLevel="0" collapsed="false">
      <c r="A30" s="21" t="s">
        <v>92</v>
      </c>
      <c r="B30" s="22" t="n">
        <v>5682.3316</v>
      </c>
      <c r="C30" s="22" t="n">
        <v>4854</v>
      </c>
      <c r="D30" s="22" t="n">
        <v>1072.76146</v>
      </c>
      <c r="E30" s="22" t="n">
        <v>1185.28842</v>
      </c>
      <c r="F30" s="22" t="n">
        <v>1843.71859</v>
      </c>
      <c r="G30" s="22" t="n">
        <v>935.86097</v>
      </c>
      <c r="H30" s="22" t="n">
        <v>362.01425</v>
      </c>
      <c r="I30" s="22" t="n">
        <v>1047</v>
      </c>
      <c r="J30" s="22" t="n">
        <v>794</v>
      </c>
      <c r="K30" s="22" t="n">
        <v>1312</v>
      </c>
      <c r="L30" s="22" t="n">
        <v>1102</v>
      </c>
      <c r="M30" s="22" t="n">
        <v>341</v>
      </c>
      <c r="N30" s="23" t="n">
        <f aca="false">C30/B30</f>
        <v>0.854226810698622</v>
      </c>
      <c r="O30" s="24" t="n">
        <f aca="false">C30/C26-1</f>
        <v>-0.0136151188782768</v>
      </c>
      <c r="P30" s="24" t="n">
        <f aca="false">B30/B26-1</f>
        <v>-0.0471365126554737</v>
      </c>
    </row>
    <row r="31" customFormat="false" ht="15" hidden="false" customHeight="false" outlineLevel="0" collapsed="false">
      <c r="A31" s="21" t="s">
        <v>93</v>
      </c>
      <c r="B31" s="22" t="n">
        <v>5065.10925</v>
      </c>
      <c r="C31" s="22" t="n">
        <v>3619</v>
      </c>
      <c r="D31" s="22" t="n">
        <v>973.11555</v>
      </c>
      <c r="E31" s="22" t="n">
        <v>858.76509</v>
      </c>
      <c r="F31" s="22" t="n">
        <v>2117.22298</v>
      </c>
      <c r="G31" s="22" t="n">
        <v>623.80419</v>
      </c>
      <c r="H31" s="22" t="n">
        <v>372.49682</v>
      </c>
      <c r="I31" s="22" t="n">
        <v>767</v>
      </c>
      <c r="J31" s="22" t="n">
        <v>639</v>
      </c>
      <c r="K31" s="22" t="n">
        <v>1539</v>
      </c>
      <c r="L31" s="22" t="n">
        <v>301</v>
      </c>
      <c r="M31" s="22" t="n">
        <v>281</v>
      </c>
      <c r="N31" s="23" t="n">
        <f aca="false">C31/B31</f>
        <v>0.714495941030295</v>
      </c>
      <c r="O31" s="24" t="n">
        <f aca="false">C31/C27-1</f>
        <v>-0.141806971780887</v>
      </c>
      <c r="P31" s="24" t="n">
        <f aca="false">B31/B27-1</f>
        <v>-0.116582562489613</v>
      </c>
    </row>
    <row r="32" customFormat="false" ht="15" hidden="false" customHeight="false" outlineLevel="0" collapsed="false">
      <c r="A32" s="21" t="s">
        <v>94</v>
      </c>
      <c r="B32" s="22" t="n">
        <v>4972.86107</v>
      </c>
      <c r="C32" s="22" t="n">
        <v>3862</v>
      </c>
      <c r="D32" s="22" t="n">
        <v>745.02583</v>
      </c>
      <c r="E32" s="22" t="n">
        <v>387.37968</v>
      </c>
      <c r="F32" s="22" t="n">
        <v>2865.92529</v>
      </c>
      <c r="G32" s="22" t="n">
        <v>451.53328</v>
      </c>
      <c r="H32" s="22" t="n">
        <v>293.31471</v>
      </c>
      <c r="I32" s="22" t="n">
        <v>674</v>
      </c>
      <c r="J32" s="22" t="n">
        <v>399</v>
      </c>
      <c r="K32" s="22" t="n">
        <v>1829</v>
      </c>
      <c r="L32" s="22" t="n">
        <v>474</v>
      </c>
      <c r="M32" s="22" t="n">
        <v>335</v>
      </c>
      <c r="N32" s="23" t="n">
        <f aca="false">C32/B32</f>
        <v>0.776615301661745</v>
      </c>
      <c r="O32" s="24" t="n">
        <f aca="false">C32/C28-1</f>
        <v>-0.354504429216112</v>
      </c>
      <c r="P32" s="24" t="n">
        <f aca="false">B32/B28-1</f>
        <v>-0.260294626202695</v>
      </c>
    </row>
    <row r="33" customFormat="false" ht="15" hidden="false" customHeight="false" outlineLevel="0" collapsed="false">
      <c r="A33" s="21" t="s">
        <v>95</v>
      </c>
      <c r="B33" s="22" t="n">
        <v>6142.28439</v>
      </c>
      <c r="C33" s="22" t="n">
        <v>4059</v>
      </c>
      <c r="D33" s="22" t="n">
        <v>755.39245</v>
      </c>
      <c r="E33" s="22" t="n">
        <v>640.75783</v>
      </c>
      <c r="F33" s="22" t="n">
        <v>3619.22629</v>
      </c>
      <c r="G33" s="22" t="n">
        <v>663.03611</v>
      </c>
      <c r="H33" s="22" t="n">
        <v>240.57873</v>
      </c>
      <c r="I33" s="22" t="n">
        <v>582</v>
      </c>
      <c r="J33" s="22" t="n">
        <v>463</v>
      </c>
      <c r="K33" s="22" t="n">
        <v>2172</v>
      </c>
      <c r="L33" s="22" t="n">
        <v>421</v>
      </c>
      <c r="M33" s="22" t="n">
        <v>294</v>
      </c>
      <c r="N33" s="23" t="n">
        <f aca="false">C33/B33</f>
        <v>0.660829056793315</v>
      </c>
      <c r="O33" s="24" t="n">
        <f aca="false">C33/C29-1</f>
        <v>-0.0107238605898123</v>
      </c>
      <c r="P33" s="24" t="n">
        <f aca="false">B33/B29-1</f>
        <v>-0.0336747331540499</v>
      </c>
    </row>
    <row r="34" customFormat="false" ht="15" hidden="false" customHeight="false" outlineLevel="0" collapsed="false">
      <c r="A34" s="21" t="s">
        <v>96</v>
      </c>
      <c r="B34" s="22" t="n">
        <v>6456.13718</v>
      </c>
      <c r="C34" s="22" t="n">
        <v>4902</v>
      </c>
      <c r="D34" s="22" t="n">
        <v>1142.82045</v>
      </c>
      <c r="E34" s="22" t="n">
        <v>606.8901</v>
      </c>
      <c r="F34" s="22" t="n">
        <v>3625.95821</v>
      </c>
      <c r="G34" s="22" t="n">
        <v>572.50389</v>
      </c>
      <c r="H34" s="22" t="n">
        <v>253.36244</v>
      </c>
      <c r="I34" s="22" t="n">
        <v>820</v>
      </c>
      <c r="J34" s="22" t="n">
        <v>552</v>
      </c>
      <c r="K34" s="22" t="n">
        <v>2591</v>
      </c>
      <c r="L34" s="22" t="n">
        <v>483</v>
      </c>
      <c r="M34" s="22" t="n">
        <v>281</v>
      </c>
      <c r="N34" s="23" t="n">
        <f aca="false">C34/B34</f>
        <v>0.759277546825608</v>
      </c>
      <c r="O34" s="24" t="n">
        <f aca="false">C34/C30-1</f>
        <v>0.00988875154511737</v>
      </c>
      <c r="P34" s="24" t="n">
        <f aca="false">B34/B30-1</f>
        <v>0.136177476865307</v>
      </c>
    </row>
    <row r="35" customFormat="false" ht="15" hidden="false" customHeight="false" outlineLevel="0" collapsed="false">
      <c r="A35" s="21" t="s">
        <v>97</v>
      </c>
      <c r="B35" s="22" t="n">
        <v>7202.51351</v>
      </c>
      <c r="C35" s="22" t="n">
        <v>5163</v>
      </c>
      <c r="D35" s="22" t="n">
        <v>802.56793</v>
      </c>
      <c r="E35" s="22" t="n">
        <v>1176.2418</v>
      </c>
      <c r="F35" s="22" t="n">
        <v>4130.53807</v>
      </c>
      <c r="G35" s="22" t="n">
        <v>654.70356</v>
      </c>
      <c r="H35" s="22" t="n">
        <v>147.31691</v>
      </c>
      <c r="I35" s="22" t="n">
        <v>678</v>
      </c>
      <c r="J35" s="22" t="n">
        <v>800</v>
      </c>
      <c r="K35" s="22" t="n">
        <v>2770</v>
      </c>
      <c r="L35" s="22" t="n">
        <v>590</v>
      </c>
      <c r="M35" s="22" t="n">
        <v>155</v>
      </c>
      <c r="N35" s="23" t="n">
        <f aca="false">C35/B35</f>
        <v>0.71683308789795</v>
      </c>
      <c r="O35" s="24" t="n">
        <f aca="false">C35/C31-1</f>
        <v>0.42663719259464</v>
      </c>
      <c r="P35" s="24" t="n">
        <f aca="false">B35/B31-1</f>
        <v>0.421985816001895</v>
      </c>
    </row>
    <row r="36" customFormat="false" ht="15" hidden="false" customHeight="false" outlineLevel="0" collapsed="false">
      <c r="A36" s="21" t="s">
        <v>98</v>
      </c>
      <c r="B36" s="22" t="n">
        <v>6962.93694</v>
      </c>
      <c r="C36" s="22" t="n">
        <v>5136</v>
      </c>
      <c r="D36" s="22" t="n">
        <v>923.89946</v>
      </c>
      <c r="E36" s="22" t="n">
        <v>1037.48496</v>
      </c>
      <c r="F36" s="22" t="n">
        <v>3679.24223</v>
      </c>
      <c r="G36" s="22" t="n">
        <v>813.10006</v>
      </c>
      <c r="H36" s="22" t="n">
        <v>152.55722</v>
      </c>
      <c r="I36" s="22" t="n">
        <v>795</v>
      </c>
      <c r="J36" s="22" t="n">
        <v>753</v>
      </c>
      <c r="K36" s="22" t="n">
        <v>2339</v>
      </c>
      <c r="L36" s="22" t="n">
        <v>799</v>
      </c>
      <c r="M36" s="22" t="n">
        <v>238</v>
      </c>
      <c r="N36" s="23" t="n">
        <f aca="false">C36/B36</f>
        <v>0.737619778012811</v>
      </c>
      <c r="O36" s="24" t="n">
        <f aca="false">C36/C32-1</f>
        <v>0.329880890730192</v>
      </c>
      <c r="P36" s="24" t="n">
        <f aca="false">B36/B32-1</f>
        <v>0.400187305051738</v>
      </c>
    </row>
    <row r="37" customFormat="false" ht="15" hidden="false" customHeight="false" outlineLevel="0" collapsed="false">
      <c r="A37" s="21" t="s">
        <v>99</v>
      </c>
      <c r="B37" s="22" t="n">
        <v>8122.21778</v>
      </c>
      <c r="C37" s="22" t="n">
        <v>6089</v>
      </c>
      <c r="D37" s="22" t="n">
        <v>1318.90009</v>
      </c>
      <c r="E37" s="22" t="n">
        <v>1472.1108</v>
      </c>
      <c r="F37" s="22" t="n">
        <v>3960.49147</v>
      </c>
      <c r="G37" s="22" t="n">
        <v>764.95821</v>
      </c>
      <c r="H37" s="22" t="n">
        <v>249.41809</v>
      </c>
      <c r="I37" s="22" t="n">
        <v>1145</v>
      </c>
      <c r="J37" s="22" t="n">
        <v>1193</v>
      </c>
      <c r="K37" s="22" t="n">
        <v>2794</v>
      </c>
      <c r="L37" s="22" t="n">
        <v>577</v>
      </c>
      <c r="M37" s="22" t="n">
        <v>157</v>
      </c>
      <c r="N37" s="23" t="n">
        <f aca="false">C37/B37</f>
        <v>0.749672092638718</v>
      </c>
      <c r="O37" s="24" t="n">
        <f aca="false">C37/C33-1</f>
        <v>0.500123183050012</v>
      </c>
      <c r="P37" s="24" t="n">
        <f aca="false">B37/B33-1</f>
        <v>0.322344792960653</v>
      </c>
    </row>
    <row r="38" customFormat="false" ht="15" hidden="false" customHeight="false" outlineLevel="0" collapsed="false">
      <c r="A38" s="21" t="s">
        <v>100</v>
      </c>
      <c r="B38" s="22" t="n">
        <v>7568.67347</v>
      </c>
      <c r="C38" s="22" t="n">
        <v>6017</v>
      </c>
      <c r="D38" s="22" t="n">
        <v>1580.22156</v>
      </c>
      <c r="E38" s="22" t="n">
        <v>1954.72001</v>
      </c>
      <c r="F38" s="22" t="n">
        <v>3036.93258</v>
      </c>
      <c r="G38" s="22" t="n">
        <v>467.14456</v>
      </c>
      <c r="H38" s="22" t="n">
        <v>145.91002</v>
      </c>
      <c r="I38" s="22" t="n">
        <v>1470</v>
      </c>
      <c r="J38" s="22" t="n">
        <v>1358</v>
      </c>
      <c r="K38" s="22" t="n">
        <v>2246</v>
      </c>
      <c r="L38" s="22" t="n">
        <v>462</v>
      </c>
      <c r="M38" s="22" t="n">
        <v>203</v>
      </c>
      <c r="N38" s="23" t="n">
        <f aca="false">C38/B38</f>
        <v>0.794987394270558</v>
      </c>
      <c r="O38" s="24" t="n">
        <f aca="false">C38/C34-1</f>
        <v>0.227458180334557</v>
      </c>
      <c r="P38" s="24" t="n">
        <f aca="false">B38/B34-1</f>
        <v>0.172322281726982</v>
      </c>
    </row>
    <row r="39" customFormat="false" ht="15" hidden="false" customHeight="false" outlineLevel="0" collapsed="false">
      <c r="A39" s="21" t="s">
        <v>101</v>
      </c>
      <c r="B39" s="22" t="n">
        <v>6405.04019</v>
      </c>
      <c r="C39" s="22" t="n">
        <v>4849</v>
      </c>
      <c r="D39" s="22" t="n">
        <v>962.207760000001</v>
      </c>
      <c r="E39" s="22" t="n">
        <v>1708.87877</v>
      </c>
      <c r="F39" s="22" t="n">
        <v>3004.63801</v>
      </c>
      <c r="G39" s="22" t="n">
        <v>378.5889</v>
      </c>
      <c r="H39" s="22" t="n">
        <v>113.18455</v>
      </c>
      <c r="I39" s="22" t="n">
        <v>883</v>
      </c>
      <c r="J39" s="22" t="n">
        <v>1115</v>
      </c>
      <c r="K39" s="22" t="n">
        <v>2121</v>
      </c>
      <c r="L39" s="22" t="n">
        <v>434</v>
      </c>
      <c r="M39" s="22" t="n">
        <v>140</v>
      </c>
      <c r="N39" s="23" t="n">
        <f aca="false">C39/B39</f>
        <v>0.757060042741121</v>
      </c>
      <c r="O39" s="24" t="n">
        <f aca="false">C39/C35-1</f>
        <v>-0.0608173542514042</v>
      </c>
      <c r="P39" s="24" t="n">
        <f aca="false">B39/B35-1</f>
        <v>-0.110721530600781</v>
      </c>
    </row>
    <row r="40" customFormat="false" ht="15" hidden="false" customHeight="false" outlineLevel="0" collapsed="false">
      <c r="A40" s="21" t="s">
        <v>102</v>
      </c>
      <c r="B40" s="22" t="n">
        <v>6522.43275</v>
      </c>
      <c r="C40" s="22" t="n">
        <v>5768</v>
      </c>
      <c r="D40" s="22" t="n">
        <v>985.91832</v>
      </c>
      <c r="E40" s="22" t="n">
        <v>1356.01769</v>
      </c>
      <c r="F40" s="22" t="n">
        <v>3487.53108</v>
      </c>
      <c r="G40" s="22" t="n">
        <v>322.11587</v>
      </c>
      <c r="H40" s="22" t="n">
        <v>106.98395</v>
      </c>
      <c r="I40" s="22" t="n">
        <v>1325</v>
      </c>
      <c r="J40" s="22" t="n">
        <v>1197</v>
      </c>
      <c r="K40" s="22" t="n">
        <v>2541</v>
      </c>
      <c r="L40" s="22" t="n">
        <v>384</v>
      </c>
      <c r="M40" s="22" t="n">
        <v>108</v>
      </c>
      <c r="N40" s="23" t="n">
        <f aca="false">C40/B40</f>
        <v>0.884332613471561</v>
      </c>
      <c r="O40" s="24" t="n">
        <f aca="false">C40/C36-1</f>
        <v>0.123052959501558</v>
      </c>
      <c r="P40" s="24" t="n">
        <f aca="false">B40/B36-1</f>
        <v>-0.0632641360672729</v>
      </c>
    </row>
    <row r="41" customFormat="false" ht="15" hidden="false" customHeight="false" outlineLevel="0" collapsed="false">
      <c r="A41" s="21" t="s">
        <v>103</v>
      </c>
      <c r="B41" s="22" t="n">
        <v>7243.43727</v>
      </c>
      <c r="C41" s="22" t="n">
        <v>5124</v>
      </c>
      <c r="D41" s="22" t="n">
        <v>1382.78039</v>
      </c>
      <c r="E41" s="22" t="n">
        <v>1853.96111</v>
      </c>
      <c r="F41" s="22" t="n">
        <v>2921.08677</v>
      </c>
      <c r="G41" s="22" t="n">
        <v>265.56305</v>
      </c>
      <c r="H41" s="22" t="n">
        <v>111.71363</v>
      </c>
      <c r="I41" s="22" t="n">
        <v>1497</v>
      </c>
      <c r="J41" s="22" t="n">
        <v>1119</v>
      </c>
      <c r="K41" s="22" t="n">
        <v>1755</v>
      </c>
      <c r="L41" s="22" t="n">
        <v>278</v>
      </c>
      <c r="M41" s="22" t="n">
        <v>127</v>
      </c>
      <c r="N41" s="23" t="n">
        <f aca="false">C41/B41</f>
        <v>0.707398961156462</v>
      </c>
      <c r="O41" s="24" t="n">
        <f aca="false">C41/C37-1</f>
        <v>-0.158482509443258</v>
      </c>
      <c r="P41" s="24" t="n">
        <f aca="false">B41/B37-1</f>
        <v>-0.10819465000851</v>
      </c>
    </row>
    <row r="42" customFormat="false" ht="15" hidden="false" customHeight="false" outlineLevel="0" collapsed="false">
      <c r="A42" s="21" t="s">
        <v>104</v>
      </c>
      <c r="B42" s="22" t="n">
        <v>7232.33085</v>
      </c>
      <c r="C42" s="22" t="n">
        <v>6288</v>
      </c>
      <c r="D42" s="22" t="n">
        <v>1790.50751</v>
      </c>
      <c r="E42" s="22" t="n">
        <v>2020.68618</v>
      </c>
      <c r="F42" s="22" t="n">
        <v>2334.01134</v>
      </c>
      <c r="G42" s="22" t="n">
        <v>463.05684</v>
      </c>
      <c r="H42" s="22" t="n">
        <v>287.47926</v>
      </c>
      <c r="I42" s="22" t="n">
        <v>1731</v>
      </c>
      <c r="J42" s="22" t="n">
        <v>1565</v>
      </c>
      <c r="K42" s="22" t="n">
        <v>1907</v>
      </c>
      <c r="L42" s="22" t="n">
        <v>567</v>
      </c>
      <c r="M42" s="22" t="n">
        <v>297</v>
      </c>
      <c r="N42" s="23" t="n">
        <f aca="false">C42/B42</f>
        <v>0.869429251843477</v>
      </c>
      <c r="O42" s="24" t="n">
        <f aca="false">C42/C38-1</f>
        <v>0.0450390560079774</v>
      </c>
      <c r="P42" s="24" t="n">
        <f aca="false">B42/B38-1</f>
        <v>-0.0444387806308678</v>
      </c>
    </row>
    <row r="43" customFormat="false" ht="15" hidden="false" customHeight="false" outlineLevel="0" collapsed="false">
      <c r="A43" s="21" t="s">
        <v>105</v>
      </c>
      <c r="B43" s="22" t="n">
        <v>7518.70484</v>
      </c>
      <c r="C43" s="22" t="n">
        <v>6675</v>
      </c>
      <c r="D43" s="22" t="n">
        <v>1573.77089</v>
      </c>
      <c r="E43" s="22" t="n">
        <v>2250.93994</v>
      </c>
      <c r="F43" s="22" t="n">
        <v>2471.72286</v>
      </c>
      <c r="G43" s="22" t="n">
        <v>720.08008</v>
      </c>
      <c r="H43" s="22" t="n">
        <v>193.58125</v>
      </c>
      <c r="I43" s="22" t="n">
        <v>1524</v>
      </c>
      <c r="J43" s="22" t="n">
        <v>1861</v>
      </c>
      <c r="K43" s="22" t="n">
        <v>2229</v>
      </c>
      <c r="L43" s="22" t="n">
        <v>590</v>
      </c>
      <c r="M43" s="22" t="n">
        <v>242</v>
      </c>
      <c r="N43" s="23" t="n">
        <f aca="false">C43/B43</f>
        <v>0.887785880952337</v>
      </c>
      <c r="O43" s="24" t="n">
        <f aca="false">C43/C39-1</f>
        <v>0.376572489173025</v>
      </c>
      <c r="P43" s="24" t="n">
        <f aca="false">B43/B39-1</f>
        <v>0.173873171278259</v>
      </c>
    </row>
    <row r="45" customFormat="false" ht="15" hidden="false" customHeight="false" outlineLevel="0" collapsed="false">
      <c r="A45" s="2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29.85" hidden="false" customHeight="false" outlineLevel="0" collapsed="false">
      <c r="A1" s="20" t="s">
        <v>135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136</v>
      </c>
      <c r="H1" s="20" t="s">
        <v>137</v>
      </c>
    </row>
    <row r="2" customFormat="false" ht="15" hidden="false" customHeight="false" outlineLevel="0" collapsed="false">
      <c r="A2" s="26" t="s">
        <v>138</v>
      </c>
      <c r="B2" s="27" t="n">
        <v>74.47611</v>
      </c>
      <c r="C2" s="27" t="n">
        <v>112.19095</v>
      </c>
      <c r="D2" s="27" t="n">
        <v>9.38474</v>
      </c>
      <c r="E2" s="27" t="n">
        <v>53.83561</v>
      </c>
      <c r="F2" s="27" t="n">
        <v>20.21926</v>
      </c>
      <c r="G2" s="27" t="n">
        <v>59.12969</v>
      </c>
      <c r="H2" s="27" t="n">
        <f aca="false">SUM(B2:G2)</f>
        <v>329.23636</v>
      </c>
    </row>
    <row r="3" customFormat="false" ht="15" hidden="false" customHeight="false" outlineLevel="0" collapsed="false">
      <c r="A3" s="26" t="s">
        <v>139</v>
      </c>
      <c r="B3" s="27" t="n">
        <v>136.57702</v>
      </c>
      <c r="C3" s="27" t="n">
        <v>163.42396</v>
      </c>
      <c r="D3" s="27" t="n">
        <v>24.70824</v>
      </c>
      <c r="E3" s="27" t="n">
        <v>55.14633</v>
      </c>
      <c r="F3" s="27" t="n">
        <v>17.17317</v>
      </c>
      <c r="G3" s="27" t="n">
        <v>69.93251</v>
      </c>
      <c r="H3" s="27" t="n">
        <f aca="false">SUM(B3:G3)</f>
        <v>466.96123</v>
      </c>
    </row>
    <row r="4" customFormat="false" ht="15" hidden="false" customHeight="false" outlineLevel="0" collapsed="false">
      <c r="A4" s="26" t="s">
        <v>140</v>
      </c>
      <c r="B4" s="27" t="n">
        <v>189.75065</v>
      </c>
      <c r="C4" s="27" t="n">
        <v>234.67992</v>
      </c>
      <c r="D4" s="27" t="n">
        <v>50.44512</v>
      </c>
      <c r="E4" s="27" t="n">
        <v>53.64521</v>
      </c>
      <c r="F4" s="27" t="n">
        <v>17.73915</v>
      </c>
      <c r="G4" s="27" t="n">
        <v>53.93482</v>
      </c>
      <c r="H4" s="27" t="n">
        <f aca="false">SUM(B4:G4)</f>
        <v>600.19487</v>
      </c>
    </row>
    <row r="5" customFormat="false" ht="15" hidden="false" customHeight="false" outlineLevel="0" collapsed="false">
      <c r="A5" s="26" t="s">
        <v>141</v>
      </c>
      <c r="B5" s="27" t="n">
        <v>137.35813</v>
      </c>
      <c r="C5" s="27" t="n">
        <v>201.48003</v>
      </c>
      <c r="D5" s="27" t="n">
        <v>32.33779</v>
      </c>
      <c r="E5" s="27" t="n">
        <v>102.38496</v>
      </c>
      <c r="F5" s="27" t="n">
        <v>23.68094</v>
      </c>
      <c r="G5" s="27" t="n">
        <v>60.12324</v>
      </c>
      <c r="H5" s="27" t="n">
        <f aca="false">SUM(B5:G5)</f>
        <v>557.36509</v>
      </c>
    </row>
    <row r="6" customFormat="false" ht="15" hidden="false" customHeight="false" outlineLevel="0" collapsed="false">
      <c r="A6" s="26" t="s">
        <v>142</v>
      </c>
      <c r="B6" s="27" t="n">
        <v>74.47592</v>
      </c>
      <c r="C6" s="27" t="n">
        <v>144.38444</v>
      </c>
      <c r="D6" s="27" t="n">
        <v>36.90694</v>
      </c>
      <c r="E6" s="27" t="n">
        <v>104.18603</v>
      </c>
      <c r="F6" s="27" t="n">
        <v>29.89539</v>
      </c>
      <c r="G6" s="27" t="n">
        <v>89.61584</v>
      </c>
      <c r="H6" s="27" t="n">
        <f aca="false">SUM(B6:G6)</f>
        <v>479.46456</v>
      </c>
    </row>
    <row r="7" customFormat="false" ht="15" hidden="false" customHeight="false" outlineLevel="0" collapsed="false">
      <c r="A7" s="26" t="s">
        <v>143</v>
      </c>
      <c r="B7" s="27" t="n">
        <v>177.61076</v>
      </c>
      <c r="C7" s="27" t="n">
        <v>169.31493</v>
      </c>
      <c r="D7" s="27" t="n">
        <v>66.58291</v>
      </c>
      <c r="E7" s="27" t="n">
        <v>65.51391</v>
      </c>
      <c r="F7" s="27" t="n">
        <v>5.70116</v>
      </c>
      <c r="G7" s="27" t="n">
        <v>60.49272</v>
      </c>
      <c r="H7" s="27" t="n">
        <f aca="false">SUM(B7:G7)</f>
        <v>545.21639</v>
      </c>
    </row>
    <row r="8" customFormat="false" ht="15" hidden="false" customHeight="false" outlineLevel="0" collapsed="false">
      <c r="A8" s="26" t="s">
        <v>144</v>
      </c>
      <c r="B8" s="27" t="n">
        <v>136.26442</v>
      </c>
      <c r="C8" s="27" t="n">
        <v>195.44106</v>
      </c>
      <c r="D8" s="27" t="n">
        <v>82.86141</v>
      </c>
      <c r="E8" s="27" t="n">
        <v>86.12688</v>
      </c>
      <c r="F8" s="27" t="n">
        <v>18.54487</v>
      </c>
      <c r="G8" s="27" t="n">
        <v>41.27355</v>
      </c>
      <c r="H8" s="27" t="n">
        <f aca="false">SUM(B8:G8)</f>
        <v>560.51219</v>
      </c>
    </row>
    <row r="9" customFormat="false" ht="15" hidden="false" customHeight="false" outlineLevel="0" collapsed="false">
      <c r="A9" s="26" t="s">
        <v>145</v>
      </c>
      <c r="B9" s="27" t="n">
        <v>169.89268</v>
      </c>
      <c r="C9" s="27" t="n">
        <v>214.5649</v>
      </c>
      <c r="D9" s="27" t="n">
        <v>49.54429</v>
      </c>
      <c r="E9" s="27" t="n">
        <v>74.25776</v>
      </c>
      <c r="F9" s="27" t="n">
        <v>47.75379</v>
      </c>
      <c r="G9" s="27" t="n">
        <v>49.78096</v>
      </c>
      <c r="H9" s="27" t="n">
        <f aca="false">SUM(B9:G9)</f>
        <v>605.79438</v>
      </c>
    </row>
    <row r="10" customFormat="false" ht="15" hidden="false" customHeight="false" outlineLevel="0" collapsed="false">
      <c r="A10" s="26" t="s">
        <v>146</v>
      </c>
      <c r="B10" s="27" t="n">
        <v>140.33473</v>
      </c>
      <c r="C10" s="27" t="n">
        <v>179.79649</v>
      </c>
      <c r="D10" s="27" t="n">
        <v>80.26818</v>
      </c>
      <c r="E10" s="27" t="n">
        <v>101.73381</v>
      </c>
      <c r="F10" s="27" t="n">
        <v>43.13465</v>
      </c>
      <c r="G10" s="27" t="n">
        <v>56.61735</v>
      </c>
      <c r="H10" s="27" t="n">
        <f aca="false">SUM(B10:G10)</f>
        <v>601.88521</v>
      </c>
    </row>
    <row r="11" customFormat="false" ht="15" hidden="false" customHeight="false" outlineLevel="0" collapsed="false">
      <c r="A11" s="26" t="s">
        <v>147</v>
      </c>
      <c r="B11" s="27" t="n">
        <v>109.29475</v>
      </c>
      <c r="C11" s="27" t="n">
        <v>192.19315</v>
      </c>
      <c r="D11" s="27" t="n">
        <v>100.73438</v>
      </c>
      <c r="E11" s="27" t="n">
        <v>94.99111</v>
      </c>
      <c r="F11" s="27" t="n">
        <v>43.98624</v>
      </c>
      <c r="G11" s="27" t="n">
        <v>62.60629</v>
      </c>
      <c r="H11" s="27" t="n">
        <f aca="false">SUM(B11:G11)</f>
        <v>603.80592</v>
      </c>
    </row>
    <row r="12" customFormat="false" ht="15" hidden="false" customHeight="false" outlineLevel="0" collapsed="false">
      <c r="A12" s="26" t="s">
        <v>148</v>
      </c>
      <c r="B12" s="27" t="n">
        <v>65.65912</v>
      </c>
      <c r="C12" s="27" t="n">
        <v>245.67673</v>
      </c>
      <c r="D12" s="27" t="n">
        <v>54.82296</v>
      </c>
      <c r="E12" s="27" t="n">
        <v>221.63523</v>
      </c>
      <c r="F12" s="27" t="n">
        <v>79.81625</v>
      </c>
      <c r="G12" s="27" t="n">
        <v>92.31456</v>
      </c>
      <c r="H12" s="27" t="n">
        <f aca="false">SUM(B12:G12)</f>
        <v>759.92485</v>
      </c>
    </row>
    <row r="13" customFormat="false" ht="15" hidden="false" customHeight="false" outlineLevel="0" collapsed="false">
      <c r="A13" s="26" t="s">
        <v>149</v>
      </c>
      <c r="B13" s="27" t="n">
        <v>95.43514</v>
      </c>
      <c r="C13" s="27" t="n">
        <v>220.74744</v>
      </c>
      <c r="D13" s="27" t="n">
        <v>90.21567</v>
      </c>
      <c r="E13" s="27" t="n">
        <v>251.29469</v>
      </c>
      <c r="F13" s="27" t="n">
        <v>79.43848</v>
      </c>
      <c r="G13" s="27" t="n">
        <v>60.48068</v>
      </c>
      <c r="H13" s="27" t="n">
        <f aca="false">SUM(B13:G13)</f>
        <v>797.6121</v>
      </c>
    </row>
    <row r="14" customFormat="false" ht="15" hidden="false" customHeight="false" outlineLevel="0" collapsed="false">
      <c r="A14" s="26" t="s">
        <v>150</v>
      </c>
      <c r="B14" s="27" t="n">
        <v>92.35376</v>
      </c>
      <c r="C14" s="27" t="n">
        <v>186.01321</v>
      </c>
      <c r="D14" s="27" t="n">
        <v>74.09467</v>
      </c>
      <c r="E14" s="27" t="n">
        <v>243.21215</v>
      </c>
      <c r="F14" s="27" t="n">
        <v>94.17703</v>
      </c>
      <c r="G14" s="27" t="n">
        <v>36.85404</v>
      </c>
      <c r="H14" s="27" t="n">
        <f aca="false">SUM(B14:G14)</f>
        <v>726.70486</v>
      </c>
    </row>
    <row r="15" customFormat="false" ht="15" hidden="false" customHeight="false" outlineLevel="0" collapsed="false">
      <c r="A15" s="26" t="s">
        <v>151</v>
      </c>
      <c r="B15" s="27" t="n">
        <v>98.92372</v>
      </c>
      <c r="C15" s="27" t="n">
        <v>220.15245</v>
      </c>
      <c r="D15" s="27" t="n">
        <v>49.32528</v>
      </c>
      <c r="E15" s="27" t="n">
        <v>165.4937</v>
      </c>
      <c r="F15" s="27" t="n">
        <v>63.00147</v>
      </c>
      <c r="G15" s="27" t="n">
        <v>56.67346</v>
      </c>
      <c r="H15" s="27" t="n">
        <f aca="false">SUM(B15:G15)</f>
        <v>653.57008</v>
      </c>
    </row>
    <row r="16" customFormat="false" ht="15" hidden="false" customHeight="false" outlineLevel="0" collapsed="false">
      <c r="A16" s="26" t="s">
        <v>152</v>
      </c>
      <c r="B16" s="27" t="n">
        <v>111.31933</v>
      </c>
      <c r="C16" s="27" t="n">
        <v>188.11558</v>
      </c>
      <c r="D16" s="27" t="n">
        <v>112.23637</v>
      </c>
      <c r="E16" s="27" t="n">
        <v>140.77917</v>
      </c>
      <c r="F16" s="27" t="n">
        <v>87.25797</v>
      </c>
      <c r="G16" s="27" t="n">
        <v>79.89021</v>
      </c>
      <c r="H16" s="27" t="n">
        <f aca="false">SUM(B16:G16)</f>
        <v>719.59863</v>
      </c>
    </row>
    <row r="17" customFormat="false" ht="15" hidden="false" customHeight="false" outlineLevel="0" collapsed="false">
      <c r="A17" s="26" t="s">
        <v>153</v>
      </c>
      <c r="B17" s="27" t="n">
        <v>109.68859</v>
      </c>
      <c r="C17" s="27" t="n">
        <v>150.41565</v>
      </c>
      <c r="D17" s="27" t="n">
        <v>116.71497</v>
      </c>
      <c r="E17" s="27" t="n">
        <v>123.52315</v>
      </c>
      <c r="F17" s="27" t="n">
        <v>57.05827</v>
      </c>
      <c r="G17" s="27" t="n">
        <v>88.5573</v>
      </c>
      <c r="H17" s="27" t="n">
        <f aca="false">SUM(B17:G17)</f>
        <v>645.95793</v>
      </c>
    </row>
    <row r="18" customFormat="false" ht="15" hidden="false" customHeight="false" outlineLevel="0" collapsed="false">
      <c r="A18" s="26" t="s">
        <v>154</v>
      </c>
      <c r="B18" s="27" t="n">
        <v>132.54488</v>
      </c>
      <c r="C18" s="27" t="n">
        <v>190.01951</v>
      </c>
      <c r="D18" s="27" t="n">
        <v>86.98691</v>
      </c>
      <c r="E18" s="27" t="n">
        <v>106.26102</v>
      </c>
      <c r="F18" s="27" t="n">
        <v>29.43814</v>
      </c>
      <c r="G18" s="27" t="n">
        <v>66.22417</v>
      </c>
      <c r="H18" s="27" t="n">
        <f aca="false">SUM(B18:G18)</f>
        <v>611.47463</v>
      </c>
    </row>
    <row r="19" customFormat="false" ht="15" hidden="false" customHeight="false" outlineLevel="0" collapsed="false">
      <c r="A19" s="26" t="s">
        <v>155</v>
      </c>
      <c r="B19" s="27" t="n">
        <v>142.36202</v>
      </c>
      <c r="C19" s="27" t="n">
        <v>135.75429</v>
      </c>
      <c r="D19" s="27" t="n">
        <v>50.71446</v>
      </c>
      <c r="E19" s="27" t="n">
        <v>131.10547</v>
      </c>
      <c r="F19" s="27" t="n">
        <v>43.88336</v>
      </c>
      <c r="G19" s="27" t="n">
        <v>65.42365</v>
      </c>
      <c r="H19" s="27" t="n">
        <f aca="false">SUM(B19:G19)</f>
        <v>569.24325</v>
      </c>
    </row>
    <row r="20" customFormat="false" ht="15" hidden="false" customHeight="false" outlineLevel="0" collapsed="false">
      <c r="A20" s="26" t="s">
        <v>156</v>
      </c>
      <c r="B20" s="27" t="n">
        <v>88.08174</v>
      </c>
      <c r="C20" s="27" t="n">
        <v>55.55857</v>
      </c>
      <c r="D20" s="27" t="n">
        <v>56.22884</v>
      </c>
      <c r="E20" s="27" t="n">
        <v>155.96929</v>
      </c>
      <c r="F20" s="27" t="n">
        <v>29.51749</v>
      </c>
      <c r="G20" s="27" t="n">
        <v>121.50516</v>
      </c>
      <c r="H20" s="27" t="n">
        <f aca="false">SUM(B20:G20)</f>
        <v>506.86109</v>
      </c>
    </row>
    <row r="21" customFormat="false" ht="15" hidden="false" customHeight="false" outlineLevel="0" collapsed="false">
      <c r="A21" s="26" t="s">
        <v>157</v>
      </c>
      <c r="B21" s="27" t="n">
        <v>168.64626</v>
      </c>
      <c r="C21" s="27" t="n">
        <v>78.34094</v>
      </c>
      <c r="D21" s="27" t="n">
        <v>75.07817</v>
      </c>
      <c r="E21" s="27" t="n">
        <v>152.90741</v>
      </c>
      <c r="F21" s="27" t="n">
        <v>41.11279</v>
      </c>
      <c r="G21" s="27" t="n">
        <v>85.32666</v>
      </c>
      <c r="H21" s="27" t="n">
        <f aca="false">SUM(B21:G21)</f>
        <v>601.41223</v>
      </c>
    </row>
    <row r="22" customFormat="false" ht="15" hidden="false" customHeight="false" outlineLevel="0" collapsed="false">
      <c r="A22" s="26" t="s">
        <v>158</v>
      </c>
      <c r="B22" s="27" t="n">
        <v>79.76774</v>
      </c>
      <c r="C22" s="27" t="n">
        <v>79.49827</v>
      </c>
      <c r="D22" s="27" t="n">
        <v>25.69661</v>
      </c>
      <c r="E22" s="27" t="n">
        <v>109.67039</v>
      </c>
      <c r="F22" s="27" t="n">
        <v>10.67636</v>
      </c>
      <c r="G22" s="27" t="n">
        <v>34.81106</v>
      </c>
      <c r="H22" s="27" t="n">
        <f aca="false">SUM(B22:G22)</f>
        <v>340.12043</v>
      </c>
    </row>
    <row r="23" customFormat="false" ht="15" hidden="false" customHeight="false" outlineLevel="0" collapsed="false">
      <c r="A23" s="26" t="s">
        <v>159</v>
      </c>
      <c r="B23" s="27" t="n">
        <v>122.413</v>
      </c>
      <c r="C23" s="27" t="n">
        <v>86.67798</v>
      </c>
      <c r="D23" s="27" t="n">
        <v>33.03392</v>
      </c>
      <c r="E23" s="27" t="n">
        <v>80.97051</v>
      </c>
      <c r="F23" s="27" t="n">
        <v>19.99143</v>
      </c>
      <c r="G23" s="27" t="n">
        <v>38.53702</v>
      </c>
      <c r="H23" s="27" t="n">
        <f aca="false">SUM(B23:G23)</f>
        <v>381.62386</v>
      </c>
    </row>
    <row r="24" customFormat="false" ht="15" hidden="false" customHeight="false" outlineLevel="0" collapsed="false">
      <c r="A24" s="26" t="s">
        <v>160</v>
      </c>
      <c r="B24" s="27" t="n">
        <v>161.55544</v>
      </c>
      <c r="C24" s="27" t="n">
        <v>95.27582</v>
      </c>
      <c r="D24" s="27" t="n">
        <v>26.30312</v>
      </c>
      <c r="E24" s="27" t="n">
        <v>63.16625</v>
      </c>
      <c r="F24" s="27" t="n">
        <v>13.76937</v>
      </c>
      <c r="G24" s="27" t="n">
        <v>49.41559</v>
      </c>
      <c r="H24" s="27" t="n">
        <f aca="false">SUM(B24:G24)</f>
        <v>409.48559</v>
      </c>
    </row>
    <row r="25" customFormat="false" ht="15" hidden="false" customHeight="false" outlineLevel="0" collapsed="false">
      <c r="A25" s="26" t="s">
        <v>161</v>
      </c>
      <c r="B25" s="27" t="n">
        <v>237.23573</v>
      </c>
      <c r="C25" s="27" t="n">
        <v>175.15075</v>
      </c>
      <c r="D25" s="27" t="n">
        <v>18.89478</v>
      </c>
      <c r="E25" s="27" t="n">
        <v>181.2468</v>
      </c>
      <c r="F25" s="27" t="n">
        <v>16.58851</v>
      </c>
      <c r="G25" s="27" t="n">
        <v>76.23888</v>
      </c>
      <c r="H25" s="27" t="n">
        <f aca="false">SUM(B25:G25)</f>
        <v>705.35545</v>
      </c>
    </row>
    <row r="26" customFormat="false" ht="15" hidden="false" customHeight="false" outlineLevel="0" collapsed="false">
      <c r="A26" s="26" t="s">
        <v>162</v>
      </c>
      <c r="B26" s="27" t="n">
        <v>240.08203</v>
      </c>
      <c r="C26" s="27" t="n">
        <v>73.9672</v>
      </c>
      <c r="D26" s="27" t="n">
        <v>34.35213</v>
      </c>
      <c r="E26" s="27" t="n">
        <v>160.76742</v>
      </c>
      <c r="F26" s="27" t="n">
        <v>2.48436</v>
      </c>
      <c r="G26" s="27" t="n">
        <v>93.77492</v>
      </c>
      <c r="H26" s="27" t="n">
        <f aca="false">SUM(B26:G26)</f>
        <v>605.42806</v>
      </c>
    </row>
    <row r="27" customFormat="false" ht="15" hidden="false" customHeight="false" outlineLevel="0" collapsed="false">
      <c r="A27" s="26" t="s">
        <v>163</v>
      </c>
      <c r="B27" s="27" t="n">
        <v>299.96273</v>
      </c>
      <c r="C27" s="27" t="n">
        <v>137.9121</v>
      </c>
      <c r="D27" s="27" t="n">
        <v>50.19848</v>
      </c>
      <c r="E27" s="27" t="n">
        <v>157.47808</v>
      </c>
      <c r="F27" s="27" t="n">
        <v>59.47498</v>
      </c>
      <c r="G27" s="27" t="n">
        <v>64.61058</v>
      </c>
      <c r="H27" s="27" t="n">
        <f aca="false">SUM(B27:G27)</f>
        <v>769.63695</v>
      </c>
    </row>
    <row r="28" customFormat="false" ht="15" hidden="false" customHeight="false" outlineLevel="0" collapsed="false">
      <c r="A28" s="26" t="s">
        <v>164</v>
      </c>
      <c r="B28" s="27" t="n">
        <v>240.38964</v>
      </c>
      <c r="C28" s="27" t="n">
        <v>128.57203</v>
      </c>
      <c r="D28" s="27" t="n">
        <v>129.51583</v>
      </c>
      <c r="E28" s="27" t="n">
        <v>116.51812</v>
      </c>
      <c r="F28" s="27" t="n">
        <v>45.33921</v>
      </c>
      <c r="G28" s="27" t="n">
        <v>75.94071</v>
      </c>
      <c r="H28" s="27" t="n">
        <f aca="false">SUM(B28:G28)</f>
        <v>736.27554</v>
      </c>
    </row>
    <row r="29" customFormat="false" ht="15" hidden="false" customHeight="false" outlineLevel="0" collapsed="false">
      <c r="A29" s="26" t="s">
        <v>165</v>
      </c>
      <c r="B29" s="27" t="n">
        <v>219.63303</v>
      </c>
      <c r="C29" s="27" t="n">
        <v>149.52299</v>
      </c>
      <c r="D29" s="27" t="n">
        <v>38.42244</v>
      </c>
      <c r="E29" s="27" t="n">
        <v>140.79838</v>
      </c>
      <c r="F29" s="27" t="n">
        <v>29.84314</v>
      </c>
      <c r="G29" s="27" t="n">
        <v>33.52352</v>
      </c>
      <c r="H29" s="27" t="n">
        <f aca="false">SUM(B29:G29)</f>
        <v>611.7435</v>
      </c>
    </row>
    <row r="30" customFormat="false" ht="15" hidden="false" customHeight="false" outlineLevel="0" collapsed="false">
      <c r="A30" s="26" t="s">
        <v>166</v>
      </c>
      <c r="B30" s="27" t="n">
        <v>150.59533</v>
      </c>
      <c r="C30" s="27" t="n">
        <v>161.82668</v>
      </c>
      <c r="D30" s="27" t="n">
        <v>43.14318</v>
      </c>
      <c r="E30" s="27" t="n">
        <v>91.30962</v>
      </c>
      <c r="F30" s="27" t="n">
        <v>20.69849</v>
      </c>
      <c r="G30" s="27" t="n">
        <v>18.45895</v>
      </c>
      <c r="H30" s="27" t="n">
        <f aca="false">SUM(B30:G30)</f>
        <v>486.03225</v>
      </c>
    </row>
    <row r="31" customFormat="false" ht="15" hidden="false" customHeight="false" outlineLevel="0" collapsed="false">
      <c r="A31" s="26" t="s">
        <v>167</v>
      </c>
      <c r="B31" s="27" t="n">
        <v>84.45358</v>
      </c>
      <c r="C31" s="27" t="n">
        <v>168.5904</v>
      </c>
      <c r="D31" s="27" t="n">
        <v>41.77964</v>
      </c>
      <c r="E31" s="27" t="n">
        <v>92.71903</v>
      </c>
      <c r="F31" s="27" t="n">
        <v>38.18263</v>
      </c>
      <c r="G31" s="27" t="n">
        <v>37.48905</v>
      </c>
      <c r="H31" s="27" t="n">
        <f aca="false">SUM(B31:G31)</f>
        <v>463.21433</v>
      </c>
    </row>
    <row r="32" customFormat="false" ht="15" hidden="false" customHeight="false" outlineLevel="0" collapsed="false">
      <c r="A32" s="26" t="s">
        <v>168</v>
      </c>
      <c r="B32" s="27" t="n">
        <v>92.94772</v>
      </c>
      <c r="C32" s="27" t="n">
        <v>107.95477</v>
      </c>
      <c r="D32" s="27" t="n">
        <v>67.35791</v>
      </c>
      <c r="E32" s="27" t="n">
        <v>84.68511</v>
      </c>
      <c r="F32" s="27" t="n">
        <v>11.83629</v>
      </c>
      <c r="G32" s="27" t="n">
        <v>54.0433</v>
      </c>
      <c r="H32" s="27" t="n">
        <f aca="false">SUM(B32:G32)</f>
        <v>418.8251</v>
      </c>
    </row>
    <row r="33" customFormat="false" ht="15" hidden="false" customHeight="false" outlineLevel="0" collapsed="false">
      <c r="A33" s="26" t="s">
        <v>169</v>
      </c>
      <c r="B33" s="27" t="n">
        <v>53.78217</v>
      </c>
      <c r="C33" s="27" t="n">
        <v>175.49524</v>
      </c>
      <c r="D33" s="27" t="n">
        <v>38.14071</v>
      </c>
      <c r="E33" s="27" t="n">
        <v>162.23496</v>
      </c>
      <c r="F33" s="27" t="n">
        <v>12.13526</v>
      </c>
      <c r="G33" s="27" t="n">
        <v>57.74056</v>
      </c>
      <c r="H33" s="27" t="n">
        <f aca="false">SUM(B33:G33)</f>
        <v>499.5289</v>
      </c>
    </row>
    <row r="34" customFormat="false" ht="15" hidden="false" customHeight="false" outlineLevel="0" collapsed="false">
      <c r="A34" s="26" t="s">
        <v>170</v>
      </c>
      <c r="B34" s="27" t="n">
        <v>72.29498</v>
      </c>
      <c r="C34" s="27" t="n">
        <v>111.84467</v>
      </c>
      <c r="D34" s="27" t="n">
        <v>21.2648</v>
      </c>
      <c r="E34" s="27" t="n">
        <v>156.8528</v>
      </c>
      <c r="F34" s="27" t="n">
        <v>21.96253</v>
      </c>
      <c r="G34" s="27" t="n">
        <v>39.15077</v>
      </c>
      <c r="H34" s="27" t="n">
        <f aca="false">SUM(B34:G34)</f>
        <v>423.37055</v>
      </c>
    </row>
    <row r="35" customFormat="false" ht="15" hidden="false" customHeight="false" outlineLevel="0" collapsed="false">
      <c r="A35" s="26" t="s">
        <v>171</v>
      </c>
      <c r="B35" s="27" t="n">
        <v>31.11042</v>
      </c>
      <c r="C35" s="27" t="n">
        <v>75.63393</v>
      </c>
      <c r="D35" s="27" t="n">
        <v>22.87243</v>
      </c>
      <c r="E35" s="27" t="n">
        <v>98.25447</v>
      </c>
      <c r="F35" s="27" t="n">
        <v>24.8987</v>
      </c>
      <c r="G35" s="27" t="n">
        <v>28.55346</v>
      </c>
      <c r="H35" s="27" t="n">
        <f aca="false">SUM(B35:G35)</f>
        <v>281.32341</v>
      </c>
    </row>
    <row r="36" customFormat="false" ht="15" hidden="false" customHeight="false" outlineLevel="0" collapsed="false">
      <c r="A36" s="26" t="s">
        <v>172</v>
      </c>
      <c r="B36" s="27" t="n">
        <v>21.82621</v>
      </c>
      <c r="C36" s="27" t="n">
        <v>71.26313</v>
      </c>
      <c r="D36" s="27" t="n">
        <v>19.79984</v>
      </c>
      <c r="E36" s="27" t="n">
        <v>41.86564</v>
      </c>
      <c r="F36" s="27" t="n">
        <v>19.05118</v>
      </c>
      <c r="G36" s="27" t="n">
        <v>15.34924</v>
      </c>
      <c r="H36" s="27" t="n">
        <f aca="false">SUM(B36:G36)</f>
        <v>189.15524</v>
      </c>
    </row>
    <row r="37" customFormat="false" ht="15" hidden="false" customHeight="false" outlineLevel="0" collapsed="false">
      <c r="A37" s="26" t="s">
        <v>173</v>
      </c>
      <c r="B37" s="27" t="n">
        <v>41.00343</v>
      </c>
      <c r="C37" s="27" t="n">
        <v>209.2005</v>
      </c>
      <c r="D37" s="27" t="n">
        <v>32.89738</v>
      </c>
      <c r="E37" s="27" t="n">
        <v>171.51436</v>
      </c>
      <c r="F37" s="27" t="n">
        <v>9.39268</v>
      </c>
      <c r="G37" s="27" t="n">
        <v>36.24378</v>
      </c>
      <c r="H37" s="27" t="n">
        <f aca="false">SUM(B37:G37)</f>
        <v>500.25213</v>
      </c>
    </row>
    <row r="38" customFormat="false" ht="15" hidden="false" customHeight="false" outlineLevel="0" collapsed="false">
      <c r="A38" s="26" t="s">
        <v>174</v>
      </c>
      <c r="B38" s="27" t="n">
        <v>36.90048</v>
      </c>
      <c r="C38" s="27" t="n">
        <v>147.84993</v>
      </c>
      <c r="D38" s="27" t="n">
        <v>20.66948</v>
      </c>
      <c r="E38" s="27" t="n">
        <v>137.12828</v>
      </c>
      <c r="F38" s="27" t="n">
        <v>22.96586</v>
      </c>
      <c r="G38" s="27" t="n">
        <v>13.89821</v>
      </c>
      <c r="H38" s="27" t="n">
        <f aca="false">SUM(B38:G38)</f>
        <v>379.41224</v>
      </c>
    </row>
    <row r="39" customFormat="false" ht="15" hidden="false" customHeight="false" outlineLevel="0" collapsed="false">
      <c r="A39" s="26" t="s">
        <v>175</v>
      </c>
      <c r="B39" s="27" t="n">
        <v>58.448</v>
      </c>
      <c r="C39" s="27" t="n">
        <v>194.60487</v>
      </c>
      <c r="D39" s="27" t="n">
        <v>29.45157</v>
      </c>
      <c r="E39" s="27" t="n">
        <v>79.46354</v>
      </c>
      <c r="F39" s="27" t="n">
        <v>9.69908</v>
      </c>
      <c r="G39" s="27" t="n">
        <v>29.10332</v>
      </c>
      <c r="H39" s="27" t="n">
        <f aca="false">SUM(B39:G39)</f>
        <v>400.77038</v>
      </c>
    </row>
    <row r="40" customFormat="false" ht="15" hidden="false" customHeight="false" outlineLevel="0" collapsed="false">
      <c r="A40" s="26" t="s">
        <v>176</v>
      </c>
      <c r="B40" s="27" t="n">
        <v>68.61453</v>
      </c>
      <c r="C40" s="27" t="n">
        <v>208.11771</v>
      </c>
      <c r="D40" s="27" t="n">
        <v>57.7705</v>
      </c>
      <c r="E40" s="27" t="n">
        <v>96.25892</v>
      </c>
      <c r="F40" s="27" t="n">
        <v>6.05044</v>
      </c>
      <c r="G40" s="27" t="n">
        <v>40.29941</v>
      </c>
      <c r="H40" s="27" t="n">
        <f aca="false">SUM(B40:G40)</f>
        <v>477.11151</v>
      </c>
    </row>
    <row r="41" customFormat="false" ht="15" hidden="false" customHeight="false" outlineLevel="0" collapsed="false">
      <c r="A41" s="26" t="s">
        <v>177</v>
      </c>
      <c r="B41" s="27" t="n">
        <v>101.27477</v>
      </c>
      <c r="C41" s="27" t="n">
        <v>137.37083</v>
      </c>
      <c r="D41" s="27" t="n">
        <v>32.16528</v>
      </c>
      <c r="E41" s="27" t="n">
        <v>90.98931</v>
      </c>
      <c r="F41" s="27" t="n">
        <v>8.77407</v>
      </c>
      <c r="G41" s="27" t="n">
        <v>30.69989</v>
      </c>
      <c r="H41" s="27" t="n">
        <f aca="false">SUM(B41:G41)</f>
        <v>401.27415</v>
      </c>
    </row>
    <row r="42" customFormat="false" ht="15" hidden="false" customHeight="false" outlineLevel="0" collapsed="false">
      <c r="A42" s="26" t="s">
        <v>178</v>
      </c>
      <c r="B42" s="27" t="n">
        <v>58.29001</v>
      </c>
      <c r="C42" s="27" t="n">
        <v>292.167</v>
      </c>
      <c r="D42" s="27" t="n">
        <v>53.96762</v>
      </c>
      <c r="E42" s="27" t="n">
        <v>104.6876</v>
      </c>
      <c r="F42" s="27" t="n">
        <v>23.82865</v>
      </c>
      <c r="G42" s="27" t="n">
        <v>30.42117</v>
      </c>
      <c r="H42" s="27" t="n">
        <f aca="false">SUM(B42:G42)</f>
        <v>563.36205</v>
      </c>
    </row>
    <row r="43" customFormat="false" ht="15" hidden="false" customHeight="false" outlineLevel="0" collapsed="false">
      <c r="A43" s="26" t="s">
        <v>179</v>
      </c>
      <c r="B43" s="27" t="n">
        <v>59.87699</v>
      </c>
      <c r="C43" s="27" t="n">
        <v>203.3603</v>
      </c>
      <c r="D43" s="27" t="n">
        <v>56.12596</v>
      </c>
      <c r="E43" s="27" t="n">
        <v>93.34431</v>
      </c>
      <c r="F43" s="27" t="n">
        <v>16.27772</v>
      </c>
      <c r="G43" s="27" t="n">
        <v>47.51279</v>
      </c>
      <c r="H43" s="27" t="n">
        <f aca="false">SUM(B43:G43)</f>
        <v>476.49807</v>
      </c>
    </row>
    <row r="44" customFormat="false" ht="15" hidden="false" customHeight="false" outlineLevel="0" collapsed="false">
      <c r="A44" s="26" t="s">
        <v>180</v>
      </c>
      <c r="B44" s="27" t="n">
        <v>151.37569</v>
      </c>
      <c r="C44" s="27" t="n">
        <v>101.74378</v>
      </c>
      <c r="D44" s="27" t="n">
        <v>52.64585</v>
      </c>
      <c r="E44" s="27" t="n">
        <v>116.96628</v>
      </c>
      <c r="F44" s="27" t="n">
        <v>24.55589</v>
      </c>
      <c r="G44" s="27" t="n">
        <v>37.37483</v>
      </c>
      <c r="H44" s="27" t="n">
        <f aca="false">SUM(B44:G44)</f>
        <v>484.66232</v>
      </c>
    </row>
    <row r="45" customFormat="false" ht="15" hidden="false" customHeight="false" outlineLevel="0" collapsed="false">
      <c r="A45" s="26" t="s">
        <v>181</v>
      </c>
      <c r="B45" s="27" t="n">
        <v>58.24748</v>
      </c>
      <c r="C45" s="27" t="n">
        <v>119.33972</v>
      </c>
      <c r="D45" s="27" t="n">
        <v>75.37646</v>
      </c>
      <c r="E45" s="27" t="n">
        <v>141.91996</v>
      </c>
      <c r="F45" s="27" t="n">
        <v>25.60172</v>
      </c>
      <c r="G45" s="27" t="n">
        <v>28.06001</v>
      </c>
      <c r="H45" s="27" t="n">
        <f aca="false">SUM(B45:G45)</f>
        <v>448.54535</v>
      </c>
    </row>
    <row r="46" customFormat="false" ht="15" hidden="false" customHeight="false" outlineLevel="0" collapsed="false">
      <c r="A46" s="26" t="s">
        <v>182</v>
      </c>
      <c r="B46" s="27" t="n">
        <v>106.443</v>
      </c>
      <c r="C46" s="27" t="n">
        <v>111.17828</v>
      </c>
      <c r="D46" s="27" t="n">
        <v>50.46076</v>
      </c>
      <c r="E46" s="27" t="n">
        <v>88.95183</v>
      </c>
      <c r="F46" s="27" t="n">
        <v>28.13107</v>
      </c>
      <c r="G46" s="27" t="n">
        <v>23.55971</v>
      </c>
      <c r="H46" s="27" t="n">
        <f aca="false">SUM(B46:G46)</f>
        <v>408.72465</v>
      </c>
    </row>
    <row r="47" customFormat="false" ht="15" hidden="false" customHeight="false" outlineLevel="0" collapsed="false">
      <c r="A47" s="26" t="s">
        <v>183</v>
      </c>
      <c r="B47" s="27" t="n">
        <v>161.58343</v>
      </c>
      <c r="C47" s="27" t="n">
        <v>163.95161</v>
      </c>
      <c r="D47" s="27" t="n">
        <v>62.63941</v>
      </c>
      <c r="E47" s="27" t="n">
        <v>62.74262</v>
      </c>
      <c r="F47" s="27" t="n">
        <v>22.19087</v>
      </c>
      <c r="G47" s="27" t="n">
        <v>21.22062</v>
      </c>
      <c r="H47" s="27" t="n">
        <f aca="false">SUM(B47:G47)</f>
        <v>494.32856</v>
      </c>
    </row>
    <row r="48" customFormat="false" ht="15" hidden="false" customHeight="false" outlineLevel="0" collapsed="false">
      <c r="A48" s="26" t="s">
        <v>184</v>
      </c>
      <c r="B48" s="27" t="n">
        <v>93.15706</v>
      </c>
      <c r="C48" s="27" t="n">
        <v>243.3588</v>
      </c>
      <c r="D48" s="27" t="n">
        <v>145.40912</v>
      </c>
      <c r="E48" s="27" t="n">
        <v>72.54276</v>
      </c>
      <c r="F48" s="27" t="n">
        <v>31.55304</v>
      </c>
      <c r="G48" s="27" t="n">
        <v>26.87733</v>
      </c>
      <c r="H48" s="27" t="n">
        <f aca="false">SUM(B48:G48)</f>
        <v>612.89811</v>
      </c>
    </row>
    <row r="49" customFormat="false" ht="15" hidden="false" customHeight="false" outlineLevel="0" collapsed="false">
      <c r="A49" s="26" t="s">
        <v>185</v>
      </c>
      <c r="B49" s="27" t="n">
        <v>116.05293</v>
      </c>
      <c r="C49" s="27" t="n">
        <v>250.24687</v>
      </c>
      <c r="D49" s="27" t="n">
        <v>209.71426</v>
      </c>
      <c r="E49" s="27" t="n">
        <v>131.04597</v>
      </c>
      <c r="F49" s="27" t="n">
        <v>54.56622</v>
      </c>
      <c r="G49" s="27" t="n">
        <v>29.36264</v>
      </c>
      <c r="H49" s="27" t="n">
        <f aca="false">SUM(B49:G49)</f>
        <v>790.98889</v>
      </c>
    </row>
    <row r="50" customFormat="false" ht="15" hidden="false" customHeight="false" outlineLevel="0" collapsed="false">
      <c r="A50" s="26" t="s">
        <v>186</v>
      </c>
      <c r="B50" s="27" t="n">
        <v>115.78337</v>
      </c>
      <c r="C50" s="27" t="n">
        <v>232.20743</v>
      </c>
      <c r="D50" s="27" t="n">
        <v>126.20738</v>
      </c>
      <c r="E50" s="27" t="n">
        <v>97.96576</v>
      </c>
      <c r="F50" s="27" t="n">
        <v>86.2001</v>
      </c>
      <c r="G50" s="27" t="n">
        <v>18.5707</v>
      </c>
      <c r="H50" s="27" t="n">
        <f aca="false">SUM(B50:G50)</f>
        <v>676.93474</v>
      </c>
    </row>
    <row r="51" customFormat="false" ht="15" hidden="false" customHeight="false" outlineLevel="0" collapsed="false">
      <c r="A51" s="26" t="s">
        <v>187</v>
      </c>
      <c r="B51" s="27" t="n">
        <v>163.0843</v>
      </c>
      <c r="C51" s="27" t="n">
        <v>248.02878</v>
      </c>
      <c r="D51" s="27" t="n">
        <v>81.31861</v>
      </c>
      <c r="E51" s="27" t="n">
        <v>175.95967</v>
      </c>
      <c r="F51" s="27" t="n">
        <v>31.29383</v>
      </c>
      <c r="G51" s="27" t="n">
        <v>19.97101</v>
      </c>
      <c r="H51" s="27" t="n">
        <f aca="false">SUM(B51:G51)</f>
        <v>719.6562</v>
      </c>
    </row>
    <row r="52" customFormat="false" ht="15" hidden="false" customHeight="false" outlineLevel="0" collapsed="false">
      <c r="A52" s="26" t="s">
        <v>188</v>
      </c>
      <c r="B52" s="27" t="n">
        <v>120.61419</v>
      </c>
      <c r="C52" s="27" t="n">
        <v>242.10168</v>
      </c>
      <c r="D52" s="27" t="n">
        <v>110.04623</v>
      </c>
      <c r="E52" s="27" t="n">
        <v>127.64454</v>
      </c>
      <c r="F52" s="27" t="n">
        <v>8.15982</v>
      </c>
      <c r="G52" s="27" t="n">
        <v>30.82656</v>
      </c>
      <c r="H52" s="27" t="n">
        <f aca="false">SUM(B52:G52)</f>
        <v>639.39302</v>
      </c>
    </row>
    <row r="53" customFormat="false" ht="15" hidden="false" customHeight="false" outlineLevel="0" collapsed="false">
      <c r="A53" s="26" t="s">
        <v>189</v>
      </c>
      <c r="B53" s="27" t="n">
        <v>100.82996</v>
      </c>
      <c r="C53" s="27" t="n">
        <v>237.9886</v>
      </c>
      <c r="D53" s="27" t="n">
        <v>99.12448</v>
      </c>
      <c r="E53" s="27" t="n">
        <v>142.04774</v>
      </c>
      <c r="F53" s="27" t="n">
        <v>25.24654</v>
      </c>
      <c r="G53" s="27" t="n">
        <v>24.76955</v>
      </c>
      <c r="H53" s="27" t="n">
        <f aca="false">SUM(B53:G53)</f>
        <v>630.00687</v>
      </c>
    </row>
    <row r="54" customFormat="false" ht="15" hidden="false" customHeight="false" outlineLevel="0" collapsed="false">
      <c r="A54" s="26" t="s">
        <v>190</v>
      </c>
      <c r="B54" s="27" t="n">
        <v>115.16064</v>
      </c>
      <c r="C54" s="27" t="n">
        <v>120.39103</v>
      </c>
      <c r="D54" s="27" t="n">
        <v>42.25198</v>
      </c>
      <c r="E54" s="27" t="n">
        <v>148.0256</v>
      </c>
      <c r="F54" s="27" t="n">
        <v>22.69109</v>
      </c>
      <c r="G54" s="27" t="n">
        <v>27.62922</v>
      </c>
      <c r="H54" s="27" t="n">
        <f aca="false">SUM(B54:G54)</f>
        <v>476.14956</v>
      </c>
    </row>
    <row r="55" customFormat="false" ht="15" hidden="false" customHeight="false" outlineLevel="0" collapsed="false">
      <c r="A55" s="26" t="s">
        <v>191</v>
      </c>
      <c r="B55" s="27" t="n">
        <v>71.40897</v>
      </c>
      <c r="C55" s="27" t="n">
        <v>149.57906</v>
      </c>
      <c r="D55" s="27" t="n">
        <v>48.40466</v>
      </c>
      <c r="E55" s="27" t="n">
        <v>114.01085</v>
      </c>
      <c r="F55" s="27" t="n">
        <v>62.76415</v>
      </c>
      <c r="G55" s="27" t="n">
        <v>33.13433</v>
      </c>
      <c r="H55" s="27" t="n">
        <f aca="false">SUM(B55:G55)</f>
        <v>479.30202</v>
      </c>
    </row>
    <row r="56" customFormat="false" ht="15" hidden="false" customHeight="false" outlineLevel="0" collapsed="false">
      <c r="A56" s="26" t="s">
        <v>192</v>
      </c>
      <c r="B56" s="27" t="n">
        <v>47.46695</v>
      </c>
      <c r="C56" s="27" t="n">
        <v>144.06241</v>
      </c>
      <c r="D56" s="27" t="n">
        <v>69.47097</v>
      </c>
      <c r="E56" s="27" t="n">
        <v>99.34665</v>
      </c>
      <c r="F56" s="27" t="n">
        <v>72.25668</v>
      </c>
      <c r="G56" s="27" t="n">
        <v>36.68575</v>
      </c>
      <c r="H56" s="27" t="n">
        <f aca="false">SUM(B56:G56)</f>
        <v>469.28941</v>
      </c>
    </row>
    <row r="57" customFormat="false" ht="15" hidden="false" customHeight="false" outlineLevel="0" collapsed="false">
      <c r="A57" s="26" t="s">
        <v>193</v>
      </c>
      <c r="B57" s="27" t="n">
        <v>68.47889</v>
      </c>
      <c r="C57" s="27" t="n">
        <v>160.47021</v>
      </c>
      <c r="D57" s="27" t="n">
        <v>42.92497</v>
      </c>
      <c r="E57" s="27" t="n">
        <v>75.30318</v>
      </c>
      <c r="F57" s="27" t="n">
        <v>38.0883</v>
      </c>
      <c r="G57" s="27" t="n">
        <v>42.72268</v>
      </c>
      <c r="H57" s="27" t="n">
        <f aca="false">SUM(B57:G57)</f>
        <v>427.98823</v>
      </c>
    </row>
    <row r="58" customFormat="false" ht="15" hidden="false" customHeight="false" outlineLevel="0" collapsed="false">
      <c r="A58" s="26" t="s">
        <v>194</v>
      </c>
      <c r="B58" s="27" t="n">
        <v>47.36919</v>
      </c>
      <c r="C58" s="27" t="n">
        <v>124.94941</v>
      </c>
      <c r="D58" s="27" t="n">
        <v>56.22378</v>
      </c>
      <c r="E58" s="27" t="n">
        <v>126.58879</v>
      </c>
      <c r="F58" s="27" t="n">
        <v>41.34567</v>
      </c>
      <c r="G58" s="27" t="n">
        <v>47.16057</v>
      </c>
      <c r="H58" s="27" t="n">
        <f aca="false">SUM(B58:G58)</f>
        <v>443.63741</v>
      </c>
    </row>
    <row r="59" customFormat="false" ht="15" hidden="false" customHeight="false" outlineLevel="0" collapsed="false">
      <c r="A59" s="26" t="s">
        <v>195</v>
      </c>
      <c r="B59" s="27" t="n">
        <v>67.11166</v>
      </c>
      <c r="C59" s="27" t="n">
        <v>115.20692</v>
      </c>
      <c r="D59" s="27" t="n">
        <v>26.15056</v>
      </c>
      <c r="E59" s="27" t="n">
        <v>68.84172</v>
      </c>
      <c r="F59" s="27" t="n">
        <v>67.80341</v>
      </c>
      <c r="G59" s="27" t="n">
        <v>43.54886</v>
      </c>
      <c r="H59" s="27" t="n">
        <f aca="false">SUM(B59:G59)</f>
        <v>388.66313</v>
      </c>
    </row>
    <row r="60" customFormat="false" ht="15" hidden="false" customHeight="false" outlineLevel="0" collapsed="false">
      <c r="A60" s="26" t="s">
        <v>196</v>
      </c>
      <c r="B60" s="27" t="n">
        <v>213.05096</v>
      </c>
      <c r="C60" s="27" t="n">
        <v>146.17479</v>
      </c>
      <c r="D60" s="27" t="n">
        <v>57.06347</v>
      </c>
      <c r="E60" s="27" t="n">
        <v>163.9787</v>
      </c>
      <c r="F60" s="27" t="n">
        <v>46.24103</v>
      </c>
      <c r="G60" s="27" t="n">
        <v>36.94677</v>
      </c>
      <c r="H60" s="27" t="n">
        <f aca="false">SUM(B60:G60)</f>
        <v>663.45572</v>
      </c>
    </row>
    <row r="61" customFormat="false" ht="15" hidden="false" customHeight="false" outlineLevel="0" collapsed="false">
      <c r="A61" s="26" t="s">
        <v>197</v>
      </c>
      <c r="B61" s="27" t="n">
        <v>182.49009</v>
      </c>
      <c r="C61" s="27" t="n">
        <v>213.91851</v>
      </c>
      <c r="D61" s="27" t="n">
        <v>76.62467</v>
      </c>
      <c r="E61" s="27" t="n">
        <v>100.28364</v>
      </c>
      <c r="F61" s="27" t="n">
        <v>100.114</v>
      </c>
      <c r="G61" s="27" t="n">
        <v>28.99221</v>
      </c>
      <c r="H61" s="27" t="n">
        <f aca="false">SUM(B61:G61)</f>
        <v>702.42312</v>
      </c>
    </row>
    <row r="62" customFormat="false" ht="15" hidden="false" customHeight="false" outlineLevel="0" collapsed="false">
      <c r="A62" s="26" t="s">
        <v>198</v>
      </c>
      <c r="B62" s="27" t="n">
        <v>241.28966</v>
      </c>
      <c r="C62" s="27" t="n">
        <v>132.21788</v>
      </c>
      <c r="D62" s="27" t="n">
        <v>68.34488</v>
      </c>
      <c r="E62" s="27" t="n">
        <v>133.91361</v>
      </c>
      <c r="F62" s="27" t="n">
        <v>72.75551</v>
      </c>
      <c r="G62" s="27" t="n">
        <v>17.40501</v>
      </c>
      <c r="H62" s="27" t="n">
        <f aca="false">SUM(B62:G62)</f>
        <v>665.92655</v>
      </c>
    </row>
    <row r="63" customFormat="false" ht="15" hidden="false" customHeight="false" outlineLevel="0" collapsed="false">
      <c r="A63" s="26" t="s">
        <v>199</v>
      </c>
      <c r="B63" s="27" t="n">
        <v>201.39498</v>
      </c>
      <c r="C63" s="27" t="n">
        <v>145.39102</v>
      </c>
      <c r="D63" s="27" t="n">
        <v>93.41232</v>
      </c>
      <c r="E63" s="27" t="n">
        <v>73.79936</v>
      </c>
      <c r="F63" s="27" t="n">
        <v>42.02926</v>
      </c>
      <c r="G63" s="27" t="n">
        <v>19.82295</v>
      </c>
      <c r="H63" s="27" t="n">
        <f aca="false">SUM(B63:G63)</f>
        <v>575.84989</v>
      </c>
    </row>
    <row r="64" customFormat="false" ht="15" hidden="false" customHeight="false" outlineLevel="0" collapsed="false">
      <c r="A64" s="26" t="s">
        <v>200</v>
      </c>
      <c r="B64" s="27" t="n">
        <v>218.99359</v>
      </c>
      <c r="C64" s="27" t="n">
        <v>214.1476</v>
      </c>
      <c r="D64" s="27" t="n">
        <v>96.07756</v>
      </c>
      <c r="E64" s="27" t="n">
        <v>184.68213</v>
      </c>
      <c r="F64" s="27" t="n">
        <v>21.64321</v>
      </c>
      <c r="G64" s="27" t="n">
        <v>42.3119</v>
      </c>
      <c r="H64" s="27" t="n">
        <f aca="false">SUM(B64:G64)</f>
        <v>777.85599</v>
      </c>
    </row>
    <row r="65" customFormat="false" ht="15" hidden="false" customHeight="false" outlineLevel="0" collapsed="false">
      <c r="A65" s="26" t="s">
        <v>201</v>
      </c>
      <c r="B65" s="27" t="n">
        <v>148.32921</v>
      </c>
      <c r="C65" s="27" t="n">
        <v>191.76375</v>
      </c>
      <c r="D65" s="27" t="n">
        <v>68.38842</v>
      </c>
      <c r="E65" s="27" t="n">
        <v>76.96322</v>
      </c>
      <c r="F65" s="27" t="n">
        <v>23.77097</v>
      </c>
      <c r="G65" s="27" t="n">
        <v>27.15091</v>
      </c>
      <c r="H65" s="27" t="n">
        <f aca="false">SUM(B65:G65)</f>
        <v>536.36648</v>
      </c>
    </row>
    <row r="66" customFormat="false" ht="15" hidden="false" customHeight="false" outlineLevel="0" collapsed="false">
      <c r="A66" s="26" t="s">
        <v>202</v>
      </c>
      <c r="B66" s="27" t="n">
        <v>85.11781</v>
      </c>
      <c r="C66" s="27" t="n">
        <v>171.4437</v>
      </c>
      <c r="D66" s="27" t="n">
        <v>72.97948</v>
      </c>
      <c r="E66" s="27" t="n">
        <v>130.22954</v>
      </c>
      <c r="F66" s="27" t="n">
        <v>18.57839</v>
      </c>
      <c r="G66" s="27" t="n">
        <v>21.47879</v>
      </c>
      <c r="H66" s="27" t="n">
        <f aca="false">SUM(B66:G66)</f>
        <v>499.82771</v>
      </c>
    </row>
    <row r="67" customFormat="false" ht="15" hidden="false" customHeight="false" outlineLevel="0" collapsed="false">
      <c r="A67" s="26" t="s">
        <v>203</v>
      </c>
      <c r="B67" s="27" t="n">
        <v>114.98435</v>
      </c>
      <c r="C67" s="27" t="n">
        <v>305.7467</v>
      </c>
      <c r="D67" s="27" t="n">
        <v>78.9844</v>
      </c>
      <c r="E67" s="27" t="n">
        <v>117.96227</v>
      </c>
      <c r="F67" s="27" t="n">
        <v>37.17602</v>
      </c>
      <c r="G67" s="27" t="n">
        <v>50.17384</v>
      </c>
      <c r="H67" s="27" t="n">
        <f aca="false">SUM(B67:G67)</f>
        <v>705.02758</v>
      </c>
    </row>
    <row r="68" customFormat="false" ht="15" hidden="false" customHeight="false" outlineLevel="0" collapsed="false">
      <c r="A68" s="26" t="s">
        <v>204</v>
      </c>
      <c r="B68" s="27" t="n">
        <v>148.58516</v>
      </c>
      <c r="C68" s="27" t="n">
        <v>293.1261</v>
      </c>
      <c r="D68" s="27" t="n">
        <v>138.39442</v>
      </c>
      <c r="E68" s="27" t="n">
        <v>81.18388</v>
      </c>
      <c r="F68" s="27" t="n">
        <v>17.51636</v>
      </c>
      <c r="G68" s="27" t="n">
        <v>39.73678</v>
      </c>
      <c r="H68" s="27" t="n">
        <f aca="false">SUM(B68:G68)</f>
        <v>718.5427</v>
      </c>
    </row>
    <row r="69" customFormat="false" ht="15" hidden="false" customHeight="false" outlineLevel="0" collapsed="false">
      <c r="A69" s="26" t="s">
        <v>205</v>
      </c>
      <c r="B69" s="27" t="n">
        <v>102.68651</v>
      </c>
      <c r="C69" s="27" t="n">
        <v>223.24266</v>
      </c>
      <c r="D69" s="27" t="n">
        <v>123.20106</v>
      </c>
      <c r="E69" s="27" t="n">
        <v>98.77047</v>
      </c>
      <c r="F69" s="27" t="n">
        <v>34.10725</v>
      </c>
      <c r="G69" s="27" t="n">
        <v>42.56438</v>
      </c>
      <c r="H69" s="27" t="n">
        <f aca="false">SUM(B69:G69)</f>
        <v>624.57233</v>
      </c>
    </row>
    <row r="70" customFormat="false" ht="15" hidden="false" customHeight="false" outlineLevel="0" collapsed="false">
      <c r="A70" s="26" t="s">
        <v>206</v>
      </c>
      <c r="B70" s="27" t="n">
        <v>62.25007</v>
      </c>
      <c r="C70" s="27" t="n">
        <v>184.86943</v>
      </c>
      <c r="D70" s="27" t="n">
        <v>98.48982</v>
      </c>
      <c r="E70" s="27" t="n">
        <v>45.06204</v>
      </c>
      <c r="F70" s="27" t="n">
        <v>24.60332</v>
      </c>
      <c r="G70" s="27" t="n">
        <v>41.58064</v>
      </c>
      <c r="H70" s="27" t="n">
        <f aca="false">SUM(B70:G70)</f>
        <v>456.85532</v>
      </c>
    </row>
    <row r="71" customFormat="false" ht="15" hidden="false" customHeight="false" outlineLevel="0" collapsed="false">
      <c r="A71" s="26" t="s">
        <v>207</v>
      </c>
      <c r="B71" s="27" t="n">
        <v>118.55264</v>
      </c>
      <c r="C71" s="27" t="n">
        <v>242.52135</v>
      </c>
      <c r="D71" s="27" t="n">
        <v>79.6559</v>
      </c>
      <c r="E71" s="27" t="n">
        <v>52.46829</v>
      </c>
      <c r="F71" s="27" t="n">
        <v>16.26925</v>
      </c>
      <c r="G71" s="27" t="n">
        <v>38.01881</v>
      </c>
      <c r="H71" s="27" t="n">
        <f aca="false">SUM(B71:G71)</f>
        <v>547.48624</v>
      </c>
    </row>
    <row r="72" customFormat="false" ht="15" hidden="false" customHeight="false" outlineLevel="0" collapsed="false">
      <c r="A72" s="26" t="s">
        <v>208</v>
      </c>
      <c r="B72" s="27" t="n">
        <v>61.67065</v>
      </c>
      <c r="C72" s="27" t="n">
        <v>306.45847</v>
      </c>
      <c r="D72" s="27" t="n">
        <v>57.02988</v>
      </c>
      <c r="E72" s="27" t="n">
        <v>80.6242</v>
      </c>
      <c r="F72" s="27" t="n">
        <v>20.5576</v>
      </c>
      <c r="G72" s="27" t="n">
        <v>13.15041</v>
      </c>
      <c r="H72" s="27" t="n">
        <f aca="false">SUM(B72:G72)</f>
        <v>539.49121</v>
      </c>
    </row>
    <row r="73" customFormat="false" ht="15" hidden="false" customHeight="false" outlineLevel="0" collapsed="false">
      <c r="A73" s="26" t="s">
        <v>209</v>
      </c>
      <c r="B73" s="27" t="n">
        <v>161.56011</v>
      </c>
      <c r="C73" s="27" t="n">
        <v>166.05893</v>
      </c>
      <c r="D73" s="27" t="n">
        <v>87.00539</v>
      </c>
      <c r="E73" s="27" t="n">
        <v>161.29432</v>
      </c>
      <c r="F73" s="27" t="n">
        <v>13.62681</v>
      </c>
      <c r="G73" s="27" t="n">
        <v>21.09222</v>
      </c>
      <c r="H73" s="27" t="n">
        <f aca="false">SUM(B73:G73)</f>
        <v>610.63778</v>
      </c>
    </row>
    <row r="74" customFormat="false" ht="15" hidden="false" customHeight="false" outlineLevel="0" collapsed="false">
      <c r="A74" s="26" t="s">
        <v>210</v>
      </c>
      <c r="B74" s="27" t="n">
        <v>109.48792</v>
      </c>
      <c r="C74" s="27" t="n">
        <v>240.26188</v>
      </c>
      <c r="D74" s="27" t="n">
        <v>53.75485</v>
      </c>
      <c r="E74" s="27" t="n">
        <v>75.98885</v>
      </c>
      <c r="F74" s="27" t="n">
        <v>5.16569</v>
      </c>
      <c r="G74" s="27" t="n">
        <v>22.43779</v>
      </c>
      <c r="H74" s="27" t="n">
        <f aca="false">SUM(B74:G74)</f>
        <v>507.09698</v>
      </c>
    </row>
    <row r="75" customFormat="false" ht="15" hidden="false" customHeight="false" outlineLevel="0" collapsed="false">
      <c r="A75" s="26" t="s">
        <v>211</v>
      </c>
      <c r="B75" s="27" t="n">
        <v>115.75871</v>
      </c>
      <c r="C75" s="27" t="n">
        <v>161.70214</v>
      </c>
      <c r="D75" s="27" t="n">
        <v>85.19184</v>
      </c>
      <c r="E75" s="27" t="n">
        <v>137.18909</v>
      </c>
      <c r="F75" s="27" t="n">
        <v>11.94539</v>
      </c>
      <c r="G75" s="27" t="n">
        <v>21.50544</v>
      </c>
      <c r="H75" s="27" t="n">
        <f aca="false">SUM(B75:G75)</f>
        <v>533.29261</v>
      </c>
    </row>
    <row r="76" customFormat="false" ht="15" hidden="false" customHeight="false" outlineLevel="0" collapsed="false">
      <c r="A76" s="26" t="s">
        <v>212</v>
      </c>
      <c r="B76" s="27" t="n">
        <v>192.82037</v>
      </c>
      <c r="C76" s="27" t="n">
        <v>206.28384</v>
      </c>
      <c r="D76" s="27" t="n">
        <v>193.33335</v>
      </c>
      <c r="E76" s="27" t="n">
        <v>174.58295</v>
      </c>
      <c r="F76" s="27" t="n">
        <v>15.79014</v>
      </c>
      <c r="G76" s="27" t="n">
        <v>68.19567</v>
      </c>
      <c r="H76" s="27" t="n">
        <f aca="false">SUM(B76:G76)</f>
        <v>851.00632</v>
      </c>
    </row>
    <row r="77" customFormat="false" ht="15" hidden="false" customHeight="false" outlineLevel="0" collapsed="false">
      <c r="A77" s="26" t="s">
        <v>213</v>
      </c>
      <c r="B77" s="27" t="n">
        <v>112.34285</v>
      </c>
      <c r="C77" s="27" t="n">
        <v>145.90127</v>
      </c>
      <c r="D77" s="27" t="n">
        <v>231.53006</v>
      </c>
      <c r="E77" s="27" t="n">
        <v>138.74028</v>
      </c>
      <c r="F77" s="27" t="n">
        <v>16.42016</v>
      </c>
      <c r="G77" s="27" t="n">
        <v>126.13501</v>
      </c>
      <c r="H77" s="27" t="n">
        <f aca="false">SUM(B77:G77)</f>
        <v>771.06963</v>
      </c>
    </row>
    <row r="78" customFormat="false" ht="15" hidden="false" customHeight="false" outlineLevel="0" collapsed="false">
      <c r="A78" s="26" t="s">
        <v>214</v>
      </c>
      <c r="B78" s="27" t="n">
        <v>74.02113</v>
      </c>
      <c r="C78" s="27" t="n">
        <v>345.60196</v>
      </c>
      <c r="D78" s="27" t="n">
        <v>106.32998</v>
      </c>
      <c r="E78" s="27" t="n">
        <v>74.47781</v>
      </c>
      <c r="F78" s="27" t="n">
        <v>6.06405</v>
      </c>
      <c r="G78" s="27" t="n">
        <v>97.65183</v>
      </c>
      <c r="H78" s="27" t="n">
        <f aca="false">SUM(B78:G78)</f>
        <v>704.14676</v>
      </c>
    </row>
    <row r="79" customFormat="false" ht="15" hidden="false" customHeight="false" outlineLevel="0" collapsed="false">
      <c r="A79" s="26" t="s">
        <v>215</v>
      </c>
      <c r="B79" s="27" t="n">
        <v>76.36824</v>
      </c>
      <c r="C79" s="27" t="n">
        <v>201.82438</v>
      </c>
      <c r="D79" s="27" t="n">
        <v>116.48715</v>
      </c>
      <c r="E79" s="27" t="n">
        <v>140.05603</v>
      </c>
      <c r="F79" s="27" t="n">
        <v>4.93124</v>
      </c>
      <c r="G79" s="27" t="n">
        <v>87.36602</v>
      </c>
      <c r="H79" s="27" t="n">
        <f aca="false">SUM(B79:G79)</f>
        <v>627.03306</v>
      </c>
    </row>
    <row r="80" customFormat="false" ht="15" hidden="false" customHeight="false" outlineLevel="0" collapsed="false">
      <c r="A80" s="26" t="s">
        <v>216</v>
      </c>
      <c r="B80" s="27" t="n">
        <v>169.84361</v>
      </c>
      <c r="C80" s="27" t="n">
        <v>256.87762</v>
      </c>
      <c r="D80" s="27" t="n">
        <v>145.91965</v>
      </c>
      <c r="E80" s="27" t="n">
        <v>64.19028</v>
      </c>
      <c r="F80" s="27" t="n">
        <v>4.81479</v>
      </c>
      <c r="G80" s="27" t="n">
        <v>124.11383</v>
      </c>
      <c r="H80" s="27" t="n">
        <f aca="false">SUM(B80:G80)</f>
        <v>765.75978</v>
      </c>
    </row>
    <row r="81" customFormat="false" ht="15" hidden="false" customHeight="false" outlineLevel="0" collapsed="false">
      <c r="A81" s="26" t="s">
        <v>217</v>
      </c>
      <c r="B81" s="27" t="n">
        <v>149.94179</v>
      </c>
      <c r="C81" s="27" t="n">
        <v>361.14594</v>
      </c>
      <c r="D81" s="27" t="n">
        <v>126.4172</v>
      </c>
      <c r="E81" s="27" t="n">
        <v>40.12129</v>
      </c>
      <c r="F81" s="27" t="n">
        <v>8.06664</v>
      </c>
      <c r="G81" s="27" t="n">
        <v>163.46154</v>
      </c>
      <c r="H81" s="27" t="n">
        <f aca="false">SUM(B81:G81)</f>
        <v>849.1544</v>
      </c>
    </row>
    <row r="82" customFormat="false" ht="15" hidden="false" customHeight="false" outlineLevel="0" collapsed="false">
      <c r="A82" s="26" t="s">
        <v>218</v>
      </c>
      <c r="B82" s="27" t="n">
        <v>218.83587</v>
      </c>
      <c r="C82" s="27" t="n">
        <v>303.10284</v>
      </c>
      <c r="D82" s="27" t="n">
        <v>52.77067</v>
      </c>
      <c r="E82" s="27" t="n">
        <v>25.38928</v>
      </c>
      <c r="F82" s="27" t="n">
        <v>12.12407</v>
      </c>
      <c r="G82" s="27" t="n">
        <v>162.86048</v>
      </c>
      <c r="H82" s="27" t="n">
        <f aca="false">SUM(B82:G82)</f>
        <v>775.08321</v>
      </c>
    </row>
    <row r="83" customFormat="false" ht="15" hidden="false" customHeight="false" outlineLevel="0" collapsed="false">
      <c r="A83" s="26" t="s">
        <v>219</v>
      </c>
      <c r="B83" s="27" t="n">
        <v>123.14557</v>
      </c>
      <c r="C83" s="27" t="n">
        <v>418.47741</v>
      </c>
      <c r="D83" s="27" t="n">
        <v>57.82726</v>
      </c>
      <c r="E83" s="27" t="n">
        <v>86.3519</v>
      </c>
      <c r="F83" s="27" t="n">
        <v>18.51948</v>
      </c>
      <c r="G83" s="27" t="n">
        <v>98.6162</v>
      </c>
      <c r="H83" s="27" t="n">
        <f aca="false">SUM(B83:G83)</f>
        <v>802.93782</v>
      </c>
    </row>
    <row r="84" customFormat="false" ht="15" hidden="false" customHeight="false" outlineLevel="0" collapsed="false">
      <c r="A84" s="26" t="s">
        <v>220</v>
      </c>
      <c r="B84" s="27" t="n">
        <v>111.55293</v>
      </c>
      <c r="C84" s="27" t="n">
        <v>266.46276</v>
      </c>
      <c r="D84" s="27" t="n">
        <v>58.32504</v>
      </c>
      <c r="E84" s="27" t="n">
        <v>49.41134</v>
      </c>
      <c r="F84" s="27" t="n">
        <v>16.62126</v>
      </c>
      <c r="G84" s="27" t="n">
        <v>76.22414</v>
      </c>
      <c r="H84" s="27" t="n">
        <f aca="false">SUM(B84:G84)</f>
        <v>578.59747</v>
      </c>
    </row>
    <row r="85" customFormat="false" ht="15" hidden="false" customHeight="false" outlineLevel="0" collapsed="false">
      <c r="A85" s="26" t="s">
        <v>221</v>
      </c>
      <c r="B85" s="27" t="n">
        <v>291.01937</v>
      </c>
      <c r="C85" s="27" t="n">
        <v>462.05827</v>
      </c>
      <c r="D85" s="27" t="n">
        <v>105.26755</v>
      </c>
      <c r="E85" s="27" t="n">
        <v>80.07281</v>
      </c>
      <c r="F85" s="27" t="n">
        <v>31.9179</v>
      </c>
      <c r="G85" s="27" t="n">
        <v>49.10521</v>
      </c>
      <c r="H85" s="27" t="n">
        <f aca="false">SUM(B85:G85)</f>
        <v>1019.44111</v>
      </c>
    </row>
    <row r="86" customFormat="false" ht="15" hidden="false" customHeight="false" outlineLevel="0" collapsed="false">
      <c r="A86" s="26" t="s">
        <v>222</v>
      </c>
      <c r="B86" s="27" t="n">
        <v>245.48969</v>
      </c>
      <c r="C86" s="27" t="n">
        <v>282.9638</v>
      </c>
      <c r="D86" s="27" t="n">
        <v>81.97455</v>
      </c>
      <c r="E86" s="27" t="n">
        <v>115.42737</v>
      </c>
      <c r="F86" s="27" t="n">
        <v>30.8298</v>
      </c>
      <c r="G86" s="27" t="n">
        <v>70.28468</v>
      </c>
      <c r="H86" s="27" t="n">
        <f aca="false">SUM(B86:G86)</f>
        <v>826.96989</v>
      </c>
    </row>
    <row r="87" customFormat="false" ht="15" hidden="false" customHeight="false" outlineLevel="0" collapsed="false">
      <c r="A87" s="26" t="s">
        <v>223</v>
      </c>
      <c r="B87" s="27" t="n">
        <v>281.18389</v>
      </c>
      <c r="C87" s="27" t="n">
        <v>284.79253</v>
      </c>
      <c r="D87" s="27" t="n">
        <v>163.52132</v>
      </c>
      <c r="E87" s="27" t="n">
        <v>73.48419</v>
      </c>
      <c r="F87" s="27" t="n">
        <v>30.95038</v>
      </c>
      <c r="G87" s="27" t="n">
        <v>80.2525</v>
      </c>
      <c r="H87" s="27" t="n">
        <f aca="false">SUM(B87:G87)</f>
        <v>914.18481</v>
      </c>
    </row>
    <row r="88" customFormat="false" ht="15" hidden="false" customHeight="false" outlineLevel="0" collapsed="false">
      <c r="A88" s="26" t="s">
        <v>224</v>
      </c>
      <c r="B88" s="27" t="n">
        <v>596.91235</v>
      </c>
      <c r="C88" s="27" t="n">
        <v>252.43471</v>
      </c>
      <c r="D88" s="27" t="n">
        <v>142.56802</v>
      </c>
      <c r="E88" s="27" t="n">
        <v>92.47683</v>
      </c>
      <c r="F88" s="27" t="n">
        <v>35.44067</v>
      </c>
      <c r="G88" s="27" t="n">
        <v>66.4612</v>
      </c>
      <c r="H88" s="27" t="n">
        <f aca="false">SUM(B88:G88)</f>
        <v>1186.29378</v>
      </c>
    </row>
    <row r="89" customFormat="false" ht="15" hidden="false" customHeight="false" outlineLevel="0" collapsed="false">
      <c r="A89" s="26" t="s">
        <v>225</v>
      </c>
      <c r="B89" s="27" t="n">
        <v>352.35827</v>
      </c>
      <c r="C89" s="27" t="n">
        <v>248.62747</v>
      </c>
      <c r="D89" s="27" t="n">
        <v>208.3619</v>
      </c>
      <c r="E89" s="27" t="n">
        <v>111.07077</v>
      </c>
      <c r="F89" s="27" t="n">
        <v>14.2955</v>
      </c>
      <c r="G89" s="27" t="n">
        <v>68.66093</v>
      </c>
      <c r="H89" s="27" t="n">
        <f aca="false">SUM(B89:G89)</f>
        <v>1003.37484</v>
      </c>
    </row>
    <row r="90" customFormat="false" ht="15" hidden="false" customHeight="false" outlineLevel="0" collapsed="false">
      <c r="A90" s="26" t="s">
        <v>226</v>
      </c>
      <c r="B90" s="27" t="n">
        <v>448.55967</v>
      </c>
      <c r="C90" s="27" t="n">
        <v>165.7889</v>
      </c>
      <c r="D90" s="27" t="n">
        <v>164.92598</v>
      </c>
      <c r="E90" s="27" t="n">
        <v>84.11262</v>
      </c>
      <c r="F90" s="27" t="n">
        <v>15.06951</v>
      </c>
      <c r="G90" s="27" t="n">
        <v>57.37582</v>
      </c>
      <c r="H90" s="27" t="n">
        <f aca="false">SUM(B90:G90)</f>
        <v>935.8325</v>
      </c>
    </row>
    <row r="91" customFormat="false" ht="15" hidden="false" customHeight="false" outlineLevel="0" collapsed="false">
      <c r="A91" s="26" t="s">
        <v>227</v>
      </c>
      <c r="B91" s="27" t="n">
        <v>448.88043</v>
      </c>
      <c r="C91" s="27" t="n">
        <v>162.27396</v>
      </c>
      <c r="D91" s="27" t="n">
        <v>99.35777</v>
      </c>
      <c r="E91" s="27" t="n">
        <v>168.91626</v>
      </c>
      <c r="F91" s="27" t="n">
        <v>11.54956</v>
      </c>
      <c r="G91" s="27" t="n">
        <v>75.92682</v>
      </c>
      <c r="H91" s="27" t="n">
        <f aca="false">SUM(B91:G91)</f>
        <v>966.9048</v>
      </c>
    </row>
    <row r="92" customFormat="false" ht="15" hidden="false" customHeight="false" outlineLevel="0" collapsed="false">
      <c r="A92" s="26" t="s">
        <v>228</v>
      </c>
      <c r="B92" s="27" t="n">
        <v>352.26317</v>
      </c>
      <c r="C92" s="27" t="n">
        <v>107.88167</v>
      </c>
      <c r="D92" s="27" t="n">
        <v>102.23981</v>
      </c>
      <c r="E92" s="27" t="n">
        <v>177.35041</v>
      </c>
      <c r="F92" s="27" t="n">
        <v>13.51285</v>
      </c>
      <c r="G92" s="27" t="n">
        <v>91.47551</v>
      </c>
      <c r="H92" s="27" t="n">
        <f aca="false">SUM(B92:G92)</f>
        <v>844.72342</v>
      </c>
    </row>
    <row r="93" customFormat="false" ht="15" hidden="false" customHeight="false" outlineLevel="0" collapsed="false">
      <c r="A93" s="26" t="s">
        <v>229</v>
      </c>
      <c r="B93" s="27" t="n">
        <v>385.13621</v>
      </c>
      <c r="C93" s="27" t="n">
        <v>124.72911</v>
      </c>
      <c r="D93" s="27" t="n">
        <v>91.72279</v>
      </c>
      <c r="E93" s="27" t="n">
        <v>118.75289</v>
      </c>
      <c r="F93" s="27" t="n">
        <v>11.33437</v>
      </c>
      <c r="G93" s="27" t="n">
        <v>98.56982</v>
      </c>
      <c r="H93" s="27" t="n">
        <f aca="false">SUM(B93:G93)</f>
        <v>830.24519</v>
      </c>
    </row>
    <row r="94" customFormat="false" ht="15" hidden="false" customHeight="false" outlineLevel="0" collapsed="false">
      <c r="A94" s="26" t="s">
        <v>230</v>
      </c>
      <c r="B94" s="27" t="n">
        <v>247.66589</v>
      </c>
      <c r="C94" s="27" t="n">
        <v>237.35137</v>
      </c>
      <c r="D94" s="27" t="n">
        <v>103.48291</v>
      </c>
      <c r="E94" s="27" t="n">
        <v>94.69454</v>
      </c>
      <c r="F94" s="27" t="n">
        <v>19.35022</v>
      </c>
      <c r="G94" s="27" t="n">
        <v>146.1804</v>
      </c>
      <c r="H94" s="27" t="n">
        <f aca="false">SUM(B94:G94)</f>
        <v>848.72533</v>
      </c>
    </row>
    <row r="95" customFormat="false" ht="15" hidden="false" customHeight="false" outlineLevel="0" collapsed="false">
      <c r="A95" s="26" t="s">
        <v>231</v>
      </c>
      <c r="B95" s="27" t="n">
        <v>303.06557</v>
      </c>
      <c r="C95" s="27" t="n">
        <v>165.60405</v>
      </c>
      <c r="D95" s="27" t="n">
        <v>110.32244</v>
      </c>
      <c r="E95" s="27" t="n">
        <v>68.14592</v>
      </c>
      <c r="F95" s="27" t="n">
        <v>40.8308</v>
      </c>
      <c r="G95" s="27" t="n">
        <v>154.45993</v>
      </c>
      <c r="H95" s="27" t="n">
        <f aca="false">SUM(B95:G95)</f>
        <v>842.42871</v>
      </c>
    </row>
    <row r="96" customFormat="false" ht="15" hidden="false" customHeight="false" outlineLevel="0" collapsed="false">
      <c r="A96" s="26" t="s">
        <v>232</v>
      </c>
      <c r="B96" s="27" t="n">
        <v>425.92821</v>
      </c>
      <c r="C96" s="27" t="n">
        <v>233.39912</v>
      </c>
      <c r="D96" s="27" t="n">
        <v>119.56428</v>
      </c>
      <c r="E96" s="27" t="n">
        <v>111.26658</v>
      </c>
      <c r="F96" s="27" t="n">
        <v>41.04871</v>
      </c>
      <c r="G96" s="27" t="n">
        <v>154.39937</v>
      </c>
      <c r="H96" s="27" t="n">
        <f aca="false">SUM(B96:G96)</f>
        <v>1085.60627</v>
      </c>
    </row>
    <row r="97" customFormat="false" ht="15" hidden="false" customHeight="false" outlineLevel="0" collapsed="false">
      <c r="A97" s="26" t="s">
        <v>233</v>
      </c>
      <c r="B97" s="27" t="n">
        <v>471.67676</v>
      </c>
      <c r="C97" s="27" t="n">
        <v>240.52266</v>
      </c>
      <c r="D97" s="27" t="n">
        <v>274.68778</v>
      </c>
      <c r="E97" s="27" t="n">
        <v>102.50098</v>
      </c>
      <c r="F97" s="27" t="n">
        <v>25.25626</v>
      </c>
      <c r="G97" s="27" t="n">
        <v>167.55588</v>
      </c>
      <c r="H97" s="27" t="n">
        <f aca="false">SUM(B97:G97)</f>
        <v>1282.20032</v>
      </c>
    </row>
    <row r="98" customFormat="false" ht="15" hidden="false" customHeight="false" outlineLevel="0" collapsed="false">
      <c r="A98" s="26" t="s">
        <v>234</v>
      </c>
      <c r="B98" s="27" t="n">
        <v>560.97525</v>
      </c>
      <c r="C98" s="27" t="n">
        <v>134.00321</v>
      </c>
      <c r="D98" s="27" t="n">
        <v>265.41942</v>
      </c>
      <c r="E98" s="27" t="n">
        <v>112.89629</v>
      </c>
      <c r="F98" s="27" t="n">
        <v>35.9694</v>
      </c>
      <c r="G98" s="27" t="n">
        <v>191.4904</v>
      </c>
      <c r="H98" s="27" t="n">
        <f aca="false">SUM(B98:G98)</f>
        <v>1300.75397</v>
      </c>
    </row>
    <row r="99" customFormat="false" ht="15" hidden="false" customHeight="false" outlineLevel="0" collapsed="false">
      <c r="A99" s="26" t="s">
        <v>235</v>
      </c>
      <c r="B99" s="27" t="n">
        <v>498.95617</v>
      </c>
      <c r="C99" s="27" t="n">
        <v>204.54896</v>
      </c>
      <c r="D99" s="27" t="n">
        <v>189.4436</v>
      </c>
      <c r="E99" s="27" t="n">
        <v>125.86396</v>
      </c>
      <c r="F99" s="27" t="n">
        <v>26.72354</v>
      </c>
      <c r="G99" s="27" t="n">
        <v>141.96266</v>
      </c>
      <c r="H99" s="27" t="n">
        <f aca="false">SUM(B99:G99)</f>
        <v>1187.49889</v>
      </c>
    </row>
    <row r="100" customFormat="false" ht="15" hidden="false" customHeight="false" outlineLevel="0" collapsed="false">
      <c r="A100" s="26" t="s">
        <v>236</v>
      </c>
      <c r="B100" s="27" t="n">
        <v>614.69146</v>
      </c>
      <c r="C100" s="27" t="n">
        <v>169.45882</v>
      </c>
      <c r="D100" s="27" t="n">
        <v>283.05961</v>
      </c>
      <c r="E100" s="27" t="n">
        <v>86.1041</v>
      </c>
      <c r="F100" s="27" t="n">
        <v>30.09413</v>
      </c>
      <c r="G100" s="27" t="n">
        <v>161.14679</v>
      </c>
      <c r="H100" s="27" t="n">
        <f aca="false">SUM(B100:G100)</f>
        <v>1344.55491</v>
      </c>
    </row>
    <row r="101" customFormat="false" ht="15" hidden="false" customHeight="false" outlineLevel="0" collapsed="false">
      <c r="A101" s="26" t="s">
        <v>237</v>
      </c>
      <c r="B101" s="27" t="n">
        <v>418.53174</v>
      </c>
      <c r="C101" s="27" t="n">
        <v>119.92535</v>
      </c>
      <c r="D101" s="27" t="n">
        <v>291.36878</v>
      </c>
      <c r="E101" s="27" t="n">
        <v>90.87884</v>
      </c>
      <c r="F101" s="27" t="n">
        <v>27.5818</v>
      </c>
      <c r="G101" s="27" t="n">
        <v>106.97827</v>
      </c>
      <c r="H101" s="27" t="n">
        <f aca="false">SUM(B101:G101)</f>
        <v>1055.26478</v>
      </c>
    </row>
    <row r="102" customFormat="false" ht="15" hidden="false" customHeight="false" outlineLevel="0" collapsed="false">
      <c r="A102" s="26" t="s">
        <v>238</v>
      </c>
      <c r="B102" s="27" t="n">
        <v>465.53321</v>
      </c>
      <c r="C102" s="27" t="n">
        <v>168.27798</v>
      </c>
      <c r="D102" s="27" t="n">
        <v>286.45199</v>
      </c>
      <c r="E102" s="27" t="n">
        <v>78.35533</v>
      </c>
      <c r="F102" s="27" t="n">
        <v>34.83567</v>
      </c>
      <c r="G102" s="27" t="n">
        <v>137.657</v>
      </c>
      <c r="H102" s="27" t="n">
        <f aca="false">SUM(B102:G102)</f>
        <v>1171.11118</v>
      </c>
    </row>
    <row r="103" customFormat="false" ht="15" hidden="false" customHeight="false" outlineLevel="0" collapsed="false">
      <c r="A103" s="26" t="s">
        <v>239</v>
      </c>
      <c r="B103" s="27" t="n">
        <v>309.01366</v>
      </c>
      <c r="C103" s="27" t="n">
        <v>93.03243</v>
      </c>
      <c r="D103" s="27" t="n">
        <v>352.30421</v>
      </c>
      <c r="E103" s="27" t="n">
        <v>52.24097</v>
      </c>
      <c r="F103" s="27" t="n">
        <v>58.86667</v>
      </c>
      <c r="G103" s="27" t="n">
        <v>90.62262</v>
      </c>
      <c r="H103" s="27" t="n">
        <f aca="false">SUM(B103:G103)</f>
        <v>956.08056</v>
      </c>
    </row>
    <row r="104" customFormat="false" ht="15" hidden="false" customHeight="false" outlineLevel="0" collapsed="false">
      <c r="A104" s="26" t="s">
        <v>240</v>
      </c>
      <c r="B104" s="27" t="n">
        <v>229.86573</v>
      </c>
      <c r="C104" s="27" t="n">
        <v>181.56218</v>
      </c>
      <c r="D104" s="27" t="n">
        <v>262.8603</v>
      </c>
      <c r="E104" s="27" t="n">
        <v>57.71287</v>
      </c>
      <c r="F104" s="27" t="n">
        <v>30.99823</v>
      </c>
      <c r="G104" s="27" t="n">
        <v>102.72067</v>
      </c>
      <c r="H104" s="27" t="n">
        <f aca="false">SUM(B104:G104)</f>
        <v>865.71998</v>
      </c>
    </row>
    <row r="105" customFormat="false" ht="15" hidden="false" customHeight="false" outlineLevel="0" collapsed="false">
      <c r="A105" s="26" t="s">
        <v>241</v>
      </c>
      <c r="B105" s="27" t="n">
        <v>252.32568</v>
      </c>
      <c r="C105" s="27" t="n">
        <v>248.21712</v>
      </c>
      <c r="D105" s="27" t="n">
        <v>400.08929</v>
      </c>
      <c r="E105" s="27" t="n">
        <v>106.2262</v>
      </c>
      <c r="F105" s="27" t="n">
        <v>63.69546</v>
      </c>
      <c r="G105" s="27" t="n">
        <v>72.78933</v>
      </c>
      <c r="H105" s="27" t="n">
        <f aca="false">SUM(B105:G105)</f>
        <v>1143.34308</v>
      </c>
    </row>
    <row r="106" customFormat="false" ht="15" hidden="false" customHeight="false" outlineLevel="0" collapsed="false">
      <c r="A106" s="26" t="s">
        <v>242</v>
      </c>
      <c r="B106" s="27" t="n">
        <v>309.11951</v>
      </c>
      <c r="C106" s="27" t="n">
        <v>204.53887</v>
      </c>
      <c r="D106" s="27" t="n">
        <v>188.5745</v>
      </c>
      <c r="E106" s="27" t="n">
        <v>88.02712</v>
      </c>
      <c r="F106" s="27" t="n">
        <v>49.23041</v>
      </c>
      <c r="G106" s="27" t="n">
        <v>79.75465</v>
      </c>
      <c r="H106" s="27" t="n">
        <f aca="false">SUM(B106:G106)</f>
        <v>919.24506</v>
      </c>
    </row>
    <row r="107" customFormat="false" ht="15" hidden="false" customHeight="false" outlineLevel="0" collapsed="false">
      <c r="A107" s="26" t="s">
        <v>243</v>
      </c>
      <c r="B107" s="27" t="n">
        <v>250.20814</v>
      </c>
      <c r="C107" s="27" t="n">
        <v>176.87561</v>
      </c>
      <c r="D107" s="27" t="n">
        <v>135.23886</v>
      </c>
      <c r="E107" s="27" t="n">
        <v>188.00702</v>
      </c>
      <c r="F107" s="27" t="n">
        <v>66.79783</v>
      </c>
      <c r="G107" s="27" t="n">
        <v>153.36304</v>
      </c>
      <c r="H107" s="27" t="n">
        <f aca="false">SUM(B107:G107)</f>
        <v>970.4905</v>
      </c>
    </row>
    <row r="108" customFormat="false" ht="15" hidden="false" customHeight="false" outlineLevel="0" collapsed="false">
      <c r="A108" s="26" t="s">
        <v>244</v>
      </c>
      <c r="B108" s="27" t="n">
        <v>185.84881</v>
      </c>
      <c r="C108" s="27" t="n">
        <v>158.10824</v>
      </c>
      <c r="D108" s="27" t="n">
        <v>156.52073</v>
      </c>
      <c r="E108" s="27" t="n">
        <v>124.06188</v>
      </c>
      <c r="F108" s="27" t="n">
        <v>35.74505</v>
      </c>
      <c r="G108" s="27" t="n">
        <v>160.71642</v>
      </c>
      <c r="H108" s="27" t="n">
        <f aca="false">SUM(B108:G108)</f>
        <v>821.00113</v>
      </c>
    </row>
    <row r="109" customFormat="false" ht="15" hidden="false" customHeight="false" outlineLevel="0" collapsed="false">
      <c r="A109" s="26" t="s">
        <v>245</v>
      </c>
      <c r="B109" s="27" t="n">
        <v>251.82086</v>
      </c>
      <c r="C109" s="27" t="n">
        <v>165.89683</v>
      </c>
      <c r="D109" s="27" t="n">
        <v>222.21561</v>
      </c>
      <c r="E109" s="27" t="n">
        <v>209.29548</v>
      </c>
      <c r="F109" s="27" t="n">
        <v>48.42637</v>
      </c>
      <c r="G109" s="27" t="n">
        <v>160.81138</v>
      </c>
      <c r="H109" s="27" t="n">
        <f aca="false">SUM(B109:G109)</f>
        <v>1058.46653</v>
      </c>
    </row>
    <row r="110" customFormat="false" ht="15" hidden="false" customHeight="false" outlineLevel="0" collapsed="false">
      <c r="A110" s="26" t="s">
        <v>246</v>
      </c>
      <c r="B110" s="27" t="n">
        <v>203.88474</v>
      </c>
      <c r="C110" s="27" t="n">
        <v>230.06733</v>
      </c>
      <c r="D110" s="27" t="n">
        <v>198.41741</v>
      </c>
      <c r="E110" s="27" t="n">
        <v>175.35246</v>
      </c>
      <c r="F110" s="27" t="n">
        <v>20.60285</v>
      </c>
      <c r="G110" s="27" t="n">
        <v>60.85436</v>
      </c>
      <c r="H110" s="27" t="n">
        <f aca="false">SUM(B110:G110)</f>
        <v>889.17915</v>
      </c>
    </row>
    <row r="111" customFormat="false" ht="15" hidden="false" customHeight="false" outlineLevel="0" collapsed="false">
      <c r="A111" s="26" t="s">
        <v>247</v>
      </c>
      <c r="B111" s="27" t="n">
        <v>185.22975</v>
      </c>
      <c r="C111" s="27" t="n">
        <v>395.9908</v>
      </c>
      <c r="D111" s="27" t="n">
        <v>194.03199</v>
      </c>
      <c r="E111" s="27" t="n">
        <v>262.08311</v>
      </c>
      <c r="F111" s="27" t="n">
        <v>53.02344</v>
      </c>
      <c r="G111" s="27" t="n">
        <v>75.06157</v>
      </c>
      <c r="H111" s="27" t="n">
        <f aca="false">SUM(B111:G111)</f>
        <v>1165.42066</v>
      </c>
    </row>
    <row r="112" customFormat="false" ht="15" hidden="false" customHeight="false" outlineLevel="0" collapsed="false">
      <c r="A112" s="26" t="s">
        <v>248</v>
      </c>
      <c r="B112" s="27" t="n">
        <v>163.95081</v>
      </c>
      <c r="C112" s="27" t="n">
        <v>492.07047</v>
      </c>
      <c r="D112" s="27" t="n">
        <v>353.8478</v>
      </c>
      <c r="E112" s="27" t="n">
        <v>192.10934</v>
      </c>
      <c r="F112" s="27" t="n">
        <v>25.9189</v>
      </c>
      <c r="G112" s="27" t="n">
        <v>71.19378</v>
      </c>
      <c r="H112" s="27" t="n">
        <f aca="false">SUM(B112:G112)</f>
        <v>1299.0911</v>
      </c>
    </row>
    <row r="113" customFormat="false" ht="15" hidden="false" customHeight="false" outlineLevel="0" collapsed="false">
      <c r="A113" s="26" t="s">
        <v>249</v>
      </c>
      <c r="B113" s="27" t="n">
        <v>154.4357</v>
      </c>
      <c r="C113" s="27" t="n">
        <v>161.88073</v>
      </c>
      <c r="D113" s="27" t="n">
        <v>155.5846</v>
      </c>
      <c r="E113" s="27" t="n">
        <v>316.28224</v>
      </c>
      <c r="F113" s="27" t="n">
        <v>19.59245</v>
      </c>
      <c r="G113" s="27" t="n">
        <v>53.89116</v>
      </c>
      <c r="H113" s="27" t="n">
        <f aca="false">SUM(B113:G113)</f>
        <v>861.66688</v>
      </c>
    </row>
    <row r="114" customFormat="false" ht="15" hidden="false" customHeight="false" outlineLevel="0" collapsed="false">
      <c r="A114" s="26" t="s">
        <v>250</v>
      </c>
      <c r="B114" s="27" t="n">
        <v>118.75264</v>
      </c>
      <c r="C114" s="27" t="n">
        <v>125.24344</v>
      </c>
      <c r="D114" s="27" t="n">
        <v>197.30231</v>
      </c>
      <c r="E114" s="27" t="n">
        <v>257.17969</v>
      </c>
      <c r="F114" s="27" t="n">
        <v>23.1912</v>
      </c>
      <c r="G114" s="27" t="n">
        <v>21.83953</v>
      </c>
      <c r="H114" s="27" t="n">
        <f aca="false">SUM(B114:G114)</f>
        <v>743.50881</v>
      </c>
    </row>
    <row r="115" customFormat="false" ht="15" hidden="false" customHeight="false" outlineLevel="0" collapsed="false">
      <c r="A115" s="26" t="s">
        <v>251</v>
      </c>
      <c r="B115" s="27" t="n">
        <v>135.69691</v>
      </c>
      <c r="C115" s="27" t="n">
        <v>291.36525</v>
      </c>
      <c r="D115" s="27" t="n">
        <v>292.10384</v>
      </c>
      <c r="E115" s="27" t="n">
        <v>392.53077</v>
      </c>
      <c r="F115" s="27" t="n">
        <v>21.45105</v>
      </c>
      <c r="G115" s="27" t="n">
        <v>78.4744</v>
      </c>
      <c r="H115" s="27" t="n">
        <f aca="false">SUM(B115:G115)</f>
        <v>1211.62222</v>
      </c>
    </row>
    <row r="116" customFormat="false" ht="15" hidden="false" customHeight="false" outlineLevel="0" collapsed="false">
      <c r="A116" s="26" t="s">
        <v>252</v>
      </c>
      <c r="B116" s="27" t="n">
        <v>91.28388</v>
      </c>
      <c r="C116" s="27" t="n">
        <v>194.42861</v>
      </c>
      <c r="D116" s="27" t="n">
        <v>289.83172</v>
      </c>
      <c r="E116" s="27" t="n">
        <v>230.58831</v>
      </c>
      <c r="F116" s="27" t="n">
        <v>26.76523</v>
      </c>
      <c r="G116" s="27" t="n">
        <v>87.58953</v>
      </c>
      <c r="H116" s="27" t="n">
        <f aca="false">SUM(B116:G116)</f>
        <v>920.48728</v>
      </c>
    </row>
    <row r="117" customFormat="false" ht="15" hidden="false" customHeight="false" outlineLevel="0" collapsed="false">
      <c r="A117" s="26" t="s">
        <v>253</v>
      </c>
      <c r="B117" s="27" t="n">
        <v>96.60767</v>
      </c>
      <c r="C117" s="27" t="n">
        <v>286.18408</v>
      </c>
      <c r="D117" s="27" t="n">
        <v>366.77439</v>
      </c>
      <c r="E117" s="27" t="n">
        <v>237.91823</v>
      </c>
      <c r="F117" s="27" t="n">
        <v>6.80458</v>
      </c>
      <c r="G117" s="27" t="n">
        <v>56.17944</v>
      </c>
      <c r="H117" s="27" t="n">
        <f aca="false">SUM(B117:G117)</f>
        <v>1050.46839</v>
      </c>
    </row>
    <row r="118" customFormat="false" ht="15" hidden="false" customHeight="false" outlineLevel="0" collapsed="false">
      <c r="A118" s="26" t="s">
        <v>254</v>
      </c>
      <c r="B118" s="27" t="n">
        <v>145.24535</v>
      </c>
      <c r="C118" s="27" t="n">
        <v>360.43111</v>
      </c>
      <c r="D118" s="27" t="n">
        <v>283.93361</v>
      </c>
      <c r="E118" s="27" t="n">
        <v>208.93606</v>
      </c>
      <c r="F118" s="27" t="n">
        <v>12.49378</v>
      </c>
      <c r="G118" s="27" t="n">
        <v>44.11939</v>
      </c>
      <c r="H118" s="27" t="n">
        <f aca="false">SUM(B118:G118)</f>
        <v>1055.1593</v>
      </c>
    </row>
    <row r="119" customFormat="false" ht="15" hidden="false" customHeight="false" outlineLevel="0" collapsed="false">
      <c r="A119" s="26" t="s">
        <v>255</v>
      </c>
      <c r="B119" s="27" t="n">
        <v>124.40893</v>
      </c>
      <c r="C119" s="27" t="n">
        <v>374.33292</v>
      </c>
      <c r="D119" s="27" t="n">
        <v>183.82695</v>
      </c>
      <c r="E119" s="27" t="n">
        <v>236.74498</v>
      </c>
      <c r="F119" s="27" t="n">
        <v>19.3563</v>
      </c>
      <c r="G119" s="27" t="n">
        <v>95.89469</v>
      </c>
      <c r="H119" s="27" t="n">
        <f aca="false">SUM(B119:G119)</f>
        <v>1034.56477</v>
      </c>
    </row>
    <row r="120" customFormat="false" ht="15" hidden="false" customHeight="false" outlineLevel="0" collapsed="false">
      <c r="A120" s="26" t="s">
        <v>256</v>
      </c>
      <c r="B120" s="27" t="n">
        <v>117.28821</v>
      </c>
      <c r="C120" s="27" t="n">
        <v>434.3643</v>
      </c>
      <c r="D120" s="27" t="n">
        <v>248.22443</v>
      </c>
      <c r="E120" s="27" t="n">
        <v>181.65716</v>
      </c>
      <c r="F120" s="27" t="n">
        <v>9.48338</v>
      </c>
      <c r="G120" s="27" t="n">
        <v>46.5659</v>
      </c>
      <c r="H120" s="27" t="n">
        <f aca="false">SUM(B120:G120)</f>
        <v>1037.58338</v>
      </c>
    </row>
    <row r="121" customFormat="false" ht="15" hidden="false" customHeight="false" outlineLevel="0" collapsed="false">
      <c r="A121" s="26" t="s">
        <v>257</v>
      </c>
      <c r="B121" s="27" t="n">
        <v>100.46717</v>
      </c>
      <c r="C121" s="27" t="n">
        <v>553.62106</v>
      </c>
      <c r="D121" s="27" t="n">
        <v>379.79034</v>
      </c>
      <c r="E121" s="27" t="n">
        <v>267.60911</v>
      </c>
      <c r="F121" s="27" t="n">
        <v>26.84566</v>
      </c>
      <c r="G121" s="27" t="n">
        <v>46.35411</v>
      </c>
      <c r="H121" s="27" t="n">
        <f aca="false">SUM(B121:G121)</f>
        <v>1374.68745</v>
      </c>
    </row>
    <row r="122" customFormat="false" ht="15" hidden="false" customHeight="false" outlineLevel="0" collapsed="false">
      <c r="A122" s="26" t="s">
        <v>258</v>
      </c>
      <c r="B122" s="27" t="n">
        <v>178.11558</v>
      </c>
      <c r="C122" s="27" t="n">
        <v>243.94743</v>
      </c>
      <c r="D122" s="27" t="n">
        <v>231.40846</v>
      </c>
      <c r="E122" s="27" t="n">
        <v>130.94568</v>
      </c>
      <c r="F122" s="27" t="n">
        <v>35.63974</v>
      </c>
      <c r="G122" s="27" t="n">
        <v>27.70978</v>
      </c>
      <c r="H122" s="27" t="n">
        <f aca="false">SUM(B122:G122)</f>
        <v>847.76667</v>
      </c>
    </row>
    <row r="123" customFormat="false" ht="15" hidden="false" customHeight="false" outlineLevel="0" collapsed="false">
      <c r="A123" s="26" t="s">
        <v>259</v>
      </c>
      <c r="B123" s="27" t="n">
        <v>357.77663</v>
      </c>
      <c r="C123" s="27" t="n">
        <v>278.92231</v>
      </c>
      <c r="D123" s="27" t="n">
        <v>363.24249</v>
      </c>
      <c r="E123" s="27" t="n">
        <v>226.45009</v>
      </c>
      <c r="F123" s="27" t="n">
        <v>47.22455</v>
      </c>
      <c r="G123" s="27" t="n">
        <v>52.54776</v>
      </c>
      <c r="H123" s="27" t="n">
        <f aca="false">SUM(B123:G123)</f>
        <v>1326.16383</v>
      </c>
    </row>
    <row r="124" customFormat="false" ht="15" hidden="false" customHeight="false" outlineLevel="0" collapsed="false">
      <c r="A124" s="26" t="s">
        <v>260</v>
      </c>
      <c r="B124" s="27" t="n">
        <v>286.36242</v>
      </c>
      <c r="C124" s="27" t="n">
        <v>287.78119</v>
      </c>
      <c r="D124" s="27" t="n">
        <v>359.95803</v>
      </c>
      <c r="E124" s="27" t="n">
        <v>210.91248</v>
      </c>
      <c r="F124" s="27" t="n">
        <v>27.82734</v>
      </c>
      <c r="G124" s="27" t="n">
        <v>50.38228</v>
      </c>
      <c r="H124" s="27" t="n">
        <f aca="false">SUM(B124:G124)</f>
        <v>1223.22374</v>
      </c>
    </row>
    <row r="125" customFormat="false" ht="15" hidden="false" customHeight="false" outlineLevel="0" collapsed="false">
      <c r="A125" s="26" t="s">
        <v>261</v>
      </c>
      <c r="B125" s="27" t="n">
        <v>314.63843</v>
      </c>
      <c r="C125" s="27" t="n">
        <v>129.78025</v>
      </c>
      <c r="D125" s="27" t="n">
        <v>293.49317</v>
      </c>
      <c r="E125" s="27" t="n">
        <v>191.92998</v>
      </c>
      <c r="F125" s="27" t="n">
        <v>29.72598</v>
      </c>
      <c r="G125" s="27" t="n">
        <v>5.94575</v>
      </c>
      <c r="H125" s="27" t="n">
        <f aca="false">SUM(B125:G125)</f>
        <v>965.51356</v>
      </c>
    </row>
    <row r="126" customFormat="false" ht="15" hidden="false" customHeight="false" outlineLevel="0" collapsed="false">
      <c r="A126" s="26" t="s">
        <v>262</v>
      </c>
      <c r="B126" s="27" t="n">
        <v>327.20349</v>
      </c>
      <c r="C126" s="27" t="n">
        <v>197.16416</v>
      </c>
      <c r="D126" s="27" t="n">
        <v>340.33386</v>
      </c>
      <c r="E126" s="27" t="n">
        <v>143.18531</v>
      </c>
      <c r="F126" s="27" t="n">
        <v>25.5213</v>
      </c>
      <c r="G126" s="27" t="n">
        <v>46.44274</v>
      </c>
      <c r="H126" s="27" t="n">
        <f aca="false">SUM(B126:G126)</f>
        <v>1079.85086</v>
      </c>
    </row>
    <row r="127" customFormat="false" ht="15" hidden="false" customHeight="false" outlineLevel="0" collapsed="false">
      <c r="A127" s="26" t="s">
        <v>263</v>
      </c>
      <c r="B127" s="27" t="n">
        <v>260.86149</v>
      </c>
      <c r="C127" s="27" t="n">
        <v>324.89805</v>
      </c>
      <c r="D127" s="27" t="n">
        <v>312.98708</v>
      </c>
      <c r="E127" s="27" t="n">
        <v>166.68296</v>
      </c>
      <c r="F127" s="27" t="n">
        <v>18.01675</v>
      </c>
      <c r="G127" s="27" t="n">
        <v>51.28815</v>
      </c>
      <c r="H127" s="27" t="n">
        <f aca="false">SUM(B127:G127)</f>
        <v>1134.73448</v>
      </c>
    </row>
    <row r="128" customFormat="false" ht="15" hidden="false" customHeight="false" outlineLevel="0" collapsed="false">
      <c r="A128" s="26" t="s">
        <v>264</v>
      </c>
      <c r="B128" s="27" t="n">
        <v>246.01235</v>
      </c>
      <c r="C128" s="27" t="n">
        <v>262.59596</v>
      </c>
      <c r="D128" s="27" t="n">
        <v>294.5227</v>
      </c>
      <c r="E128" s="27" t="n">
        <v>162.03335</v>
      </c>
      <c r="F128" s="27" t="n">
        <v>14.99288</v>
      </c>
      <c r="G128" s="27" t="n">
        <v>47.11656</v>
      </c>
      <c r="H128" s="27" t="n">
        <f aca="false">SUM(B128:G128)</f>
        <v>1027.2738</v>
      </c>
    </row>
    <row r="129" customFormat="false" ht="15" hidden="false" customHeight="false" outlineLevel="0" collapsed="false">
      <c r="A129" s="26" t="s">
        <v>265</v>
      </c>
      <c r="B129" s="27" t="n">
        <v>72.74594</v>
      </c>
      <c r="C129" s="27" t="n">
        <v>160.39558</v>
      </c>
      <c r="D129" s="27" t="n">
        <v>431.72001</v>
      </c>
      <c r="E129" s="27" t="n">
        <v>64.24247</v>
      </c>
      <c r="F129" s="27" t="n">
        <v>18.34808</v>
      </c>
      <c r="G129" s="27" t="n">
        <v>61.628</v>
      </c>
      <c r="H129" s="27" t="n">
        <f aca="false">SUM(B129:G129)</f>
        <v>809.08008</v>
      </c>
    </row>
    <row r="130" customFormat="false" ht="15" hidden="false" customHeight="false" outlineLevel="0" collapsed="false">
      <c r="A130" s="26" t="s">
        <v>266</v>
      </c>
      <c r="B130" s="27" t="n">
        <v>93.2293</v>
      </c>
      <c r="C130" s="27" t="n">
        <v>257.94689</v>
      </c>
      <c r="D130" s="27" t="n">
        <v>432.94763</v>
      </c>
      <c r="E130" s="27" t="n">
        <v>48.74821</v>
      </c>
      <c r="F130" s="27" t="n">
        <v>26.58707</v>
      </c>
      <c r="G130" s="27" t="n">
        <v>88.18949</v>
      </c>
      <c r="H130" s="27" t="n">
        <f aca="false">SUM(B130:G130)</f>
        <v>947.64859</v>
      </c>
    </row>
    <row r="131" customFormat="false" ht="15" hidden="false" customHeight="false" outlineLevel="0" collapsed="false">
      <c r="A131" s="26" t="s">
        <v>267</v>
      </c>
      <c r="B131" s="27" t="n">
        <v>147.9088</v>
      </c>
      <c r="C131" s="27" t="n">
        <v>184.79877</v>
      </c>
      <c r="D131" s="27" t="n">
        <v>372.24532</v>
      </c>
      <c r="E131" s="27" t="n">
        <v>66.94653</v>
      </c>
      <c r="F131" s="27" t="n">
        <v>30.9971</v>
      </c>
      <c r="G131" s="27" t="n">
        <v>107.88048</v>
      </c>
      <c r="H131" s="27" t="n">
        <f aca="false">SUM(B131:G131)</f>
        <v>910.777</v>
      </c>
    </row>
    <row r="132" customFormat="false" ht="15" hidden="false" customHeight="false" outlineLevel="0" collapsed="false">
      <c r="A132" s="26" t="s">
        <v>268</v>
      </c>
      <c r="B132" s="27" t="n">
        <v>206.53861</v>
      </c>
      <c r="C132" s="27" t="n">
        <v>312.41438</v>
      </c>
      <c r="D132" s="27" t="n">
        <v>336.04964</v>
      </c>
      <c r="E132" s="27" t="n">
        <v>97.7953</v>
      </c>
      <c r="F132" s="27" t="n">
        <v>19.61551</v>
      </c>
      <c r="G132" s="27" t="n">
        <v>84.32079</v>
      </c>
      <c r="H132" s="27" t="n">
        <f aca="false">SUM(B132:G132)</f>
        <v>1056.73423</v>
      </c>
    </row>
    <row r="133" customFormat="false" ht="15" hidden="false" customHeight="false" outlineLevel="0" collapsed="false">
      <c r="A133" s="26" t="s">
        <v>269</v>
      </c>
      <c r="B133" s="27" t="n">
        <v>415.85032</v>
      </c>
      <c r="C133" s="27" t="n">
        <v>384.039</v>
      </c>
      <c r="D133" s="27" t="n">
        <v>414.34911</v>
      </c>
      <c r="E133" s="27" t="n">
        <v>120.28325</v>
      </c>
      <c r="F133" s="27" t="n">
        <v>37.51287</v>
      </c>
      <c r="G133" s="27" t="n">
        <v>131.32023</v>
      </c>
      <c r="H133" s="27" t="n">
        <f aca="false">SUM(B133:G133)</f>
        <v>1503.35478</v>
      </c>
    </row>
    <row r="134" customFormat="false" ht="15" hidden="false" customHeight="false" outlineLevel="0" collapsed="false">
      <c r="A134" s="26" t="s">
        <v>270</v>
      </c>
      <c r="B134" s="27" t="n">
        <v>465.62167</v>
      </c>
      <c r="C134" s="27" t="n">
        <v>284.96661</v>
      </c>
      <c r="D134" s="27" t="n">
        <v>419.24903</v>
      </c>
      <c r="E134" s="27" t="n">
        <v>73.51389</v>
      </c>
      <c r="F134" s="27" t="n">
        <v>34.73081</v>
      </c>
      <c r="G134" s="27" t="n">
        <v>148.08004</v>
      </c>
      <c r="H134" s="27" t="n">
        <f aca="false">SUM(B134:G134)</f>
        <v>1426.16205</v>
      </c>
    </row>
    <row r="135" customFormat="false" ht="15" hidden="false" customHeight="false" outlineLevel="0" collapsed="false">
      <c r="A135" s="26" t="s">
        <v>271</v>
      </c>
      <c r="B135" s="27" t="n">
        <v>379.2269</v>
      </c>
      <c r="C135" s="27" t="n">
        <v>378.76369</v>
      </c>
      <c r="D135" s="27" t="n">
        <v>424.68102</v>
      </c>
      <c r="E135" s="27" t="n">
        <v>62.3243</v>
      </c>
      <c r="F135" s="27" t="n">
        <v>32.22547</v>
      </c>
      <c r="G135" s="27" t="n">
        <v>181.09963</v>
      </c>
      <c r="H135" s="27" t="n">
        <f aca="false">SUM(B135:G135)</f>
        <v>1458.32101</v>
      </c>
    </row>
    <row r="136" customFormat="false" ht="15" hidden="false" customHeight="false" outlineLevel="0" collapsed="false">
      <c r="A136" s="26" t="s">
        <v>272</v>
      </c>
      <c r="B136" s="27" t="n">
        <v>400.52098</v>
      </c>
      <c r="C136" s="27" t="n">
        <v>253.66958</v>
      </c>
      <c r="D136" s="27" t="n">
        <v>487.89427</v>
      </c>
      <c r="E136" s="27" t="n">
        <v>156.50514</v>
      </c>
      <c r="F136" s="27" t="n">
        <v>29.77292</v>
      </c>
      <c r="G136" s="27" t="n">
        <v>96.26343</v>
      </c>
      <c r="H136" s="27" t="n">
        <f aca="false">SUM(B136:G136)</f>
        <v>1424.62632</v>
      </c>
    </row>
    <row r="137" customFormat="false" ht="15" hidden="false" customHeight="false" outlineLevel="0" collapsed="false">
      <c r="A137" s="26" t="s">
        <v>273</v>
      </c>
      <c r="B137" s="27" t="n">
        <v>496.33123</v>
      </c>
      <c r="C137" s="27" t="n">
        <v>271.89162</v>
      </c>
      <c r="D137" s="27" t="n">
        <v>753.02069</v>
      </c>
      <c r="E137" s="27" t="n">
        <v>201.34026</v>
      </c>
      <c r="F137" s="27" t="n">
        <v>34.89706</v>
      </c>
      <c r="G137" s="27" t="n">
        <v>121.13378</v>
      </c>
      <c r="H137" s="27" t="n">
        <f aca="false">SUM(B137:G137)</f>
        <v>1878.61464</v>
      </c>
    </row>
    <row r="138" customFormat="false" ht="15" hidden="false" customHeight="false" outlineLevel="0" collapsed="false">
      <c r="A138" s="26" t="s">
        <v>274</v>
      </c>
      <c r="B138" s="27" t="n">
        <v>220.21029</v>
      </c>
      <c r="C138" s="27" t="n">
        <v>269.70366</v>
      </c>
      <c r="D138" s="27" t="n">
        <v>631.62643</v>
      </c>
      <c r="E138" s="27" t="n">
        <v>110.58802</v>
      </c>
      <c r="F138" s="27" t="n">
        <v>28.3286</v>
      </c>
      <c r="G138" s="27" t="n">
        <v>64.36311</v>
      </c>
      <c r="H138" s="27" t="n">
        <f aca="false">SUM(B138:G138)</f>
        <v>1324.82011</v>
      </c>
    </row>
    <row r="139" customFormat="false" ht="15" hidden="false" customHeight="false" outlineLevel="0" collapsed="false">
      <c r="A139" s="26" t="s">
        <v>275</v>
      </c>
      <c r="B139" s="27" t="n">
        <v>307.99526</v>
      </c>
      <c r="C139" s="27" t="n">
        <v>328.50627</v>
      </c>
      <c r="D139" s="27" t="n">
        <v>841.92467</v>
      </c>
      <c r="E139" s="27" t="n">
        <v>142.98085</v>
      </c>
      <c r="F139" s="27" t="n">
        <v>33.51206</v>
      </c>
      <c r="G139" s="27" t="n">
        <v>73.56972</v>
      </c>
      <c r="H139" s="27" t="n">
        <f aca="false">SUM(B139:G139)</f>
        <v>1728.48883</v>
      </c>
    </row>
    <row r="140" customFormat="false" ht="15" hidden="false" customHeight="false" outlineLevel="0" collapsed="false">
      <c r="A140" s="26" t="s">
        <v>276</v>
      </c>
      <c r="B140" s="27" t="n">
        <v>283.18738</v>
      </c>
      <c r="C140" s="27" t="n">
        <v>511.03574</v>
      </c>
      <c r="D140" s="27" t="n">
        <v>644.29097</v>
      </c>
      <c r="E140" s="27" t="n">
        <v>173.67106</v>
      </c>
      <c r="F140" s="27" t="n">
        <v>20.6834</v>
      </c>
      <c r="G140" s="27" t="n">
        <v>103.38757</v>
      </c>
      <c r="H140" s="27" t="n">
        <f aca="false">SUM(B140:G140)</f>
        <v>1736.25612</v>
      </c>
    </row>
    <row r="141" customFormat="false" ht="15" hidden="false" customHeight="false" outlineLevel="0" collapsed="false">
      <c r="A141" s="26" t="s">
        <v>277</v>
      </c>
      <c r="B141" s="27" t="n">
        <v>343.54232</v>
      </c>
      <c r="C141" s="27" t="n">
        <v>528.90985</v>
      </c>
      <c r="D141" s="27" t="n">
        <v>495.0602</v>
      </c>
      <c r="E141" s="27" t="n">
        <v>163.51581</v>
      </c>
      <c r="F141" s="27" t="n">
        <v>48.94196</v>
      </c>
      <c r="G141" s="27" t="n">
        <v>110.79319</v>
      </c>
      <c r="H141" s="27" t="n">
        <f aca="false">SUM(B141:G141)</f>
        <v>1690.76333</v>
      </c>
    </row>
    <row r="142" customFormat="false" ht="15" hidden="false" customHeight="false" outlineLevel="0" collapsed="false">
      <c r="A142" s="26" t="s">
        <v>278</v>
      </c>
      <c r="B142" s="27" t="n">
        <v>313.94355</v>
      </c>
      <c r="C142" s="27" t="n">
        <v>320.55407</v>
      </c>
      <c r="D142" s="27" t="n">
        <v>550.66427</v>
      </c>
      <c r="E142" s="27" t="n">
        <v>310.46484</v>
      </c>
      <c r="F142" s="27" t="n">
        <v>62.28361</v>
      </c>
      <c r="G142" s="27" t="n">
        <v>127.02913</v>
      </c>
      <c r="H142" s="27" t="n">
        <f aca="false">SUM(B142:G142)</f>
        <v>1684.93947</v>
      </c>
    </row>
    <row r="143" customFormat="false" ht="15" hidden="false" customHeight="false" outlineLevel="0" collapsed="false">
      <c r="A143" s="26" t="s">
        <v>279</v>
      </c>
      <c r="B143" s="27" t="n">
        <v>317.20456</v>
      </c>
      <c r="C143" s="27" t="n">
        <v>424.38796</v>
      </c>
      <c r="D143" s="27" t="n">
        <v>573.71189</v>
      </c>
      <c r="E143" s="27" t="n">
        <v>239.13269</v>
      </c>
      <c r="F143" s="27" t="n">
        <v>61.7961</v>
      </c>
      <c r="G143" s="27" t="n">
        <v>75.302</v>
      </c>
      <c r="H143" s="27" t="n">
        <f aca="false">SUM(B143:G143)</f>
        <v>1691.5352</v>
      </c>
    </row>
    <row r="144" customFormat="false" ht="15" hidden="false" customHeight="false" outlineLevel="0" collapsed="false">
      <c r="A144" s="26" t="s">
        <v>280</v>
      </c>
      <c r="B144" s="27" t="n">
        <v>358.95265</v>
      </c>
      <c r="C144" s="27" t="n">
        <v>465.13464</v>
      </c>
      <c r="D144" s="27" t="n">
        <v>765.80907</v>
      </c>
      <c r="E144" s="27" t="n">
        <v>196.81996</v>
      </c>
      <c r="F144" s="27" t="n">
        <v>59.52799</v>
      </c>
      <c r="G144" s="27" t="n">
        <v>72.14427</v>
      </c>
      <c r="H144" s="27" t="n">
        <f aca="false">SUM(B144:G144)</f>
        <v>1918.38858</v>
      </c>
    </row>
    <row r="145" customFormat="false" ht="15" hidden="false" customHeight="false" outlineLevel="0" collapsed="false">
      <c r="A145" s="26" t="s">
        <v>281</v>
      </c>
      <c r="B145" s="27" t="n">
        <v>387.30966</v>
      </c>
      <c r="C145" s="27" t="n">
        <v>486.18817</v>
      </c>
      <c r="D145" s="27" t="n">
        <v>755.73689</v>
      </c>
      <c r="E145" s="27" t="n">
        <v>339.55988</v>
      </c>
      <c r="F145" s="27" t="n">
        <v>75.62079</v>
      </c>
      <c r="G145" s="27" t="n">
        <v>163.95246</v>
      </c>
      <c r="H145" s="27" t="n">
        <f aca="false">SUM(B145:G145)</f>
        <v>2208.36785</v>
      </c>
    </row>
    <row r="146" customFormat="false" ht="15" hidden="false" customHeight="false" outlineLevel="0" collapsed="false">
      <c r="A146" s="26" t="s">
        <v>282</v>
      </c>
      <c r="B146" s="27" t="n">
        <v>316.98955</v>
      </c>
      <c r="C146" s="27" t="n">
        <v>285.86596</v>
      </c>
      <c r="D146" s="27" t="n">
        <v>672.18897</v>
      </c>
      <c r="E146" s="27" t="n">
        <v>323.04077</v>
      </c>
      <c r="F146" s="27" t="n">
        <v>47.76523</v>
      </c>
      <c r="G146" s="27" t="n">
        <v>73.96103</v>
      </c>
      <c r="H146" s="27" t="n">
        <f aca="false">SUM(B146:G146)</f>
        <v>1719.81151</v>
      </c>
    </row>
    <row r="147" customFormat="false" ht="15" hidden="false" customHeight="false" outlineLevel="0" collapsed="false">
      <c r="A147" s="26" t="s">
        <v>283</v>
      </c>
      <c r="B147" s="27" t="n">
        <v>333.85505</v>
      </c>
      <c r="C147" s="27" t="n">
        <v>340.21339</v>
      </c>
      <c r="D147" s="27" t="n">
        <v>578.2725</v>
      </c>
      <c r="E147" s="27" t="n">
        <v>259.37343</v>
      </c>
      <c r="F147" s="27" t="n">
        <v>110.26398</v>
      </c>
      <c r="G147" s="27" t="n">
        <v>105.24221</v>
      </c>
      <c r="H147" s="27" t="n">
        <f aca="false">SUM(B147:G147)</f>
        <v>1727.22056</v>
      </c>
    </row>
    <row r="148" customFormat="false" ht="15" hidden="false" customHeight="false" outlineLevel="0" collapsed="false">
      <c r="A148" s="26" t="s">
        <v>284</v>
      </c>
      <c r="B148" s="27" t="n">
        <v>551.74677</v>
      </c>
      <c r="C148" s="27" t="n">
        <v>559.05467</v>
      </c>
      <c r="D148" s="27" t="n">
        <v>694.65206</v>
      </c>
      <c r="E148" s="27" t="n">
        <v>337.23403</v>
      </c>
      <c r="F148" s="27" t="n">
        <v>251.93363</v>
      </c>
      <c r="G148" s="27" t="n">
        <v>121.77351</v>
      </c>
      <c r="H148" s="27" t="n">
        <f aca="false">SUM(B148:G148)</f>
        <v>2516.39467</v>
      </c>
    </row>
    <row r="149" customFormat="false" ht="15" hidden="false" customHeight="false" outlineLevel="0" collapsed="false">
      <c r="A149" s="26" t="s">
        <v>285</v>
      </c>
      <c r="B149" s="27" t="n">
        <v>343.61179</v>
      </c>
      <c r="C149" s="27" t="n">
        <v>469.66541</v>
      </c>
      <c r="D149" s="27" t="n">
        <v>346.47969</v>
      </c>
      <c r="E149" s="27" t="n">
        <v>244.44939</v>
      </c>
      <c r="F149" s="27" t="n">
        <v>378.5399</v>
      </c>
      <c r="G149" s="27" t="n">
        <v>162.84315</v>
      </c>
      <c r="H149" s="27" t="n">
        <f aca="false">SUM(B149:G149)</f>
        <v>1945.58933</v>
      </c>
    </row>
    <row r="150" customFormat="false" ht="15" hidden="false" customHeight="false" outlineLevel="0" collapsed="false">
      <c r="A150" s="26" t="s">
        <v>286</v>
      </c>
      <c r="B150" s="27" t="n">
        <v>322.41561</v>
      </c>
      <c r="C150" s="27" t="n">
        <v>416.02687</v>
      </c>
      <c r="D150" s="27" t="n">
        <v>467.43239</v>
      </c>
      <c r="E150" s="27" t="n">
        <v>186.20019</v>
      </c>
      <c r="F150" s="27" t="n">
        <v>269.37005</v>
      </c>
      <c r="G150" s="27" t="n">
        <v>91.12754</v>
      </c>
      <c r="H150" s="27" t="n">
        <f aca="false">SUM(B150:G150)</f>
        <v>1752.57265</v>
      </c>
    </row>
    <row r="151" customFormat="false" ht="15" hidden="false" customHeight="false" outlineLevel="0" collapsed="false">
      <c r="A151" s="26" t="s">
        <v>287</v>
      </c>
      <c r="B151" s="27" t="n">
        <v>398.31967</v>
      </c>
      <c r="C151" s="27" t="n">
        <v>498.6068</v>
      </c>
      <c r="D151" s="27" t="n">
        <v>634.40254</v>
      </c>
      <c r="E151" s="27" t="n">
        <v>235.52815</v>
      </c>
      <c r="F151" s="27" t="n">
        <v>179.9808</v>
      </c>
      <c r="G151" s="27" t="n">
        <v>88.5401</v>
      </c>
      <c r="H151" s="27" t="n">
        <f aca="false">SUM(B151:G151)</f>
        <v>2035.37806</v>
      </c>
    </row>
    <row r="152" customFormat="false" ht="15" hidden="false" customHeight="false" outlineLevel="0" collapsed="false">
      <c r="A152" s="26" t="s">
        <v>288</v>
      </c>
      <c r="B152" s="27" t="n">
        <v>328.86179</v>
      </c>
      <c r="C152" s="27" t="n">
        <v>628.92908</v>
      </c>
      <c r="D152" s="27" t="n">
        <v>651.83773</v>
      </c>
      <c r="E152" s="27" t="n">
        <v>370.06295</v>
      </c>
      <c r="F152" s="27" t="n">
        <v>180.08002</v>
      </c>
      <c r="G152" s="27" t="n">
        <v>196.12305</v>
      </c>
      <c r="H152" s="27" t="n">
        <f aca="false">SUM(B152:G152)</f>
        <v>2355.89462</v>
      </c>
    </row>
    <row r="153" customFormat="false" ht="15" hidden="false" customHeight="false" outlineLevel="0" collapsed="false">
      <c r="A153" s="26" t="s">
        <v>289</v>
      </c>
      <c r="B153" s="27" t="n">
        <v>272.51133</v>
      </c>
      <c r="C153" s="27" t="n">
        <v>485.03364</v>
      </c>
      <c r="D153" s="27" t="n">
        <v>672.82412</v>
      </c>
      <c r="E153" s="27" t="n">
        <v>327.16427</v>
      </c>
      <c r="F153" s="27" t="n">
        <v>84.95036</v>
      </c>
      <c r="G153" s="27" t="n">
        <v>255.13001</v>
      </c>
      <c r="H153" s="27" t="n">
        <f aca="false">SUM(B153:G153)</f>
        <v>2097.61373</v>
      </c>
    </row>
    <row r="154" customFormat="false" ht="15" hidden="false" customHeight="false" outlineLevel="0" collapsed="false">
      <c r="A154" s="26" t="s">
        <v>290</v>
      </c>
      <c r="B154" s="27" t="n">
        <v>331.65484</v>
      </c>
      <c r="C154" s="27" t="n">
        <v>478.57063</v>
      </c>
      <c r="D154" s="27" t="n">
        <v>885.23553</v>
      </c>
      <c r="E154" s="27" t="n">
        <v>200.26184</v>
      </c>
      <c r="F154" s="27" t="n">
        <v>149.43865</v>
      </c>
      <c r="G154" s="27" t="n">
        <v>224.08931</v>
      </c>
      <c r="H154" s="27" t="n">
        <f aca="false">SUM(B154:G154)</f>
        <v>2269.2508</v>
      </c>
    </row>
    <row r="155" customFormat="false" ht="15" hidden="false" customHeight="false" outlineLevel="0" collapsed="false">
      <c r="A155" s="26" t="s">
        <v>291</v>
      </c>
      <c r="B155" s="27" t="n">
        <v>254.72299</v>
      </c>
      <c r="C155" s="27" t="n">
        <v>650.38115</v>
      </c>
      <c r="D155" s="27" t="n">
        <v>584.54571</v>
      </c>
      <c r="E155" s="27" t="n">
        <v>299.99898</v>
      </c>
      <c r="F155" s="27" t="n">
        <v>140.99381</v>
      </c>
      <c r="G155" s="27" t="n">
        <v>125.86976</v>
      </c>
      <c r="H155" s="27" t="n">
        <f aca="false">SUM(B155:G155)</f>
        <v>2056.5124</v>
      </c>
    </row>
    <row r="156" customFormat="false" ht="15" hidden="false" customHeight="false" outlineLevel="0" collapsed="false">
      <c r="A156" s="26" t="s">
        <v>292</v>
      </c>
      <c r="B156" s="27" t="n">
        <v>330.97756</v>
      </c>
      <c r="C156" s="27" t="n">
        <v>578.50055</v>
      </c>
      <c r="D156" s="27" t="n">
        <v>579.87434</v>
      </c>
      <c r="E156" s="27" t="n">
        <v>186.16422</v>
      </c>
      <c r="F156" s="27" t="n">
        <v>106.4437</v>
      </c>
      <c r="G156" s="27" t="n">
        <v>62.92042</v>
      </c>
      <c r="H156" s="27" t="n">
        <f aca="false">SUM(B156:G156)</f>
        <v>1844.88079</v>
      </c>
    </row>
    <row r="157" customFormat="false" ht="15" hidden="false" customHeight="false" outlineLevel="0" collapsed="false">
      <c r="A157" s="26" t="s">
        <v>293</v>
      </c>
      <c r="B157" s="27" t="n">
        <v>407.00351</v>
      </c>
      <c r="C157" s="27" t="n">
        <v>711.90926</v>
      </c>
      <c r="D157" s="27" t="n">
        <v>754.25199</v>
      </c>
      <c r="E157" s="27" t="n">
        <v>303.13188</v>
      </c>
      <c r="F157" s="27" t="n">
        <v>179.32021</v>
      </c>
      <c r="G157" s="27" t="n">
        <v>99.32214</v>
      </c>
      <c r="H157" s="27" t="n">
        <f aca="false">SUM(B157:G157)</f>
        <v>2454.93899</v>
      </c>
    </row>
    <row r="158" customFormat="false" ht="15" hidden="false" customHeight="false" outlineLevel="0" collapsed="false">
      <c r="A158" s="26" t="s">
        <v>294</v>
      </c>
      <c r="B158" s="27" t="n">
        <v>268.54206</v>
      </c>
      <c r="C158" s="27" t="n">
        <v>367.04453</v>
      </c>
      <c r="D158" s="27" t="n">
        <v>342.69459</v>
      </c>
      <c r="E158" s="27" t="n">
        <v>166.05737</v>
      </c>
      <c r="F158" s="27" t="n">
        <v>127.20873</v>
      </c>
      <c r="G158" s="27" t="n">
        <v>49.35664</v>
      </c>
      <c r="H158" s="27" t="n">
        <f aca="false">SUM(B158:G158)</f>
        <v>1320.90392</v>
      </c>
    </row>
    <row r="159" customFormat="false" ht="15" hidden="false" customHeight="false" outlineLevel="0" collapsed="false">
      <c r="A159" s="26" t="s">
        <v>295</v>
      </c>
      <c r="B159" s="27" t="n">
        <v>275.05273</v>
      </c>
      <c r="C159" s="27" t="n">
        <v>417.42695</v>
      </c>
      <c r="D159" s="27" t="n">
        <v>575.84249</v>
      </c>
      <c r="E159" s="27" t="n">
        <v>324.56065</v>
      </c>
      <c r="F159" s="27" t="n">
        <v>88.11594</v>
      </c>
      <c r="G159" s="27" t="n">
        <v>53.57285</v>
      </c>
      <c r="H159" s="27" t="n">
        <f aca="false">SUM(B159:G159)</f>
        <v>1734.57161</v>
      </c>
    </row>
    <row r="160" customFormat="false" ht="15" hidden="false" customHeight="false" outlineLevel="0" collapsed="false">
      <c r="A160" s="26" t="s">
        <v>296</v>
      </c>
      <c r="B160" s="27" t="n">
        <v>529.16667</v>
      </c>
      <c r="C160" s="27" t="n">
        <v>400.81694</v>
      </c>
      <c r="D160" s="27" t="n">
        <v>925.18151</v>
      </c>
      <c r="E160" s="27" t="n">
        <v>445.24295</v>
      </c>
      <c r="F160" s="27" t="n">
        <v>146.68958</v>
      </c>
      <c r="G160" s="27" t="n">
        <v>179.75842</v>
      </c>
      <c r="H160" s="27" t="n">
        <f aca="false">SUM(B160:G160)</f>
        <v>2626.85607</v>
      </c>
    </row>
    <row r="161" customFormat="false" ht="15" hidden="false" customHeight="false" outlineLevel="0" collapsed="false">
      <c r="A161" s="26" t="s">
        <v>297</v>
      </c>
      <c r="B161" s="27" t="n">
        <v>287.94483</v>
      </c>
      <c r="C161" s="27" t="n">
        <v>395.34848</v>
      </c>
      <c r="D161" s="27" t="n">
        <v>634.59825</v>
      </c>
      <c r="E161" s="27" t="n">
        <v>342.06873</v>
      </c>
      <c r="F161" s="27" t="n">
        <v>153.84378</v>
      </c>
      <c r="G161" s="27" t="n">
        <v>57.71991</v>
      </c>
      <c r="H161" s="27" t="n">
        <f aca="false">SUM(B161:G161)</f>
        <v>1871.52398</v>
      </c>
    </row>
    <row r="162" customFormat="false" ht="15" hidden="false" customHeight="false" outlineLevel="0" collapsed="false">
      <c r="A162" s="26" t="s">
        <v>298</v>
      </c>
      <c r="B162" s="27" t="n">
        <v>326.22757</v>
      </c>
      <c r="C162" s="27" t="n">
        <v>301.91883</v>
      </c>
      <c r="D162" s="27" t="n">
        <v>510.93727</v>
      </c>
      <c r="E162" s="27" t="n">
        <v>150.37433</v>
      </c>
      <c r="F162" s="27" t="n">
        <v>93.97965</v>
      </c>
      <c r="G162" s="27" t="n">
        <v>24.63624</v>
      </c>
      <c r="H162" s="27" t="n">
        <f aca="false">SUM(B162:G162)</f>
        <v>1408.07389</v>
      </c>
    </row>
    <row r="163" customFormat="false" ht="15" hidden="false" customHeight="false" outlineLevel="0" collapsed="false">
      <c r="A163" s="26" t="s">
        <v>299</v>
      </c>
      <c r="B163" s="27" t="n">
        <v>358.94315</v>
      </c>
      <c r="C163" s="27" t="n">
        <v>161.49778</v>
      </c>
      <c r="D163" s="27" t="n">
        <v>971.68746</v>
      </c>
      <c r="E163" s="27" t="n">
        <v>131.36113</v>
      </c>
      <c r="F163" s="27" t="n">
        <v>124.67339</v>
      </c>
      <c r="G163" s="27" t="n">
        <v>37.34847</v>
      </c>
      <c r="H163" s="27" t="n">
        <f aca="false">SUM(B163:G163)</f>
        <v>1785.51138</v>
      </c>
    </row>
    <row r="164" customFormat="false" ht="15" hidden="false" customHeight="false" outlineLevel="0" collapsed="false">
      <c r="A164" s="26" t="s">
        <v>300</v>
      </c>
      <c r="B164" s="27" t="n">
        <v>296.33414</v>
      </c>
      <c r="C164" s="27" t="n">
        <v>167.71475</v>
      </c>
      <c r="D164" s="27" t="n">
        <v>886.41238</v>
      </c>
      <c r="E164" s="27" t="n">
        <v>162.82525</v>
      </c>
      <c r="F164" s="27" t="n">
        <v>100.65333</v>
      </c>
      <c r="G164" s="27" t="n">
        <v>79.26932</v>
      </c>
      <c r="H164" s="27" t="n">
        <f aca="false">SUM(B164:G164)</f>
        <v>1693.20917</v>
      </c>
    </row>
    <row r="165" customFormat="false" ht="15" hidden="false" customHeight="false" outlineLevel="0" collapsed="false">
      <c r="A165" s="26" t="s">
        <v>301</v>
      </c>
      <c r="B165" s="27" t="n">
        <v>178.37988</v>
      </c>
      <c r="C165" s="27" t="n">
        <v>63.44336</v>
      </c>
      <c r="D165" s="27" t="n">
        <v>758.91365</v>
      </c>
      <c r="E165" s="27" t="n">
        <v>119.50478</v>
      </c>
      <c r="F165" s="27" t="n">
        <v>91.95861</v>
      </c>
      <c r="G165" s="27" t="n">
        <v>68.1871</v>
      </c>
      <c r="H165" s="27" t="n">
        <f aca="false">SUM(B165:G165)</f>
        <v>1280.38738</v>
      </c>
    </row>
    <row r="166" customFormat="false" ht="15" hidden="false" customHeight="false" outlineLevel="0" collapsed="false">
      <c r="A166" s="26" t="s">
        <v>302</v>
      </c>
      <c r="B166" s="27" t="n">
        <v>270.31181</v>
      </c>
      <c r="C166" s="27" t="n">
        <v>156.22157</v>
      </c>
      <c r="D166" s="27" t="n">
        <v>1220.59926</v>
      </c>
      <c r="E166" s="27" t="n">
        <v>169.20325</v>
      </c>
      <c r="F166" s="27" t="n">
        <v>100.70277</v>
      </c>
      <c r="G166" s="27" t="n">
        <v>82.22586</v>
      </c>
      <c r="H166" s="27" t="n">
        <f aca="false">SUM(B166:G166)</f>
        <v>1999.26452</v>
      </c>
    </row>
    <row r="167" customFormat="false" ht="15" hidden="false" customHeight="false" outlineLevel="0" collapsed="false">
      <c r="A167" s="26" t="s">
        <v>303</v>
      </c>
      <c r="B167" s="27" t="n">
        <v>152.077</v>
      </c>
      <c r="C167" s="27" t="n">
        <v>174.59082</v>
      </c>
      <c r="D167" s="27" t="n">
        <v>844.67891</v>
      </c>
      <c r="E167" s="27" t="n">
        <v>303.1287</v>
      </c>
      <c r="F167" s="27" t="n">
        <v>104.10712</v>
      </c>
      <c r="G167" s="27" t="n">
        <v>60.54591</v>
      </c>
      <c r="H167" s="27" t="n">
        <f aca="false">SUM(B167:G167)</f>
        <v>1639.12846</v>
      </c>
    </row>
    <row r="168" customFormat="false" ht="15" hidden="false" customHeight="false" outlineLevel="0" collapsed="false">
      <c r="A168" s="26" t="s">
        <v>304</v>
      </c>
      <c r="B168" s="27" t="n">
        <v>188.36945</v>
      </c>
      <c r="C168" s="27" t="n">
        <v>159.45501</v>
      </c>
      <c r="D168" s="27" t="n">
        <v>1186.19981</v>
      </c>
      <c r="E168" s="27" t="n">
        <v>157.37771</v>
      </c>
      <c r="F168" s="27" t="n">
        <v>62.68808</v>
      </c>
      <c r="G168" s="27" t="n">
        <v>60.81918</v>
      </c>
      <c r="H168" s="27" t="n">
        <f aca="false">SUM(B168:G168)</f>
        <v>1814.90924</v>
      </c>
    </row>
    <row r="169" customFormat="false" ht="15" hidden="false" customHeight="false" outlineLevel="0" collapsed="false">
      <c r="A169" s="26" t="s">
        <v>305</v>
      </c>
      <c r="B169" s="27" t="n">
        <v>414.946</v>
      </c>
      <c r="C169" s="27" t="n">
        <v>306.712</v>
      </c>
      <c r="D169" s="27" t="n">
        <v>1588.34757</v>
      </c>
      <c r="E169" s="27" t="n">
        <v>202.5297</v>
      </c>
      <c r="F169" s="27" t="n">
        <v>73.78353</v>
      </c>
      <c r="G169" s="27" t="n">
        <v>101.92789</v>
      </c>
      <c r="H169" s="27" t="n">
        <f aca="false">SUM(B169:G169)</f>
        <v>2688.24669</v>
      </c>
    </row>
    <row r="170" customFormat="false" ht="15" hidden="false" customHeight="false" outlineLevel="0" collapsed="false">
      <c r="A170" s="26" t="s">
        <v>306</v>
      </c>
      <c r="B170" s="27" t="n">
        <v>449.07075</v>
      </c>
      <c r="C170" s="27" t="n">
        <v>158.6018</v>
      </c>
      <c r="D170" s="27" t="n">
        <v>795.19297</v>
      </c>
      <c r="E170" s="27" t="n">
        <v>196.44957</v>
      </c>
      <c r="F170" s="27" t="n">
        <v>94.45235</v>
      </c>
      <c r="G170" s="27" t="n">
        <v>104.17011</v>
      </c>
      <c r="H170" s="27" t="n">
        <f aca="false">SUM(B170:G170)</f>
        <v>1797.93755</v>
      </c>
    </row>
    <row r="171" customFormat="false" ht="15" hidden="false" customHeight="false" outlineLevel="0" collapsed="false">
      <c r="A171" s="26" t="s">
        <v>307</v>
      </c>
      <c r="B171" s="27" t="n">
        <v>317.80192</v>
      </c>
      <c r="C171" s="27" t="n">
        <v>120.63087</v>
      </c>
      <c r="D171" s="27" t="n">
        <v>1114.92679</v>
      </c>
      <c r="E171" s="27" t="n">
        <v>165.29284</v>
      </c>
      <c r="F171" s="27" t="n">
        <v>65.73456</v>
      </c>
      <c r="G171" s="27" t="n">
        <v>60.42096</v>
      </c>
      <c r="H171" s="27" t="n">
        <f aca="false">SUM(B171:G171)</f>
        <v>1844.80794</v>
      </c>
    </row>
    <row r="172" customFormat="false" ht="15" hidden="false" customHeight="false" outlineLevel="0" collapsed="false">
      <c r="A172" s="26" t="s">
        <v>308</v>
      </c>
      <c r="B172" s="27" t="n">
        <v>375.94778</v>
      </c>
      <c r="C172" s="27" t="n">
        <v>327.65743</v>
      </c>
      <c r="D172" s="27" t="n">
        <v>1715.83845</v>
      </c>
      <c r="E172" s="27" t="n">
        <v>210.76148</v>
      </c>
      <c r="F172" s="27" t="n">
        <v>93.17553</v>
      </c>
      <c r="G172" s="27" t="n">
        <v>90.01102</v>
      </c>
      <c r="H172" s="27" t="n">
        <f aca="false">SUM(B172:G172)</f>
        <v>2813.39169</v>
      </c>
    </row>
    <row r="173" customFormat="false" ht="15" hidden="false" customHeight="false" outlineLevel="0" collapsed="false">
      <c r="A173" s="26" t="s">
        <v>309</v>
      </c>
      <c r="B173" s="27" t="n">
        <v>280.13796</v>
      </c>
      <c r="C173" s="27" t="n">
        <v>481.0259</v>
      </c>
      <c r="D173" s="27" t="n">
        <v>1381.53199</v>
      </c>
      <c r="E173" s="27" t="n">
        <v>217.70096</v>
      </c>
      <c r="F173" s="27" t="n">
        <v>80.83286</v>
      </c>
      <c r="G173" s="27" t="n">
        <v>67.56644</v>
      </c>
      <c r="H173" s="27" t="n">
        <f aca="false">SUM(B173:G173)</f>
        <v>2508.79611</v>
      </c>
    </row>
    <row r="174" customFormat="false" ht="15" hidden="false" customHeight="false" outlineLevel="0" collapsed="false">
      <c r="A174" s="26" t="s">
        <v>310</v>
      </c>
      <c r="B174" s="27" t="n">
        <v>176.30721</v>
      </c>
      <c r="C174" s="27" t="n">
        <v>205.09938</v>
      </c>
      <c r="D174" s="27" t="n">
        <v>1387.21133</v>
      </c>
      <c r="E174" s="27" t="n">
        <v>182.32856</v>
      </c>
      <c r="F174" s="27" t="n">
        <v>20.09514</v>
      </c>
      <c r="G174" s="27" t="n">
        <v>171.20863</v>
      </c>
      <c r="H174" s="27" t="n">
        <f aca="false">SUM(B174:G174)</f>
        <v>2142.25025</v>
      </c>
    </row>
    <row r="175" customFormat="false" ht="15" hidden="false" customHeight="false" outlineLevel="0" collapsed="false">
      <c r="A175" s="26" t="s">
        <v>311</v>
      </c>
      <c r="B175" s="27" t="n">
        <v>346.12276</v>
      </c>
      <c r="C175" s="27" t="n">
        <v>490.11652</v>
      </c>
      <c r="D175" s="27" t="n">
        <v>1361.79475</v>
      </c>
      <c r="E175" s="27" t="n">
        <v>254.67404</v>
      </c>
      <c r="F175" s="27" t="n">
        <v>46.38891</v>
      </c>
      <c r="G175" s="27" t="n">
        <v>52.37017</v>
      </c>
      <c r="H175" s="27" t="n">
        <f aca="false">SUM(B175:G175)</f>
        <v>2551.46715</v>
      </c>
    </row>
    <row r="176" customFormat="false" ht="15" hidden="false" customHeight="false" outlineLevel="0" collapsed="false">
      <c r="A176" s="26" t="s">
        <v>312</v>
      </c>
      <c r="B176" s="27" t="n">
        <v>337.77185</v>
      </c>
      <c r="C176" s="27" t="n">
        <v>473.42708</v>
      </c>
      <c r="D176" s="27" t="n">
        <v>1107.52231</v>
      </c>
      <c r="E176" s="27" t="n">
        <v>238.19169</v>
      </c>
      <c r="F176" s="27" t="n">
        <v>47.05496</v>
      </c>
      <c r="G176" s="27" t="n">
        <v>84.66109</v>
      </c>
      <c r="H176" s="27" t="n">
        <f aca="false">SUM(B176:G176)</f>
        <v>2288.62898</v>
      </c>
    </row>
    <row r="177" customFormat="false" ht="15" hidden="false" customHeight="false" outlineLevel="0" collapsed="false">
      <c r="A177" s="26" t="s">
        <v>313</v>
      </c>
      <c r="B177" s="27" t="n">
        <v>286.58604</v>
      </c>
      <c r="C177" s="27" t="n">
        <v>240.71453</v>
      </c>
      <c r="D177" s="27" t="n">
        <v>1203.38959</v>
      </c>
      <c r="E177" s="27" t="n">
        <v>191.39557</v>
      </c>
      <c r="F177" s="27" t="n">
        <v>57.78014</v>
      </c>
      <c r="G177" s="27" t="n">
        <v>99.66389</v>
      </c>
      <c r="H177" s="27" t="n">
        <f aca="false">SUM(B177:G177)</f>
        <v>2079.52976</v>
      </c>
    </row>
    <row r="178" customFormat="false" ht="15" hidden="false" customHeight="false" outlineLevel="0" collapsed="false">
      <c r="A178" s="26" t="s">
        <v>314</v>
      </c>
      <c r="B178" s="27" t="n">
        <v>299.54157</v>
      </c>
      <c r="C178" s="27" t="n">
        <v>323.34335</v>
      </c>
      <c r="D178" s="27" t="n">
        <v>1368.33033</v>
      </c>
      <c r="E178" s="27" t="n">
        <v>383.5128</v>
      </c>
      <c r="F178" s="27" t="n">
        <v>47.72212</v>
      </c>
      <c r="G178" s="27" t="n">
        <v>172.32803</v>
      </c>
      <c r="H178" s="27" t="n">
        <f aca="false">SUM(B178:G178)</f>
        <v>2594.7782</v>
      </c>
    </row>
    <row r="179" customFormat="false" ht="15" hidden="false" customHeight="false" outlineLevel="0" collapsed="false">
      <c r="A179" s="26" t="s">
        <v>315</v>
      </c>
      <c r="B179" s="27" t="n">
        <v>442.64098</v>
      </c>
      <c r="C179" s="27" t="n">
        <v>304.56936</v>
      </c>
      <c r="D179" s="27" t="n">
        <v>1327.89212</v>
      </c>
      <c r="E179" s="27" t="n">
        <v>359.13694</v>
      </c>
      <c r="F179" s="27" t="n">
        <v>92.67486</v>
      </c>
      <c r="G179" s="27" t="n">
        <v>168.26165</v>
      </c>
      <c r="H179" s="27" t="n">
        <f aca="false">SUM(B179:G179)</f>
        <v>2695.17591</v>
      </c>
    </row>
    <row r="180" customFormat="false" ht="15" hidden="false" customHeight="false" outlineLevel="0" collapsed="false">
      <c r="A180" s="26" t="s">
        <v>316</v>
      </c>
      <c r="B180" s="27" t="n">
        <v>362.88723</v>
      </c>
      <c r="C180" s="27" t="n">
        <v>510.38964</v>
      </c>
      <c r="D180" s="27" t="n">
        <v>1067.99979</v>
      </c>
      <c r="E180" s="27" t="n">
        <v>204.37908</v>
      </c>
      <c r="F180" s="27" t="n">
        <v>63.64502</v>
      </c>
      <c r="G180" s="27" t="n">
        <v>75.57356</v>
      </c>
      <c r="H180" s="27" t="n">
        <f aca="false">SUM(B180:G180)</f>
        <v>2284.87432</v>
      </c>
    </row>
    <row r="181" customFormat="false" ht="15" hidden="false" customHeight="false" outlineLevel="0" collapsed="false">
      <c r="A181" s="26" t="s">
        <v>317</v>
      </c>
      <c r="B181" s="27" t="n">
        <v>513.37188</v>
      </c>
      <c r="C181" s="27" t="n">
        <v>657.1518</v>
      </c>
      <c r="D181" s="27" t="n">
        <v>1564.59956</v>
      </c>
      <c r="E181" s="27" t="n">
        <v>201.44219</v>
      </c>
      <c r="F181" s="27" t="n">
        <v>93.09821</v>
      </c>
      <c r="G181" s="27" t="n">
        <v>112.50391</v>
      </c>
      <c r="H181" s="27" t="n">
        <f aca="false">SUM(B181:G181)</f>
        <v>3142.16755</v>
      </c>
    </row>
    <row r="182" customFormat="false" ht="15" hidden="false" customHeight="false" outlineLevel="0" collapsed="false">
      <c r="A182" s="26" t="s">
        <v>318</v>
      </c>
      <c r="B182" s="27" t="n">
        <v>374.24971</v>
      </c>
      <c r="C182" s="27" t="n">
        <v>558.93349</v>
      </c>
      <c r="D182" s="27" t="n">
        <v>671.52969</v>
      </c>
      <c r="E182" s="27" t="n">
        <v>125.41342</v>
      </c>
      <c r="F182" s="27" t="n">
        <v>64.48825</v>
      </c>
      <c r="G182" s="27" t="n">
        <v>95.06949</v>
      </c>
      <c r="H182" s="27" t="n">
        <f aca="false">SUM(B182:G182)</f>
        <v>1889.68405</v>
      </c>
    </row>
    <row r="183" customFormat="false" ht="15" hidden="false" customHeight="false" outlineLevel="0" collapsed="false">
      <c r="A183" s="26" t="s">
        <v>319</v>
      </c>
      <c r="B183" s="27" t="n">
        <v>465.26823</v>
      </c>
      <c r="C183" s="27" t="n">
        <v>675.34363</v>
      </c>
      <c r="D183" s="27" t="n">
        <v>919.9979</v>
      </c>
      <c r="E183" s="27" t="n">
        <v>162.74904</v>
      </c>
      <c r="F183" s="27" t="n">
        <v>27.64436</v>
      </c>
      <c r="G183" s="27" t="n">
        <v>126.23565</v>
      </c>
      <c r="H183" s="27" t="n">
        <f aca="false">SUM(B183:G183)</f>
        <v>2377.23881</v>
      </c>
    </row>
    <row r="184" customFormat="false" ht="15" hidden="false" customHeight="false" outlineLevel="0" collapsed="false">
      <c r="A184" s="26" t="s">
        <v>320</v>
      </c>
      <c r="B184" s="27" t="n">
        <v>740.70362</v>
      </c>
      <c r="C184" s="27" t="n">
        <v>720.44289</v>
      </c>
      <c r="D184" s="27" t="n">
        <v>1445.40499</v>
      </c>
      <c r="E184" s="27" t="n">
        <v>178.9821</v>
      </c>
      <c r="F184" s="27" t="n">
        <v>53.77741</v>
      </c>
      <c r="G184" s="27" t="n">
        <v>162.4396</v>
      </c>
      <c r="H184" s="27" t="n">
        <f aca="false">SUM(B184:G184)</f>
        <v>3301.75061</v>
      </c>
    </row>
    <row r="185" customFormat="false" ht="15" hidden="false" customHeight="false" outlineLevel="0" collapsed="false">
      <c r="A185" s="26" t="s">
        <v>321</v>
      </c>
      <c r="B185" s="27" t="n">
        <v>248.43296</v>
      </c>
      <c r="C185" s="27" t="n">
        <v>651.06596</v>
      </c>
      <c r="D185" s="27" t="n">
        <v>992.93344</v>
      </c>
      <c r="E185" s="27" t="n">
        <v>163.41885</v>
      </c>
      <c r="F185" s="27" t="n">
        <v>54.1181</v>
      </c>
      <c r="G185" s="27" t="n">
        <v>115.07092</v>
      </c>
      <c r="H185" s="27" t="n">
        <f aca="false">SUM(B185:G185)</f>
        <v>2225.04023</v>
      </c>
    </row>
    <row r="186" customFormat="false" ht="15" hidden="false" customHeight="false" outlineLevel="0" collapsed="false">
      <c r="A186" s="26" t="s">
        <v>322</v>
      </c>
      <c r="B186" s="27" t="n">
        <v>283.72558</v>
      </c>
      <c r="C186" s="27" t="n">
        <v>493.99257</v>
      </c>
      <c r="D186" s="27" t="n">
        <v>851.60749</v>
      </c>
      <c r="E186" s="27" t="n">
        <v>96.71665</v>
      </c>
      <c r="F186" s="27" t="n">
        <v>31.84723</v>
      </c>
      <c r="G186" s="27" t="n">
        <v>48.60465</v>
      </c>
      <c r="H186" s="27" t="n">
        <f aca="false">SUM(B186:G186)</f>
        <v>1806.49417</v>
      </c>
    </row>
    <row r="187" customFormat="false" ht="15" hidden="false" customHeight="false" outlineLevel="0" collapsed="false">
      <c r="A187" s="26" t="s">
        <v>323</v>
      </c>
      <c r="B187" s="27" t="n">
        <v>430.04922</v>
      </c>
      <c r="C187" s="27" t="n">
        <v>563.82024</v>
      </c>
      <c r="D187" s="27" t="n">
        <v>1160.09708</v>
      </c>
      <c r="E187" s="27" t="n">
        <v>118.4534</v>
      </c>
      <c r="F187" s="27" t="n">
        <v>27.21922</v>
      </c>
      <c r="G187" s="27" t="n">
        <v>73.86663</v>
      </c>
      <c r="H187" s="27" t="n">
        <f aca="false">SUM(B187:G187)</f>
        <v>2373.50579</v>
      </c>
    </row>
    <row r="188" customFormat="false" ht="15" hidden="false" customHeight="false" outlineLevel="0" collapsed="false">
      <c r="A188" s="26" t="s">
        <v>324</v>
      </c>
      <c r="B188" s="27" t="n">
        <v>220.32429</v>
      </c>
      <c r="C188" s="27" t="n">
        <v>460.39638</v>
      </c>
      <c r="D188" s="27" t="n">
        <v>1029.43222</v>
      </c>
      <c r="E188" s="27" t="n">
        <v>109.12473</v>
      </c>
      <c r="F188" s="27" t="n">
        <v>27.29972</v>
      </c>
      <c r="G188" s="27" t="n">
        <v>126.39798</v>
      </c>
      <c r="H188" s="27" t="n">
        <f aca="false">SUM(B188:G188)</f>
        <v>1972.97532</v>
      </c>
    </row>
    <row r="189" customFormat="false" ht="15" hidden="false" customHeight="false" outlineLevel="0" collapsed="false">
      <c r="A189" s="26" t="s">
        <v>325</v>
      </c>
      <c r="B189" s="27" t="n">
        <v>362.03141</v>
      </c>
      <c r="C189" s="27" t="n">
        <v>504.91951</v>
      </c>
      <c r="D189" s="27" t="n">
        <v>1120.59902</v>
      </c>
      <c r="E189" s="27" t="n">
        <v>70.80946</v>
      </c>
      <c r="F189" s="27" t="n">
        <v>27.15947</v>
      </c>
      <c r="G189" s="27" t="n">
        <v>61.5419</v>
      </c>
      <c r="H189" s="27" t="n">
        <f aca="false">SUM(B189:G189)</f>
        <v>2147.06077</v>
      </c>
    </row>
    <row r="190" customFormat="false" ht="15" hidden="false" customHeight="false" outlineLevel="0" collapsed="false">
      <c r="A190" s="26" t="s">
        <v>326</v>
      </c>
      <c r="B190" s="27" t="n">
        <v>403.56262</v>
      </c>
      <c r="C190" s="27" t="n">
        <v>390.7018</v>
      </c>
      <c r="D190" s="27" t="n">
        <v>1337.49984</v>
      </c>
      <c r="E190" s="27" t="n">
        <v>142.18168</v>
      </c>
      <c r="F190" s="27" t="n">
        <v>52.52476</v>
      </c>
      <c r="G190" s="27" t="n">
        <v>75.92596</v>
      </c>
      <c r="H190" s="27" t="n">
        <f aca="false">SUM(B190:G190)</f>
        <v>2402.39666</v>
      </c>
    </row>
    <row r="191" customFormat="false" ht="15" hidden="false" customHeight="false" outlineLevel="0" collapsed="false">
      <c r="A191" s="26" t="s">
        <v>327</v>
      </c>
      <c r="B191" s="27" t="n">
        <v>372.84599</v>
      </c>
      <c r="C191" s="27" t="n">
        <v>500.24432</v>
      </c>
      <c r="D191" s="27" t="n">
        <v>992.46189</v>
      </c>
      <c r="E191" s="27" t="n">
        <v>107.41726</v>
      </c>
      <c r="F191" s="27" t="n">
        <v>49.3008</v>
      </c>
      <c r="G191" s="27" t="n">
        <v>163.65318</v>
      </c>
      <c r="H191" s="27" t="n">
        <f aca="false">SUM(B191:G191)</f>
        <v>2185.92344</v>
      </c>
    </row>
    <row r="192" customFormat="false" ht="15" hidden="false" customHeight="false" outlineLevel="0" collapsed="false">
      <c r="A192" s="26" t="s">
        <v>328</v>
      </c>
      <c r="B192" s="27" t="n">
        <v>451.55393</v>
      </c>
      <c r="C192" s="27" t="n">
        <v>661.26329</v>
      </c>
      <c r="D192" s="27" t="n">
        <v>818.68778</v>
      </c>
      <c r="E192" s="27" t="n">
        <v>69.9042</v>
      </c>
      <c r="F192" s="27" t="n">
        <v>41.3697</v>
      </c>
      <c r="G192" s="27" t="n">
        <v>250.18773</v>
      </c>
      <c r="H192" s="27" t="n">
        <f aca="false">SUM(B192:G192)</f>
        <v>2292.96663</v>
      </c>
    </row>
    <row r="193" customFormat="false" ht="15" hidden="false" customHeight="false" outlineLevel="0" collapsed="false">
      <c r="A193" s="26" t="s">
        <v>329</v>
      </c>
      <c r="B193" s="27" t="n">
        <v>558.38047</v>
      </c>
      <c r="C193" s="27" t="n">
        <v>692.4535</v>
      </c>
      <c r="D193" s="27" t="n">
        <v>1109.9371</v>
      </c>
      <c r="E193" s="27" t="n">
        <v>88.24159</v>
      </c>
      <c r="F193" s="27" t="n">
        <v>21.04313</v>
      </c>
      <c r="G193" s="27" t="n">
        <v>294.49141</v>
      </c>
      <c r="H193" s="27" t="n">
        <f aca="false">SUM(B193:G193)</f>
        <v>2764.5472</v>
      </c>
    </row>
    <row r="194" customFormat="false" ht="15" hidden="false" customHeight="false" outlineLevel="0" collapsed="false">
      <c r="A194" s="26" t="s">
        <v>330</v>
      </c>
      <c r="B194" s="27" t="n">
        <v>572.50827</v>
      </c>
      <c r="C194" s="27" t="n">
        <v>453.56782</v>
      </c>
      <c r="D194" s="27" t="n">
        <v>488.53553</v>
      </c>
      <c r="E194" s="27" t="n">
        <v>62.57853</v>
      </c>
      <c r="F194" s="27" t="n">
        <v>52.53989</v>
      </c>
      <c r="G194" s="27" t="n">
        <v>117.12385</v>
      </c>
      <c r="H194" s="27" t="n">
        <f aca="false">SUM(B194:G194)</f>
        <v>1746.85389</v>
      </c>
    </row>
    <row r="195" customFormat="false" ht="15" hidden="false" customHeight="false" outlineLevel="0" collapsed="false">
      <c r="A195" s="26" t="s">
        <v>331</v>
      </c>
      <c r="B195" s="27" t="n">
        <v>451.60853</v>
      </c>
      <c r="C195" s="27" t="n">
        <v>586.08798</v>
      </c>
      <c r="D195" s="27" t="n">
        <v>464.05416</v>
      </c>
      <c r="E195" s="27" t="n">
        <v>195.38276</v>
      </c>
      <c r="F195" s="27" t="n">
        <v>86.45348</v>
      </c>
      <c r="G195" s="27" t="n">
        <v>104.46296</v>
      </c>
      <c r="H195" s="27" t="n">
        <f aca="false">SUM(B195:G195)</f>
        <v>1888.04987</v>
      </c>
    </row>
    <row r="196" customFormat="false" ht="15" hidden="false" customHeight="false" outlineLevel="0" collapsed="false">
      <c r="A196" s="26" t="s">
        <v>332</v>
      </c>
      <c r="B196" s="27" t="n">
        <v>766.39071</v>
      </c>
      <c r="C196" s="27" t="n">
        <v>981.03038</v>
      </c>
      <c r="D196" s="27" t="n">
        <v>1381.42165</v>
      </c>
      <c r="E196" s="27" t="n">
        <v>205.09555</v>
      </c>
      <c r="F196" s="27" t="n">
        <v>148.48589</v>
      </c>
      <c r="G196" s="27" t="n">
        <v>115.00291</v>
      </c>
      <c r="H196" s="27" t="n">
        <f aca="false">SUM(B196:G196)</f>
        <v>3597.42709</v>
      </c>
    </row>
    <row r="197" customFormat="false" ht="15" hidden="false" customHeight="false" outlineLevel="0" collapsed="false">
      <c r="A197" s="26" t="s">
        <v>333</v>
      </c>
      <c r="B197" s="27" t="n">
        <v>545.98311</v>
      </c>
      <c r="C197" s="27" t="n">
        <v>621.83604</v>
      </c>
      <c r="D197" s="27" t="n">
        <v>694.12085</v>
      </c>
      <c r="E197" s="27" t="n">
        <v>335.6325</v>
      </c>
      <c r="F197" s="27" t="n">
        <v>51.00517</v>
      </c>
      <c r="G197" s="27" t="n">
        <v>113.07983</v>
      </c>
      <c r="H197" s="27" t="n">
        <f aca="false">SUM(B197:G197)</f>
        <v>2361.6575</v>
      </c>
    </row>
    <row r="198" customFormat="false" ht="15" hidden="false" customHeight="false" outlineLevel="0" collapsed="false">
      <c r="A198" s="26" t="s">
        <v>334</v>
      </c>
      <c r="B198" s="27" t="n">
        <v>455.49195</v>
      </c>
      <c r="C198" s="27" t="n">
        <v>748.90665</v>
      </c>
      <c r="D198" s="27" t="n">
        <v>655.98863</v>
      </c>
      <c r="E198" s="27" t="n">
        <v>178.43767</v>
      </c>
      <c r="F198" s="27" t="n">
        <v>73.23815</v>
      </c>
      <c r="G198" s="27" t="n">
        <v>69.89298</v>
      </c>
      <c r="H198" s="27" t="n">
        <f aca="false">SUM(B198:G198)</f>
        <v>2181.95603</v>
      </c>
    </row>
    <row r="199" customFormat="false" ht="15" hidden="false" customHeight="false" outlineLevel="0" collapsed="false">
      <c r="A199" s="26" t="s">
        <v>335</v>
      </c>
      <c r="B199" s="27" t="n">
        <v>572.29583</v>
      </c>
      <c r="C199" s="27" t="n">
        <v>880.19725</v>
      </c>
      <c r="D199" s="27" t="n">
        <v>1121.61338</v>
      </c>
      <c r="E199" s="27" t="n">
        <v>206.00991</v>
      </c>
      <c r="F199" s="27" t="n">
        <v>69.33793</v>
      </c>
      <c r="G199" s="27" t="n">
        <v>125.63701</v>
      </c>
      <c r="H199" s="27" t="n">
        <f aca="false">SUM(B199:G199)</f>
        <v>2975.09131</v>
      </c>
    </row>
    <row r="200" customFormat="false" ht="15" hidden="false" customHeight="false" outlineLevel="0" collapsed="false">
      <c r="A200" s="26" t="s">
        <v>336</v>
      </c>
      <c r="B200" s="27" t="n">
        <v>526.77232</v>
      </c>
      <c r="C200" s="27" t="n">
        <v>734.27296</v>
      </c>
      <c r="D200" s="27" t="n">
        <v>1528.75396</v>
      </c>
      <c r="E200" s="27" t="n">
        <v>198.65747</v>
      </c>
      <c r="F200" s="27" t="n">
        <v>108.16445</v>
      </c>
      <c r="G200" s="27" t="n">
        <v>176.89735</v>
      </c>
      <c r="H200" s="27" t="n">
        <f aca="false">SUM(B200:G200)</f>
        <v>3273.51851</v>
      </c>
    </row>
    <row r="201" customFormat="false" ht="15" hidden="false" customHeight="false" outlineLevel="0" collapsed="false">
      <c r="A201" s="26" t="s">
        <v>337</v>
      </c>
      <c r="B201" s="27" t="n">
        <v>593.69916</v>
      </c>
      <c r="C201" s="27" t="n">
        <v>676.0098</v>
      </c>
      <c r="D201" s="27" t="n">
        <v>1368.21235</v>
      </c>
      <c r="E201" s="27" t="n">
        <v>304.11395</v>
      </c>
      <c r="F201" s="27" t="n">
        <v>87.12095</v>
      </c>
      <c r="G201" s="27" t="n">
        <v>204.40159</v>
      </c>
      <c r="H201" s="27" t="n">
        <f aca="false">SUM(B201:G201)</f>
        <v>3233.5578</v>
      </c>
    </row>
    <row r="203" customFormat="false" ht="15" hidden="false" customHeight="false" outlineLevel="0" collapsed="false">
      <c r="A203" s="25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29.85" hidden="false" customHeight="false" outlineLevel="0" collapsed="false">
      <c r="A1" s="20" t="s">
        <v>64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136</v>
      </c>
      <c r="H1" s="20" t="s">
        <v>137</v>
      </c>
    </row>
    <row r="2" customFormat="false" ht="15" hidden="false" customHeight="false" outlineLevel="0" collapsed="false">
      <c r="A2" s="26" t="s">
        <v>339</v>
      </c>
      <c r="B2" s="27" t="n">
        <v>400.80378</v>
      </c>
      <c r="C2" s="27" t="n">
        <v>510.29483</v>
      </c>
      <c r="D2" s="27" t="n">
        <v>84.5381</v>
      </c>
      <c r="E2" s="27" t="n">
        <v>162.62715</v>
      </c>
      <c r="F2" s="27" t="n">
        <v>55.13158</v>
      </c>
      <c r="G2" s="27" t="n">
        <v>182.99702</v>
      </c>
      <c r="H2" s="27" t="n">
        <f aca="false">SUM(B2:G2)</f>
        <v>1396.39246</v>
      </c>
    </row>
    <row r="3" customFormat="false" ht="15" hidden="false" customHeight="false" outlineLevel="0" collapsed="false">
      <c r="A3" s="26" t="s">
        <v>340</v>
      </c>
      <c r="B3" s="27" t="n">
        <v>389.44481</v>
      </c>
      <c r="C3" s="27" t="n">
        <v>515.1794</v>
      </c>
      <c r="D3" s="27" t="n">
        <v>135.82764</v>
      </c>
      <c r="E3" s="27" t="n">
        <v>272.0849</v>
      </c>
      <c r="F3" s="27" t="n">
        <v>59.27749</v>
      </c>
      <c r="G3" s="27" t="n">
        <v>210.2318</v>
      </c>
      <c r="H3" s="27" t="n">
        <f aca="false">SUM(B3:G3)</f>
        <v>1582.04604</v>
      </c>
    </row>
    <row r="4" customFormat="false" ht="15" hidden="false" customHeight="false" outlineLevel="0" collapsed="false">
      <c r="A4" s="26" t="s">
        <v>341</v>
      </c>
      <c r="B4" s="27" t="n">
        <v>446.49183</v>
      </c>
      <c r="C4" s="27" t="n">
        <v>589.80245</v>
      </c>
      <c r="D4" s="27" t="n">
        <v>212.67388</v>
      </c>
      <c r="E4" s="27" t="n">
        <v>262.11845</v>
      </c>
      <c r="F4" s="27" t="n">
        <v>109.43331</v>
      </c>
      <c r="G4" s="27" t="n">
        <v>147.67186</v>
      </c>
      <c r="H4" s="27" t="n">
        <f aca="false">SUM(B4:G4)</f>
        <v>1768.19178</v>
      </c>
    </row>
    <row r="5" customFormat="false" ht="15" hidden="false" customHeight="false" outlineLevel="0" collapsed="false">
      <c r="A5" s="26" t="s">
        <v>342</v>
      </c>
      <c r="B5" s="27" t="n">
        <v>270.38901</v>
      </c>
      <c r="C5" s="27" t="n">
        <v>658.61732</v>
      </c>
      <c r="D5" s="27" t="n">
        <v>245.77301</v>
      </c>
      <c r="E5" s="27" t="n">
        <v>567.92103</v>
      </c>
      <c r="F5" s="27" t="n">
        <v>203.24097</v>
      </c>
      <c r="G5" s="27" t="n">
        <v>215.40153</v>
      </c>
      <c r="H5" s="27" t="n">
        <f aca="false">SUM(B5:G5)</f>
        <v>2161.34287</v>
      </c>
    </row>
    <row r="6" customFormat="false" ht="15" hidden="false" customHeight="false" outlineLevel="0" collapsed="false">
      <c r="A6" s="26" t="s">
        <v>343</v>
      </c>
      <c r="B6" s="27" t="n">
        <v>302.59681</v>
      </c>
      <c r="C6" s="27" t="n">
        <v>594.28124</v>
      </c>
      <c r="D6" s="27" t="n">
        <v>235.65632</v>
      </c>
      <c r="E6" s="27" t="n">
        <v>549.48502</v>
      </c>
      <c r="F6" s="27" t="n">
        <v>244.43647</v>
      </c>
      <c r="G6" s="27" t="n">
        <v>173.41771</v>
      </c>
      <c r="H6" s="27" t="n">
        <f aca="false">SUM(B6:G6)</f>
        <v>2099.87357</v>
      </c>
    </row>
    <row r="7" customFormat="false" ht="15" hidden="false" customHeight="false" outlineLevel="0" collapsed="false">
      <c r="A7" s="26" t="s">
        <v>344</v>
      </c>
      <c r="B7" s="27" t="n">
        <v>384.59549</v>
      </c>
      <c r="C7" s="27" t="n">
        <v>476.18945</v>
      </c>
      <c r="D7" s="27" t="n">
        <v>254.41634</v>
      </c>
      <c r="E7" s="27" t="n">
        <v>360.88964</v>
      </c>
      <c r="F7" s="27" t="n">
        <v>130.37977</v>
      </c>
      <c r="G7" s="27" t="n">
        <v>220.20512</v>
      </c>
      <c r="H7" s="27" t="n">
        <f aca="false">SUM(B7:G7)</f>
        <v>1826.67581</v>
      </c>
    </row>
    <row r="8" customFormat="false" ht="15" hidden="false" customHeight="false" outlineLevel="0" collapsed="false">
      <c r="A8" s="26" t="s">
        <v>345</v>
      </c>
      <c r="B8" s="27" t="n">
        <v>336.49574</v>
      </c>
      <c r="C8" s="27" t="n">
        <v>213.39778</v>
      </c>
      <c r="D8" s="27" t="n">
        <v>157.00362</v>
      </c>
      <c r="E8" s="27" t="n">
        <v>418.54709</v>
      </c>
      <c r="F8" s="27" t="n">
        <v>81.30664</v>
      </c>
      <c r="G8" s="27" t="n">
        <v>241.64288</v>
      </c>
      <c r="H8" s="27" t="n">
        <f aca="false">SUM(B8:G8)</f>
        <v>1448.39375</v>
      </c>
    </row>
    <row r="9" customFormat="false" ht="15" hidden="false" customHeight="false" outlineLevel="0" collapsed="false">
      <c r="A9" s="26" t="s">
        <v>346</v>
      </c>
      <c r="B9" s="27" t="n">
        <v>521.20417</v>
      </c>
      <c r="C9" s="27" t="n">
        <v>357.10455</v>
      </c>
      <c r="D9" s="27" t="n">
        <v>78.23182</v>
      </c>
      <c r="E9" s="27" t="n">
        <v>325.38356</v>
      </c>
      <c r="F9" s="27" t="n">
        <v>50.34931</v>
      </c>
      <c r="G9" s="27" t="n">
        <v>164.19149</v>
      </c>
      <c r="H9" s="27" t="n">
        <f aca="false">SUM(B9:G9)</f>
        <v>1496.4649</v>
      </c>
    </row>
    <row r="10" customFormat="false" ht="15" hidden="false" customHeight="false" outlineLevel="0" collapsed="false">
      <c r="A10" s="26" t="s">
        <v>347</v>
      </c>
      <c r="B10" s="27" t="n">
        <v>780.4344</v>
      </c>
      <c r="C10" s="27" t="n">
        <v>340.45133</v>
      </c>
      <c r="D10" s="27" t="n">
        <v>214.06644</v>
      </c>
      <c r="E10" s="27" t="n">
        <v>434.76362</v>
      </c>
      <c r="F10" s="27" t="n">
        <v>107.29855</v>
      </c>
      <c r="G10" s="27" t="n">
        <v>234.32621</v>
      </c>
      <c r="H10" s="27" t="n">
        <f aca="false">SUM(B10:G10)</f>
        <v>2111.34055</v>
      </c>
    </row>
    <row r="11" customFormat="false" ht="15" hidden="false" customHeight="false" outlineLevel="0" collapsed="false">
      <c r="A11" s="26" t="s">
        <v>348</v>
      </c>
      <c r="B11" s="27" t="n">
        <v>454.68194</v>
      </c>
      <c r="C11" s="27" t="n">
        <v>479.94007</v>
      </c>
      <c r="D11" s="27" t="n">
        <v>123.34526</v>
      </c>
      <c r="E11" s="27" t="n">
        <v>324.82703</v>
      </c>
      <c r="F11" s="27" t="n">
        <v>88.72426</v>
      </c>
      <c r="G11" s="27" t="n">
        <v>89.47152</v>
      </c>
      <c r="H11" s="27" t="n">
        <f aca="false">SUM(B11:G11)</f>
        <v>1560.99008</v>
      </c>
    </row>
    <row r="12" customFormat="false" ht="15" hidden="false" customHeight="false" outlineLevel="0" collapsed="false">
      <c r="A12" s="26" t="s">
        <v>349</v>
      </c>
      <c r="B12" s="27" t="n">
        <v>219.02487</v>
      </c>
      <c r="C12" s="27" t="n">
        <v>395.29468</v>
      </c>
      <c r="D12" s="27" t="n">
        <v>126.76342</v>
      </c>
      <c r="E12" s="27" t="n">
        <v>403.77287</v>
      </c>
      <c r="F12" s="27" t="n">
        <v>45.93408</v>
      </c>
      <c r="G12" s="27" t="n">
        <v>150.93463</v>
      </c>
      <c r="H12" s="27" t="n">
        <f aca="false">SUM(B12:G12)</f>
        <v>1341.72455</v>
      </c>
    </row>
    <row r="13" customFormat="false" ht="15" hidden="false" customHeight="false" outlineLevel="0" collapsed="false">
      <c r="A13" s="26" t="s">
        <v>350</v>
      </c>
      <c r="B13" s="27" t="n">
        <v>93.94006</v>
      </c>
      <c r="C13" s="27" t="n">
        <v>356.09756</v>
      </c>
      <c r="D13" s="27" t="n">
        <v>75.56965</v>
      </c>
      <c r="E13" s="27" t="n">
        <v>311.63447</v>
      </c>
      <c r="F13" s="27" t="n">
        <v>53.34256</v>
      </c>
      <c r="G13" s="27" t="n">
        <v>80.14648</v>
      </c>
      <c r="H13" s="27" t="n">
        <f aca="false">SUM(B13:G13)</f>
        <v>970.73078</v>
      </c>
    </row>
    <row r="14" customFormat="false" ht="15" hidden="false" customHeight="false" outlineLevel="0" collapsed="false">
      <c r="A14" s="26" t="s">
        <v>351</v>
      </c>
      <c r="B14" s="27" t="n">
        <v>163.96301</v>
      </c>
      <c r="C14" s="27" t="n">
        <v>550.57251</v>
      </c>
      <c r="D14" s="27" t="n">
        <v>107.89155</v>
      </c>
      <c r="E14" s="27" t="n">
        <v>312.85074</v>
      </c>
      <c r="F14" s="27" t="n">
        <v>38.71538</v>
      </c>
      <c r="G14" s="27" t="n">
        <v>83.30094</v>
      </c>
      <c r="H14" s="27" t="n">
        <f aca="false">SUM(B14:G14)</f>
        <v>1257.29413</v>
      </c>
    </row>
    <row r="15" customFormat="false" ht="15" hidden="false" customHeight="false" outlineLevel="0" collapsed="false">
      <c r="A15" s="26" t="s">
        <v>352</v>
      </c>
      <c r="B15" s="27" t="n">
        <v>219.44177</v>
      </c>
      <c r="C15" s="27" t="n">
        <v>632.89813</v>
      </c>
      <c r="D15" s="27" t="n">
        <v>142.25886</v>
      </c>
      <c r="E15" s="27" t="n">
        <v>289.02122</v>
      </c>
      <c r="F15" s="27" t="n">
        <v>48.88044</v>
      </c>
      <c r="G15" s="27" t="n">
        <v>108.63385</v>
      </c>
      <c r="H15" s="27" t="n">
        <f aca="false">SUM(B15:G15)</f>
        <v>1441.13427</v>
      </c>
    </row>
    <row r="16" customFormat="false" ht="15" hidden="false" customHeight="false" outlineLevel="0" collapsed="false">
      <c r="A16" s="26" t="s">
        <v>353</v>
      </c>
      <c r="B16" s="27" t="n">
        <v>316.06617</v>
      </c>
      <c r="C16" s="27" t="n">
        <v>332.26178</v>
      </c>
      <c r="D16" s="27" t="n">
        <v>178.48307</v>
      </c>
      <c r="E16" s="27" t="n">
        <v>347.83807</v>
      </c>
      <c r="F16" s="27" t="n">
        <v>78.28868</v>
      </c>
      <c r="G16" s="27" t="n">
        <v>88.99455</v>
      </c>
      <c r="H16" s="27" t="n">
        <f aca="false">SUM(B16:G16)</f>
        <v>1341.93232</v>
      </c>
    </row>
    <row r="17" customFormat="false" ht="15" hidden="false" customHeight="false" outlineLevel="0" collapsed="false">
      <c r="A17" s="26" t="s">
        <v>354</v>
      </c>
      <c r="B17" s="27" t="n">
        <v>370.79342</v>
      </c>
      <c r="C17" s="27" t="n">
        <v>657.55728</v>
      </c>
      <c r="D17" s="27" t="n">
        <v>417.76279</v>
      </c>
      <c r="E17" s="27" t="n">
        <v>266.33135</v>
      </c>
      <c r="F17" s="27" t="n">
        <v>108.31013</v>
      </c>
      <c r="G17" s="27" t="n">
        <v>77.46059</v>
      </c>
      <c r="H17" s="27" t="n">
        <f aca="false">SUM(B17:G17)</f>
        <v>1898.21556</v>
      </c>
    </row>
    <row r="18" customFormat="false" ht="15" hidden="false" customHeight="false" outlineLevel="0" collapsed="false">
      <c r="A18" s="26" t="s">
        <v>355</v>
      </c>
      <c r="B18" s="27" t="n">
        <v>399.48186</v>
      </c>
      <c r="C18" s="27" t="n">
        <v>722.33789</v>
      </c>
      <c r="D18" s="27" t="n">
        <v>317.57222</v>
      </c>
      <c r="E18" s="27" t="n">
        <v>401.56997</v>
      </c>
      <c r="F18" s="27" t="n">
        <v>125.65375</v>
      </c>
      <c r="G18" s="27" t="n">
        <v>69.36827</v>
      </c>
      <c r="H18" s="27" t="n">
        <f aca="false">SUM(B18:G18)</f>
        <v>2035.98396</v>
      </c>
    </row>
    <row r="19" customFormat="false" ht="15" hidden="false" customHeight="false" outlineLevel="0" collapsed="false">
      <c r="A19" s="26" t="s">
        <v>356</v>
      </c>
      <c r="B19" s="27" t="n">
        <v>287.39957</v>
      </c>
      <c r="C19" s="27" t="n">
        <v>507.95869</v>
      </c>
      <c r="D19" s="27" t="n">
        <v>189.78112</v>
      </c>
      <c r="E19" s="27" t="n">
        <v>404.08419</v>
      </c>
      <c r="F19" s="27" t="n">
        <v>110.70178</v>
      </c>
      <c r="G19" s="27" t="n">
        <v>85.5331</v>
      </c>
      <c r="H19" s="27" t="n">
        <f aca="false">SUM(B19:G19)</f>
        <v>1585.45845</v>
      </c>
    </row>
    <row r="20" customFormat="false" ht="15" hidden="false" customHeight="false" outlineLevel="0" collapsed="false">
      <c r="A20" s="26" t="s">
        <v>357</v>
      </c>
      <c r="B20" s="27" t="n">
        <v>163.31503</v>
      </c>
      <c r="C20" s="27" t="n">
        <v>429.48203</v>
      </c>
      <c r="D20" s="27" t="n">
        <v>168.61972</v>
      </c>
      <c r="E20" s="27" t="n">
        <v>301.23862</v>
      </c>
      <c r="F20" s="27" t="n">
        <v>151.69065</v>
      </c>
      <c r="G20" s="27" t="n">
        <v>126.569</v>
      </c>
      <c r="H20" s="27" t="n">
        <f aca="false">SUM(B20:G20)</f>
        <v>1340.91505</v>
      </c>
    </row>
    <row r="21" customFormat="false" ht="15" hidden="false" customHeight="false" outlineLevel="0" collapsed="false">
      <c r="A21" s="26" t="s">
        <v>358</v>
      </c>
      <c r="B21" s="27" t="n">
        <v>462.65271</v>
      </c>
      <c r="C21" s="27" t="n">
        <v>475.30022</v>
      </c>
      <c r="D21" s="27" t="n">
        <v>159.8387</v>
      </c>
      <c r="E21" s="27" t="n">
        <v>333.10406</v>
      </c>
      <c r="F21" s="27" t="n">
        <v>214.15844</v>
      </c>
      <c r="G21" s="27" t="n">
        <v>109.48784</v>
      </c>
      <c r="H21" s="27" t="n">
        <f aca="false">SUM(B21:G21)</f>
        <v>1754.54197</v>
      </c>
    </row>
    <row r="22" customFormat="false" ht="15" hidden="false" customHeight="false" outlineLevel="0" collapsed="false">
      <c r="A22" s="26" t="s">
        <v>359</v>
      </c>
      <c r="B22" s="27" t="n">
        <v>661.67823</v>
      </c>
      <c r="C22" s="27" t="n">
        <v>491.7565</v>
      </c>
      <c r="D22" s="27" t="n">
        <v>257.83476</v>
      </c>
      <c r="E22" s="27" t="n">
        <v>392.3951</v>
      </c>
      <c r="F22" s="27" t="n">
        <v>136.42798</v>
      </c>
      <c r="G22" s="27" t="n">
        <v>79.53986</v>
      </c>
      <c r="H22" s="27" t="n">
        <f aca="false">SUM(B22:G22)</f>
        <v>2019.63243</v>
      </c>
    </row>
    <row r="23" customFormat="false" ht="15" hidden="false" customHeight="false" outlineLevel="0" collapsed="false">
      <c r="A23" s="26" t="s">
        <v>360</v>
      </c>
      <c r="B23" s="27" t="n">
        <v>348.43137</v>
      </c>
      <c r="C23" s="27" t="n">
        <v>668.95415</v>
      </c>
      <c r="D23" s="27" t="n">
        <v>220.3523</v>
      </c>
      <c r="E23" s="27" t="n">
        <v>325.15503</v>
      </c>
      <c r="F23" s="27" t="n">
        <v>79.52538</v>
      </c>
      <c r="G23" s="27" t="n">
        <v>98.80354</v>
      </c>
      <c r="H23" s="27" t="n">
        <f aca="false">SUM(B23:G23)</f>
        <v>1741.22177</v>
      </c>
    </row>
    <row r="24" customFormat="false" ht="15" hidden="false" customHeight="false" outlineLevel="0" collapsed="false">
      <c r="A24" s="26" t="s">
        <v>361</v>
      </c>
      <c r="B24" s="27" t="n">
        <v>313.52174</v>
      </c>
      <c r="C24" s="27" t="n">
        <v>701.23819</v>
      </c>
      <c r="D24" s="27" t="n">
        <v>360.0853</v>
      </c>
      <c r="E24" s="27" t="n">
        <v>225.01639</v>
      </c>
      <c r="F24" s="27" t="n">
        <v>76.22693</v>
      </c>
      <c r="G24" s="27" t="n">
        <v>123.8818</v>
      </c>
      <c r="H24" s="27" t="n">
        <f aca="false">SUM(B24:G24)</f>
        <v>1799.97035</v>
      </c>
    </row>
    <row r="25" customFormat="false" ht="15" hidden="false" customHeight="false" outlineLevel="0" collapsed="false">
      <c r="A25" s="26" t="s">
        <v>362</v>
      </c>
      <c r="B25" s="27" t="n">
        <v>341.7834</v>
      </c>
      <c r="C25" s="27" t="n">
        <v>715.03875</v>
      </c>
      <c r="D25" s="27" t="n">
        <v>223.69117</v>
      </c>
      <c r="E25" s="27" t="n">
        <v>294.38681</v>
      </c>
      <c r="F25" s="27" t="n">
        <v>50.45366</v>
      </c>
      <c r="G25" s="27" t="n">
        <v>72.26144</v>
      </c>
      <c r="H25" s="27" t="n">
        <f aca="false">SUM(B25:G25)</f>
        <v>1697.61523</v>
      </c>
    </row>
    <row r="26" customFormat="false" ht="15" hidden="false" customHeight="false" outlineLevel="0" collapsed="false">
      <c r="A26" s="26" t="s">
        <v>122</v>
      </c>
      <c r="B26" s="27" t="n">
        <v>418.067</v>
      </c>
      <c r="C26" s="27" t="n">
        <v>608.24786</v>
      </c>
      <c r="D26" s="27" t="n">
        <v>332.28004</v>
      </c>
      <c r="E26" s="27" t="n">
        <v>387.76089</v>
      </c>
      <c r="F26" s="27" t="n">
        <v>32.90122</v>
      </c>
      <c r="G26" s="27" t="n">
        <v>112.1389</v>
      </c>
      <c r="H26" s="27" t="n">
        <f aca="false">SUM(B26:G26)</f>
        <v>1891.39591</v>
      </c>
    </row>
    <row r="27" customFormat="false" ht="15" hidden="false" customHeight="false" outlineLevel="0" collapsed="false">
      <c r="A27" s="26" t="s">
        <v>123</v>
      </c>
      <c r="B27" s="27" t="n">
        <v>262.73222</v>
      </c>
      <c r="C27" s="27" t="n">
        <v>693.32761</v>
      </c>
      <c r="D27" s="27" t="n">
        <v>454.34719</v>
      </c>
      <c r="E27" s="27" t="n">
        <v>353.27412</v>
      </c>
      <c r="F27" s="27" t="n">
        <v>27.41545</v>
      </c>
      <c r="G27" s="27" t="n">
        <v>311.15286</v>
      </c>
      <c r="H27" s="27" t="n">
        <f aca="false">SUM(B27:G27)</f>
        <v>2102.24945</v>
      </c>
    </row>
    <row r="28" customFormat="false" ht="15" hidden="false" customHeight="false" outlineLevel="0" collapsed="false">
      <c r="A28" s="26" t="s">
        <v>124</v>
      </c>
      <c r="B28" s="27" t="n">
        <v>538.62127</v>
      </c>
      <c r="C28" s="27" t="n">
        <v>921.1264</v>
      </c>
      <c r="D28" s="27" t="n">
        <v>325.10752</v>
      </c>
      <c r="E28" s="27" t="n">
        <v>129.70085</v>
      </c>
      <c r="F28" s="27" t="n">
        <v>25.0055</v>
      </c>
      <c r="G28" s="27" t="n">
        <v>450.43585</v>
      </c>
      <c r="H28" s="27" t="n">
        <f aca="false">SUM(B28:G28)</f>
        <v>2389.99739</v>
      </c>
    </row>
    <row r="29" customFormat="false" ht="15" hidden="false" customHeight="false" outlineLevel="0" collapsed="false">
      <c r="A29" s="26" t="s">
        <v>125</v>
      </c>
      <c r="B29" s="27" t="n">
        <v>525.71787</v>
      </c>
      <c r="C29" s="27" t="n">
        <v>1146.99844</v>
      </c>
      <c r="D29" s="27" t="n">
        <v>221.41985</v>
      </c>
      <c r="E29" s="27" t="n">
        <v>215.83605</v>
      </c>
      <c r="F29" s="27" t="n">
        <v>67.05864</v>
      </c>
      <c r="G29" s="27" t="n">
        <v>223.94555</v>
      </c>
      <c r="H29" s="27" t="n">
        <f aca="false">SUM(B29:G29)</f>
        <v>2400.9764</v>
      </c>
    </row>
    <row r="30" customFormat="false" ht="15" hidden="false" customHeight="false" outlineLevel="0" collapsed="false">
      <c r="A30" s="26" t="s">
        <v>126</v>
      </c>
      <c r="B30" s="27" t="n">
        <v>1123.58593</v>
      </c>
      <c r="C30" s="27" t="n">
        <v>820.19104</v>
      </c>
      <c r="D30" s="27" t="n">
        <v>388.06389</v>
      </c>
      <c r="E30" s="27" t="n">
        <v>281.38839</v>
      </c>
      <c r="F30" s="27" t="n">
        <v>97.22085</v>
      </c>
      <c r="G30" s="27" t="n">
        <v>216.99838</v>
      </c>
      <c r="H30" s="27" t="n">
        <f aca="false">SUM(B30:G30)</f>
        <v>2927.44848</v>
      </c>
    </row>
    <row r="31" customFormat="false" ht="15" hidden="false" customHeight="false" outlineLevel="0" collapsed="false">
      <c r="A31" s="26" t="s">
        <v>127</v>
      </c>
      <c r="B31" s="27" t="n">
        <v>1249.79837</v>
      </c>
      <c r="C31" s="27" t="n">
        <v>576.69033</v>
      </c>
      <c r="D31" s="27" t="n">
        <v>472.64565</v>
      </c>
      <c r="E31" s="27" t="n">
        <v>364.09965</v>
      </c>
      <c r="F31" s="27" t="n">
        <v>40.91457</v>
      </c>
      <c r="G31" s="27" t="n">
        <v>201.96357</v>
      </c>
      <c r="H31" s="27" t="n">
        <f aca="false">SUM(B31:G31)</f>
        <v>2906.11214</v>
      </c>
    </row>
    <row r="32" customFormat="false" ht="15" hidden="false" customHeight="false" outlineLevel="0" collapsed="false">
      <c r="A32" s="26" t="s">
        <v>128</v>
      </c>
      <c r="B32" s="27" t="n">
        <v>985.06527</v>
      </c>
      <c r="C32" s="27" t="n">
        <v>469.96215</v>
      </c>
      <c r="D32" s="27" t="n">
        <v>297.44551</v>
      </c>
      <c r="E32" s="27" t="n">
        <v>390.79784</v>
      </c>
      <c r="F32" s="27" t="n">
        <v>44.19744</v>
      </c>
      <c r="G32" s="27" t="n">
        <v>336.22573</v>
      </c>
      <c r="H32" s="27" t="n">
        <f aca="false">SUM(B32:G32)</f>
        <v>2523.69394</v>
      </c>
    </row>
    <row r="33" customFormat="false" ht="15" hidden="false" customHeight="false" outlineLevel="0" collapsed="false">
      <c r="A33" s="26" t="s">
        <v>129</v>
      </c>
      <c r="B33" s="27" t="n">
        <v>1200.67054</v>
      </c>
      <c r="C33" s="27" t="n">
        <v>639.52583</v>
      </c>
      <c r="D33" s="27" t="n">
        <v>504.5745</v>
      </c>
      <c r="E33" s="27" t="n">
        <v>281.91348</v>
      </c>
      <c r="F33" s="27" t="n">
        <v>107.13577</v>
      </c>
      <c r="G33" s="27" t="n">
        <v>476.41518</v>
      </c>
      <c r="H33" s="27" t="n">
        <f aca="false">SUM(B33:G33)</f>
        <v>3210.2353</v>
      </c>
    </row>
    <row r="34" customFormat="false" ht="15" hidden="false" customHeight="false" outlineLevel="0" collapsed="false">
      <c r="A34" s="26" t="s">
        <v>130</v>
      </c>
      <c r="B34" s="27" t="n">
        <v>1674.62288</v>
      </c>
      <c r="C34" s="27" t="n">
        <v>508.01099</v>
      </c>
      <c r="D34" s="27" t="n">
        <v>737.92263</v>
      </c>
      <c r="E34" s="27" t="n">
        <v>324.86435</v>
      </c>
      <c r="F34" s="27" t="n">
        <v>92.78707</v>
      </c>
      <c r="G34" s="27" t="n">
        <v>494.59985</v>
      </c>
      <c r="H34" s="27" t="n">
        <f aca="false">SUM(B34:G34)</f>
        <v>3832.80777</v>
      </c>
    </row>
    <row r="35" customFormat="false" ht="15" hidden="false" customHeight="false" outlineLevel="0" collapsed="false">
      <c r="A35" s="26" t="s">
        <v>131</v>
      </c>
      <c r="B35" s="27" t="n">
        <v>1193.07861</v>
      </c>
      <c r="C35" s="27" t="n">
        <v>381.23576</v>
      </c>
      <c r="D35" s="27" t="n">
        <v>930.12498</v>
      </c>
      <c r="E35" s="27" t="n">
        <v>221.47514</v>
      </c>
      <c r="F35" s="27" t="n">
        <v>121.28414</v>
      </c>
      <c r="G35" s="27" t="n">
        <v>335.25789</v>
      </c>
      <c r="H35" s="27" t="n">
        <f aca="false">SUM(B35:G35)</f>
        <v>3182.45652</v>
      </c>
    </row>
    <row r="36" customFormat="false" ht="15" hidden="false" customHeight="false" outlineLevel="0" collapsed="false">
      <c r="A36" s="26" t="s">
        <v>132</v>
      </c>
      <c r="B36" s="27" t="n">
        <v>791.31092</v>
      </c>
      <c r="C36" s="27" t="n">
        <v>634.31817</v>
      </c>
      <c r="D36" s="27" t="n">
        <v>851.52409</v>
      </c>
      <c r="E36" s="27" t="n">
        <v>251.96619</v>
      </c>
      <c r="F36" s="27" t="n">
        <v>143.9241</v>
      </c>
      <c r="G36" s="27" t="n">
        <v>255.26465</v>
      </c>
      <c r="H36" s="27" t="n">
        <f aca="false">SUM(B36:G36)</f>
        <v>2928.30812</v>
      </c>
    </row>
    <row r="37" customFormat="false" ht="15" hidden="false" customHeight="false" outlineLevel="0" collapsed="false">
      <c r="A37" s="26" t="s">
        <v>133</v>
      </c>
      <c r="B37" s="27" t="n">
        <v>687.87781</v>
      </c>
      <c r="C37" s="27" t="n">
        <v>500.88068</v>
      </c>
      <c r="D37" s="27" t="n">
        <v>513.9752</v>
      </c>
      <c r="E37" s="27" t="n">
        <v>521.36438</v>
      </c>
      <c r="F37" s="27" t="n">
        <v>150.96925</v>
      </c>
      <c r="G37" s="27" t="n">
        <v>474.89084</v>
      </c>
      <c r="H37" s="27" t="n">
        <f aca="false">SUM(B37:G37)</f>
        <v>2849.95816</v>
      </c>
    </row>
    <row r="38" customFormat="false" ht="15" hidden="false" customHeight="false" outlineLevel="0" collapsed="false">
      <c r="A38" s="26" t="s">
        <v>76</v>
      </c>
      <c r="B38" s="27" t="n">
        <v>553.0653</v>
      </c>
      <c r="C38" s="27" t="n">
        <v>1118.1286</v>
      </c>
      <c r="D38" s="27" t="n">
        <v>746.2972</v>
      </c>
      <c r="E38" s="27" t="n">
        <v>629.54491</v>
      </c>
      <c r="F38" s="27" t="n">
        <v>99.54519</v>
      </c>
      <c r="G38" s="27" t="n">
        <v>207.10971</v>
      </c>
      <c r="H38" s="27" t="n">
        <f aca="false">SUM(B38:G38)</f>
        <v>3353.69091</v>
      </c>
    </row>
    <row r="39" customFormat="false" ht="15" hidden="false" customHeight="false" outlineLevel="0" collapsed="false">
      <c r="A39" s="26" t="s">
        <v>77</v>
      </c>
      <c r="B39" s="27" t="n">
        <v>408.88525</v>
      </c>
      <c r="C39" s="27" t="n">
        <v>578.48942</v>
      </c>
      <c r="D39" s="27" t="n">
        <v>644.99075</v>
      </c>
      <c r="E39" s="27" t="n">
        <v>965.9927</v>
      </c>
      <c r="F39" s="27" t="n">
        <v>64.2347</v>
      </c>
      <c r="G39" s="27" t="n">
        <v>154.20509</v>
      </c>
      <c r="H39" s="27" t="n">
        <f aca="false">SUM(B39:G39)</f>
        <v>2816.79791</v>
      </c>
    </row>
    <row r="40" customFormat="false" ht="15" hidden="false" customHeight="false" outlineLevel="0" collapsed="false">
      <c r="A40" s="26" t="s">
        <v>78</v>
      </c>
      <c r="B40" s="27" t="n">
        <v>333.1369</v>
      </c>
      <c r="C40" s="27" t="n">
        <v>841.0438</v>
      </c>
      <c r="D40" s="27" t="n">
        <v>940.53972</v>
      </c>
      <c r="E40" s="27" t="n">
        <v>677.4426</v>
      </c>
      <c r="F40" s="27" t="n">
        <v>46.06359</v>
      </c>
      <c r="G40" s="27" t="n">
        <v>187.88836</v>
      </c>
      <c r="H40" s="27" t="n">
        <f aca="false">SUM(B40:G40)</f>
        <v>3026.11497</v>
      </c>
    </row>
    <row r="41" customFormat="false" ht="15" hidden="false" customHeight="false" outlineLevel="0" collapsed="false">
      <c r="A41" s="26" t="s">
        <v>79</v>
      </c>
      <c r="B41" s="27" t="n">
        <v>342.16431</v>
      </c>
      <c r="C41" s="27" t="n">
        <v>1362.31828</v>
      </c>
      <c r="D41" s="27" t="n">
        <v>811.84172</v>
      </c>
      <c r="E41" s="27" t="n">
        <v>686.01125</v>
      </c>
      <c r="F41" s="27" t="n">
        <v>55.68534</v>
      </c>
      <c r="G41" s="27" t="n">
        <v>188.8147</v>
      </c>
      <c r="H41" s="27" t="n">
        <f aca="false">SUM(B41:G41)</f>
        <v>3446.8356</v>
      </c>
    </row>
    <row r="42" customFormat="false" ht="15" hidden="false" customHeight="false" outlineLevel="0" collapsed="false">
      <c r="A42" s="26" t="s">
        <v>80</v>
      </c>
      <c r="B42" s="27" t="n">
        <v>822.25463</v>
      </c>
      <c r="C42" s="27" t="n">
        <v>810.65093</v>
      </c>
      <c r="D42" s="27" t="n">
        <v>954.60898</v>
      </c>
      <c r="E42" s="27" t="n">
        <v>568.30825</v>
      </c>
      <c r="F42" s="27" t="n">
        <v>110.69163</v>
      </c>
      <c r="G42" s="27" t="n">
        <v>130.63982</v>
      </c>
      <c r="H42" s="27" t="n">
        <f aca="false">SUM(B42:G42)</f>
        <v>3397.15424</v>
      </c>
    </row>
    <row r="43" customFormat="false" ht="15" hidden="false" customHeight="false" outlineLevel="0" collapsed="false">
      <c r="A43" s="26" t="s">
        <v>81</v>
      </c>
      <c r="B43" s="27" t="n">
        <v>902.70341</v>
      </c>
      <c r="C43" s="27" t="n">
        <v>651.84246</v>
      </c>
      <c r="D43" s="27" t="n">
        <v>946.81411</v>
      </c>
      <c r="E43" s="27" t="n">
        <v>501.79825</v>
      </c>
      <c r="F43" s="27" t="n">
        <v>73.26403</v>
      </c>
      <c r="G43" s="27" t="n">
        <v>103.67664</v>
      </c>
      <c r="H43" s="27" t="n">
        <f aca="false">SUM(B43:G43)</f>
        <v>3180.0989</v>
      </c>
    </row>
    <row r="44" customFormat="false" ht="15" hidden="false" customHeight="false" outlineLevel="0" collapsed="false">
      <c r="A44" s="26" t="s">
        <v>82</v>
      </c>
      <c r="B44" s="27" t="n">
        <v>411.98759</v>
      </c>
      <c r="C44" s="27" t="n">
        <v>680.93843</v>
      </c>
      <c r="D44" s="27" t="n">
        <v>1159.19034</v>
      </c>
      <c r="E44" s="27" t="n">
        <v>275.02403</v>
      </c>
      <c r="F44" s="27" t="n">
        <v>59.92803</v>
      </c>
      <c r="G44" s="27" t="n">
        <v>196.93405</v>
      </c>
      <c r="H44" s="27" t="n">
        <f aca="false">SUM(B44:G44)</f>
        <v>2784.00247</v>
      </c>
    </row>
    <row r="45" customFormat="false" ht="15" hidden="false" customHeight="false" outlineLevel="0" collapsed="false">
      <c r="A45" s="26" t="s">
        <v>83</v>
      </c>
      <c r="B45" s="27" t="n">
        <v>770.29773</v>
      </c>
      <c r="C45" s="27" t="n">
        <v>881.25215</v>
      </c>
      <c r="D45" s="27" t="n">
        <v>1122.64407</v>
      </c>
      <c r="E45" s="27" t="n">
        <v>285.02508</v>
      </c>
      <c r="F45" s="27" t="n">
        <v>88.12548</v>
      </c>
      <c r="G45" s="27" t="n">
        <v>323.5215</v>
      </c>
      <c r="H45" s="27" t="n">
        <f aca="false">SUM(B45:G45)</f>
        <v>3470.86601</v>
      </c>
    </row>
    <row r="46" customFormat="false" ht="15" hidden="false" customHeight="false" outlineLevel="0" collapsed="false">
      <c r="A46" s="26" t="s">
        <v>84</v>
      </c>
      <c r="B46" s="27" t="n">
        <v>1245.36955</v>
      </c>
      <c r="C46" s="27" t="n">
        <v>917.39988</v>
      </c>
      <c r="D46" s="27" t="n">
        <v>1331.82432</v>
      </c>
      <c r="E46" s="27" t="n">
        <v>292.34333</v>
      </c>
      <c r="F46" s="27" t="n">
        <v>96.7292</v>
      </c>
      <c r="G46" s="27" t="n">
        <v>425.4431</v>
      </c>
      <c r="H46" s="27" t="n">
        <f aca="false">SUM(B46:G46)</f>
        <v>4309.10938</v>
      </c>
    </row>
    <row r="47" customFormat="false" ht="15" hidden="false" customHeight="false" outlineLevel="0" collapsed="false">
      <c r="A47" s="26" t="s">
        <v>85</v>
      </c>
      <c r="B47" s="27" t="n">
        <v>1024.53678</v>
      </c>
      <c r="C47" s="27" t="n">
        <v>870.10155</v>
      </c>
      <c r="D47" s="27" t="n">
        <v>2226.57179</v>
      </c>
      <c r="E47" s="27" t="n">
        <v>454.90913</v>
      </c>
      <c r="F47" s="27" t="n">
        <v>96.73772</v>
      </c>
      <c r="G47" s="27" t="n">
        <v>259.06661</v>
      </c>
      <c r="H47" s="27" t="n">
        <f aca="false">SUM(B47:G47)</f>
        <v>4931.92358</v>
      </c>
    </row>
    <row r="48" customFormat="false" ht="15" hidden="false" customHeight="false" outlineLevel="0" collapsed="false">
      <c r="A48" s="26" t="s">
        <v>86</v>
      </c>
      <c r="B48" s="27" t="n">
        <v>940.67325</v>
      </c>
      <c r="C48" s="27" t="n">
        <v>1360.49966</v>
      </c>
      <c r="D48" s="27" t="n">
        <v>1690.01544</v>
      </c>
      <c r="E48" s="27" t="n">
        <v>647.65171</v>
      </c>
      <c r="F48" s="27" t="n">
        <v>131.90897</v>
      </c>
      <c r="G48" s="27" t="n">
        <v>341.20989</v>
      </c>
      <c r="H48" s="27" t="n">
        <f aca="false">SUM(B48:G48)</f>
        <v>5111.95892</v>
      </c>
    </row>
    <row r="49" customFormat="false" ht="15" hidden="false" customHeight="false" outlineLevel="0" collapsed="false">
      <c r="A49" s="26" t="s">
        <v>87</v>
      </c>
      <c r="B49" s="27" t="n">
        <v>1063.46687</v>
      </c>
      <c r="C49" s="27" t="n">
        <v>1375.71077</v>
      </c>
      <c r="D49" s="27" t="n">
        <v>2095.25785</v>
      </c>
      <c r="E49" s="27" t="n">
        <v>775.51253</v>
      </c>
      <c r="F49" s="27" t="n">
        <v>196.94488</v>
      </c>
      <c r="G49" s="27" t="n">
        <v>311.39873</v>
      </c>
      <c r="H49" s="27" t="n">
        <f aca="false">SUM(B49:G49)</f>
        <v>5818.29163</v>
      </c>
    </row>
    <row r="50" customFormat="false" ht="15" hidden="false" customHeight="false" outlineLevel="0" collapsed="false">
      <c r="A50" s="26" t="s">
        <v>88</v>
      </c>
      <c r="B50" s="27" t="n">
        <v>1202.59137</v>
      </c>
      <c r="C50" s="27" t="n">
        <v>1185.13402</v>
      </c>
      <c r="D50" s="27" t="n">
        <v>1945.11353</v>
      </c>
      <c r="E50" s="27" t="n">
        <v>919.64823</v>
      </c>
      <c r="F50" s="27" t="n">
        <v>409.96284</v>
      </c>
      <c r="G50" s="27" t="n">
        <v>300.97675</v>
      </c>
      <c r="H50" s="27" t="n">
        <f aca="false">SUM(B50:G50)</f>
        <v>5963.42674</v>
      </c>
    </row>
    <row r="51" customFormat="false" ht="15" hidden="false" customHeight="false" outlineLevel="0" collapsed="false">
      <c r="A51" s="26" t="s">
        <v>89</v>
      </c>
      <c r="B51" s="27" t="n">
        <v>1064.34707</v>
      </c>
      <c r="C51" s="27" t="n">
        <v>1384.29908</v>
      </c>
      <c r="D51" s="27" t="n">
        <v>1448.31462</v>
      </c>
      <c r="E51" s="27" t="n">
        <v>666.17773</v>
      </c>
      <c r="F51" s="27" t="n">
        <v>827.89075</v>
      </c>
      <c r="G51" s="27" t="n">
        <v>342.51079</v>
      </c>
      <c r="H51" s="27" t="n">
        <f aca="false">SUM(B51:G51)</f>
        <v>5733.54004</v>
      </c>
    </row>
    <row r="52" customFormat="false" ht="15" hidden="false" customHeight="false" outlineLevel="0" collapsed="false">
      <c r="A52" s="26" t="s">
        <v>90</v>
      </c>
      <c r="B52" s="27" t="n">
        <v>933.02796</v>
      </c>
      <c r="C52" s="27" t="n">
        <v>1592.53335</v>
      </c>
      <c r="D52" s="27" t="n">
        <v>2209.89738</v>
      </c>
      <c r="E52" s="27" t="n">
        <v>897.48906</v>
      </c>
      <c r="F52" s="27" t="n">
        <v>414.46903</v>
      </c>
      <c r="G52" s="27" t="n">
        <v>675.34237</v>
      </c>
      <c r="H52" s="27" t="n">
        <f aca="false">SUM(B52:G52)</f>
        <v>6722.75915</v>
      </c>
    </row>
    <row r="53" customFormat="false" ht="15" hidden="false" customHeight="false" outlineLevel="0" collapsed="false">
      <c r="A53" s="26" t="s">
        <v>91</v>
      </c>
      <c r="B53" s="27" t="n">
        <v>992.70406</v>
      </c>
      <c r="C53" s="27" t="n">
        <v>1940.79096</v>
      </c>
      <c r="D53" s="27" t="n">
        <v>1918.67204</v>
      </c>
      <c r="E53" s="27" t="n">
        <v>789.29508</v>
      </c>
      <c r="F53" s="27" t="n">
        <v>426.75772</v>
      </c>
      <c r="G53" s="27" t="n">
        <v>288.11232</v>
      </c>
      <c r="H53" s="27" t="n">
        <f aca="false">SUM(B53:G53)</f>
        <v>6356.33218</v>
      </c>
    </row>
    <row r="54" customFormat="false" ht="15" hidden="false" customHeight="false" outlineLevel="0" collapsed="false">
      <c r="A54" s="26" t="s">
        <v>92</v>
      </c>
      <c r="B54" s="27" t="n">
        <v>1072.76146</v>
      </c>
      <c r="C54" s="27" t="n">
        <v>1185.28842</v>
      </c>
      <c r="D54" s="27" t="n">
        <v>1843.71859</v>
      </c>
      <c r="E54" s="27" t="n">
        <v>935.86097</v>
      </c>
      <c r="F54" s="27" t="n">
        <v>362.01425</v>
      </c>
      <c r="G54" s="27" t="n">
        <v>282.68791</v>
      </c>
      <c r="H54" s="27" t="n">
        <f aca="false">SUM(B54:G54)</f>
        <v>5682.3316</v>
      </c>
    </row>
    <row r="55" customFormat="false" ht="15" hidden="false" customHeight="false" outlineLevel="0" collapsed="false">
      <c r="A55" s="26" t="s">
        <v>93</v>
      </c>
      <c r="B55" s="27" t="n">
        <v>973.11555</v>
      </c>
      <c r="C55" s="27" t="n">
        <v>858.76509</v>
      </c>
      <c r="D55" s="27" t="n">
        <v>2117.22298</v>
      </c>
      <c r="E55" s="27" t="n">
        <v>623.80419</v>
      </c>
      <c r="F55" s="27" t="n">
        <v>372.49682</v>
      </c>
      <c r="G55" s="27" t="n">
        <v>119.70462</v>
      </c>
      <c r="H55" s="27" t="n">
        <f aca="false">SUM(B55:G55)</f>
        <v>5065.10925</v>
      </c>
    </row>
    <row r="56" customFormat="false" ht="15" hidden="false" customHeight="false" outlineLevel="0" collapsed="false">
      <c r="A56" s="26" t="s">
        <v>94</v>
      </c>
      <c r="B56" s="27" t="n">
        <v>745.02583</v>
      </c>
      <c r="C56" s="27" t="n">
        <v>387.37968</v>
      </c>
      <c r="D56" s="27" t="n">
        <v>2865.92529</v>
      </c>
      <c r="E56" s="27" t="n">
        <v>451.53328</v>
      </c>
      <c r="F56" s="27" t="n">
        <v>293.31471</v>
      </c>
      <c r="G56" s="27" t="n">
        <v>229.68228</v>
      </c>
      <c r="H56" s="27" t="n">
        <f aca="false">SUM(B56:G56)</f>
        <v>4972.86107</v>
      </c>
    </row>
    <row r="57" customFormat="false" ht="15" hidden="false" customHeight="false" outlineLevel="0" collapsed="false">
      <c r="A57" s="26" t="s">
        <v>95</v>
      </c>
      <c r="B57" s="27" t="n">
        <v>755.39245</v>
      </c>
      <c r="C57" s="27" t="n">
        <v>640.75783</v>
      </c>
      <c r="D57" s="27" t="n">
        <v>3619.22629</v>
      </c>
      <c r="E57" s="27" t="n">
        <v>663.03611</v>
      </c>
      <c r="F57" s="27" t="n">
        <v>240.57873</v>
      </c>
      <c r="G57" s="27" t="n">
        <v>223.29298</v>
      </c>
      <c r="H57" s="27" t="n">
        <f aca="false">SUM(B57:G57)</f>
        <v>6142.28439</v>
      </c>
    </row>
    <row r="58" customFormat="false" ht="15" hidden="false" customHeight="false" outlineLevel="0" collapsed="false">
      <c r="A58" s="26" t="s">
        <v>96</v>
      </c>
      <c r="B58" s="27" t="n">
        <v>1142.82045</v>
      </c>
      <c r="C58" s="27" t="n">
        <v>606.8901</v>
      </c>
      <c r="D58" s="27" t="n">
        <v>3625.95821</v>
      </c>
      <c r="E58" s="27" t="n">
        <v>572.50389</v>
      </c>
      <c r="F58" s="27" t="n">
        <v>253.36244</v>
      </c>
      <c r="G58" s="27" t="n">
        <v>254.60209</v>
      </c>
      <c r="H58" s="27" t="n">
        <f aca="false">SUM(B58:G58)</f>
        <v>6456.13718</v>
      </c>
    </row>
    <row r="59" customFormat="false" ht="15" hidden="false" customHeight="false" outlineLevel="0" collapsed="false">
      <c r="A59" s="26" t="s">
        <v>97</v>
      </c>
      <c r="B59" s="27" t="n">
        <v>802.56793</v>
      </c>
      <c r="C59" s="27" t="n">
        <v>1176.2418</v>
      </c>
      <c r="D59" s="27" t="n">
        <v>4130.53807</v>
      </c>
      <c r="E59" s="27" t="n">
        <v>654.70356</v>
      </c>
      <c r="F59" s="27" t="n">
        <v>147.31691</v>
      </c>
      <c r="G59" s="27" t="n">
        <v>291.14524</v>
      </c>
      <c r="H59" s="27" t="n">
        <f aca="false">SUM(B59:G59)</f>
        <v>7202.51351</v>
      </c>
    </row>
    <row r="60" customFormat="false" ht="15" hidden="false" customHeight="false" outlineLevel="0" collapsed="false">
      <c r="A60" s="26" t="s">
        <v>98</v>
      </c>
      <c r="B60" s="27" t="n">
        <v>923.89946</v>
      </c>
      <c r="C60" s="27" t="n">
        <v>1037.48496</v>
      </c>
      <c r="D60" s="27" t="n">
        <v>3679.24223</v>
      </c>
      <c r="E60" s="27" t="n">
        <v>813.10006</v>
      </c>
      <c r="F60" s="27" t="n">
        <v>152.55722</v>
      </c>
      <c r="G60" s="27" t="n">
        <v>356.65301</v>
      </c>
      <c r="H60" s="27" t="n">
        <f aca="false">SUM(B60:G60)</f>
        <v>6962.93694</v>
      </c>
    </row>
    <row r="61" customFormat="false" ht="15" hidden="false" customHeight="false" outlineLevel="0" collapsed="false">
      <c r="A61" s="26" t="s">
        <v>99</v>
      </c>
      <c r="B61" s="27" t="n">
        <v>1318.90009</v>
      </c>
      <c r="C61" s="27" t="n">
        <v>1472.1108</v>
      </c>
      <c r="D61" s="27" t="n">
        <v>3960.49147</v>
      </c>
      <c r="E61" s="27" t="n">
        <v>764.95821</v>
      </c>
      <c r="F61" s="27" t="n">
        <v>249.41809</v>
      </c>
      <c r="G61" s="27" t="n">
        <v>356.33912</v>
      </c>
      <c r="H61" s="27" t="n">
        <f aca="false">SUM(B61:G61)</f>
        <v>8122.21778</v>
      </c>
    </row>
    <row r="62" customFormat="false" ht="15" hidden="false" customHeight="false" outlineLevel="0" collapsed="false">
      <c r="A62" s="26" t="s">
        <v>100</v>
      </c>
      <c r="B62" s="27" t="n">
        <v>1580.22156</v>
      </c>
      <c r="C62" s="27" t="n">
        <v>1954.72001</v>
      </c>
      <c r="D62" s="27" t="n">
        <v>3036.93258</v>
      </c>
      <c r="E62" s="27" t="n">
        <v>467.14456</v>
      </c>
      <c r="F62" s="27" t="n">
        <v>145.91002</v>
      </c>
      <c r="G62" s="27" t="n">
        <v>383.74474</v>
      </c>
      <c r="H62" s="27" t="n">
        <f aca="false">SUM(B62:G62)</f>
        <v>7568.67347</v>
      </c>
    </row>
    <row r="63" customFormat="false" ht="15" hidden="false" customHeight="false" outlineLevel="0" collapsed="false">
      <c r="A63" s="26" t="s">
        <v>101</v>
      </c>
      <c r="B63" s="27" t="n">
        <v>962.20776</v>
      </c>
      <c r="C63" s="27" t="n">
        <v>1708.87877</v>
      </c>
      <c r="D63" s="27" t="n">
        <v>3004.63801</v>
      </c>
      <c r="E63" s="27" t="n">
        <v>378.5889</v>
      </c>
      <c r="F63" s="27" t="n">
        <v>113.18455</v>
      </c>
      <c r="G63" s="27" t="n">
        <v>237.5422</v>
      </c>
      <c r="H63" s="27" t="n">
        <f aca="false">SUM(B63:G63)</f>
        <v>6405.04019</v>
      </c>
    </row>
    <row r="64" customFormat="false" ht="15" hidden="false" customHeight="false" outlineLevel="0" collapsed="false">
      <c r="A64" s="26" t="s">
        <v>102</v>
      </c>
      <c r="B64" s="27" t="n">
        <v>985.91832</v>
      </c>
      <c r="C64" s="27" t="n">
        <v>1356.01769</v>
      </c>
      <c r="D64" s="27" t="n">
        <v>3487.53108</v>
      </c>
      <c r="E64" s="27" t="n">
        <v>322.11587</v>
      </c>
      <c r="F64" s="27" t="n">
        <v>106.98395</v>
      </c>
      <c r="G64" s="27" t="n">
        <v>263.86584</v>
      </c>
      <c r="H64" s="27" t="n">
        <f aca="false">SUM(B64:G64)</f>
        <v>6522.43275</v>
      </c>
    </row>
    <row r="65" customFormat="false" ht="15" hidden="false" customHeight="false" outlineLevel="0" collapsed="false">
      <c r="A65" s="26" t="s">
        <v>103</v>
      </c>
      <c r="B65" s="27" t="n">
        <v>1382.78039</v>
      </c>
      <c r="C65" s="27" t="n">
        <v>1853.96111</v>
      </c>
      <c r="D65" s="27" t="n">
        <v>2921.08677</v>
      </c>
      <c r="E65" s="27" t="n">
        <v>265.56305</v>
      </c>
      <c r="F65" s="27" t="n">
        <v>111.71363</v>
      </c>
      <c r="G65" s="27" t="n">
        <v>708.33232</v>
      </c>
      <c r="H65" s="27" t="n">
        <f aca="false">SUM(B65:G65)</f>
        <v>7243.43727</v>
      </c>
    </row>
    <row r="66" customFormat="false" ht="15" hidden="false" customHeight="false" outlineLevel="0" collapsed="false">
      <c r="A66" s="26" t="s">
        <v>104</v>
      </c>
      <c r="B66" s="27" t="n">
        <v>1790.50751</v>
      </c>
      <c r="C66" s="27" t="n">
        <v>2020.68618</v>
      </c>
      <c r="D66" s="27" t="n">
        <v>2334.01134</v>
      </c>
      <c r="E66" s="27" t="n">
        <v>463.05684</v>
      </c>
      <c r="F66" s="27" t="n">
        <v>287.47926</v>
      </c>
      <c r="G66" s="27" t="n">
        <v>336.58972</v>
      </c>
      <c r="H66" s="27" t="n">
        <f aca="false">SUM(B66:G66)</f>
        <v>7232.33085</v>
      </c>
    </row>
    <row r="67" customFormat="false" ht="15" hidden="false" customHeight="false" outlineLevel="0" collapsed="false">
      <c r="A67" s="26" t="s">
        <v>105</v>
      </c>
      <c r="B67" s="27" t="n">
        <v>1573.77089</v>
      </c>
      <c r="C67" s="27" t="n">
        <v>2250.93994</v>
      </c>
      <c r="D67" s="27" t="n">
        <v>2471.72286</v>
      </c>
      <c r="E67" s="27" t="n">
        <v>720.08008</v>
      </c>
      <c r="F67" s="27" t="n">
        <v>193.58125</v>
      </c>
      <c r="G67" s="27" t="n">
        <v>308.60982</v>
      </c>
      <c r="H67" s="27" t="n">
        <f aca="false">SUM(B67:G67)</f>
        <v>7518.70484</v>
      </c>
    </row>
    <row r="69" customFormat="false" ht="15" hidden="false" customHeight="false" outlineLevel="0" collapsed="false">
      <c r="A69" s="25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44" hidden="false" customHeight="false" outlineLevel="0" collapsed="false">
      <c r="A1" s="8" t="s">
        <v>364</v>
      </c>
      <c r="B1" s="20" t="s">
        <v>365</v>
      </c>
      <c r="C1" s="20" t="s">
        <v>36</v>
      </c>
      <c r="D1" s="20" t="s">
        <v>37</v>
      </c>
      <c r="E1" s="20" t="s">
        <v>38</v>
      </c>
    </row>
    <row r="2" customFormat="false" ht="15" hidden="false" customHeight="false" outlineLevel="0" collapsed="false">
      <c r="A2" s="21" t="s">
        <v>22</v>
      </c>
      <c r="B2" s="23" t="n">
        <f aca="false">ラグ相関!C5</f>
        <v>0.47</v>
      </c>
      <c r="C2" s="23" t="n">
        <f aca="false">ラグ相関!C7</f>
        <v>0.57</v>
      </c>
      <c r="D2" s="23" t="n">
        <f aca="false">ラグ相関!C9</f>
        <v>0.5</v>
      </c>
      <c r="E2" s="23" t="n">
        <f aca="false">ラグ相関!C11</f>
        <v>0.36</v>
      </c>
    </row>
    <row r="3" customFormat="false" ht="15" hidden="false" customHeight="false" outlineLevel="0" collapsed="false">
      <c r="A3" s="21" t="s">
        <v>23</v>
      </c>
      <c r="B3" s="23" t="n">
        <f aca="false">ラグ相関!D5</f>
        <v>0.59</v>
      </c>
      <c r="C3" s="23" t="n">
        <f aca="false">ラグ相関!D7</f>
        <v>0.64</v>
      </c>
      <c r="D3" s="23" t="n">
        <f aca="false">ラグ相関!D9</f>
        <v>0.65</v>
      </c>
      <c r="E3" s="23" t="n">
        <f aca="false">ラグ相関!D11</f>
        <v>0.56</v>
      </c>
    </row>
    <row r="4" customFormat="false" ht="15" hidden="false" customHeight="false" outlineLevel="0" collapsed="false">
      <c r="A4" s="21" t="s">
        <v>24</v>
      </c>
      <c r="B4" s="23" t="n">
        <f aca="false">ラグ相関!E5</f>
        <v>0.75</v>
      </c>
      <c r="C4" s="23" t="n">
        <f aca="false">ラグ相関!E7</f>
        <v>0.69</v>
      </c>
      <c r="D4" s="23" t="n">
        <f aca="false">ラグ相関!E9</f>
        <v>0.82</v>
      </c>
      <c r="E4" s="23" t="n">
        <f aca="false">ラグ相関!E11</f>
        <v>0.76</v>
      </c>
    </row>
    <row r="5" customFormat="false" ht="15" hidden="false" customHeight="false" outlineLevel="0" collapsed="false">
      <c r="A5" s="21" t="s">
        <v>25</v>
      </c>
      <c r="B5" s="23" t="n">
        <f aca="false">ラグ相関!F5</f>
        <v>0.86</v>
      </c>
      <c r="C5" s="23" t="n">
        <f aca="false">ラグ相関!F7</f>
        <v>0.83</v>
      </c>
      <c r="D5" s="23" t="n">
        <f aca="false">ラグ相関!F9</f>
        <v>0.91</v>
      </c>
      <c r="E5" s="23" t="n">
        <f aca="false">ラグ相関!F11</f>
        <v>0.85</v>
      </c>
    </row>
    <row r="6" customFormat="false" ht="15" hidden="false" customHeight="false" outlineLevel="0" collapsed="false">
      <c r="A6" s="21" t="s">
        <v>26</v>
      </c>
      <c r="B6" s="23" t="n">
        <f aca="false">ラグ相関!G5</f>
        <v>0.83</v>
      </c>
      <c r="C6" s="23" t="n">
        <f aca="false">ラグ相関!G7</f>
        <v>0.93</v>
      </c>
      <c r="D6" s="23" t="n">
        <f aca="false">ラグ相関!G9</f>
        <v>0.9</v>
      </c>
      <c r="E6" s="23" t="n">
        <f aca="false">ラグ相関!G11</f>
        <v>0.76</v>
      </c>
    </row>
    <row r="7" customFormat="false" ht="15" hidden="false" customHeight="false" outlineLevel="0" collapsed="false">
      <c r="A7" s="21" t="s">
        <v>27</v>
      </c>
      <c r="B7" s="23" t="n">
        <f aca="false">ラグ相関!H5</f>
        <v>0.73</v>
      </c>
      <c r="C7" s="23" t="n">
        <f aca="false">ラグ相関!H7</f>
        <v>0.94</v>
      </c>
      <c r="D7" s="23" t="n">
        <f aca="false">ラグ相関!H9</f>
        <v>0.82</v>
      </c>
      <c r="E7" s="23" t="n">
        <f aca="false">ラグ相関!H11</f>
        <v>0.6</v>
      </c>
    </row>
    <row r="8" customFormat="false" ht="15" hidden="false" customHeight="false" outlineLevel="0" collapsed="false">
      <c r="A8" s="21" t="s">
        <v>28</v>
      </c>
      <c r="B8" s="23" t="n">
        <f aca="false">ラグ相関!I5</f>
        <v>0.66</v>
      </c>
      <c r="C8" s="23" t="n">
        <f aca="false">ラグ相関!I7</f>
        <v>0.93</v>
      </c>
      <c r="D8" s="23" t="n">
        <f aca="false">ラグ相関!I9</f>
        <v>0.67</v>
      </c>
      <c r="E8" s="23" t="n">
        <f aca="false">ラグ相関!I11</f>
        <v>0.42</v>
      </c>
    </row>
    <row r="9" customFormat="false" ht="15" hidden="false" customHeight="false" outlineLevel="0" collapsed="false">
      <c r="A9" s="21" t="s">
        <v>29</v>
      </c>
      <c r="B9" s="23" t="n">
        <f aca="false">ラグ相関!J5</f>
        <v>0.67</v>
      </c>
      <c r="C9" s="23" t="n">
        <f aca="false">ラグ相関!J7</f>
        <v>0.83</v>
      </c>
      <c r="D9" s="23" t="n">
        <f aca="false">ラグ相関!J9</f>
        <v>0.58</v>
      </c>
      <c r="E9" s="23" t="n">
        <f aca="false">ラグ相関!J11</f>
        <v>0.42</v>
      </c>
    </row>
    <row r="10" customFormat="false" ht="15" hidden="false" customHeight="false" outlineLevel="0" collapsed="false">
      <c r="A10" s="21" t="s">
        <v>30</v>
      </c>
      <c r="B10" s="23" t="n">
        <f aca="false">ラグ相関!K5</f>
        <v>0.53</v>
      </c>
      <c r="C10" s="23" t="n">
        <f aca="false">ラグ相関!K7</f>
        <v>0.66</v>
      </c>
      <c r="D10" s="23" t="n">
        <f aca="false">ラグ相関!K9</f>
        <v>0.44</v>
      </c>
      <c r="E10" s="23" t="n">
        <f aca="false">ラグ相関!K11</f>
        <v>0.42</v>
      </c>
    </row>
    <row r="11" customFormat="false" ht="15" hidden="false" customHeight="false" outlineLevel="0" collapsed="false">
      <c r="A11" s="21" t="s">
        <v>31</v>
      </c>
      <c r="B11" s="23" t="n">
        <f aca="false">ラグ相関!L5</f>
        <v>0.45</v>
      </c>
      <c r="C11" s="23" t="n">
        <f aca="false">ラグ相関!L7</f>
        <v>0.63</v>
      </c>
      <c r="D11" s="23" t="n">
        <f aca="false">ラグ相関!L9</f>
        <v>0.36</v>
      </c>
      <c r="E11" s="23" t="n">
        <f aca="false">ラグ相関!L11</f>
        <v>0.43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2026-10-02T03:04:33Z</dcterms:created>
  <dc:creator>openpyxl</dc:creator>
  <dc:description/>
  <dc:language>en-US</dc:language>
  <cp:lastModifiedBy/>
  <dcterms:modified xsi:type="dcterms:W3CDTF">2026-10-02T12:13:26Z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