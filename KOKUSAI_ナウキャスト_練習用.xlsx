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5.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手順" sheetId="1" state="visible" r:id="rId3"/>
    <sheet name="速報_原データ" sheetId="2" state="visible" r:id="rId4"/>
    <sheet name="貿易_月次" sheetId="3" state="visible" r:id="rId5"/>
    <sheet name="KOKUSAI_四半期" sheetId="4" state="visible" r:id="rId6"/>
    <sheet name="四半期集計" sheetId="5" state="visible" r:id="rId7"/>
    <sheet name="回帰" sheetId="6" state="visible" r:id="rId8"/>
    <sheet name="ナウキャスト" sheetId="7" state="visible" r:id="rId9"/>
    <sheet name="出所・注記" sheetId="8" state="visible" r:id="rId10"/>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4" authorId="0">
      <text>
        <r>
          <rPr>
            <sz val="10"/>
            <rFont val="Noto Sans CJK SC"/>
            <family val="2"/>
          </rPr>
          <t xml:space="preserve">会社開示の「中国地場向け」比率。比率の母数（全社か装置か）は要確認。</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3" authorId="0">
      <text>
        <r>
          <rPr>
            <sz val="10"/>
            <rFont val="Noto Sans CJK SC"/>
            <family val="2"/>
          </rPr>
          <t xml:space="preserve">ナウキャスト表は</t>
        </r>
        <r>
          <rPr>
            <sz val="10"/>
            <rFont val="Arial"/>
            <family val="2"/>
          </rPr>
          <t xml:space="preserve">k=0</t>
        </r>
        <r>
          <rPr>
            <sz val="10"/>
            <rFont val="Noto Sans CJK SC"/>
            <family val="2"/>
          </rPr>
          <t xml:space="preserve">（</t>
        </r>
        <r>
          <rPr>
            <sz val="10"/>
            <rFont val="Arial"/>
            <family val="2"/>
          </rPr>
          <t xml:space="preserve">9</t>
        </r>
        <r>
          <rPr>
            <sz val="10"/>
            <rFont val="Noto Sans CJK SC"/>
            <family val="2"/>
          </rPr>
          <t xml:space="preserve">月は推計）と</t>
        </r>
        <r>
          <rPr>
            <sz val="10"/>
            <rFont val="Arial"/>
            <family val="2"/>
          </rPr>
          <t xml:space="preserve">k=1</t>
        </r>
        <r>
          <rPr>
            <sz val="10"/>
            <rFont val="Noto Sans CJK SC"/>
            <family val="2"/>
          </rPr>
          <t xml:space="preserve">（</t>
        </r>
        <r>
          <rPr>
            <sz val="10"/>
            <rFont val="Arial"/>
            <family val="2"/>
          </rPr>
          <t xml:space="preserve">6-8</t>
        </r>
        <r>
          <rPr>
            <sz val="10"/>
            <rFont val="Noto Sans CJK SC"/>
            <family val="2"/>
          </rPr>
          <t xml:space="preserve">月実績）を前提に作られている。</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30" authorId="0">
      <text>
        <r>
          <rPr>
            <sz val="10"/>
            <rFont val="Noto Sans CJK SC"/>
            <family val="2"/>
          </rPr>
          <t xml:space="preserve">会社の修正後上期計画。出所：</t>
        </r>
        <r>
          <rPr>
            <sz val="10"/>
            <rFont val="Arial"/>
            <family val="2"/>
          </rPr>
          <t xml:space="preserve">Yahoo!</t>
        </r>
        <r>
          <rPr>
            <sz val="10"/>
            <rFont val="Noto Sans CJK SC"/>
            <family val="2"/>
          </rPr>
          <t xml:space="preserve">ファイナンス決算情報（</t>
        </r>
        <r>
          <rPr>
            <sz val="10"/>
            <rFont val="Arial"/>
            <family val="2"/>
          </rPr>
          <t xml:space="preserve">2026</t>
        </r>
        <r>
          <rPr>
            <sz val="10"/>
            <rFont val="Noto Sans CJK SC"/>
            <family val="2"/>
          </rPr>
          <t xml:space="preserve">年</t>
        </r>
        <r>
          <rPr>
            <sz val="10"/>
            <rFont val="Arial"/>
            <family val="2"/>
          </rPr>
          <t xml:space="preserve">8</t>
        </r>
        <r>
          <rPr>
            <sz val="10"/>
            <rFont val="Noto Sans CJK SC"/>
            <family val="2"/>
          </rPr>
          <t xml:space="preserve">月の</t>
        </r>
        <r>
          <rPr>
            <sz val="10"/>
            <rFont val="Arial"/>
            <family val="2"/>
          </rPr>
          <t xml:space="preserve">1Q</t>
        </r>
        <r>
          <rPr>
            <sz val="10"/>
            <rFont val="Noto Sans CJK SC"/>
            <family val="2"/>
          </rPr>
          <t xml:space="preserve">決算発表時）。</t>
        </r>
      </text>
    </comment>
  </commentList>
</comments>
</file>

<file path=xl/sharedStrings.xml><?xml version="1.0" encoding="utf-8"?>
<sst xmlns="http://schemas.openxmlformats.org/spreadsheetml/2006/main" count="1441" uniqueCount="640">
  <si>
    <r>
      <rPr>
        <b val="true"/>
        <sz val="12"/>
        <rFont val="Noto Sans CJK SC"/>
        <family val="2"/>
      </rPr>
      <t xml:space="preserve">作り方：黄色のセルを上から順に埋める（完成版＝</t>
    </r>
    <r>
      <rPr>
        <b val="true"/>
        <sz val="12"/>
        <rFont val="Arial"/>
        <family val="0"/>
        <charset val="1"/>
      </rPr>
      <t xml:space="preserve">KOKUSAI_</t>
    </r>
    <r>
      <rPr>
        <b val="true"/>
        <sz val="12"/>
        <rFont val="Noto Sans CJK SC"/>
        <family val="2"/>
      </rPr>
      <t xml:space="preserve">貿易統計ナウキャスト</t>
    </r>
    <r>
      <rPr>
        <b val="true"/>
        <sz val="12"/>
        <rFont val="Arial"/>
        <family val="0"/>
        <charset val="1"/>
      </rPr>
      <t xml:space="preserve">.xlsx </t>
    </r>
    <r>
      <rPr>
        <b val="true"/>
        <sz val="12"/>
        <rFont val="Noto Sans CJK SC"/>
        <family val="2"/>
      </rPr>
      <t xml:space="preserve">が答え）</t>
    </r>
  </si>
  <si>
    <t xml:space="preserve">凡例：青字＝入力済みのデータ、黄色＝自分で式を入れるセル、緑字＝他シートの参照。</t>
  </si>
  <si>
    <r>
      <rPr>
        <sz val="9"/>
        <color rgb="FF555555"/>
        <rFont val="Noto Sans CJK SC"/>
        <family val="2"/>
      </rPr>
      <t xml:space="preserve">式の写し方：</t>
    </r>
    <r>
      <rPr>
        <sz val="9"/>
        <color rgb="FF555555"/>
        <rFont val="Arial"/>
        <family val="0"/>
        <charset val="1"/>
      </rPr>
      <t xml:space="preserve">E</t>
    </r>
    <r>
      <rPr>
        <sz val="9"/>
        <color rgb="FF555555"/>
        <rFont val="Noto Sans CJK SC"/>
        <family val="2"/>
      </rPr>
      <t xml:space="preserve">列のセルをダブルクリック（または数式バー）で式の文字をコピーし、</t>
    </r>
    <r>
      <rPr>
        <sz val="9"/>
        <color rgb="FF555555"/>
        <rFont val="Arial"/>
        <family val="0"/>
        <charset val="1"/>
      </rPr>
      <t xml:space="preserve">D</t>
    </r>
    <r>
      <rPr>
        <sz val="9"/>
        <color rgb="FF555555"/>
        <rFont val="Noto Sans CJK SC"/>
        <family val="2"/>
      </rPr>
      <t xml:space="preserve">列のセルに貼り付けて確定する。</t>
    </r>
    <r>
      <rPr>
        <sz val="9"/>
        <color rgb="FF555555"/>
        <rFont val="Arial"/>
        <family val="0"/>
        <charset val="1"/>
      </rPr>
      <t xml:space="preserve">F</t>
    </r>
    <r>
      <rPr>
        <sz val="9"/>
        <color rgb="FF555555"/>
        <rFont val="Noto Sans CJK SC"/>
        <family val="2"/>
      </rPr>
      <t xml:space="preserve">列の範囲へはフィルハンドルで広げる。</t>
    </r>
  </si>
  <si>
    <r>
      <rPr>
        <sz val="9"/>
        <color rgb="FF555555"/>
        <rFont val="Noto Sans CJK SC"/>
        <family val="2"/>
      </rPr>
      <t xml:space="preserve">確認：</t>
    </r>
    <r>
      <rPr>
        <sz val="9"/>
        <color rgb="FF555555"/>
        <rFont val="Arial"/>
        <family val="0"/>
        <charset val="1"/>
      </rPr>
      <t xml:space="preserve">H</t>
    </r>
    <r>
      <rPr>
        <sz val="9"/>
        <color rgb="FF555555"/>
        <rFont val="Noto Sans CJK SC"/>
        <family val="2"/>
      </rPr>
      <t xml:space="preserve">列の値と同じになれば正解。ずれたら、そのステップの前のステップから見直す。</t>
    </r>
  </si>
  <si>
    <r>
      <rPr>
        <sz val="9"/>
        <color rgb="FF555555"/>
        <rFont val="Noto Sans CJK SC"/>
        <family val="2"/>
      </rPr>
      <t xml:space="preserve">流れ：</t>
    </r>
    <r>
      <rPr>
        <sz val="9"/>
        <color rgb="FF555555"/>
        <rFont val="Arial"/>
        <family val="0"/>
        <charset val="1"/>
      </rPr>
      <t xml:space="preserve">Step1 </t>
    </r>
    <r>
      <rPr>
        <sz val="9"/>
        <color rgb="FF555555"/>
        <rFont val="Noto Sans CJK SC"/>
        <family val="2"/>
      </rPr>
      <t xml:space="preserve">売上を中国地場とグローバルに分ける → </t>
    </r>
    <r>
      <rPr>
        <sz val="9"/>
        <color rgb="FF555555"/>
        <rFont val="Arial"/>
        <family val="0"/>
        <charset val="1"/>
      </rPr>
      <t xml:space="preserve">Step2 </t>
    </r>
    <r>
      <rPr>
        <sz val="9"/>
        <color rgb="FF555555"/>
        <rFont val="Noto Sans CJK SC"/>
        <family val="2"/>
      </rPr>
      <t xml:space="preserve">月次の輸出パネル → </t>
    </r>
    <r>
      <rPr>
        <sz val="9"/>
        <color rgb="FF555555"/>
        <rFont val="Arial"/>
        <family val="0"/>
        <charset val="1"/>
      </rPr>
      <t xml:space="preserve">Step3 </t>
    </r>
    <r>
      <rPr>
        <sz val="9"/>
        <color rgb="FF555555"/>
        <rFont val="Noto Sans CJK SC"/>
        <family val="2"/>
      </rPr>
      <t xml:space="preserve">四半期に集計（ラグ</t>
    </r>
    <r>
      <rPr>
        <sz val="9"/>
        <color rgb="FF555555"/>
        <rFont val="Arial"/>
        <family val="0"/>
        <charset val="1"/>
      </rPr>
      <t xml:space="preserve">k</t>
    </r>
    <r>
      <rPr>
        <sz val="9"/>
        <color rgb="FF555555"/>
        <rFont val="Noto Sans CJK SC"/>
        <family val="2"/>
      </rPr>
      <t xml:space="preserve">） → </t>
    </r>
    <r>
      <rPr>
        <sz val="9"/>
        <color rgb="FF555555"/>
        <rFont val="Arial"/>
        <family val="0"/>
        <charset val="1"/>
      </rPr>
      <t xml:space="preserve">Step4 </t>
    </r>
    <r>
      <rPr>
        <sz val="9"/>
        <color rgb="FF555555"/>
        <rFont val="Noto Sans CJK SC"/>
        <family val="2"/>
      </rPr>
      <t xml:space="preserve">回帰と精度 → </t>
    </r>
    <r>
      <rPr>
        <sz val="9"/>
        <color rgb="FF555555"/>
        <rFont val="Arial"/>
        <family val="0"/>
        <charset val="1"/>
      </rPr>
      <t xml:space="preserve">Step5 2Q</t>
    </r>
    <r>
      <rPr>
        <sz val="9"/>
        <color rgb="FF555555"/>
        <rFont val="Noto Sans CJK SC"/>
        <family val="2"/>
      </rPr>
      <t xml:space="preserve">の予測と計画比較。</t>
    </r>
  </si>
  <si>
    <t xml:space="preserve">No</t>
  </si>
  <si>
    <t xml:space="preserve">Step</t>
  </si>
  <si>
    <t xml:space="preserve">シート</t>
  </si>
  <si>
    <t xml:space="preserve">セル</t>
  </si>
  <si>
    <t xml:space="preserve">入れる式（文字としてコピーする）</t>
  </si>
  <si>
    <t xml:space="preserve">コピー先</t>
  </si>
  <si>
    <t xml:space="preserve">意味</t>
  </si>
  <si>
    <t xml:space="preserve">確認値（答え）</t>
  </si>
  <si>
    <t xml:space="preserve">1</t>
  </si>
  <si>
    <r>
      <rPr>
        <sz val="10"/>
        <rFont val="Arial"/>
        <family val="0"/>
        <charset val="1"/>
      </rPr>
      <t xml:space="preserve">KOKUSAI_</t>
    </r>
    <r>
      <rPr>
        <sz val="10"/>
        <rFont val="Noto Sans CJK SC"/>
        <family val="2"/>
      </rPr>
      <t xml:space="preserve">四半期</t>
    </r>
  </si>
  <si>
    <t xml:space="preserve">H5</t>
  </si>
  <si>
    <t xml:space="preserve">=D5*G5</t>
  </si>
  <si>
    <t xml:space="preserve">H5:H17</t>
  </si>
  <si>
    <r>
      <rPr>
        <sz val="10"/>
        <rFont val="Noto Sans CJK SC"/>
        <family val="2"/>
      </rPr>
      <t xml:space="preserve">中国地場売上＝売上</t>
    </r>
    <r>
      <rPr>
        <sz val="10"/>
        <rFont val="Arial"/>
        <family val="0"/>
        <charset val="1"/>
      </rPr>
      <t xml:space="preserve">×</t>
    </r>
    <r>
      <rPr>
        <sz val="10"/>
        <rFont val="Noto Sans CJK SC"/>
        <family val="2"/>
      </rPr>
      <t xml:space="preserve">中国地場比率</t>
    </r>
  </si>
  <si>
    <r>
      <rPr>
        <sz val="10"/>
        <rFont val="Arial"/>
        <family val="0"/>
        <charset val="1"/>
      </rPr>
      <t xml:space="preserve">H6</t>
    </r>
    <r>
      <rPr>
        <sz val="10"/>
        <rFont val="Noto Sans CJK SC"/>
        <family val="2"/>
      </rPr>
      <t xml:space="preserve">＝</t>
    </r>
    <r>
      <rPr>
        <sz val="10"/>
        <rFont val="Arial"/>
        <family val="0"/>
        <charset val="1"/>
      </rPr>
      <t xml:space="preserve">220.5</t>
    </r>
  </si>
  <si>
    <t xml:space="preserve">I5</t>
  </si>
  <si>
    <t xml:space="preserve">=D5-H5</t>
  </si>
  <si>
    <t xml:space="preserve">I5:I17</t>
  </si>
  <si>
    <t xml:space="preserve">グローバル売上＝売上−中国地場</t>
  </si>
  <si>
    <r>
      <rPr>
        <sz val="10"/>
        <rFont val="Arial"/>
        <family val="0"/>
        <charset val="1"/>
      </rPr>
      <t xml:space="preserve">I6</t>
    </r>
    <r>
      <rPr>
        <sz val="10"/>
        <rFont val="Noto Sans CJK SC"/>
        <family val="2"/>
      </rPr>
      <t xml:space="preserve">＝</t>
    </r>
    <r>
      <rPr>
        <sz val="10"/>
        <rFont val="Arial"/>
        <family val="0"/>
        <charset val="1"/>
      </rPr>
      <t xml:space="preserve">229.5</t>
    </r>
  </si>
  <si>
    <t xml:space="preserve">2</t>
  </si>
  <si>
    <r>
      <rPr>
        <sz val="10"/>
        <rFont val="Noto Sans CJK SC"/>
        <family val="2"/>
      </rPr>
      <t xml:space="preserve">貿易</t>
    </r>
    <r>
      <rPr>
        <sz val="10"/>
        <rFont val="Arial"/>
        <family val="0"/>
        <charset val="1"/>
      </rPr>
      <t xml:space="preserve">_</t>
    </r>
    <r>
      <rPr>
        <sz val="10"/>
        <rFont val="Noto Sans CJK SC"/>
        <family val="2"/>
      </rPr>
      <t xml:space="preserve">月次</t>
    </r>
  </si>
  <si>
    <t xml:space="preserve">B5</t>
  </si>
  <si>
    <r>
      <rPr>
        <sz val="9"/>
        <rFont val="Consolas"/>
        <family val="0"/>
        <charset val="1"/>
      </rPr>
      <t xml:space="preserve">=IF(COUNTIFS('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'!$A:$A,$A5,'</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'!$B:$B,B$3)&gt;0,SUMIFS('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'!$C:$C,'</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'!$A:$A,$A5,'</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'!$B:$B,B$3)/100,IF(COUNTIFS('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'!$A:$A,EDATE($A5,12),'</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'!$B:$B,B$3)&gt;0,SUMIFS('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'!$C:$C,'</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'!$A:$A,EDATE($A5,12),'</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'!$B:$B,B$3)/100/(1+SUMIFS('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'!$D:$D,'</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'!$A:$A,EDATE($A5,12),'</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'!$B:$B,B$3)/100),IF(COUNTIFS('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'!$I:$I,EDATE($A5,12),'</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'!$J:$J,B$3)&gt;0,B17/(1+SUMIFS('</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'!$K:$K,'</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'!$I:$I,EDATE($A5,12),'</t>
    </r>
    <r>
      <rPr>
        <sz val="9"/>
        <rFont val="Noto Sans CJK SC"/>
        <family val="2"/>
      </rPr>
      <t xml:space="preserve">速報</t>
    </r>
    <r>
      <rPr>
        <sz val="9"/>
        <rFont val="Consolas"/>
        <family val="0"/>
        <charset val="1"/>
      </rPr>
      <t xml:space="preserve">_</t>
    </r>
    <r>
      <rPr>
        <sz val="9"/>
        <rFont val="Noto Sans CJK SC"/>
        <family val="2"/>
      </rPr>
      <t xml:space="preserve">原データ</t>
    </r>
    <r>
      <rPr>
        <sz val="9"/>
        <rFont val="Consolas"/>
        <family val="0"/>
        <charset val="1"/>
      </rPr>
      <t xml:space="preserve">'!$J:$J,B$3)/100),AVERAGE(B4,B6))))</t>
    </r>
  </si>
  <si>
    <t xml:space="preserve">B5:H45</t>
  </si>
  <si>
    <r>
      <rPr>
        <sz val="10"/>
        <rFont val="Noto Sans CJK SC"/>
        <family val="2"/>
      </rPr>
      <t xml:space="preserve">①当月速報があればその値、②なければ翌年同月の値</t>
    </r>
    <r>
      <rPr>
        <sz val="10"/>
        <rFont val="Arial"/>
        <family val="0"/>
        <charset val="1"/>
      </rPr>
      <t xml:space="preserve">÷(1</t>
    </r>
    <r>
      <rPr>
        <sz val="10"/>
        <rFont val="Noto Sans CJK SC"/>
        <family val="2"/>
      </rPr>
      <t xml:space="preserve">＋前年比</t>
    </r>
    <r>
      <rPr>
        <sz val="10"/>
        <rFont val="Arial"/>
        <family val="0"/>
        <charset val="1"/>
      </rPr>
      <t xml:space="preserve">)</t>
    </r>
    <r>
      <rPr>
        <sz val="10"/>
        <rFont val="Noto Sans CJK SC"/>
        <family val="2"/>
      </rPr>
      <t xml:space="preserve">、③</t>
    </r>
    <r>
      <rPr>
        <sz val="10"/>
        <rFont val="Arial"/>
        <family val="0"/>
        <charset val="1"/>
      </rPr>
      <t xml:space="preserve">2023</t>
    </r>
    <r>
      <rPr>
        <sz val="10"/>
        <rFont val="Noto Sans CJK SC"/>
        <family val="2"/>
      </rPr>
      <t xml:space="preserve">年</t>
    </r>
    <r>
      <rPr>
        <sz val="10"/>
        <rFont val="Arial"/>
        <family val="0"/>
        <charset val="1"/>
      </rPr>
      <t xml:space="preserve">5</t>
    </r>
    <r>
      <rPr>
        <sz val="10"/>
        <rFont val="Noto Sans CJK SC"/>
        <family val="2"/>
      </rPr>
      <t xml:space="preserve">月は</t>
    </r>
    <r>
      <rPr>
        <sz val="10"/>
        <rFont val="Arial"/>
        <family val="0"/>
        <charset val="1"/>
      </rPr>
      <t xml:space="preserve">2</t>
    </r>
    <r>
      <rPr>
        <sz val="10"/>
        <rFont val="Noto Sans CJK SC"/>
        <family val="2"/>
      </rPr>
      <t xml:space="preserve">段逆算、④それでも無ければ前後月の平均。</t>
    </r>
    <r>
      <rPr>
        <sz val="10"/>
        <rFont val="Arial"/>
        <family val="0"/>
        <charset val="1"/>
      </rPr>
      <t xml:space="preserve">÷100</t>
    </r>
    <r>
      <rPr>
        <sz val="10"/>
        <rFont val="Noto Sans CJK SC"/>
        <family val="2"/>
      </rPr>
      <t xml:space="preserve">で百万円→億円</t>
    </r>
  </si>
  <si>
    <r>
      <rPr>
        <sz val="10"/>
        <rFont val="Arial"/>
        <family val="0"/>
        <charset val="1"/>
      </rPr>
      <t xml:space="preserve">B5</t>
    </r>
    <r>
      <rPr>
        <sz val="10"/>
        <rFont val="Noto Sans CJK SC"/>
        <family val="2"/>
      </rPr>
      <t xml:space="preserve">＝</t>
    </r>
    <r>
      <rPr>
        <sz val="10"/>
        <rFont val="Arial"/>
        <family val="0"/>
        <charset val="1"/>
      </rPr>
      <t xml:space="preserve">2,956.6 / D6</t>
    </r>
    <r>
      <rPr>
        <sz val="10"/>
        <rFont val="Noto Sans CJK SC"/>
        <family val="2"/>
      </rPr>
      <t xml:space="preserve">＝</t>
    </r>
    <r>
      <rPr>
        <sz val="10"/>
        <rFont val="Arial"/>
        <family val="0"/>
        <charset val="1"/>
      </rPr>
      <t xml:space="preserve">816.9 / D17</t>
    </r>
    <r>
      <rPr>
        <sz val="10"/>
        <rFont val="Noto Sans CJK SC"/>
        <family val="2"/>
      </rPr>
      <t xml:space="preserve">＝</t>
    </r>
    <r>
      <rPr>
        <sz val="10"/>
        <rFont val="Arial"/>
        <family val="0"/>
        <charset val="1"/>
      </rPr>
      <t xml:space="preserve">1,888.7</t>
    </r>
  </si>
  <si>
    <t xml:space="preserve">=B5-D5</t>
  </si>
  <si>
    <t xml:space="preserve">I5:I45</t>
  </si>
  <si>
    <t xml:space="preserve">中国以外＝世界−中国</t>
  </si>
  <si>
    <r>
      <rPr>
        <sz val="10"/>
        <rFont val="Arial"/>
        <family val="0"/>
        <charset val="1"/>
      </rPr>
      <t xml:space="preserve">I5</t>
    </r>
    <r>
      <rPr>
        <sz val="10"/>
        <rFont val="Noto Sans CJK SC"/>
        <family val="2"/>
      </rPr>
      <t xml:space="preserve">＝</t>
    </r>
    <r>
      <rPr>
        <sz val="10"/>
        <rFont val="Arial"/>
        <family val="0"/>
        <charset val="1"/>
      </rPr>
      <t xml:space="preserve">1,990.1</t>
    </r>
  </si>
  <si>
    <t xml:space="preserve">J5</t>
  </si>
  <si>
    <t xml:space="preserve">=C5-D5-E5-H5</t>
  </si>
  <si>
    <t xml:space="preserve">J5:J45</t>
  </si>
  <si>
    <t xml:space="preserve">アジア残差（台湾・香港・インド等の合計の代理）</t>
  </si>
  <si>
    <t xml:space="preserve">3</t>
  </si>
  <si>
    <t xml:space="preserve">四半期集計</t>
  </si>
  <si>
    <t xml:space="preserve">D6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</si>
  <si>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t>
    </r>
  </si>
  <si>
    <t xml:space="preserve">D6:D19</t>
  </si>
  <si>
    <r>
      <rPr>
        <sz val="10"/>
        <rFont val="Arial"/>
        <family val="0"/>
        <charset val="1"/>
      </rPr>
      <t xml:space="preserve">k=0</t>
    </r>
    <r>
      <rPr>
        <sz val="10"/>
        <rFont val="Noto Sans CJK SC"/>
        <family val="2"/>
      </rPr>
      <t xml:space="preserve">：期末月から</t>
    </r>
    <r>
      <rPr>
        <sz val="10"/>
        <rFont val="Arial"/>
        <family val="0"/>
        <charset val="1"/>
      </rPr>
      <t xml:space="preserve">k=E3</t>
    </r>
    <r>
      <rPr>
        <sz val="10"/>
        <rFont val="Noto Sans CJK SC"/>
        <family val="2"/>
      </rPr>
      <t xml:space="preserve">か月ずらした</t>
    </r>
    <r>
      <rPr>
        <sz val="10"/>
        <rFont val="Arial"/>
        <family val="0"/>
        <charset val="1"/>
      </rPr>
      <t xml:space="preserve">3</t>
    </r>
    <r>
      <rPr>
        <sz val="10"/>
        <rFont val="Noto Sans CJK SC"/>
        <family val="2"/>
      </rPr>
      <t xml:space="preserve">か月の世界輸出を合計。</t>
    </r>
    <r>
      <rPr>
        <sz val="10"/>
        <rFont val="Arial"/>
        <family val="0"/>
        <charset val="1"/>
      </rPr>
      <t xml:space="preserve">3</t>
    </r>
    <r>
      <rPr>
        <sz val="10"/>
        <rFont val="Noto Sans CJK SC"/>
        <family val="2"/>
      </rPr>
      <t xml:space="preserve">か月そろわなければ空欄</t>
    </r>
  </si>
  <si>
    <r>
      <rPr>
        <sz val="10"/>
        <rFont val="Arial"/>
        <family val="0"/>
        <charset val="1"/>
      </rPr>
      <t xml:space="preserve">D7</t>
    </r>
    <r>
      <rPr>
        <sz val="10"/>
        <rFont val="Noto Sans CJK SC"/>
        <family val="2"/>
      </rPr>
      <t xml:space="preserve">＝</t>
    </r>
    <r>
      <rPr>
        <sz val="10"/>
        <rFont val="Arial"/>
        <family val="0"/>
        <charset val="1"/>
      </rPr>
      <t xml:space="preserve">8,236.8 / E7</t>
    </r>
    <r>
      <rPr>
        <sz val="10"/>
        <rFont val="Noto Sans CJK SC"/>
        <family val="2"/>
      </rPr>
      <t xml:space="preserve">＝</t>
    </r>
    <r>
      <rPr>
        <sz val="10"/>
        <rFont val="Arial"/>
        <family val="0"/>
        <charset val="1"/>
      </rPr>
      <t xml:space="preserve">4,185.4 / F7</t>
    </r>
    <r>
      <rPr>
        <sz val="10"/>
        <rFont val="Noto Sans CJK SC"/>
        <family val="2"/>
      </rPr>
      <t xml:space="preserve">＝</t>
    </r>
    <r>
      <rPr>
        <sz val="10"/>
        <rFont val="Arial"/>
        <family val="0"/>
        <charset val="1"/>
      </rPr>
      <t xml:space="preserve">4,051.4</t>
    </r>
  </si>
  <si>
    <t xml:space="preserve">E6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</si>
  <si>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t>
    </r>
  </si>
  <si>
    <t xml:space="preserve">E6:E19</t>
  </si>
  <si>
    <r>
      <rPr>
        <sz val="10"/>
        <rFont val="Arial"/>
        <family val="0"/>
        <charset val="1"/>
      </rPr>
      <t xml:space="preserve">k=0</t>
    </r>
    <r>
      <rPr>
        <sz val="10"/>
        <rFont val="Noto Sans CJK SC"/>
        <family val="2"/>
      </rPr>
      <t xml:space="preserve">：期末月から</t>
    </r>
    <r>
      <rPr>
        <sz val="10"/>
        <rFont val="Arial"/>
        <family val="0"/>
        <charset val="1"/>
      </rPr>
      <t xml:space="preserve">k=E3</t>
    </r>
    <r>
      <rPr>
        <sz val="10"/>
        <rFont val="Noto Sans CJK SC"/>
        <family val="2"/>
      </rPr>
      <t xml:space="preserve">か月ずらした</t>
    </r>
    <r>
      <rPr>
        <sz val="10"/>
        <rFont val="Arial"/>
        <family val="0"/>
        <charset val="1"/>
      </rPr>
      <t xml:space="preserve">3</t>
    </r>
    <r>
      <rPr>
        <sz val="10"/>
        <rFont val="Noto Sans CJK SC"/>
        <family val="2"/>
      </rPr>
      <t xml:space="preserve">か月の中国輸出を合計。</t>
    </r>
    <r>
      <rPr>
        <sz val="10"/>
        <rFont val="Arial"/>
        <family val="0"/>
        <charset val="1"/>
      </rPr>
      <t xml:space="preserve">3</t>
    </r>
    <r>
      <rPr>
        <sz val="10"/>
        <rFont val="Noto Sans CJK SC"/>
        <family val="2"/>
      </rPr>
      <t xml:space="preserve">か月そろわなければ空欄</t>
    </r>
  </si>
  <si>
    <t xml:space="preserve">F6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</si>
  <si>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t>
    </r>
  </si>
  <si>
    <t xml:space="preserve">F6:F19</t>
  </si>
  <si>
    <r>
      <rPr>
        <sz val="10"/>
        <rFont val="Arial"/>
        <family val="0"/>
        <charset val="1"/>
      </rPr>
      <t xml:space="preserve">k=0</t>
    </r>
    <r>
      <rPr>
        <sz val="10"/>
        <rFont val="Noto Sans CJK SC"/>
        <family val="2"/>
      </rPr>
      <t xml:space="preserve">：期末月から</t>
    </r>
    <r>
      <rPr>
        <sz val="10"/>
        <rFont val="Arial"/>
        <family val="0"/>
        <charset val="1"/>
      </rPr>
      <t xml:space="preserve">k=E3</t>
    </r>
    <r>
      <rPr>
        <sz val="10"/>
        <rFont val="Noto Sans CJK SC"/>
        <family val="2"/>
      </rPr>
      <t xml:space="preserve">か月ずらした</t>
    </r>
    <r>
      <rPr>
        <sz val="10"/>
        <rFont val="Arial"/>
        <family val="0"/>
        <charset val="1"/>
      </rPr>
      <t xml:space="preserve">3</t>
    </r>
    <r>
      <rPr>
        <sz val="10"/>
        <rFont val="Noto Sans CJK SC"/>
        <family val="2"/>
      </rPr>
      <t xml:space="preserve">か月の中国以外輸出を合計。</t>
    </r>
    <r>
      <rPr>
        <sz val="10"/>
        <rFont val="Arial"/>
        <family val="0"/>
        <charset val="1"/>
      </rPr>
      <t xml:space="preserve">3</t>
    </r>
    <r>
      <rPr>
        <sz val="10"/>
        <rFont val="Noto Sans CJK SC"/>
        <family val="2"/>
      </rPr>
      <t xml:space="preserve">か月そろわなければ空欄</t>
    </r>
  </si>
  <si>
    <t xml:space="preserve">G6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</si>
  <si>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'!$E:$E,'</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'!$A:$A,"&gt;="&amp;EDATE($B6,-2-$E$3),'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'!$A:$A,"&lt;="&amp;EDATE($B6,-$E$3)),"")</t>
    </r>
  </si>
  <si>
    <t xml:space="preserve">G6:G19</t>
  </si>
  <si>
    <r>
      <rPr>
        <sz val="10"/>
        <rFont val="Arial"/>
        <family val="0"/>
        <charset val="1"/>
      </rPr>
      <t xml:space="preserve">k=0</t>
    </r>
    <r>
      <rPr>
        <sz val="10"/>
        <rFont val="Noto Sans CJK SC"/>
        <family val="2"/>
      </rPr>
      <t xml:space="preserve">：期末月から</t>
    </r>
    <r>
      <rPr>
        <sz val="10"/>
        <rFont val="Arial"/>
        <family val="0"/>
        <charset val="1"/>
      </rPr>
      <t xml:space="preserve">k=E3</t>
    </r>
    <r>
      <rPr>
        <sz val="10"/>
        <rFont val="Noto Sans CJK SC"/>
        <family val="2"/>
      </rPr>
      <t xml:space="preserve">か月ずらした</t>
    </r>
    <r>
      <rPr>
        <sz val="10"/>
        <rFont val="Arial"/>
        <family val="0"/>
        <charset val="1"/>
      </rPr>
      <t xml:space="preserve">3</t>
    </r>
    <r>
      <rPr>
        <sz val="10"/>
        <rFont val="Noto Sans CJK SC"/>
        <family val="2"/>
      </rPr>
      <t xml:space="preserve">か月の韓国輸出を合計。</t>
    </r>
    <r>
      <rPr>
        <sz val="10"/>
        <rFont val="Arial"/>
        <family val="0"/>
        <charset val="1"/>
      </rPr>
      <t xml:space="preserve">3</t>
    </r>
    <r>
      <rPr>
        <sz val="10"/>
        <rFont val="Noto Sans CJK SC"/>
        <family val="2"/>
      </rPr>
      <t xml:space="preserve">か月そろわなければ空欄</t>
    </r>
  </si>
  <si>
    <t xml:space="preserve">H6</t>
  </si>
  <si>
    <t xml:space="preserve">=IF(AND(ISNUMBER(C6),ISNUMBER(D6)),C6/D6,"")</t>
  </si>
  <si>
    <t xml:space="preserve">H6:H18</t>
  </si>
  <si>
    <r>
      <rPr>
        <sz val="10"/>
        <rFont val="Noto Sans CJK SC"/>
        <family val="2"/>
      </rPr>
      <t xml:space="preserve">実質シェア＝</t>
    </r>
    <r>
      <rPr>
        <sz val="10"/>
        <rFont val="Arial"/>
        <family val="0"/>
        <charset val="1"/>
      </rPr>
      <t xml:space="preserve">KOKUSAI</t>
    </r>
    <r>
      <rPr>
        <sz val="10"/>
        <rFont val="Noto Sans CJK SC"/>
        <family val="2"/>
      </rPr>
      <t xml:space="preserve">売上</t>
    </r>
    <r>
      <rPr>
        <sz val="10"/>
        <rFont val="Arial"/>
        <family val="0"/>
        <charset val="1"/>
      </rPr>
      <t xml:space="preserve">÷</t>
    </r>
    <r>
      <rPr>
        <sz val="10"/>
        <rFont val="Noto Sans CJK SC"/>
        <family val="2"/>
      </rPr>
      <t xml:space="preserve">世界輸出</t>
    </r>
  </si>
  <si>
    <r>
      <rPr>
        <sz val="10"/>
        <rFont val="Arial"/>
        <family val="0"/>
        <charset val="1"/>
      </rPr>
      <t xml:space="preserve">H7</t>
    </r>
    <r>
      <rPr>
        <sz val="10"/>
        <rFont val="Noto Sans CJK SC"/>
        <family val="2"/>
      </rPr>
      <t xml:space="preserve">＝</t>
    </r>
    <r>
      <rPr>
        <sz val="10"/>
        <rFont val="Arial"/>
        <family val="0"/>
        <charset val="1"/>
      </rPr>
      <t xml:space="preserve">5.5%</t>
    </r>
  </si>
  <si>
    <t xml:space="preserve">I6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</si>
  <si>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t>
    </r>
  </si>
  <si>
    <t xml:space="preserve">I6:I19</t>
  </si>
  <si>
    <r>
      <rPr>
        <sz val="10"/>
        <rFont val="Arial"/>
        <family val="0"/>
        <charset val="1"/>
      </rPr>
      <t xml:space="preserve">k=1</t>
    </r>
    <r>
      <rPr>
        <sz val="10"/>
        <rFont val="Noto Sans CJK SC"/>
        <family val="2"/>
      </rPr>
      <t xml:space="preserve">：</t>
    </r>
    <r>
      <rPr>
        <sz val="10"/>
        <rFont val="Arial"/>
        <family val="0"/>
        <charset val="1"/>
      </rPr>
      <t xml:space="preserve">1</t>
    </r>
    <r>
      <rPr>
        <sz val="10"/>
        <rFont val="Noto Sans CJK SC"/>
        <family val="2"/>
      </rPr>
      <t xml:space="preserve">か月前にずらした</t>
    </r>
    <r>
      <rPr>
        <sz val="10"/>
        <rFont val="Arial"/>
        <family val="0"/>
        <charset val="1"/>
      </rPr>
      <t xml:space="preserve">3</t>
    </r>
    <r>
      <rPr>
        <sz val="10"/>
        <rFont val="Noto Sans CJK SC"/>
        <family val="2"/>
      </rPr>
      <t xml:space="preserve">か月の世界輸出</t>
    </r>
  </si>
  <si>
    <r>
      <rPr>
        <sz val="10"/>
        <rFont val="Arial"/>
        <family val="0"/>
        <charset val="1"/>
      </rPr>
      <t xml:space="preserve">I7</t>
    </r>
    <r>
      <rPr>
        <sz val="10"/>
        <rFont val="Noto Sans CJK SC"/>
        <family val="2"/>
      </rPr>
      <t xml:space="preserve">＝</t>
    </r>
    <r>
      <rPr>
        <sz val="10"/>
        <rFont val="Arial"/>
        <family val="0"/>
        <charset val="1"/>
      </rPr>
      <t xml:space="preserve">7,973.4 / I19</t>
    </r>
    <r>
      <rPr>
        <sz val="10"/>
        <rFont val="Noto Sans CJK SC"/>
        <family val="2"/>
      </rPr>
      <t xml:space="preserve">＝</t>
    </r>
    <r>
      <rPr>
        <sz val="10"/>
        <rFont val="Arial"/>
        <family val="0"/>
        <charset val="1"/>
      </rPr>
      <t xml:space="preserve">14,443.4</t>
    </r>
  </si>
  <si>
    <t xml:space="preserve">J6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</si>
  <si>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t>
    </r>
  </si>
  <si>
    <t xml:space="preserve">J6:J19</t>
  </si>
  <si>
    <r>
      <rPr>
        <sz val="10"/>
        <rFont val="Arial"/>
        <family val="0"/>
        <charset val="1"/>
      </rPr>
      <t xml:space="preserve">k=1</t>
    </r>
    <r>
      <rPr>
        <sz val="10"/>
        <rFont val="Noto Sans CJK SC"/>
        <family val="2"/>
      </rPr>
      <t xml:space="preserve">：</t>
    </r>
    <r>
      <rPr>
        <sz val="10"/>
        <rFont val="Arial"/>
        <family val="0"/>
        <charset val="1"/>
      </rPr>
      <t xml:space="preserve">1</t>
    </r>
    <r>
      <rPr>
        <sz val="10"/>
        <rFont val="Noto Sans CJK SC"/>
        <family val="2"/>
      </rPr>
      <t xml:space="preserve">か月前にずらした</t>
    </r>
    <r>
      <rPr>
        <sz val="10"/>
        <rFont val="Arial"/>
        <family val="0"/>
        <charset val="1"/>
      </rPr>
      <t xml:space="preserve">3</t>
    </r>
    <r>
      <rPr>
        <sz val="10"/>
        <rFont val="Noto Sans CJK SC"/>
        <family val="2"/>
      </rPr>
      <t xml:space="preserve">か月の中国輸出</t>
    </r>
  </si>
  <si>
    <t xml:space="preserve">K6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</si>
  <si>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t>
    </r>
  </si>
  <si>
    <t xml:space="preserve">K6:K19</t>
  </si>
  <si>
    <r>
      <rPr>
        <sz val="10"/>
        <rFont val="Arial"/>
        <family val="0"/>
        <charset val="1"/>
      </rPr>
      <t xml:space="preserve">k=1</t>
    </r>
    <r>
      <rPr>
        <sz val="10"/>
        <rFont val="Noto Sans CJK SC"/>
        <family val="2"/>
      </rPr>
      <t xml:space="preserve">：</t>
    </r>
    <r>
      <rPr>
        <sz val="10"/>
        <rFont val="Arial"/>
        <family val="0"/>
        <charset val="1"/>
      </rPr>
      <t xml:space="preserve">1</t>
    </r>
    <r>
      <rPr>
        <sz val="10"/>
        <rFont val="Noto Sans CJK SC"/>
        <family val="2"/>
      </rPr>
      <t xml:space="preserve">か月前にずらした</t>
    </r>
    <r>
      <rPr>
        <sz val="10"/>
        <rFont val="Arial"/>
        <family val="0"/>
        <charset val="1"/>
      </rPr>
      <t xml:space="preserve">3</t>
    </r>
    <r>
      <rPr>
        <sz val="10"/>
        <rFont val="Noto Sans CJK SC"/>
        <family val="2"/>
      </rPr>
      <t xml:space="preserve">か月の中国以外輸出</t>
    </r>
  </si>
  <si>
    <t xml:space="preserve">L6</t>
  </si>
  <si>
    <r>
      <rPr>
        <sz val="9"/>
        <rFont val="Consolas"/>
        <family val="0"/>
        <charset val="1"/>
      </rPr>
      <t xml:space="preserve">=IF(COUNTIFS('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'!$A:$A,"&lt;="&amp;EDATE($B6,-$J$3))=3,SUMIFS('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'!$E:$E,'</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'!$A:$A,"&gt;="&amp;EDATE($B6,-2-$J$3),'</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'!$A:$A,"&lt;="&amp;EDATE($B6,-$J$3)),"")</t>
    </r>
  </si>
  <si>
    <t xml:space="preserve">L6:L19</t>
  </si>
  <si>
    <r>
      <rPr>
        <sz val="10"/>
        <rFont val="Arial"/>
        <family val="0"/>
        <charset val="1"/>
      </rPr>
      <t xml:space="preserve">k=1</t>
    </r>
    <r>
      <rPr>
        <sz val="10"/>
        <rFont val="Noto Sans CJK SC"/>
        <family val="2"/>
      </rPr>
      <t xml:space="preserve">：</t>
    </r>
    <r>
      <rPr>
        <sz val="10"/>
        <rFont val="Arial"/>
        <family val="0"/>
        <charset val="1"/>
      </rPr>
      <t xml:space="preserve">1</t>
    </r>
    <r>
      <rPr>
        <sz val="10"/>
        <rFont val="Noto Sans CJK SC"/>
        <family val="2"/>
      </rPr>
      <t xml:space="preserve">か月前にずらした</t>
    </r>
    <r>
      <rPr>
        <sz val="10"/>
        <rFont val="Arial"/>
        <family val="0"/>
        <charset val="1"/>
      </rPr>
      <t xml:space="preserve">3</t>
    </r>
    <r>
      <rPr>
        <sz val="10"/>
        <rFont val="Noto Sans CJK SC"/>
        <family val="2"/>
      </rPr>
      <t xml:space="preserve">か月の韓国輸出</t>
    </r>
  </si>
  <si>
    <t xml:space="preserve">M6</t>
  </si>
  <si>
    <t xml:space="preserve">=IF(AND(ISNUMBER(C6),ISNUMBER(I6)),C6/I6,"")</t>
  </si>
  <si>
    <t xml:space="preserve">M6:M18</t>
  </si>
  <si>
    <r>
      <rPr>
        <sz val="10"/>
        <rFont val="Noto Sans CJK SC"/>
        <family val="2"/>
      </rPr>
      <t xml:space="preserve">実質シェア（</t>
    </r>
    <r>
      <rPr>
        <sz val="10"/>
        <rFont val="Arial"/>
        <family val="0"/>
        <charset val="1"/>
      </rPr>
      <t xml:space="preserve">k=1</t>
    </r>
    <r>
      <rPr>
        <sz val="10"/>
        <rFont val="Noto Sans CJK SC"/>
        <family val="2"/>
      </rPr>
      <t xml:space="preserve">）</t>
    </r>
  </si>
  <si>
    <r>
      <rPr>
        <sz val="10"/>
        <rFont val="Arial"/>
        <family val="0"/>
        <charset val="1"/>
      </rPr>
      <t xml:space="preserve">M7</t>
    </r>
    <r>
      <rPr>
        <sz val="10"/>
        <rFont val="Noto Sans CJK SC"/>
        <family val="2"/>
      </rPr>
      <t xml:space="preserve">＝</t>
    </r>
    <r>
      <rPr>
        <sz val="10"/>
        <rFont val="Arial"/>
        <family val="0"/>
        <charset val="1"/>
      </rPr>
      <t xml:space="preserve">5.6%</t>
    </r>
  </si>
  <si>
    <r>
      <rPr>
        <sz val="10"/>
        <rFont val="Arial"/>
        <family val="0"/>
        <charset val="1"/>
      </rPr>
      <t xml:space="preserve">4a</t>
    </r>
    <r>
      <rPr>
        <sz val="10"/>
        <rFont val="Noto Sans CJK SC"/>
        <family val="2"/>
      </rPr>
      <t xml:space="preserve">（</t>
    </r>
    <r>
      <rPr>
        <sz val="10"/>
        <rFont val="Arial"/>
        <family val="0"/>
        <charset val="1"/>
      </rPr>
      <t xml:space="preserve">k=0</t>
    </r>
    <r>
      <rPr>
        <sz val="10"/>
        <rFont val="Noto Sans CJK SC"/>
        <family val="2"/>
      </rPr>
      <t xml:space="preserve">）</t>
    </r>
  </si>
  <si>
    <t xml:space="preserve">回帰</t>
  </si>
  <si>
    <t xml:space="preserve">C20</t>
  </si>
  <si>
    <t xml:space="preserve">=INTERCEPT($B$6:$B$17,$E$6:$E$17)</t>
  </si>
  <si>
    <r>
      <rPr>
        <sz val="10"/>
        <rFont val="Noto Sans CJK SC"/>
        <family val="2"/>
      </rPr>
      <t xml:space="preserve">単一：切片</t>
    </r>
    <r>
      <rPr>
        <sz val="10"/>
        <rFont val="Arial"/>
        <family val="0"/>
        <charset val="1"/>
      </rPr>
      <t xml:space="preserve">a</t>
    </r>
  </si>
  <si>
    <r>
      <rPr>
        <sz val="10"/>
        <rFont val="Arial"/>
        <family val="0"/>
        <charset val="1"/>
      </rPr>
      <t xml:space="preserve">C20</t>
    </r>
    <r>
      <rPr>
        <sz val="10"/>
        <rFont val="Noto Sans CJK SC"/>
        <family val="2"/>
      </rPr>
      <t xml:space="preserve">＝</t>
    </r>
    <r>
      <rPr>
        <sz val="10"/>
        <rFont val="Arial"/>
        <family val="0"/>
        <charset val="1"/>
      </rPr>
      <t xml:space="preserve">12.0</t>
    </r>
  </si>
  <si>
    <t xml:space="preserve">D20</t>
  </si>
  <si>
    <t xml:space="preserve">=SLOPE($B$6:$B$17,$E$6:$E$17)</t>
  </si>
  <si>
    <r>
      <rPr>
        <sz val="10"/>
        <rFont val="Noto Sans CJK SC"/>
        <family val="2"/>
      </rPr>
      <t xml:space="preserve">単一：傾き</t>
    </r>
    <r>
      <rPr>
        <sz val="10"/>
        <rFont val="Arial"/>
        <family val="0"/>
        <charset val="1"/>
      </rPr>
      <t xml:space="preserve">b</t>
    </r>
    <r>
      <rPr>
        <sz val="10"/>
        <rFont val="Noto Sans CJK SC"/>
        <family val="2"/>
      </rPr>
      <t xml:space="preserve">（輸出</t>
    </r>
    <r>
      <rPr>
        <sz val="10"/>
        <rFont val="Arial"/>
        <family val="0"/>
        <charset val="1"/>
      </rPr>
      <t xml:space="preserve">1</t>
    </r>
    <r>
      <rPr>
        <sz val="10"/>
        <rFont val="Noto Sans CJK SC"/>
        <family val="2"/>
      </rPr>
      <t xml:space="preserve">億円あたりの売上）</t>
    </r>
  </si>
  <si>
    <r>
      <rPr>
        <sz val="10"/>
        <rFont val="Arial"/>
        <family val="0"/>
        <charset val="1"/>
      </rPr>
      <t xml:space="preserve">D20</t>
    </r>
    <r>
      <rPr>
        <sz val="10"/>
        <rFont val="Noto Sans CJK SC"/>
        <family val="2"/>
      </rPr>
      <t xml:space="preserve">＝</t>
    </r>
    <r>
      <rPr>
        <sz val="10"/>
        <rFont val="Arial"/>
        <family val="0"/>
        <charset val="1"/>
      </rPr>
      <t xml:space="preserve">0.0516</t>
    </r>
  </si>
  <si>
    <t xml:space="preserve">E20</t>
  </si>
  <si>
    <t xml:space="preserve">=RSQ($B$6:$B$17,$E$6:$E$17)</t>
  </si>
  <si>
    <r>
      <rPr>
        <sz val="10"/>
        <rFont val="Noto Sans CJK SC"/>
        <family val="2"/>
      </rPr>
      <t xml:space="preserve">単一：</t>
    </r>
    <r>
      <rPr>
        <sz val="10"/>
        <rFont val="Arial"/>
        <family val="0"/>
        <charset val="1"/>
      </rPr>
      <t xml:space="preserve">R²</t>
    </r>
  </si>
  <si>
    <r>
      <rPr>
        <sz val="10"/>
        <rFont val="Arial"/>
        <family val="0"/>
        <charset val="1"/>
      </rPr>
      <t xml:space="preserve">E20</t>
    </r>
    <r>
      <rPr>
        <sz val="10"/>
        <rFont val="Noto Sans CJK SC"/>
        <family val="2"/>
      </rPr>
      <t xml:space="preserve">＝</t>
    </r>
    <r>
      <rPr>
        <sz val="10"/>
        <rFont val="Arial"/>
        <family val="0"/>
        <charset val="1"/>
      </rPr>
      <t xml:space="preserve">0.46</t>
    </r>
  </si>
  <si>
    <t xml:space="preserve">C21</t>
  </si>
  <si>
    <t xml:space="preserve">=INTERCEPT($C$6:$C$17,$F$6:$F$17)</t>
  </si>
  <si>
    <t xml:space="preserve">中国地場：切片</t>
  </si>
  <si>
    <t xml:space="preserve">D21</t>
  </si>
  <si>
    <t xml:space="preserve">=SLOPE($C$6:$C$17,$F$6:$F$17)</t>
  </si>
  <si>
    <t xml:space="preserve">中国地場：傾き</t>
  </si>
  <si>
    <r>
      <rPr>
        <sz val="10"/>
        <rFont val="Arial"/>
        <family val="0"/>
        <charset val="1"/>
      </rPr>
      <t xml:space="preserve">D21</t>
    </r>
    <r>
      <rPr>
        <sz val="10"/>
        <rFont val="Noto Sans CJK SC"/>
        <family val="2"/>
      </rPr>
      <t xml:space="preserve">＝</t>
    </r>
    <r>
      <rPr>
        <sz val="10"/>
        <rFont val="Arial"/>
        <family val="0"/>
        <charset val="1"/>
      </rPr>
      <t xml:space="preserve">0.0537</t>
    </r>
  </si>
  <si>
    <t xml:space="preserve">E21</t>
  </si>
  <si>
    <t xml:space="preserve">=RSQ($C$6:$C$17,$F$6:$F$17)</t>
  </si>
  <si>
    <r>
      <rPr>
        <sz val="10"/>
        <rFont val="Noto Sans CJK SC"/>
        <family val="2"/>
      </rPr>
      <t xml:space="preserve">中国地場：</t>
    </r>
    <r>
      <rPr>
        <sz val="10"/>
        <rFont val="Arial"/>
        <family val="0"/>
        <charset val="1"/>
      </rPr>
      <t xml:space="preserve">R²</t>
    </r>
  </si>
  <si>
    <t xml:space="preserve">C22</t>
  </si>
  <si>
    <t xml:space="preserve">=INTERCEPT($D$6:$D$17,$G$6:$G$17)</t>
  </si>
  <si>
    <t xml:space="preserve">グローバル：切片</t>
  </si>
  <si>
    <t xml:space="preserve">D22</t>
  </si>
  <si>
    <t xml:space="preserve">=SLOPE($D$6:$D$17,$G$6:$G$17)</t>
  </si>
  <si>
    <t xml:space="preserve">グローバル：傾き</t>
  </si>
  <si>
    <r>
      <rPr>
        <sz val="10"/>
        <rFont val="Arial"/>
        <family val="0"/>
        <charset val="1"/>
      </rPr>
      <t xml:space="preserve">D22</t>
    </r>
    <r>
      <rPr>
        <sz val="10"/>
        <rFont val="Noto Sans CJK SC"/>
        <family val="2"/>
      </rPr>
      <t xml:space="preserve">＝</t>
    </r>
    <r>
      <rPr>
        <sz val="10"/>
        <rFont val="Arial"/>
        <family val="0"/>
        <charset val="1"/>
      </rPr>
      <t xml:space="preserve">0.0634</t>
    </r>
  </si>
  <si>
    <t xml:space="preserve">E22</t>
  </si>
  <si>
    <t xml:space="preserve">=RSQ($D$6:$D$17,$G$6:$G$17)</t>
  </si>
  <si>
    <r>
      <rPr>
        <sz val="10"/>
        <rFont val="Noto Sans CJK SC"/>
        <family val="2"/>
      </rPr>
      <t xml:space="preserve">グローバル：</t>
    </r>
    <r>
      <rPr>
        <sz val="10"/>
        <rFont val="Arial"/>
        <family val="0"/>
        <charset val="1"/>
      </rPr>
      <t xml:space="preserve">R²</t>
    </r>
  </si>
  <si>
    <r>
      <rPr>
        <sz val="10"/>
        <rFont val="Arial"/>
        <family val="0"/>
        <charset val="1"/>
      </rPr>
      <t xml:space="preserve">E22</t>
    </r>
    <r>
      <rPr>
        <sz val="10"/>
        <rFont val="Noto Sans CJK SC"/>
        <family val="2"/>
      </rPr>
      <t xml:space="preserve">＝</t>
    </r>
    <r>
      <rPr>
        <sz val="10"/>
        <rFont val="Arial"/>
        <family val="0"/>
        <charset val="1"/>
      </rPr>
      <t xml:space="preserve">0.80</t>
    </r>
  </si>
  <si>
    <t xml:space="preserve">=$C$20+$D$20*E6</t>
  </si>
  <si>
    <t xml:space="preserve">H6:H17</t>
  </si>
  <si>
    <r>
      <rPr>
        <sz val="10"/>
        <rFont val="Noto Sans CJK SC"/>
        <family val="2"/>
      </rPr>
      <t xml:space="preserve">単一モデルの予測値＝</t>
    </r>
    <r>
      <rPr>
        <sz val="10"/>
        <rFont val="Arial"/>
        <family val="0"/>
        <charset val="1"/>
      </rPr>
      <t xml:space="preserve">a</t>
    </r>
    <r>
      <rPr>
        <sz val="10"/>
        <rFont val="Noto Sans CJK SC"/>
        <family val="2"/>
      </rPr>
      <t xml:space="preserve">＋</t>
    </r>
    <r>
      <rPr>
        <sz val="10"/>
        <rFont val="Arial"/>
        <family val="0"/>
        <charset val="1"/>
      </rPr>
      <t xml:space="preserve">b×</t>
    </r>
    <r>
      <rPr>
        <sz val="10"/>
        <rFont val="Noto Sans CJK SC"/>
        <family val="2"/>
      </rPr>
      <t xml:space="preserve">世界</t>
    </r>
  </si>
  <si>
    <r>
      <rPr>
        <sz val="10"/>
        <rFont val="Arial"/>
        <family val="0"/>
        <charset val="1"/>
      </rPr>
      <t xml:space="preserve">H6</t>
    </r>
    <r>
      <rPr>
        <sz val="10"/>
        <rFont val="Noto Sans CJK SC"/>
        <family val="2"/>
      </rPr>
      <t xml:space="preserve">＝</t>
    </r>
    <r>
      <rPr>
        <sz val="10"/>
        <rFont val="Arial"/>
        <family val="0"/>
        <charset val="1"/>
      </rPr>
      <t xml:space="preserve">437.2</t>
    </r>
  </si>
  <si>
    <t xml:space="preserve">=B6-H6</t>
  </si>
  <si>
    <t xml:space="preserve">I6:I17</t>
  </si>
  <si>
    <t xml:space="preserve">残差＝実績−予測</t>
  </si>
  <si>
    <t xml:space="preserve">=1/COUNT($E$6:$E$17)+(E6-AVERAGE($E$6:$E$17))^2/DEVSQ($E$6:$E$17)</t>
  </si>
  <si>
    <t xml:space="preserve">J6:J17</t>
  </si>
  <si>
    <r>
      <rPr>
        <sz val="10"/>
        <rFont val="Noto Sans CJK SC"/>
        <family val="2"/>
      </rPr>
      <t xml:space="preserve">てこ比</t>
    </r>
    <r>
      <rPr>
        <sz val="10"/>
        <rFont val="Arial"/>
        <family val="0"/>
        <charset val="1"/>
      </rPr>
      <t xml:space="preserve">h</t>
    </r>
    <r>
      <rPr>
        <sz val="10"/>
        <rFont val="Noto Sans CJK SC"/>
        <family val="2"/>
      </rPr>
      <t xml:space="preserve">：その四半期の</t>
    </r>
    <r>
      <rPr>
        <sz val="10"/>
        <rFont val="Arial"/>
        <family val="0"/>
        <charset val="1"/>
      </rPr>
      <t xml:space="preserve">x</t>
    </r>
    <r>
      <rPr>
        <sz val="10"/>
        <rFont val="Noto Sans CJK SC"/>
        <family val="2"/>
      </rPr>
      <t xml:space="preserve">が平均から離れているほど大きい</t>
    </r>
  </si>
  <si>
    <t xml:space="preserve">=I6/(1-J6)</t>
  </si>
  <si>
    <t xml:space="preserve">K6:K17</t>
  </si>
  <si>
    <r>
      <rPr>
        <sz val="10"/>
        <rFont val="Noto Sans CJK SC"/>
        <family val="2"/>
      </rPr>
      <t xml:space="preserve">その四半期を抜いて推計した場合の誤差（</t>
    </r>
    <r>
      <rPr>
        <sz val="10"/>
        <rFont val="Arial"/>
        <family val="0"/>
        <charset val="1"/>
      </rPr>
      <t xml:space="preserve">LOO</t>
    </r>
    <r>
      <rPr>
        <sz val="10"/>
        <rFont val="Noto Sans CJK SC"/>
        <family val="2"/>
      </rPr>
      <t xml:space="preserve">残差）</t>
    </r>
  </si>
  <si>
    <r>
      <rPr>
        <sz val="10"/>
        <rFont val="Arial"/>
        <family val="0"/>
        <charset val="1"/>
      </rPr>
      <t xml:space="preserve">K6</t>
    </r>
    <r>
      <rPr>
        <sz val="10"/>
        <rFont val="Noto Sans CJK SC"/>
        <family val="2"/>
      </rPr>
      <t xml:space="preserve">＝</t>
    </r>
    <r>
      <rPr>
        <sz val="10"/>
        <rFont val="Arial"/>
        <family val="0"/>
        <charset val="1"/>
      </rPr>
      <t xml:space="preserve">32.9</t>
    </r>
  </si>
  <si>
    <t xml:space="preserve">=$C$21+$D$21*F6</t>
  </si>
  <si>
    <t xml:space="preserve">L6:L17</t>
  </si>
  <si>
    <r>
      <rPr>
        <sz val="10"/>
        <rFont val="Noto Sans CJK SC"/>
        <family val="2"/>
      </rPr>
      <t xml:space="preserve">中国地場売上の予測＝</t>
    </r>
    <r>
      <rPr>
        <sz val="10"/>
        <rFont val="Arial"/>
        <family val="0"/>
        <charset val="1"/>
      </rPr>
      <t xml:space="preserve">a_c</t>
    </r>
    <r>
      <rPr>
        <sz val="10"/>
        <rFont val="Noto Sans CJK SC"/>
        <family val="2"/>
      </rPr>
      <t xml:space="preserve">＋</t>
    </r>
    <r>
      <rPr>
        <sz val="10"/>
        <rFont val="Arial"/>
        <family val="0"/>
        <charset val="1"/>
      </rPr>
      <t xml:space="preserve">b_c×</t>
    </r>
    <r>
      <rPr>
        <sz val="10"/>
        <rFont val="Noto Sans CJK SC"/>
        <family val="2"/>
      </rPr>
      <t xml:space="preserve">中国</t>
    </r>
  </si>
  <si>
    <t xml:space="preserve">=C6-L6</t>
  </si>
  <si>
    <t xml:space="preserve">M6:M17</t>
  </si>
  <si>
    <t xml:space="preserve">中国地場の残差</t>
  </si>
  <si>
    <t xml:space="preserve">N6</t>
  </si>
  <si>
    <t xml:space="preserve">=1/COUNT($F$6:$F$17)+(F6-AVERAGE($F$6:$F$17))^2/DEVSQ($F$6:$F$17)</t>
  </si>
  <si>
    <t xml:space="preserve">N6:N17</t>
  </si>
  <si>
    <t xml:space="preserve">中国地場式のてこ比</t>
  </si>
  <si>
    <t xml:space="preserve">O6</t>
  </si>
  <si>
    <t xml:space="preserve">=$C$22+$D$22*G6</t>
  </si>
  <si>
    <t xml:space="preserve">O6:O17</t>
  </si>
  <si>
    <r>
      <rPr>
        <sz val="10"/>
        <rFont val="Noto Sans CJK SC"/>
        <family val="2"/>
      </rPr>
      <t xml:space="preserve">グローバル売上の予測＝</t>
    </r>
    <r>
      <rPr>
        <sz val="10"/>
        <rFont val="Arial"/>
        <family val="0"/>
        <charset val="1"/>
      </rPr>
      <t xml:space="preserve">a_g</t>
    </r>
    <r>
      <rPr>
        <sz val="10"/>
        <rFont val="Noto Sans CJK SC"/>
        <family val="2"/>
      </rPr>
      <t xml:space="preserve">＋</t>
    </r>
    <r>
      <rPr>
        <sz val="10"/>
        <rFont val="Arial"/>
        <family val="0"/>
        <charset val="1"/>
      </rPr>
      <t xml:space="preserve">b_g×</t>
    </r>
    <r>
      <rPr>
        <sz val="10"/>
        <rFont val="Noto Sans CJK SC"/>
        <family val="2"/>
      </rPr>
      <t xml:space="preserve">中国以外</t>
    </r>
  </si>
  <si>
    <t xml:space="preserve">P6</t>
  </si>
  <si>
    <t xml:space="preserve">=D6-O6</t>
  </si>
  <si>
    <t xml:space="preserve">P6:P17</t>
  </si>
  <si>
    <t xml:space="preserve">グローバルの残差</t>
  </si>
  <si>
    <t xml:space="preserve">Q6</t>
  </si>
  <si>
    <t xml:space="preserve">=1/COUNT($G$6:$G$17)+(G6-AVERAGE($G$6:$G$17))^2/DEVSQ($G$6:$G$17)</t>
  </si>
  <si>
    <t xml:space="preserve">Q6:Q17</t>
  </si>
  <si>
    <t xml:space="preserve">グローバル式のてこ比</t>
  </si>
  <si>
    <t xml:space="preserve">R6</t>
  </si>
  <si>
    <t xml:space="preserve">=L6+O6</t>
  </si>
  <si>
    <t xml:space="preserve">R6:R17</t>
  </si>
  <si>
    <t xml:space="preserve">構造モデルの全社予測＝中国地場＋グローバル</t>
  </si>
  <si>
    <t xml:space="preserve">S6</t>
  </si>
  <si>
    <t xml:space="preserve">=B6-R6</t>
  </si>
  <si>
    <t xml:space="preserve">S6:S17</t>
  </si>
  <si>
    <t xml:space="preserve">構造モデルの残差</t>
  </si>
  <si>
    <t xml:space="preserve">T6</t>
  </si>
  <si>
    <t xml:space="preserve">=M6/(1-N6)+P6/(1-Q6)</t>
  </si>
  <si>
    <t xml:space="preserve">T6:T17</t>
  </si>
  <si>
    <r>
      <rPr>
        <sz val="10"/>
        <rFont val="Noto Sans CJK SC"/>
        <family val="2"/>
      </rPr>
      <t xml:space="preserve">構造モデルの</t>
    </r>
    <r>
      <rPr>
        <sz val="10"/>
        <rFont val="Arial"/>
        <family val="0"/>
        <charset val="1"/>
      </rPr>
      <t xml:space="preserve">LOO</t>
    </r>
    <r>
      <rPr>
        <sz val="10"/>
        <rFont val="Noto Sans CJK SC"/>
        <family val="2"/>
      </rPr>
      <t xml:space="preserve">残差（</t>
    </r>
    <r>
      <rPr>
        <sz val="10"/>
        <rFont val="Arial"/>
        <family val="0"/>
        <charset val="1"/>
      </rPr>
      <t xml:space="preserve">2</t>
    </r>
    <r>
      <rPr>
        <sz val="10"/>
        <rFont val="Noto Sans CJK SC"/>
        <family val="2"/>
      </rPr>
      <t xml:space="preserve">本の式それぞれの</t>
    </r>
    <r>
      <rPr>
        <sz val="10"/>
        <rFont val="Arial"/>
        <family val="0"/>
        <charset val="1"/>
      </rPr>
      <t xml:space="preserve">LOO</t>
    </r>
    <r>
      <rPr>
        <sz val="10"/>
        <rFont val="Noto Sans CJK SC"/>
        <family val="2"/>
      </rPr>
      <t xml:space="preserve">残差の和）</t>
    </r>
  </si>
  <si>
    <r>
      <rPr>
        <sz val="10"/>
        <rFont val="Arial"/>
        <family val="0"/>
        <charset val="1"/>
      </rPr>
      <t xml:space="preserve">T6</t>
    </r>
    <r>
      <rPr>
        <sz val="10"/>
        <rFont val="Noto Sans CJK SC"/>
        <family val="2"/>
      </rPr>
      <t xml:space="preserve">＝</t>
    </r>
    <r>
      <rPr>
        <sz val="10"/>
        <rFont val="Arial"/>
        <family val="0"/>
        <charset val="1"/>
      </rPr>
      <t xml:space="preserve">51.6</t>
    </r>
  </si>
  <si>
    <t xml:space="preserve">F20</t>
  </si>
  <si>
    <t xml:space="preserve">=SQRT(SUMSQ($K$6:$K$17)/COUNT($K$6:$K$17))</t>
  </si>
  <si>
    <r>
      <rPr>
        <sz val="10"/>
        <rFont val="Noto Sans CJK SC"/>
        <family val="2"/>
      </rPr>
      <t xml:space="preserve">単一：</t>
    </r>
    <r>
      <rPr>
        <sz val="10"/>
        <rFont val="Arial"/>
        <family val="0"/>
        <charset val="1"/>
      </rPr>
      <t xml:space="preserve">LOOCV RMSE</t>
    </r>
    <r>
      <rPr>
        <sz val="10"/>
        <rFont val="Noto Sans CJK SC"/>
        <family val="2"/>
      </rPr>
      <t xml:space="preserve">（億円）</t>
    </r>
  </si>
  <si>
    <r>
      <rPr>
        <sz val="10"/>
        <rFont val="Arial"/>
        <family val="0"/>
        <charset val="1"/>
      </rPr>
      <t xml:space="preserve">F20</t>
    </r>
    <r>
      <rPr>
        <sz val="10"/>
        <rFont val="Noto Sans CJK SC"/>
        <family val="2"/>
      </rPr>
      <t xml:space="preserve">＝</t>
    </r>
    <r>
      <rPr>
        <sz val="10"/>
        <rFont val="Arial"/>
        <family val="0"/>
        <charset val="1"/>
      </rPr>
      <t xml:space="preserve">71.2</t>
    </r>
  </si>
  <si>
    <t xml:space="preserve">E23</t>
  </si>
  <si>
    <t xml:space="preserve">=1-SUMSQ($S$6:$S$17)/DEVSQ($B$6:$B$17)</t>
  </si>
  <si>
    <r>
      <rPr>
        <sz val="10"/>
        <rFont val="Noto Sans CJK SC"/>
        <family val="2"/>
      </rPr>
      <t xml:space="preserve">構造（全社）：</t>
    </r>
    <r>
      <rPr>
        <sz val="10"/>
        <rFont val="Arial"/>
        <family val="0"/>
        <charset val="1"/>
      </rPr>
      <t xml:space="preserve">R²</t>
    </r>
  </si>
  <si>
    <r>
      <rPr>
        <sz val="10"/>
        <rFont val="Arial"/>
        <family val="0"/>
        <charset val="1"/>
      </rPr>
      <t xml:space="preserve">E23</t>
    </r>
    <r>
      <rPr>
        <sz val="10"/>
        <rFont val="Noto Sans CJK SC"/>
        <family val="2"/>
      </rPr>
      <t xml:space="preserve">＝</t>
    </r>
    <r>
      <rPr>
        <sz val="10"/>
        <rFont val="Arial"/>
        <family val="0"/>
        <charset val="1"/>
      </rPr>
      <t xml:space="preserve">0.46</t>
    </r>
  </si>
  <si>
    <t xml:space="preserve">F23</t>
  </si>
  <si>
    <t xml:space="preserve">=SQRT(SUMSQ($T$6:$T$17)/COUNT($T$6:$T$17))</t>
  </si>
  <si>
    <r>
      <rPr>
        <sz val="10"/>
        <rFont val="Noto Sans CJK SC"/>
        <family val="2"/>
      </rPr>
      <t xml:space="preserve">構造（全社）：</t>
    </r>
    <r>
      <rPr>
        <sz val="10"/>
        <rFont val="Arial"/>
        <family val="0"/>
        <charset val="1"/>
      </rPr>
      <t xml:space="preserve">LOOCV RMSE</t>
    </r>
  </si>
  <si>
    <r>
      <rPr>
        <sz val="10"/>
        <rFont val="Arial"/>
        <family val="0"/>
        <charset val="1"/>
      </rPr>
      <t xml:space="preserve">F23</t>
    </r>
    <r>
      <rPr>
        <sz val="10"/>
        <rFont val="Noto Sans CJK SC"/>
        <family val="2"/>
      </rPr>
      <t xml:space="preserve">＝</t>
    </r>
    <r>
      <rPr>
        <sz val="10"/>
        <rFont val="Arial"/>
        <family val="0"/>
        <charset val="1"/>
      </rPr>
      <t xml:space="preserve">76.3</t>
    </r>
  </si>
  <si>
    <t xml:space="preserve">F24</t>
  </si>
  <si>
    <t xml:space="preserve">=SQRT(SUMXMY2($B$7:$B$17,$B$6:$B$16)/(COUNT($B$6:$B$17)-1))</t>
  </si>
  <si>
    <t xml:space="preserve">比較：前四半期の売上をそのまま予測にした場合の誤差</t>
  </si>
  <si>
    <r>
      <rPr>
        <sz val="10"/>
        <rFont val="Arial"/>
        <family val="0"/>
        <charset val="1"/>
      </rPr>
      <t xml:space="preserve">F24</t>
    </r>
    <r>
      <rPr>
        <sz val="10"/>
        <rFont val="Noto Sans CJK SC"/>
        <family val="2"/>
      </rPr>
      <t xml:space="preserve">＝</t>
    </r>
    <r>
      <rPr>
        <sz val="10"/>
        <rFont val="Arial"/>
        <family val="0"/>
        <charset val="1"/>
      </rPr>
      <t xml:space="preserve">112.6</t>
    </r>
  </si>
  <si>
    <r>
      <rPr>
        <sz val="10"/>
        <rFont val="Arial"/>
        <family val="0"/>
        <charset val="1"/>
      </rPr>
      <t xml:space="preserve">4b</t>
    </r>
    <r>
      <rPr>
        <sz val="10"/>
        <rFont val="Noto Sans CJK SC"/>
        <family val="2"/>
      </rPr>
      <t xml:space="preserve">（</t>
    </r>
    <r>
      <rPr>
        <sz val="10"/>
        <rFont val="Arial"/>
        <family val="0"/>
        <charset val="1"/>
      </rPr>
      <t xml:space="preserve">k=1</t>
    </r>
    <r>
      <rPr>
        <sz val="10"/>
        <rFont val="Noto Sans CJK SC"/>
        <family val="2"/>
      </rPr>
      <t xml:space="preserve">）</t>
    </r>
  </si>
  <si>
    <t xml:space="preserve">C43</t>
  </si>
  <si>
    <t xml:space="preserve">=INTERCEPT($B$29:$B$40,$E$29:$E$40)</t>
  </si>
  <si>
    <t xml:space="preserve">D43</t>
  </si>
  <si>
    <t xml:space="preserve">=SLOPE($B$29:$B$40,$E$29:$E$40)</t>
  </si>
  <si>
    <r>
      <rPr>
        <sz val="10"/>
        <rFont val="Arial"/>
        <family val="0"/>
        <charset val="1"/>
      </rPr>
      <t xml:space="preserve">D43</t>
    </r>
    <r>
      <rPr>
        <sz val="10"/>
        <rFont val="Noto Sans CJK SC"/>
        <family val="2"/>
      </rPr>
      <t xml:space="preserve">＝</t>
    </r>
    <r>
      <rPr>
        <sz val="10"/>
        <rFont val="Arial"/>
        <family val="0"/>
        <charset val="1"/>
      </rPr>
      <t xml:space="preserve">0.0432</t>
    </r>
  </si>
  <si>
    <t xml:space="preserve">E43</t>
  </si>
  <si>
    <t xml:space="preserve">=RSQ($B$29:$B$40,$E$29:$E$40)</t>
  </si>
  <si>
    <t xml:space="preserve">C44</t>
  </si>
  <si>
    <t xml:space="preserve">=INTERCEPT($C$29:$C$40,$F$29:$F$40)</t>
  </si>
  <si>
    <t xml:space="preserve">D44</t>
  </si>
  <si>
    <t xml:space="preserve">=SLOPE($C$29:$C$40,$F$29:$F$40)</t>
  </si>
  <si>
    <t xml:space="preserve">E44</t>
  </si>
  <si>
    <t xml:space="preserve">=RSQ($C$29:$C$40,$F$29:$F$40)</t>
  </si>
  <si>
    <t xml:space="preserve">C45</t>
  </si>
  <si>
    <t xml:space="preserve">=INTERCEPT($D$29:$D$40,$G$29:$G$40)</t>
  </si>
  <si>
    <t xml:space="preserve">D45</t>
  </si>
  <si>
    <t xml:space="preserve">=SLOPE($D$29:$D$40,$G$29:$G$40)</t>
  </si>
  <si>
    <t xml:space="preserve">E45</t>
  </si>
  <si>
    <t xml:space="preserve">=RSQ($D$29:$D$40,$G$29:$G$40)</t>
  </si>
  <si>
    <t xml:space="preserve">H29</t>
  </si>
  <si>
    <t xml:space="preserve">=$C$43+$D$43*E29</t>
  </si>
  <si>
    <t xml:space="preserve">H29:H40</t>
  </si>
  <si>
    <t xml:space="preserve">I29</t>
  </si>
  <si>
    <t xml:space="preserve">=B29-H29</t>
  </si>
  <si>
    <t xml:space="preserve">I29:I40</t>
  </si>
  <si>
    <t xml:space="preserve">J29</t>
  </si>
  <si>
    <t xml:space="preserve">=1/COUNT($E$29:$E$40)+(E29-AVERAGE($E$29:$E$40))^2/DEVSQ($E$29:$E$40)</t>
  </si>
  <si>
    <t xml:space="preserve">J29:J40</t>
  </si>
  <si>
    <t xml:space="preserve">K29</t>
  </si>
  <si>
    <t xml:space="preserve">=I29/(1-J29)</t>
  </si>
  <si>
    <t xml:space="preserve">K29:K40</t>
  </si>
  <si>
    <t xml:space="preserve">L29</t>
  </si>
  <si>
    <t xml:space="preserve">=$C$44+$D$44*F29</t>
  </si>
  <si>
    <t xml:space="preserve">L29:L40</t>
  </si>
  <si>
    <t xml:space="preserve">M29</t>
  </si>
  <si>
    <t xml:space="preserve">=C29-L29</t>
  </si>
  <si>
    <t xml:space="preserve">M29:M40</t>
  </si>
  <si>
    <t xml:space="preserve">N29</t>
  </si>
  <si>
    <t xml:space="preserve">=1/COUNT($F$29:$F$40)+(F29-AVERAGE($F$29:$F$40))^2/DEVSQ($F$29:$F$40)</t>
  </si>
  <si>
    <t xml:space="preserve">N29:N40</t>
  </si>
  <si>
    <t xml:space="preserve">O29</t>
  </si>
  <si>
    <t xml:space="preserve">=$C$45+$D$45*G29</t>
  </si>
  <si>
    <t xml:space="preserve">O29:O40</t>
  </si>
  <si>
    <t xml:space="preserve">P29</t>
  </si>
  <si>
    <t xml:space="preserve">=D29-O29</t>
  </si>
  <si>
    <t xml:space="preserve">P29:P40</t>
  </si>
  <si>
    <t xml:space="preserve">Q29</t>
  </si>
  <si>
    <t xml:space="preserve">=1/COUNT($G$29:$G$40)+(G29-AVERAGE($G$29:$G$40))^2/DEVSQ($G$29:$G$40)</t>
  </si>
  <si>
    <t xml:space="preserve">Q29:Q40</t>
  </si>
  <si>
    <t xml:space="preserve">R29</t>
  </si>
  <si>
    <t xml:space="preserve">=L29+O29</t>
  </si>
  <si>
    <t xml:space="preserve">R29:R40</t>
  </si>
  <si>
    <t xml:space="preserve">S29</t>
  </si>
  <si>
    <t xml:space="preserve">=B29-R29</t>
  </si>
  <si>
    <t xml:space="preserve">S29:S40</t>
  </si>
  <si>
    <t xml:space="preserve">T29</t>
  </si>
  <si>
    <t xml:space="preserve">=M29/(1-N29)+P29/(1-Q29)</t>
  </si>
  <si>
    <t xml:space="preserve">T29:T40</t>
  </si>
  <si>
    <t xml:space="preserve">F43</t>
  </si>
  <si>
    <t xml:space="preserve">=SQRT(SUMSQ($K$29:$K$40)/COUNT($K$29:$K$40))</t>
  </si>
  <si>
    <t xml:space="preserve">E46</t>
  </si>
  <si>
    <t xml:space="preserve">=1-SUMSQ($S$29:$S$40)/DEVSQ($B$29:$B$40)</t>
  </si>
  <si>
    <t xml:space="preserve">F46</t>
  </si>
  <si>
    <t xml:space="preserve">=SQRT(SUMSQ($T$29:$T$40)/COUNT($T$29:$T$40))</t>
  </si>
  <si>
    <r>
      <rPr>
        <sz val="10"/>
        <rFont val="Arial"/>
        <family val="0"/>
        <charset val="1"/>
      </rPr>
      <t xml:space="preserve">F46</t>
    </r>
    <r>
      <rPr>
        <sz val="10"/>
        <rFont val="Noto Sans CJK SC"/>
        <family val="2"/>
      </rPr>
      <t xml:space="preserve">＝</t>
    </r>
    <r>
      <rPr>
        <sz val="10"/>
        <rFont val="Arial"/>
        <family val="0"/>
        <charset val="1"/>
      </rPr>
      <t xml:space="preserve">77.6</t>
    </r>
  </si>
  <si>
    <t xml:space="preserve">F47</t>
  </si>
  <si>
    <t xml:space="preserve">=SQRT(SUMXMY2($B$30:$B$40,$B$29:$B$39)/(COUNT($B$29:$B$40)-1))</t>
  </si>
  <si>
    <t xml:space="preserve">5</t>
  </si>
  <si>
    <t xml:space="preserve">ナウキャスト</t>
  </si>
  <si>
    <t xml:space="preserve">B6</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</si>
  <si>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'!$A:$A,DATE(VALUE($A6),9,1))/AVERAGE(SUMIFS('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'!$A:$A,DATE(VALUE($A6),7,1)),SUMIFS('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'!$A:$A,DATE(VALUE($A6),8,1)))</t>
    </r>
  </si>
  <si>
    <t xml:space="preserve">B6:B8</t>
  </si>
  <si>
    <r>
      <rPr>
        <sz val="10"/>
        <rFont val="Arial"/>
        <family val="0"/>
        <charset val="1"/>
      </rPr>
      <t xml:space="preserve">9</t>
    </r>
    <r>
      <rPr>
        <sz val="10"/>
        <rFont val="Noto Sans CJK SC"/>
        <family val="2"/>
      </rPr>
      <t xml:space="preserve">月</t>
    </r>
    <r>
      <rPr>
        <sz val="10"/>
        <rFont val="Arial"/>
        <family val="0"/>
        <charset val="1"/>
      </rPr>
      <t xml:space="preserve">÷7-8</t>
    </r>
    <r>
      <rPr>
        <sz val="10"/>
        <rFont val="Noto Sans CJK SC"/>
        <family val="2"/>
      </rPr>
      <t xml:space="preserve">月平均（年ごとの季節比）</t>
    </r>
  </si>
  <si>
    <r>
      <rPr>
        <sz val="10"/>
        <rFont val="Arial"/>
        <family val="0"/>
        <charset val="1"/>
      </rPr>
      <t xml:space="preserve">B6</t>
    </r>
    <r>
      <rPr>
        <sz val="10"/>
        <rFont val="Noto Sans CJK SC"/>
        <family val="2"/>
      </rPr>
      <t xml:space="preserve">＝</t>
    </r>
    <r>
      <rPr>
        <sz val="10"/>
        <rFont val="Arial"/>
        <family val="0"/>
        <charset val="1"/>
      </rPr>
      <t xml:space="preserve">1.32</t>
    </r>
  </si>
  <si>
    <t xml:space="preserve">B9</t>
  </si>
  <si>
    <t xml:space="preserve">=AVERAGE(B6:B8)</t>
  </si>
  <si>
    <t xml:space="preserve">季節比の平均</t>
  </si>
  <si>
    <r>
      <rPr>
        <sz val="10"/>
        <rFont val="Arial"/>
        <family val="0"/>
        <charset val="1"/>
      </rPr>
      <t xml:space="preserve">B9</t>
    </r>
    <r>
      <rPr>
        <sz val="10"/>
        <rFont val="Noto Sans CJK SC"/>
        <family val="2"/>
      </rPr>
      <t xml:space="preserve">＝</t>
    </r>
    <r>
      <rPr>
        <sz val="10"/>
        <rFont val="Arial"/>
        <family val="0"/>
        <charset val="1"/>
      </rPr>
      <t xml:space="preserve">1.22</t>
    </r>
  </si>
  <si>
    <t xml:space="preserve">B10</t>
  </si>
  <si>
    <t xml:space="preserve">=MAX(B6:B8)</t>
  </si>
  <si>
    <t xml:space="preserve">季節比の最大</t>
  </si>
  <si>
    <t xml:space="preserve">B15</t>
  </si>
  <si>
    <t xml:space="preserve">=B9</t>
  </si>
  <si>
    <t xml:space="preserve">基準シナリオ＝平均</t>
  </si>
  <si>
    <t xml:space="preserve">B16</t>
  </si>
  <si>
    <t xml:space="preserve">=B10</t>
  </si>
  <si>
    <t xml:space="preserve">高シナリオ＝最大</t>
  </si>
  <si>
    <t xml:space="preserve">C6</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</si>
  <si>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'!$A:$A,DATE(VALUE($A6),9,1))/AVERAGE(SUMIFS('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'!$A:$A,DATE(VALUE($A6),7,1)),SUMIFS('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'!$A:$A,DATE(VALUE($A6),8,1)))</t>
    </r>
  </si>
  <si>
    <t xml:space="preserve">C6:C8</t>
  </si>
  <si>
    <t xml:space="preserve">C9</t>
  </si>
  <si>
    <t xml:space="preserve">=AVERAGE(C6:C8)</t>
  </si>
  <si>
    <t xml:space="preserve">C10</t>
  </si>
  <si>
    <t xml:space="preserve">=MAX(C6:C8)</t>
  </si>
  <si>
    <t xml:space="preserve">C15</t>
  </si>
  <si>
    <t xml:space="preserve">=C9</t>
  </si>
  <si>
    <t xml:space="preserve">C16</t>
  </si>
  <si>
    <t xml:space="preserve">=C10</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</si>
  <si>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'!$A:$A,DATE(VALUE($A6),9,1))/AVERAGE(SUMIFS('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'!$A:$A,DATE(VALUE($A6),7,1)),SUMIFS('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'!$A:$A,DATE(VALUE($A6),8,1)))</t>
    </r>
  </si>
  <si>
    <t xml:space="preserve">D6:D8</t>
  </si>
  <si>
    <t xml:space="preserve">D9</t>
  </si>
  <si>
    <t xml:space="preserve">=AVERAGE(D6:D8)</t>
  </si>
  <si>
    <t xml:space="preserve">D10</t>
  </si>
  <si>
    <t xml:space="preserve">=MAX(D6:D8)</t>
  </si>
  <si>
    <t xml:space="preserve">D15</t>
  </si>
  <si>
    <t xml:space="preserve">=D9</t>
  </si>
  <si>
    <t xml:space="preserve">D16</t>
  </si>
  <si>
    <t xml:space="preserve">=D10</t>
  </si>
  <si>
    <t xml:space="preserve">H14</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</si>
  <si>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'!$A:$A,DATE(2026,7,1))</t>
    </r>
  </si>
  <si>
    <r>
      <rPr>
        <sz val="10"/>
        <rFont val="Arial"/>
        <family val="0"/>
        <charset val="1"/>
      </rPr>
      <t xml:space="preserve">2026</t>
    </r>
    <r>
      <rPr>
        <sz val="10"/>
        <rFont val="Noto Sans CJK SC"/>
        <family val="2"/>
      </rPr>
      <t xml:space="preserve">年</t>
    </r>
    <r>
      <rPr>
        <sz val="10"/>
        <rFont val="Arial"/>
        <family val="0"/>
        <charset val="1"/>
      </rPr>
      <t xml:space="preserve">7</t>
    </r>
    <r>
      <rPr>
        <sz val="10"/>
        <rFont val="Noto Sans CJK SC"/>
        <family val="2"/>
      </rPr>
      <t xml:space="preserve">月の輸出</t>
    </r>
  </si>
  <si>
    <t xml:space="preserve">H15</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</si>
  <si>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'!$D:$D,'</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'!$A:$A,DATE(2026,8,1))</t>
    </r>
  </si>
  <si>
    <r>
      <rPr>
        <sz val="10"/>
        <rFont val="Arial"/>
        <family val="0"/>
        <charset val="1"/>
      </rPr>
      <t xml:space="preserve">2026</t>
    </r>
    <r>
      <rPr>
        <sz val="10"/>
        <rFont val="Noto Sans CJK SC"/>
        <family val="2"/>
      </rPr>
      <t xml:space="preserve">年</t>
    </r>
    <r>
      <rPr>
        <sz val="10"/>
        <rFont val="Arial"/>
        <family val="0"/>
        <charset val="1"/>
      </rPr>
      <t xml:space="preserve">8</t>
    </r>
    <r>
      <rPr>
        <sz val="10"/>
        <rFont val="Noto Sans CJK SC"/>
        <family val="2"/>
      </rPr>
      <t xml:space="preserve">月の輸出</t>
    </r>
  </si>
  <si>
    <t xml:space="preserve">H16</t>
  </si>
  <si>
    <t xml:space="preserve">=SUM(H14:H15)</t>
  </si>
  <si>
    <r>
      <rPr>
        <sz val="10"/>
        <rFont val="Arial"/>
        <family val="0"/>
        <charset val="1"/>
      </rPr>
      <t xml:space="preserve">7-8</t>
    </r>
    <r>
      <rPr>
        <sz val="10"/>
        <rFont val="Noto Sans CJK SC"/>
        <family val="2"/>
      </rPr>
      <t xml:space="preserve">月合計</t>
    </r>
  </si>
  <si>
    <r>
      <rPr>
        <sz val="10"/>
        <rFont val="Arial"/>
        <family val="0"/>
        <charset val="1"/>
      </rPr>
      <t xml:space="preserve">H16</t>
    </r>
    <r>
      <rPr>
        <sz val="10"/>
        <rFont val="Noto Sans CJK SC"/>
        <family val="2"/>
      </rPr>
      <t xml:space="preserve">＝</t>
    </r>
    <r>
      <rPr>
        <sz val="10"/>
        <rFont val="Arial"/>
        <family val="0"/>
        <charset val="1"/>
      </rPr>
      <t xml:space="preserve">4,021.4</t>
    </r>
  </si>
  <si>
    <t xml:space="preserve">H17</t>
  </si>
  <si>
    <t xml:space="preserve">=AVERAGE(H14:H15)</t>
  </si>
  <si>
    <r>
      <rPr>
        <sz val="10"/>
        <rFont val="Arial"/>
        <family val="0"/>
        <charset val="1"/>
      </rPr>
      <t xml:space="preserve">7-8</t>
    </r>
    <r>
      <rPr>
        <sz val="10"/>
        <rFont val="Noto Sans CJK SC"/>
        <family val="2"/>
      </rPr>
      <t xml:space="preserve">月平均</t>
    </r>
  </si>
  <si>
    <t xml:space="preserve">I14</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</si>
  <si>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'!$A:$A,DATE(2026,7,1))</t>
    </r>
  </si>
  <si>
    <t xml:space="preserve">I15</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</si>
  <si>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'!$I:$I,'</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'!$A:$A,DATE(2026,8,1))</t>
    </r>
  </si>
  <si>
    <t xml:space="preserve">I16</t>
  </si>
  <si>
    <t xml:space="preserve">=SUM(I14:I15)</t>
  </si>
  <si>
    <t xml:space="preserve">I17</t>
  </si>
  <si>
    <t xml:space="preserve">=AVERAGE(I14:I15)</t>
  </si>
  <si>
    <t xml:space="preserve">J14</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</si>
  <si>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'!$A:$A,DATE(2026,7,1))</t>
    </r>
  </si>
  <si>
    <t xml:space="preserve">J15</t>
  </si>
  <si>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'!$A:$A,DATE(2026,8,1))</t>
    </r>
  </si>
  <si>
    <t xml:space="preserve">J16</t>
  </si>
  <si>
    <t xml:space="preserve">=SUM(J14:J15)</t>
  </si>
  <si>
    <t xml:space="preserve">J17</t>
  </si>
  <si>
    <t xml:space="preserve">=AVERAGE(J14:J15)</t>
  </si>
  <si>
    <t xml:space="preserve">B21</t>
  </si>
  <si>
    <t xml:space="preserve">=$H$16+$H$17*B14</t>
  </si>
  <si>
    <t xml:space="preserve">B21:B23</t>
  </si>
  <si>
    <r>
      <rPr>
        <sz val="10"/>
        <rFont val="Noto Sans CJK SC"/>
        <family val="2"/>
      </rPr>
      <t xml:space="preserve">中国</t>
    </r>
    <r>
      <rPr>
        <sz val="10"/>
        <rFont val="Arial"/>
        <family val="0"/>
        <charset val="1"/>
      </rPr>
      <t xml:space="preserve">7-9</t>
    </r>
    <r>
      <rPr>
        <sz val="10"/>
        <rFont val="Noto Sans CJK SC"/>
        <family val="2"/>
      </rPr>
      <t xml:space="preserve">月＝</t>
    </r>
    <r>
      <rPr>
        <sz val="10"/>
        <rFont val="Arial"/>
        <family val="0"/>
        <charset val="1"/>
      </rPr>
      <t xml:space="preserve">7-8</t>
    </r>
    <r>
      <rPr>
        <sz val="10"/>
        <rFont val="Noto Sans CJK SC"/>
        <family val="2"/>
      </rPr>
      <t xml:space="preserve">月合計＋平均</t>
    </r>
    <r>
      <rPr>
        <sz val="10"/>
        <rFont val="Arial"/>
        <family val="0"/>
        <charset val="1"/>
      </rPr>
      <t xml:space="preserve">×</t>
    </r>
    <r>
      <rPr>
        <sz val="10"/>
        <rFont val="Noto Sans CJK SC"/>
        <family val="2"/>
      </rPr>
      <t xml:space="preserve">季節比</t>
    </r>
  </si>
  <si>
    <r>
      <rPr>
        <sz val="10"/>
        <rFont val="Arial"/>
        <family val="0"/>
        <charset val="1"/>
      </rPr>
      <t xml:space="preserve">B22</t>
    </r>
    <r>
      <rPr>
        <sz val="10"/>
        <rFont val="Noto Sans CJK SC"/>
        <family val="2"/>
      </rPr>
      <t xml:space="preserve">＝</t>
    </r>
    <r>
      <rPr>
        <sz val="10"/>
        <rFont val="Arial"/>
        <family val="0"/>
        <charset val="1"/>
      </rPr>
      <t xml:space="preserve">6,482.8</t>
    </r>
  </si>
  <si>
    <t xml:space="preserve">=$I$16+$I$17*C14</t>
  </si>
  <si>
    <t xml:space="preserve">C21:C23</t>
  </si>
  <si>
    <r>
      <rPr>
        <sz val="10"/>
        <rFont val="Noto Sans CJK SC"/>
        <family val="2"/>
      </rPr>
      <t xml:space="preserve">中国以外</t>
    </r>
    <r>
      <rPr>
        <sz val="10"/>
        <rFont val="Arial"/>
        <family val="0"/>
        <charset val="1"/>
      </rPr>
      <t xml:space="preserve">7-9</t>
    </r>
    <r>
      <rPr>
        <sz val="10"/>
        <rFont val="Noto Sans CJK SC"/>
        <family val="2"/>
      </rPr>
      <t xml:space="preserve">月</t>
    </r>
  </si>
  <si>
    <t xml:space="preserve">=$J$16+$J$17*D14</t>
  </si>
  <si>
    <t xml:space="preserve">D21:D23</t>
  </si>
  <si>
    <r>
      <rPr>
        <sz val="10"/>
        <rFont val="Noto Sans CJK SC"/>
        <family val="2"/>
      </rPr>
      <t xml:space="preserve">世界</t>
    </r>
    <r>
      <rPr>
        <sz val="10"/>
        <rFont val="Arial"/>
        <family val="0"/>
        <charset val="1"/>
      </rPr>
      <t xml:space="preserve">7-9</t>
    </r>
    <r>
      <rPr>
        <sz val="10"/>
        <rFont val="Noto Sans CJK SC"/>
        <family val="2"/>
      </rPr>
      <t xml:space="preserve">月</t>
    </r>
  </si>
  <si>
    <r>
      <rPr>
        <sz val="9"/>
        <rFont val="Consolas"/>
        <family val="0"/>
        <charset val="1"/>
      </rPr>
      <t xml:space="preserve">='</t>
    </r>
    <r>
      <rPr>
        <sz val="9"/>
        <rFont val="Noto Sans CJK SC"/>
        <family val="2"/>
      </rPr>
      <t xml:space="preserve">回帰</t>
    </r>
    <r>
      <rPr>
        <sz val="9"/>
        <rFont val="Consolas"/>
        <family val="0"/>
        <charset val="1"/>
      </rPr>
      <t xml:space="preserve">'!$C$21+'</t>
    </r>
    <r>
      <rPr>
        <sz val="9"/>
        <rFont val="Noto Sans CJK SC"/>
        <family val="2"/>
      </rPr>
      <t xml:space="preserve">回帰</t>
    </r>
    <r>
      <rPr>
        <sz val="9"/>
        <rFont val="Consolas"/>
        <family val="0"/>
        <charset val="1"/>
      </rPr>
      <t xml:space="preserve">'!$D$21*B21</t>
    </r>
  </si>
  <si>
    <t xml:space="preserve">E21:E23</t>
  </si>
  <si>
    <t xml:space="preserve">中国地場売上の予測</t>
  </si>
  <si>
    <r>
      <rPr>
        <sz val="10"/>
        <rFont val="Arial"/>
        <family val="0"/>
        <charset val="1"/>
      </rPr>
      <t xml:space="preserve">E22</t>
    </r>
    <r>
      <rPr>
        <sz val="10"/>
        <rFont val="Noto Sans CJK SC"/>
        <family val="2"/>
      </rPr>
      <t xml:space="preserve">＝</t>
    </r>
    <r>
      <rPr>
        <sz val="10"/>
        <rFont val="Arial"/>
        <family val="0"/>
        <charset val="1"/>
      </rPr>
      <t xml:space="preserve">318.4</t>
    </r>
  </si>
  <si>
    <t xml:space="preserve">F21</t>
  </si>
  <si>
    <r>
      <rPr>
        <sz val="9"/>
        <rFont val="Consolas"/>
        <family val="0"/>
        <charset val="1"/>
      </rPr>
      <t xml:space="preserve">='</t>
    </r>
    <r>
      <rPr>
        <sz val="9"/>
        <rFont val="Noto Sans CJK SC"/>
        <family val="2"/>
      </rPr>
      <t xml:space="preserve">回帰</t>
    </r>
    <r>
      <rPr>
        <sz val="9"/>
        <rFont val="Consolas"/>
        <family val="0"/>
        <charset val="1"/>
      </rPr>
      <t xml:space="preserve">'!$C$22+'</t>
    </r>
    <r>
      <rPr>
        <sz val="9"/>
        <rFont val="Noto Sans CJK SC"/>
        <family val="2"/>
      </rPr>
      <t xml:space="preserve">回帰</t>
    </r>
    <r>
      <rPr>
        <sz val="9"/>
        <rFont val="Consolas"/>
        <family val="0"/>
        <charset val="1"/>
      </rPr>
      <t xml:space="preserve">'!$D$22*C21</t>
    </r>
  </si>
  <si>
    <t xml:space="preserve">F21:F23</t>
  </si>
  <si>
    <t xml:space="preserve">グローバル売上の予測</t>
  </si>
  <si>
    <r>
      <rPr>
        <sz val="10"/>
        <rFont val="Arial"/>
        <family val="0"/>
        <charset val="1"/>
      </rPr>
      <t xml:space="preserve">F22</t>
    </r>
    <r>
      <rPr>
        <sz val="10"/>
        <rFont val="Noto Sans CJK SC"/>
        <family val="2"/>
      </rPr>
      <t xml:space="preserve">＝</t>
    </r>
    <r>
      <rPr>
        <sz val="10"/>
        <rFont val="Arial"/>
        <family val="0"/>
        <charset val="1"/>
      </rPr>
      <t xml:space="preserve">527.1</t>
    </r>
  </si>
  <si>
    <t xml:space="preserve">G21</t>
  </si>
  <si>
    <t xml:space="preserve">=E21+F21</t>
  </si>
  <si>
    <t xml:space="preserve">G21:G23</t>
  </si>
  <si>
    <t xml:space="preserve">構造モデルの全社予測</t>
  </si>
  <si>
    <r>
      <rPr>
        <sz val="10"/>
        <rFont val="Arial"/>
        <family val="0"/>
        <charset val="1"/>
      </rPr>
      <t xml:space="preserve">G22</t>
    </r>
    <r>
      <rPr>
        <sz val="10"/>
        <rFont val="Noto Sans CJK SC"/>
        <family val="2"/>
      </rPr>
      <t xml:space="preserve">＝</t>
    </r>
    <r>
      <rPr>
        <sz val="10"/>
        <rFont val="Arial"/>
        <family val="0"/>
        <charset val="1"/>
      </rPr>
      <t xml:space="preserve">845.5</t>
    </r>
  </si>
  <si>
    <t xml:space="preserve">H21</t>
  </si>
  <si>
    <r>
      <rPr>
        <sz val="9"/>
        <rFont val="Consolas"/>
        <family val="0"/>
        <charset val="1"/>
      </rPr>
      <t xml:space="preserve">=G21-'</t>
    </r>
    <r>
      <rPr>
        <sz val="9"/>
        <rFont val="Noto Sans CJK SC"/>
        <family val="2"/>
      </rPr>
      <t xml:space="preserve">回帰</t>
    </r>
    <r>
      <rPr>
        <sz val="9"/>
        <rFont val="Consolas"/>
        <family val="0"/>
        <charset val="1"/>
      </rPr>
      <t xml:space="preserve">'!$F$23</t>
    </r>
  </si>
  <si>
    <t xml:space="preserve">H21:H23</t>
  </si>
  <si>
    <r>
      <rPr>
        <sz val="10"/>
        <rFont val="Noto Sans CJK SC"/>
        <family val="2"/>
      </rPr>
      <t xml:space="preserve">帯の下限＝予測−</t>
    </r>
    <r>
      <rPr>
        <sz val="10"/>
        <rFont val="Arial"/>
        <family val="0"/>
        <charset val="1"/>
      </rPr>
      <t xml:space="preserve">LOOCV RMSE</t>
    </r>
  </si>
  <si>
    <t xml:space="preserve">I21</t>
  </si>
  <si>
    <r>
      <rPr>
        <sz val="9"/>
        <rFont val="Consolas"/>
        <family val="0"/>
        <charset val="1"/>
      </rPr>
      <t xml:space="preserve">=G21+'</t>
    </r>
    <r>
      <rPr>
        <sz val="9"/>
        <rFont val="Noto Sans CJK SC"/>
        <family val="2"/>
      </rPr>
      <t xml:space="preserve">回帰</t>
    </r>
    <r>
      <rPr>
        <sz val="9"/>
        <rFont val="Consolas"/>
        <family val="0"/>
        <charset val="1"/>
      </rPr>
      <t xml:space="preserve">'!$F$23</t>
    </r>
  </si>
  <si>
    <t xml:space="preserve">I21:I23</t>
  </si>
  <si>
    <t xml:space="preserve">帯の上限</t>
  </si>
  <si>
    <t xml:space="preserve">J21</t>
  </si>
  <si>
    <r>
      <rPr>
        <sz val="9"/>
        <rFont val="Consolas"/>
        <family val="0"/>
        <charset val="1"/>
      </rPr>
      <t xml:space="preserve">='</t>
    </r>
    <r>
      <rPr>
        <sz val="9"/>
        <rFont val="Noto Sans CJK SC"/>
        <family val="2"/>
      </rPr>
      <t xml:space="preserve">回帰</t>
    </r>
    <r>
      <rPr>
        <sz val="9"/>
        <rFont val="Consolas"/>
        <family val="0"/>
        <charset val="1"/>
      </rPr>
      <t xml:space="preserve">'!$C$20+'</t>
    </r>
    <r>
      <rPr>
        <sz val="9"/>
        <rFont val="Noto Sans CJK SC"/>
        <family val="2"/>
      </rPr>
      <t xml:space="preserve">回帰</t>
    </r>
    <r>
      <rPr>
        <sz val="9"/>
        <rFont val="Consolas"/>
        <family val="0"/>
        <charset val="1"/>
      </rPr>
      <t xml:space="preserve">'!$D$20*D21</t>
    </r>
  </si>
  <si>
    <t xml:space="preserve">J21:J23</t>
  </si>
  <si>
    <t xml:space="preserve">単一モデルの予測</t>
  </si>
  <si>
    <r>
      <rPr>
        <sz val="10"/>
        <rFont val="Arial"/>
        <family val="0"/>
        <charset val="1"/>
      </rPr>
      <t xml:space="preserve">J22</t>
    </r>
    <r>
      <rPr>
        <sz val="10"/>
        <rFont val="Noto Sans CJK SC"/>
        <family val="2"/>
      </rPr>
      <t xml:space="preserve">＝</t>
    </r>
    <r>
      <rPr>
        <sz val="10"/>
        <rFont val="Arial"/>
        <family val="0"/>
        <charset val="1"/>
      </rPr>
      <t xml:space="preserve">812.1</t>
    </r>
  </si>
  <si>
    <t xml:space="preserve">B27</t>
  </si>
  <si>
    <r>
      <rPr>
        <sz val="9"/>
        <rFont val="Consolas"/>
        <family val="0"/>
        <charset val="1"/>
      </rPr>
      <t xml:space="preserve">='</t>
    </r>
    <r>
      <rPr>
        <sz val="9"/>
        <rFont val="Noto Sans CJK SC"/>
        <family val="2"/>
      </rPr>
      <t xml:space="preserve">四半期集計</t>
    </r>
    <r>
      <rPr>
        <sz val="9"/>
        <rFont val="Consolas"/>
        <family val="0"/>
        <charset val="1"/>
      </rPr>
      <t xml:space="preserve">'!J19</t>
    </r>
  </si>
  <si>
    <r>
      <rPr>
        <sz val="10"/>
        <rFont val="Arial"/>
        <family val="0"/>
        <charset val="1"/>
      </rPr>
      <t xml:space="preserve">k=1</t>
    </r>
    <r>
      <rPr>
        <sz val="10"/>
        <rFont val="Noto Sans CJK SC"/>
        <family val="2"/>
      </rPr>
      <t xml:space="preserve">の中国</t>
    </r>
    <r>
      <rPr>
        <sz val="10"/>
        <rFont val="Arial"/>
        <family val="0"/>
        <charset val="1"/>
      </rPr>
      <t xml:space="preserve">6-8</t>
    </r>
    <r>
      <rPr>
        <sz val="10"/>
        <rFont val="Noto Sans CJK SC"/>
        <family val="2"/>
      </rPr>
      <t xml:space="preserve">月</t>
    </r>
  </si>
  <si>
    <t xml:space="preserve">C27</t>
  </si>
  <si>
    <r>
      <rPr>
        <sz val="9"/>
        <rFont val="Consolas"/>
        <family val="0"/>
        <charset val="1"/>
      </rPr>
      <t xml:space="preserve">='</t>
    </r>
    <r>
      <rPr>
        <sz val="9"/>
        <rFont val="Noto Sans CJK SC"/>
        <family val="2"/>
      </rPr>
      <t xml:space="preserve">四半期集計</t>
    </r>
    <r>
      <rPr>
        <sz val="9"/>
        <rFont val="Consolas"/>
        <family val="0"/>
        <charset val="1"/>
      </rPr>
      <t xml:space="preserve">'!K19</t>
    </r>
  </si>
  <si>
    <r>
      <rPr>
        <sz val="10"/>
        <rFont val="Arial"/>
        <family val="0"/>
        <charset val="1"/>
      </rPr>
      <t xml:space="preserve">k=1</t>
    </r>
    <r>
      <rPr>
        <sz val="10"/>
        <rFont val="Noto Sans CJK SC"/>
        <family val="2"/>
      </rPr>
      <t xml:space="preserve">の中国以外</t>
    </r>
    <r>
      <rPr>
        <sz val="10"/>
        <rFont val="Arial"/>
        <family val="0"/>
        <charset val="1"/>
      </rPr>
      <t xml:space="preserve">6-8</t>
    </r>
    <r>
      <rPr>
        <sz val="10"/>
        <rFont val="Noto Sans CJK SC"/>
        <family val="2"/>
      </rPr>
      <t xml:space="preserve">月</t>
    </r>
  </si>
  <si>
    <t xml:space="preserve">D27</t>
  </si>
  <si>
    <r>
      <rPr>
        <sz val="9"/>
        <rFont val="Consolas"/>
        <family val="0"/>
        <charset val="1"/>
      </rPr>
      <t xml:space="preserve">='</t>
    </r>
    <r>
      <rPr>
        <sz val="9"/>
        <rFont val="Noto Sans CJK SC"/>
        <family val="2"/>
      </rPr>
      <t xml:space="preserve">四半期集計</t>
    </r>
    <r>
      <rPr>
        <sz val="9"/>
        <rFont val="Consolas"/>
        <family val="0"/>
        <charset val="1"/>
      </rPr>
      <t xml:space="preserve">'!I19</t>
    </r>
  </si>
  <si>
    <r>
      <rPr>
        <sz val="10"/>
        <rFont val="Arial"/>
        <family val="0"/>
        <charset val="1"/>
      </rPr>
      <t xml:space="preserve">k=1</t>
    </r>
    <r>
      <rPr>
        <sz val="10"/>
        <rFont val="Noto Sans CJK SC"/>
        <family val="2"/>
      </rPr>
      <t xml:space="preserve">の世界</t>
    </r>
    <r>
      <rPr>
        <sz val="10"/>
        <rFont val="Arial"/>
        <family val="0"/>
        <charset val="1"/>
      </rPr>
      <t xml:space="preserve">6-8</t>
    </r>
    <r>
      <rPr>
        <sz val="10"/>
        <rFont val="Noto Sans CJK SC"/>
        <family val="2"/>
      </rPr>
      <t xml:space="preserve">月</t>
    </r>
  </si>
  <si>
    <t xml:space="preserve">E27</t>
  </si>
  <si>
    <r>
      <rPr>
        <sz val="9"/>
        <rFont val="Consolas"/>
        <family val="0"/>
        <charset val="1"/>
      </rPr>
      <t xml:space="preserve">='</t>
    </r>
    <r>
      <rPr>
        <sz val="9"/>
        <rFont val="Noto Sans CJK SC"/>
        <family val="2"/>
      </rPr>
      <t xml:space="preserve">回帰</t>
    </r>
    <r>
      <rPr>
        <sz val="9"/>
        <rFont val="Consolas"/>
        <family val="0"/>
        <charset val="1"/>
      </rPr>
      <t xml:space="preserve">'!$C$44+'</t>
    </r>
    <r>
      <rPr>
        <sz val="9"/>
        <rFont val="Noto Sans CJK SC"/>
        <family val="2"/>
      </rPr>
      <t xml:space="preserve">回帰</t>
    </r>
    <r>
      <rPr>
        <sz val="9"/>
        <rFont val="Consolas"/>
        <family val="0"/>
        <charset val="1"/>
      </rPr>
      <t xml:space="preserve">'!$D$44*B27</t>
    </r>
  </si>
  <si>
    <r>
      <rPr>
        <sz val="10"/>
        <rFont val="Arial"/>
        <family val="0"/>
        <charset val="1"/>
      </rPr>
      <t xml:space="preserve">k=1</t>
    </r>
    <r>
      <rPr>
        <sz val="10"/>
        <rFont val="Noto Sans CJK SC"/>
        <family val="2"/>
      </rPr>
      <t xml:space="preserve">の係数で中国地場を予測</t>
    </r>
  </si>
  <si>
    <t xml:space="preserve">F27</t>
  </si>
  <si>
    <r>
      <rPr>
        <sz val="9"/>
        <rFont val="Consolas"/>
        <family val="0"/>
        <charset val="1"/>
      </rPr>
      <t xml:space="preserve">='</t>
    </r>
    <r>
      <rPr>
        <sz val="9"/>
        <rFont val="Noto Sans CJK SC"/>
        <family val="2"/>
      </rPr>
      <t xml:space="preserve">回帰</t>
    </r>
    <r>
      <rPr>
        <sz val="9"/>
        <rFont val="Consolas"/>
        <family val="0"/>
        <charset val="1"/>
      </rPr>
      <t xml:space="preserve">'!$C$45+'</t>
    </r>
    <r>
      <rPr>
        <sz val="9"/>
        <rFont val="Noto Sans CJK SC"/>
        <family val="2"/>
      </rPr>
      <t xml:space="preserve">回帰</t>
    </r>
    <r>
      <rPr>
        <sz val="9"/>
        <rFont val="Consolas"/>
        <family val="0"/>
        <charset val="1"/>
      </rPr>
      <t xml:space="preserve">'!$D$45*C27</t>
    </r>
  </si>
  <si>
    <r>
      <rPr>
        <sz val="10"/>
        <rFont val="Arial"/>
        <family val="0"/>
        <charset val="1"/>
      </rPr>
      <t xml:space="preserve">k=1</t>
    </r>
    <r>
      <rPr>
        <sz val="10"/>
        <rFont val="Noto Sans CJK SC"/>
        <family val="2"/>
      </rPr>
      <t xml:space="preserve">の係数でグローバルを予測</t>
    </r>
  </si>
  <si>
    <t xml:space="preserve">G27</t>
  </si>
  <si>
    <t xml:space="preserve">=E27+F27</t>
  </si>
  <si>
    <r>
      <rPr>
        <sz val="10"/>
        <rFont val="Arial"/>
        <family val="0"/>
        <charset val="1"/>
      </rPr>
      <t xml:space="preserve">k=1</t>
    </r>
    <r>
      <rPr>
        <sz val="10"/>
        <rFont val="Noto Sans CJK SC"/>
        <family val="2"/>
      </rPr>
      <t xml:space="preserve">の構造モデル予測</t>
    </r>
  </si>
  <si>
    <r>
      <rPr>
        <sz val="10"/>
        <rFont val="Arial"/>
        <family val="0"/>
        <charset val="1"/>
      </rPr>
      <t xml:space="preserve">G27</t>
    </r>
    <r>
      <rPr>
        <sz val="10"/>
        <rFont val="Noto Sans CJK SC"/>
        <family val="2"/>
      </rPr>
      <t xml:space="preserve">＝</t>
    </r>
    <r>
      <rPr>
        <sz val="10"/>
        <rFont val="Arial"/>
        <family val="0"/>
        <charset val="1"/>
      </rPr>
      <t xml:space="preserve">792.5</t>
    </r>
  </si>
  <si>
    <t xml:space="preserve">H27</t>
  </si>
  <si>
    <r>
      <rPr>
        <sz val="9"/>
        <rFont val="Consolas"/>
        <family val="0"/>
        <charset val="1"/>
      </rPr>
      <t xml:space="preserve">=G27-'</t>
    </r>
    <r>
      <rPr>
        <sz val="9"/>
        <rFont val="Noto Sans CJK SC"/>
        <family val="2"/>
      </rPr>
      <t xml:space="preserve">回帰</t>
    </r>
    <r>
      <rPr>
        <sz val="9"/>
        <rFont val="Consolas"/>
        <family val="0"/>
        <charset val="1"/>
      </rPr>
      <t xml:space="preserve">'!$F$46</t>
    </r>
  </si>
  <si>
    <t xml:space="preserve">帯の下限</t>
  </si>
  <si>
    <t xml:space="preserve">I27</t>
  </si>
  <si>
    <r>
      <rPr>
        <sz val="9"/>
        <rFont val="Consolas"/>
        <family val="0"/>
        <charset val="1"/>
      </rPr>
      <t xml:space="preserve">=G27+'</t>
    </r>
    <r>
      <rPr>
        <sz val="9"/>
        <rFont val="Noto Sans CJK SC"/>
        <family val="2"/>
      </rPr>
      <t xml:space="preserve">回帰</t>
    </r>
    <r>
      <rPr>
        <sz val="9"/>
        <rFont val="Consolas"/>
        <family val="0"/>
        <charset val="1"/>
      </rPr>
      <t xml:space="preserve">'!$F$46</t>
    </r>
  </si>
  <si>
    <t xml:space="preserve">J27</t>
  </si>
  <si>
    <r>
      <rPr>
        <sz val="9"/>
        <rFont val="Consolas"/>
        <family val="0"/>
        <charset val="1"/>
      </rPr>
      <t xml:space="preserve">='</t>
    </r>
    <r>
      <rPr>
        <sz val="9"/>
        <rFont val="Noto Sans CJK SC"/>
        <family val="2"/>
      </rPr>
      <t xml:space="preserve">回帰</t>
    </r>
    <r>
      <rPr>
        <sz val="9"/>
        <rFont val="Consolas"/>
        <family val="0"/>
        <charset val="1"/>
      </rPr>
      <t xml:space="preserve">'!$C$43+'</t>
    </r>
    <r>
      <rPr>
        <sz val="9"/>
        <rFont val="Noto Sans CJK SC"/>
        <family val="2"/>
      </rPr>
      <t xml:space="preserve">回帰</t>
    </r>
    <r>
      <rPr>
        <sz val="9"/>
        <rFont val="Consolas"/>
        <family val="0"/>
        <charset val="1"/>
      </rPr>
      <t xml:space="preserve">'!$D$43*D27</t>
    </r>
  </si>
  <si>
    <r>
      <rPr>
        <sz val="10"/>
        <rFont val="Arial"/>
        <family val="0"/>
        <charset val="1"/>
      </rPr>
      <t xml:space="preserve">k=1</t>
    </r>
    <r>
      <rPr>
        <sz val="10"/>
        <rFont val="Noto Sans CJK SC"/>
        <family val="2"/>
      </rPr>
      <t xml:space="preserve">の単一モデル予測</t>
    </r>
  </si>
  <si>
    <r>
      <rPr>
        <sz val="10"/>
        <rFont val="Arial"/>
        <family val="0"/>
        <charset val="1"/>
      </rPr>
      <t xml:space="preserve">J27</t>
    </r>
    <r>
      <rPr>
        <sz val="10"/>
        <rFont val="Noto Sans CJK SC"/>
        <family val="2"/>
      </rPr>
      <t xml:space="preserve">＝</t>
    </r>
    <r>
      <rPr>
        <sz val="10"/>
        <rFont val="Arial"/>
        <family val="0"/>
        <charset val="1"/>
      </rPr>
      <t xml:space="preserve">735.1</t>
    </r>
  </si>
  <si>
    <t xml:space="preserve">D31</t>
  </si>
  <si>
    <r>
      <rPr>
        <sz val="9"/>
        <rFont val="Consolas"/>
        <family val="0"/>
        <charset val="1"/>
      </rPr>
      <t xml:space="preserve">='KOKUSAI_</t>
    </r>
    <r>
      <rPr>
        <sz val="9"/>
        <rFont val="Noto Sans CJK SC"/>
        <family val="2"/>
      </rPr>
      <t xml:space="preserve">四半期</t>
    </r>
    <r>
      <rPr>
        <sz val="9"/>
        <rFont val="Consolas"/>
        <family val="0"/>
        <charset val="1"/>
      </rPr>
      <t xml:space="preserve">'!D17</t>
    </r>
  </si>
  <si>
    <r>
      <rPr>
        <sz val="10"/>
        <rFont val="Arial"/>
        <family val="0"/>
        <charset val="1"/>
      </rPr>
      <t xml:space="preserve">1Q</t>
    </r>
    <r>
      <rPr>
        <sz val="10"/>
        <rFont val="Noto Sans CJK SC"/>
        <family val="2"/>
      </rPr>
      <t xml:space="preserve">実績</t>
    </r>
  </si>
  <si>
    <t xml:space="preserve">D32</t>
  </si>
  <si>
    <t xml:space="preserve">=D30-D31</t>
  </si>
  <si>
    <r>
      <rPr>
        <sz val="10"/>
        <rFont val="Noto Sans CJK SC"/>
        <family val="2"/>
      </rPr>
      <t xml:space="preserve">計画が示す</t>
    </r>
    <r>
      <rPr>
        <sz val="10"/>
        <rFont val="Arial"/>
        <family val="0"/>
        <charset val="1"/>
      </rPr>
      <t xml:space="preserve">2Q</t>
    </r>
    <r>
      <rPr>
        <sz val="10"/>
        <rFont val="Noto Sans CJK SC"/>
        <family val="2"/>
      </rPr>
      <t xml:space="preserve">売上＝上期計画−</t>
    </r>
    <r>
      <rPr>
        <sz val="10"/>
        <rFont val="Arial"/>
        <family val="0"/>
        <charset val="1"/>
      </rPr>
      <t xml:space="preserve">1Q</t>
    </r>
  </si>
  <si>
    <r>
      <rPr>
        <sz val="10"/>
        <rFont val="Arial"/>
        <family val="0"/>
        <charset val="1"/>
      </rPr>
      <t xml:space="preserve">D32</t>
    </r>
    <r>
      <rPr>
        <sz val="10"/>
        <rFont val="Noto Sans CJK SC"/>
        <family val="2"/>
      </rPr>
      <t xml:space="preserve">＝</t>
    </r>
    <r>
      <rPr>
        <sz val="10"/>
        <rFont val="Arial"/>
        <family val="0"/>
        <charset val="1"/>
      </rPr>
      <t xml:space="preserve">856.0</t>
    </r>
  </si>
  <si>
    <t xml:space="preserve">D33</t>
  </si>
  <si>
    <t xml:space="preserve">=D32-G22</t>
  </si>
  <si>
    <t xml:space="preserve">計画と基準予測の差</t>
  </si>
  <si>
    <t xml:space="preserve">D34</t>
  </si>
  <si>
    <t xml:space="preserve">=D32/D27</t>
  </si>
  <si>
    <t xml:space="preserve">計画が示す実質シェア</t>
  </si>
  <si>
    <r>
      <rPr>
        <sz val="10"/>
        <rFont val="Arial"/>
        <family val="0"/>
        <charset val="1"/>
      </rPr>
      <t xml:space="preserve">D34</t>
    </r>
    <r>
      <rPr>
        <sz val="10"/>
        <rFont val="Noto Sans CJK SC"/>
        <family val="2"/>
      </rPr>
      <t xml:space="preserve">＝</t>
    </r>
    <r>
      <rPr>
        <sz val="10"/>
        <rFont val="Arial"/>
        <family val="0"/>
        <charset val="1"/>
      </rPr>
      <t xml:space="preserve">5.9%</t>
    </r>
  </si>
  <si>
    <t xml:space="preserve">D35</t>
  </si>
  <si>
    <r>
      <rPr>
        <sz val="9"/>
        <rFont val="Consolas"/>
        <family val="0"/>
        <charset val="1"/>
      </rPr>
      <t xml:space="preserve">=MIN('</t>
    </r>
    <r>
      <rPr>
        <sz val="9"/>
        <rFont val="Noto Sans CJK SC"/>
        <family val="2"/>
      </rPr>
      <t xml:space="preserve">四半期集計</t>
    </r>
    <r>
      <rPr>
        <sz val="9"/>
        <rFont val="Consolas"/>
        <family val="0"/>
        <charset val="1"/>
      </rPr>
      <t xml:space="preserve">'!M7:M18)</t>
    </r>
  </si>
  <si>
    <t xml:space="preserve">過去の実質シェア最小</t>
  </si>
  <si>
    <t xml:space="preserve">E35</t>
  </si>
  <si>
    <r>
      <rPr>
        <sz val="9"/>
        <rFont val="Consolas"/>
        <family val="0"/>
        <charset val="1"/>
      </rPr>
      <t xml:space="preserve">=AVERAGE('</t>
    </r>
    <r>
      <rPr>
        <sz val="9"/>
        <rFont val="Noto Sans CJK SC"/>
        <family val="2"/>
      </rPr>
      <t xml:space="preserve">四半期集計</t>
    </r>
    <r>
      <rPr>
        <sz val="9"/>
        <rFont val="Consolas"/>
        <family val="0"/>
        <charset val="1"/>
      </rPr>
      <t xml:space="preserve">'!M7:M18)</t>
    </r>
  </si>
  <si>
    <t xml:space="preserve">平均</t>
  </si>
  <si>
    <t xml:space="preserve">F35</t>
  </si>
  <si>
    <r>
      <rPr>
        <sz val="9"/>
        <rFont val="Consolas"/>
        <family val="0"/>
        <charset val="1"/>
      </rPr>
      <t xml:space="preserve">=MAX('</t>
    </r>
    <r>
      <rPr>
        <sz val="9"/>
        <rFont val="Noto Sans CJK SC"/>
        <family val="2"/>
      </rPr>
      <t xml:space="preserve">四半期集計</t>
    </r>
    <r>
      <rPr>
        <sz val="9"/>
        <rFont val="Consolas"/>
        <family val="0"/>
        <charset val="1"/>
      </rPr>
      <t xml:space="preserve">'!M7:M18)</t>
    </r>
  </si>
  <si>
    <t xml:space="preserve">最大</t>
  </si>
  <si>
    <t xml:space="preserve">D38</t>
  </si>
  <si>
    <t xml:space="preserve">=H17*B15</t>
  </si>
  <si>
    <r>
      <rPr>
        <sz val="10"/>
        <rFont val="Noto Sans CJK SC"/>
        <family val="2"/>
      </rPr>
      <t xml:space="preserve">基準シナリオの</t>
    </r>
    <r>
      <rPr>
        <sz val="10"/>
        <rFont val="Arial"/>
        <family val="0"/>
        <charset val="1"/>
      </rPr>
      <t xml:space="preserve">9</t>
    </r>
    <r>
      <rPr>
        <sz val="10"/>
        <rFont val="Noto Sans CJK SC"/>
        <family val="2"/>
      </rPr>
      <t xml:space="preserve">月推計（中国）</t>
    </r>
  </si>
  <si>
    <t xml:space="preserve">D39</t>
  </si>
  <si>
    <t xml:space="preserve">=I17*C15</t>
  </si>
  <si>
    <r>
      <rPr>
        <sz val="10"/>
        <rFont val="Noto Sans CJK SC"/>
        <family val="2"/>
      </rPr>
      <t xml:space="preserve">基準シナリオの</t>
    </r>
    <r>
      <rPr>
        <sz val="10"/>
        <rFont val="Arial"/>
        <family val="0"/>
        <charset val="1"/>
      </rPr>
      <t xml:space="preserve">9</t>
    </r>
    <r>
      <rPr>
        <sz val="10"/>
        <rFont val="Noto Sans CJK SC"/>
        <family val="2"/>
      </rPr>
      <t xml:space="preserve">月推計（中国以外）</t>
    </r>
  </si>
  <si>
    <t xml:space="preserve">D40</t>
  </si>
  <si>
    <r>
      <rPr>
        <sz val="9"/>
        <rFont val="Consolas"/>
        <family val="0"/>
        <charset val="1"/>
      </rPr>
      <t xml:space="preserve">='</t>
    </r>
    <r>
      <rPr>
        <sz val="9"/>
        <rFont val="Noto Sans CJK SC"/>
        <family val="2"/>
      </rPr>
      <t xml:space="preserve">回帰</t>
    </r>
    <r>
      <rPr>
        <sz val="9"/>
        <rFont val="Consolas"/>
        <family val="0"/>
        <charset val="1"/>
      </rPr>
      <t xml:space="preserve">'!$D$21*D38+'</t>
    </r>
    <r>
      <rPr>
        <sz val="9"/>
        <rFont val="Noto Sans CJK SC"/>
        <family val="2"/>
      </rPr>
      <t xml:space="preserve">回帰</t>
    </r>
    <r>
      <rPr>
        <sz val="9"/>
        <rFont val="Consolas"/>
        <family val="0"/>
        <charset val="1"/>
      </rPr>
      <t xml:space="preserve">'!$D$22*D39</t>
    </r>
  </si>
  <si>
    <r>
      <rPr>
        <sz val="10"/>
        <rFont val="Arial"/>
        <family val="0"/>
        <charset val="1"/>
      </rPr>
      <t xml:space="preserve">9</t>
    </r>
    <r>
      <rPr>
        <sz val="10"/>
        <rFont val="Noto Sans CJK SC"/>
        <family val="2"/>
      </rPr>
      <t xml:space="preserve">月の輸出を</t>
    </r>
    <r>
      <rPr>
        <sz val="10"/>
        <rFont val="Arial"/>
        <family val="0"/>
        <charset val="1"/>
      </rPr>
      <t xml:space="preserve">1</t>
    </r>
    <r>
      <rPr>
        <sz val="10"/>
        <rFont val="Noto Sans CJK SC"/>
        <family val="2"/>
      </rPr>
      <t xml:space="preserve">倍分増やしたときの売上の増え方</t>
    </r>
  </si>
  <si>
    <t xml:space="preserve">D41</t>
  </si>
  <si>
    <t xml:space="preserve">=1+(D32-G22)/D40</t>
  </si>
  <si>
    <r>
      <rPr>
        <sz val="10"/>
        <rFont val="Noto Sans CJK SC"/>
        <family val="2"/>
      </rPr>
      <t xml:space="preserve">計画に届くのに必要な</t>
    </r>
    <r>
      <rPr>
        <sz val="10"/>
        <rFont val="Arial"/>
        <family val="0"/>
        <charset val="1"/>
      </rPr>
      <t xml:space="preserve">9</t>
    </r>
    <r>
      <rPr>
        <sz val="10"/>
        <rFont val="Noto Sans CJK SC"/>
        <family val="2"/>
      </rPr>
      <t xml:space="preserve">月の倍率</t>
    </r>
  </si>
  <si>
    <r>
      <rPr>
        <sz val="10"/>
        <rFont val="Arial"/>
        <family val="0"/>
        <charset val="1"/>
      </rPr>
      <t xml:space="preserve">D41</t>
    </r>
    <r>
      <rPr>
        <sz val="10"/>
        <rFont val="Noto Sans CJK SC"/>
        <family val="2"/>
      </rPr>
      <t xml:space="preserve">＝</t>
    </r>
    <r>
      <rPr>
        <sz val="10"/>
        <rFont val="Arial"/>
        <family val="0"/>
        <charset val="1"/>
      </rPr>
      <t xml:space="preserve">1.03</t>
    </r>
  </si>
  <si>
    <t xml:space="preserve">D42</t>
  </si>
  <si>
    <t xml:space="preserve">=(D38+D39)*D41</t>
  </si>
  <si>
    <r>
      <rPr>
        <sz val="10"/>
        <rFont val="Noto Sans CJK SC"/>
        <family val="2"/>
      </rPr>
      <t xml:space="preserve">必要な</t>
    </r>
    <r>
      <rPr>
        <sz val="10"/>
        <rFont val="Arial"/>
        <family val="0"/>
        <charset val="1"/>
      </rPr>
      <t xml:space="preserve">9</t>
    </r>
    <r>
      <rPr>
        <sz val="10"/>
        <rFont val="Noto Sans CJK SC"/>
        <family val="2"/>
      </rPr>
      <t xml:space="preserve">月の世界輸出</t>
    </r>
  </si>
  <si>
    <r>
      <rPr>
        <sz val="9"/>
        <rFont val="Consolas"/>
        <family val="0"/>
        <charset val="1"/>
      </rPr>
      <t xml:space="preserve">=SUMIFS('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'!$A:$A,DATE(2025,9,1))</t>
    </r>
  </si>
  <si>
    <r>
      <rPr>
        <sz val="10"/>
        <rFont val="Arial"/>
        <family val="0"/>
        <charset val="1"/>
      </rPr>
      <t xml:space="preserve">2025</t>
    </r>
    <r>
      <rPr>
        <sz val="10"/>
        <rFont val="Noto Sans CJK SC"/>
        <family val="2"/>
      </rPr>
      <t xml:space="preserve">年</t>
    </r>
    <r>
      <rPr>
        <sz val="10"/>
        <rFont val="Arial"/>
        <family val="0"/>
        <charset val="1"/>
      </rPr>
      <t xml:space="preserve">9</t>
    </r>
    <r>
      <rPr>
        <sz val="10"/>
        <rFont val="Noto Sans CJK SC"/>
        <family val="2"/>
      </rPr>
      <t xml:space="preserve">月の世界輸出</t>
    </r>
  </si>
  <si>
    <t xml:space="preserve">=D42/D43-1</t>
  </si>
  <si>
    <t xml:space="preserve">必要な前年同月比</t>
  </si>
  <si>
    <r>
      <rPr>
        <sz val="10"/>
        <rFont val="Arial"/>
        <family val="0"/>
        <charset val="1"/>
      </rPr>
      <t xml:space="preserve">D44</t>
    </r>
    <r>
      <rPr>
        <sz val="10"/>
        <rFont val="Noto Sans CJK SC"/>
        <family val="2"/>
      </rPr>
      <t xml:space="preserve">＝</t>
    </r>
    <r>
      <rPr>
        <sz val="10"/>
        <rFont val="Arial"/>
        <family val="0"/>
        <charset val="1"/>
      </rPr>
      <t xml:space="preserve">50.5%</t>
    </r>
  </si>
  <si>
    <r>
      <rPr>
        <sz val="9"/>
        <rFont val="Consolas"/>
        <family val="0"/>
        <charset val="1"/>
      </rPr>
      <t xml:space="preserve">=J14/SUMIFS('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'!$A:$A,DATE(2025,7,1))-1</t>
    </r>
  </si>
  <si>
    <r>
      <rPr>
        <sz val="10"/>
        <rFont val="Noto Sans CJK SC"/>
        <family val="2"/>
      </rPr>
      <t xml:space="preserve">参考：</t>
    </r>
    <r>
      <rPr>
        <sz val="10"/>
        <rFont val="Arial"/>
        <family val="0"/>
        <charset val="1"/>
      </rPr>
      <t xml:space="preserve">7</t>
    </r>
    <r>
      <rPr>
        <sz val="10"/>
        <rFont val="Noto Sans CJK SC"/>
        <family val="2"/>
      </rPr>
      <t xml:space="preserve">月の前年比</t>
    </r>
  </si>
  <si>
    <r>
      <rPr>
        <sz val="9"/>
        <rFont val="Consolas"/>
        <family val="0"/>
        <charset val="1"/>
      </rPr>
      <t xml:space="preserve">=J15/SUMIFS('</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'!$B:$B,'</t>
    </r>
    <r>
      <rPr>
        <sz val="9"/>
        <rFont val="Noto Sans CJK SC"/>
        <family val="2"/>
      </rPr>
      <t xml:space="preserve">貿易</t>
    </r>
    <r>
      <rPr>
        <sz val="9"/>
        <rFont val="Consolas"/>
        <family val="0"/>
        <charset val="1"/>
      </rPr>
      <t xml:space="preserve">_</t>
    </r>
    <r>
      <rPr>
        <sz val="9"/>
        <rFont val="Noto Sans CJK SC"/>
        <family val="2"/>
      </rPr>
      <t xml:space="preserve">月次</t>
    </r>
    <r>
      <rPr>
        <sz val="9"/>
        <rFont val="Consolas"/>
        <family val="0"/>
        <charset val="1"/>
      </rPr>
      <t xml:space="preserve">'!$A:$A,DATE(2025,8,1))-1</t>
    </r>
  </si>
  <si>
    <r>
      <rPr>
        <sz val="10"/>
        <rFont val="Noto Sans CJK SC"/>
        <family val="2"/>
      </rPr>
      <t xml:space="preserve">参考：</t>
    </r>
    <r>
      <rPr>
        <sz val="10"/>
        <rFont val="Arial"/>
        <family val="0"/>
        <charset val="1"/>
      </rPr>
      <t xml:space="preserve">8</t>
    </r>
    <r>
      <rPr>
        <sz val="10"/>
        <rFont val="Noto Sans CJK SC"/>
        <family val="2"/>
      </rPr>
      <t xml:space="preserve">月の前年比</t>
    </r>
  </si>
  <si>
    <t xml:space="preserve">財務省 貿易統計 月次速報：概況品「半導体等製造装置」の地域別輸出（原データ）</t>
  </si>
  <si>
    <r>
      <rPr>
        <sz val="9"/>
        <color rgb="FF555555"/>
        <rFont val="Noto Sans CJK SC"/>
        <family val="2"/>
      </rPr>
      <t xml:space="preserve">青字＝各月の速報</t>
    </r>
    <r>
      <rPr>
        <sz val="9"/>
        <color rgb="FF555555"/>
        <rFont val="Arial"/>
        <family val="0"/>
        <charset val="1"/>
      </rPr>
      <t xml:space="preserve">PDF</t>
    </r>
    <r>
      <rPr>
        <sz val="9"/>
        <color rgb="FF555555"/>
        <rFont val="Noto Sans CJK SC"/>
        <family val="2"/>
      </rPr>
      <t xml:space="preserve">から転記した値。価額は百万円、前年同月比は％（例：</t>
    </r>
    <r>
      <rPr>
        <sz val="9"/>
        <color rgb="FF555555"/>
        <rFont val="Arial"/>
        <family val="0"/>
        <charset val="1"/>
      </rPr>
      <t xml:space="preserve">40.1</t>
    </r>
    <r>
      <rPr>
        <sz val="9"/>
        <color rgb="FF555555"/>
        <rFont val="Noto Sans CJK SC"/>
        <family val="2"/>
      </rPr>
      <t xml:space="preserve">＝＋</t>
    </r>
    <r>
      <rPr>
        <sz val="9"/>
        <color rgb="FF555555"/>
        <rFont val="Arial"/>
        <family val="0"/>
        <charset val="1"/>
      </rPr>
      <t xml:space="preserve">40.1</t>
    </r>
    <r>
      <rPr>
        <sz val="9"/>
        <color rgb="FF555555"/>
        <rFont val="Noto Sans CJK SC"/>
        <family val="2"/>
      </rPr>
      <t xml:space="preserve">％）。</t>
    </r>
  </si>
  <si>
    <t xml:space="preserve">月</t>
  </si>
  <si>
    <t xml:space="preserve">地域</t>
  </si>
  <si>
    <t xml:space="preserve">価額（百万円）</t>
  </si>
  <si>
    <t xml:space="preserve">前年同月比（％）</t>
  </si>
  <si>
    <t xml:space="preserve">数量（トン）</t>
  </si>
  <si>
    <t xml:space="preserve">数量前年比（％）</t>
  </si>
  <si>
    <r>
      <rPr>
        <b val="true"/>
        <sz val="10"/>
        <rFont val="Noto Sans CJK SC"/>
        <family val="2"/>
      </rPr>
      <t xml:space="preserve">出所</t>
    </r>
    <r>
      <rPr>
        <b val="true"/>
        <sz val="10"/>
        <rFont val="Arial"/>
        <family val="0"/>
        <charset val="1"/>
      </rPr>
      <t xml:space="preserve">PDF</t>
    </r>
  </si>
  <si>
    <r>
      <rPr>
        <b val="true"/>
        <sz val="10"/>
        <rFont val="Arial"/>
        <family val="0"/>
        <charset val="1"/>
      </rPr>
      <t xml:space="preserve">2024</t>
    </r>
    <r>
      <rPr>
        <b val="true"/>
        <sz val="10"/>
        <rFont val="Noto Sans CJK SC"/>
        <family val="2"/>
      </rPr>
      <t xml:space="preserve">年</t>
    </r>
    <r>
      <rPr>
        <b val="true"/>
        <sz val="10"/>
        <rFont val="Arial"/>
        <family val="0"/>
        <charset val="1"/>
      </rPr>
      <t xml:space="preserve">5</t>
    </r>
    <r>
      <rPr>
        <b val="true"/>
        <sz val="10"/>
        <rFont val="Noto Sans CJK SC"/>
        <family val="2"/>
      </rPr>
      <t xml:space="preserve">月の前年同月比（概要</t>
    </r>
    <r>
      <rPr>
        <b val="true"/>
        <sz val="10"/>
        <rFont val="Arial"/>
        <family val="0"/>
        <charset val="1"/>
      </rPr>
      <t xml:space="preserve">PDF</t>
    </r>
    <r>
      <rPr>
        <b val="true"/>
        <sz val="10"/>
        <rFont val="Noto Sans CJK SC"/>
        <family val="2"/>
      </rPr>
      <t xml:space="preserve">より）</t>
    </r>
  </si>
  <si>
    <t xml:space="preserve">ASEAN</t>
  </si>
  <si>
    <t xml:space="preserve">https://www.customs.go.jp/toukei/shinbun/trade-st/2024/2024044.pdf</t>
  </si>
  <si>
    <t xml:space="preserve">Asia</t>
  </si>
  <si>
    <t xml:space="preserve">World</t>
  </si>
  <si>
    <t xml:space="preserve">China</t>
  </si>
  <si>
    <t xml:space="preserve">EU</t>
  </si>
  <si>
    <t xml:space="preserve">Korea</t>
  </si>
  <si>
    <t xml:space="preserve">US</t>
  </si>
  <si>
    <r>
      <rPr>
        <sz val="9"/>
        <color rgb="FF555555"/>
        <rFont val="Noto Sans CJK SC"/>
        <family val="2"/>
      </rPr>
      <t xml:space="preserve">出所</t>
    </r>
    <r>
      <rPr>
        <sz val="9"/>
        <color rgb="FF555555"/>
        <rFont val="Arial"/>
        <family val="0"/>
        <charset val="1"/>
      </rPr>
      <t xml:space="preserve">: https://www.customs.go.jp/toukei/shinbun/trade-st/gaiyo2024_05.pdf</t>
    </r>
  </si>
  <si>
    <t xml:space="preserve">https://www.customs.go.jp/toukei/shinbun/trade-st/2024/2024064.pdf</t>
  </si>
  <si>
    <t xml:space="preserve">https://www.customs.go.jp/toukei/shinbun/trade-st/2024/2024074.pdf</t>
  </si>
  <si>
    <t xml:space="preserve">https://www.customs.go.jp/toukei/shinbun/trade-st/2024/2024084.pdf</t>
  </si>
  <si>
    <t xml:space="preserve">https://www.customs.go.jp/toukei/shinbun/trade-st/2024/2024094.pdf</t>
  </si>
  <si>
    <t xml:space="preserve">https://www.customs.go.jp/toukei/shinbun/trade-st/2024/2024104.pdf</t>
  </si>
  <si>
    <t xml:space="preserve">https://www.customs.go.jp/toukei/shinbun/trade-st/2024/2024114.pdf</t>
  </si>
  <si>
    <t xml:space="preserve">https://www.customs.go.jp/toukei/shinbun/trade-st/2024/2024124.pdf</t>
  </si>
  <si>
    <t xml:space="preserve">https://www.customs.go.jp/toukei/shinbun/trade-st/2025/2025014.pdf</t>
  </si>
  <si>
    <t xml:space="preserve">https://www.customs.go.jp/toukei/shinbun/trade-st/2025/2025024.pdf</t>
  </si>
  <si>
    <t xml:space="preserve">https://www.customs.go.jp/toukei/shinbun/trade-st/2025/2025034.pdf</t>
  </si>
  <si>
    <t xml:space="preserve">https://www.customs.go.jp/toukei/shinbun/trade-st/2025/2025044.pdf</t>
  </si>
  <si>
    <t xml:space="preserve">https://www.customs.go.jp/toukei/shinbun/trade-st/2025/2025054.pdf</t>
  </si>
  <si>
    <t xml:space="preserve">https://www.customs.go.jp/toukei/shinbun/trade-st/2025/2025064.pdf</t>
  </si>
  <si>
    <t xml:space="preserve">https://www.customs.go.jp/toukei/shinbun/trade-st/2025/2025074.pdf</t>
  </si>
  <si>
    <t xml:space="preserve">https://www.customs.go.jp/toukei/shinbun/trade-st/2025/2025084.pdf</t>
  </si>
  <si>
    <t xml:space="preserve">https://www.customs.go.jp/toukei/shinbun/trade-st/2025/2025094.pdf</t>
  </si>
  <si>
    <t xml:space="preserve">https://www.customs.go.jp/toukei/shinbun/trade-st/2025/2025104.pdf</t>
  </si>
  <si>
    <t xml:space="preserve">https://www.customs.go.jp/toukei/shinbun/trade-st/2025/2025114.pdf</t>
  </si>
  <si>
    <t xml:space="preserve">https://www.customs.go.jp/toukei/shinbun/trade-st/2025/2025124.pdf</t>
  </si>
  <si>
    <t xml:space="preserve">https://www.customs.go.jp/toukei/shinbun/trade-st/2026/2026014.pdf</t>
  </si>
  <si>
    <t xml:space="preserve">https://www.customs.go.jp/toukei/shinbun/trade-st/2026/2026024.pdf</t>
  </si>
  <si>
    <t xml:space="preserve">https://www.customs.go.jp/toukei/shinbun/trade-st/2026/2026034.pdf</t>
  </si>
  <si>
    <t xml:space="preserve">https://www.customs.go.jp/toukei/shinbun/trade-st/2026/2026044.pdf</t>
  </si>
  <si>
    <t xml:space="preserve">https://www.customs.go.jp/toukei/shinbun/trade-st/2026/2026054.pdf</t>
  </si>
  <si>
    <t xml:space="preserve">https://www.customs.go.jp/toukei/shinbun/trade-st/2026/2026064.pdf</t>
  </si>
  <si>
    <t xml:space="preserve">https://www.customs.go.jp/toukei/shinbun/trade-st/2026/2026074.pdf</t>
  </si>
  <si>
    <t xml:space="preserve">https://www.customs.go.jp/toukei/shinbun/trade-st/2026/2026084.pdf</t>
  </si>
  <si>
    <t xml:space="preserve">半導体等製造装置の輸出（億円）— 月次パネル</t>
  </si>
  <si>
    <r>
      <rPr>
        <sz val="9"/>
        <color rgb="FF555555"/>
        <rFont val="Noto Sans CJK SC"/>
        <family val="2"/>
      </rPr>
      <t xml:space="preserve">当月の速報値を優先。無い月は翌年同月の速報値</t>
    </r>
    <r>
      <rPr>
        <sz val="9"/>
        <color rgb="FF555555"/>
        <rFont val="Arial"/>
        <family val="0"/>
        <charset val="1"/>
      </rPr>
      <t xml:space="preserve">÷(1</t>
    </r>
    <r>
      <rPr>
        <sz val="9"/>
        <color rgb="FF555555"/>
        <rFont val="Noto Sans CJK SC"/>
        <family val="2"/>
      </rPr>
      <t xml:space="preserve">＋前年同月比</t>
    </r>
    <r>
      <rPr>
        <sz val="9"/>
        <color rgb="FF555555"/>
        <rFont val="Arial"/>
        <family val="0"/>
        <charset val="1"/>
      </rPr>
      <t xml:space="preserve">)</t>
    </r>
    <r>
      <rPr>
        <sz val="9"/>
        <color rgb="FF555555"/>
        <rFont val="Noto Sans CJK SC"/>
        <family val="2"/>
      </rPr>
      <t xml:space="preserve">で逆算。</t>
    </r>
    <r>
      <rPr>
        <sz val="9"/>
        <color rgb="FF555555"/>
        <rFont val="Arial"/>
        <family val="0"/>
        <charset val="1"/>
      </rPr>
      <t xml:space="preserve">2023</t>
    </r>
    <r>
      <rPr>
        <sz val="9"/>
        <color rgb="FF555555"/>
        <rFont val="Noto Sans CJK SC"/>
        <family val="2"/>
      </rPr>
      <t xml:space="preserve">年</t>
    </r>
    <r>
      <rPr>
        <sz val="9"/>
        <color rgb="FF555555"/>
        <rFont val="Arial"/>
        <family val="0"/>
        <charset val="1"/>
      </rPr>
      <t xml:space="preserve">5</t>
    </r>
    <r>
      <rPr>
        <sz val="9"/>
        <color rgb="FF555555"/>
        <rFont val="Noto Sans CJK SC"/>
        <family val="2"/>
      </rPr>
      <t xml:space="preserve">月は</t>
    </r>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の同月は前後月の平均で補間。</t>
    </r>
  </si>
  <si>
    <t xml:space="preserve">世界</t>
  </si>
  <si>
    <t xml:space="preserve">アジア</t>
  </si>
  <si>
    <t xml:space="preserve">中国</t>
  </si>
  <si>
    <t xml:space="preserve">韓国</t>
  </si>
  <si>
    <t xml:space="preserve">米国</t>
  </si>
  <si>
    <t xml:space="preserve">中国以外</t>
  </si>
  <si>
    <t xml:space="preserve">アジア残差（台湾等）</t>
  </si>
  <si>
    <t xml:space="preserve">値の出所</t>
  </si>
  <si>
    <t xml:space="preserve">翌年同月速報の前年比から逆算</t>
  </si>
  <si>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は補間）</t>
    </r>
  </si>
  <si>
    <t xml:space="preserve">当月速報</t>
  </si>
  <si>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）四半期売上収益（億円）</t>
    </r>
  </si>
  <si>
    <r>
      <rPr>
        <sz val="9"/>
        <color rgb="FF555555"/>
        <rFont val="Noto Sans CJK SC"/>
        <family val="2"/>
      </rPr>
      <t xml:space="preserve">青字＝決算説明資料からの転記。</t>
    </r>
    <r>
      <rPr>
        <sz val="9"/>
        <color rgb="FF555555"/>
        <rFont val="Arial"/>
        <family val="0"/>
        <charset val="1"/>
      </rPr>
      <t xml:space="preserve">27/3</t>
    </r>
    <r>
      <rPr>
        <sz val="9"/>
        <color rgb="FF555555"/>
        <rFont val="Noto Sans CJK SC"/>
        <family val="2"/>
      </rPr>
      <t xml:space="preserve">期から装置・サービスの区分基準が変更されたため、</t>
    </r>
    <r>
      <rPr>
        <sz val="9"/>
        <color rgb="FF555555"/>
        <rFont val="Arial"/>
        <family val="0"/>
        <charset val="1"/>
      </rPr>
      <t xml:space="preserve">1Q</t>
    </r>
    <r>
      <rPr>
        <sz val="9"/>
        <color rgb="FF555555"/>
        <rFont val="Noto Sans CJK SC"/>
        <family val="2"/>
      </rPr>
      <t xml:space="preserve">の内訳は空欄。</t>
    </r>
  </si>
  <si>
    <t xml:space="preserve">四半期</t>
  </si>
  <si>
    <t xml:space="preserve">期間</t>
  </si>
  <si>
    <t xml:space="preserve">期末月</t>
  </si>
  <si>
    <t xml:space="preserve">売上収益</t>
  </si>
  <si>
    <t xml:space="preserve">装置（旧基準）</t>
  </si>
  <si>
    <t xml:space="preserve">サービス（旧基準）</t>
  </si>
  <si>
    <t xml:space="preserve">中国地場比率</t>
  </si>
  <si>
    <t xml:space="preserve">中国地場売上</t>
  </si>
  <si>
    <t xml:space="preserve">グローバル売上</t>
  </si>
  <si>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</si>
  <si>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</si>
  <si>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</si>
  <si>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</si>
  <si>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</si>
  <si>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</si>
  <si>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</si>
  <si>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</si>
  <si>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</si>
  <si>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</si>
  <si>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</si>
  <si>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</si>
  <si>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</si>
  <si>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</si>
  <si>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</si>
  <si>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</si>
  <si>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</si>
  <si>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</si>
  <si>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</si>
  <si>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</si>
  <si>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</si>
  <si>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</si>
  <si>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</si>
  <si>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</si>
  <si>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</si>
  <si>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</si>
  <si>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9"/>
        <color rgb="FF555555"/>
        <rFont val="Noto Sans CJK SC"/>
        <family val="2"/>
      </rPr>
      <t xml:space="preserve">出所</t>
    </r>
    <r>
      <rPr>
        <sz val="9"/>
        <color rgb="FF555555"/>
        <rFont val="Arial"/>
        <family val="0"/>
        <charset val="1"/>
      </rPr>
      <t xml:space="preserve">: 24/3</t>
    </r>
    <r>
      <rPr>
        <sz val="9"/>
        <color rgb="FF555555"/>
        <rFont val="Noto Sans CJK SC"/>
        <family val="2"/>
      </rPr>
      <t xml:space="preserve">期〜</t>
    </r>
    <r>
      <rPr>
        <sz val="9"/>
        <color rgb="FF555555"/>
        <rFont val="Arial"/>
        <family val="0"/>
        <charset val="1"/>
      </rPr>
      <t xml:space="preserve">25/3</t>
    </r>
    <r>
      <rPr>
        <sz val="9"/>
        <color rgb="FF555555"/>
        <rFont val="Noto Sans CJK SC"/>
        <family val="2"/>
      </rPr>
      <t xml:space="preserve">期は</t>
    </r>
    <r>
      <rPr>
        <sz val="9"/>
        <color rgb="FF555555"/>
        <rFont val="Arial"/>
        <family val="0"/>
        <charset val="1"/>
      </rPr>
      <t xml:space="preserve">25/3</t>
    </r>
    <r>
      <rPr>
        <sz val="9"/>
        <color rgb="FF555555"/>
        <rFont val="Noto Sans CJK SC"/>
        <family val="2"/>
      </rPr>
      <t xml:space="preserve">期決算説明資料、</t>
    </r>
    <r>
      <rPr>
        <sz val="9"/>
        <color rgb="FF555555"/>
        <rFont val="Arial"/>
        <family val="0"/>
        <charset val="1"/>
      </rPr>
      <t xml:space="preserve">26/3</t>
    </r>
    <r>
      <rPr>
        <sz val="9"/>
        <color rgb="FF555555"/>
        <rFont val="Noto Sans CJK SC"/>
        <family val="2"/>
      </rPr>
      <t xml:space="preserve">期は</t>
    </r>
    <r>
      <rPr>
        <sz val="9"/>
        <color rgb="FF555555"/>
        <rFont val="Arial"/>
        <family val="0"/>
        <charset val="1"/>
      </rPr>
      <t xml:space="preserve">26/3</t>
    </r>
    <r>
      <rPr>
        <sz val="9"/>
        <color rgb="FF555555"/>
        <rFont val="Noto Sans CJK SC"/>
        <family val="2"/>
      </rPr>
      <t xml:space="preserve">期決算説明資料、</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1Q</t>
    </r>
    <r>
      <rPr>
        <sz val="9"/>
        <color rgb="FF555555"/>
        <rFont val="Noto Sans CJK SC"/>
        <family val="2"/>
      </rPr>
      <t xml:space="preserve">は決算報道（売上</t>
    </r>
    <r>
      <rPr>
        <sz val="9"/>
        <color rgb="FF555555"/>
        <rFont val="Arial"/>
        <family val="0"/>
        <charset val="1"/>
      </rPr>
      <t xml:space="preserve">754</t>
    </r>
    <r>
      <rPr>
        <sz val="9"/>
        <color rgb="FF555555"/>
        <rFont val="Noto Sans CJK SC"/>
        <family val="2"/>
      </rPr>
      <t xml:space="preserve">億円、中国地場</t>
    </r>
    <r>
      <rPr>
        <sz val="9"/>
        <color rgb="FF555555"/>
        <rFont val="Arial"/>
        <family val="0"/>
        <charset val="1"/>
      </rPr>
      <t xml:space="preserve">25</t>
    </r>
    <r>
      <rPr>
        <sz val="9"/>
        <color rgb="FF555555"/>
        <rFont val="Noto Sans CJK SC"/>
        <family val="2"/>
      </rPr>
      <t xml:space="preserve">％）。</t>
    </r>
  </si>
  <si>
    <t xml:space="preserve">中国地場比率は会社開示の四半期比率を全社売上に掛けて金額化した近似（比率の母数が装置売上である場合は過大）。</t>
  </si>
  <si>
    <r>
      <rPr>
        <b val="true"/>
        <sz val="12"/>
        <rFont val="Noto Sans CJK SC"/>
        <family val="2"/>
      </rPr>
      <t xml:space="preserve">四半期ごとの輸出額（億円）— 期末月から</t>
    </r>
    <r>
      <rPr>
        <b val="true"/>
        <sz val="12"/>
        <rFont val="Arial"/>
        <family val="0"/>
        <charset val="1"/>
      </rPr>
      <t xml:space="preserve">k</t>
    </r>
    <r>
      <rPr>
        <b val="true"/>
        <sz val="12"/>
        <rFont val="Noto Sans CJK SC"/>
        <family val="2"/>
      </rPr>
      <t xml:space="preserve">か月ずらした</t>
    </r>
    <r>
      <rPr>
        <b val="true"/>
        <sz val="12"/>
        <rFont val="Arial"/>
        <family val="0"/>
        <charset val="1"/>
      </rPr>
      <t xml:space="preserve">3</t>
    </r>
    <r>
      <rPr>
        <b val="true"/>
        <sz val="12"/>
        <rFont val="Noto Sans CJK SC"/>
        <family val="2"/>
      </rPr>
      <t xml:space="preserve">か月合計</t>
    </r>
  </si>
  <si>
    <r>
      <rPr>
        <sz val="9"/>
        <color rgb="FF555555"/>
        <rFont val="Arial"/>
        <family val="0"/>
        <charset val="1"/>
      </rPr>
      <t xml:space="preserve">k</t>
    </r>
    <r>
      <rPr>
        <sz val="9"/>
        <color rgb="FF555555"/>
        <rFont val="Noto Sans CJK SC"/>
        <family val="2"/>
      </rPr>
      <t xml:space="preserve">＝輸出（通関）が売上計上に先行する月数。</t>
    </r>
    <r>
      <rPr>
        <sz val="9"/>
        <color rgb="FF555555"/>
        <rFont val="Arial"/>
        <family val="0"/>
        <charset val="1"/>
      </rPr>
      <t xml:space="preserve">k=1</t>
    </r>
    <r>
      <rPr>
        <sz val="9"/>
        <color rgb="FF555555"/>
        <rFont val="Noto Sans CJK SC"/>
        <family val="2"/>
      </rPr>
      <t xml:space="preserve">なら、</t>
    </r>
    <r>
      <rPr>
        <sz val="9"/>
        <color rgb="FF555555"/>
        <rFont val="Arial"/>
        <family val="0"/>
        <charset val="1"/>
      </rPr>
      <t xml:space="preserve">7-9</t>
    </r>
    <r>
      <rPr>
        <sz val="9"/>
        <color rgb="FF555555"/>
        <rFont val="Noto Sans CJK SC"/>
        <family val="2"/>
      </rPr>
      <t xml:space="preserve">月期に</t>
    </r>
    <r>
      <rPr>
        <sz val="9"/>
        <color rgb="FF555555"/>
        <rFont val="Arial"/>
        <family val="0"/>
        <charset val="1"/>
      </rPr>
      <t xml:space="preserve">6-8</t>
    </r>
    <r>
      <rPr>
        <sz val="9"/>
        <color rgb="FF555555"/>
        <rFont val="Noto Sans CJK SC"/>
        <family val="2"/>
      </rPr>
      <t xml:space="preserve">月の輸出を対応させる。</t>
    </r>
  </si>
  <si>
    <t xml:space="preserve">k =</t>
  </si>
  <si>
    <r>
      <rPr>
        <sz val="9"/>
        <color rgb="FF555555"/>
        <rFont val="Noto Sans CJK SC"/>
        <family val="2"/>
      </rPr>
      <t xml:space="preserve">（</t>
    </r>
    <r>
      <rPr>
        <sz val="9"/>
        <color rgb="FF555555"/>
        <rFont val="Arial"/>
        <family val="0"/>
        <charset val="1"/>
      </rPr>
      <t xml:space="preserve">k=0</t>
    </r>
    <r>
      <rPr>
        <sz val="9"/>
        <color rgb="FF555555"/>
        <rFont val="Noto Sans CJK SC"/>
        <family val="2"/>
      </rPr>
      <t xml:space="preserve">：同じ</t>
    </r>
    <r>
      <rPr>
        <sz val="9"/>
        <color rgb="FF555555"/>
        <rFont val="Arial"/>
        <family val="0"/>
        <charset val="1"/>
      </rPr>
      <t xml:space="preserve">3</t>
    </r>
    <r>
      <rPr>
        <sz val="9"/>
        <color rgb="FF555555"/>
        <rFont val="Noto Sans CJK SC"/>
        <family val="2"/>
      </rPr>
      <t xml:space="preserve">か月）</t>
    </r>
  </si>
  <si>
    <r>
      <rPr>
        <sz val="9"/>
        <color rgb="FF555555"/>
        <rFont val="Noto Sans CJK SC"/>
        <family val="2"/>
      </rPr>
      <t xml:space="preserve">（</t>
    </r>
    <r>
      <rPr>
        <sz val="9"/>
        <color rgb="FF555555"/>
        <rFont val="Arial"/>
        <family val="0"/>
        <charset val="1"/>
      </rPr>
      <t xml:space="preserve">k=1</t>
    </r>
    <r>
      <rPr>
        <sz val="9"/>
        <color rgb="FF555555"/>
        <rFont val="Noto Sans CJK SC"/>
        <family val="2"/>
      </rPr>
      <t xml:space="preserve">：</t>
    </r>
    <r>
      <rPr>
        <sz val="9"/>
        <color rgb="FF555555"/>
        <rFont val="Arial"/>
        <family val="0"/>
        <charset val="1"/>
      </rPr>
      <t xml:space="preserve">1</t>
    </r>
    <r>
      <rPr>
        <sz val="9"/>
        <color rgb="FF555555"/>
        <rFont val="Noto Sans CJK SC"/>
        <family val="2"/>
      </rPr>
      <t xml:space="preserve">か月先行）</t>
    </r>
  </si>
  <si>
    <t xml:space="preserve">実質シェア</t>
  </si>
  <si>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2Q</t>
    </r>
  </si>
  <si>
    <r>
      <rPr>
        <sz val="9"/>
        <color rgb="FF555555"/>
        <rFont val="Noto Sans CJK SC"/>
        <family val="2"/>
      </rPr>
      <t xml:space="preserve">実質シェア＝</t>
    </r>
    <r>
      <rPr>
        <sz val="9"/>
        <color rgb="FF555555"/>
        <rFont val="Arial"/>
        <family val="0"/>
        <charset val="1"/>
      </rPr>
      <t xml:space="preserve">KOKUSAI</t>
    </r>
    <r>
      <rPr>
        <sz val="9"/>
        <color rgb="FF555555"/>
        <rFont val="Noto Sans CJK SC"/>
        <family val="2"/>
      </rPr>
      <t xml:space="preserve">売上</t>
    </r>
    <r>
      <rPr>
        <sz val="9"/>
        <color rgb="FF555555"/>
        <rFont val="Arial"/>
        <family val="0"/>
        <charset val="1"/>
      </rPr>
      <t xml:space="preserve">÷</t>
    </r>
    <r>
      <rPr>
        <sz val="9"/>
        <color rgb="FF555555"/>
        <rFont val="Noto Sans CJK SC"/>
        <family val="2"/>
      </rPr>
      <t xml:space="preserve">日本の半導体等製造装置輸出。</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2Q</t>
    </r>
    <r>
      <rPr>
        <sz val="9"/>
        <color rgb="FF555555"/>
        <rFont val="Noto Sans CJK SC"/>
        <family val="2"/>
      </rPr>
      <t xml:space="preserve">の</t>
    </r>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月分が未公表のため空欄（ナウキャストで推計）。</t>
    </r>
  </si>
  <si>
    <r>
      <rPr>
        <b val="true"/>
        <sz val="12"/>
        <rFont val="Noto Sans CJK SC"/>
        <family val="2"/>
      </rPr>
      <t xml:space="preserve">回帰：売上収益と輸出額（サンプル＝</t>
    </r>
    <r>
      <rPr>
        <b val="true"/>
        <sz val="12"/>
        <rFont val="Arial"/>
        <family val="0"/>
        <charset val="1"/>
      </rPr>
      <t xml:space="preserve">24/3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27/3</t>
    </r>
    <r>
      <rPr>
        <b val="true"/>
        <sz val="12"/>
        <rFont val="Noto Sans CJK SC"/>
        <family val="2"/>
      </rPr>
      <t xml:space="preserve">期</t>
    </r>
    <r>
      <rPr>
        <b val="true"/>
        <sz val="12"/>
        <rFont val="Arial"/>
        <family val="0"/>
        <charset val="1"/>
      </rPr>
      <t xml:space="preserve">1Q</t>
    </r>
    <r>
      <rPr>
        <b val="true"/>
        <sz val="12"/>
        <rFont val="Noto Sans CJK SC"/>
        <family val="2"/>
      </rPr>
      <t xml:space="preserve">の</t>
    </r>
    <r>
      <rPr>
        <b val="true"/>
        <sz val="12"/>
        <rFont val="Arial"/>
        <family val="0"/>
        <charset val="1"/>
      </rPr>
      <t xml:space="preserve">12</t>
    </r>
    <r>
      <rPr>
        <b val="true"/>
        <sz val="12"/>
        <rFont val="Noto Sans CJK SC"/>
        <family val="2"/>
      </rPr>
      <t xml:space="preserve">四半期）</t>
    </r>
  </si>
  <si>
    <r>
      <rPr>
        <sz val="9"/>
        <color rgb="FF555555"/>
        <rFont val="Noto Sans CJK SC"/>
        <family val="2"/>
      </rPr>
      <t xml:space="preserve">単一モデル：売上＝</t>
    </r>
    <r>
      <rPr>
        <sz val="9"/>
        <color rgb="FF555555"/>
        <rFont val="Arial"/>
        <family val="0"/>
        <charset val="1"/>
      </rPr>
      <t xml:space="preserve">a</t>
    </r>
    <r>
      <rPr>
        <sz val="9"/>
        <color rgb="FF555555"/>
        <rFont val="Noto Sans CJK SC"/>
        <family val="2"/>
      </rPr>
      <t xml:space="preserve">＋</t>
    </r>
    <r>
      <rPr>
        <sz val="9"/>
        <color rgb="FF555555"/>
        <rFont val="Arial"/>
        <family val="0"/>
        <charset val="1"/>
      </rPr>
      <t xml:space="preserve">b×</t>
    </r>
    <r>
      <rPr>
        <sz val="9"/>
        <color rgb="FF555555"/>
        <rFont val="Noto Sans CJK SC"/>
        <family val="2"/>
      </rPr>
      <t xml:space="preserve">世界。構造モデル：中国地場売上＝</t>
    </r>
    <r>
      <rPr>
        <sz val="9"/>
        <color rgb="FF555555"/>
        <rFont val="Arial"/>
        <family val="0"/>
        <charset val="1"/>
      </rPr>
      <t xml:space="preserve">a_c</t>
    </r>
    <r>
      <rPr>
        <sz val="9"/>
        <color rgb="FF555555"/>
        <rFont val="Noto Sans CJK SC"/>
        <family val="2"/>
      </rPr>
      <t xml:space="preserve">＋</t>
    </r>
    <r>
      <rPr>
        <sz val="9"/>
        <color rgb="FF555555"/>
        <rFont val="Arial"/>
        <family val="0"/>
        <charset val="1"/>
      </rPr>
      <t xml:space="preserve">b_c×</t>
    </r>
    <r>
      <rPr>
        <sz val="9"/>
        <color rgb="FF555555"/>
        <rFont val="Noto Sans CJK SC"/>
        <family val="2"/>
      </rPr>
      <t xml:space="preserve">中国、グローバル売上＝</t>
    </r>
    <r>
      <rPr>
        <sz val="9"/>
        <color rgb="FF555555"/>
        <rFont val="Arial"/>
        <family val="0"/>
        <charset val="1"/>
      </rPr>
      <t xml:space="preserve">a_g</t>
    </r>
    <r>
      <rPr>
        <sz val="9"/>
        <color rgb="FF555555"/>
        <rFont val="Noto Sans CJK SC"/>
        <family val="2"/>
      </rPr>
      <t xml:space="preserve">＋</t>
    </r>
    <r>
      <rPr>
        <sz val="9"/>
        <color rgb="FF555555"/>
        <rFont val="Arial"/>
        <family val="0"/>
        <charset val="1"/>
      </rPr>
      <t xml:space="preserve">b_g×</t>
    </r>
    <r>
      <rPr>
        <sz val="9"/>
        <color rgb="FF555555"/>
        <rFont val="Noto Sans CJK SC"/>
        <family val="2"/>
      </rPr>
      <t xml:space="preserve">中国以外、全社＝両者の和。</t>
    </r>
    <r>
      <rPr>
        <sz val="9"/>
        <color rgb="FF555555"/>
        <rFont val="Arial"/>
        <family val="0"/>
        <charset val="1"/>
      </rPr>
      <t xml:space="preserve">LOO</t>
    </r>
    <r>
      <rPr>
        <sz val="9"/>
        <color rgb="FF555555"/>
        <rFont val="Noto Sans CJK SC"/>
        <family val="2"/>
      </rPr>
      <t xml:space="preserve">残差＝残差</t>
    </r>
    <r>
      <rPr>
        <sz val="9"/>
        <color rgb="FF555555"/>
        <rFont val="Arial"/>
        <family val="0"/>
        <charset val="1"/>
      </rPr>
      <t xml:space="preserve">÷(1−h)</t>
    </r>
    <r>
      <rPr>
        <sz val="9"/>
        <color rgb="FF555555"/>
        <rFont val="Noto Sans CJK SC"/>
        <family val="2"/>
      </rPr>
      <t xml:space="preserve">（単回帰の</t>
    </r>
    <r>
      <rPr>
        <sz val="9"/>
        <color rgb="FF555555"/>
        <rFont val="Arial"/>
        <family val="0"/>
        <charset val="1"/>
      </rPr>
      <t xml:space="preserve">leave-one-out</t>
    </r>
    <r>
      <rPr>
        <sz val="9"/>
        <color rgb="FF555555"/>
        <rFont val="Noto Sans CJK SC"/>
        <family val="2"/>
      </rPr>
      <t xml:space="preserve">の厳密式）。</t>
    </r>
  </si>
  <si>
    <r>
      <rPr>
        <b val="true"/>
        <sz val="10"/>
        <rFont val="Arial"/>
        <family val="0"/>
        <charset val="1"/>
      </rPr>
      <t xml:space="preserve">k=0</t>
    </r>
    <r>
      <rPr>
        <b val="true"/>
        <sz val="10"/>
        <rFont val="Noto Sans CJK SC"/>
        <family val="2"/>
      </rPr>
      <t xml:space="preserve">（輸出と売上が同じ</t>
    </r>
    <r>
      <rPr>
        <b val="true"/>
        <sz val="10"/>
        <rFont val="Arial"/>
        <family val="0"/>
        <charset val="1"/>
      </rPr>
      <t xml:space="preserve">3</t>
    </r>
    <r>
      <rPr>
        <b val="true"/>
        <sz val="10"/>
        <rFont val="Noto Sans CJK SC"/>
        <family val="2"/>
      </rPr>
      <t xml:space="preserve">か月）</t>
    </r>
  </si>
  <si>
    <t xml:space="preserve">中国地場</t>
  </si>
  <si>
    <t xml:space="preserve">グローバル</t>
  </si>
  <si>
    <r>
      <rPr>
        <b val="true"/>
        <sz val="10"/>
        <rFont val="Noto Sans CJK SC"/>
        <family val="2"/>
      </rPr>
      <t xml:space="preserve">単一</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</si>
  <si>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単一</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</si>
  <si>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単一</t>
    </r>
    <r>
      <rPr>
        <b val="true"/>
        <sz val="10"/>
        <rFont val="Arial"/>
        <family val="0"/>
        <charset val="1"/>
      </rPr>
      <t xml:space="preserve">:h</t>
    </r>
  </si>
  <si>
    <r>
      <rPr>
        <b val="true"/>
        <sz val="10"/>
        <rFont val="Noto Sans CJK SC"/>
        <family val="2"/>
      </rPr>
      <t xml:space="preserve">単一</t>
    </r>
    <r>
      <rPr>
        <b val="true"/>
        <sz val="10"/>
        <rFont val="Arial"/>
        <family val="0"/>
        <charset val="1"/>
      </rPr>
      <t xml:space="preserve">:LOO</t>
    </r>
    <r>
      <rPr>
        <b val="true"/>
        <sz val="10"/>
        <rFont val="Noto Sans CJK SC"/>
        <family val="2"/>
      </rPr>
      <t xml:space="preserve">残差</t>
    </r>
  </si>
  <si>
    <r>
      <rPr>
        <b val="true"/>
        <sz val="10"/>
        <rFont val="Noto Sans CJK SC"/>
        <family val="2"/>
      </rPr>
      <t xml:space="preserve">中国地場</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</si>
  <si>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中国地場</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</si>
  <si>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中国地場</t>
    </r>
    <r>
      <rPr>
        <b val="true"/>
        <sz val="10"/>
        <rFont val="Arial"/>
        <family val="0"/>
        <charset val="1"/>
      </rPr>
      <t xml:space="preserve">:h</t>
    </r>
  </si>
  <si>
    <r>
      <rPr>
        <b val="true"/>
        <sz val="10"/>
        <rFont val="Noto Sans CJK SC"/>
        <family val="2"/>
      </rPr>
      <t xml:space="preserve">グローバル</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</si>
  <si>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グローバル</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</si>
  <si>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グローバル</t>
    </r>
    <r>
      <rPr>
        <b val="true"/>
        <sz val="10"/>
        <rFont val="Arial"/>
        <family val="0"/>
        <charset val="1"/>
      </rPr>
      <t xml:space="preserve">:h</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</si>
  <si>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予測</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</si>
  <si>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残差</t>
    </r>
  </si>
  <si>
    <r>
      <rPr>
        <b val="true"/>
        <sz val="10"/>
        <rFont val="Noto Sans CJK SC"/>
        <family val="2"/>
      </rPr>
      <t xml:space="preserve">構造</t>
    </r>
    <r>
      <rPr>
        <b val="true"/>
        <sz val="10"/>
        <rFont val="Arial"/>
        <family val="0"/>
        <charset val="1"/>
      </rPr>
      <t xml:space="preserve">:LOO</t>
    </r>
    <r>
      <rPr>
        <b val="true"/>
        <sz val="10"/>
        <rFont val="Noto Sans CJK SC"/>
        <family val="2"/>
      </rPr>
      <t xml:space="preserve">残差</t>
    </r>
  </si>
  <si>
    <t xml:space="preserve">モデル</t>
  </si>
  <si>
    <r>
      <rPr>
        <b val="true"/>
        <sz val="10"/>
        <rFont val="Noto Sans CJK SC"/>
        <family val="2"/>
      </rPr>
      <t xml:space="preserve">切片 </t>
    </r>
    <r>
      <rPr>
        <b val="true"/>
        <sz val="10"/>
        <rFont val="Arial"/>
        <family val="0"/>
        <charset val="1"/>
      </rPr>
      <t xml:space="preserve">a</t>
    </r>
  </si>
  <si>
    <r>
      <rPr>
        <b val="true"/>
        <sz val="10"/>
        <rFont val="Noto Sans CJK SC"/>
        <family val="2"/>
      </rPr>
      <t xml:space="preserve">傾き </t>
    </r>
    <r>
      <rPr>
        <b val="true"/>
        <sz val="10"/>
        <rFont val="Arial"/>
        <family val="0"/>
        <charset val="1"/>
      </rPr>
      <t xml:space="preserve">b</t>
    </r>
  </si>
  <si>
    <t xml:space="preserve">R²</t>
  </si>
  <si>
    <r>
      <rPr>
        <b val="true"/>
        <sz val="10"/>
        <rFont val="Arial"/>
        <family val="0"/>
        <charset val="1"/>
      </rPr>
      <t xml:space="preserve">LOOCV RMSE</t>
    </r>
    <r>
      <rPr>
        <b val="true"/>
        <sz val="10"/>
        <rFont val="Noto Sans CJK SC"/>
        <family val="2"/>
      </rPr>
      <t xml:space="preserve">（億円）</t>
    </r>
  </si>
  <si>
    <r>
      <rPr>
        <sz val="10"/>
        <color rgb="FF000000"/>
        <rFont val="Noto Sans CJK SC"/>
        <family val="2"/>
      </rPr>
      <t xml:space="preserve">単一：全社</t>
    </r>
    <r>
      <rPr>
        <sz val="10"/>
        <color rgb="FF000000"/>
        <rFont val="Arial"/>
        <family val="0"/>
        <charset val="1"/>
      </rPr>
      <t xml:space="preserve">×</t>
    </r>
    <r>
      <rPr>
        <sz val="10"/>
        <color rgb="FF000000"/>
        <rFont val="Noto Sans CJK SC"/>
        <family val="2"/>
      </rPr>
      <t xml:space="preserve">世界</t>
    </r>
  </si>
  <si>
    <r>
      <rPr>
        <sz val="10"/>
        <color rgb="FF000000"/>
        <rFont val="Noto Sans CJK SC"/>
        <family val="2"/>
      </rPr>
      <t xml:space="preserve">構造：中国地場</t>
    </r>
    <r>
      <rPr>
        <sz val="10"/>
        <color rgb="FF000000"/>
        <rFont val="Arial"/>
        <family val="0"/>
        <charset val="1"/>
      </rPr>
      <t xml:space="preserve">×</t>
    </r>
    <r>
      <rPr>
        <sz val="10"/>
        <color rgb="FF000000"/>
        <rFont val="Noto Sans CJK SC"/>
        <family val="2"/>
      </rPr>
      <t xml:space="preserve">中国</t>
    </r>
  </si>
  <si>
    <r>
      <rPr>
        <sz val="10"/>
        <color rgb="FF000000"/>
        <rFont val="Noto Sans CJK SC"/>
        <family val="2"/>
      </rPr>
      <t xml:space="preserve">構造：グローバル</t>
    </r>
    <r>
      <rPr>
        <sz val="10"/>
        <color rgb="FF000000"/>
        <rFont val="Arial"/>
        <family val="0"/>
        <charset val="1"/>
      </rPr>
      <t xml:space="preserve">×</t>
    </r>
    <r>
      <rPr>
        <sz val="10"/>
        <color rgb="FF000000"/>
        <rFont val="Noto Sans CJK SC"/>
        <family val="2"/>
      </rPr>
      <t xml:space="preserve">中国以外</t>
    </r>
  </si>
  <si>
    <t xml:space="preserve">構造：全社（和）</t>
  </si>
  <si>
    <t xml:space="preserve">比較：ランダムウォーク</t>
  </si>
  <si>
    <r>
      <rPr>
        <b val="true"/>
        <sz val="10"/>
        <rFont val="Arial"/>
        <family val="0"/>
        <charset val="1"/>
      </rPr>
      <t xml:space="preserve">k=1</t>
    </r>
    <r>
      <rPr>
        <b val="true"/>
        <sz val="10"/>
        <rFont val="Noto Sans CJK SC"/>
        <family val="2"/>
      </rPr>
      <t xml:space="preserve">（輸出が</t>
    </r>
    <r>
      <rPr>
        <b val="true"/>
        <sz val="10"/>
        <rFont val="Arial"/>
        <family val="0"/>
        <charset val="1"/>
      </rPr>
      <t xml:space="preserve">1</t>
    </r>
    <r>
      <rPr>
        <b val="true"/>
        <sz val="10"/>
        <rFont val="Noto Sans CJK SC"/>
        <family val="2"/>
      </rPr>
      <t xml:space="preserve">か月先行）</t>
    </r>
  </si>
  <si>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2026</t>
    </r>
    <r>
      <rPr>
        <b val="true"/>
        <sz val="12"/>
        <rFont val="Noto Sans CJK SC"/>
        <family val="2"/>
      </rPr>
      <t xml:space="preserve">年</t>
    </r>
    <r>
      <rPr>
        <b val="true"/>
        <sz val="12"/>
        <rFont val="Arial"/>
        <family val="0"/>
        <charset val="1"/>
      </rPr>
      <t xml:space="preserve">7-9</t>
    </r>
    <r>
      <rPr>
        <b val="true"/>
        <sz val="12"/>
        <rFont val="Noto Sans CJK SC"/>
        <family val="2"/>
      </rPr>
      <t xml:space="preserve">月）売上収益のナウキャスト（億円）</t>
    </r>
  </si>
  <si>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月の輸出を季節比で推計（</t>
    </r>
    <r>
      <rPr>
        <sz val="9"/>
        <color rgb="FF555555"/>
        <rFont val="Arial"/>
        <family val="0"/>
        <charset val="1"/>
      </rPr>
      <t xml:space="preserve">9</t>
    </r>
    <r>
      <rPr>
        <sz val="9"/>
        <color rgb="FF555555"/>
        <rFont val="Noto Sans CJK SC"/>
        <family val="2"/>
      </rPr>
      <t xml:space="preserve">月速報は</t>
    </r>
    <r>
      <rPr>
        <sz val="9"/>
        <color rgb="FF555555"/>
        <rFont val="Arial"/>
        <family val="0"/>
        <charset val="1"/>
      </rPr>
      <t xml:space="preserve">10/21</t>
    </r>
    <r>
      <rPr>
        <sz val="9"/>
        <color rgb="FF555555"/>
        <rFont val="Noto Sans CJK SC"/>
        <family val="2"/>
      </rPr>
      <t xml:space="preserve">公表予定）。</t>
    </r>
    <r>
      <rPr>
        <sz val="9"/>
        <color rgb="FF555555"/>
        <rFont val="Arial"/>
        <family val="0"/>
        <charset val="1"/>
      </rPr>
      <t xml:space="preserve">k=1</t>
    </r>
    <r>
      <rPr>
        <sz val="9"/>
        <color rgb="FF555555"/>
        <rFont val="Noto Sans CJK SC"/>
        <family val="2"/>
      </rPr>
      <t xml:space="preserve">は</t>
    </r>
    <r>
      <rPr>
        <sz val="9"/>
        <color rgb="FF555555"/>
        <rFont val="Arial"/>
        <family val="0"/>
        <charset val="1"/>
      </rPr>
      <t xml:space="preserve">6-8</t>
    </r>
    <r>
      <rPr>
        <sz val="9"/>
        <color rgb="FF555555"/>
        <rFont val="Noto Sans CJK SC"/>
        <family val="2"/>
      </rPr>
      <t xml:space="preserve">月の実績だけで完結する。帯＝予測</t>
    </r>
    <r>
      <rPr>
        <sz val="9"/>
        <color rgb="FF555555"/>
        <rFont val="Arial"/>
        <family val="0"/>
        <charset val="1"/>
      </rPr>
      <t xml:space="preserve">±LOOCV RMSE</t>
    </r>
    <r>
      <rPr>
        <sz val="9"/>
        <color rgb="FF555555"/>
        <rFont val="Noto Sans CJK SC"/>
        <family val="2"/>
      </rPr>
      <t xml:space="preserve">。</t>
    </r>
  </si>
  <si>
    <r>
      <rPr>
        <b val="true"/>
        <sz val="10"/>
        <rFont val="Arial"/>
        <family val="0"/>
        <charset val="1"/>
      </rPr>
      <t xml:space="preserve">① 9</t>
    </r>
    <r>
      <rPr>
        <b val="true"/>
        <sz val="10"/>
        <rFont val="Noto Sans CJK SC"/>
        <family val="2"/>
      </rPr>
      <t xml:space="preserve">月</t>
    </r>
    <r>
      <rPr>
        <b val="true"/>
        <sz val="10"/>
        <rFont val="Arial"/>
        <family val="0"/>
        <charset val="1"/>
      </rPr>
      <t xml:space="preserve">÷7-8</t>
    </r>
    <r>
      <rPr>
        <b val="true"/>
        <sz val="10"/>
        <rFont val="Noto Sans CJK SC"/>
        <family val="2"/>
      </rPr>
      <t xml:space="preserve">月平均（過去の季節比）</t>
    </r>
  </si>
  <si>
    <t xml:space="preserve">年</t>
  </si>
  <si>
    <t xml:space="preserve">2023</t>
  </si>
  <si>
    <t xml:space="preserve">2024</t>
  </si>
  <si>
    <t xml:space="preserve">2025</t>
  </si>
  <si>
    <r>
      <rPr>
        <b val="true"/>
        <sz val="10"/>
        <rFont val="Arial"/>
        <family val="0"/>
        <charset val="1"/>
      </rPr>
      <t xml:space="preserve">② 9</t>
    </r>
    <r>
      <rPr>
        <b val="true"/>
        <sz val="10"/>
        <rFont val="Noto Sans CJK SC"/>
        <family val="2"/>
      </rPr>
      <t xml:space="preserve">月の季節比の前提（シナリオ）</t>
    </r>
  </si>
  <si>
    <r>
      <rPr>
        <b val="true"/>
        <sz val="10"/>
        <rFont val="Arial"/>
        <family val="0"/>
        <charset val="1"/>
      </rPr>
      <t xml:space="preserve">2026</t>
    </r>
    <r>
      <rPr>
        <b val="true"/>
        <sz val="10"/>
        <rFont val="Noto Sans CJK SC"/>
        <family val="2"/>
      </rPr>
      <t xml:space="preserve">年</t>
    </r>
    <r>
      <rPr>
        <b val="true"/>
        <sz val="10"/>
        <rFont val="Arial"/>
        <family val="0"/>
        <charset val="1"/>
      </rPr>
      <t xml:space="preserve">7-8</t>
    </r>
    <r>
      <rPr>
        <b val="true"/>
        <sz val="10"/>
        <rFont val="Noto Sans CJK SC"/>
        <family val="2"/>
      </rPr>
      <t xml:space="preserve">月の輸出実績</t>
    </r>
  </si>
  <si>
    <t xml:space="preserve">シナリオ</t>
  </si>
  <si>
    <t xml:space="preserve">説明</t>
  </si>
  <si>
    <t xml:space="preserve">低</t>
  </si>
  <si>
    <r>
      <rPr>
        <sz val="9"/>
        <color rgb="FF555555"/>
        <rFont val="Arial"/>
        <family val="0"/>
        <charset val="1"/>
      </rPr>
      <t xml:space="preserve">9</t>
    </r>
    <r>
      <rPr>
        <sz val="9"/>
        <color rgb="FF555555"/>
        <rFont val="Noto Sans CJK SC"/>
        <family val="2"/>
      </rPr>
      <t xml:space="preserve">月＝</t>
    </r>
    <r>
      <rPr>
        <sz val="9"/>
        <color rgb="FF555555"/>
        <rFont val="Arial"/>
        <family val="0"/>
        <charset val="1"/>
      </rPr>
      <t xml:space="preserve">7-8</t>
    </r>
    <r>
      <rPr>
        <sz val="9"/>
        <color rgb="FF555555"/>
        <rFont val="Noto Sans CJK SC"/>
        <family val="2"/>
      </rPr>
      <t xml:space="preserve">月平均（季節性なし）</t>
    </r>
  </si>
  <si>
    <r>
      <rPr>
        <sz val="10"/>
        <color rgb="FF000000"/>
        <rFont val="Arial"/>
        <family val="0"/>
        <charset val="1"/>
      </rPr>
      <t xml:space="preserve">7</t>
    </r>
    <r>
      <rPr>
        <sz val="10"/>
        <color rgb="FF000000"/>
        <rFont val="Noto Sans CJK SC"/>
        <family val="2"/>
      </rPr>
      <t xml:space="preserve">月</t>
    </r>
  </si>
  <si>
    <t xml:space="preserve">基準</t>
  </si>
  <si>
    <r>
      <rPr>
        <sz val="9"/>
        <color rgb="FF555555"/>
        <rFont val="Noto Sans CJK SC"/>
        <family val="2"/>
      </rPr>
      <t xml:space="preserve">過去</t>
    </r>
    <r>
      <rPr>
        <sz val="9"/>
        <color rgb="FF555555"/>
        <rFont val="Arial"/>
        <family val="0"/>
        <charset val="1"/>
      </rPr>
      <t xml:space="preserve">3</t>
    </r>
    <r>
      <rPr>
        <sz val="9"/>
        <color rgb="FF555555"/>
        <rFont val="Noto Sans CJK SC"/>
        <family val="2"/>
      </rPr>
      <t xml:space="preserve">年平均の季節比</t>
    </r>
  </si>
  <si>
    <r>
      <rPr>
        <sz val="10"/>
        <color rgb="FF000000"/>
        <rFont val="Arial"/>
        <family val="0"/>
        <charset val="1"/>
      </rPr>
      <t xml:space="preserve">8</t>
    </r>
    <r>
      <rPr>
        <sz val="10"/>
        <color rgb="FF000000"/>
        <rFont val="Noto Sans CJK SC"/>
        <family val="2"/>
      </rPr>
      <t xml:space="preserve">月</t>
    </r>
  </si>
  <si>
    <t xml:space="preserve">高</t>
  </si>
  <si>
    <r>
      <rPr>
        <sz val="9"/>
        <color rgb="FF555555"/>
        <rFont val="Noto Sans CJK SC"/>
        <family val="2"/>
      </rPr>
      <t xml:space="preserve">過去</t>
    </r>
    <r>
      <rPr>
        <sz val="9"/>
        <color rgb="FF555555"/>
        <rFont val="Arial"/>
        <family val="0"/>
        <charset val="1"/>
      </rPr>
      <t xml:space="preserve">3</t>
    </r>
    <r>
      <rPr>
        <sz val="9"/>
        <color rgb="FF555555"/>
        <rFont val="Noto Sans CJK SC"/>
        <family val="2"/>
      </rPr>
      <t xml:space="preserve">年の最大の季節比</t>
    </r>
  </si>
  <si>
    <t xml:space="preserve">合計</t>
  </si>
  <si>
    <r>
      <rPr>
        <b val="true"/>
        <sz val="10"/>
        <rFont val="Arial"/>
        <family val="0"/>
        <charset val="1"/>
      </rPr>
      <t xml:space="preserve">③ k=0</t>
    </r>
    <r>
      <rPr>
        <b val="true"/>
        <sz val="10"/>
        <rFont val="Noto Sans CJK SC"/>
        <family val="2"/>
      </rPr>
      <t xml:space="preserve">（</t>
    </r>
    <r>
      <rPr>
        <b val="true"/>
        <sz val="10"/>
        <rFont val="Arial"/>
        <family val="0"/>
        <charset val="1"/>
      </rPr>
      <t xml:space="preserve">7-8</t>
    </r>
    <r>
      <rPr>
        <b val="true"/>
        <sz val="10"/>
        <rFont val="Noto Sans CJK SC"/>
        <family val="2"/>
      </rPr>
      <t xml:space="preserve">月実績＋</t>
    </r>
    <r>
      <rPr>
        <b val="true"/>
        <sz val="10"/>
        <rFont val="Arial"/>
        <family val="0"/>
        <charset val="1"/>
      </rPr>
      <t xml:space="preserve">9</t>
    </r>
    <r>
      <rPr>
        <b val="true"/>
        <sz val="10"/>
        <rFont val="Noto Sans CJK SC"/>
        <family val="2"/>
      </rPr>
      <t xml:space="preserve">月推計）</t>
    </r>
  </si>
  <si>
    <r>
      <rPr>
        <b val="true"/>
        <sz val="10"/>
        <rFont val="Noto Sans CJK SC"/>
        <family val="2"/>
      </rPr>
      <t xml:space="preserve">中国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</si>
  <si>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中国以外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</si>
  <si>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世界 </t>
    </r>
    <r>
      <rPr>
        <b val="true"/>
        <sz val="10"/>
        <rFont val="Arial"/>
        <family val="0"/>
        <charset val="1"/>
      </rPr>
      <t xml:space="preserve">7-9</t>
    </r>
    <r>
      <rPr>
        <b val="true"/>
        <sz val="10"/>
        <rFont val="Noto Sans CJK SC"/>
        <family val="2"/>
      </rPr>
      <t xml:space="preserve">月</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</si>
  <si>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中国地場</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</si>
  <si>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グローバル</t>
    </r>
  </si>
  <si>
    <r>
      <rPr>
        <b val="true"/>
        <sz val="10"/>
        <rFont val="Noto Sans CJK SC"/>
        <family val="2"/>
      </rPr>
      <t xml:space="preserve">構造</t>
    </r>
    <r>
      <rPr>
        <b val="true"/>
        <sz val="10"/>
        <rFont val="Arial"/>
        <family val="0"/>
        <charset val="1"/>
      </rPr>
      <t xml:space="preserve">:</t>
    </r>
    <r>
      <rPr>
        <b val="true"/>
        <sz val="10"/>
        <rFont val="Noto Sans CJK SC"/>
        <family val="2"/>
      </rPr>
      <t xml:space="preserve">全社</t>
    </r>
  </si>
  <si>
    <t xml:space="preserve">帯 下限</t>
  </si>
  <si>
    <t xml:space="preserve">帯 上限</t>
  </si>
  <si>
    <r>
      <rPr>
        <b val="true"/>
        <sz val="10"/>
        <rFont val="Noto Sans CJK SC"/>
        <family val="2"/>
      </rPr>
      <t xml:space="preserve">単一</t>
    </r>
    <r>
      <rPr>
        <b val="true"/>
        <sz val="10"/>
        <rFont val="Arial"/>
        <family val="0"/>
        <charset val="1"/>
      </rPr>
      <t xml:space="preserve">:</t>
    </r>
    <r>
      <rPr>
        <b val="true"/>
        <sz val="10"/>
        <rFont val="Noto Sans CJK SC"/>
        <family val="2"/>
      </rPr>
      <t xml:space="preserve">全社</t>
    </r>
  </si>
  <si>
    <r>
      <rPr>
        <b val="true"/>
        <sz val="10"/>
        <rFont val="Arial"/>
        <family val="0"/>
        <charset val="1"/>
      </rPr>
      <t xml:space="preserve">④ k=1</t>
    </r>
    <r>
      <rPr>
        <b val="true"/>
        <sz val="10"/>
        <rFont val="Noto Sans CJK SC"/>
        <family val="2"/>
      </rPr>
      <t xml:space="preserve">（</t>
    </r>
    <r>
      <rPr>
        <b val="true"/>
        <sz val="10"/>
        <rFont val="Arial"/>
        <family val="0"/>
        <charset val="1"/>
      </rPr>
      <t xml:space="preserve">6-8</t>
    </r>
    <r>
      <rPr>
        <b val="true"/>
        <sz val="10"/>
        <rFont val="Noto Sans CJK SC"/>
        <family val="2"/>
      </rPr>
      <t xml:space="preserve">月の実績のみ）</t>
    </r>
  </si>
  <si>
    <r>
      <rPr>
        <b val="true"/>
        <sz val="10"/>
        <rFont val="Noto Sans CJK SC"/>
        <family val="2"/>
      </rPr>
      <t xml:space="preserve">中国 </t>
    </r>
    <r>
      <rPr>
        <b val="true"/>
        <sz val="10"/>
        <rFont val="Arial"/>
        <family val="0"/>
        <charset val="1"/>
      </rPr>
      <t xml:space="preserve">6-8</t>
    </r>
    <r>
      <rPr>
        <b val="true"/>
        <sz val="10"/>
        <rFont val="Noto Sans CJK SC"/>
        <family val="2"/>
      </rPr>
      <t xml:space="preserve">月</t>
    </r>
  </si>
  <si>
    <r>
      <rPr>
        <b val="true"/>
        <sz val="10"/>
        <rFont val="Noto Sans CJK SC"/>
        <family val="2"/>
      </rPr>
      <t xml:space="preserve">中国以外 </t>
    </r>
    <r>
      <rPr>
        <b val="true"/>
        <sz val="10"/>
        <rFont val="Arial"/>
        <family val="0"/>
        <charset val="1"/>
      </rPr>
      <t xml:space="preserve">6-8</t>
    </r>
    <r>
      <rPr>
        <b val="true"/>
        <sz val="10"/>
        <rFont val="Noto Sans CJK SC"/>
        <family val="2"/>
      </rPr>
      <t xml:space="preserve">月</t>
    </r>
  </si>
  <si>
    <r>
      <rPr>
        <b val="true"/>
        <sz val="10"/>
        <rFont val="Noto Sans CJK SC"/>
        <family val="2"/>
      </rPr>
      <t xml:space="preserve">世界 </t>
    </r>
    <r>
      <rPr>
        <b val="true"/>
        <sz val="10"/>
        <rFont val="Arial"/>
        <family val="0"/>
        <charset val="1"/>
      </rPr>
      <t xml:space="preserve">6-8</t>
    </r>
    <r>
      <rPr>
        <b val="true"/>
        <sz val="10"/>
        <rFont val="Noto Sans CJK SC"/>
        <family val="2"/>
      </rPr>
      <t xml:space="preserve">月</t>
    </r>
  </si>
  <si>
    <t xml:space="preserve">実績</t>
  </si>
  <si>
    <t xml:space="preserve">⑤ 会社計画との比較</t>
  </si>
  <si>
    <r>
      <rPr>
        <sz val="10"/>
        <color rgb="FF000000"/>
        <rFont val="Noto Sans CJK SC"/>
        <family val="2"/>
      </rPr>
      <t xml:space="preserve">上期（</t>
    </r>
    <r>
      <rPr>
        <sz val="10"/>
        <color rgb="FF000000"/>
        <rFont val="Arial"/>
        <family val="0"/>
        <charset val="1"/>
      </rPr>
      <t xml:space="preserve">4-9</t>
    </r>
    <r>
      <rPr>
        <sz val="10"/>
        <color rgb="FF000000"/>
        <rFont val="Noto Sans CJK SC"/>
        <family val="2"/>
      </rPr>
      <t xml:space="preserve">月）売上収益計画（修正後）</t>
    </r>
  </si>
  <si>
    <r>
      <rPr>
        <sz val="10"/>
        <color rgb="FF000000"/>
        <rFont val="Arial"/>
        <family val="0"/>
        <charset val="1"/>
      </rPr>
      <t xml:space="preserve">1Q</t>
    </r>
    <r>
      <rPr>
        <sz val="10"/>
        <color rgb="FF000000"/>
        <rFont val="Noto Sans CJK SC"/>
        <family val="2"/>
      </rPr>
      <t xml:space="preserve">実績</t>
    </r>
  </si>
  <si>
    <r>
      <rPr>
        <sz val="10"/>
        <color rgb="FF000000"/>
        <rFont val="Noto Sans CJK SC"/>
        <family val="2"/>
      </rPr>
      <t xml:space="preserve">計画が示す</t>
    </r>
    <r>
      <rPr>
        <sz val="10"/>
        <color rgb="FF000000"/>
        <rFont val="Arial"/>
        <family val="0"/>
        <charset val="1"/>
      </rPr>
      <t xml:space="preserve">2Q</t>
    </r>
    <r>
      <rPr>
        <sz val="10"/>
        <color rgb="FF000000"/>
        <rFont val="Noto Sans CJK SC"/>
        <family val="2"/>
      </rPr>
      <t xml:space="preserve">売上</t>
    </r>
  </si>
  <si>
    <r>
      <rPr>
        <sz val="10"/>
        <color rgb="FF000000"/>
        <rFont val="Noto Sans CJK SC"/>
        <family val="2"/>
      </rPr>
      <t xml:space="preserve">構造モデル </t>
    </r>
    <r>
      <rPr>
        <sz val="10"/>
        <color rgb="FF000000"/>
        <rFont val="Arial"/>
        <family val="0"/>
        <charset val="1"/>
      </rPr>
      <t xml:space="preserve">k=0 </t>
    </r>
    <r>
      <rPr>
        <sz val="10"/>
        <color rgb="FF000000"/>
        <rFont val="Noto Sans CJK SC"/>
        <family val="2"/>
      </rPr>
      <t xml:space="preserve">基準との差（計画−予測）</t>
    </r>
  </si>
  <si>
    <r>
      <rPr>
        <sz val="10"/>
        <color rgb="FF000000"/>
        <rFont val="Noto Sans CJK SC"/>
        <family val="2"/>
      </rPr>
      <t xml:space="preserve">計画が示す実質シェア（</t>
    </r>
    <r>
      <rPr>
        <sz val="10"/>
        <color rgb="FF000000"/>
        <rFont val="Arial"/>
        <family val="0"/>
        <charset val="1"/>
      </rPr>
      <t xml:space="preserve">2Q</t>
    </r>
    <r>
      <rPr>
        <sz val="10"/>
        <color rgb="FF000000"/>
        <rFont val="Noto Sans CJK SC"/>
        <family val="2"/>
      </rPr>
      <t xml:space="preserve">計画</t>
    </r>
    <r>
      <rPr>
        <sz val="10"/>
        <color rgb="FF000000"/>
        <rFont val="Arial"/>
        <family val="0"/>
        <charset val="1"/>
      </rPr>
      <t xml:space="preserve">÷6-8</t>
    </r>
    <r>
      <rPr>
        <sz val="10"/>
        <color rgb="FF000000"/>
        <rFont val="Noto Sans CJK SC"/>
        <family val="2"/>
      </rPr>
      <t xml:space="preserve">月の世界輸出）</t>
    </r>
  </si>
  <si>
    <r>
      <rPr>
        <sz val="10"/>
        <color rgb="FF000000"/>
        <rFont val="Noto Sans CJK SC"/>
        <family val="2"/>
      </rPr>
      <t xml:space="preserve">過去の実質シェア（</t>
    </r>
    <r>
      <rPr>
        <sz val="10"/>
        <color rgb="FF000000"/>
        <rFont val="Arial"/>
        <family val="0"/>
        <charset val="1"/>
      </rPr>
      <t xml:space="preserve">k=1</t>
    </r>
    <r>
      <rPr>
        <sz val="10"/>
        <color rgb="FF000000"/>
        <rFont val="Noto Sans CJK SC"/>
        <family val="2"/>
      </rPr>
      <t xml:space="preserve">）最小／平均／最大</t>
    </r>
  </si>
  <si>
    <r>
      <rPr>
        <b val="true"/>
        <sz val="10"/>
        <rFont val="Noto Sans CJK SC"/>
        <family val="2"/>
      </rPr>
      <t xml:space="preserve">⑥ 計画達成に必要な</t>
    </r>
    <r>
      <rPr>
        <b val="true"/>
        <sz val="10"/>
        <rFont val="Arial"/>
        <family val="0"/>
        <charset val="1"/>
      </rPr>
      <t xml:space="preserve">9</t>
    </r>
    <r>
      <rPr>
        <b val="true"/>
        <sz val="10"/>
        <rFont val="Noto Sans CJK SC"/>
        <family val="2"/>
      </rPr>
      <t xml:space="preserve">月の輸出（構造 </t>
    </r>
    <r>
      <rPr>
        <b val="true"/>
        <sz val="10"/>
        <rFont val="Arial"/>
        <family val="0"/>
        <charset val="1"/>
      </rPr>
      <t xml:space="preserve">k=0</t>
    </r>
    <r>
      <rPr>
        <b val="true"/>
        <sz val="10"/>
        <rFont val="Noto Sans CJK SC"/>
        <family val="2"/>
      </rPr>
      <t xml:space="preserve">、基準シナリオの地域構成を維持）</t>
    </r>
  </si>
  <si>
    <r>
      <rPr>
        <sz val="10"/>
        <color rgb="FF000000"/>
        <rFont val="Noto Sans CJK SC"/>
        <family val="2"/>
      </rPr>
      <t xml:space="preserve">基準シナリオの</t>
    </r>
    <r>
      <rPr>
        <sz val="10"/>
        <color rgb="FF000000"/>
        <rFont val="Arial"/>
        <family val="0"/>
        <charset val="1"/>
      </rPr>
      <t xml:space="preserve">9</t>
    </r>
    <r>
      <rPr>
        <sz val="10"/>
        <color rgb="FF000000"/>
        <rFont val="Noto Sans CJK SC"/>
        <family val="2"/>
      </rPr>
      <t xml:space="preserve">月推計：中国</t>
    </r>
  </si>
  <si>
    <r>
      <rPr>
        <sz val="10"/>
        <color rgb="FF000000"/>
        <rFont val="Noto Sans CJK SC"/>
        <family val="2"/>
      </rPr>
      <t xml:space="preserve">基準シナリオの</t>
    </r>
    <r>
      <rPr>
        <sz val="10"/>
        <color rgb="FF000000"/>
        <rFont val="Arial"/>
        <family val="0"/>
        <charset val="1"/>
      </rPr>
      <t xml:space="preserve">9</t>
    </r>
    <r>
      <rPr>
        <sz val="10"/>
        <color rgb="FF000000"/>
        <rFont val="Noto Sans CJK SC"/>
        <family val="2"/>
      </rPr>
      <t xml:space="preserve">月推計：中国以外</t>
    </r>
  </si>
  <si>
    <r>
      <rPr>
        <sz val="10"/>
        <color rgb="FF000000"/>
        <rFont val="Arial"/>
        <family val="0"/>
        <charset val="1"/>
      </rPr>
      <t xml:space="preserve">9</t>
    </r>
    <r>
      <rPr>
        <sz val="10"/>
        <color rgb="FF000000"/>
        <rFont val="Noto Sans CJK SC"/>
        <family val="2"/>
      </rPr>
      <t xml:space="preserve">月を</t>
    </r>
    <r>
      <rPr>
        <sz val="10"/>
        <color rgb="FF000000"/>
        <rFont val="Arial"/>
        <family val="0"/>
        <charset val="1"/>
      </rPr>
      <t xml:space="preserve">1</t>
    </r>
    <r>
      <rPr>
        <sz val="10"/>
        <color rgb="FF000000"/>
        <rFont val="Noto Sans CJK SC"/>
        <family val="2"/>
      </rPr>
      <t xml:space="preserve">倍にしたときの売上増分</t>
    </r>
  </si>
  <si>
    <t xml:space="preserve">必要な倍率</t>
  </si>
  <si>
    <r>
      <rPr>
        <sz val="10"/>
        <color rgb="FF000000"/>
        <rFont val="Noto Sans CJK SC"/>
        <family val="2"/>
      </rPr>
      <t xml:space="preserve">必要な</t>
    </r>
    <r>
      <rPr>
        <sz val="10"/>
        <color rgb="FF000000"/>
        <rFont val="Arial"/>
        <family val="0"/>
        <charset val="1"/>
      </rPr>
      <t xml:space="preserve">9</t>
    </r>
    <r>
      <rPr>
        <sz val="10"/>
        <color rgb="FF000000"/>
        <rFont val="Noto Sans CJK SC"/>
        <family val="2"/>
      </rPr>
      <t xml:space="preserve">月の世界輸出（億円）</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</si>
  <si>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月の世界輸出（億円）</t>
    </r>
  </si>
  <si>
    <r>
      <rPr>
        <sz val="10"/>
        <color rgb="FF000000"/>
        <rFont val="Noto Sans CJK SC"/>
        <family val="2"/>
      </rPr>
      <t xml:space="preserve">参考：</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月の世界輸出の前年同月比</t>
    </r>
  </si>
  <si>
    <t xml:space="preserve">出所・注記</t>
  </si>
  <si>
    <t xml:space="preserve">【出所】</t>
  </si>
  <si>
    <r>
      <rPr>
        <sz val="10"/>
        <color rgb="FF000000"/>
        <rFont val="Noto Sans CJK SC"/>
        <family val="2"/>
      </rPr>
      <t xml:space="preserve">財務省 貿易統計 月次速報</t>
    </r>
    <r>
      <rPr>
        <sz val="10"/>
        <color rgb="FF000000"/>
        <rFont val="Arial"/>
        <family val="0"/>
        <charset val="1"/>
      </rPr>
      <t xml:space="preserve">PDF</t>
    </r>
    <r>
      <rPr>
        <sz val="10"/>
        <color rgb="FF000000"/>
        <rFont val="Noto Sans CJK SC"/>
        <family val="2"/>
      </rPr>
      <t xml:space="preserve">（各月）</t>
    </r>
    <r>
      <rPr>
        <sz val="10"/>
        <color rgb="FF000000"/>
        <rFont val="Arial"/>
        <family val="0"/>
        <charset val="1"/>
      </rPr>
      <t xml:space="preserve">: https://www.customs.go.jp/toukei/shinbun/trade-st/ </t>
    </r>
    <r>
      <rPr>
        <sz val="10"/>
        <color rgb="FF000000"/>
        <rFont val="Noto Sans CJK SC"/>
        <family val="2"/>
      </rPr>
      <t xml:space="preserve">（</t>
    </r>
    <r>
      <rPr>
        <sz val="10"/>
        <color rgb="FF000000"/>
        <rFont val="Arial"/>
        <family val="0"/>
        <charset val="1"/>
      </rPr>
      <t xml:space="preserve">URL</t>
    </r>
    <r>
      <rPr>
        <sz val="10"/>
        <color rgb="FF000000"/>
        <rFont val="Noto Sans CJK SC"/>
        <family val="2"/>
      </rPr>
      <t xml:space="preserve">は速報</t>
    </r>
    <r>
      <rPr>
        <sz val="10"/>
        <color rgb="FF000000"/>
        <rFont val="Arial"/>
        <family val="0"/>
        <charset val="1"/>
      </rPr>
      <t xml:space="preserve">_</t>
    </r>
    <r>
      <rPr>
        <sz val="10"/>
        <color rgb="FF000000"/>
        <rFont val="Noto Sans CJK SC"/>
        <family val="2"/>
      </rPr>
      <t xml:space="preserve">原データの</t>
    </r>
    <r>
      <rPr>
        <sz val="10"/>
        <color rgb="FF000000"/>
        <rFont val="Arial"/>
        <family val="0"/>
        <charset val="1"/>
      </rPr>
      <t xml:space="preserve">G</t>
    </r>
    <r>
      <rPr>
        <sz val="10"/>
        <color rgb="FF000000"/>
        <rFont val="Noto Sans CJK SC"/>
        <family val="2"/>
      </rPr>
      <t xml:space="preserve">列）</t>
    </r>
  </si>
  <si>
    <r>
      <rPr>
        <sz val="10"/>
        <color rgb="FF000000"/>
        <rFont val="Noto Sans CJK SC"/>
        <family val="2"/>
      </rPr>
      <t xml:space="preserve">財務省 貿易統計 </t>
    </r>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5</t>
    </r>
    <r>
      <rPr>
        <sz val="10"/>
        <color rgb="FF000000"/>
        <rFont val="Noto Sans CJK SC"/>
        <family val="2"/>
      </rPr>
      <t xml:space="preserve">月分 概要</t>
    </r>
    <r>
      <rPr>
        <sz val="10"/>
        <color rgb="FF000000"/>
        <rFont val="Arial"/>
        <family val="0"/>
        <charset val="1"/>
      </rPr>
      <t xml:space="preserve">: https://www.customs.go.jp/toukei/shinbun/trade-st/gaiyo2024_05.pdf</t>
    </r>
  </si>
  <si>
    <r>
      <rPr>
        <sz val="10"/>
        <color rgb="FF000000"/>
        <rFont val="Arial"/>
        <family val="0"/>
        <charset val="1"/>
      </rPr>
      <t xml:space="preserve">KOKUSAI ELECTRIC 25/3</t>
    </r>
    <r>
      <rPr>
        <sz val="10"/>
        <color rgb="FF000000"/>
        <rFont val="Noto Sans CJK SC"/>
        <family val="2"/>
      </rPr>
      <t xml:space="preserve">期 決算説明資料</t>
    </r>
    <r>
      <rPr>
        <sz val="10"/>
        <color rgb="FF000000"/>
        <rFont val="Arial"/>
        <family val="0"/>
        <charset val="1"/>
      </rPr>
      <t xml:space="preserve">: https://finance-frontend-pc-dist.west.edge.storage-yahoo.jp/disclosure/20250513/20250513544797.pdf</t>
    </r>
  </si>
  <si>
    <r>
      <rPr>
        <sz val="10"/>
        <color rgb="FF000000"/>
        <rFont val="Arial"/>
        <family val="0"/>
        <charset val="1"/>
      </rPr>
      <t xml:space="preserve">KOKUSAI ELECTRIC 26/3</t>
    </r>
    <r>
      <rPr>
        <sz val="10"/>
        <color rgb="FF000000"/>
        <rFont val="Noto Sans CJK SC"/>
        <family val="2"/>
      </rPr>
      <t xml:space="preserve">期 決算説明資料</t>
    </r>
    <r>
      <rPr>
        <sz val="10"/>
        <color rgb="FF000000"/>
        <rFont val="Arial"/>
        <family val="0"/>
        <charset val="1"/>
      </rPr>
      <t xml:space="preserve">: https://finance.stockweather.co.jp/contents/dispPDF.aspx?disclosure=20260513527733</t>
    </r>
  </si>
  <si>
    <r>
      <rPr>
        <sz val="10"/>
        <color rgb="FF000000"/>
        <rFont val="Arial"/>
        <family val="0"/>
        <charset val="1"/>
      </rPr>
      <t xml:space="preserve">27/3</t>
    </r>
    <r>
      <rPr>
        <sz val="10"/>
        <color rgb="FF000000"/>
        <rFont val="Noto Sans CJK SC"/>
        <family val="2"/>
      </rPr>
      <t xml:space="preserve">期</t>
    </r>
    <r>
      <rPr>
        <sz val="10"/>
        <color rgb="FF000000"/>
        <rFont val="Arial"/>
        <family val="0"/>
        <charset val="1"/>
      </rPr>
      <t xml:space="preserve">1Q</t>
    </r>
    <r>
      <rPr>
        <sz val="10"/>
        <color rgb="FF000000"/>
        <rFont val="Noto Sans CJK SC"/>
        <family val="2"/>
      </rPr>
      <t xml:space="preserve">実績（売上</t>
    </r>
    <r>
      <rPr>
        <sz val="10"/>
        <color rgb="FF000000"/>
        <rFont val="Arial"/>
        <family val="0"/>
        <charset val="1"/>
      </rPr>
      <t xml:space="preserve">754</t>
    </r>
    <r>
      <rPr>
        <sz val="10"/>
        <color rgb="FF000000"/>
        <rFont val="Noto Sans CJK SC"/>
        <family val="2"/>
      </rPr>
      <t xml:space="preserve">億円、中国地場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 https://global-net.co.jp/archives/13621</t>
    </r>
  </si>
  <si>
    <r>
      <rPr>
        <sz val="10"/>
        <color rgb="FF000000"/>
        <rFont val="Arial"/>
        <family val="0"/>
        <charset val="1"/>
      </rPr>
      <t xml:space="preserve">27/3</t>
    </r>
    <r>
      <rPr>
        <sz val="10"/>
        <color rgb="FF000000"/>
        <rFont val="Noto Sans CJK SC"/>
        <family val="2"/>
      </rPr>
      <t xml:space="preserve">期上期計画</t>
    </r>
    <r>
      <rPr>
        <sz val="10"/>
        <color rgb="FF000000"/>
        <rFont val="Arial"/>
        <family val="0"/>
        <charset val="1"/>
      </rPr>
      <t xml:space="preserve">1,610</t>
    </r>
    <r>
      <rPr>
        <sz val="10"/>
        <color rgb="FF000000"/>
        <rFont val="Noto Sans CJK SC"/>
        <family val="2"/>
      </rPr>
      <t xml:space="preserve">億円</t>
    </r>
    <r>
      <rPr>
        <sz val="10"/>
        <color rgb="FF000000"/>
        <rFont val="Arial"/>
        <family val="0"/>
        <charset val="1"/>
      </rPr>
      <t xml:space="preserve">: https://finance.yahoo.co.jp/quote/6525.T/financials</t>
    </r>
  </si>
  <si>
    <r>
      <rPr>
        <sz val="10"/>
        <color rgb="FF000000"/>
        <rFont val="Noto Sans CJK SC"/>
        <family val="2"/>
      </rPr>
      <t xml:space="preserve">伏木税関支署 </t>
    </r>
    <r>
      <rPr>
        <sz val="10"/>
        <color rgb="FF000000"/>
        <rFont val="Arial"/>
        <family val="0"/>
        <charset val="1"/>
      </rPr>
      <t xml:space="preserve">2023</t>
    </r>
    <r>
      <rPr>
        <sz val="10"/>
        <color rgb="FF000000"/>
        <rFont val="Noto Sans CJK SC"/>
        <family val="2"/>
      </rPr>
      <t xml:space="preserve">年貿易概況</t>
    </r>
    <r>
      <rPr>
        <sz val="10"/>
        <color rgb="FF000000"/>
        <rFont val="Arial"/>
        <family val="0"/>
        <charset val="1"/>
      </rPr>
      <t xml:space="preserve">: https://www.customs.go.jp/osaka/toukei/shosho/fushiki_2023nen.pdf</t>
    </r>
  </si>
  <si>
    <t xml:space="preserve">【注記】</t>
  </si>
  <si>
    <r>
      <rPr>
        <sz val="10"/>
        <color rgb="FF000000"/>
        <rFont val="Arial"/>
        <family val="0"/>
        <charset val="1"/>
      </rPr>
      <t xml:space="preserve">1. </t>
    </r>
    <r>
      <rPr>
        <sz val="10"/>
        <color rgb="FF000000"/>
        <rFont val="Noto Sans CJK SC"/>
        <family val="2"/>
      </rPr>
      <t xml:space="preserve">概況品「半導体等製造装置」は</t>
    </r>
    <r>
      <rPr>
        <sz val="10"/>
        <color rgb="FF000000"/>
        <rFont val="Arial"/>
        <family val="0"/>
        <charset val="1"/>
      </rPr>
      <t xml:space="preserve">HS8486</t>
    </r>
    <r>
      <rPr>
        <sz val="10"/>
        <color rgb="FF000000"/>
        <rFont val="Noto Sans CJK SC"/>
        <family val="2"/>
      </rPr>
      <t xml:space="preserve">全体（</t>
    </r>
    <r>
      <rPr>
        <sz val="10"/>
        <color rgb="FF000000"/>
        <rFont val="Arial"/>
        <family val="0"/>
        <charset val="1"/>
      </rPr>
      <t xml:space="preserve">FPD</t>
    </r>
    <r>
      <rPr>
        <sz val="10"/>
        <color rgb="FF000000"/>
        <rFont val="Noto Sans CJK SC"/>
        <family val="2"/>
      </rPr>
      <t xml:space="preserve">製造装置・部分品を含む）である。</t>
    </r>
    <r>
      <rPr>
        <sz val="10"/>
        <color rgb="FF000000"/>
        <rFont val="Arial"/>
        <family val="0"/>
        <charset val="1"/>
      </rPr>
      <t xml:space="preserve">KOKUSAI</t>
    </r>
    <r>
      <rPr>
        <sz val="10"/>
        <color rgb="FF000000"/>
        <rFont val="Noto Sans CJK SC"/>
        <family val="2"/>
      </rPr>
      <t xml:space="preserve">固有の品目ではなく、同社は輸出全体の約</t>
    </r>
    <r>
      <rPr>
        <sz val="10"/>
        <color rgb="FF000000"/>
        <rFont val="Arial"/>
        <family val="0"/>
        <charset val="1"/>
      </rPr>
      <t xml:space="preserve">4</t>
    </r>
    <r>
      <rPr>
        <sz val="10"/>
        <color rgb="FF000000"/>
        <rFont val="Noto Sans CJK SC"/>
        <family val="2"/>
      </rPr>
      <t xml:space="preserve">〜</t>
    </r>
    <r>
      <rPr>
        <sz val="10"/>
        <color rgb="FF000000"/>
        <rFont val="Arial"/>
        <family val="0"/>
        <charset val="1"/>
      </rPr>
      <t xml:space="preserve">6</t>
    </r>
    <r>
      <rPr>
        <sz val="10"/>
        <color rgb="FF000000"/>
        <rFont val="Noto Sans CJK SC"/>
        <family val="2"/>
      </rPr>
      <t xml:space="preserve">％にあたる。</t>
    </r>
  </si>
  <si>
    <r>
      <rPr>
        <sz val="10"/>
        <color rgb="FF000000"/>
        <rFont val="Arial"/>
        <family val="0"/>
        <charset val="1"/>
      </rPr>
      <t xml:space="preserve">2. </t>
    </r>
    <r>
      <rPr>
        <sz val="10"/>
        <color rgb="FF000000"/>
        <rFont val="Noto Sans CJK SC"/>
        <family val="2"/>
      </rPr>
      <t xml:space="preserve">速報値を使用している。翌年の前年比から逆算した値と当月速報値の差は、確認できた</t>
    </r>
    <r>
      <rPr>
        <sz val="10"/>
        <color rgb="FF000000"/>
        <rFont val="Arial"/>
        <family val="0"/>
        <charset val="1"/>
      </rPr>
      <t xml:space="preserve">112</t>
    </r>
    <r>
      <rPr>
        <sz val="10"/>
        <color rgb="FF000000"/>
        <rFont val="Noto Sans CJK SC"/>
        <family val="2"/>
      </rPr>
      <t xml:space="preserve">組で最大</t>
    </r>
    <r>
      <rPr>
        <sz val="10"/>
        <color rgb="FF000000"/>
        <rFont val="Arial"/>
        <family val="0"/>
        <charset val="1"/>
      </rPr>
      <t xml:space="preserve">0.7</t>
    </r>
    <r>
      <rPr>
        <sz val="10"/>
        <color rgb="FF000000"/>
        <rFont val="Noto Sans CJK SC"/>
        <family val="2"/>
      </rPr>
      <t xml:space="preserve">％（平均</t>
    </r>
    <r>
      <rPr>
        <sz val="10"/>
        <color rgb="FF000000"/>
        <rFont val="Arial"/>
        <family val="0"/>
        <charset val="1"/>
      </rPr>
      <t xml:space="preserve">0.01</t>
    </r>
    <r>
      <rPr>
        <sz val="10"/>
        <color rgb="FF000000"/>
        <rFont val="Noto Sans CJK SC"/>
        <family val="2"/>
      </rPr>
      <t xml:space="preserve">％）である。</t>
    </r>
  </si>
  <si>
    <r>
      <rPr>
        <sz val="10"/>
        <color rgb="FF000000"/>
        <rFont val="Arial"/>
        <family val="0"/>
        <charset val="1"/>
      </rPr>
      <t xml:space="preserve">3. </t>
    </r>
    <r>
      <rPr>
        <sz val="10"/>
        <color rgb="FF000000"/>
        <rFont val="Noto Sans CJK SC"/>
        <family val="2"/>
      </rPr>
      <t xml:space="preserve">台湾は速報に単独の表がない。アジア残差（アジア−中国−韓国−</t>
    </r>
    <r>
      <rPr>
        <sz val="10"/>
        <color rgb="FF000000"/>
        <rFont val="Arial"/>
        <family val="0"/>
        <charset val="1"/>
      </rPr>
      <t xml:space="preserve">ASEAN</t>
    </r>
    <r>
      <rPr>
        <sz val="10"/>
        <color rgb="FF000000"/>
        <rFont val="Noto Sans CJK SC"/>
        <family val="2"/>
      </rPr>
      <t xml:space="preserve">）が台湾・香港・インド等の合計の代理である。</t>
    </r>
  </si>
  <si>
    <r>
      <rPr>
        <sz val="10"/>
        <color rgb="FF000000"/>
        <rFont val="Arial"/>
        <family val="0"/>
        <charset val="1"/>
      </rPr>
      <t xml:space="preserve">4. </t>
    </r>
    <r>
      <rPr>
        <sz val="10"/>
        <color rgb="FF000000"/>
        <rFont val="Noto Sans CJK SC"/>
        <family val="2"/>
      </rPr>
      <t xml:space="preserve">中国地場売上＝全社売上</t>
    </r>
    <r>
      <rPr>
        <sz val="10"/>
        <color rgb="FF000000"/>
        <rFont val="Arial"/>
        <family val="0"/>
        <charset val="1"/>
      </rPr>
      <t xml:space="preserve">×</t>
    </r>
    <r>
      <rPr>
        <sz val="10"/>
        <color rgb="FF000000"/>
        <rFont val="Noto Sans CJK SC"/>
        <family val="2"/>
      </rPr>
      <t xml:space="preserve">中国地場比率で近似している。比率の母数が装置売上であれば、この分解は歪む。</t>
    </r>
  </si>
  <si>
    <r>
      <rPr>
        <sz val="10"/>
        <color rgb="FF000000"/>
        <rFont val="Arial"/>
        <family val="0"/>
        <charset val="1"/>
      </rPr>
      <t xml:space="preserve">5. 27/3</t>
    </r>
    <r>
      <rPr>
        <sz val="10"/>
        <color rgb="FF000000"/>
        <rFont val="Noto Sans CJK SC"/>
        <family val="2"/>
      </rPr>
      <t xml:space="preserve">期から装置・サービスの区分基準が変わったため、全社売上をモデル化している。</t>
    </r>
  </si>
  <si>
    <r>
      <rPr>
        <sz val="10"/>
        <color rgb="FF000000"/>
        <rFont val="Arial"/>
        <family val="0"/>
        <charset val="1"/>
      </rPr>
      <t xml:space="preserve">6. </t>
    </r>
    <r>
      <rPr>
        <sz val="10"/>
        <color rgb="FF000000"/>
        <rFont val="Noto Sans CJK SC"/>
        <family val="2"/>
      </rPr>
      <t xml:space="preserve">サンプルは</t>
    </r>
    <r>
      <rPr>
        <sz val="10"/>
        <color rgb="FF000000"/>
        <rFont val="Arial"/>
        <family val="0"/>
        <charset val="1"/>
      </rPr>
      <t xml:space="preserve">12</t>
    </r>
    <r>
      <rPr>
        <sz val="10"/>
        <color rgb="FF000000"/>
        <rFont val="Noto Sans CJK SC"/>
        <family val="2"/>
      </rPr>
      <t xml:space="preserve">四半期しかなく、係数は不安定である。予測の帯（</t>
    </r>
    <r>
      <rPr>
        <sz val="10"/>
        <color rgb="FF000000"/>
        <rFont val="Arial"/>
        <family val="0"/>
        <charset val="1"/>
      </rPr>
      <t xml:space="preserve">±LOOCV RMSE</t>
    </r>
    <r>
      <rPr>
        <sz val="10"/>
        <color rgb="FF000000"/>
        <rFont val="Noto Sans CJK SC"/>
        <family val="2"/>
      </rPr>
      <t xml:space="preserve">）は約</t>
    </r>
    <r>
      <rPr>
        <sz val="10"/>
        <color rgb="FF000000"/>
        <rFont val="Arial"/>
        <family val="0"/>
        <charset val="1"/>
      </rPr>
      <t xml:space="preserve">1σ</t>
    </r>
    <r>
      <rPr>
        <sz val="10"/>
        <color rgb="FF000000"/>
        <rFont val="Noto Sans CJK SC"/>
        <family val="2"/>
      </rPr>
      <t xml:space="preserve">に相当する。</t>
    </r>
  </si>
  <si>
    <r>
      <rPr>
        <sz val="10"/>
        <color rgb="FF000000"/>
        <rFont val="Arial"/>
        <family val="0"/>
        <charset val="1"/>
      </rPr>
      <t xml:space="preserve">7. </t>
    </r>
    <r>
      <rPr>
        <sz val="10"/>
        <color rgb="FF000000"/>
        <rFont val="Noto Sans CJK SC"/>
        <family val="2"/>
      </rPr>
      <t xml:space="preserve">国内向け販売（</t>
    </r>
    <r>
      <rPr>
        <sz val="10"/>
        <color rgb="FF000000"/>
        <rFont val="Arial"/>
        <family val="0"/>
        <charset val="1"/>
      </rPr>
      <t xml:space="preserve">JASM</t>
    </r>
    <r>
      <rPr>
        <sz val="10"/>
        <color rgb="FF000000"/>
        <rFont val="Noto Sans CJK SC"/>
        <family val="2"/>
      </rPr>
      <t xml:space="preserve">、</t>
    </r>
    <r>
      <rPr>
        <sz val="10"/>
        <color rgb="FF000000"/>
        <rFont val="Arial"/>
        <family val="0"/>
        <charset val="1"/>
      </rPr>
      <t xml:space="preserve">Rapidus</t>
    </r>
    <r>
      <rPr>
        <sz val="10"/>
        <color rgb="FF000000"/>
        <rFont val="Noto Sans CJK SC"/>
        <family val="2"/>
      </rPr>
      <t xml:space="preserve">等）と海外生産分は輸出統計に現れない。</t>
    </r>
  </si>
</sst>
</file>

<file path=xl/styles.xml><?xml version="1.0" encoding="utf-8"?>
<styleSheet xmlns="http://schemas.openxmlformats.org/spreadsheetml/2006/main">
  <numFmts count="12">
    <numFmt numFmtId="164" formatCode="General"/>
    <numFmt numFmtId="165" formatCode="yyyy\-mm"/>
    <numFmt numFmtId="166" formatCode="#,##0"/>
    <numFmt numFmtId="167" formatCode="0.0"/>
    <numFmt numFmtId="168" formatCode="0%"/>
    <numFmt numFmtId="169" formatCode="0"/>
    <numFmt numFmtId="170" formatCode="0.0%"/>
    <numFmt numFmtId="171" formatCode="#,##0;\(#,##0\);\-"/>
    <numFmt numFmtId="172" formatCode="0.000"/>
    <numFmt numFmtId="173" formatCode="#,##0.0"/>
    <numFmt numFmtId="174" formatCode="0.0000"/>
    <numFmt numFmtId="175" formatCode="0.00"/>
  </numFmts>
  <fonts count="23">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b val="true"/>
      <sz val="12"/>
      <name val="Arial"/>
      <family val="0"/>
      <charset val="1"/>
    </font>
    <font>
      <sz val="9"/>
      <color rgb="FF555555"/>
      <name val="Noto Sans CJK SC"/>
      <family val="2"/>
    </font>
    <font>
      <sz val="9"/>
      <color rgb="FF555555"/>
      <name val="Arial"/>
      <family val="0"/>
      <charset val="1"/>
    </font>
    <font>
      <b val="true"/>
      <sz val="10"/>
      <name val="Arial"/>
      <family val="0"/>
      <charset val="1"/>
    </font>
    <font>
      <b val="true"/>
      <sz val="10"/>
      <name val="Noto Sans CJK SC"/>
      <family val="2"/>
    </font>
    <font>
      <sz val="10"/>
      <name val="Arial"/>
      <family val="0"/>
      <charset val="1"/>
    </font>
    <font>
      <sz val="10"/>
      <name val="Noto Sans CJK SC"/>
      <family val="2"/>
    </font>
    <font>
      <sz val="9"/>
      <name val="Consolas"/>
      <family val="0"/>
      <charset val="1"/>
    </font>
    <font>
      <sz val="9"/>
      <name val="Noto Sans CJK SC"/>
      <family val="2"/>
    </font>
    <font>
      <sz val="10"/>
      <color rgb="FF0000FF"/>
      <name val="Arial"/>
      <family val="0"/>
      <charset val="1"/>
    </font>
    <font>
      <sz val="10"/>
      <color rgb="FF000000"/>
      <name val="Arial"/>
      <family val="0"/>
      <charset val="1"/>
    </font>
    <font>
      <sz val="10"/>
      <color rgb="FF000000"/>
      <name val="Noto Sans CJK SC"/>
      <family val="2"/>
    </font>
    <font>
      <sz val="10"/>
      <color rgb="FF008000"/>
      <name val="Arial"/>
      <family val="0"/>
      <charset val="1"/>
    </font>
    <font>
      <sz val="10"/>
      <name val="Arial"/>
      <family val="2"/>
    </font>
    <font>
      <b val="true"/>
      <sz val="18"/>
      <color rgb="FF000000"/>
      <name val="Noto Sans CJK SC"/>
      <family val="2"/>
    </font>
    <font>
      <b val="true"/>
      <sz val="18"/>
      <color rgb="FF000000"/>
      <name val="Calibri"/>
      <family val="2"/>
    </font>
    <font>
      <sz val="10"/>
      <color rgb="FF000000"/>
      <name val="Calibri"/>
      <family val="2"/>
    </font>
    <font>
      <b val="true"/>
      <sz val="10"/>
      <color rgb="FF000000"/>
      <name val="Noto Sans CJK SC"/>
      <family val="2"/>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6" fontId="1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70" fontId="15"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1" fontId="15" fillId="2" borderId="0" xfId="0" applyFont="true" applyBorder="false" applyAlignment="false" applyProtection="false">
      <alignment horizontal="general" vertical="bottom" textRotation="0" wrapText="false" indent="0" shrinkToFit="false"/>
      <protection locked="true" hidden="false"/>
    </xf>
    <xf numFmtId="172"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3" fontId="15" fillId="2" borderId="0" xfId="0" applyFont="true" applyBorder="false" applyAlignment="false" applyProtection="false">
      <alignment horizontal="general" vertical="bottom" textRotation="0" wrapText="false" indent="0" shrinkToFit="false"/>
      <protection locked="true" hidden="false"/>
    </xf>
    <xf numFmtId="174" fontId="15" fillId="2" borderId="0" xfId="0" applyFont="true" applyBorder="false" applyAlignment="false" applyProtection="false">
      <alignment horizontal="general" vertical="bottom" textRotation="0" wrapText="false" indent="0" shrinkToFit="false"/>
      <protection locked="true" hidden="false"/>
    </xf>
    <xf numFmtId="175" fontId="15" fillId="2"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売上収益：実績と予測（k=0、億円）</a:t>
            </a:r>
          </a:p>
        </c:rich>
      </c:tx>
      <c:overlay val="0"/>
      <c:spPr>
        <a:noFill/>
        <a:ln w="0">
          <a:noFill/>
        </a:ln>
      </c:spPr>
    </c:title>
    <c:autoTitleDeleted val="0"/>
    <c:plotArea>
      <c:lineChart>
        <c:grouping val="standard"/>
        <c:varyColors val="0"/>
        <c:ser>
          <c:idx val="0"/>
          <c:order val="0"/>
          <c:tx>
            <c:strRef>
              <c:f>回帰!B5</c:f>
              <c:strCache>
                <c:ptCount val="1"/>
                <c:pt idx="0">
                  <c:v>売上収益</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回帰!$B$6:$B$17</c:f>
              <c:numCache>
                <c:formatCode>#,##0</c:formatCode>
                <c:ptCount val="12"/>
                <c:pt idx="0">
                  <c:v>450</c:v>
                </c:pt>
                <c:pt idx="1">
                  <c:v>540</c:v>
                </c:pt>
                <c:pt idx="2">
                  <c:v>492</c:v>
                </c:pt>
                <c:pt idx="3">
                  <c:v>652</c:v>
                </c:pt>
                <c:pt idx="4">
                  <c:v>493</c:v>
                </c:pt>
                <c:pt idx="5">
                  <c:v>601</c:v>
                </c:pt>
                <c:pt idx="6">
                  <c:v>643</c:v>
                </c:pt>
                <c:pt idx="7">
                  <c:v>518</c:v>
                </c:pt>
                <c:pt idx="8">
                  <c:v>654</c:v>
                </c:pt>
                <c:pt idx="9">
                  <c:v>559</c:v>
                </c:pt>
                <c:pt idx="10">
                  <c:v>620</c:v>
                </c:pt>
                <c:pt idx="11">
                  <c:v>754</c:v>
                </c:pt>
              </c:numCache>
            </c:numRef>
          </c:val>
          <c:smooth val="1"/>
        </c:ser>
        <c:ser>
          <c:idx val="1"/>
          <c:order val="1"/>
          <c:tx>
            <c:strRef>
              <c:f>回帰!H5</c:f>
              <c:strCache>
                <c:ptCount val="1"/>
                <c:pt idx="0">
                  <c:v>単一:予測</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回帰!$H$6:$H$17</c:f>
              <c:numCache>
                <c:formatCode>General</c:formatCode>
                <c:ptCount val="12"/>
              </c:numCache>
            </c:numRef>
          </c:val>
          <c:smooth val="1"/>
        </c:ser>
        <c:ser>
          <c:idx val="2"/>
          <c:order val="2"/>
          <c:tx>
            <c:strRef>
              <c:f>回帰!R5</c:f>
              <c:strCache>
                <c:ptCount val="1"/>
                <c:pt idx="0">
                  <c:v>構造:予測</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回帰!$A$6:$A$17</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回帰!$R$6:$R$17</c:f>
              <c:numCache>
                <c:formatCode>General</c:formatCode>
                <c:ptCount val="12"/>
              </c:numCache>
            </c:numRef>
          </c:val>
          <c:smooth val="1"/>
        </c:ser>
        <c:hiLowLines>
          <c:spPr>
            <a:ln w="0">
              <a:noFill/>
            </a:ln>
          </c:spPr>
        </c:hiLowLines>
        <c:marker val="0"/>
        <c:axId val="80203710"/>
        <c:axId val="71653410"/>
      </c:lineChart>
      <c:catAx>
        <c:axId val="802037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53410"/>
        <c:crosses val="autoZero"/>
        <c:auto val="1"/>
        <c:lblAlgn val="ctr"/>
        <c:lblOffset val="100"/>
        <c:noMultiLvlLbl val="0"/>
      </c:catAx>
      <c:valAx>
        <c:axId val="716534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億円</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20371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43</xdr:row>
      <xdr:rowOff>49320</xdr:rowOff>
    </xdr:from>
    <xdr:to>
      <xdr:col>15</xdr:col>
      <xdr:colOff>543960</xdr:colOff>
      <xdr:row>57</xdr:row>
      <xdr:rowOff>82080</xdr:rowOff>
    </xdr:to>
    <xdr:graphicFrame>
      <xdr:nvGraphicFramePr>
        <xdr:cNvPr id="0" name="Chart 1"/>
        <xdr:cNvGraphicFramePr/>
      </xdr:nvGraphicFramePr>
      <xdr:xfrm>
        <a:off x="4511160" y="933444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5"/>
    <col collapsed="false" customWidth="true" hidden="false" outlineLevel="0" max="4" min="4" style="0" width="7"/>
    <col collapsed="false" customWidth="true" hidden="false" outlineLevel="0" max="5" min="5" style="0" width="70"/>
    <col collapsed="false" customWidth="true" hidden="false" outlineLevel="0" max="6" min="6" style="0" width="10"/>
    <col collapsed="false" customWidth="true" hidden="false" outlineLevel="0" max="7" min="7" style="0" width="42"/>
    <col collapsed="false" customWidth="true" hidden="false" outlineLevel="0" max="8" min="8" style="0" width="30"/>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7" customFormat="false" ht="15" hidden="false" customHeight="false" outlineLevel="0" collapsed="false">
      <c r="A7" s="3" t="s">
        <v>5</v>
      </c>
      <c r="B7" s="3" t="s">
        <v>6</v>
      </c>
      <c r="C7" s="4" t="s">
        <v>7</v>
      </c>
      <c r="D7" s="4" t="s">
        <v>8</v>
      </c>
      <c r="E7" s="4" t="s">
        <v>9</v>
      </c>
      <c r="F7" s="4" t="s">
        <v>10</v>
      </c>
      <c r="G7" s="4" t="s">
        <v>11</v>
      </c>
      <c r="H7" s="4" t="s">
        <v>12</v>
      </c>
    </row>
    <row r="8" customFormat="false" ht="15" hidden="false" customHeight="false" outlineLevel="0" collapsed="false">
      <c r="A8" s="5" t="n">
        <v>1</v>
      </c>
      <c r="B8" s="5" t="s">
        <v>13</v>
      </c>
      <c r="C8" s="5" t="s">
        <v>14</v>
      </c>
      <c r="D8" s="5" t="s">
        <v>15</v>
      </c>
      <c r="E8" s="6" t="s">
        <v>16</v>
      </c>
      <c r="F8" s="5" t="s">
        <v>17</v>
      </c>
      <c r="G8" s="7" t="s">
        <v>18</v>
      </c>
      <c r="H8" s="5" t="s">
        <v>19</v>
      </c>
    </row>
    <row r="9" customFormat="false" ht="15" hidden="false" customHeight="false" outlineLevel="0" collapsed="false">
      <c r="A9" s="5" t="n">
        <v>2</v>
      </c>
      <c r="B9" s="5" t="s">
        <v>13</v>
      </c>
      <c r="C9" s="5" t="s">
        <v>14</v>
      </c>
      <c r="D9" s="5" t="s">
        <v>20</v>
      </c>
      <c r="E9" s="6" t="s">
        <v>21</v>
      </c>
      <c r="F9" s="5" t="s">
        <v>22</v>
      </c>
      <c r="G9" s="7" t="s">
        <v>23</v>
      </c>
      <c r="H9" s="5" t="s">
        <v>24</v>
      </c>
    </row>
    <row r="10" customFormat="false" ht="126.1" hidden="false" customHeight="false" outlineLevel="0" collapsed="false">
      <c r="A10" s="5" t="n">
        <v>3</v>
      </c>
      <c r="B10" s="5" t="s">
        <v>25</v>
      </c>
      <c r="C10" s="8" t="s">
        <v>26</v>
      </c>
      <c r="D10" s="5" t="s">
        <v>27</v>
      </c>
      <c r="E10" s="6" t="s">
        <v>28</v>
      </c>
      <c r="F10" s="5" t="s">
        <v>29</v>
      </c>
      <c r="G10" s="7" t="s">
        <v>30</v>
      </c>
      <c r="H10" s="5" t="s">
        <v>31</v>
      </c>
    </row>
    <row r="11" customFormat="false" ht="15" hidden="false" customHeight="false" outlineLevel="0" collapsed="false">
      <c r="A11" s="5" t="n">
        <v>4</v>
      </c>
      <c r="B11" s="5" t="s">
        <v>25</v>
      </c>
      <c r="C11" s="8" t="s">
        <v>26</v>
      </c>
      <c r="D11" s="5" t="s">
        <v>20</v>
      </c>
      <c r="E11" s="6" t="s">
        <v>32</v>
      </c>
      <c r="F11" s="5" t="s">
        <v>33</v>
      </c>
      <c r="G11" s="7" t="s">
        <v>34</v>
      </c>
      <c r="H11" s="5" t="s">
        <v>35</v>
      </c>
    </row>
    <row r="12" customFormat="false" ht="29.85" hidden="false" customHeight="false" outlineLevel="0" collapsed="false">
      <c r="A12" s="5" t="n">
        <v>5</v>
      </c>
      <c r="B12" s="5" t="s">
        <v>25</v>
      </c>
      <c r="C12" s="8" t="s">
        <v>26</v>
      </c>
      <c r="D12" s="5" t="s">
        <v>36</v>
      </c>
      <c r="E12" s="6" t="s">
        <v>37</v>
      </c>
      <c r="F12" s="5" t="s">
        <v>38</v>
      </c>
      <c r="G12" s="7" t="s">
        <v>39</v>
      </c>
      <c r="H12" s="5"/>
    </row>
    <row r="13" customFormat="false" ht="49.95" hidden="false" customHeight="false" outlineLevel="0" collapsed="false">
      <c r="A13" s="5" t="n">
        <v>6</v>
      </c>
      <c r="B13" s="5" t="s">
        <v>40</v>
      </c>
      <c r="C13" s="8" t="s">
        <v>41</v>
      </c>
      <c r="D13" s="5" t="s">
        <v>42</v>
      </c>
      <c r="E13" s="6" t="s">
        <v>43</v>
      </c>
      <c r="F13" s="5" t="s">
        <v>44</v>
      </c>
      <c r="G13" s="9" t="s">
        <v>45</v>
      </c>
      <c r="H13" s="5" t="s">
        <v>46</v>
      </c>
    </row>
    <row r="14" customFormat="false" ht="49.95" hidden="false" customHeight="false" outlineLevel="0" collapsed="false">
      <c r="A14" s="5" t="n">
        <v>7</v>
      </c>
      <c r="B14" s="5" t="s">
        <v>40</v>
      </c>
      <c r="C14" s="8" t="s">
        <v>41</v>
      </c>
      <c r="D14" s="5" t="s">
        <v>47</v>
      </c>
      <c r="E14" s="6" t="s">
        <v>48</v>
      </c>
      <c r="F14" s="5" t="s">
        <v>49</v>
      </c>
      <c r="G14" s="9" t="s">
        <v>50</v>
      </c>
      <c r="H14" s="5"/>
    </row>
    <row r="15" customFormat="false" ht="49.95" hidden="false" customHeight="false" outlineLevel="0" collapsed="false">
      <c r="A15" s="5" t="n">
        <v>8</v>
      </c>
      <c r="B15" s="5" t="s">
        <v>40</v>
      </c>
      <c r="C15" s="8" t="s">
        <v>41</v>
      </c>
      <c r="D15" s="5" t="s">
        <v>51</v>
      </c>
      <c r="E15" s="6" t="s">
        <v>52</v>
      </c>
      <c r="F15" s="5" t="s">
        <v>53</v>
      </c>
      <c r="G15" s="9" t="s">
        <v>54</v>
      </c>
      <c r="H15" s="5"/>
    </row>
    <row r="16" customFormat="false" ht="49.95" hidden="false" customHeight="false" outlineLevel="0" collapsed="false">
      <c r="A16" s="5" t="n">
        <v>9</v>
      </c>
      <c r="B16" s="5" t="s">
        <v>40</v>
      </c>
      <c r="C16" s="8" t="s">
        <v>41</v>
      </c>
      <c r="D16" s="5" t="s">
        <v>55</v>
      </c>
      <c r="E16" s="6" t="s">
        <v>56</v>
      </c>
      <c r="F16" s="5" t="s">
        <v>57</v>
      </c>
      <c r="G16" s="9" t="s">
        <v>58</v>
      </c>
      <c r="H16" s="5"/>
    </row>
    <row r="17" customFormat="false" ht="15" hidden="false" customHeight="false" outlineLevel="0" collapsed="false">
      <c r="A17" s="5" t="n">
        <v>10</v>
      </c>
      <c r="B17" s="5" t="s">
        <v>40</v>
      </c>
      <c r="C17" s="8" t="s">
        <v>41</v>
      </c>
      <c r="D17" s="5" t="s">
        <v>59</v>
      </c>
      <c r="E17" s="6" t="s">
        <v>60</v>
      </c>
      <c r="F17" s="5" t="s">
        <v>61</v>
      </c>
      <c r="G17" s="7" t="s">
        <v>62</v>
      </c>
      <c r="H17" s="5" t="s">
        <v>63</v>
      </c>
    </row>
    <row r="18" customFormat="false" ht="49.95" hidden="false" customHeight="false" outlineLevel="0" collapsed="false">
      <c r="A18" s="5" t="n">
        <v>11</v>
      </c>
      <c r="B18" s="5" t="s">
        <v>40</v>
      </c>
      <c r="C18" s="8" t="s">
        <v>41</v>
      </c>
      <c r="D18" s="5" t="s">
        <v>64</v>
      </c>
      <c r="E18" s="6" t="s">
        <v>65</v>
      </c>
      <c r="F18" s="5" t="s">
        <v>66</v>
      </c>
      <c r="G18" s="9" t="s">
        <v>67</v>
      </c>
      <c r="H18" s="5" t="s">
        <v>68</v>
      </c>
    </row>
    <row r="19" customFormat="false" ht="49.95" hidden="false" customHeight="false" outlineLevel="0" collapsed="false">
      <c r="A19" s="5" t="n">
        <v>12</v>
      </c>
      <c r="B19" s="5" t="s">
        <v>40</v>
      </c>
      <c r="C19" s="8" t="s">
        <v>41</v>
      </c>
      <c r="D19" s="5" t="s">
        <v>69</v>
      </c>
      <c r="E19" s="6" t="s">
        <v>70</v>
      </c>
      <c r="F19" s="5" t="s">
        <v>71</v>
      </c>
      <c r="G19" s="9" t="s">
        <v>72</v>
      </c>
      <c r="H19" s="5"/>
    </row>
    <row r="20" customFormat="false" ht="49.95" hidden="false" customHeight="false" outlineLevel="0" collapsed="false">
      <c r="A20" s="5" t="n">
        <v>13</v>
      </c>
      <c r="B20" s="5" t="s">
        <v>40</v>
      </c>
      <c r="C20" s="8" t="s">
        <v>41</v>
      </c>
      <c r="D20" s="5" t="s">
        <v>73</v>
      </c>
      <c r="E20" s="6" t="s">
        <v>74</v>
      </c>
      <c r="F20" s="5" t="s">
        <v>75</v>
      </c>
      <c r="G20" s="9" t="s">
        <v>76</v>
      </c>
      <c r="H20" s="5"/>
    </row>
    <row r="21" customFormat="false" ht="49.95" hidden="false" customHeight="false" outlineLevel="0" collapsed="false">
      <c r="A21" s="5" t="n">
        <v>14</v>
      </c>
      <c r="B21" s="5" t="s">
        <v>40</v>
      </c>
      <c r="C21" s="8" t="s">
        <v>41</v>
      </c>
      <c r="D21" s="5" t="s">
        <v>77</v>
      </c>
      <c r="E21" s="6" t="s">
        <v>78</v>
      </c>
      <c r="F21" s="5" t="s">
        <v>79</v>
      </c>
      <c r="G21" s="9" t="s">
        <v>80</v>
      </c>
      <c r="H21" s="5"/>
    </row>
    <row r="22" customFormat="false" ht="15" hidden="false" customHeight="false" outlineLevel="0" collapsed="false">
      <c r="A22" s="5" t="n">
        <v>15</v>
      </c>
      <c r="B22" s="5" t="s">
        <v>40</v>
      </c>
      <c r="C22" s="8" t="s">
        <v>41</v>
      </c>
      <c r="D22" s="5" t="s">
        <v>81</v>
      </c>
      <c r="E22" s="6" t="s">
        <v>82</v>
      </c>
      <c r="F22" s="5" t="s">
        <v>83</v>
      </c>
      <c r="G22" s="7" t="s">
        <v>84</v>
      </c>
      <c r="H22" s="5" t="s">
        <v>85</v>
      </c>
    </row>
    <row r="23" customFormat="false" ht="15" hidden="false" customHeight="false" outlineLevel="0" collapsed="false">
      <c r="A23" s="5" t="n">
        <v>16</v>
      </c>
      <c r="B23" s="5" t="s">
        <v>86</v>
      </c>
      <c r="C23" s="8" t="s">
        <v>87</v>
      </c>
      <c r="D23" s="5" t="s">
        <v>88</v>
      </c>
      <c r="E23" s="6" t="s">
        <v>89</v>
      </c>
      <c r="F23" s="5"/>
      <c r="G23" s="7" t="s">
        <v>90</v>
      </c>
      <c r="H23" s="5" t="s">
        <v>91</v>
      </c>
    </row>
    <row r="24" customFormat="false" ht="15" hidden="false" customHeight="false" outlineLevel="0" collapsed="false">
      <c r="A24" s="5" t="n">
        <v>17</v>
      </c>
      <c r="B24" s="5" t="s">
        <v>86</v>
      </c>
      <c r="C24" s="8" t="s">
        <v>87</v>
      </c>
      <c r="D24" s="5" t="s">
        <v>92</v>
      </c>
      <c r="E24" s="6" t="s">
        <v>93</v>
      </c>
      <c r="F24" s="5"/>
      <c r="G24" s="7" t="s">
        <v>94</v>
      </c>
      <c r="H24" s="5" t="s">
        <v>95</v>
      </c>
    </row>
    <row r="25" customFormat="false" ht="15" hidden="false" customHeight="false" outlineLevel="0" collapsed="false">
      <c r="A25" s="5" t="n">
        <v>18</v>
      </c>
      <c r="B25" s="5" t="s">
        <v>86</v>
      </c>
      <c r="C25" s="8" t="s">
        <v>87</v>
      </c>
      <c r="D25" s="5" t="s">
        <v>96</v>
      </c>
      <c r="E25" s="6" t="s">
        <v>97</v>
      </c>
      <c r="F25" s="5"/>
      <c r="G25" s="7" t="s">
        <v>98</v>
      </c>
      <c r="H25" s="5" t="s">
        <v>99</v>
      </c>
    </row>
    <row r="26" customFormat="false" ht="15" hidden="false" customHeight="false" outlineLevel="0" collapsed="false">
      <c r="A26" s="5" t="n">
        <v>19</v>
      </c>
      <c r="B26" s="5" t="s">
        <v>86</v>
      </c>
      <c r="C26" s="8" t="s">
        <v>87</v>
      </c>
      <c r="D26" s="5" t="s">
        <v>100</v>
      </c>
      <c r="E26" s="6" t="s">
        <v>101</v>
      </c>
      <c r="F26" s="5"/>
      <c r="G26" s="7" t="s">
        <v>102</v>
      </c>
      <c r="H26" s="5"/>
    </row>
    <row r="27" customFormat="false" ht="15" hidden="false" customHeight="false" outlineLevel="0" collapsed="false">
      <c r="A27" s="5" t="n">
        <v>20</v>
      </c>
      <c r="B27" s="5" t="s">
        <v>86</v>
      </c>
      <c r="C27" s="8" t="s">
        <v>87</v>
      </c>
      <c r="D27" s="5" t="s">
        <v>103</v>
      </c>
      <c r="E27" s="6" t="s">
        <v>104</v>
      </c>
      <c r="F27" s="5"/>
      <c r="G27" s="7" t="s">
        <v>105</v>
      </c>
      <c r="H27" s="5" t="s">
        <v>106</v>
      </c>
    </row>
    <row r="28" customFormat="false" ht="15" hidden="false" customHeight="false" outlineLevel="0" collapsed="false">
      <c r="A28" s="5" t="n">
        <v>21</v>
      </c>
      <c r="B28" s="5" t="s">
        <v>86</v>
      </c>
      <c r="C28" s="8" t="s">
        <v>87</v>
      </c>
      <c r="D28" s="5" t="s">
        <v>107</v>
      </c>
      <c r="E28" s="6" t="s">
        <v>108</v>
      </c>
      <c r="F28" s="5"/>
      <c r="G28" s="7" t="s">
        <v>109</v>
      </c>
      <c r="H28" s="5"/>
    </row>
    <row r="29" customFormat="false" ht="15" hidden="false" customHeight="false" outlineLevel="0" collapsed="false">
      <c r="A29" s="5" t="n">
        <v>22</v>
      </c>
      <c r="B29" s="5" t="s">
        <v>86</v>
      </c>
      <c r="C29" s="8" t="s">
        <v>87</v>
      </c>
      <c r="D29" s="5" t="s">
        <v>110</v>
      </c>
      <c r="E29" s="6" t="s">
        <v>111</v>
      </c>
      <c r="F29" s="5"/>
      <c r="G29" s="7" t="s">
        <v>112</v>
      </c>
      <c r="H29" s="5"/>
    </row>
    <row r="30" customFormat="false" ht="15" hidden="false" customHeight="false" outlineLevel="0" collapsed="false">
      <c r="A30" s="5" t="n">
        <v>23</v>
      </c>
      <c r="B30" s="5" t="s">
        <v>86</v>
      </c>
      <c r="C30" s="8" t="s">
        <v>87</v>
      </c>
      <c r="D30" s="5" t="s">
        <v>113</v>
      </c>
      <c r="E30" s="6" t="s">
        <v>114</v>
      </c>
      <c r="F30" s="5"/>
      <c r="G30" s="7" t="s">
        <v>115</v>
      </c>
      <c r="H30" s="5" t="s">
        <v>116</v>
      </c>
    </row>
    <row r="31" customFormat="false" ht="15" hidden="false" customHeight="false" outlineLevel="0" collapsed="false">
      <c r="A31" s="5" t="n">
        <v>24</v>
      </c>
      <c r="B31" s="5" t="s">
        <v>86</v>
      </c>
      <c r="C31" s="8" t="s">
        <v>87</v>
      </c>
      <c r="D31" s="5" t="s">
        <v>117</v>
      </c>
      <c r="E31" s="6" t="s">
        <v>118</v>
      </c>
      <c r="F31" s="5"/>
      <c r="G31" s="7" t="s">
        <v>119</v>
      </c>
      <c r="H31" s="5" t="s">
        <v>120</v>
      </c>
    </row>
    <row r="32" customFormat="false" ht="15" hidden="false" customHeight="false" outlineLevel="0" collapsed="false">
      <c r="A32" s="5" t="n">
        <v>25</v>
      </c>
      <c r="B32" s="5" t="s">
        <v>86</v>
      </c>
      <c r="C32" s="8" t="s">
        <v>87</v>
      </c>
      <c r="D32" s="5" t="s">
        <v>59</v>
      </c>
      <c r="E32" s="6" t="s">
        <v>121</v>
      </c>
      <c r="F32" s="5" t="s">
        <v>122</v>
      </c>
      <c r="G32" s="7" t="s">
        <v>123</v>
      </c>
      <c r="H32" s="5" t="s">
        <v>124</v>
      </c>
    </row>
    <row r="33" customFormat="false" ht="15" hidden="false" customHeight="false" outlineLevel="0" collapsed="false">
      <c r="A33" s="5" t="n">
        <v>26</v>
      </c>
      <c r="B33" s="5" t="s">
        <v>86</v>
      </c>
      <c r="C33" s="8" t="s">
        <v>87</v>
      </c>
      <c r="D33" s="5" t="s">
        <v>64</v>
      </c>
      <c r="E33" s="6" t="s">
        <v>125</v>
      </c>
      <c r="F33" s="5" t="s">
        <v>126</v>
      </c>
      <c r="G33" s="7" t="s">
        <v>127</v>
      </c>
      <c r="H33" s="5"/>
    </row>
    <row r="34" customFormat="false" ht="29.85" hidden="false" customHeight="false" outlineLevel="0" collapsed="false">
      <c r="A34" s="5" t="n">
        <v>27</v>
      </c>
      <c r="B34" s="5" t="s">
        <v>86</v>
      </c>
      <c r="C34" s="8" t="s">
        <v>87</v>
      </c>
      <c r="D34" s="5" t="s">
        <v>69</v>
      </c>
      <c r="E34" s="6" t="s">
        <v>128</v>
      </c>
      <c r="F34" s="5" t="s">
        <v>129</v>
      </c>
      <c r="G34" s="7" t="s">
        <v>130</v>
      </c>
      <c r="H34" s="5"/>
    </row>
    <row r="35" customFormat="false" ht="29.85" hidden="false" customHeight="false" outlineLevel="0" collapsed="false">
      <c r="A35" s="5" t="n">
        <v>28</v>
      </c>
      <c r="B35" s="5" t="s">
        <v>86</v>
      </c>
      <c r="C35" s="8" t="s">
        <v>87</v>
      </c>
      <c r="D35" s="5" t="s">
        <v>73</v>
      </c>
      <c r="E35" s="6" t="s">
        <v>131</v>
      </c>
      <c r="F35" s="5" t="s">
        <v>132</v>
      </c>
      <c r="G35" s="7" t="s">
        <v>133</v>
      </c>
      <c r="H35" s="5" t="s">
        <v>134</v>
      </c>
    </row>
    <row r="36" customFormat="false" ht="15" hidden="false" customHeight="false" outlineLevel="0" collapsed="false">
      <c r="A36" s="5" t="n">
        <v>29</v>
      </c>
      <c r="B36" s="5" t="s">
        <v>86</v>
      </c>
      <c r="C36" s="8" t="s">
        <v>87</v>
      </c>
      <c r="D36" s="5" t="s">
        <v>77</v>
      </c>
      <c r="E36" s="6" t="s">
        <v>135</v>
      </c>
      <c r="F36" s="5" t="s">
        <v>136</v>
      </c>
      <c r="G36" s="7" t="s">
        <v>137</v>
      </c>
      <c r="H36" s="5"/>
    </row>
    <row r="37" customFormat="false" ht="15" hidden="false" customHeight="false" outlineLevel="0" collapsed="false">
      <c r="A37" s="5" t="n">
        <v>30</v>
      </c>
      <c r="B37" s="5" t="s">
        <v>86</v>
      </c>
      <c r="C37" s="8" t="s">
        <v>87</v>
      </c>
      <c r="D37" s="5" t="s">
        <v>81</v>
      </c>
      <c r="E37" s="6" t="s">
        <v>138</v>
      </c>
      <c r="F37" s="5" t="s">
        <v>139</v>
      </c>
      <c r="G37" s="7" t="s">
        <v>140</v>
      </c>
      <c r="H37" s="5"/>
    </row>
    <row r="38" customFormat="false" ht="15" hidden="false" customHeight="false" outlineLevel="0" collapsed="false">
      <c r="A38" s="5" t="n">
        <v>31</v>
      </c>
      <c r="B38" s="5" t="s">
        <v>86</v>
      </c>
      <c r="C38" s="8" t="s">
        <v>87</v>
      </c>
      <c r="D38" s="5" t="s">
        <v>141</v>
      </c>
      <c r="E38" s="6" t="s">
        <v>142</v>
      </c>
      <c r="F38" s="5" t="s">
        <v>143</v>
      </c>
      <c r="G38" s="7" t="s">
        <v>144</v>
      </c>
      <c r="H38" s="5"/>
    </row>
    <row r="39" customFormat="false" ht="15" hidden="false" customHeight="false" outlineLevel="0" collapsed="false">
      <c r="A39" s="5" t="n">
        <v>32</v>
      </c>
      <c r="B39" s="5" t="s">
        <v>86</v>
      </c>
      <c r="C39" s="8" t="s">
        <v>87</v>
      </c>
      <c r="D39" s="5" t="s">
        <v>145</v>
      </c>
      <c r="E39" s="6" t="s">
        <v>146</v>
      </c>
      <c r="F39" s="5" t="s">
        <v>147</v>
      </c>
      <c r="G39" s="7" t="s">
        <v>148</v>
      </c>
      <c r="H39" s="5"/>
    </row>
    <row r="40" customFormat="false" ht="15" hidden="false" customHeight="false" outlineLevel="0" collapsed="false">
      <c r="A40" s="5" t="n">
        <v>33</v>
      </c>
      <c r="B40" s="5" t="s">
        <v>86</v>
      </c>
      <c r="C40" s="8" t="s">
        <v>87</v>
      </c>
      <c r="D40" s="5" t="s">
        <v>149</v>
      </c>
      <c r="E40" s="6" t="s">
        <v>150</v>
      </c>
      <c r="F40" s="5" t="s">
        <v>151</v>
      </c>
      <c r="G40" s="7" t="s">
        <v>152</v>
      </c>
      <c r="H40" s="5"/>
    </row>
    <row r="41" customFormat="false" ht="15" hidden="false" customHeight="false" outlineLevel="0" collapsed="false">
      <c r="A41" s="5" t="n">
        <v>34</v>
      </c>
      <c r="B41" s="5" t="s">
        <v>86</v>
      </c>
      <c r="C41" s="8" t="s">
        <v>87</v>
      </c>
      <c r="D41" s="5" t="s">
        <v>153</v>
      </c>
      <c r="E41" s="6" t="s">
        <v>154</v>
      </c>
      <c r="F41" s="5" t="s">
        <v>155</v>
      </c>
      <c r="G41" s="7" t="s">
        <v>156</v>
      </c>
      <c r="H41" s="5"/>
    </row>
    <row r="42" customFormat="false" ht="15" hidden="false" customHeight="false" outlineLevel="0" collapsed="false">
      <c r="A42" s="5" t="n">
        <v>35</v>
      </c>
      <c r="B42" s="5" t="s">
        <v>86</v>
      </c>
      <c r="C42" s="8" t="s">
        <v>87</v>
      </c>
      <c r="D42" s="5" t="s">
        <v>157</v>
      </c>
      <c r="E42" s="6" t="s">
        <v>158</v>
      </c>
      <c r="F42" s="5" t="s">
        <v>159</v>
      </c>
      <c r="G42" s="7" t="s">
        <v>160</v>
      </c>
      <c r="H42" s="5"/>
    </row>
    <row r="43" customFormat="false" ht="15" hidden="false" customHeight="false" outlineLevel="0" collapsed="false">
      <c r="A43" s="5" t="n">
        <v>36</v>
      </c>
      <c r="B43" s="5" t="s">
        <v>86</v>
      </c>
      <c r="C43" s="8" t="s">
        <v>87</v>
      </c>
      <c r="D43" s="5" t="s">
        <v>161</v>
      </c>
      <c r="E43" s="6" t="s">
        <v>162</v>
      </c>
      <c r="F43" s="5" t="s">
        <v>163</v>
      </c>
      <c r="G43" s="7" t="s">
        <v>164</v>
      </c>
      <c r="H43" s="5"/>
    </row>
    <row r="44" customFormat="false" ht="29.85" hidden="false" customHeight="false" outlineLevel="0" collapsed="false">
      <c r="A44" s="5" t="n">
        <v>37</v>
      </c>
      <c r="B44" s="5" t="s">
        <v>86</v>
      </c>
      <c r="C44" s="8" t="s">
        <v>87</v>
      </c>
      <c r="D44" s="5" t="s">
        <v>165</v>
      </c>
      <c r="E44" s="6" t="s">
        <v>166</v>
      </c>
      <c r="F44" s="5" t="s">
        <v>167</v>
      </c>
      <c r="G44" s="7" t="s">
        <v>168</v>
      </c>
      <c r="H44" s="5" t="s">
        <v>169</v>
      </c>
    </row>
    <row r="45" customFormat="false" ht="15" hidden="false" customHeight="false" outlineLevel="0" collapsed="false">
      <c r="A45" s="5" t="n">
        <v>38</v>
      </c>
      <c r="B45" s="5" t="s">
        <v>86</v>
      </c>
      <c r="C45" s="8" t="s">
        <v>87</v>
      </c>
      <c r="D45" s="5" t="s">
        <v>170</v>
      </c>
      <c r="E45" s="6" t="s">
        <v>171</v>
      </c>
      <c r="F45" s="5"/>
      <c r="G45" s="7" t="s">
        <v>172</v>
      </c>
      <c r="H45" s="5" t="s">
        <v>173</v>
      </c>
    </row>
    <row r="46" customFormat="false" ht="15" hidden="false" customHeight="false" outlineLevel="0" collapsed="false">
      <c r="A46" s="5" t="n">
        <v>39</v>
      </c>
      <c r="B46" s="5" t="s">
        <v>86</v>
      </c>
      <c r="C46" s="8" t="s">
        <v>87</v>
      </c>
      <c r="D46" s="5" t="s">
        <v>174</v>
      </c>
      <c r="E46" s="6" t="s">
        <v>175</v>
      </c>
      <c r="F46" s="5"/>
      <c r="G46" s="7" t="s">
        <v>176</v>
      </c>
      <c r="H46" s="5" t="s">
        <v>177</v>
      </c>
    </row>
    <row r="47" customFormat="false" ht="15" hidden="false" customHeight="false" outlineLevel="0" collapsed="false">
      <c r="A47" s="5" t="n">
        <v>40</v>
      </c>
      <c r="B47" s="5" t="s">
        <v>86</v>
      </c>
      <c r="C47" s="8" t="s">
        <v>87</v>
      </c>
      <c r="D47" s="5" t="s">
        <v>178</v>
      </c>
      <c r="E47" s="6" t="s">
        <v>179</v>
      </c>
      <c r="F47" s="5"/>
      <c r="G47" s="7" t="s">
        <v>180</v>
      </c>
      <c r="H47" s="5" t="s">
        <v>181</v>
      </c>
    </row>
    <row r="48" customFormat="false" ht="29.85" hidden="false" customHeight="false" outlineLevel="0" collapsed="false">
      <c r="A48" s="5" t="n">
        <v>41</v>
      </c>
      <c r="B48" s="5" t="s">
        <v>86</v>
      </c>
      <c r="C48" s="8" t="s">
        <v>87</v>
      </c>
      <c r="D48" s="5" t="s">
        <v>182</v>
      </c>
      <c r="E48" s="6" t="s">
        <v>183</v>
      </c>
      <c r="F48" s="5"/>
      <c r="G48" s="7" t="s">
        <v>184</v>
      </c>
      <c r="H48" s="5" t="s">
        <v>185</v>
      </c>
    </row>
    <row r="49" customFormat="false" ht="15" hidden="false" customHeight="false" outlineLevel="0" collapsed="false">
      <c r="A49" s="5" t="n">
        <v>42</v>
      </c>
      <c r="B49" s="5" t="s">
        <v>186</v>
      </c>
      <c r="C49" s="8" t="s">
        <v>87</v>
      </c>
      <c r="D49" s="5" t="s">
        <v>187</v>
      </c>
      <c r="E49" s="6" t="s">
        <v>188</v>
      </c>
      <c r="F49" s="5"/>
      <c r="G49" s="7" t="s">
        <v>90</v>
      </c>
      <c r="H49" s="5"/>
    </row>
    <row r="50" customFormat="false" ht="15" hidden="false" customHeight="false" outlineLevel="0" collapsed="false">
      <c r="A50" s="5" t="n">
        <v>43</v>
      </c>
      <c r="B50" s="5" t="s">
        <v>186</v>
      </c>
      <c r="C50" s="8" t="s">
        <v>87</v>
      </c>
      <c r="D50" s="5" t="s">
        <v>189</v>
      </c>
      <c r="E50" s="6" t="s">
        <v>190</v>
      </c>
      <c r="F50" s="5"/>
      <c r="G50" s="7" t="s">
        <v>94</v>
      </c>
      <c r="H50" s="5" t="s">
        <v>191</v>
      </c>
    </row>
    <row r="51" customFormat="false" ht="15" hidden="false" customHeight="false" outlineLevel="0" collapsed="false">
      <c r="A51" s="5" t="n">
        <v>44</v>
      </c>
      <c r="B51" s="5" t="s">
        <v>186</v>
      </c>
      <c r="C51" s="8" t="s">
        <v>87</v>
      </c>
      <c r="D51" s="5" t="s">
        <v>192</v>
      </c>
      <c r="E51" s="6" t="s">
        <v>193</v>
      </c>
      <c r="F51" s="5"/>
      <c r="G51" s="7" t="s">
        <v>98</v>
      </c>
      <c r="H51" s="5"/>
    </row>
    <row r="52" customFormat="false" ht="15" hidden="false" customHeight="false" outlineLevel="0" collapsed="false">
      <c r="A52" s="5" t="n">
        <v>45</v>
      </c>
      <c r="B52" s="5" t="s">
        <v>186</v>
      </c>
      <c r="C52" s="8" t="s">
        <v>87</v>
      </c>
      <c r="D52" s="5" t="s">
        <v>194</v>
      </c>
      <c r="E52" s="6" t="s">
        <v>195</v>
      </c>
      <c r="F52" s="5"/>
      <c r="G52" s="7" t="s">
        <v>102</v>
      </c>
      <c r="H52" s="5"/>
    </row>
    <row r="53" customFormat="false" ht="15" hidden="false" customHeight="false" outlineLevel="0" collapsed="false">
      <c r="A53" s="5" t="n">
        <v>46</v>
      </c>
      <c r="B53" s="5" t="s">
        <v>186</v>
      </c>
      <c r="C53" s="8" t="s">
        <v>87</v>
      </c>
      <c r="D53" s="5" t="s">
        <v>196</v>
      </c>
      <c r="E53" s="6" t="s">
        <v>197</v>
      </c>
      <c r="F53" s="5"/>
      <c r="G53" s="7" t="s">
        <v>105</v>
      </c>
      <c r="H53" s="5"/>
    </row>
    <row r="54" customFormat="false" ht="15" hidden="false" customHeight="false" outlineLevel="0" collapsed="false">
      <c r="A54" s="5" t="n">
        <v>47</v>
      </c>
      <c r="B54" s="5" t="s">
        <v>186</v>
      </c>
      <c r="C54" s="8" t="s">
        <v>87</v>
      </c>
      <c r="D54" s="5" t="s">
        <v>198</v>
      </c>
      <c r="E54" s="6" t="s">
        <v>199</v>
      </c>
      <c r="F54" s="5"/>
      <c r="G54" s="7" t="s">
        <v>109</v>
      </c>
      <c r="H54" s="5"/>
    </row>
    <row r="55" customFormat="false" ht="15" hidden="false" customHeight="false" outlineLevel="0" collapsed="false">
      <c r="A55" s="5" t="n">
        <v>48</v>
      </c>
      <c r="B55" s="5" t="s">
        <v>186</v>
      </c>
      <c r="C55" s="8" t="s">
        <v>87</v>
      </c>
      <c r="D55" s="5" t="s">
        <v>200</v>
      </c>
      <c r="E55" s="6" t="s">
        <v>201</v>
      </c>
      <c r="F55" s="5"/>
      <c r="G55" s="7" t="s">
        <v>112</v>
      </c>
      <c r="H55" s="5"/>
    </row>
    <row r="56" customFormat="false" ht="15" hidden="false" customHeight="false" outlineLevel="0" collapsed="false">
      <c r="A56" s="5" t="n">
        <v>49</v>
      </c>
      <c r="B56" s="5" t="s">
        <v>186</v>
      </c>
      <c r="C56" s="8" t="s">
        <v>87</v>
      </c>
      <c r="D56" s="5" t="s">
        <v>202</v>
      </c>
      <c r="E56" s="6" t="s">
        <v>203</v>
      </c>
      <c r="F56" s="5"/>
      <c r="G56" s="7" t="s">
        <v>115</v>
      </c>
      <c r="H56" s="5"/>
    </row>
    <row r="57" customFormat="false" ht="15" hidden="false" customHeight="false" outlineLevel="0" collapsed="false">
      <c r="A57" s="5" t="n">
        <v>50</v>
      </c>
      <c r="B57" s="5" t="s">
        <v>186</v>
      </c>
      <c r="C57" s="8" t="s">
        <v>87</v>
      </c>
      <c r="D57" s="5" t="s">
        <v>204</v>
      </c>
      <c r="E57" s="6" t="s">
        <v>205</v>
      </c>
      <c r="F57" s="5"/>
      <c r="G57" s="7" t="s">
        <v>119</v>
      </c>
      <c r="H57" s="5"/>
    </row>
    <row r="58" customFormat="false" ht="15" hidden="false" customHeight="false" outlineLevel="0" collapsed="false">
      <c r="A58" s="5" t="n">
        <v>51</v>
      </c>
      <c r="B58" s="5" t="s">
        <v>186</v>
      </c>
      <c r="C58" s="8" t="s">
        <v>87</v>
      </c>
      <c r="D58" s="5" t="s">
        <v>206</v>
      </c>
      <c r="E58" s="6" t="s">
        <v>207</v>
      </c>
      <c r="F58" s="5" t="s">
        <v>208</v>
      </c>
      <c r="G58" s="7" t="s">
        <v>123</v>
      </c>
      <c r="H58" s="5"/>
    </row>
    <row r="59" customFormat="false" ht="15" hidden="false" customHeight="false" outlineLevel="0" collapsed="false">
      <c r="A59" s="5" t="n">
        <v>52</v>
      </c>
      <c r="B59" s="5" t="s">
        <v>186</v>
      </c>
      <c r="C59" s="8" t="s">
        <v>87</v>
      </c>
      <c r="D59" s="5" t="s">
        <v>209</v>
      </c>
      <c r="E59" s="6" t="s">
        <v>210</v>
      </c>
      <c r="F59" s="5" t="s">
        <v>211</v>
      </c>
      <c r="G59" s="7" t="s">
        <v>127</v>
      </c>
      <c r="H59" s="5"/>
    </row>
    <row r="60" customFormat="false" ht="29.85" hidden="false" customHeight="false" outlineLevel="0" collapsed="false">
      <c r="A60" s="5" t="n">
        <v>53</v>
      </c>
      <c r="B60" s="5" t="s">
        <v>186</v>
      </c>
      <c r="C60" s="8" t="s">
        <v>87</v>
      </c>
      <c r="D60" s="5" t="s">
        <v>212</v>
      </c>
      <c r="E60" s="6" t="s">
        <v>213</v>
      </c>
      <c r="F60" s="5" t="s">
        <v>214</v>
      </c>
      <c r="G60" s="7" t="s">
        <v>130</v>
      </c>
      <c r="H60" s="5"/>
    </row>
    <row r="61" customFormat="false" ht="29.85" hidden="false" customHeight="false" outlineLevel="0" collapsed="false">
      <c r="A61" s="5" t="n">
        <v>54</v>
      </c>
      <c r="B61" s="5" t="s">
        <v>186</v>
      </c>
      <c r="C61" s="8" t="s">
        <v>87</v>
      </c>
      <c r="D61" s="5" t="s">
        <v>215</v>
      </c>
      <c r="E61" s="6" t="s">
        <v>216</v>
      </c>
      <c r="F61" s="5" t="s">
        <v>217</v>
      </c>
      <c r="G61" s="7" t="s">
        <v>133</v>
      </c>
      <c r="H61" s="5"/>
    </row>
    <row r="62" customFormat="false" ht="15" hidden="false" customHeight="false" outlineLevel="0" collapsed="false">
      <c r="A62" s="5" t="n">
        <v>55</v>
      </c>
      <c r="B62" s="5" t="s">
        <v>186</v>
      </c>
      <c r="C62" s="8" t="s">
        <v>87</v>
      </c>
      <c r="D62" s="5" t="s">
        <v>218</v>
      </c>
      <c r="E62" s="6" t="s">
        <v>219</v>
      </c>
      <c r="F62" s="5" t="s">
        <v>220</v>
      </c>
      <c r="G62" s="7" t="s">
        <v>137</v>
      </c>
      <c r="H62" s="5"/>
    </row>
    <row r="63" customFormat="false" ht="15" hidden="false" customHeight="false" outlineLevel="0" collapsed="false">
      <c r="A63" s="5" t="n">
        <v>56</v>
      </c>
      <c r="B63" s="5" t="s">
        <v>186</v>
      </c>
      <c r="C63" s="8" t="s">
        <v>87</v>
      </c>
      <c r="D63" s="5" t="s">
        <v>221</v>
      </c>
      <c r="E63" s="6" t="s">
        <v>222</v>
      </c>
      <c r="F63" s="5" t="s">
        <v>223</v>
      </c>
      <c r="G63" s="7" t="s">
        <v>140</v>
      </c>
      <c r="H63" s="5"/>
    </row>
    <row r="64" customFormat="false" ht="15" hidden="false" customHeight="false" outlineLevel="0" collapsed="false">
      <c r="A64" s="5" t="n">
        <v>57</v>
      </c>
      <c r="B64" s="5" t="s">
        <v>186</v>
      </c>
      <c r="C64" s="8" t="s">
        <v>87</v>
      </c>
      <c r="D64" s="5" t="s">
        <v>224</v>
      </c>
      <c r="E64" s="6" t="s">
        <v>225</v>
      </c>
      <c r="F64" s="5" t="s">
        <v>226</v>
      </c>
      <c r="G64" s="7" t="s">
        <v>144</v>
      </c>
      <c r="H64" s="5"/>
    </row>
    <row r="65" customFormat="false" ht="15" hidden="false" customHeight="false" outlineLevel="0" collapsed="false">
      <c r="A65" s="5" t="n">
        <v>58</v>
      </c>
      <c r="B65" s="5" t="s">
        <v>186</v>
      </c>
      <c r="C65" s="8" t="s">
        <v>87</v>
      </c>
      <c r="D65" s="5" t="s">
        <v>227</v>
      </c>
      <c r="E65" s="6" t="s">
        <v>228</v>
      </c>
      <c r="F65" s="5" t="s">
        <v>229</v>
      </c>
      <c r="G65" s="7" t="s">
        <v>148</v>
      </c>
      <c r="H65" s="5"/>
    </row>
    <row r="66" customFormat="false" ht="15" hidden="false" customHeight="false" outlineLevel="0" collapsed="false">
      <c r="A66" s="5" t="n">
        <v>59</v>
      </c>
      <c r="B66" s="5" t="s">
        <v>186</v>
      </c>
      <c r="C66" s="8" t="s">
        <v>87</v>
      </c>
      <c r="D66" s="5" t="s">
        <v>230</v>
      </c>
      <c r="E66" s="6" t="s">
        <v>231</v>
      </c>
      <c r="F66" s="5" t="s">
        <v>232</v>
      </c>
      <c r="G66" s="7" t="s">
        <v>152</v>
      </c>
      <c r="H66" s="5"/>
    </row>
    <row r="67" customFormat="false" ht="15" hidden="false" customHeight="false" outlineLevel="0" collapsed="false">
      <c r="A67" s="5" t="n">
        <v>60</v>
      </c>
      <c r="B67" s="5" t="s">
        <v>186</v>
      </c>
      <c r="C67" s="8" t="s">
        <v>87</v>
      </c>
      <c r="D67" s="5" t="s">
        <v>233</v>
      </c>
      <c r="E67" s="6" t="s">
        <v>234</v>
      </c>
      <c r="F67" s="5" t="s">
        <v>235</v>
      </c>
      <c r="G67" s="7" t="s">
        <v>156</v>
      </c>
      <c r="H67" s="5"/>
    </row>
    <row r="68" customFormat="false" ht="15" hidden="false" customHeight="false" outlineLevel="0" collapsed="false">
      <c r="A68" s="5" t="n">
        <v>61</v>
      </c>
      <c r="B68" s="5" t="s">
        <v>186</v>
      </c>
      <c r="C68" s="8" t="s">
        <v>87</v>
      </c>
      <c r="D68" s="5" t="s">
        <v>236</v>
      </c>
      <c r="E68" s="6" t="s">
        <v>237</v>
      </c>
      <c r="F68" s="5" t="s">
        <v>238</v>
      </c>
      <c r="G68" s="7" t="s">
        <v>160</v>
      </c>
      <c r="H68" s="5"/>
    </row>
    <row r="69" customFormat="false" ht="15" hidden="false" customHeight="false" outlineLevel="0" collapsed="false">
      <c r="A69" s="5" t="n">
        <v>62</v>
      </c>
      <c r="B69" s="5" t="s">
        <v>186</v>
      </c>
      <c r="C69" s="8" t="s">
        <v>87</v>
      </c>
      <c r="D69" s="5" t="s">
        <v>239</v>
      </c>
      <c r="E69" s="6" t="s">
        <v>240</v>
      </c>
      <c r="F69" s="5" t="s">
        <v>241</v>
      </c>
      <c r="G69" s="7" t="s">
        <v>164</v>
      </c>
      <c r="H69" s="5"/>
    </row>
    <row r="70" customFormat="false" ht="29.85" hidden="false" customHeight="false" outlineLevel="0" collapsed="false">
      <c r="A70" s="5" t="n">
        <v>63</v>
      </c>
      <c r="B70" s="5" t="s">
        <v>186</v>
      </c>
      <c r="C70" s="8" t="s">
        <v>87</v>
      </c>
      <c r="D70" s="5" t="s">
        <v>242</v>
      </c>
      <c r="E70" s="6" t="s">
        <v>243</v>
      </c>
      <c r="F70" s="5" t="s">
        <v>244</v>
      </c>
      <c r="G70" s="7" t="s">
        <v>168</v>
      </c>
      <c r="H70" s="5"/>
    </row>
    <row r="71" customFormat="false" ht="15" hidden="false" customHeight="false" outlineLevel="0" collapsed="false">
      <c r="A71" s="5" t="n">
        <v>64</v>
      </c>
      <c r="B71" s="5" t="s">
        <v>186</v>
      </c>
      <c r="C71" s="8" t="s">
        <v>87</v>
      </c>
      <c r="D71" s="5" t="s">
        <v>245</v>
      </c>
      <c r="E71" s="6" t="s">
        <v>246</v>
      </c>
      <c r="F71" s="5"/>
      <c r="G71" s="7" t="s">
        <v>172</v>
      </c>
      <c r="H71" s="5"/>
    </row>
    <row r="72" customFormat="false" ht="15" hidden="false" customHeight="false" outlineLevel="0" collapsed="false">
      <c r="A72" s="5" t="n">
        <v>65</v>
      </c>
      <c r="B72" s="5" t="s">
        <v>186</v>
      </c>
      <c r="C72" s="8" t="s">
        <v>87</v>
      </c>
      <c r="D72" s="5" t="s">
        <v>247</v>
      </c>
      <c r="E72" s="6" t="s">
        <v>248</v>
      </c>
      <c r="F72" s="5"/>
      <c r="G72" s="7" t="s">
        <v>176</v>
      </c>
      <c r="H72" s="5"/>
    </row>
    <row r="73" customFormat="false" ht="15" hidden="false" customHeight="false" outlineLevel="0" collapsed="false">
      <c r="A73" s="5" t="n">
        <v>66</v>
      </c>
      <c r="B73" s="5" t="s">
        <v>186</v>
      </c>
      <c r="C73" s="8" t="s">
        <v>87</v>
      </c>
      <c r="D73" s="5" t="s">
        <v>249</v>
      </c>
      <c r="E73" s="6" t="s">
        <v>250</v>
      </c>
      <c r="F73" s="5"/>
      <c r="G73" s="7" t="s">
        <v>180</v>
      </c>
      <c r="H73" s="5" t="s">
        <v>251</v>
      </c>
    </row>
    <row r="74" customFormat="false" ht="29.85" hidden="false" customHeight="false" outlineLevel="0" collapsed="false">
      <c r="A74" s="5" t="n">
        <v>67</v>
      </c>
      <c r="B74" s="5" t="s">
        <v>186</v>
      </c>
      <c r="C74" s="8" t="s">
        <v>87</v>
      </c>
      <c r="D74" s="5" t="s">
        <v>252</v>
      </c>
      <c r="E74" s="6" t="s">
        <v>253</v>
      </c>
      <c r="F74" s="5"/>
      <c r="G74" s="7" t="s">
        <v>184</v>
      </c>
      <c r="H74" s="5"/>
    </row>
    <row r="75" customFormat="false" ht="49.95" hidden="false" customHeight="false" outlineLevel="0" collapsed="false">
      <c r="A75" s="5" t="n">
        <v>68</v>
      </c>
      <c r="B75" s="5" t="s">
        <v>254</v>
      </c>
      <c r="C75" s="8" t="s">
        <v>255</v>
      </c>
      <c r="D75" s="5" t="s">
        <v>256</v>
      </c>
      <c r="E75" s="6" t="s">
        <v>257</v>
      </c>
      <c r="F75" s="5" t="s">
        <v>258</v>
      </c>
      <c r="G75" s="9" t="s">
        <v>259</v>
      </c>
      <c r="H75" s="5" t="s">
        <v>260</v>
      </c>
    </row>
    <row r="76" customFormat="false" ht="15" hidden="false" customHeight="false" outlineLevel="0" collapsed="false">
      <c r="A76" s="5" t="n">
        <v>69</v>
      </c>
      <c r="B76" s="5" t="s">
        <v>254</v>
      </c>
      <c r="C76" s="8" t="s">
        <v>255</v>
      </c>
      <c r="D76" s="5" t="s">
        <v>261</v>
      </c>
      <c r="E76" s="6" t="s">
        <v>262</v>
      </c>
      <c r="F76" s="5"/>
      <c r="G76" s="7" t="s">
        <v>263</v>
      </c>
      <c r="H76" s="5" t="s">
        <v>264</v>
      </c>
    </row>
    <row r="77" customFormat="false" ht="15" hidden="false" customHeight="false" outlineLevel="0" collapsed="false">
      <c r="A77" s="5" t="n">
        <v>70</v>
      </c>
      <c r="B77" s="5" t="s">
        <v>254</v>
      </c>
      <c r="C77" s="8" t="s">
        <v>255</v>
      </c>
      <c r="D77" s="5" t="s">
        <v>265</v>
      </c>
      <c r="E77" s="6" t="s">
        <v>266</v>
      </c>
      <c r="F77" s="5"/>
      <c r="G77" s="7" t="s">
        <v>267</v>
      </c>
      <c r="H77" s="5"/>
    </row>
    <row r="78" customFormat="false" ht="15" hidden="false" customHeight="false" outlineLevel="0" collapsed="false">
      <c r="A78" s="5" t="n">
        <v>71</v>
      </c>
      <c r="B78" s="5" t="s">
        <v>254</v>
      </c>
      <c r="C78" s="8" t="s">
        <v>255</v>
      </c>
      <c r="D78" s="5" t="s">
        <v>268</v>
      </c>
      <c r="E78" s="6" t="s">
        <v>269</v>
      </c>
      <c r="F78" s="5"/>
      <c r="G78" s="7" t="s">
        <v>270</v>
      </c>
      <c r="H78" s="5"/>
    </row>
    <row r="79" customFormat="false" ht="15" hidden="false" customHeight="false" outlineLevel="0" collapsed="false">
      <c r="A79" s="5" t="n">
        <v>72</v>
      </c>
      <c r="B79" s="5" t="s">
        <v>254</v>
      </c>
      <c r="C79" s="8" t="s">
        <v>255</v>
      </c>
      <c r="D79" s="5" t="s">
        <v>271</v>
      </c>
      <c r="E79" s="6" t="s">
        <v>272</v>
      </c>
      <c r="F79" s="5"/>
      <c r="G79" s="7" t="s">
        <v>273</v>
      </c>
      <c r="H79" s="5"/>
    </row>
    <row r="80" customFormat="false" ht="49.95" hidden="false" customHeight="false" outlineLevel="0" collapsed="false">
      <c r="A80" s="5" t="n">
        <v>73</v>
      </c>
      <c r="B80" s="5" t="s">
        <v>254</v>
      </c>
      <c r="C80" s="8" t="s">
        <v>255</v>
      </c>
      <c r="D80" s="5" t="s">
        <v>274</v>
      </c>
      <c r="E80" s="6" t="s">
        <v>275</v>
      </c>
      <c r="F80" s="5" t="s">
        <v>276</v>
      </c>
      <c r="G80" s="9" t="s">
        <v>259</v>
      </c>
      <c r="H80" s="5"/>
    </row>
    <row r="81" customFormat="false" ht="15" hidden="false" customHeight="false" outlineLevel="0" collapsed="false">
      <c r="A81" s="5" t="n">
        <v>74</v>
      </c>
      <c r="B81" s="5" t="s">
        <v>254</v>
      </c>
      <c r="C81" s="8" t="s">
        <v>255</v>
      </c>
      <c r="D81" s="5" t="s">
        <v>277</v>
      </c>
      <c r="E81" s="6" t="s">
        <v>278</v>
      </c>
      <c r="F81" s="5"/>
      <c r="G81" s="7" t="s">
        <v>263</v>
      </c>
      <c r="H81" s="5"/>
    </row>
    <row r="82" customFormat="false" ht="15" hidden="false" customHeight="false" outlineLevel="0" collapsed="false">
      <c r="A82" s="5" t="n">
        <v>75</v>
      </c>
      <c r="B82" s="5" t="s">
        <v>254</v>
      </c>
      <c r="C82" s="8" t="s">
        <v>255</v>
      </c>
      <c r="D82" s="5" t="s">
        <v>279</v>
      </c>
      <c r="E82" s="6" t="s">
        <v>280</v>
      </c>
      <c r="F82" s="5"/>
      <c r="G82" s="7" t="s">
        <v>267</v>
      </c>
      <c r="H82" s="5"/>
    </row>
    <row r="83" customFormat="false" ht="15" hidden="false" customHeight="false" outlineLevel="0" collapsed="false">
      <c r="A83" s="5" t="n">
        <v>76</v>
      </c>
      <c r="B83" s="5" t="s">
        <v>254</v>
      </c>
      <c r="C83" s="8" t="s">
        <v>255</v>
      </c>
      <c r="D83" s="5" t="s">
        <v>281</v>
      </c>
      <c r="E83" s="6" t="s">
        <v>282</v>
      </c>
      <c r="F83" s="5"/>
      <c r="G83" s="7" t="s">
        <v>270</v>
      </c>
      <c r="H83" s="5"/>
    </row>
    <row r="84" customFormat="false" ht="15" hidden="false" customHeight="false" outlineLevel="0" collapsed="false">
      <c r="A84" s="5" t="n">
        <v>77</v>
      </c>
      <c r="B84" s="5" t="s">
        <v>254</v>
      </c>
      <c r="C84" s="8" t="s">
        <v>255</v>
      </c>
      <c r="D84" s="5" t="s">
        <v>283</v>
      </c>
      <c r="E84" s="6" t="s">
        <v>284</v>
      </c>
      <c r="F84" s="5"/>
      <c r="G84" s="7" t="s">
        <v>273</v>
      </c>
      <c r="H84" s="5"/>
    </row>
    <row r="85" customFormat="false" ht="49.95" hidden="false" customHeight="false" outlineLevel="0" collapsed="false">
      <c r="A85" s="5" t="n">
        <v>78</v>
      </c>
      <c r="B85" s="5" t="s">
        <v>254</v>
      </c>
      <c r="C85" s="8" t="s">
        <v>255</v>
      </c>
      <c r="D85" s="5" t="s">
        <v>42</v>
      </c>
      <c r="E85" s="6" t="s">
        <v>285</v>
      </c>
      <c r="F85" s="5" t="s">
        <v>286</v>
      </c>
      <c r="G85" s="9" t="s">
        <v>259</v>
      </c>
      <c r="H85" s="5"/>
    </row>
    <row r="86" customFormat="false" ht="15" hidden="false" customHeight="false" outlineLevel="0" collapsed="false">
      <c r="A86" s="5" t="n">
        <v>79</v>
      </c>
      <c r="B86" s="5" t="s">
        <v>254</v>
      </c>
      <c r="C86" s="8" t="s">
        <v>255</v>
      </c>
      <c r="D86" s="5" t="s">
        <v>287</v>
      </c>
      <c r="E86" s="6" t="s">
        <v>288</v>
      </c>
      <c r="F86" s="5"/>
      <c r="G86" s="7" t="s">
        <v>263</v>
      </c>
      <c r="H86" s="5"/>
    </row>
    <row r="87" customFormat="false" ht="15" hidden="false" customHeight="false" outlineLevel="0" collapsed="false">
      <c r="A87" s="5" t="n">
        <v>80</v>
      </c>
      <c r="B87" s="5" t="s">
        <v>254</v>
      </c>
      <c r="C87" s="8" t="s">
        <v>255</v>
      </c>
      <c r="D87" s="5" t="s">
        <v>289</v>
      </c>
      <c r="E87" s="6" t="s">
        <v>290</v>
      </c>
      <c r="F87" s="5"/>
      <c r="G87" s="7" t="s">
        <v>267</v>
      </c>
      <c r="H87" s="5"/>
    </row>
    <row r="88" customFormat="false" ht="15" hidden="false" customHeight="false" outlineLevel="0" collapsed="false">
      <c r="A88" s="5" t="n">
        <v>81</v>
      </c>
      <c r="B88" s="5" t="s">
        <v>254</v>
      </c>
      <c r="C88" s="8" t="s">
        <v>255</v>
      </c>
      <c r="D88" s="5" t="s">
        <v>291</v>
      </c>
      <c r="E88" s="6" t="s">
        <v>292</v>
      </c>
      <c r="F88" s="5"/>
      <c r="G88" s="7" t="s">
        <v>270</v>
      </c>
      <c r="H88" s="5"/>
    </row>
    <row r="89" customFormat="false" ht="15" hidden="false" customHeight="false" outlineLevel="0" collapsed="false">
      <c r="A89" s="5" t="n">
        <v>82</v>
      </c>
      <c r="B89" s="5" t="s">
        <v>254</v>
      </c>
      <c r="C89" s="8" t="s">
        <v>255</v>
      </c>
      <c r="D89" s="5" t="s">
        <v>293</v>
      </c>
      <c r="E89" s="6" t="s">
        <v>294</v>
      </c>
      <c r="F89" s="5"/>
      <c r="G89" s="7" t="s">
        <v>273</v>
      </c>
      <c r="H89" s="5"/>
    </row>
    <row r="90" customFormat="false" ht="15" hidden="false" customHeight="false" outlineLevel="0" collapsed="false">
      <c r="A90" s="5" t="n">
        <v>83</v>
      </c>
      <c r="B90" s="5" t="s">
        <v>254</v>
      </c>
      <c r="C90" s="8" t="s">
        <v>255</v>
      </c>
      <c r="D90" s="5" t="s">
        <v>295</v>
      </c>
      <c r="E90" s="6" t="s">
        <v>296</v>
      </c>
      <c r="F90" s="5"/>
      <c r="G90" s="9" t="s">
        <v>297</v>
      </c>
      <c r="H90" s="5"/>
    </row>
    <row r="91" customFormat="false" ht="15" hidden="false" customHeight="false" outlineLevel="0" collapsed="false">
      <c r="A91" s="5" t="n">
        <v>84</v>
      </c>
      <c r="B91" s="5" t="s">
        <v>254</v>
      </c>
      <c r="C91" s="8" t="s">
        <v>255</v>
      </c>
      <c r="D91" s="5" t="s">
        <v>298</v>
      </c>
      <c r="E91" s="6" t="s">
        <v>299</v>
      </c>
      <c r="F91" s="5"/>
      <c r="G91" s="9" t="s">
        <v>300</v>
      </c>
      <c r="H91" s="5"/>
    </row>
    <row r="92" customFormat="false" ht="15" hidden="false" customHeight="false" outlineLevel="0" collapsed="false">
      <c r="A92" s="5" t="n">
        <v>85</v>
      </c>
      <c r="B92" s="5" t="s">
        <v>254</v>
      </c>
      <c r="C92" s="8" t="s">
        <v>255</v>
      </c>
      <c r="D92" s="5" t="s">
        <v>301</v>
      </c>
      <c r="E92" s="6" t="s">
        <v>302</v>
      </c>
      <c r="F92" s="5"/>
      <c r="G92" s="9" t="s">
        <v>303</v>
      </c>
      <c r="H92" s="5" t="s">
        <v>304</v>
      </c>
    </row>
    <row r="93" customFormat="false" ht="15" hidden="false" customHeight="false" outlineLevel="0" collapsed="false">
      <c r="A93" s="5" t="n">
        <v>86</v>
      </c>
      <c r="B93" s="5" t="s">
        <v>254</v>
      </c>
      <c r="C93" s="8" t="s">
        <v>255</v>
      </c>
      <c r="D93" s="5" t="s">
        <v>305</v>
      </c>
      <c r="E93" s="6" t="s">
        <v>306</v>
      </c>
      <c r="F93" s="5"/>
      <c r="G93" s="9" t="s">
        <v>307</v>
      </c>
      <c r="H93" s="5"/>
    </row>
    <row r="94" customFormat="false" ht="15" hidden="false" customHeight="false" outlineLevel="0" collapsed="false">
      <c r="A94" s="5" t="n">
        <v>87</v>
      </c>
      <c r="B94" s="5" t="s">
        <v>254</v>
      </c>
      <c r="C94" s="8" t="s">
        <v>255</v>
      </c>
      <c r="D94" s="5" t="s">
        <v>308</v>
      </c>
      <c r="E94" s="6" t="s">
        <v>309</v>
      </c>
      <c r="F94" s="5"/>
      <c r="G94" s="9" t="s">
        <v>297</v>
      </c>
      <c r="H94" s="5"/>
    </row>
    <row r="95" customFormat="false" ht="15" hidden="false" customHeight="false" outlineLevel="0" collapsed="false">
      <c r="A95" s="5" t="n">
        <v>88</v>
      </c>
      <c r="B95" s="5" t="s">
        <v>254</v>
      </c>
      <c r="C95" s="8" t="s">
        <v>255</v>
      </c>
      <c r="D95" s="5" t="s">
        <v>310</v>
      </c>
      <c r="E95" s="6" t="s">
        <v>311</v>
      </c>
      <c r="F95" s="5"/>
      <c r="G95" s="9" t="s">
        <v>300</v>
      </c>
      <c r="H95" s="5"/>
    </row>
    <row r="96" customFormat="false" ht="15" hidden="false" customHeight="false" outlineLevel="0" collapsed="false">
      <c r="A96" s="5" t="n">
        <v>89</v>
      </c>
      <c r="B96" s="5" t="s">
        <v>254</v>
      </c>
      <c r="C96" s="8" t="s">
        <v>255</v>
      </c>
      <c r="D96" s="5" t="s">
        <v>312</v>
      </c>
      <c r="E96" s="6" t="s">
        <v>313</v>
      </c>
      <c r="F96" s="5"/>
      <c r="G96" s="9" t="s">
        <v>303</v>
      </c>
      <c r="H96" s="5"/>
    </row>
    <row r="97" customFormat="false" ht="15" hidden="false" customHeight="false" outlineLevel="0" collapsed="false">
      <c r="A97" s="5" t="n">
        <v>90</v>
      </c>
      <c r="B97" s="5" t="s">
        <v>254</v>
      </c>
      <c r="C97" s="8" t="s">
        <v>255</v>
      </c>
      <c r="D97" s="5" t="s">
        <v>314</v>
      </c>
      <c r="E97" s="6" t="s">
        <v>315</v>
      </c>
      <c r="F97" s="5"/>
      <c r="G97" s="9" t="s">
        <v>307</v>
      </c>
      <c r="H97" s="5"/>
    </row>
    <row r="98" customFormat="false" ht="15" hidden="false" customHeight="false" outlineLevel="0" collapsed="false">
      <c r="A98" s="5" t="n">
        <v>91</v>
      </c>
      <c r="B98" s="5" t="s">
        <v>254</v>
      </c>
      <c r="C98" s="8" t="s">
        <v>255</v>
      </c>
      <c r="D98" s="5" t="s">
        <v>316</v>
      </c>
      <c r="E98" s="6" t="s">
        <v>317</v>
      </c>
      <c r="F98" s="5"/>
      <c r="G98" s="9" t="s">
        <v>297</v>
      </c>
      <c r="H98" s="5"/>
    </row>
    <row r="99" customFormat="false" ht="15" hidden="false" customHeight="false" outlineLevel="0" collapsed="false">
      <c r="A99" s="5" t="n">
        <v>92</v>
      </c>
      <c r="B99" s="5" t="s">
        <v>254</v>
      </c>
      <c r="C99" s="8" t="s">
        <v>255</v>
      </c>
      <c r="D99" s="5" t="s">
        <v>318</v>
      </c>
      <c r="E99" s="6" t="s">
        <v>319</v>
      </c>
      <c r="F99" s="5"/>
      <c r="G99" s="9" t="s">
        <v>300</v>
      </c>
      <c r="H99" s="5"/>
    </row>
    <row r="100" customFormat="false" ht="15" hidden="false" customHeight="false" outlineLevel="0" collapsed="false">
      <c r="A100" s="5" t="n">
        <v>93</v>
      </c>
      <c r="B100" s="5" t="s">
        <v>254</v>
      </c>
      <c r="C100" s="8" t="s">
        <v>255</v>
      </c>
      <c r="D100" s="5" t="s">
        <v>320</v>
      </c>
      <c r="E100" s="6" t="s">
        <v>321</v>
      </c>
      <c r="F100" s="5"/>
      <c r="G100" s="9" t="s">
        <v>303</v>
      </c>
      <c r="H100" s="5"/>
    </row>
    <row r="101" customFormat="false" ht="15" hidden="false" customHeight="false" outlineLevel="0" collapsed="false">
      <c r="A101" s="5" t="n">
        <v>94</v>
      </c>
      <c r="B101" s="5" t="s">
        <v>254</v>
      </c>
      <c r="C101" s="8" t="s">
        <v>255</v>
      </c>
      <c r="D101" s="5" t="s">
        <v>322</v>
      </c>
      <c r="E101" s="6" t="s">
        <v>323</v>
      </c>
      <c r="F101" s="5"/>
      <c r="G101" s="9" t="s">
        <v>307</v>
      </c>
      <c r="H101" s="5"/>
    </row>
    <row r="102" customFormat="false" ht="15" hidden="false" customHeight="false" outlineLevel="0" collapsed="false">
      <c r="A102" s="5" t="n">
        <v>95</v>
      </c>
      <c r="B102" s="5" t="s">
        <v>254</v>
      </c>
      <c r="C102" s="8" t="s">
        <v>255</v>
      </c>
      <c r="D102" s="5" t="s">
        <v>324</v>
      </c>
      <c r="E102" s="6" t="s">
        <v>325</v>
      </c>
      <c r="F102" s="5" t="s">
        <v>326</v>
      </c>
      <c r="G102" s="7" t="s">
        <v>327</v>
      </c>
      <c r="H102" s="5" t="s">
        <v>328</v>
      </c>
    </row>
    <row r="103" customFormat="false" ht="15" hidden="false" customHeight="false" outlineLevel="0" collapsed="false">
      <c r="A103" s="5" t="n">
        <v>96</v>
      </c>
      <c r="B103" s="5" t="s">
        <v>254</v>
      </c>
      <c r="C103" s="8" t="s">
        <v>255</v>
      </c>
      <c r="D103" s="5" t="s">
        <v>100</v>
      </c>
      <c r="E103" s="6" t="s">
        <v>329</v>
      </c>
      <c r="F103" s="5" t="s">
        <v>330</v>
      </c>
      <c r="G103" s="7" t="s">
        <v>331</v>
      </c>
      <c r="H103" s="5"/>
    </row>
    <row r="104" customFormat="false" ht="15" hidden="false" customHeight="false" outlineLevel="0" collapsed="false">
      <c r="A104" s="5" t="n">
        <v>97</v>
      </c>
      <c r="B104" s="5" t="s">
        <v>254</v>
      </c>
      <c r="C104" s="8" t="s">
        <v>255</v>
      </c>
      <c r="D104" s="5" t="s">
        <v>103</v>
      </c>
      <c r="E104" s="6" t="s">
        <v>332</v>
      </c>
      <c r="F104" s="5" t="s">
        <v>333</v>
      </c>
      <c r="G104" s="7" t="s">
        <v>334</v>
      </c>
      <c r="H104" s="5"/>
    </row>
    <row r="105" customFormat="false" ht="15" hidden="false" customHeight="false" outlineLevel="0" collapsed="false">
      <c r="A105" s="5" t="n">
        <v>98</v>
      </c>
      <c r="B105" s="5" t="s">
        <v>254</v>
      </c>
      <c r="C105" s="8" t="s">
        <v>255</v>
      </c>
      <c r="D105" s="5" t="s">
        <v>107</v>
      </c>
      <c r="E105" s="6" t="s">
        <v>335</v>
      </c>
      <c r="F105" s="5" t="s">
        <v>336</v>
      </c>
      <c r="G105" s="7" t="s">
        <v>337</v>
      </c>
      <c r="H105" s="5" t="s">
        <v>338</v>
      </c>
    </row>
    <row r="106" customFormat="false" ht="15" hidden="false" customHeight="false" outlineLevel="0" collapsed="false">
      <c r="A106" s="5" t="n">
        <v>99</v>
      </c>
      <c r="B106" s="5" t="s">
        <v>254</v>
      </c>
      <c r="C106" s="8" t="s">
        <v>255</v>
      </c>
      <c r="D106" s="5" t="s">
        <v>339</v>
      </c>
      <c r="E106" s="6" t="s">
        <v>340</v>
      </c>
      <c r="F106" s="5" t="s">
        <v>341</v>
      </c>
      <c r="G106" s="7" t="s">
        <v>342</v>
      </c>
      <c r="H106" s="5" t="s">
        <v>343</v>
      </c>
    </row>
    <row r="107" customFormat="false" ht="15" hidden="false" customHeight="false" outlineLevel="0" collapsed="false">
      <c r="A107" s="5" t="n">
        <v>100</v>
      </c>
      <c r="B107" s="5" t="s">
        <v>254</v>
      </c>
      <c r="C107" s="8" t="s">
        <v>255</v>
      </c>
      <c r="D107" s="5" t="s">
        <v>344</v>
      </c>
      <c r="E107" s="6" t="s">
        <v>345</v>
      </c>
      <c r="F107" s="5" t="s">
        <v>346</v>
      </c>
      <c r="G107" s="7" t="s">
        <v>347</v>
      </c>
      <c r="H107" s="5" t="s">
        <v>348</v>
      </c>
    </row>
    <row r="108" customFormat="false" ht="15" hidden="false" customHeight="false" outlineLevel="0" collapsed="false">
      <c r="A108" s="5" t="n">
        <v>101</v>
      </c>
      <c r="B108" s="5" t="s">
        <v>254</v>
      </c>
      <c r="C108" s="8" t="s">
        <v>255</v>
      </c>
      <c r="D108" s="5" t="s">
        <v>349</v>
      </c>
      <c r="E108" s="6" t="s">
        <v>350</v>
      </c>
      <c r="F108" s="5" t="s">
        <v>351</v>
      </c>
      <c r="G108" s="7" t="s">
        <v>352</v>
      </c>
      <c r="H108" s="5"/>
    </row>
    <row r="109" customFormat="false" ht="15" hidden="false" customHeight="false" outlineLevel="0" collapsed="false">
      <c r="A109" s="5" t="n">
        <v>102</v>
      </c>
      <c r="B109" s="5" t="s">
        <v>254</v>
      </c>
      <c r="C109" s="8" t="s">
        <v>255</v>
      </c>
      <c r="D109" s="5" t="s">
        <v>353</v>
      </c>
      <c r="E109" s="6" t="s">
        <v>354</v>
      </c>
      <c r="F109" s="5" t="s">
        <v>355</v>
      </c>
      <c r="G109" s="7" t="s">
        <v>356</v>
      </c>
      <c r="H109" s="5"/>
    </row>
    <row r="110" customFormat="false" ht="15" hidden="false" customHeight="false" outlineLevel="0" collapsed="false">
      <c r="A110" s="5" t="n">
        <v>103</v>
      </c>
      <c r="B110" s="5" t="s">
        <v>254</v>
      </c>
      <c r="C110" s="8" t="s">
        <v>255</v>
      </c>
      <c r="D110" s="5" t="s">
        <v>357</v>
      </c>
      <c r="E110" s="6" t="s">
        <v>358</v>
      </c>
      <c r="F110" s="5" t="s">
        <v>359</v>
      </c>
      <c r="G110" s="7" t="s">
        <v>360</v>
      </c>
      <c r="H110" s="5" t="s">
        <v>361</v>
      </c>
    </row>
    <row r="111" customFormat="false" ht="15" hidden="false" customHeight="false" outlineLevel="0" collapsed="false">
      <c r="A111" s="5" t="n">
        <v>104</v>
      </c>
      <c r="B111" s="5" t="s">
        <v>254</v>
      </c>
      <c r="C111" s="8" t="s">
        <v>255</v>
      </c>
      <c r="D111" s="5" t="s">
        <v>362</v>
      </c>
      <c r="E111" s="6" t="s">
        <v>363</v>
      </c>
      <c r="F111" s="5"/>
      <c r="G111" s="9" t="s">
        <v>364</v>
      </c>
      <c r="H111" s="5"/>
    </row>
    <row r="112" customFormat="false" ht="15" hidden="false" customHeight="false" outlineLevel="0" collapsed="false">
      <c r="A112" s="5" t="n">
        <v>105</v>
      </c>
      <c r="B112" s="5" t="s">
        <v>254</v>
      </c>
      <c r="C112" s="8" t="s">
        <v>255</v>
      </c>
      <c r="D112" s="5" t="s">
        <v>365</v>
      </c>
      <c r="E112" s="6" t="s">
        <v>366</v>
      </c>
      <c r="F112" s="5"/>
      <c r="G112" s="9" t="s">
        <v>367</v>
      </c>
      <c r="H112" s="5"/>
    </row>
    <row r="113" customFormat="false" ht="15" hidden="false" customHeight="false" outlineLevel="0" collapsed="false">
      <c r="A113" s="5" t="n">
        <v>106</v>
      </c>
      <c r="B113" s="5" t="s">
        <v>254</v>
      </c>
      <c r="C113" s="8" t="s">
        <v>255</v>
      </c>
      <c r="D113" s="5" t="s">
        <v>368</v>
      </c>
      <c r="E113" s="6" t="s">
        <v>369</v>
      </c>
      <c r="F113" s="5"/>
      <c r="G113" s="9" t="s">
        <v>370</v>
      </c>
      <c r="H113" s="5"/>
    </row>
    <row r="114" customFormat="false" ht="15" hidden="false" customHeight="false" outlineLevel="0" collapsed="false">
      <c r="A114" s="5" t="n">
        <v>107</v>
      </c>
      <c r="B114" s="5" t="s">
        <v>254</v>
      </c>
      <c r="C114" s="8" t="s">
        <v>255</v>
      </c>
      <c r="D114" s="5" t="s">
        <v>371</v>
      </c>
      <c r="E114" s="6" t="s">
        <v>372</v>
      </c>
      <c r="F114" s="5"/>
      <c r="G114" s="9" t="s">
        <v>373</v>
      </c>
      <c r="H114" s="5"/>
    </row>
    <row r="115" customFormat="false" ht="15" hidden="false" customHeight="false" outlineLevel="0" collapsed="false">
      <c r="A115" s="5" t="n">
        <v>108</v>
      </c>
      <c r="B115" s="5" t="s">
        <v>254</v>
      </c>
      <c r="C115" s="8" t="s">
        <v>255</v>
      </c>
      <c r="D115" s="5" t="s">
        <v>374</v>
      </c>
      <c r="E115" s="6" t="s">
        <v>375</v>
      </c>
      <c r="F115" s="5"/>
      <c r="G115" s="9" t="s">
        <v>376</v>
      </c>
      <c r="H115" s="5"/>
    </row>
    <row r="116" customFormat="false" ht="15" hidden="false" customHeight="false" outlineLevel="0" collapsed="false">
      <c r="A116" s="5" t="n">
        <v>109</v>
      </c>
      <c r="B116" s="5" t="s">
        <v>254</v>
      </c>
      <c r="C116" s="8" t="s">
        <v>255</v>
      </c>
      <c r="D116" s="5" t="s">
        <v>377</v>
      </c>
      <c r="E116" s="6" t="s">
        <v>378</v>
      </c>
      <c r="F116" s="5"/>
      <c r="G116" s="9" t="s">
        <v>379</v>
      </c>
      <c r="H116" s="5" t="s">
        <v>380</v>
      </c>
    </row>
    <row r="117" customFormat="false" ht="15" hidden="false" customHeight="false" outlineLevel="0" collapsed="false">
      <c r="A117" s="5" t="n">
        <v>110</v>
      </c>
      <c r="B117" s="5" t="s">
        <v>254</v>
      </c>
      <c r="C117" s="8" t="s">
        <v>255</v>
      </c>
      <c r="D117" s="5" t="s">
        <v>381</v>
      </c>
      <c r="E117" s="6" t="s">
        <v>382</v>
      </c>
      <c r="F117" s="5"/>
      <c r="G117" s="7" t="s">
        <v>383</v>
      </c>
      <c r="H117" s="5"/>
    </row>
    <row r="118" customFormat="false" ht="15" hidden="false" customHeight="false" outlineLevel="0" collapsed="false">
      <c r="A118" s="5" t="n">
        <v>111</v>
      </c>
      <c r="B118" s="5" t="s">
        <v>254</v>
      </c>
      <c r="C118" s="8" t="s">
        <v>255</v>
      </c>
      <c r="D118" s="5" t="s">
        <v>384</v>
      </c>
      <c r="E118" s="6" t="s">
        <v>385</v>
      </c>
      <c r="F118" s="5"/>
      <c r="G118" s="7" t="s">
        <v>356</v>
      </c>
      <c r="H118" s="5"/>
    </row>
    <row r="119" customFormat="false" ht="15" hidden="false" customHeight="false" outlineLevel="0" collapsed="false">
      <c r="A119" s="5" t="n">
        <v>112</v>
      </c>
      <c r="B119" s="5" t="s">
        <v>254</v>
      </c>
      <c r="C119" s="8" t="s">
        <v>255</v>
      </c>
      <c r="D119" s="5" t="s">
        <v>386</v>
      </c>
      <c r="E119" s="6" t="s">
        <v>387</v>
      </c>
      <c r="F119" s="5"/>
      <c r="G119" s="9" t="s">
        <v>388</v>
      </c>
      <c r="H119" s="5" t="s">
        <v>389</v>
      </c>
    </row>
    <row r="120" customFormat="false" ht="15" hidden="false" customHeight="false" outlineLevel="0" collapsed="false">
      <c r="A120" s="5" t="n">
        <v>113</v>
      </c>
      <c r="B120" s="5" t="s">
        <v>254</v>
      </c>
      <c r="C120" s="8" t="s">
        <v>255</v>
      </c>
      <c r="D120" s="5" t="s">
        <v>390</v>
      </c>
      <c r="E120" s="6" t="s">
        <v>391</v>
      </c>
      <c r="F120" s="5"/>
      <c r="G120" s="9" t="s">
        <v>392</v>
      </c>
      <c r="H120" s="5"/>
    </row>
    <row r="121" customFormat="false" ht="15" hidden="false" customHeight="false" outlineLevel="0" collapsed="false">
      <c r="A121" s="5" t="n">
        <v>114</v>
      </c>
      <c r="B121" s="5" t="s">
        <v>254</v>
      </c>
      <c r="C121" s="8" t="s">
        <v>255</v>
      </c>
      <c r="D121" s="5" t="s">
        <v>393</v>
      </c>
      <c r="E121" s="6" t="s">
        <v>394</v>
      </c>
      <c r="F121" s="5"/>
      <c r="G121" s="7" t="s">
        <v>395</v>
      </c>
      <c r="H121" s="5" t="s">
        <v>396</v>
      </c>
    </row>
    <row r="122" customFormat="false" ht="15" hidden="false" customHeight="false" outlineLevel="0" collapsed="false">
      <c r="A122" s="5" t="n">
        <v>115</v>
      </c>
      <c r="B122" s="5" t="s">
        <v>254</v>
      </c>
      <c r="C122" s="8" t="s">
        <v>255</v>
      </c>
      <c r="D122" s="5" t="s">
        <v>397</v>
      </c>
      <c r="E122" s="6" t="s">
        <v>398</v>
      </c>
      <c r="F122" s="5"/>
      <c r="G122" s="7" t="s">
        <v>399</v>
      </c>
      <c r="H122" s="5"/>
    </row>
    <row r="123" customFormat="false" ht="15" hidden="false" customHeight="false" outlineLevel="0" collapsed="false">
      <c r="A123" s="5" t="n">
        <v>116</v>
      </c>
      <c r="B123" s="5" t="s">
        <v>254</v>
      </c>
      <c r="C123" s="8" t="s">
        <v>255</v>
      </c>
      <c r="D123" s="5" t="s">
        <v>400</v>
      </c>
      <c r="E123" s="6" t="s">
        <v>401</v>
      </c>
      <c r="F123" s="5"/>
      <c r="G123" s="7" t="s">
        <v>402</v>
      </c>
      <c r="H123" s="5" t="s">
        <v>403</v>
      </c>
    </row>
    <row r="124" customFormat="false" ht="15" hidden="false" customHeight="false" outlineLevel="0" collapsed="false">
      <c r="A124" s="5" t="n">
        <v>117</v>
      </c>
      <c r="B124" s="5" t="s">
        <v>254</v>
      </c>
      <c r="C124" s="8" t="s">
        <v>255</v>
      </c>
      <c r="D124" s="5" t="s">
        <v>404</v>
      </c>
      <c r="E124" s="6" t="s">
        <v>405</v>
      </c>
      <c r="F124" s="5"/>
      <c r="G124" s="7" t="s">
        <v>406</v>
      </c>
      <c r="H124" s="5"/>
    </row>
    <row r="125" customFormat="false" ht="15" hidden="false" customHeight="false" outlineLevel="0" collapsed="false">
      <c r="A125" s="5" t="n">
        <v>118</v>
      </c>
      <c r="B125" s="5" t="s">
        <v>254</v>
      </c>
      <c r="C125" s="8" t="s">
        <v>255</v>
      </c>
      <c r="D125" s="5" t="s">
        <v>407</v>
      </c>
      <c r="E125" s="6" t="s">
        <v>408</v>
      </c>
      <c r="F125" s="5"/>
      <c r="G125" s="7" t="s">
        <v>409</v>
      </c>
      <c r="H125" s="5"/>
    </row>
    <row r="126" customFormat="false" ht="15" hidden="false" customHeight="false" outlineLevel="0" collapsed="false">
      <c r="A126" s="5" t="n">
        <v>119</v>
      </c>
      <c r="B126" s="5" t="s">
        <v>254</v>
      </c>
      <c r="C126" s="8" t="s">
        <v>255</v>
      </c>
      <c r="D126" s="5" t="s">
        <v>410</v>
      </c>
      <c r="E126" s="6" t="s">
        <v>411</v>
      </c>
      <c r="F126" s="5"/>
      <c r="G126" s="7" t="s">
        <v>412</v>
      </c>
      <c r="H126" s="5"/>
    </row>
    <row r="127" customFormat="false" ht="15" hidden="false" customHeight="false" outlineLevel="0" collapsed="false">
      <c r="A127" s="5" t="n">
        <v>120</v>
      </c>
      <c r="B127" s="5" t="s">
        <v>254</v>
      </c>
      <c r="C127" s="8" t="s">
        <v>255</v>
      </c>
      <c r="D127" s="5" t="s">
        <v>413</v>
      </c>
      <c r="E127" s="6" t="s">
        <v>414</v>
      </c>
      <c r="F127" s="5"/>
      <c r="G127" s="7" t="s">
        <v>415</v>
      </c>
      <c r="H127" s="5"/>
    </row>
    <row r="128" customFormat="false" ht="15" hidden="false" customHeight="false" outlineLevel="0" collapsed="false">
      <c r="A128" s="5" t="n">
        <v>121</v>
      </c>
      <c r="B128" s="5" t="s">
        <v>254</v>
      </c>
      <c r="C128" s="8" t="s">
        <v>255</v>
      </c>
      <c r="D128" s="5" t="s">
        <v>416</v>
      </c>
      <c r="E128" s="6" t="s">
        <v>417</v>
      </c>
      <c r="F128" s="5"/>
      <c r="G128" s="7" t="s">
        <v>418</v>
      </c>
      <c r="H128" s="5"/>
    </row>
    <row r="129" customFormat="false" ht="15" hidden="false" customHeight="false" outlineLevel="0" collapsed="false">
      <c r="A129" s="5" t="n">
        <v>122</v>
      </c>
      <c r="B129" s="5" t="s">
        <v>254</v>
      </c>
      <c r="C129" s="8" t="s">
        <v>255</v>
      </c>
      <c r="D129" s="5" t="s">
        <v>419</v>
      </c>
      <c r="E129" s="6" t="s">
        <v>420</v>
      </c>
      <c r="F129" s="5"/>
      <c r="G129" s="9" t="s">
        <v>421</v>
      </c>
      <c r="H129" s="5"/>
    </row>
    <row r="130" customFormat="false" ht="15" hidden="false" customHeight="false" outlineLevel="0" collapsed="false">
      <c r="A130" s="5" t="n">
        <v>123</v>
      </c>
      <c r="B130" s="5" t="s">
        <v>254</v>
      </c>
      <c r="C130" s="8" t="s">
        <v>255</v>
      </c>
      <c r="D130" s="5" t="s">
        <v>422</v>
      </c>
      <c r="E130" s="6" t="s">
        <v>423</v>
      </c>
      <c r="F130" s="5"/>
      <c r="G130" s="7" t="s">
        <v>424</v>
      </c>
      <c r="H130" s="5" t="s">
        <v>425</v>
      </c>
    </row>
    <row r="131" customFormat="false" ht="15" hidden="false" customHeight="false" outlineLevel="0" collapsed="false">
      <c r="A131" s="5" t="n">
        <v>124</v>
      </c>
      <c r="B131" s="5" t="s">
        <v>254</v>
      </c>
      <c r="C131" s="8" t="s">
        <v>255</v>
      </c>
      <c r="D131" s="5" t="s">
        <v>426</v>
      </c>
      <c r="E131" s="6" t="s">
        <v>427</v>
      </c>
      <c r="F131" s="5"/>
      <c r="G131" s="7" t="s">
        <v>428</v>
      </c>
      <c r="H131" s="5"/>
    </row>
    <row r="132" customFormat="false" ht="15" hidden="false" customHeight="false" outlineLevel="0" collapsed="false">
      <c r="A132" s="5" t="n">
        <v>125</v>
      </c>
      <c r="B132" s="5" t="s">
        <v>254</v>
      </c>
      <c r="C132" s="8" t="s">
        <v>255</v>
      </c>
      <c r="D132" s="5" t="s">
        <v>189</v>
      </c>
      <c r="E132" s="6" t="s">
        <v>429</v>
      </c>
      <c r="F132" s="5"/>
      <c r="G132" s="9" t="s">
        <v>430</v>
      </c>
      <c r="H132" s="5"/>
    </row>
    <row r="133" customFormat="false" ht="15" hidden="false" customHeight="false" outlineLevel="0" collapsed="false">
      <c r="A133" s="5" t="n">
        <v>126</v>
      </c>
      <c r="B133" s="5" t="s">
        <v>254</v>
      </c>
      <c r="C133" s="8" t="s">
        <v>255</v>
      </c>
      <c r="D133" s="5" t="s">
        <v>196</v>
      </c>
      <c r="E133" s="6" t="s">
        <v>431</v>
      </c>
      <c r="F133" s="5"/>
      <c r="G133" s="7" t="s">
        <v>432</v>
      </c>
      <c r="H133" s="5" t="s">
        <v>433</v>
      </c>
    </row>
    <row r="134" customFormat="false" ht="15" hidden="false" customHeight="false" outlineLevel="0" collapsed="false">
      <c r="A134" s="5" t="n">
        <v>127</v>
      </c>
      <c r="B134" s="5" t="s">
        <v>254</v>
      </c>
      <c r="C134" s="8" t="s">
        <v>255</v>
      </c>
      <c r="D134" s="5" t="s">
        <v>202</v>
      </c>
      <c r="E134" s="6" t="s">
        <v>434</v>
      </c>
      <c r="F134" s="5"/>
      <c r="G134" s="7" t="s">
        <v>435</v>
      </c>
      <c r="H134" s="5"/>
    </row>
    <row r="135" customFormat="false" ht="15" hidden="false" customHeight="false" outlineLevel="0" collapsed="false">
      <c r="A135" s="5" t="n">
        <v>128</v>
      </c>
      <c r="B135" s="5" t="s">
        <v>254</v>
      </c>
      <c r="C135" s="8" t="s">
        <v>255</v>
      </c>
      <c r="D135" s="5" t="s">
        <v>204</v>
      </c>
      <c r="E135" s="6" t="s">
        <v>436</v>
      </c>
      <c r="F135" s="5"/>
      <c r="G135" s="7" t="s">
        <v>437</v>
      </c>
      <c r="H13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62"/>
    <col collapsed="false" customWidth="true" hidden="false" outlineLevel="0" max="8" min="8" style="0" width="3"/>
    <col collapsed="false" customWidth="true" hidden="false" outlineLevel="0" max="9" min="9" style="0" width="10"/>
    <col collapsed="false" customWidth="true" hidden="false" outlineLevel="0" max="10" min="10" style="0" width="9"/>
    <col collapsed="false" customWidth="true" hidden="false" outlineLevel="0" max="11" min="11" style="0" width="14"/>
  </cols>
  <sheetData>
    <row r="1" customFormat="false" ht="15" hidden="false" customHeight="false" outlineLevel="0" collapsed="false">
      <c r="A1" s="1" t="s">
        <v>438</v>
      </c>
    </row>
    <row r="2" customFormat="false" ht="15" hidden="false" customHeight="false" outlineLevel="0" collapsed="false">
      <c r="A2" s="2" t="s">
        <v>439</v>
      </c>
    </row>
    <row r="4" customFormat="false" ht="29.85" hidden="false" customHeight="false" outlineLevel="0" collapsed="false">
      <c r="A4" s="10" t="s">
        <v>440</v>
      </c>
      <c r="B4" s="10" t="s">
        <v>441</v>
      </c>
      <c r="C4" s="10" t="s">
        <v>442</v>
      </c>
      <c r="D4" s="10" t="s">
        <v>443</v>
      </c>
      <c r="E4" s="10" t="s">
        <v>444</v>
      </c>
      <c r="F4" s="10" t="s">
        <v>445</v>
      </c>
      <c r="G4" s="10" t="s">
        <v>446</v>
      </c>
      <c r="I4" s="11" t="s">
        <v>447</v>
      </c>
    </row>
    <row r="5" customFormat="false" ht="29.85" hidden="false" customHeight="false" outlineLevel="0" collapsed="false">
      <c r="A5" s="12" t="n">
        <v>45383</v>
      </c>
      <c r="B5" s="13" t="s">
        <v>448</v>
      </c>
      <c r="C5" s="14" t="n">
        <v>17542</v>
      </c>
      <c r="D5" s="15" t="n">
        <v>27.4</v>
      </c>
      <c r="E5" s="14" t="n">
        <v>545</v>
      </c>
      <c r="F5" s="15" t="n">
        <v>-1.2</v>
      </c>
      <c r="G5" s="16" t="s">
        <v>449</v>
      </c>
      <c r="I5" s="10" t="s">
        <v>440</v>
      </c>
      <c r="J5" s="10" t="s">
        <v>441</v>
      </c>
      <c r="K5" s="10" t="s">
        <v>443</v>
      </c>
    </row>
    <row r="6" customFormat="false" ht="15" hidden="false" customHeight="false" outlineLevel="0" collapsed="false">
      <c r="A6" s="12" t="n">
        <v>45383</v>
      </c>
      <c r="B6" s="13" t="s">
        <v>450</v>
      </c>
      <c r="C6" s="14" t="n">
        <v>322037</v>
      </c>
      <c r="D6" s="15" t="n">
        <v>45.2</v>
      </c>
      <c r="E6" s="14" t="n">
        <v>11129</v>
      </c>
      <c r="F6" s="15" t="n">
        <v>43.8</v>
      </c>
      <c r="G6" s="16" t="s">
        <v>449</v>
      </c>
      <c r="I6" s="12" t="n">
        <v>45413</v>
      </c>
      <c r="J6" s="13" t="s">
        <v>451</v>
      </c>
      <c r="K6" s="15" t="n">
        <v>45.9</v>
      </c>
    </row>
    <row r="7" customFormat="false" ht="15" hidden="false" customHeight="false" outlineLevel="0" collapsed="false">
      <c r="A7" s="12" t="n">
        <v>45383</v>
      </c>
      <c r="B7" s="13" t="s">
        <v>452</v>
      </c>
      <c r="C7" s="14" t="n">
        <v>188866</v>
      </c>
      <c r="D7" s="15" t="n">
        <v>95.4</v>
      </c>
      <c r="E7" s="14" t="n">
        <v>6494</v>
      </c>
      <c r="F7" s="15" t="n">
        <v>94.8</v>
      </c>
      <c r="G7" s="16" t="s">
        <v>449</v>
      </c>
      <c r="I7" s="12" t="n">
        <v>45413</v>
      </c>
      <c r="J7" s="13" t="s">
        <v>450</v>
      </c>
      <c r="K7" s="15" t="n">
        <v>56.2</v>
      </c>
    </row>
    <row r="8" customFormat="false" ht="15" hidden="false" customHeight="false" outlineLevel="0" collapsed="false">
      <c r="A8" s="12" t="n">
        <v>45383</v>
      </c>
      <c r="B8" s="13" t="s">
        <v>453</v>
      </c>
      <c r="C8" s="14" t="n">
        <v>12280</v>
      </c>
      <c r="D8" s="15" t="n">
        <v>-44.5</v>
      </c>
      <c r="E8" s="14" t="n">
        <v>395</v>
      </c>
      <c r="F8" s="15" t="n">
        <v>-43.9</v>
      </c>
      <c r="G8" s="16" t="s">
        <v>449</v>
      </c>
      <c r="I8" s="12" t="n">
        <v>45413</v>
      </c>
      <c r="J8" s="13" t="s">
        <v>452</v>
      </c>
      <c r="K8" s="15" t="n">
        <v>130.7</v>
      </c>
    </row>
    <row r="9" customFormat="false" ht="15" hidden="false" customHeight="false" outlineLevel="0" collapsed="false">
      <c r="A9" s="12" t="n">
        <v>45383</v>
      </c>
      <c r="B9" s="13" t="s">
        <v>454</v>
      </c>
      <c r="C9" s="14" t="n">
        <v>45082</v>
      </c>
      <c r="D9" s="15" t="n">
        <v>-0.4</v>
      </c>
      <c r="E9" s="14" t="n">
        <v>1611</v>
      </c>
      <c r="F9" s="15" t="n">
        <v>28.9</v>
      </c>
      <c r="G9" s="16" t="s">
        <v>449</v>
      </c>
      <c r="I9" s="12" t="n">
        <v>45413</v>
      </c>
      <c r="J9" s="13" t="s">
        <v>455</v>
      </c>
      <c r="K9" s="15" t="n">
        <v>137.8</v>
      </c>
    </row>
    <row r="10" customFormat="false" ht="15" hidden="false" customHeight="false" outlineLevel="0" collapsed="false">
      <c r="A10" s="12" t="n">
        <v>45383</v>
      </c>
      <c r="B10" s="13" t="s">
        <v>455</v>
      </c>
      <c r="C10" s="14" t="n">
        <v>42838</v>
      </c>
      <c r="D10" s="15" t="n">
        <v>-16.3</v>
      </c>
      <c r="E10" s="14" t="n">
        <v>1188</v>
      </c>
      <c r="F10" s="15" t="n">
        <v>-24.7</v>
      </c>
      <c r="G10" s="16" t="s">
        <v>449</v>
      </c>
      <c r="I10" s="2" t="s">
        <v>456</v>
      </c>
    </row>
    <row r="11" customFormat="false" ht="15" hidden="false" customHeight="false" outlineLevel="0" collapsed="false">
      <c r="A11" s="12" t="n">
        <v>45383</v>
      </c>
      <c r="B11" s="13" t="s">
        <v>451</v>
      </c>
      <c r="C11" s="14" t="n">
        <v>379038</v>
      </c>
      <c r="D11" s="15" t="n">
        <v>28.2</v>
      </c>
      <c r="E11" s="14" t="n">
        <v>12780</v>
      </c>
      <c r="F11" s="15" t="n">
        <v>27.3</v>
      </c>
      <c r="G11" s="16" t="s">
        <v>449</v>
      </c>
    </row>
    <row r="12" customFormat="false" ht="15" hidden="false" customHeight="false" outlineLevel="0" collapsed="false">
      <c r="A12" s="12" t="n">
        <v>45444</v>
      </c>
      <c r="B12" s="13" t="s">
        <v>448</v>
      </c>
      <c r="C12" s="14" t="n">
        <v>16156</v>
      </c>
      <c r="D12" s="15" t="n">
        <v>13.8</v>
      </c>
      <c r="E12" s="14" t="n">
        <v>426</v>
      </c>
      <c r="F12" s="15" t="n">
        <v>-30</v>
      </c>
      <c r="G12" s="16" t="s">
        <v>457</v>
      </c>
    </row>
    <row r="13" customFormat="false" ht="15" hidden="false" customHeight="false" outlineLevel="0" collapsed="false">
      <c r="A13" s="12" t="n">
        <v>45444</v>
      </c>
      <c r="B13" s="13" t="s">
        <v>450</v>
      </c>
      <c r="C13" s="14" t="n">
        <v>338211</v>
      </c>
      <c r="D13" s="15" t="n">
        <v>42.9</v>
      </c>
      <c r="E13" s="14" t="n">
        <v>11035</v>
      </c>
      <c r="F13" s="15" t="n">
        <v>28.5</v>
      </c>
      <c r="G13" s="16" t="s">
        <v>457</v>
      </c>
    </row>
    <row r="14" customFormat="false" ht="15" hidden="false" customHeight="false" outlineLevel="0" collapsed="false">
      <c r="A14" s="12" t="n">
        <v>45444</v>
      </c>
      <c r="B14" s="13" t="s">
        <v>452</v>
      </c>
      <c r="C14" s="14" t="n">
        <v>192584</v>
      </c>
      <c r="D14" s="15" t="n">
        <v>47.7</v>
      </c>
      <c r="E14" s="14" t="n">
        <v>6249</v>
      </c>
      <c r="F14" s="15" t="n">
        <v>30.5</v>
      </c>
      <c r="G14" s="16" t="s">
        <v>457</v>
      </c>
    </row>
    <row r="15" customFormat="false" ht="15" hidden="false" customHeight="false" outlineLevel="0" collapsed="false">
      <c r="A15" s="12" t="n">
        <v>45444</v>
      </c>
      <c r="B15" s="13" t="s">
        <v>453</v>
      </c>
      <c r="C15" s="14" t="n">
        <v>10419</v>
      </c>
      <c r="D15" s="15" t="n">
        <v>-48.7</v>
      </c>
      <c r="E15" s="14" t="n">
        <v>280</v>
      </c>
      <c r="F15" s="15" t="n">
        <v>-49.7</v>
      </c>
      <c r="G15" s="16" t="s">
        <v>457</v>
      </c>
    </row>
    <row r="16" customFormat="false" ht="15" hidden="false" customHeight="false" outlineLevel="0" collapsed="false">
      <c r="A16" s="12" t="n">
        <v>45444</v>
      </c>
      <c r="B16" s="13" t="s">
        <v>454</v>
      </c>
      <c r="C16" s="14" t="n">
        <v>54349</v>
      </c>
      <c r="D16" s="15" t="n">
        <v>7.6</v>
      </c>
      <c r="E16" s="14" t="n">
        <v>1963</v>
      </c>
      <c r="F16" s="15" t="n">
        <v>42.6</v>
      </c>
      <c r="G16" s="16" t="s">
        <v>457</v>
      </c>
    </row>
    <row r="17" customFormat="false" ht="15" hidden="false" customHeight="false" outlineLevel="0" collapsed="false">
      <c r="A17" s="12" t="n">
        <v>45444</v>
      </c>
      <c r="B17" s="13" t="s">
        <v>455</v>
      </c>
      <c r="C17" s="14" t="n">
        <v>47981</v>
      </c>
      <c r="D17" s="15" t="n">
        <v>58.4</v>
      </c>
      <c r="E17" s="14" t="n">
        <v>1018</v>
      </c>
      <c r="F17" s="15" t="n">
        <v>18.2</v>
      </c>
      <c r="G17" s="16" t="s">
        <v>457</v>
      </c>
    </row>
    <row r="18" customFormat="false" ht="15" hidden="false" customHeight="false" outlineLevel="0" collapsed="false">
      <c r="A18" s="12" t="n">
        <v>45444</v>
      </c>
      <c r="B18" s="13" t="s">
        <v>451</v>
      </c>
      <c r="C18" s="14" t="n">
        <v>397166</v>
      </c>
      <c r="D18" s="15" t="n">
        <v>37.9</v>
      </c>
      <c r="E18" s="14" t="n">
        <v>12343</v>
      </c>
      <c r="F18" s="15" t="n">
        <v>23</v>
      </c>
      <c r="G18" s="16" t="s">
        <v>457</v>
      </c>
    </row>
    <row r="19" customFormat="false" ht="15" hidden="false" customHeight="false" outlineLevel="0" collapsed="false">
      <c r="A19" s="12" t="n">
        <v>45474</v>
      </c>
      <c r="B19" s="13" t="s">
        <v>448</v>
      </c>
      <c r="C19" s="14" t="n">
        <v>19766</v>
      </c>
      <c r="D19" s="15" t="n">
        <v>35.4</v>
      </c>
      <c r="E19" s="14" t="n">
        <v>564</v>
      </c>
      <c r="F19" s="15" t="n">
        <v>-14.4</v>
      </c>
      <c r="G19" s="16" t="s">
        <v>458</v>
      </c>
    </row>
    <row r="20" customFormat="false" ht="15" hidden="false" customHeight="false" outlineLevel="0" collapsed="false">
      <c r="A20" s="12" t="n">
        <v>45474</v>
      </c>
      <c r="B20" s="13" t="s">
        <v>450</v>
      </c>
      <c r="C20" s="14" t="n">
        <v>314213</v>
      </c>
      <c r="D20" s="15" t="n">
        <v>32.6</v>
      </c>
      <c r="E20" s="14" t="n">
        <v>9989</v>
      </c>
      <c r="F20" s="15" t="n">
        <v>-2.3</v>
      </c>
      <c r="G20" s="16" t="s">
        <v>458</v>
      </c>
    </row>
    <row r="21" customFormat="false" ht="15" hidden="false" customHeight="false" outlineLevel="0" collapsed="false">
      <c r="A21" s="12" t="n">
        <v>45474</v>
      </c>
      <c r="B21" s="13" t="s">
        <v>452</v>
      </c>
      <c r="C21" s="14" t="n">
        <v>163858</v>
      </c>
      <c r="D21" s="15" t="n">
        <v>16.6</v>
      </c>
      <c r="E21" s="14" t="n">
        <v>5287</v>
      </c>
      <c r="F21" s="15" t="n">
        <v>-19.1</v>
      </c>
      <c r="G21" s="16" t="s">
        <v>458</v>
      </c>
    </row>
    <row r="22" customFormat="false" ht="15" hidden="false" customHeight="false" outlineLevel="0" collapsed="false">
      <c r="A22" s="12" t="n">
        <v>45474</v>
      </c>
      <c r="B22" s="13" t="s">
        <v>453</v>
      </c>
      <c r="C22" s="14" t="n">
        <v>8783</v>
      </c>
      <c r="D22" s="15" t="n">
        <v>-49.1</v>
      </c>
      <c r="E22" s="14" t="n">
        <v>261</v>
      </c>
      <c r="F22" s="15" t="n">
        <v>-56.9</v>
      </c>
      <c r="G22" s="16" t="s">
        <v>458</v>
      </c>
    </row>
    <row r="23" customFormat="false" ht="15" hidden="false" customHeight="false" outlineLevel="0" collapsed="false">
      <c r="A23" s="12" t="n">
        <v>45474</v>
      </c>
      <c r="B23" s="13" t="s">
        <v>454</v>
      </c>
      <c r="C23" s="14" t="n">
        <v>51193</v>
      </c>
      <c r="D23" s="15" t="n">
        <v>16.2</v>
      </c>
      <c r="E23" s="14" t="n">
        <v>1565</v>
      </c>
      <c r="F23" s="15" t="n">
        <v>-0.5</v>
      </c>
      <c r="G23" s="16" t="s">
        <v>458</v>
      </c>
    </row>
    <row r="24" customFormat="false" ht="15" hidden="false" customHeight="false" outlineLevel="0" collapsed="false">
      <c r="A24" s="12" t="n">
        <v>45474</v>
      </c>
      <c r="B24" s="13" t="s">
        <v>455</v>
      </c>
      <c r="C24" s="14" t="n">
        <v>43964</v>
      </c>
      <c r="D24" s="15" t="n">
        <v>30.8</v>
      </c>
      <c r="E24" s="14" t="n">
        <v>1034</v>
      </c>
      <c r="F24" s="15" t="n">
        <v>16.2</v>
      </c>
      <c r="G24" s="16" t="s">
        <v>458</v>
      </c>
    </row>
    <row r="25" customFormat="false" ht="15" hidden="false" customHeight="false" outlineLevel="0" collapsed="false">
      <c r="A25" s="12" t="n">
        <v>45474</v>
      </c>
      <c r="B25" s="13" t="s">
        <v>451</v>
      </c>
      <c r="C25" s="14" t="n">
        <v>368544</v>
      </c>
      <c r="D25" s="15" t="n">
        <v>27.8</v>
      </c>
      <c r="E25" s="14" t="n">
        <v>11360</v>
      </c>
      <c r="F25" s="15" t="n">
        <v>-3.2</v>
      </c>
      <c r="G25" s="16" t="s">
        <v>458</v>
      </c>
    </row>
    <row r="26" customFormat="false" ht="15" hidden="false" customHeight="false" outlineLevel="0" collapsed="false">
      <c r="A26" s="12" t="n">
        <v>45505</v>
      </c>
      <c r="B26" s="13" t="s">
        <v>448</v>
      </c>
      <c r="C26" s="14" t="n">
        <v>20870</v>
      </c>
      <c r="D26" s="15" t="n">
        <v>49.7</v>
      </c>
      <c r="E26" s="14" t="n">
        <v>474</v>
      </c>
      <c r="F26" s="15" t="n">
        <v>-9.9</v>
      </c>
      <c r="G26" s="16" t="s">
        <v>459</v>
      </c>
    </row>
    <row r="27" customFormat="false" ht="15" hidden="false" customHeight="false" outlineLevel="0" collapsed="false">
      <c r="A27" s="12" t="n">
        <v>45505</v>
      </c>
      <c r="B27" s="13" t="s">
        <v>450</v>
      </c>
      <c r="C27" s="14" t="n">
        <v>293075</v>
      </c>
      <c r="D27" s="15" t="n">
        <v>63.9</v>
      </c>
      <c r="E27" s="14" t="n">
        <v>10153</v>
      </c>
      <c r="F27" s="15" t="n">
        <v>45.1</v>
      </c>
      <c r="G27" s="16" t="s">
        <v>459</v>
      </c>
    </row>
    <row r="28" customFormat="false" ht="15" hidden="false" customHeight="false" outlineLevel="0" collapsed="false">
      <c r="A28" s="12" t="n">
        <v>45505</v>
      </c>
      <c r="B28" s="13" t="s">
        <v>452</v>
      </c>
      <c r="C28" s="14" t="n">
        <v>179927</v>
      </c>
      <c r="D28" s="15" t="n">
        <v>61.6</v>
      </c>
      <c r="E28" s="14" t="n">
        <v>6742</v>
      </c>
      <c r="F28" s="15" t="n">
        <v>41</v>
      </c>
      <c r="G28" s="16" t="s">
        <v>459</v>
      </c>
    </row>
    <row r="29" customFormat="false" ht="15" hidden="false" customHeight="false" outlineLevel="0" collapsed="false">
      <c r="A29" s="12" t="n">
        <v>45505</v>
      </c>
      <c r="B29" s="13" t="s">
        <v>453</v>
      </c>
      <c r="C29" s="14" t="n">
        <v>11618</v>
      </c>
      <c r="D29" s="15" t="n">
        <v>-17</v>
      </c>
      <c r="E29" s="14" t="n">
        <v>255</v>
      </c>
      <c r="F29" s="15" t="n">
        <v>-41</v>
      </c>
      <c r="G29" s="16" t="s">
        <v>459</v>
      </c>
    </row>
    <row r="30" customFormat="false" ht="15" hidden="false" customHeight="false" outlineLevel="0" collapsed="false">
      <c r="A30" s="12" t="n">
        <v>45505</v>
      </c>
      <c r="B30" s="13" t="s">
        <v>454</v>
      </c>
      <c r="C30" s="14" t="n">
        <v>44878</v>
      </c>
      <c r="D30" s="15" t="n">
        <v>54.5</v>
      </c>
      <c r="E30" s="14" t="n">
        <v>1339</v>
      </c>
      <c r="F30" s="15" t="n">
        <v>74.2</v>
      </c>
      <c r="G30" s="16" t="s">
        <v>459</v>
      </c>
    </row>
    <row r="31" customFormat="false" ht="15" hidden="false" customHeight="false" outlineLevel="0" collapsed="false">
      <c r="A31" s="12" t="n">
        <v>45505</v>
      </c>
      <c r="B31" s="13" t="s">
        <v>455</v>
      </c>
      <c r="C31" s="14" t="n">
        <v>37317</v>
      </c>
      <c r="D31" s="15" t="n">
        <v>41.4</v>
      </c>
      <c r="E31" s="14" t="n">
        <v>908</v>
      </c>
      <c r="F31" s="15" t="n">
        <v>55.8</v>
      </c>
      <c r="G31" s="16" t="s">
        <v>459</v>
      </c>
    </row>
    <row r="32" customFormat="false" ht="15" hidden="false" customHeight="false" outlineLevel="0" collapsed="false">
      <c r="A32" s="12" t="n">
        <v>45505</v>
      </c>
      <c r="B32" s="13" t="s">
        <v>451</v>
      </c>
      <c r="C32" s="14" t="n">
        <v>342924</v>
      </c>
      <c r="D32" s="15" t="n">
        <v>55.2</v>
      </c>
      <c r="E32" s="14" t="n">
        <v>11409</v>
      </c>
      <c r="F32" s="15" t="n">
        <v>41.3</v>
      </c>
      <c r="G32" s="16" t="s">
        <v>459</v>
      </c>
    </row>
    <row r="33" customFormat="false" ht="15" hidden="false" customHeight="false" outlineLevel="0" collapsed="false">
      <c r="A33" s="12" t="n">
        <v>45536</v>
      </c>
      <c r="B33" s="13" t="s">
        <v>448</v>
      </c>
      <c r="C33" s="14" t="n">
        <v>27540</v>
      </c>
      <c r="D33" s="15" t="n">
        <v>57.7</v>
      </c>
      <c r="E33" s="14" t="n">
        <v>593</v>
      </c>
      <c r="F33" s="15" t="n">
        <v>-13.7</v>
      </c>
      <c r="G33" s="16" t="s">
        <v>460</v>
      </c>
    </row>
    <row r="34" customFormat="false" ht="15" hidden="false" customHeight="false" outlineLevel="0" collapsed="false">
      <c r="A34" s="12" t="n">
        <v>45536</v>
      </c>
      <c r="B34" s="13" t="s">
        <v>450</v>
      </c>
      <c r="C34" s="14" t="n">
        <v>327248</v>
      </c>
      <c r="D34" s="15" t="n">
        <v>24.2</v>
      </c>
      <c r="E34" s="14" t="n">
        <v>10402</v>
      </c>
      <c r="F34" s="15" t="n">
        <v>13.9</v>
      </c>
      <c r="G34" s="16" t="s">
        <v>460</v>
      </c>
    </row>
    <row r="35" customFormat="false" ht="15" hidden="false" customHeight="false" outlineLevel="0" collapsed="false">
      <c r="A35" s="12" t="n">
        <v>45536</v>
      </c>
      <c r="B35" s="13" t="s">
        <v>452</v>
      </c>
      <c r="C35" s="14" t="n">
        <v>194671</v>
      </c>
      <c r="D35" s="15" t="n">
        <v>16.8</v>
      </c>
      <c r="E35" s="14" t="n">
        <v>6314</v>
      </c>
      <c r="F35" s="15" t="n">
        <v>4.3</v>
      </c>
      <c r="G35" s="16" t="s">
        <v>460</v>
      </c>
    </row>
    <row r="36" customFormat="false" ht="15" hidden="false" customHeight="false" outlineLevel="0" collapsed="false">
      <c r="A36" s="12" t="n">
        <v>45536</v>
      </c>
      <c r="B36" s="13" t="s">
        <v>453</v>
      </c>
      <c r="C36" s="14" t="n">
        <v>10166</v>
      </c>
      <c r="D36" s="15" t="n">
        <v>-39.2</v>
      </c>
      <c r="E36" s="14" t="n">
        <v>288</v>
      </c>
      <c r="F36" s="15" t="n">
        <v>-42.1</v>
      </c>
      <c r="G36" s="16" t="s">
        <v>460</v>
      </c>
    </row>
    <row r="37" customFormat="false" ht="15" hidden="false" customHeight="false" outlineLevel="0" collapsed="false">
      <c r="A37" s="12" t="n">
        <v>45536</v>
      </c>
      <c r="B37" s="13" t="s">
        <v>454</v>
      </c>
      <c r="C37" s="14" t="n">
        <v>48086</v>
      </c>
      <c r="D37" s="15" t="n">
        <v>7.7</v>
      </c>
      <c r="E37" s="14" t="n">
        <v>1595</v>
      </c>
      <c r="F37" s="15" t="n">
        <v>58.8</v>
      </c>
      <c r="G37" s="16" t="s">
        <v>460</v>
      </c>
    </row>
    <row r="38" customFormat="false" ht="15" hidden="false" customHeight="false" outlineLevel="0" collapsed="false">
      <c r="A38" s="12" t="n">
        <v>45536</v>
      </c>
      <c r="B38" s="13" t="s">
        <v>455</v>
      </c>
      <c r="C38" s="14" t="n">
        <v>58420</v>
      </c>
      <c r="D38" s="15" t="n">
        <v>74.5</v>
      </c>
      <c r="E38" s="14" t="n">
        <v>1403</v>
      </c>
      <c r="F38" s="15" t="n">
        <v>59.5</v>
      </c>
      <c r="G38" s="16" t="s">
        <v>460</v>
      </c>
    </row>
    <row r="39" customFormat="false" ht="15" hidden="false" customHeight="false" outlineLevel="0" collapsed="false">
      <c r="A39" s="12" t="n">
        <v>45536</v>
      </c>
      <c r="B39" s="13" t="s">
        <v>451</v>
      </c>
      <c r="C39" s="14" t="n">
        <v>397027</v>
      </c>
      <c r="D39" s="15" t="n">
        <v>26.3</v>
      </c>
      <c r="E39" s="14" t="n">
        <v>12223</v>
      </c>
      <c r="F39" s="15" t="n">
        <v>15.9</v>
      </c>
      <c r="G39" s="16" t="s">
        <v>460</v>
      </c>
    </row>
    <row r="40" customFormat="false" ht="15" hidden="false" customHeight="false" outlineLevel="0" collapsed="false">
      <c r="A40" s="12" t="n">
        <v>45566</v>
      </c>
      <c r="B40" s="13" t="s">
        <v>448</v>
      </c>
      <c r="C40" s="14" t="n">
        <v>31488</v>
      </c>
      <c r="D40" s="15" t="n">
        <v>118.9</v>
      </c>
      <c r="E40" s="14" t="n">
        <v>895</v>
      </c>
      <c r="F40" s="15" t="n">
        <v>58.5</v>
      </c>
      <c r="G40" s="16" t="s">
        <v>461</v>
      </c>
    </row>
    <row r="41" customFormat="false" ht="15" hidden="false" customHeight="false" outlineLevel="0" collapsed="false">
      <c r="A41" s="12" t="n">
        <v>45566</v>
      </c>
      <c r="B41" s="13" t="s">
        <v>450</v>
      </c>
      <c r="C41" s="14" t="n">
        <v>335917</v>
      </c>
      <c r="D41" s="15" t="n">
        <v>53.5</v>
      </c>
      <c r="E41" s="14" t="n">
        <v>11050</v>
      </c>
      <c r="F41" s="15" t="n">
        <v>27.8</v>
      </c>
      <c r="G41" s="16" t="s">
        <v>461</v>
      </c>
    </row>
    <row r="42" customFormat="false" ht="15" hidden="false" customHeight="false" outlineLevel="0" collapsed="false">
      <c r="A42" s="12" t="n">
        <v>45566</v>
      </c>
      <c r="B42" s="13" t="s">
        <v>452</v>
      </c>
      <c r="C42" s="14" t="n">
        <v>184041</v>
      </c>
      <c r="D42" s="15" t="n">
        <v>33.4</v>
      </c>
      <c r="E42" s="14" t="n">
        <v>6213</v>
      </c>
      <c r="F42" s="15" t="n">
        <v>11.6</v>
      </c>
      <c r="G42" s="16" t="s">
        <v>461</v>
      </c>
    </row>
    <row r="43" customFormat="false" ht="15" hidden="false" customHeight="false" outlineLevel="0" collapsed="false">
      <c r="A43" s="12" t="n">
        <v>45566</v>
      </c>
      <c r="B43" s="13" t="s">
        <v>453</v>
      </c>
      <c r="C43" s="14" t="n">
        <v>13181</v>
      </c>
      <c r="D43" s="15" t="n">
        <v>-20.7</v>
      </c>
      <c r="E43" s="14" t="n">
        <v>367</v>
      </c>
      <c r="F43" s="15" t="n">
        <v>-35.7</v>
      </c>
      <c r="G43" s="16" t="s">
        <v>461</v>
      </c>
    </row>
    <row r="44" customFormat="false" ht="15" hidden="false" customHeight="false" outlineLevel="0" collapsed="false">
      <c r="A44" s="12" t="n">
        <v>45566</v>
      </c>
      <c r="B44" s="13" t="s">
        <v>454</v>
      </c>
      <c r="C44" s="14" t="n">
        <v>62755</v>
      </c>
      <c r="D44" s="15" t="n">
        <v>124.6</v>
      </c>
      <c r="E44" s="14" t="n">
        <v>1836</v>
      </c>
      <c r="F44" s="15" t="n">
        <v>94.3</v>
      </c>
      <c r="G44" s="16" t="s">
        <v>461</v>
      </c>
    </row>
    <row r="45" customFormat="false" ht="15" hidden="false" customHeight="false" outlineLevel="0" collapsed="false">
      <c r="A45" s="12" t="n">
        <v>45566</v>
      </c>
      <c r="B45" s="13" t="s">
        <v>455</v>
      </c>
      <c r="C45" s="14" t="n">
        <v>57584</v>
      </c>
      <c r="D45" s="15" t="n">
        <v>15.2</v>
      </c>
      <c r="E45" s="14" t="n">
        <v>1217</v>
      </c>
      <c r="F45" s="15" t="n">
        <v>7.8</v>
      </c>
      <c r="G45" s="16" t="s">
        <v>461</v>
      </c>
    </row>
    <row r="46" customFormat="false" ht="15" hidden="false" customHeight="false" outlineLevel="0" collapsed="false">
      <c r="A46" s="12" t="n">
        <v>45566</v>
      </c>
      <c r="B46" s="13" t="s">
        <v>451</v>
      </c>
      <c r="C46" s="14" t="n">
        <v>407598</v>
      </c>
      <c r="D46" s="15" t="n">
        <v>42.6</v>
      </c>
      <c r="E46" s="14" t="n">
        <v>12677</v>
      </c>
      <c r="F46" s="15" t="n">
        <v>22.4</v>
      </c>
      <c r="G46" s="16" t="s">
        <v>461</v>
      </c>
    </row>
    <row r="47" customFormat="false" ht="15" hidden="false" customHeight="false" outlineLevel="0" collapsed="false">
      <c r="A47" s="12" t="n">
        <v>45597</v>
      </c>
      <c r="B47" s="13" t="s">
        <v>448</v>
      </c>
      <c r="C47" s="14" t="n">
        <v>21186</v>
      </c>
      <c r="D47" s="15" t="n">
        <v>47.5</v>
      </c>
      <c r="E47" s="14" t="n">
        <v>500</v>
      </c>
      <c r="F47" s="15" t="n">
        <v>5.9</v>
      </c>
      <c r="G47" s="16" t="s">
        <v>462</v>
      </c>
    </row>
    <row r="48" customFormat="false" ht="15" hidden="false" customHeight="false" outlineLevel="0" collapsed="false">
      <c r="A48" s="12" t="n">
        <v>45597</v>
      </c>
      <c r="B48" s="13" t="s">
        <v>450</v>
      </c>
      <c r="C48" s="14" t="n">
        <v>322003</v>
      </c>
      <c r="D48" s="15" t="n">
        <v>36.8</v>
      </c>
      <c r="E48" s="14" t="n">
        <v>10225</v>
      </c>
      <c r="F48" s="15" t="n">
        <v>11.5</v>
      </c>
      <c r="G48" s="16" t="s">
        <v>462</v>
      </c>
    </row>
    <row r="49" customFormat="false" ht="15" hidden="false" customHeight="false" outlineLevel="0" collapsed="false">
      <c r="A49" s="12" t="n">
        <v>45597</v>
      </c>
      <c r="B49" s="13" t="s">
        <v>452</v>
      </c>
      <c r="C49" s="14" t="n">
        <v>164134</v>
      </c>
      <c r="D49" s="15" t="n">
        <v>4.2</v>
      </c>
      <c r="E49" s="14" t="n">
        <v>5178</v>
      </c>
      <c r="F49" s="15" t="n">
        <v>-19.7</v>
      </c>
      <c r="G49" s="16" t="s">
        <v>462</v>
      </c>
    </row>
    <row r="50" customFormat="false" ht="15" hidden="false" customHeight="false" outlineLevel="0" collapsed="false">
      <c r="A50" s="12" t="n">
        <v>45597</v>
      </c>
      <c r="B50" s="13" t="s">
        <v>453</v>
      </c>
      <c r="C50" s="14" t="n">
        <v>9276</v>
      </c>
      <c r="D50" s="15" t="n">
        <v>-18.8</v>
      </c>
      <c r="E50" s="14" t="n">
        <v>253</v>
      </c>
      <c r="F50" s="15" t="n">
        <v>-15.4</v>
      </c>
      <c r="G50" s="16" t="s">
        <v>462</v>
      </c>
    </row>
    <row r="51" customFormat="false" ht="15" hidden="false" customHeight="false" outlineLevel="0" collapsed="false">
      <c r="A51" s="12" t="n">
        <v>45597</v>
      </c>
      <c r="B51" s="13" t="s">
        <v>454</v>
      </c>
      <c r="C51" s="14" t="n">
        <v>55648</v>
      </c>
      <c r="D51" s="15" t="n">
        <v>89.9</v>
      </c>
      <c r="E51" s="14" t="n">
        <v>1744</v>
      </c>
      <c r="F51" s="15" t="n">
        <v>91.8</v>
      </c>
      <c r="G51" s="16" t="s">
        <v>462</v>
      </c>
    </row>
    <row r="52" customFormat="false" ht="15" hidden="false" customHeight="false" outlineLevel="0" collapsed="false">
      <c r="A52" s="12" t="n">
        <v>45597</v>
      </c>
      <c r="B52" s="13" t="s">
        <v>455</v>
      </c>
      <c r="C52" s="14" t="n">
        <v>42000</v>
      </c>
      <c r="D52" s="15" t="n">
        <v>17.6</v>
      </c>
      <c r="E52" s="14" t="n">
        <v>1046</v>
      </c>
      <c r="F52" s="15" t="n">
        <v>34.6</v>
      </c>
      <c r="G52" s="16" t="s">
        <v>462</v>
      </c>
    </row>
    <row r="53" customFormat="false" ht="15" hidden="false" customHeight="false" outlineLevel="0" collapsed="false">
      <c r="A53" s="12" t="n">
        <v>45597</v>
      </c>
      <c r="B53" s="13" t="s">
        <v>451</v>
      </c>
      <c r="C53" s="14" t="n">
        <v>374360</v>
      </c>
      <c r="D53" s="15" t="n">
        <v>32.1</v>
      </c>
      <c r="E53" s="14" t="n">
        <v>11560</v>
      </c>
      <c r="F53" s="15" t="n">
        <v>12.5</v>
      </c>
      <c r="G53" s="16" t="s">
        <v>462</v>
      </c>
    </row>
    <row r="54" customFormat="false" ht="15" hidden="false" customHeight="false" outlineLevel="0" collapsed="false">
      <c r="A54" s="12" t="n">
        <v>45627</v>
      </c>
      <c r="B54" s="13" t="s">
        <v>448</v>
      </c>
      <c r="C54" s="14" t="n">
        <v>27080</v>
      </c>
      <c r="D54" s="15" t="n">
        <v>34</v>
      </c>
      <c r="E54" s="14" t="n">
        <v>773</v>
      </c>
      <c r="F54" s="15" t="n">
        <v>23.6</v>
      </c>
      <c r="G54" s="16" t="s">
        <v>463</v>
      </c>
    </row>
    <row r="55" customFormat="false" ht="15" hidden="false" customHeight="false" outlineLevel="0" collapsed="false">
      <c r="A55" s="12" t="n">
        <v>45627</v>
      </c>
      <c r="B55" s="13" t="s">
        <v>450</v>
      </c>
      <c r="C55" s="14" t="n">
        <v>392832</v>
      </c>
      <c r="D55" s="15" t="n">
        <v>11.2</v>
      </c>
      <c r="E55" s="14" t="n">
        <v>11160</v>
      </c>
      <c r="F55" s="15" t="n">
        <v>-7.7</v>
      </c>
      <c r="G55" s="16" t="s">
        <v>463</v>
      </c>
    </row>
    <row r="56" customFormat="false" ht="15" hidden="false" customHeight="false" outlineLevel="0" collapsed="false">
      <c r="A56" s="12" t="n">
        <v>45627</v>
      </c>
      <c r="B56" s="13" t="s">
        <v>452</v>
      </c>
      <c r="C56" s="14" t="n">
        <v>199284</v>
      </c>
      <c r="D56" s="15" t="n">
        <v>-10.4</v>
      </c>
      <c r="E56" s="14" t="n">
        <v>5637</v>
      </c>
      <c r="F56" s="15" t="n">
        <v>-28.2</v>
      </c>
      <c r="G56" s="16" t="s">
        <v>463</v>
      </c>
    </row>
    <row r="57" customFormat="false" ht="15" hidden="false" customHeight="false" outlineLevel="0" collapsed="false">
      <c r="A57" s="12" t="n">
        <v>45627</v>
      </c>
      <c r="B57" s="13" t="s">
        <v>453</v>
      </c>
      <c r="C57" s="14" t="n">
        <v>13060</v>
      </c>
      <c r="D57" s="15" t="n">
        <v>9.5</v>
      </c>
      <c r="E57" s="14" t="n">
        <v>417</v>
      </c>
      <c r="F57" s="15" t="n">
        <v>7.4</v>
      </c>
      <c r="G57" s="16" t="s">
        <v>463</v>
      </c>
    </row>
    <row r="58" customFormat="false" ht="15" hidden="false" customHeight="false" outlineLevel="0" collapsed="false">
      <c r="A58" s="12" t="n">
        <v>45627</v>
      </c>
      <c r="B58" s="13" t="s">
        <v>454</v>
      </c>
      <c r="C58" s="14" t="n">
        <v>69625</v>
      </c>
      <c r="D58" s="15" t="n">
        <v>20.7</v>
      </c>
      <c r="E58" s="14" t="n">
        <v>1785</v>
      </c>
      <c r="F58" s="15" t="n">
        <v>7.8</v>
      </c>
      <c r="G58" s="16" t="s">
        <v>463</v>
      </c>
    </row>
    <row r="59" customFormat="false" ht="15" hidden="false" customHeight="false" outlineLevel="0" collapsed="false">
      <c r="A59" s="12" t="n">
        <v>45627</v>
      </c>
      <c r="B59" s="13" t="s">
        <v>455</v>
      </c>
      <c r="C59" s="14" t="n">
        <v>41659</v>
      </c>
      <c r="D59" s="15" t="n">
        <v>2.2</v>
      </c>
      <c r="E59" s="14" t="n">
        <v>990</v>
      </c>
      <c r="F59" s="15" t="n">
        <v>7.3</v>
      </c>
      <c r="G59" s="16" t="s">
        <v>463</v>
      </c>
    </row>
    <row r="60" customFormat="false" ht="15" hidden="false" customHeight="false" outlineLevel="0" collapsed="false">
      <c r="A60" s="12" t="n">
        <v>45627</v>
      </c>
      <c r="B60" s="13" t="s">
        <v>451</v>
      </c>
      <c r="C60" s="14" t="n">
        <v>450261</v>
      </c>
      <c r="D60" s="15" t="n">
        <v>10.6</v>
      </c>
      <c r="E60" s="14" t="n">
        <v>12644</v>
      </c>
      <c r="F60" s="15" t="n">
        <v>-5.9</v>
      </c>
      <c r="G60" s="16" t="s">
        <v>463</v>
      </c>
    </row>
    <row r="61" customFormat="false" ht="15" hidden="false" customHeight="false" outlineLevel="0" collapsed="false">
      <c r="A61" s="12" t="n">
        <v>45658</v>
      </c>
      <c r="B61" s="13" t="s">
        <v>448</v>
      </c>
      <c r="C61" s="14" t="n">
        <v>19045</v>
      </c>
      <c r="D61" s="15" t="n">
        <v>1.5</v>
      </c>
      <c r="E61" s="14" t="n">
        <v>529</v>
      </c>
      <c r="F61" s="15" t="n">
        <v>-14.8</v>
      </c>
      <c r="G61" s="16" t="s">
        <v>464</v>
      </c>
    </row>
    <row r="62" customFormat="false" ht="15" hidden="false" customHeight="false" outlineLevel="0" collapsed="false">
      <c r="A62" s="12" t="n">
        <v>45658</v>
      </c>
      <c r="B62" s="13" t="s">
        <v>450</v>
      </c>
      <c r="C62" s="14" t="n">
        <v>249060</v>
      </c>
      <c r="D62" s="15" t="n">
        <v>3.2</v>
      </c>
      <c r="E62" s="14" t="n">
        <v>7704</v>
      </c>
      <c r="F62" s="15" t="n">
        <v>-12</v>
      </c>
      <c r="G62" s="16" t="s">
        <v>464</v>
      </c>
    </row>
    <row r="63" customFormat="false" ht="15" hidden="false" customHeight="false" outlineLevel="0" collapsed="false">
      <c r="A63" s="12" t="n">
        <v>45658</v>
      </c>
      <c r="B63" s="13" t="s">
        <v>452</v>
      </c>
      <c r="C63" s="14" t="n">
        <v>98287</v>
      </c>
      <c r="D63" s="15" t="n">
        <v>-20.8</v>
      </c>
      <c r="E63" s="14" t="n">
        <v>3515</v>
      </c>
      <c r="F63" s="15" t="n">
        <v>-32</v>
      </c>
      <c r="G63" s="16" t="s">
        <v>464</v>
      </c>
    </row>
    <row r="64" customFormat="false" ht="15" hidden="false" customHeight="false" outlineLevel="0" collapsed="false">
      <c r="A64" s="12" t="n">
        <v>45658</v>
      </c>
      <c r="B64" s="13" t="s">
        <v>453</v>
      </c>
      <c r="C64" s="14" t="n">
        <v>8960</v>
      </c>
      <c r="D64" s="15" t="n">
        <v>-30.6</v>
      </c>
      <c r="E64" s="14" t="n">
        <v>232</v>
      </c>
      <c r="F64" s="15" t="n">
        <v>-32</v>
      </c>
      <c r="G64" s="16" t="s">
        <v>464</v>
      </c>
    </row>
    <row r="65" customFormat="false" ht="15" hidden="false" customHeight="false" outlineLevel="0" collapsed="false">
      <c r="A65" s="12" t="n">
        <v>45658</v>
      </c>
      <c r="B65" s="13" t="s">
        <v>454</v>
      </c>
      <c r="C65" s="14" t="n">
        <v>50582</v>
      </c>
      <c r="D65" s="15" t="n">
        <v>-15.5</v>
      </c>
      <c r="E65" s="14" t="n">
        <v>1286</v>
      </c>
      <c r="F65" s="15" t="n">
        <v>-21.4</v>
      </c>
      <c r="G65" s="16" t="s">
        <v>464</v>
      </c>
    </row>
    <row r="66" customFormat="false" ht="15" hidden="false" customHeight="false" outlineLevel="0" collapsed="false">
      <c r="A66" s="12" t="n">
        <v>45658</v>
      </c>
      <c r="B66" s="13" t="s">
        <v>455</v>
      </c>
      <c r="C66" s="14" t="n">
        <v>28896</v>
      </c>
      <c r="D66" s="15" t="n">
        <v>-20.2</v>
      </c>
      <c r="E66" s="14" t="n">
        <v>560</v>
      </c>
      <c r="F66" s="15" t="n">
        <v>-39.7</v>
      </c>
      <c r="G66" s="16" t="s">
        <v>464</v>
      </c>
    </row>
    <row r="67" customFormat="false" ht="15" hidden="false" customHeight="false" outlineLevel="0" collapsed="false">
      <c r="A67" s="12" t="n">
        <v>45658</v>
      </c>
      <c r="B67" s="13" t="s">
        <v>451</v>
      </c>
      <c r="C67" s="14" t="n">
        <v>287930</v>
      </c>
      <c r="D67" s="15" t="n">
        <v>-1.1</v>
      </c>
      <c r="E67" s="14" t="n">
        <v>8520</v>
      </c>
      <c r="F67" s="15" t="n">
        <v>-15.2</v>
      </c>
      <c r="G67" s="16" t="s">
        <v>464</v>
      </c>
    </row>
    <row r="68" customFormat="false" ht="15" hidden="false" customHeight="false" outlineLevel="0" collapsed="false">
      <c r="A68" s="12" t="n">
        <v>45689</v>
      </c>
      <c r="B68" s="13" t="s">
        <v>448</v>
      </c>
      <c r="C68" s="14" t="n">
        <v>26523</v>
      </c>
      <c r="D68" s="15" t="n">
        <v>78.3</v>
      </c>
      <c r="E68" s="14" t="n">
        <v>666</v>
      </c>
      <c r="F68" s="15" t="n">
        <v>44.9</v>
      </c>
      <c r="G68" s="16" t="s">
        <v>465</v>
      </c>
    </row>
    <row r="69" customFormat="false" ht="15" hidden="false" customHeight="false" outlineLevel="0" collapsed="false">
      <c r="A69" s="12" t="n">
        <v>45689</v>
      </c>
      <c r="B69" s="13" t="s">
        <v>450</v>
      </c>
      <c r="C69" s="14" t="n">
        <v>355059</v>
      </c>
      <c r="D69" s="15" t="n">
        <v>35.9</v>
      </c>
      <c r="E69" s="14" t="n">
        <v>11185</v>
      </c>
      <c r="F69" s="15" t="n">
        <v>25</v>
      </c>
      <c r="G69" s="16" t="s">
        <v>465</v>
      </c>
    </row>
    <row r="70" customFormat="false" ht="15" hidden="false" customHeight="false" outlineLevel="0" collapsed="false">
      <c r="A70" s="12" t="n">
        <v>45689</v>
      </c>
      <c r="B70" s="13" t="s">
        <v>452</v>
      </c>
      <c r="C70" s="14" t="n">
        <v>145879</v>
      </c>
      <c r="D70" s="15" t="n">
        <v>-11.9</v>
      </c>
      <c r="E70" s="14" t="n">
        <v>5133</v>
      </c>
      <c r="F70" s="15" t="n">
        <v>-8.4</v>
      </c>
      <c r="G70" s="16" t="s">
        <v>465</v>
      </c>
    </row>
    <row r="71" customFormat="false" ht="15" hidden="false" customHeight="false" outlineLevel="0" collapsed="false">
      <c r="A71" s="12" t="n">
        <v>45689</v>
      </c>
      <c r="B71" s="13" t="s">
        <v>453</v>
      </c>
      <c r="C71" s="14" t="n">
        <v>5077</v>
      </c>
      <c r="D71" s="15" t="n">
        <v>-59.9</v>
      </c>
      <c r="E71" s="14" t="n">
        <v>190</v>
      </c>
      <c r="F71" s="15" t="n">
        <v>-58.1</v>
      </c>
      <c r="G71" s="16" t="s">
        <v>465</v>
      </c>
    </row>
    <row r="72" customFormat="false" ht="15" hidden="false" customHeight="false" outlineLevel="0" collapsed="false">
      <c r="A72" s="12" t="n">
        <v>45689</v>
      </c>
      <c r="B72" s="13" t="s">
        <v>454</v>
      </c>
      <c r="C72" s="14" t="n">
        <v>72615</v>
      </c>
      <c r="D72" s="15" t="n">
        <v>48.9</v>
      </c>
      <c r="E72" s="14" t="n">
        <v>1758</v>
      </c>
      <c r="F72" s="15" t="n">
        <v>12.1</v>
      </c>
      <c r="G72" s="16" t="s">
        <v>465</v>
      </c>
    </row>
    <row r="73" customFormat="false" ht="15" hidden="false" customHeight="false" outlineLevel="0" collapsed="false">
      <c r="A73" s="12" t="n">
        <v>45689</v>
      </c>
      <c r="B73" s="13" t="s">
        <v>455</v>
      </c>
      <c r="C73" s="14" t="n">
        <v>35382</v>
      </c>
      <c r="D73" s="15" t="n">
        <v>-1.9</v>
      </c>
      <c r="E73" s="14" t="n">
        <v>716</v>
      </c>
      <c r="F73" s="15" t="n">
        <v>-20.8</v>
      </c>
      <c r="G73" s="16" t="s">
        <v>465</v>
      </c>
    </row>
    <row r="74" customFormat="false" ht="15" hidden="false" customHeight="false" outlineLevel="0" collapsed="false">
      <c r="A74" s="12" t="n">
        <v>45689</v>
      </c>
      <c r="B74" s="13" t="s">
        <v>451</v>
      </c>
      <c r="C74" s="14" t="n">
        <v>396742</v>
      </c>
      <c r="D74" s="15" t="n">
        <v>27.8</v>
      </c>
      <c r="E74" s="14" t="n">
        <v>12137</v>
      </c>
      <c r="F74" s="15" t="n">
        <v>17.6</v>
      </c>
      <c r="G74" s="16" t="s">
        <v>465</v>
      </c>
    </row>
    <row r="75" customFormat="false" ht="15" hidden="false" customHeight="false" outlineLevel="0" collapsed="false">
      <c r="A75" s="12" t="n">
        <v>45717</v>
      </c>
      <c r="B75" s="13" t="s">
        <v>448</v>
      </c>
      <c r="C75" s="14" t="n">
        <v>34086</v>
      </c>
      <c r="D75" s="15" t="n">
        <v>77.6</v>
      </c>
      <c r="E75" s="14" t="n">
        <v>822</v>
      </c>
      <c r="F75" s="15" t="n">
        <v>28.6</v>
      </c>
      <c r="G75" s="16" t="s">
        <v>466</v>
      </c>
    </row>
    <row r="76" customFormat="false" ht="15" hidden="false" customHeight="false" outlineLevel="0" collapsed="false">
      <c r="A76" s="12" t="n">
        <v>45717</v>
      </c>
      <c r="B76" s="13" t="s">
        <v>450</v>
      </c>
      <c r="C76" s="14" t="n">
        <v>451195</v>
      </c>
      <c r="D76" s="15" t="n">
        <v>20.9</v>
      </c>
      <c r="E76" s="14" t="n">
        <v>13319</v>
      </c>
      <c r="F76" s="15" t="n">
        <v>5.3</v>
      </c>
      <c r="G76" s="16" t="s">
        <v>466</v>
      </c>
    </row>
    <row r="77" customFormat="false" ht="15" hidden="false" customHeight="false" outlineLevel="0" collapsed="false">
      <c r="A77" s="12" t="n">
        <v>45717</v>
      </c>
      <c r="B77" s="13" t="s">
        <v>452</v>
      </c>
      <c r="C77" s="14" t="n">
        <v>207493</v>
      </c>
      <c r="D77" s="15" t="n">
        <v>-10.4</v>
      </c>
      <c r="E77" s="14" t="n">
        <v>6775</v>
      </c>
      <c r="F77" s="15" t="n">
        <v>-7.9</v>
      </c>
      <c r="G77" s="16" t="s">
        <v>466</v>
      </c>
    </row>
    <row r="78" customFormat="false" ht="15" hidden="false" customHeight="false" outlineLevel="0" collapsed="false">
      <c r="A78" s="12" t="n">
        <v>45717</v>
      </c>
      <c r="B78" s="13" t="s">
        <v>453</v>
      </c>
      <c r="C78" s="14" t="n">
        <v>9050</v>
      </c>
      <c r="D78" s="15" t="n">
        <v>-37.7</v>
      </c>
      <c r="E78" s="14" t="n">
        <v>297</v>
      </c>
      <c r="F78" s="15" t="n">
        <v>-19.5</v>
      </c>
      <c r="G78" s="16" t="s">
        <v>466</v>
      </c>
    </row>
    <row r="79" customFormat="false" ht="15" hidden="false" customHeight="false" outlineLevel="0" collapsed="false">
      <c r="A79" s="12" t="n">
        <v>45717</v>
      </c>
      <c r="B79" s="13" t="s">
        <v>454</v>
      </c>
      <c r="C79" s="14" t="n">
        <v>99853</v>
      </c>
      <c r="D79" s="15" t="n">
        <v>65.5</v>
      </c>
      <c r="E79" s="14" t="n">
        <v>2349</v>
      </c>
      <c r="F79" s="15" t="n">
        <v>7.5</v>
      </c>
      <c r="G79" s="16" t="s">
        <v>466</v>
      </c>
    </row>
    <row r="80" customFormat="false" ht="15" hidden="false" customHeight="false" outlineLevel="0" collapsed="false">
      <c r="A80" s="12" t="n">
        <v>45717</v>
      </c>
      <c r="B80" s="13" t="s">
        <v>455</v>
      </c>
      <c r="C80" s="14" t="n">
        <v>36234</v>
      </c>
      <c r="D80" s="15" t="n">
        <v>-21.9</v>
      </c>
      <c r="E80" s="14" t="n">
        <v>882</v>
      </c>
      <c r="F80" s="15" t="n">
        <v>-25.1</v>
      </c>
      <c r="G80" s="16" t="s">
        <v>466</v>
      </c>
    </row>
    <row r="81" customFormat="false" ht="15" hidden="false" customHeight="false" outlineLevel="0" collapsed="false">
      <c r="A81" s="12" t="n">
        <v>45717</v>
      </c>
      <c r="B81" s="13" t="s">
        <v>451</v>
      </c>
      <c r="C81" s="14" t="n">
        <v>498420</v>
      </c>
      <c r="D81" s="15" t="n">
        <v>14.6</v>
      </c>
      <c r="E81" s="14" t="n">
        <v>14555</v>
      </c>
      <c r="F81" s="15" t="n">
        <v>2.3</v>
      </c>
      <c r="G81" s="16" t="s">
        <v>466</v>
      </c>
    </row>
    <row r="82" customFormat="false" ht="15" hidden="false" customHeight="false" outlineLevel="0" collapsed="false">
      <c r="A82" s="12" t="n">
        <v>45748</v>
      </c>
      <c r="B82" s="13" t="s">
        <v>448</v>
      </c>
      <c r="C82" s="14" t="n">
        <v>24043</v>
      </c>
      <c r="D82" s="15" t="n">
        <v>37.1</v>
      </c>
      <c r="E82" s="14" t="n">
        <v>584</v>
      </c>
      <c r="F82" s="15" t="n">
        <v>7</v>
      </c>
      <c r="G82" s="16" t="s">
        <v>467</v>
      </c>
    </row>
    <row r="83" customFormat="false" ht="15" hidden="false" customHeight="false" outlineLevel="0" collapsed="false">
      <c r="A83" s="12" t="n">
        <v>45748</v>
      </c>
      <c r="B83" s="13" t="s">
        <v>450</v>
      </c>
      <c r="C83" s="14" t="n">
        <v>328490</v>
      </c>
      <c r="D83" s="15" t="n">
        <v>2</v>
      </c>
      <c r="E83" s="14" t="n">
        <v>11033</v>
      </c>
      <c r="F83" s="15" t="n">
        <v>-0.9</v>
      </c>
      <c r="G83" s="16" t="s">
        <v>467</v>
      </c>
    </row>
    <row r="84" customFormat="false" ht="15" hidden="false" customHeight="false" outlineLevel="0" collapsed="false">
      <c r="A84" s="12" t="n">
        <v>45748</v>
      </c>
      <c r="B84" s="13" t="s">
        <v>452</v>
      </c>
      <c r="C84" s="14" t="n">
        <v>151630</v>
      </c>
      <c r="D84" s="15" t="n">
        <v>-19.7</v>
      </c>
      <c r="E84" s="14" t="n">
        <v>5793</v>
      </c>
      <c r="F84" s="15" t="n">
        <v>-10.8</v>
      </c>
      <c r="G84" s="16" t="s">
        <v>467</v>
      </c>
    </row>
    <row r="85" customFormat="false" ht="15" hidden="false" customHeight="false" outlineLevel="0" collapsed="false">
      <c r="A85" s="12" t="n">
        <v>45748</v>
      </c>
      <c r="B85" s="13" t="s">
        <v>453</v>
      </c>
      <c r="C85" s="14" t="n">
        <v>9782</v>
      </c>
      <c r="D85" s="15" t="n">
        <v>-20.3</v>
      </c>
      <c r="E85" s="14" t="n">
        <v>235</v>
      </c>
      <c r="F85" s="15" t="n">
        <v>-40.6</v>
      </c>
      <c r="G85" s="16" t="s">
        <v>467</v>
      </c>
    </row>
    <row r="86" customFormat="false" ht="15" hidden="false" customHeight="false" outlineLevel="0" collapsed="false">
      <c r="A86" s="12" t="n">
        <v>45748</v>
      </c>
      <c r="B86" s="13" t="s">
        <v>454</v>
      </c>
      <c r="C86" s="14" t="n">
        <v>43731</v>
      </c>
      <c r="D86" s="15" t="n">
        <v>-3</v>
      </c>
      <c r="E86" s="14" t="n">
        <v>1375</v>
      </c>
      <c r="F86" s="15" t="n">
        <v>-14.6</v>
      </c>
      <c r="G86" s="16" t="s">
        <v>467</v>
      </c>
    </row>
    <row r="87" customFormat="false" ht="15" hidden="false" customHeight="false" outlineLevel="0" collapsed="false">
      <c r="A87" s="12" t="n">
        <v>45748</v>
      </c>
      <c r="B87" s="13" t="s">
        <v>455</v>
      </c>
      <c r="C87" s="14" t="n">
        <v>34408</v>
      </c>
      <c r="D87" s="15" t="n">
        <v>-19.7</v>
      </c>
      <c r="E87" s="14" t="n">
        <v>936</v>
      </c>
      <c r="F87" s="15" t="n">
        <v>-21.2</v>
      </c>
      <c r="G87" s="16" t="s">
        <v>467</v>
      </c>
    </row>
    <row r="88" customFormat="false" ht="15" hidden="false" customHeight="false" outlineLevel="0" collapsed="false">
      <c r="A88" s="12" t="n">
        <v>45748</v>
      </c>
      <c r="B88" s="13" t="s">
        <v>451</v>
      </c>
      <c r="C88" s="14" t="n">
        <v>373531</v>
      </c>
      <c r="D88" s="15" t="n">
        <v>-1.5</v>
      </c>
      <c r="E88" s="14" t="n">
        <v>12243</v>
      </c>
      <c r="F88" s="15" t="n">
        <v>-4.2</v>
      </c>
      <c r="G88" s="16" t="s">
        <v>467</v>
      </c>
    </row>
    <row r="89" customFormat="false" ht="15" hidden="false" customHeight="false" outlineLevel="0" collapsed="false">
      <c r="A89" s="12" t="n">
        <v>45778</v>
      </c>
      <c r="B89" s="13" t="s">
        <v>448</v>
      </c>
      <c r="C89" s="14" t="n">
        <v>17187</v>
      </c>
      <c r="D89" s="15" t="n">
        <v>-39.6</v>
      </c>
      <c r="E89" s="14" t="n">
        <v>441</v>
      </c>
      <c r="F89" s="15" t="n">
        <v>-43.6</v>
      </c>
      <c r="G89" s="16" t="s">
        <v>468</v>
      </c>
    </row>
    <row r="90" customFormat="false" ht="15" hidden="false" customHeight="false" outlineLevel="0" collapsed="false">
      <c r="A90" s="12" t="n">
        <v>45778</v>
      </c>
      <c r="B90" s="13" t="s">
        <v>450</v>
      </c>
      <c r="C90" s="14" t="n">
        <v>298142</v>
      </c>
      <c r="D90" s="15" t="n">
        <v>0.6</v>
      </c>
      <c r="E90" s="14" t="n">
        <v>10948</v>
      </c>
      <c r="F90" s="15" t="n">
        <v>11.2</v>
      </c>
      <c r="G90" s="16" t="s">
        <v>468</v>
      </c>
    </row>
    <row r="91" customFormat="false" ht="15" hidden="false" customHeight="false" outlineLevel="0" collapsed="false">
      <c r="A91" s="12" t="n">
        <v>45778</v>
      </c>
      <c r="B91" s="13" t="s">
        <v>452</v>
      </c>
      <c r="C91" s="14" t="n">
        <v>147562</v>
      </c>
      <c r="D91" s="15" t="n">
        <v>-21.7</v>
      </c>
      <c r="E91" s="14" t="n">
        <v>6193</v>
      </c>
      <c r="F91" s="15" t="n">
        <v>6.2</v>
      </c>
      <c r="G91" s="16" t="s">
        <v>468</v>
      </c>
    </row>
    <row r="92" customFormat="false" ht="15" hidden="false" customHeight="false" outlineLevel="0" collapsed="false">
      <c r="A92" s="12" t="n">
        <v>45778</v>
      </c>
      <c r="B92" s="13" t="s">
        <v>453</v>
      </c>
      <c r="C92" s="14" t="n">
        <v>6617</v>
      </c>
      <c r="D92" s="15" t="n">
        <v>11.7</v>
      </c>
      <c r="E92" s="14" t="n">
        <v>194</v>
      </c>
      <c r="F92" s="15" t="n">
        <v>-0.1</v>
      </c>
      <c r="G92" s="16" t="s">
        <v>468</v>
      </c>
    </row>
    <row r="93" customFormat="false" ht="15" hidden="false" customHeight="false" outlineLevel="0" collapsed="false">
      <c r="A93" s="12" t="n">
        <v>45778</v>
      </c>
      <c r="B93" s="13" t="s">
        <v>454</v>
      </c>
      <c r="C93" s="14" t="n">
        <v>46103</v>
      </c>
      <c r="D93" s="15" t="n">
        <v>18.2</v>
      </c>
      <c r="E93" s="14" t="n">
        <v>1458</v>
      </c>
      <c r="F93" s="15" t="n">
        <v>-18.5</v>
      </c>
      <c r="G93" s="16" t="s">
        <v>468</v>
      </c>
    </row>
    <row r="94" customFormat="false" ht="15" hidden="false" customHeight="false" outlineLevel="0" collapsed="false">
      <c r="A94" s="12" t="n">
        <v>45778</v>
      </c>
      <c r="B94" s="13" t="s">
        <v>455</v>
      </c>
      <c r="C94" s="14" t="n">
        <v>26101</v>
      </c>
      <c r="D94" s="15" t="n">
        <v>-33.8</v>
      </c>
      <c r="E94" s="14" t="n">
        <v>574</v>
      </c>
      <c r="F94" s="15" t="n">
        <v>-34.7</v>
      </c>
      <c r="G94" s="16" t="s">
        <v>468</v>
      </c>
    </row>
    <row r="95" customFormat="false" ht="15" hidden="false" customHeight="false" outlineLevel="0" collapsed="false">
      <c r="A95" s="12" t="n">
        <v>45778</v>
      </c>
      <c r="B95" s="13" t="s">
        <v>451</v>
      </c>
      <c r="C95" s="14" t="n">
        <v>331985</v>
      </c>
      <c r="D95" s="15" t="n">
        <v>-3.1</v>
      </c>
      <c r="E95" s="14" t="n">
        <v>11735</v>
      </c>
      <c r="F95" s="15" t="n">
        <v>7.3</v>
      </c>
      <c r="G95" s="16" t="s">
        <v>468</v>
      </c>
    </row>
    <row r="96" customFormat="false" ht="15" hidden="false" customHeight="false" outlineLevel="0" collapsed="false">
      <c r="A96" s="12" t="n">
        <v>45809</v>
      </c>
      <c r="B96" s="13" t="s">
        <v>448</v>
      </c>
      <c r="C96" s="14" t="n">
        <v>16153</v>
      </c>
      <c r="D96" s="15" t="n">
        <v>0</v>
      </c>
      <c r="E96" s="14" t="n">
        <v>361</v>
      </c>
      <c r="F96" s="15" t="n">
        <v>-15.2</v>
      </c>
      <c r="G96" s="16" t="s">
        <v>469</v>
      </c>
    </row>
    <row r="97" customFormat="false" ht="15" hidden="false" customHeight="false" outlineLevel="0" collapsed="false">
      <c r="A97" s="12" t="n">
        <v>45809</v>
      </c>
      <c r="B97" s="13" t="s">
        <v>450</v>
      </c>
      <c r="C97" s="14" t="n">
        <v>346153</v>
      </c>
      <c r="D97" s="15" t="n">
        <v>2.3</v>
      </c>
      <c r="E97" s="14" t="n">
        <v>11068</v>
      </c>
      <c r="F97" s="15" t="n">
        <v>0.3</v>
      </c>
      <c r="G97" s="16" t="s">
        <v>469</v>
      </c>
    </row>
    <row r="98" customFormat="false" ht="15" hidden="false" customHeight="false" outlineLevel="0" collapsed="false">
      <c r="A98" s="12" t="n">
        <v>45809</v>
      </c>
      <c r="B98" s="13" t="s">
        <v>452</v>
      </c>
      <c r="C98" s="14" t="n">
        <v>174984</v>
      </c>
      <c r="D98" s="15" t="n">
        <v>-9.1</v>
      </c>
      <c r="E98" s="14" t="n">
        <v>6187</v>
      </c>
      <c r="F98" s="15" t="n">
        <v>-1</v>
      </c>
      <c r="G98" s="16" t="s">
        <v>469</v>
      </c>
    </row>
    <row r="99" customFormat="false" ht="15" hidden="false" customHeight="false" outlineLevel="0" collapsed="false">
      <c r="A99" s="12" t="n">
        <v>45809</v>
      </c>
      <c r="B99" s="13" t="s">
        <v>453</v>
      </c>
      <c r="C99" s="14" t="n">
        <v>4380</v>
      </c>
      <c r="D99" s="15" t="n">
        <v>-58</v>
      </c>
      <c r="E99" s="14" t="n">
        <v>137</v>
      </c>
      <c r="F99" s="15" t="n">
        <v>-50.9</v>
      </c>
      <c r="G99" s="16" t="s">
        <v>469</v>
      </c>
    </row>
    <row r="100" customFormat="false" ht="15" hidden="false" customHeight="false" outlineLevel="0" collapsed="false">
      <c r="A100" s="12" t="n">
        <v>45809</v>
      </c>
      <c r="B100" s="13" t="s">
        <v>454</v>
      </c>
      <c r="C100" s="14" t="n">
        <v>63385</v>
      </c>
      <c r="D100" s="15" t="n">
        <v>16.6</v>
      </c>
      <c r="E100" s="14" t="n">
        <v>1829</v>
      </c>
      <c r="F100" s="15" t="n">
        <v>-6.8</v>
      </c>
      <c r="G100" s="16" t="s">
        <v>469</v>
      </c>
    </row>
    <row r="101" customFormat="false" ht="15" hidden="false" customHeight="false" outlineLevel="0" collapsed="false">
      <c r="A101" s="12" t="n">
        <v>45809</v>
      </c>
      <c r="B101" s="13" t="s">
        <v>455</v>
      </c>
      <c r="C101" s="14" t="n">
        <v>35605</v>
      </c>
      <c r="D101" s="15" t="n">
        <v>-25.8</v>
      </c>
      <c r="E101" s="14" t="n">
        <v>650</v>
      </c>
      <c r="F101" s="15" t="n">
        <v>-36.1</v>
      </c>
      <c r="G101" s="16" t="s">
        <v>469</v>
      </c>
    </row>
    <row r="102" customFormat="false" ht="15" hidden="false" customHeight="false" outlineLevel="0" collapsed="false">
      <c r="A102" s="12" t="n">
        <v>45809</v>
      </c>
      <c r="B102" s="13" t="s">
        <v>451</v>
      </c>
      <c r="C102" s="14" t="n">
        <v>387780</v>
      </c>
      <c r="D102" s="15" t="n">
        <v>-2.4</v>
      </c>
      <c r="E102" s="14" t="n">
        <v>11894</v>
      </c>
      <c r="F102" s="15" t="n">
        <v>-3.6</v>
      </c>
      <c r="G102" s="16" t="s">
        <v>469</v>
      </c>
    </row>
    <row r="103" customFormat="false" ht="15" hidden="false" customHeight="false" outlineLevel="0" collapsed="false">
      <c r="A103" s="12" t="n">
        <v>45839</v>
      </c>
      <c r="B103" s="13" t="s">
        <v>448</v>
      </c>
      <c r="C103" s="14" t="n">
        <v>26787</v>
      </c>
      <c r="D103" s="15" t="n">
        <v>35.5</v>
      </c>
      <c r="E103" s="14" t="n">
        <v>523</v>
      </c>
      <c r="F103" s="15" t="n">
        <v>-7.3</v>
      </c>
      <c r="G103" s="16" t="s">
        <v>470</v>
      </c>
    </row>
    <row r="104" customFormat="false" ht="15" hidden="false" customHeight="false" outlineLevel="0" collapsed="false">
      <c r="A104" s="12" t="n">
        <v>45839</v>
      </c>
      <c r="B104" s="13" t="s">
        <v>450</v>
      </c>
      <c r="C104" s="14" t="n">
        <v>313278</v>
      </c>
      <c r="D104" s="15" t="n">
        <v>-0.3</v>
      </c>
      <c r="E104" s="14" t="n">
        <v>10397</v>
      </c>
      <c r="F104" s="15" t="n">
        <v>4.1</v>
      </c>
      <c r="G104" s="16" t="s">
        <v>470</v>
      </c>
    </row>
    <row r="105" customFormat="false" ht="15" hidden="false" customHeight="false" outlineLevel="0" collapsed="false">
      <c r="A105" s="12" t="n">
        <v>45839</v>
      </c>
      <c r="B105" s="13" t="s">
        <v>452</v>
      </c>
      <c r="C105" s="14" t="n">
        <v>156405</v>
      </c>
      <c r="D105" s="15" t="n">
        <v>-4.5</v>
      </c>
      <c r="E105" s="14" t="n">
        <v>5637</v>
      </c>
      <c r="F105" s="15" t="n">
        <v>6.6</v>
      </c>
      <c r="G105" s="16" t="s">
        <v>470</v>
      </c>
    </row>
    <row r="106" customFormat="false" ht="15" hidden="false" customHeight="false" outlineLevel="0" collapsed="false">
      <c r="A106" s="12" t="n">
        <v>45839</v>
      </c>
      <c r="B106" s="13" t="s">
        <v>453</v>
      </c>
      <c r="C106" s="14" t="n">
        <v>5904</v>
      </c>
      <c r="D106" s="15" t="n">
        <v>-32.8</v>
      </c>
      <c r="E106" s="14" t="n">
        <v>301</v>
      </c>
      <c r="F106" s="15" t="n">
        <v>15.1</v>
      </c>
      <c r="G106" s="16" t="s">
        <v>470</v>
      </c>
    </row>
    <row r="107" customFormat="false" ht="15" hidden="false" customHeight="false" outlineLevel="0" collapsed="false">
      <c r="A107" s="12" t="n">
        <v>45839</v>
      </c>
      <c r="B107" s="13" t="s">
        <v>454</v>
      </c>
      <c r="C107" s="14" t="n">
        <v>42360</v>
      </c>
      <c r="D107" s="15" t="n">
        <v>-17.3</v>
      </c>
      <c r="E107" s="14" t="n">
        <v>1432</v>
      </c>
      <c r="F107" s="15" t="n">
        <v>-8.5</v>
      </c>
      <c r="G107" s="16" t="s">
        <v>470</v>
      </c>
    </row>
    <row r="108" customFormat="false" ht="15" hidden="false" customHeight="false" outlineLevel="0" collapsed="false">
      <c r="A108" s="12" t="n">
        <v>45839</v>
      </c>
      <c r="B108" s="13" t="s">
        <v>455</v>
      </c>
      <c r="C108" s="14" t="n">
        <v>30209</v>
      </c>
      <c r="D108" s="15" t="n">
        <v>-31.3</v>
      </c>
      <c r="E108" s="14" t="n">
        <v>681</v>
      </c>
      <c r="F108" s="15" t="n">
        <v>-34.1</v>
      </c>
      <c r="G108" s="16" t="s">
        <v>470</v>
      </c>
    </row>
    <row r="109" customFormat="false" ht="15" hidden="false" customHeight="false" outlineLevel="0" collapsed="false">
      <c r="A109" s="12" t="n">
        <v>45839</v>
      </c>
      <c r="B109" s="13" t="s">
        <v>451</v>
      </c>
      <c r="C109" s="14" t="n">
        <v>350943</v>
      </c>
      <c r="D109" s="15" t="n">
        <v>-4.8</v>
      </c>
      <c r="E109" s="14" t="n">
        <v>11423</v>
      </c>
      <c r="F109" s="15" t="n">
        <v>0.6</v>
      </c>
      <c r="G109" s="16" t="s">
        <v>470</v>
      </c>
    </row>
    <row r="110" customFormat="false" ht="15" hidden="false" customHeight="false" outlineLevel="0" collapsed="false">
      <c r="A110" s="12" t="n">
        <v>45870</v>
      </c>
      <c r="B110" s="13" t="s">
        <v>448</v>
      </c>
      <c r="C110" s="14" t="n">
        <v>19795</v>
      </c>
      <c r="D110" s="15" t="n">
        <v>-5.2</v>
      </c>
      <c r="E110" s="14" t="n">
        <v>507</v>
      </c>
      <c r="F110" s="15" t="n">
        <v>6.8</v>
      </c>
      <c r="G110" s="16" t="s">
        <v>471</v>
      </c>
    </row>
    <row r="111" customFormat="false" ht="15" hidden="false" customHeight="false" outlineLevel="0" collapsed="false">
      <c r="A111" s="12" t="n">
        <v>45870</v>
      </c>
      <c r="B111" s="13" t="s">
        <v>450</v>
      </c>
      <c r="C111" s="14" t="n">
        <v>320182</v>
      </c>
      <c r="D111" s="15" t="n">
        <v>9.2</v>
      </c>
      <c r="E111" s="14" t="n">
        <v>10133</v>
      </c>
      <c r="F111" s="15" t="n">
        <v>-0.2</v>
      </c>
      <c r="G111" s="16" t="s">
        <v>471</v>
      </c>
    </row>
    <row r="112" customFormat="false" ht="15" hidden="false" customHeight="false" outlineLevel="0" collapsed="false">
      <c r="A112" s="12" t="n">
        <v>45870</v>
      </c>
      <c r="B112" s="13" t="s">
        <v>452</v>
      </c>
      <c r="C112" s="14" t="n">
        <v>167490</v>
      </c>
      <c r="D112" s="15" t="n">
        <v>-6.9</v>
      </c>
      <c r="E112" s="14" t="n">
        <v>5928</v>
      </c>
      <c r="F112" s="15" t="n">
        <v>-12.1</v>
      </c>
      <c r="G112" s="16" t="s">
        <v>471</v>
      </c>
    </row>
    <row r="113" customFormat="false" ht="15" hidden="false" customHeight="false" outlineLevel="0" collapsed="false">
      <c r="A113" s="12" t="n">
        <v>45870</v>
      </c>
      <c r="B113" s="13" t="s">
        <v>453</v>
      </c>
      <c r="C113" s="14" t="n">
        <v>5537</v>
      </c>
      <c r="D113" s="15" t="n">
        <v>-52.3</v>
      </c>
      <c r="E113" s="14" t="n">
        <v>170</v>
      </c>
      <c r="F113" s="15" t="n">
        <v>-33.3</v>
      </c>
      <c r="G113" s="16" t="s">
        <v>471</v>
      </c>
    </row>
    <row r="114" customFormat="false" ht="15" hidden="false" customHeight="false" outlineLevel="0" collapsed="false">
      <c r="A114" s="12" t="n">
        <v>45870</v>
      </c>
      <c r="B114" s="13" t="s">
        <v>454</v>
      </c>
      <c r="C114" s="14" t="n">
        <v>49997</v>
      </c>
      <c r="D114" s="15" t="n">
        <v>11.4</v>
      </c>
      <c r="E114" s="14" t="n">
        <v>1073</v>
      </c>
      <c r="F114" s="15" t="n">
        <v>-19.9</v>
      </c>
      <c r="G114" s="16" t="s">
        <v>471</v>
      </c>
    </row>
    <row r="115" customFormat="false" ht="15" hidden="false" customHeight="false" outlineLevel="0" collapsed="false">
      <c r="A115" s="12" t="n">
        <v>45870</v>
      </c>
      <c r="B115" s="13" t="s">
        <v>455</v>
      </c>
      <c r="C115" s="14" t="n">
        <v>22816</v>
      </c>
      <c r="D115" s="15" t="n">
        <v>-38.9</v>
      </c>
      <c r="E115" s="14" t="n">
        <v>540</v>
      </c>
      <c r="F115" s="15" t="n">
        <v>-40.6</v>
      </c>
      <c r="G115" s="16" t="s">
        <v>471</v>
      </c>
    </row>
    <row r="116" customFormat="false" ht="15" hidden="false" customHeight="false" outlineLevel="0" collapsed="false">
      <c r="A116" s="12" t="n">
        <v>45870</v>
      </c>
      <c r="B116" s="13" t="s">
        <v>451</v>
      </c>
      <c r="C116" s="14" t="n">
        <v>349446</v>
      </c>
      <c r="D116" s="15" t="n">
        <v>1.9</v>
      </c>
      <c r="E116" s="14" t="n">
        <v>10881</v>
      </c>
      <c r="F116" s="15" t="n">
        <v>-4.6</v>
      </c>
      <c r="G116" s="16" t="s">
        <v>471</v>
      </c>
    </row>
    <row r="117" customFormat="false" ht="15" hidden="false" customHeight="false" outlineLevel="0" collapsed="false">
      <c r="A117" s="12" t="n">
        <v>45901</v>
      </c>
      <c r="B117" s="13" t="s">
        <v>448</v>
      </c>
      <c r="C117" s="14" t="n">
        <v>19843</v>
      </c>
      <c r="D117" s="15" t="n">
        <v>-27.9</v>
      </c>
      <c r="E117" s="14" t="n">
        <v>497</v>
      </c>
      <c r="F117" s="15" t="n">
        <v>-16.1</v>
      </c>
      <c r="G117" s="16" t="s">
        <v>472</v>
      </c>
    </row>
    <row r="118" customFormat="false" ht="15" hidden="false" customHeight="false" outlineLevel="0" collapsed="false">
      <c r="A118" s="12" t="n">
        <v>45901</v>
      </c>
      <c r="B118" s="13" t="s">
        <v>450</v>
      </c>
      <c r="C118" s="14" t="n">
        <v>342297</v>
      </c>
      <c r="D118" s="15" t="n">
        <v>4.6</v>
      </c>
      <c r="E118" s="14" t="n">
        <v>10813</v>
      </c>
      <c r="F118" s="15" t="n">
        <v>4</v>
      </c>
      <c r="G118" s="16" t="s">
        <v>472</v>
      </c>
    </row>
    <row r="119" customFormat="false" ht="15" hidden="false" customHeight="false" outlineLevel="0" collapsed="false">
      <c r="A119" s="12" t="n">
        <v>45901</v>
      </c>
      <c r="B119" s="13" t="s">
        <v>452</v>
      </c>
      <c r="C119" s="14" t="n">
        <v>197006</v>
      </c>
      <c r="D119" s="15" t="n">
        <v>1.2</v>
      </c>
      <c r="E119" s="14" t="n">
        <v>6980</v>
      </c>
      <c r="F119" s="15" t="n">
        <v>10.5</v>
      </c>
      <c r="G119" s="16" t="s">
        <v>472</v>
      </c>
    </row>
    <row r="120" customFormat="false" ht="15" hidden="false" customHeight="false" outlineLevel="0" collapsed="false">
      <c r="A120" s="12" t="n">
        <v>45901</v>
      </c>
      <c r="B120" s="13" t="s">
        <v>453</v>
      </c>
      <c r="C120" s="14" t="n">
        <v>9097</v>
      </c>
      <c r="D120" s="15" t="n">
        <v>-10.5</v>
      </c>
      <c r="E120" s="14" t="n">
        <v>371</v>
      </c>
      <c r="F120" s="15" t="n">
        <v>28.8</v>
      </c>
      <c r="G120" s="16" t="s">
        <v>472</v>
      </c>
    </row>
    <row r="121" customFormat="false" ht="15" hidden="false" customHeight="false" outlineLevel="0" collapsed="false">
      <c r="A121" s="12" t="n">
        <v>45901</v>
      </c>
      <c r="B121" s="13" t="s">
        <v>454</v>
      </c>
      <c r="C121" s="14" t="n">
        <v>53301</v>
      </c>
      <c r="D121" s="15" t="n">
        <v>10.8</v>
      </c>
      <c r="E121" s="14" t="n">
        <v>1214</v>
      </c>
      <c r="F121" s="15" t="n">
        <v>-23.9</v>
      </c>
      <c r="G121" s="16" t="s">
        <v>472</v>
      </c>
    </row>
    <row r="122" customFormat="false" ht="15" hidden="false" customHeight="false" outlineLevel="0" collapsed="false">
      <c r="A122" s="12" t="n">
        <v>45901</v>
      </c>
      <c r="B122" s="13" t="s">
        <v>455</v>
      </c>
      <c r="C122" s="14" t="n">
        <v>31731</v>
      </c>
      <c r="D122" s="15" t="n">
        <v>-45.7</v>
      </c>
      <c r="E122" s="14" t="n">
        <v>816</v>
      </c>
      <c r="F122" s="15" t="n">
        <v>-41.8</v>
      </c>
      <c r="G122" s="16" t="s">
        <v>472</v>
      </c>
    </row>
    <row r="123" customFormat="false" ht="15" hidden="false" customHeight="false" outlineLevel="0" collapsed="false">
      <c r="A123" s="12" t="n">
        <v>45901</v>
      </c>
      <c r="B123" s="13" t="s">
        <v>451</v>
      </c>
      <c r="C123" s="14" t="n">
        <v>384411</v>
      </c>
      <c r="D123" s="15" t="n">
        <v>-3.2</v>
      </c>
      <c r="E123" s="14" t="n">
        <v>12102</v>
      </c>
      <c r="F123" s="15" t="n">
        <v>-1</v>
      </c>
      <c r="G123" s="16" t="s">
        <v>472</v>
      </c>
    </row>
    <row r="124" customFormat="false" ht="15" hidden="false" customHeight="false" outlineLevel="0" collapsed="false">
      <c r="A124" s="12" t="n">
        <v>45931</v>
      </c>
      <c r="B124" s="13" t="s">
        <v>448</v>
      </c>
      <c r="C124" s="14" t="n">
        <v>34077</v>
      </c>
      <c r="D124" s="15" t="n">
        <v>8.2</v>
      </c>
      <c r="E124" s="14" t="n">
        <v>874</v>
      </c>
      <c r="F124" s="15" t="n">
        <v>-2.4</v>
      </c>
      <c r="G124" s="16" t="s">
        <v>473</v>
      </c>
    </row>
    <row r="125" customFormat="false" ht="15" hidden="false" customHeight="false" outlineLevel="0" collapsed="false">
      <c r="A125" s="12" t="n">
        <v>45931</v>
      </c>
      <c r="B125" s="13" t="s">
        <v>450</v>
      </c>
      <c r="C125" s="14" t="n">
        <v>323023</v>
      </c>
      <c r="D125" s="15" t="n">
        <v>-3.8</v>
      </c>
      <c r="E125" s="14" t="n">
        <v>10844</v>
      </c>
      <c r="F125" s="15" t="n">
        <v>-1.9</v>
      </c>
      <c r="G125" s="16" t="s">
        <v>473</v>
      </c>
    </row>
    <row r="126" customFormat="false" ht="15" hidden="false" customHeight="false" outlineLevel="0" collapsed="false">
      <c r="A126" s="12" t="n">
        <v>45931</v>
      </c>
      <c r="B126" s="13" t="s">
        <v>452</v>
      </c>
      <c r="C126" s="14" t="n">
        <v>149205</v>
      </c>
      <c r="D126" s="15" t="n">
        <v>-18.9</v>
      </c>
      <c r="E126" s="14" t="n">
        <v>5786</v>
      </c>
      <c r="F126" s="15" t="n">
        <v>-6.9</v>
      </c>
      <c r="G126" s="16" t="s">
        <v>473</v>
      </c>
    </row>
    <row r="127" customFormat="false" ht="15" hidden="false" customHeight="false" outlineLevel="0" collapsed="false">
      <c r="A127" s="12" t="n">
        <v>45931</v>
      </c>
      <c r="B127" s="13" t="s">
        <v>453</v>
      </c>
      <c r="C127" s="14" t="n">
        <v>9513</v>
      </c>
      <c r="D127" s="15" t="n">
        <v>-27.8</v>
      </c>
      <c r="E127" s="14" t="n">
        <v>356</v>
      </c>
      <c r="F127" s="15" t="n">
        <v>-3.1</v>
      </c>
      <c r="G127" s="16" t="s">
        <v>473</v>
      </c>
    </row>
    <row r="128" customFormat="false" ht="15" hidden="false" customHeight="false" outlineLevel="0" collapsed="false">
      <c r="A128" s="12" t="n">
        <v>45931</v>
      </c>
      <c r="B128" s="13" t="s">
        <v>454</v>
      </c>
      <c r="C128" s="14" t="n">
        <v>55428</v>
      </c>
      <c r="D128" s="15" t="n">
        <v>-11.7</v>
      </c>
      <c r="E128" s="14" t="n">
        <v>1433</v>
      </c>
      <c r="F128" s="15" t="n">
        <v>-21.9</v>
      </c>
      <c r="G128" s="16" t="s">
        <v>473</v>
      </c>
    </row>
    <row r="129" customFormat="false" ht="15" hidden="false" customHeight="false" outlineLevel="0" collapsed="false">
      <c r="A129" s="12" t="n">
        <v>45931</v>
      </c>
      <c r="B129" s="13" t="s">
        <v>455</v>
      </c>
      <c r="C129" s="14" t="n">
        <v>29031</v>
      </c>
      <c r="D129" s="15" t="n">
        <v>-49.6</v>
      </c>
      <c r="E129" s="14" t="n">
        <v>787</v>
      </c>
      <c r="F129" s="15" t="n">
        <v>-35.3</v>
      </c>
      <c r="G129" s="16" t="s">
        <v>473</v>
      </c>
    </row>
    <row r="130" customFormat="false" ht="15" hidden="false" customHeight="false" outlineLevel="0" collapsed="false">
      <c r="A130" s="12" t="n">
        <v>45931</v>
      </c>
      <c r="B130" s="13" t="s">
        <v>451</v>
      </c>
      <c r="C130" s="14" t="n">
        <v>363538</v>
      </c>
      <c r="D130" s="15" t="n">
        <v>-10.8</v>
      </c>
      <c r="E130" s="14" t="n">
        <v>12096</v>
      </c>
      <c r="F130" s="15" t="n">
        <v>-4.6</v>
      </c>
      <c r="G130" s="16" t="s">
        <v>473</v>
      </c>
    </row>
    <row r="131" customFormat="false" ht="15" hidden="false" customHeight="false" outlineLevel="0" collapsed="false">
      <c r="A131" s="12" t="n">
        <v>45962</v>
      </c>
      <c r="B131" s="13" t="s">
        <v>448</v>
      </c>
      <c r="C131" s="14" t="n">
        <v>39454</v>
      </c>
      <c r="D131" s="15" t="n">
        <v>86.2</v>
      </c>
      <c r="E131" s="14" t="n">
        <v>911</v>
      </c>
      <c r="F131" s="15" t="n">
        <v>82.3</v>
      </c>
      <c r="G131" s="16" t="s">
        <v>474</v>
      </c>
    </row>
    <row r="132" customFormat="false" ht="15" hidden="false" customHeight="false" outlineLevel="0" collapsed="false">
      <c r="A132" s="12" t="n">
        <v>45962</v>
      </c>
      <c r="B132" s="13" t="s">
        <v>450</v>
      </c>
      <c r="C132" s="14" t="n">
        <v>338407</v>
      </c>
      <c r="D132" s="15" t="n">
        <v>5.1</v>
      </c>
      <c r="E132" s="14" t="n">
        <v>10451</v>
      </c>
      <c r="F132" s="15" t="n">
        <v>2.2</v>
      </c>
      <c r="G132" s="16" t="s">
        <v>474</v>
      </c>
    </row>
    <row r="133" customFormat="false" ht="15" hidden="false" customHeight="false" outlineLevel="0" collapsed="false">
      <c r="A133" s="12" t="n">
        <v>45962</v>
      </c>
      <c r="B133" s="13" t="s">
        <v>452</v>
      </c>
      <c r="C133" s="14" t="n">
        <v>139874</v>
      </c>
      <c r="D133" s="15" t="n">
        <v>-14.8</v>
      </c>
      <c r="E133" s="14" t="n">
        <v>4959</v>
      </c>
      <c r="F133" s="15" t="n">
        <v>-4.2</v>
      </c>
      <c r="G133" s="16" t="s">
        <v>474</v>
      </c>
    </row>
    <row r="134" customFormat="false" ht="15" hidden="false" customHeight="false" outlineLevel="0" collapsed="false">
      <c r="A134" s="12" t="n">
        <v>45962</v>
      </c>
      <c r="B134" s="13" t="s">
        <v>453</v>
      </c>
      <c r="C134" s="14" t="n">
        <v>9204</v>
      </c>
      <c r="D134" s="15" t="n">
        <v>-0.8</v>
      </c>
      <c r="E134" s="14" t="n">
        <v>360</v>
      </c>
      <c r="F134" s="15" t="n">
        <v>42.2</v>
      </c>
      <c r="G134" s="16" t="s">
        <v>474</v>
      </c>
    </row>
    <row r="135" customFormat="false" ht="15" hidden="false" customHeight="false" outlineLevel="0" collapsed="false">
      <c r="A135" s="12" t="n">
        <v>45962</v>
      </c>
      <c r="B135" s="13" t="s">
        <v>454</v>
      </c>
      <c r="C135" s="14" t="n">
        <v>61766</v>
      </c>
      <c r="D135" s="15" t="n">
        <v>11</v>
      </c>
      <c r="E135" s="14" t="n">
        <v>1639</v>
      </c>
      <c r="F135" s="15" t="n">
        <v>-6.1</v>
      </c>
      <c r="G135" s="16" t="s">
        <v>474</v>
      </c>
    </row>
    <row r="136" customFormat="false" ht="15" hidden="false" customHeight="false" outlineLevel="0" collapsed="false">
      <c r="A136" s="12" t="n">
        <v>45962</v>
      </c>
      <c r="B136" s="13" t="s">
        <v>455</v>
      </c>
      <c r="C136" s="14" t="n">
        <v>30023</v>
      </c>
      <c r="D136" s="15" t="n">
        <v>-28.5</v>
      </c>
      <c r="E136" s="14" t="n">
        <v>827</v>
      </c>
      <c r="F136" s="15" t="n">
        <v>-20.9</v>
      </c>
      <c r="G136" s="16" t="s">
        <v>474</v>
      </c>
    </row>
    <row r="137" customFormat="false" ht="15" hidden="false" customHeight="false" outlineLevel="0" collapsed="false">
      <c r="A137" s="12" t="n">
        <v>45962</v>
      </c>
      <c r="B137" s="13" t="s">
        <v>451</v>
      </c>
      <c r="C137" s="14" t="n">
        <v>379223</v>
      </c>
      <c r="D137" s="15" t="n">
        <v>1.3</v>
      </c>
      <c r="E137" s="14" t="n">
        <v>11713</v>
      </c>
      <c r="F137" s="15" t="n">
        <v>1.3</v>
      </c>
      <c r="G137" s="16" t="s">
        <v>474</v>
      </c>
    </row>
    <row r="138" customFormat="false" ht="15" hidden="false" customHeight="false" outlineLevel="0" collapsed="false">
      <c r="A138" s="12" t="n">
        <v>45992</v>
      </c>
      <c r="B138" s="13" t="s">
        <v>448</v>
      </c>
      <c r="C138" s="14" t="n">
        <v>46697</v>
      </c>
      <c r="D138" s="15" t="n">
        <v>72.4</v>
      </c>
      <c r="E138" s="14" t="n">
        <v>1092</v>
      </c>
      <c r="F138" s="15" t="n">
        <v>41.2</v>
      </c>
      <c r="G138" s="16" t="s">
        <v>475</v>
      </c>
    </row>
    <row r="139" customFormat="false" ht="15" hidden="false" customHeight="false" outlineLevel="0" collapsed="false">
      <c r="A139" s="12" t="n">
        <v>45992</v>
      </c>
      <c r="B139" s="13" t="s">
        <v>450</v>
      </c>
      <c r="C139" s="14" t="n">
        <v>405479</v>
      </c>
      <c r="D139" s="15" t="n">
        <v>3.2</v>
      </c>
      <c r="E139" s="14" t="n">
        <v>12129</v>
      </c>
      <c r="F139" s="15" t="n">
        <v>8.7</v>
      </c>
      <c r="G139" s="16" t="s">
        <v>475</v>
      </c>
    </row>
    <row r="140" customFormat="false" ht="15" hidden="false" customHeight="false" outlineLevel="0" collapsed="false">
      <c r="A140" s="12" t="n">
        <v>45992</v>
      </c>
      <c r="B140" s="13" t="s">
        <v>452</v>
      </c>
      <c r="C140" s="14" t="n">
        <v>174922</v>
      </c>
      <c r="D140" s="15" t="n">
        <v>-12.2</v>
      </c>
      <c r="E140" s="14" t="n">
        <v>5914</v>
      </c>
      <c r="F140" s="15" t="n">
        <v>4.9</v>
      </c>
      <c r="G140" s="16" t="s">
        <v>475</v>
      </c>
    </row>
    <row r="141" customFormat="false" ht="15" hidden="false" customHeight="false" outlineLevel="0" collapsed="false">
      <c r="A141" s="12" t="n">
        <v>45992</v>
      </c>
      <c r="B141" s="13" t="s">
        <v>453</v>
      </c>
      <c r="C141" s="14" t="n">
        <v>7651</v>
      </c>
      <c r="D141" s="15" t="n">
        <v>-41.4</v>
      </c>
      <c r="E141" s="14" t="n">
        <v>328</v>
      </c>
      <c r="F141" s="15" t="n">
        <v>-21.4</v>
      </c>
      <c r="G141" s="16" t="s">
        <v>475</v>
      </c>
    </row>
    <row r="142" customFormat="false" ht="15" hidden="false" customHeight="false" outlineLevel="0" collapsed="false">
      <c r="A142" s="12" t="n">
        <v>45992</v>
      </c>
      <c r="B142" s="13" t="s">
        <v>454</v>
      </c>
      <c r="C142" s="14" t="n">
        <v>75936</v>
      </c>
      <c r="D142" s="15" t="n">
        <v>9.1</v>
      </c>
      <c r="E142" s="14" t="n">
        <v>1703</v>
      </c>
      <c r="F142" s="15" t="n">
        <v>-4.6</v>
      </c>
      <c r="G142" s="16" t="s">
        <v>475</v>
      </c>
    </row>
    <row r="143" customFormat="false" ht="15" hidden="false" customHeight="false" outlineLevel="0" collapsed="false">
      <c r="A143" s="12" t="n">
        <v>45992</v>
      </c>
      <c r="B143" s="13" t="s">
        <v>455</v>
      </c>
      <c r="C143" s="14" t="n">
        <v>29510</v>
      </c>
      <c r="D143" s="15" t="n">
        <v>-29.2</v>
      </c>
      <c r="E143" s="14" t="n">
        <v>807</v>
      </c>
      <c r="F143" s="15" t="n">
        <v>-18.5</v>
      </c>
      <c r="G143" s="16" t="s">
        <v>475</v>
      </c>
    </row>
    <row r="144" customFormat="false" ht="15" hidden="false" customHeight="false" outlineLevel="0" collapsed="false">
      <c r="A144" s="12" t="n">
        <v>45992</v>
      </c>
      <c r="B144" s="13" t="s">
        <v>451</v>
      </c>
      <c r="C144" s="14" t="n">
        <v>443683</v>
      </c>
      <c r="D144" s="15" t="n">
        <v>-1.5</v>
      </c>
      <c r="E144" s="14" t="n">
        <v>13325</v>
      </c>
      <c r="F144" s="15" t="n">
        <v>5.4</v>
      </c>
      <c r="G144" s="16" t="s">
        <v>475</v>
      </c>
    </row>
    <row r="145" customFormat="false" ht="15" hidden="false" customHeight="false" outlineLevel="0" collapsed="false">
      <c r="A145" s="12" t="n">
        <v>46023</v>
      </c>
      <c r="B145" s="13" t="s">
        <v>448</v>
      </c>
      <c r="C145" s="14" t="n">
        <v>26203</v>
      </c>
      <c r="D145" s="15" t="n">
        <v>37.6</v>
      </c>
      <c r="E145" s="14" t="n">
        <v>662</v>
      </c>
      <c r="F145" s="15" t="n">
        <v>25.2</v>
      </c>
      <c r="G145" s="16" t="s">
        <v>476</v>
      </c>
    </row>
    <row r="146" customFormat="false" ht="15" hidden="false" customHeight="false" outlineLevel="0" collapsed="false">
      <c r="A146" s="12" t="n">
        <v>46023</v>
      </c>
      <c r="B146" s="13" t="s">
        <v>450</v>
      </c>
      <c r="C146" s="14" t="n">
        <v>278465</v>
      </c>
      <c r="D146" s="15" t="n">
        <v>11.8</v>
      </c>
      <c r="E146" s="14" t="n">
        <v>8821</v>
      </c>
      <c r="F146" s="15" t="n">
        <v>14.5</v>
      </c>
      <c r="G146" s="16" t="s">
        <v>476</v>
      </c>
    </row>
    <row r="147" customFormat="false" ht="15" hidden="false" customHeight="false" outlineLevel="0" collapsed="false">
      <c r="A147" s="12" t="n">
        <v>46023</v>
      </c>
      <c r="B147" s="13" t="s">
        <v>452</v>
      </c>
      <c r="C147" s="14" t="n">
        <v>101449</v>
      </c>
      <c r="D147" s="15" t="n">
        <v>3.2</v>
      </c>
      <c r="E147" s="14" t="n">
        <v>4543</v>
      </c>
      <c r="F147" s="15" t="n">
        <v>29.2</v>
      </c>
      <c r="G147" s="16" t="s">
        <v>476</v>
      </c>
    </row>
    <row r="148" customFormat="false" ht="15" hidden="false" customHeight="false" outlineLevel="0" collapsed="false">
      <c r="A148" s="12" t="n">
        <v>46023</v>
      </c>
      <c r="B148" s="13" t="s">
        <v>453</v>
      </c>
      <c r="C148" s="14" t="n">
        <v>8823</v>
      </c>
      <c r="D148" s="15" t="n">
        <v>-1.5</v>
      </c>
      <c r="E148" s="14" t="n">
        <v>279</v>
      </c>
      <c r="F148" s="15" t="n">
        <v>20.4</v>
      </c>
      <c r="G148" s="16" t="s">
        <v>476</v>
      </c>
    </row>
    <row r="149" customFormat="false" ht="15" hidden="false" customHeight="false" outlineLevel="0" collapsed="false">
      <c r="A149" s="12" t="n">
        <v>46023</v>
      </c>
      <c r="B149" s="13" t="s">
        <v>454</v>
      </c>
      <c r="C149" s="14" t="n">
        <v>71717</v>
      </c>
      <c r="D149" s="15" t="n">
        <v>41.8</v>
      </c>
      <c r="E149" s="14" t="n">
        <v>1354</v>
      </c>
      <c r="F149" s="15" t="n">
        <v>5.3</v>
      </c>
      <c r="G149" s="16" t="s">
        <v>476</v>
      </c>
    </row>
    <row r="150" customFormat="false" ht="15" hidden="false" customHeight="false" outlineLevel="0" collapsed="false">
      <c r="A150" s="12" t="n">
        <v>46023</v>
      </c>
      <c r="B150" s="13" t="s">
        <v>455</v>
      </c>
      <c r="C150" s="14" t="n">
        <v>26504</v>
      </c>
      <c r="D150" s="15" t="n">
        <v>-8.3</v>
      </c>
      <c r="E150" s="14" t="n">
        <v>608</v>
      </c>
      <c r="F150" s="15" t="n">
        <v>8.5</v>
      </c>
      <c r="G150" s="16" t="s">
        <v>476</v>
      </c>
    </row>
    <row r="151" customFormat="false" ht="15" hidden="false" customHeight="false" outlineLevel="0" collapsed="false">
      <c r="A151" s="12" t="n">
        <v>46023</v>
      </c>
      <c r="B151" s="13" t="s">
        <v>451</v>
      </c>
      <c r="C151" s="14" t="n">
        <v>315667</v>
      </c>
      <c r="D151" s="15" t="n">
        <v>9.6</v>
      </c>
      <c r="E151" s="14" t="n">
        <v>9814</v>
      </c>
      <c r="F151" s="15" t="n">
        <v>15.2</v>
      </c>
      <c r="G151" s="16" t="s">
        <v>476</v>
      </c>
    </row>
    <row r="152" customFormat="false" ht="15" hidden="false" customHeight="false" outlineLevel="0" collapsed="false">
      <c r="A152" s="12" t="n">
        <v>46054</v>
      </c>
      <c r="B152" s="13" t="s">
        <v>448</v>
      </c>
      <c r="C152" s="14" t="n">
        <v>24979</v>
      </c>
      <c r="D152" s="15" t="n">
        <v>-5.8</v>
      </c>
      <c r="E152" s="14" t="n">
        <v>587</v>
      </c>
      <c r="F152" s="15" t="n">
        <v>-11.8</v>
      </c>
      <c r="G152" s="16" t="s">
        <v>477</v>
      </c>
    </row>
    <row r="153" customFormat="false" ht="15" hidden="false" customHeight="false" outlineLevel="0" collapsed="false">
      <c r="A153" s="12" t="n">
        <v>46054</v>
      </c>
      <c r="B153" s="13" t="s">
        <v>450</v>
      </c>
      <c r="C153" s="14" t="n">
        <v>277016</v>
      </c>
      <c r="D153" s="15" t="n">
        <v>-21.9</v>
      </c>
      <c r="E153" s="14" t="n">
        <v>9588</v>
      </c>
      <c r="F153" s="15" t="n">
        <v>-14.2</v>
      </c>
      <c r="G153" s="16" t="s">
        <v>477</v>
      </c>
    </row>
    <row r="154" customFormat="false" ht="15" hidden="false" customHeight="false" outlineLevel="0" collapsed="false">
      <c r="A154" s="12" t="n">
        <v>46054</v>
      </c>
      <c r="B154" s="13" t="s">
        <v>452</v>
      </c>
      <c r="C154" s="14" t="n">
        <v>97621</v>
      </c>
      <c r="D154" s="15" t="n">
        <v>-33.1</v>
      </c>
      <c r="E154" s="14" t="n">
        <v>4451</v>
      </c>
      <c r="F154" s="15" t="n">
        <v>-13.3</v>
      </c>
      <c r="G154" s="16" t="s">
        <v>477</v>
      </c>
    </row>
    <row r="155" customFormat="false" ht="15" hidden="false" customHeight="false" outlineLevel="0" collapsed="false">
      <c r="A155" s="12" t="n">
        <v>46054</v>
      </c>
      <c r="B155" s="13" t="s">
        <v>453</v>
      </c>
      <c r="C155" s="14" t="n">
        <v>11642</v>
      </c>
      <c r="D155" s="15" t="n">
        <v>129.3</v>
      </c>
      <c r="E155" s="14" t="n">
        <v>392</v>
      </c>
      <c r="F155" s="15" t="n">
        <v>106</v>
      </c>
      <c r="G155" s="16" t="s">
        <v>477</v>
      </c>
    </row>
    <row r="156" customFormat="false" ht="15" hidden="false" customHeight="false" outlineLevel="0" collapsed="false">
      <c r="A156" s="12" t="n">
        <v>46054</v>
      </c>
      <c r="B156" s="13" t="s">
        <v>454</v>
      </c>
      <c r="C156" s="14" t="n">
        <v>67630</v>
      </c>
      <c r="D156" s="15" t="n">
        <v>-6.2</v>
      </c>
      <c r="E156" s="14" t="n">
        <v>1830</v>
      </c>
      <c r="F156" s="15" t="n">
        <v>4.7</v>
      </c>
      <c r="G156" s="16" t="s">
        <v>477</v>
      </c>
    </row>
    <row r="157" customFormat="false" ht="15" hidden="false" customHeight="false" outlineLevel="0" collapsed="false">
      <c r="A157" s="12" t="n">
        <v>46054</v>
      </c>
      <c r="B157" s="13" t="s">
        <v>455</v>
      </c>
      <c r="C157" s="14" t="n">
        <v>39191</v>
      </c>
      <c r="D157" s="15" t="n">
        <v>10.8</v>
      </c>
      <c r="E157" s="14" t="n">
        <v>960</v>
      </c>
      <c r="F157" s="15" t="n">
        <v>34</v>
      </c>
      <c r="G157" s="16" t="s">
        <v>477</v>
      </c>
    </row>
    <row r="158" customFormat="false" ht="15" hidden="false" customHeight="false" outlineLevel="0" collapsed="false">
      <c r="A158" s="12" t="n">
        <v>46054</v>
      </c>
      <c r="B158" s="13" t="s">
        <v>451</v>
      </c>
      <c r="C158" s="14" t="n">
        <v>329089</v>
      </c>
      <c r="D158" s="15" t="n">
        <v>-16.9</v>
      </c>
      <c r="E158" s="14" t="n">
        <v>10966</v>
      </c>
      <c r="F158" s="15" t="n">
        <v>-9.6</v>
      </c>
      <c r="G158" s="16" t="s">
        <v>477</v>
      </c>
    </row>
    <row r="159" customFormat="false" ht="15" hidden="false" customHeight="false" outlineLevel="0" collapsed="false">
      <c r="A159" s="12" t="n">
        <v>46082</v>
      </c>
      <c r="B159" s="13" t="s">
        <v>448</v>
      </c>
      <c r="C159" s="14" t="n">
        <v>27841</v>
      </c>
      <c r="D159" s="15" t="n">
        <v>-18.3</v>
      </c>
      <c r="E159" s="14" t="n">
        <v>685</v>
      </c>
      <c r="F159" s="15" t="n">
        <v>-16.6</v>
      </c>
      <c r="G159" s="16" t="s">
        <v>478</v>
      </c>
    </row>
    <row r="160" customFormat="false" ht="15" hidden="false" customHeight="false" outlineLevel="0" collapsed="false">
      <c r="A160" s="12" t="n">
        <v>46082</v>
      </c>
      <c r="B160" s="13" t="s">
        <v>450</v>
      </c>
      <c r="C160" s="14" t="n">
        <v>466793</v>
      </c>
      <c r="D160" s="15" t="n">
        <v>3.5</v>
      </c>
      <c r="E160" s="14" t="n">
        <v>13779</v>
      </c>
      <c r="F160" s="15" t="n">
        <v>3.5</v>
      </c>
      <c r="G160" s="16" t="s">
        <v>478</v>
      </c>
    </row>
    <row r="161" customFormat="false" ht="15" hidden="false" customHeight="false" outlineLevel="0" collapsed="false">
      <c r="A161" s="12" t="n">
        <v>46082</v>
      </c>
      <c r="B161" s="13" t="s">
        <v>452</v>
      </c>
      <c r="C161" s="14" t="n">
        <v>205893</v>
      </c>
      <c r="D161" s="15" t="n">
        <v>-0.8</v>
      </c>
      <c r="E161" s="14" t="n">
        <v>6834</v>
      </c>
      <c r="F161" s="15" t="n">
        <v>0.9</v>
      </c>
      <c r="G161" s="16" t="s">
        <v>478</v>
      </c>
    </row>
    <row r="162" customFormat="false" ht="15" hidden="false" customHeight="false" outlineLevel="0" collapsed="false">
      <c r="A162" s="12" t="n">
        <v>46082</v>
      </c>
      <c r="B162" s="13" t="s">
        <v>453</v>
      </c>
      <c r="C162" s="14" t="n">
        <v>18002</v>
      </c>
      <c r="D162" s="15" t="n">
        <v>98.9</v>
      </c>
      <c r="E162" s="14" t="n">
        <v>527</v>
      </c>
      <c r="F162" s="15" t="n">
        <v>77.5</v>
      </c>
      <c r="G162" s="16" t="s">
        <v>478</v>
      </c>
    </row>
    <row r="163" customFormat="false" ht="15" hidden="false" customHeight="false" outlineLevel="0" collapsed="false">
      <c r="A163" s="12" t="n">
        <v>46082</v>
      </c>
      <c r="B163" s="13" t="s">
        <v>454</v>
      </c>
      <c r="C163" s="14" t="n">
        <v>97242</v>
      </c>
      <c r="D163" s="15" t="n">
        <v>-2.6</v>
      </c>
      <c r="E163" s="14" t="n">
        <v>2077</v>
      </c>
      <c r="F163" s="15" t="n">
        <v>-11.6</v>
      </c>
      <c r="G163" s="16" t="s">
        <v>478</v>
      </c>
    </row>
    <row r="164" customFormat="false" ht="15" hidden="false" customHeight="false" outlineLevel="0" collapsed="false">
      <c r="A164" s="12" t="n">
        <v>46082</v>
      </c>
      <c r="B164" s="13" t="s">
        <v>455</v>
      </c>
      <c r="C164" s="14" t="n">
        <v>39675</v>
      </c>
      <c r="D164" s="15" t="n">
        <v>9.5</v>
      </c>
      <c r="E164" s="14" t="n">
        <v>1152</v>
      </c>
      <c r="F164" s="15" t="n">
        <v>30.6</v>
      </c>
      <c r="G164" s="16" t="s">
        <v>478</v>
      </c>
    </row>
    <row r="165" customFormat="false" ht="15" hidden="false" customHeight="false" outlineLevel="0" collapsed="false">
      <c r="A165" s="12" t="n">
        <v>46082</v>
      </c>
      <c r="B165" s="13" t="s">
        <v>451</v>
      </c>
      <c r="C165" s="14" t="n">
        <v>525989</v>
      </c>
      <c r="D165" s="15" t="n">
        <v>5.5</v>
      </c>
      <c r="E165" s="14" t="n">
        <v>15487</v>
      </c>
      <c r="F165" s="15" t="n">
        <v>6.4</v>
      </c>
      <c r="G165" s="16" t="s">
        <v>478</v>
      </c>
    </row>
    <row r="166" customFormat="false" ht="15" hidden="false" customHeight="false" outlineLevel="0" collapsed="false">
      <c r="A166" s="12" t="n">
        <v>46113</v>
      </c>
      <c r="B166" s="13" t="s">
        <v>448</v>
      </c>
      <c r="C166" s="14" t="n">
        <v>29864</v>
      </c>
      <c r="D166" s="15" t="n">
        <v>24.2</v>
      </c>
      <c r="E166" s="14" t="n">
        <v>711</v>
      </c>
      <c r="F166" s="15" t="n">
        <v>21.8</v>
      </c>
      <c r="G166" s="16" t="s">
        <v>479</v>
      </c>
    </row>
    <row r="167" customFormat="false" ht="15" hidden="false" customHeight="false" outlineLevel="0" collapsed="false">
      <c r="A167" s="12" t="n">
        <v>46113</v>
      </c>
      <c r="B167" s="13" t="s">
        <v>450</v>
      </c>
      <c r="C167" s="14" t="n">
        <v>324945</v>
      </c>
      <c r="D167" s="15" t="n">
        <v>-1.1</v>
      </c>
      <c r="E167" s="14" t="n">
        <v>9851</v>
      </c>
      <c r="F167" s="15" t="n">
        <v>-10.7</v>
      </c>
      <c r="G167" s="16" t="s">
        <v>479</v>
      </c>
    </row>
    <row r="168" customFormat="false" ht="15" hidden="false" customHeight="false" outlineLevel="0" collapsed="false">
      <c r="A168" s="12" t="n">
        <v>46113</v>
      </c>
      <c r="B168" s="13" t="s">
        <v>452</v>
      </c>
      <c r="C168" s="14" t="n">
        <v>111799</v>
      </c>
      <c r="D168" s="15" t="n">
        <v>-26.3</v>
      </c>
      <c r="E168" s="14" t="n">
        <v>4162</v>
      </c>
      <c r="F168" s="15" t="n">
        <v>-28.2</v>
      </c>
      <c r="G168" s="16" t="s">
        <v>479</v>
      </c>
    </row>
    <row r="169" customFormat="false" ht="15" hidden="false" customHeight="false" outlineLevel="0" collapsed="false">
      <c r="A169" s="12" t="n">
        <v>46113</v>
      </c>
      <c r="B169" s="13" t="s">
        <v>453</v>
      </c>
      <c r="C169" s="14" t="n">
        <v>10142</v>
      </c>
      <c r="D169" s="15" t="n">
        <v>3.7</v>
      </c>
      <c r="E169" s="14" t="n">
        <v>380</v>
      </c>
      <c r="F169" s="15" t="n">
        <v>62</v>
      </c>
      <c r="G169" s="16" t="s">
        <v>479</v>
      </c>
    </row>
    <row r="170" customFormat="false" ht="15" hidden="false" customHeight="false" outlineLevel="0" collapsed="false">
      <c r="A170" s="12" t="n">
        <v>46113</v>
      </c>
      <c r="B170" s="13" t="s">
        <v>454</v>
      </c>
      <c r="C170" s="14" t="n">
        <v>79161</v>
      </c>
      <c r="D170" s="15" t="n">
        <v>81</v>
      </c>
      <c r="E170" s="14" t="n">
        <v>1767</v>
      </c>
      <c r="F170" s="15" t="n">
        <v>28.5</v>
      </c>
      <c r="G170" s="16" t="s">
        <v>479</v>
      </c>
    </row>
    <row r="171" customFormat="false" ht="15" hidden="false" customHeight="false" outlineLevel="0" collapsed="false">
      <c r="A171" s="12" t="n">
        <v>46113</v>
      </c>
      <c r="B171" s="13" t="s">
        <v>455</v>
      </c>
      <c r="C171" s="14" t="n">
        <v>57581</v>
      </c>
      <c r="D171" s="15" t="n">
        <v>67.3</v>
      </c>
      <c r="E171" s="14" t="n">
        <v>1624</v>
      </c>
      <c r="F171" s="15" t="n">
        <v>73.6</v>
      </c>
      <c r="G171" s="16" t="s">
        <v>479</v>
      </c>
    </row>
    <row r="172" customFormat="false" ht="15" hidden="false" customHeight="false" outlineLevel="0" collapsed="false">
      <c r="A172" s="12" t="n">
        <v>46113</v>
      </c>
      <c r="B172" s="13" t="s">
        <v>451</v>
      </c>
      <c r="C172" s="14" t="n">
        <v>393213</v>
      </c>
      <c r="D172" s="15" t="n">
        <v>5.3</v>
      </c>
      <c r="E172" s="14" t="n">
        <v>11878</v>
      </c>
      <c r="F172" s="15" t="n">
        <v>-3</v>
      </c>
      <c r="G172" s="16" t="s">
        <v>479</v>
      </c>
    </row>
    <row r="173" customFormat="false" ht="15" hidden="false" customHeight="false" outlineLevel="0" collapsed="false">
      <c r="A173" s="12" t="n">
        <v>46143</v>
      </c>
      <c r="B173" s="13" t="s">
        <v>448</v>
      </c>
      <c r="C173" s="14" t="n">
        <v>21038</v>
      </c>
      <c r="D173" s="15" t="n">
        <v>22.4</v>
      </c>
      <c r="E173" s="14" t="n">
        <v>463</v>
      </c>
      <c r="F173" s="15" t="n">
        <v>5.1</v>
      </c>
      <c r="G173" s="16" t="s">
        <v>480</v>
      </c>
    </row>
    <row r="174" customFormat="false" ht="15" hidden="false" customHeight="false" outlineLevel="0" collapsed="false">
      <c r="A174" s="12" t="n">
        <v>46143</v>
      </c>
      <c r="B174" s="13" t="s">
        <v>450</v>
      </c>
      <c r="C174" s="14" t="n">
        <v>317076</v>
      </c>
      <c r="D174" s="15" t="n">
        <v>6.4</v>
      </c>
      <c r="E174" s="14" t="n">
        <v>10382</v>
      </c>
      <c r="F174" s="15" t="n">
        <v>-5.2</v>
      </c>
      <c r="G174" s="16" t="s">
        <v>480</v>
      </c>
    </row>
    <row r="175" customFormat="false" ht="15" hidden="false" customHeight="false" outlineLevel="0" collapsed="false">
      <c r="A175" s="12" t="n">
        <v>46143</v>
      </c>
      <c r="B175" s="13" t="s">
        <v>452</v>
      </c>
      <c r="C175" s="14" t="n">
        <v>110774</v>
      </c>
      <c r="D175" s="15" t="n">
        <v>-24.9</v>
      </c>
      <c r="E175" s="14" t="n">
        <v>4722</v>
      </c>
      <c r="F175" s="15" t="n">
        <v>-23.7</v>
      </c>
      <c r="G175" s="16" t="s">
        <v>480</v>
      </c>
    </row>
    <row r="176" customFormat="false" ht="15" hidden="false" customHeight="false" outlineLevel="0" collapsed="false">
      <c r="A176" s="12" t="n">
        <v>46143</v>
      </c>
      <c r="B176" s="13" t="s">
        <v>453</v>
      </c>
      <c r="C176" s="14" t="n">
        <v>11138</v>
      </c>
      <c r="D176" s="15" t="n">
        <v>68.3</v>
      </c>
      <c r="E176" s="14" t="n">
        <v>355</v>
      </c>
      <c r="F176" s="15" t="n">
        <v>82.7</v>
      </c>
      <c r="G176" s="16" t="s">
        <v>480</v>
      </c>
    </row>
    <row r="177" customFormat="false" ht="15" hidden="false" customHeight="false" outlineLevel="0" collapsed="false">
      <c r="A177" s="12" t="n">
        <v>46143</v>
      </c>
      <c r="B177" s="13" t="s">
        <v>454</v>
      </c>
      <c r="C177" s="14" t="n">
        <v>70549</v>
      </c>
      <c r="D177" s="15" t="n">
        <v>53</v>
      </c>
      <c r="E177" s="14" t="n">
        <v>1793</v>
      </c>
      <c r="F177" s="15" t="n">
        <v>23</v>
      </c>
      <c r="G177" s="16" t="s">
        <v>480</v>
      </c>
    </row>
    <row r="178" customFormat="false" ht="15" hidden="false" customHeight="false" outlineLevel="0" collapsed="false">
      <c r="A178" s="12" t="n">
        <v>46143</v>
      </c>
      <c r="B178" s="13" t="s">
        <v>455</v>
      </c>
      <c r="C178" s="14" t="n">
        <v>36840</v>
      </c>
      <c r="D178" s="15" t="n">
        <v>41.1</v>
      </c>
      <c r="E178" s="14" t="n">
        <v>919</v>
      </c>
      <c r="F178" s="15" t="n">
        <v>60.1</v>
      </c>
      <c r="G178" s="16" t="s">
        <v>480</v>
      </c>
    </row>
    <row r="179" customFormat="false" ht="15" hidden="false" customHeight="false" outlineLevel="0" collapsed="false">
      <c r="A179" s="12" t="n">
        <v>46143</v>
      </c>
      <c r="B179" s="13" t="s">
        <v>451</v>
      </c>
      <c r="C179" s="14" t="n">
        <v>365786</v>
      </c>
      <c r="D179" s="15" t="n">
        <v>10.2</v>
      </c>
      <c r="E179" s="14" t="n">
        <v>11677</v>
      </c>
      <c r="F179" s="15" t="n">
        <v>-0.5</v>
      </c>
      <c r="G179" s="16" t="s">
        <v>480</v>
      </c>
    </row>
    <row r="180" customFormat="false" ht="15" hidden="false" customHeight="false" outlineLevel="0" collapsed="false">
      <c r="A180" s="12" t="n">
        <v>46174</v>
      </c>
      <c r="B180" s="13" t="s">
        <v>448</v>
      </c>
      <c r="C180" s="14" t="n">
        <v>26162</v>
      </c>
      <c r="D180" s="15" t="n">
        <v>62</v>
      </c>
      <c r="E180" s="14" t="n">
        <v>600</v>
      </c>
      <c r="F180" s="15" t="n">
        <v>66.3</v>
      </c>
      <c r="G180" s="16" t="s">
        <v>481</v>
      </c>
    </row>
    <row r="181" customFormat="false" ht="15" hidden="false" customHeight="false" outlineLevel="0" collapsed="false">
      <c r="A181" s="12" t="n">
        <v>46174</v>
      </c>
      <c r="B181" s="13" t="s">
        <v>450</v>
      </c>
      <c r="C181" s="14" t="n">
        <v>403430</v>
      </c>
      <c r="D181" s="15" t="n">
        <v>16.5</v>
      </c>
      <c r="E181" s="14" t="n">
        <v>12564</v>
      </c>
      <c r="F181" s="15" t="n">
        <v>13.5</v>
      </c>
      <c r="G181" s="16" t="s">
        <v>481</v>
      </c>
    </row>
    <row r="182" customFormat="false" ht="15" hidden="false" customHeight="false" outlineLevel="0" collapsed="false">
      <c r="A182" s="12" t="n">
        <v>46174</v>
      </c>
      <c r="B182" s="13" t="s">
        <v>452</v>
      </c>
      <c r="C182" s="14" t="n">
        <v>157063</v>
      </c>
      <c r="D182" s="15" t="n">
        <v>-10.2</v>
      </c>
      <c r="E182" s="14" t="n">
        <v>6162</v>
      </c>
      <c r="F182" s="15" t="n">
        <v>-0.4</v>
      </c>
      <c r="G182" s="16" t="s">
        <v>481</v>
      </c>
    </row>
    <row r="183" customFormat="false" ht="15" hidden="false" customHeight="false" outlineLevel="0" collapsed="false">
      <c r="A183" s="12" t="n">
        <v>46174</v>
      </c>
      <c r="B183" s="13" t="s">
        <v>453</v>
      </c>
      <c r="C183" s="14" t="n">
        <v>12788</v>
      </c>
      <c r="D183" s="15" t="n">
        <v>192</v>
      </c>
      <c r="E183" s="14" t="n">
        <v>371</v>
      </c>
      <c r="F183" s="15" t="n">
        <v>170.1</v>
      </c>
      <c r="G183" s="16" t="s">
        <v>481</v>
      </c>
    </row>
    <row r="184" customFormat="false" ht="15" hidden="false" customHeight="false" outlineLevel="0" collapsed="false">
      <c r="A184" s="12" t="n">
        <v>46174</v>
      </c>
      <c r="B184" s="13" t="s">
        <v>454</v>
      </c>
      <c r="C184" s="14" t="n">
        <v>86249</v>
      </c>
      <c r="D184" s="15" t="n">
        <v>36.1</v>
      </c>
      <c r="E184" s="14" t="n">
        <v>1994</v>
      </c>
      <c r="F184" s="15" t="n">
        <v>9</v>
      </c>
      <c r="G184" s="16" t="s">
        <v>481</v>
      </c>
    </row>
    <row r="185" customFormat="false" ht="15" hidden="false" customHeight="false" outlineLevel="0" collapsed="false">
      <c r="A185" s="12" t="n">
        <v>46174</v>
      </c>
      <c r="B185" s="13" t="s">
        <v>455</v>
      </c>
      <c r="C185" s="14" t="n">
        <v>40706</v>
      </c>
      <c r="D185" s="15" t="n">
        <v>14.3</v>
      </c>
      <c r="E185" s="14" t="n">
        <v>856</v>
      </c>
      <c r="F185" s="15" t="n">
        <v>31.6</v>
      </c>
      <c r="G185" s="16" t="s">
        <v>481</v>
      </c>
    </row>
    <row r="186" customFormat="false" ht="15" hidden="false" customHeight="false" outlineLevel="0" collapsed="false">
      <c r="A186" s="12" t="n">
        <v>46174</v>
      </c>
      <c r="B186" s="13" t="s">
        <v>451</v>
      </c>
      <c r="C186" s="14" t="n">
        <v>460142</v>
      </c>
      <c r="D186" s="15" t="n">
        <v>18.7</v>
      </c>
      <c r="E186" s="14" t="n">
        <v>13835</v>
      </c>
      <c r="F186" s="15" t="n">
        <v>16.3</v>
      </c>
      <c r="G186" s="16" t="s">
        <v>481</v>
      </c>
    </row>
    <row r="187" customFormat="false" ht="15" hidden="false" customHeight="false" outlineLevel="0" collapsed="false">
      <c r="A187" s="12" t="n">
        <v>46204</v>
      </c>
      <c r="B187" s="13" t="s">
        <v>448</v>
      </c>
      <c r="C187" s="14" t="n">
        <v>35745</v>
      </c>
      <c r="D187" s="15" t="n">
        <v>33.4</v>
      </c>
      <c r="E187" s="14" t="n">
        <v>684</v>
      </c>
      <c r="F187" s="15" t="n">
        <v>30.8</v>
      </c>
      <c r="G187" s="16" t="s">
        <v>482</v>
      </c>
    </row>
    <row r="188" customFormat="false" ht="15" hidden="false" customHeight="false" outlineLevel="0" collapsed="false">
      <c r="A188" s="12" t="n">
        <v>46204</v>
      </c>
      <c r="B188" s="13" t="s">
        <v>450</v>
      </c>
      <c r="C188" s="14" t="n">
        <v>436197</v>
      </c>
      <c r="D188" s="15" t="n">
        <v>39.2</v>
      </c>
      <c r="E188" s="14" t="n">
        <v>14164</v>
      </c>
      <c r="F188" s="15" t="n">
        <v>36.2</v>
      </c>
      <c r="G188" s="16" t="s">
        <v>482</v>
      </c>
    </row>
    <row r="189" customFormat="false" ht="15" hidden="false" customHeight="false" outlineLevel="0" collapsed="false">
      <c r="A189" s="12" t="n">
        <v>46204</v>
      </c>
      <c r="B189" s="13" t="s">
        <v>452</v>
      </c>
      <c r="C189" s="14" t="n">
        <v>207346</v>
      </c>
      <c r="D189" s="15" t="n">
        <v>32.6</v>
      </c>
      <c r="E189" s="14" t="n">
        <v>8268</v>
      </c>
      <c r="F189" s="15" t="n">
        <v>46.7</v>
      </c>
      <c r="G189" s="16" t="s">
        <v>482</v>
      </c>
    </row>
    <row r="190" customFormat="false" ht="15" hidden="false" customHeight="false" outlineLevel="0" collapsed="false">
      <c r="A190" s="12" t="n">
        <v>46204</v>
      </c>
      <c r="B190" s="13" t="s">
        <v>453</v>
      </c>
      <c r="C190" s="14" t="n">
        <v>16274</v>
      </c>
      <c r="D190" s="15" t="n">
        <v>175.6</v>
      </c>
      <c r="E190" s="14" t="n">
        <v>448</v>
      </c>
      <c r="F190" s="15" t="n">
        <v>49.1</v>
      </c>
      <c r="G190" s="16" t="s">
        <v>482</v>
      </c>
    </row>
    <row r="191" customFormat="false" ht="15" hidden="false" customHeight="false" outlineLevel="0" collapsed="false">
      <c r="A191" s="12" t="n">
        <v>46204</v>
      </c>
      <c r="B191" s="13" t="s">
        <v>454</v>
      </c>
      <c r="C191" s="14" t="n">
        <v>74913</v>
      </c>
      <c r="D191" s="15" t="n">
        <v>76.9</v>
      </c>
      <c r="E191" s="14" t="n">
        <v>1805</v>
      </c>
      <c r="F191" s="15" t="n">
        <v>26</v>
      </c>
      <c r="G191" s="16" t="s">
        <v>482</v>
      </c>
    </row>
    <row r="192" customFormat="false" ht="15" hidden="false" customHeight="false" outlineLevel="0" collapsed="false">
      <c r="A192" s="12" t="n">
        <v>46204</v>
      </c>
      <c r="B192" s="13" t="s">
        <v>455</v>
      </c>
      <c r="C192" s="14" t="n">
        <v>40419</v>
      </c>
      <c r="D192" s="15" t="n">
        <v>33.8</v>
      </c>
      <c r="E192" s="14" t="n">
        <v>943</v>
      </c>
      <c r="F192" s="15" t="n">
        <v>38.5</v>
      </c>
      <c r="G192" s="16" t="s">
        <v>482</v>
      </c>
    </row>
    <row r="193" customFormat="false" ht="15" hidden="false" customHeight="false" outlineLevel="0" collapsed="false">
      <c r="A193" s="12" t="n">
        <v>46204</v>
      </c>
      <c r="B193" s="13" t="s">
        <v>451</v>
      </c>
      <c r="C193" s="14" t="n">
        <v>494437</v>
      </c>
      <c r="D193" s="15" t="n">
        <v>40.9</v>
      </c>
      <c r="E193" s="14" t="n">
        <v>15586</v>
      </c>
      <c r="F193" s="15" t="n">
        <v>36.4</v>
      </c>
      <c r="G193" s="16" t="s">
        <v>482</v>
      </c>
    </row>
    <row r="194" customFormat="false" ht="15" hidden="false" customHeight="false" outlineLevel="0" collapsed="false">
      <c r="A194" s="12" t="n">
        <v>46235</v>
      </c>
      <c r="B194" s="13" t="s">
        <v>448</v>
      </c>
      <c r="C194" s="14" t="n">
        <v>35647</v>
      </c>
      <c r="D194" s="15" t="n">
        <v>80.1</v>
      </c>
      <c r="E194" s="14" t="n">
        <v>840</v>
      </c>
      <c r="F194" s="15" t="n">
        <v>65.7</v>
      </c>
      <c r="G194" s="16" t="s">
        <v>483</v>
      </c>
    </row>
    <row r="195" customFormat="false" ht="15" hidden="false" customHeight="false" outlineLevel="0" collapsed="false">
      <c r="A195" s="12" t="n">
        <v>46235</v>
      </c>
      <c r="B195" s="13" t="s">
        <v>450</v>
      </c>
      <c r="C195" s="14" t="n">
        <v>424108</v>
      </c>
      <c r="D195" s="15" t="n">
        <v>32.4</v>
      </c>
      <c r="E195" s="14" t="n">
        <v>13961</v>
      </c>
      <c r="F195" s="15" t="n">
        <v>37.8</v>
      </c>
      <c r="G195" s="16" t="s">
        <v>483</v>
      </c>
    </row>
    <row r="196" customFormat="false" ht="15" hidden="false" customHeight="false" outlineLevel="0" collapsed="false">
      <c r="A196" s="12" t="n">
        <v>46235</v>
      </c>
      <c r="B196" s="13" t="s">
        <v>452</v>
      </c>
      <c r="C196" s="14" t="n">
        <v>194791</v>
      </c>
      <c r="D196" s="15" t="n">
        <v>16.3</v>
      </c>
      <c r="E196" s="14" t="n">
        <v>7755</v>
      </c>
      <c r="F196" s="15" t="n">
        <v>30.8</v>
      </c>
      <c r="G196" s="16" t="s">
        <v>483</v>
      </c>
    </row>
    <row r="197" customFormat="false" ht="15" hidden="false" customHeight="false" outlineLevel="0" collapsed="false">
      <c r="A197" s="12" t="n">
        <v>46235</v>
      </c>
      <c r="B197" s="13" t="s">
        <v>453</v>
      </c>
      <c r="C197" s="14" t="n">
        <v>13550</v>
      </c>
      <c r="D197" s="15" t="n">
        <v>144.7</v>
      </c>
      <c r="E197" s="14" t="n">
        <v>350</v>
      </c>
      <c r="F197" s="15" t="n">
        <v>105.8</v>
      </c>
      <c r="G197" s="16" t="s">
        <v>483</v>
      </c>
    </row>
    <row r="198" customFormat="false" ht="15" hidden="false" customHeight="false" outlineLevel="0" collapsed="false">
      <c r="A198" s="12" t="n">
        <v>46235</v>
      </c>
      <c r="B198" s="13" t="s">
        <v>454</v>
      </c>
      <c r="C198" s="14" t="n">
        <v>85051</v>
      </c>
      <c r="D198" s="15" t="n">
        <v>70.1</v>
      </c>
      <c r="E198" s="14" t="n">
        <v>2185</v>
      </c>
      <c r="F198" s="15" t="n">
        <v>103.6</v>
      </c>
      <c r="G198" s="16" t="s">
        <v>483</v>
      </c>
    </row>
    <row r="199" customFormat="false" ht="15" hidden="false" customHeight="false" outlineLevel="0" collapsed="false">
      <c r="A199" s="12" t="n">
        <v>46235</v>
      </c>
      <c r="B199" s="13" t="s">
        <v>455</v>
      </c>
      <c r="C199" s="14" t="n">
        <v>48494</v>
      </c>
      <c r="D199" s="15" t="n">
        <v>112.5</v>
      </c>
      <c r="E199" s="14" t="n">
        <v>1207</v>
      </c>
      <c r="F199" s="15" t="n">
        <v>123.6</v>
      </c>
      <c r="G199" s="16" t="s">
        <v>483</v>
      </c>
    </row>
    <row r="200" customFormat="false" ht="15" hidden="false" customHeight="false" outlineLevel="0" collapsed="false">
      <c r="A200" s="12" t="n">
        <v>46235</v>
      </c>
      <c r="B200" s="13" t="s">
        <v>451</v>
      </c>
      <c r="C200" s="14" t="n">
        <v>489764</v>
      </c>
      <c r="D200" s="15" t="n">
        <v>40.1</v>
      </c>
      <c r="E200" s="14" t="n">
        <v>15572</v>
      </c>
      <c r="F200" s="15" t="n">
        <v>43.1</v>
      </c>
      <c r="G200" s="16"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9" min="1" style="0" width="10"/>
    <col collapsed="false" customWidth="true" hidden="false" outlineLevel="0" max="10" min="10" style="0" width="14"/>
    <col collapsed="false" customWidth="true" hidden="false" outlineLevel="0" max="11" min="11" style="0" width="30"/>
  </cols>
  <sheetData>
    <row r="1" customFormat="false" ht="15" hidden="false" customHeight="false" outlineLevel="0" collapsed="false">
      <c r="A1" s="1" t="s">
        <v>484</v>
      </c>
    </row>
    <row r="2" customFormat="false" ht="15" hidden="false" customHeight="false" outlineLevel="0" collapsed="false">
      <c r="A2" s="2" t="s">
        <v>485</v>
      </c>
    </row>
    <row r="3" customFormat="false" ht="15" hidden="false" customHeight="false" outlineLevel="0" collapsed="false">
      <c r="B3" s="16" t="s">
        <v>451</v>
      </c>
      <c r="C3" s="16" t="s">
        <v>450</v>
      </c>
      <c r="D3" s="16" t="s">
        <v>452</v>
      </c>
      <c r="E3" s="16" t="s">
        <v>454</v>
      </c>
      <c r="F3" s="16" t="s">
        <v>455</v>
      </c>
      <c r="G3" s="16" t="s">
        <v>453</v>
      </c>
      <c r="H3" s="16" t="s">
        <v>448</v>
      </c>
    </row>
    <row r="4" customFormat="false" ht="29.85" hidden="false" customHeight="false" outlineLevel="0" collapsed="false">
      <c r="A4" s="10" t="s">
        <v>440</v>
      </c>
      <c r="B4" s="10" t="s">
        <v>486</v>
      </c>
      <c r="C4" s="10" t="s">
        <v>487</v>
      </c>
      <c r="D4" s="10" t="s">
        <v>488</v>
      </c>
      <c r="E4" s="10" t="s">
        <v>489</v>
      </c>
      <c r="F4" s="10" t="s">
        <v>490</v>
      </c>
      <c r="G4" s="17" t="s">
        <v>453</v>
      </c>
      <c r="H4" s="17" t="s">
        <v>448</v>
      </c>
      <c r="I4" s="10" t="s">
        <v>491</v>
      </c>
      <c r="J4" s="10" t="s">
        <v>492</v>
      </c>
      <c r="K4" s="10" t="s">
        <v>493</v>
      </c>
    </row>
    <row r="5" customFormat="false" ht="15" hidden="false" customHeight="false" outlineLevel="0" collapsed="false">
      <c r="A5" s="12" t="n">
        <v>45017</v>
      </c>
      <c r="B5" s="18"/>
      <c r="C5" s="18"/>
      <c r="D5" s="18"/>
      <c r="E5" s="18"/>
      <c r="F5" s="18"/>
      <c r="G5" s="18"/>
      <c r="H5" s="18"/>
      <c r="I5" s="18"/>
      <c r="J5" s="18"/>
      <c r="K5" s="2" t="s">
        <v>494</v>
      </c>
    </row>
    <row r="6" customFormat="false" ht="15" hidden="false" customHeight="false" outlineLevel="0" collapsed="false">
      <c r="A6" s="12" t="n">
        <v>45047</v>
      </c>
      <c r="B6" s="18"/>
      <c r="C6" s="18"/>
      <c r="D6" s="18"/>
      <c r="E6" s="18"/>
      <c r="F6" s="18"/>
      <c r="G6" s="18"/>
      <c r="H6" s="18"/>
      <c r="I6" s="18"/>
      <c r="J6" s="18"/>
      <c r="K6" s="16" t="s">
        <v>495</v>
      </c>
    </row>
    <row r="7" customFormat="false" ht="15" hidden="false" customHeight="false" outlineLevel="0" collapsed="false">
      <c r="A7" s="12" t="n">
        <v>45078</v>
      </c>
      <c r="B7" s="18"/>
      <c r="C7" s="18"/>
      <c r="D7" s="18"/>
      <c r="E7" s="18"/>
      <c r="F7" s="18"/>
      <c r="G7" s="18"/>
      <c r="H7" s="18"/>
      <c r="I7" s="18"/>
      <c r="J7" s="18"/>
      <c r="K7" s="2" t="s">
        <v>494</v>
      </c>
    </row>
    <row r="8" customFormat="false" ht="15" hidden="false" customHeight="false" outlineLevel="0" collapsed="false">
      <c r="A8" s="12" t="n">
        <v>45108</v>
      </c>
      <c r="B8" s="18"/>
      <c r="C8" s="18"/>
      <c r="D8" s="18"/>
      <c r="E8" s="18"/>
      <c r="F8" s="18"/>
      <c r="G8" s="18"/>
      <c r="H8" s="18"/>
      <c r="I8" s="18"/>
      <c r="J8" s="18"/>
      <c r="K8" s="2" t="s">
        <v>494</v>
      </c>
    </row>
    <row r="9" customFormat="false" ht="15" hidden="false" customHeight="false" outlineLevel="0" collapsed="false">
      <c r="A9" s="12" t="n">
        <v>45139</v>
      </c>
      <c r="B9" s="18"/>
      <c r="C9" s="18"/>
      <c r="D9" s="18"/>
      <c r="E9" s="18"/>
      <c r="F9" s="18"/>
      <c r="G9" s="18"/>
      <c r="H9" s="18"/>
      <c r="I9" s="18"/>
      <c r="J9" s="18"/>
      <c r="K9" s="2" t="s">
        <v>494</v>
      </c>
    </row>
    <row r="10" customFormat="false" ht="15" hidden="false" customHeight="false" outlineLevel="0" collapsed="false">
      <c r="A10" s="12" t="n">
        <v>45170</v>
      </c>
      <c r="B10" s="18"/>
      <c r="C10" s="18"/>
      <c r="D10" s="18"/>
      <c r="E10" s="18"/>
      <c r="F10" s="18"/>
      <c r="G10" s="18"/>
      <c r="H10" s="18"/>
      <c r="I10" s="18"/>
      <c r="J10" s="18"/>
      <c r="K10" s="2" t="s">
        <v>494</v>
      </c>
    </row>
    <row r="11" customFormat="false" ht="15" hidden="false" customHeight="false" outlineLevel="0" collapsed="false">
      <c r="A11" s="12" t="n">
        <v>45200</v>
      </c>
      <c r="B11" s="18"/>
      <c r="C11" s="18"/>
      <c r="D11" s="18"/>
      <c r="E11" s="18"/>
      <c r="F11" s="18"/>
      <c r="G11" s="18"/>
      <c r="H11" s="18"/>
      <c r="I11" s="18"/>
      <c r="J11" s="18"/>
      <c r="K11" s="2" t="s">
        <v>494</v>
      </c>
    </row>
    <row r="12" customFormat="false" ht="15" hidden="false" customHeight="false" outlineLevel="0" collapsed="false">
      <c r="A12" s="12" t="n">
        <v>45231</v>
      </c>
      <c r="B12" s="18"/>
      <c r="C12" s="18"/>
      <c r="D12" s="18"/>
      <c r="E12" s="18"/>
      <c r="F12" s="18"/>
      <c r="G12" s="18"/>
      <c r="H12" s="18"/>
      <c r="I12" s="18"/>
      <c r="J12" s="18"/>
      <c r="K12" s="2" t="s">
        <v>494</v>
      </c>
    </row>
    <row r="13" customFormat="false" ht="15" hidden="false" customHeight="false" outlineLevel="0" collapsed="false">
      <c r="A13" s="12" t="n">
        <v>45261</v>
      </c>
      <c r="B13" s="18"/>
      <c r="C13" s="18"/>
      <c r="D13" s="18"/>
      <c r="E13" s="18"/>
      <c r="F13" s="18"/>
      <c r="G13" s="18"/>
      <c r="H13" s="18"/>
      <c r="I13" s="18"/>
      <c r="J13" s="18"/>
      <c r="K13" s="2" t="s">
        <v>494</v>
      </c>
    </row>
    <row r="14" customFormat="false" ht="15" hidden="false" customHeight="false" outlineLevel="0" collapsed="false">
      <c r="A14" s="12" t="n">
        <v>45292</v>
      </c>
      <c r="B14" s="18"/>
      <c r="C14" s="18"/>
      <c r="D14" s="18"/>
      <c r="E14" s="18"/>
      <c r="F14" s="18"/>
      <c r="G14" s="18"/>
      <c r="H14" s="18"/>
      <c r="I14" s="18"/>
      <c r="J14" s="18"/>
      <c r="K14" s="2" t="s">
        <v>494</v>
      </c>
    </row>
    <row r="15" customFormat="false" ht="15" hidden="false" customHeight="false" outlineLevel="0" collapsed="false">
      <c r="A15" s="12" t="n">
        <v>45323</v>
      </c>
      <c r="B15" s="18"/>
      <c r="C15" s="18"/>
      <c r="D15" s="18"/>
      <c r="E15" s="18"/>
      <c r="F15" s="18"/>
      <c r="G15" s="18"/>
      <c r="H15" s="18"/>
      <c r="I15" s="18"/>
      <c r="J15" s="18"/>
      <c r="K15" s="2" t="s">
        <v>494</v>
      </c>
    </row>
    <row r="16" customFormat="false" ht="15" hidden="false" customHeight="false" outlineLevel="0" collapsed="false">
      <c r="A16" s="12" t="n">
        <v>45352</v>
      </c>
      <c r="B16" s="18"/>
      <c r="C16" s="18"/>
      <c r="D16" s="18"/>
      <c r="E16" s="18"/>
      <c r="F16" s="18"/>
      <c r="G16" s="18"/>
      <c r="H16" s="18"/>
      <c r="I16" s="18"/>
      <c r="J16" s="18"/>
      <c r="K16" s="2" t="s">
        <v>494</v>
      </c>
    </row>
    <row r="17" customFormat="false" ht="15" hidden="false" customHeight="false" outlineLevel="0" collapsed="false">
      <c r="A17" s="12" t="n">
        <v>45383</v>
      </c>
      <c r="B17" s="18"/>
      <c r="C17" s="18"/>
      <c r="D17" s="18"/>
      <c r="E17" s="18"/>
      <c r="F17" s="18"/>
      <c r="G17" s="18"/>
      <c r="H17" s="18"/>
      <c r="I17" s="18"/>
      <c r="J17" s="18"/>
      <c r="K17" s="2" t="s">
        <v>496</v>
      </c>
    </row>
    <row r="18" customFormat="false" ht="15" hidden="false" customHeight="false" outlineLevel="0" collapsed="false">
      <c r="A18" s="12" t="n">
        <v>45413</v>
      </c>
      <c r="B18" s="18"/>
      <c r="C18" s="18"/>
      <c r="D18" s="18"/>
      <c r="E18" s="18"/>
      <c r="F18" s="18"/>
      <c r="G18" s="18"/>
      <c r="H18" s="18"/>
      <c r="I18" s="18"/>
      <c r="J18" s="18"/>
      <c r="K18" s="2" t="s">
        <v>494</v>
      </c>
    </row>
    <row r="19" customFormat="false" ht="15" hidden="false" customHeight="false" outlineLevel="0" collapsed="false">
      <c r="A19" s="12" t="n">
        <v>45444</v>
      </c>
      <c r="B19" s="18"/>
      <c r="C19" s="18"/>
      <c r="D19" s="18"/>
      <c r="E19" s="18"/>
      <c r="F19" s="18"/>
      <c r="G19" s="18"/>
      <c r="H19" s="18"/>
      <c r="I19" s="18"/>
      <c r="J19" s="18"/>
      <c r="K19" s="2" t="s">
        <v>496</v>
      </c>
    </row>
    <row r="20" customFormat="false" ht="15" hidden="false" customHeight="false" outlineLevel="0" collapsed="false">
      <c r="A20" s="12" t="n">
        <v>45474</v>
      </c>
      <c r="B20" s="18"/>
      <c r="C20" s="18"/>
      <c r="D20" s="18"/>
      <c r="E20" s="18"/>
      <c r="F20" s="18"/>
      <c r="G20" s="18"/>
      <c r="H20" s="18"/>
      <c r="I20" s="18"/>
      <c r="J20" s="18"/>
      <c r="K20" s="2" t="s">
        <v>496</v>
      </c>
    </row>
    <row r="21" customFormat="false" ht="15" hidden="false" customHeight="false" outlineLevel="0" collapsed="false">
      <c r="A21" s="12" t="n">
        <v>45505</v>
      </c>
      <c r="B21" s="18"/>
      <c r="C21" s="18"/>
      <c r="D21" s="18"/>
      <c r="E21" s="18"/>
      <c r="F21" s="18"/>
      <c r="G21" s="18"/>
      <c r="H21" s="18"/>
      <c r="I21" s="18"/>
      <c r="J21" s="18"/>
      <c r="K21" s="2" t="s">
        <v>496</v>
      </c>
    </row>
    <row r="22" customFormat="false" ht="15" hidden="false" customHeight="false" outlineLevel="0" collapsed="false">
      <c r="A22" s="12" t="n">
        <v>45536</v>
      </c>
      <c r="B22" s="18"/>
      <c r="C22" s="18"/>
      <c r="D22" s="18"/>
      <c r="E22" s="18"/>
      <c r="F22" s="18"/>
      <c r="G22" s="18"/>
      <c r="H22" s="18"/>
      <c r="I22" s="18"/>
      <c r="J22" s="18"/>
      <c r="K22" s="2" t="s">
        <v>496</v>
      </c>
    </row>
    <row r="23" customFormat="false" ht="15" hidden="false" customHeight="false" outlineLevel="0" collapsed="false">
      <c r="A23" s="12" t="n">
        <v>45566</v>
      </c>
      <c r="B23" s="18"/>
      <c r="C23" s="18"/>
      <c r="D23" s="18"/>
      <c r="E23" s="18"/>
      <c r="F23" s="18"/>
      <c r="G23" s="18"/>
      <c r="H23" s="18"/>
      <c r="I23" s="18"/>
      <c r="J23" s="18"/>
      <c r="K23" s="2" t="s">
        <v>496</v>
      </c>
    </row>
    <row r="24" customFormat="false" ht="15" hidden="false" customHeight="false" outlineLevel="0" collapsed="false">
      <c r="A24" s="12" t="n">
        <v>45597</v>
      </c>
      <c r="B24" s="18"/>
      <c r="C24" s="18"/>
      <c r="D24" s="18"/>
      <c r="E24" s="18"/>
      <c r="F24" s="18"/>
      <c r="G24" s="18"/>
      <c r="H24" s="18"/>
      <c r="I24" s="18"/>
      <c r="J24" s="18"/>
      <c r="K24" s="2" t="s">
        <v>496</v>
      </c>
    </row>
    <row r="25" customFormat="false" ht="15" hidden="false" customHeight="false" outlineLevel="0" collapsed="false">
      <c r="A25" s="12" t="n">
        <v>45627</v>
      </c>
      <c r="B25" s="18"/>
      <c r="C25" s="18"/>
      <c r="D25" s="18"/>
      <c r="E25" s="18"/>
      <c r="F25" s="18"/>
      <c r="G25" s="18"/>
      <c r="H25" s="18"/>
      <c r="I25" s="18"/>
      <c r="J25" s="18"/>
      <c r="K25" s="2" t="s">
        <v>496</v>
      </c>
    </row>
    <row r="26" customFormat="false" ht="15" hidden="false" customHeight="false" outlineLevel="0" collapsed="false">
      <c r="A26" s="12" t="n">
        <v>45658</v>
      </c>
      <c r="B26" s="18"/>
      <c r="C26" s="18"/>
      <c r="D26" s="18"/>
      <c r="E26" s="18"/>
      <c r="F26" s="18"/>
      <c r="G26" s="18"/>
      <c r="H26" s="18"/>
      <c r="I26" s="18"/>
      <c r="J26" s="18"/>
      <c r="K26" s="2" t="s">
        <v>496</v>
      </c>
    </row>
    <row r="27" customFormat="false" ht="15" hidden="false" customHeight="false" outlineLevel="0" collapsed="false">
      <c r="A27" s="12" t="n">
        <v>45689</v>
      </c>
      <c r="B27" s="18"/>
      <c r="C27" s="18"/>
      <c r="D27" s="18"/>
      <c r="E27" s="18"/>
      <c r="F27" s="18"/>
      <c r="G27" s="18"/>
      <c r="H27" s="18"/>
      <c r="I27" s="18"/>
      <c r="J27" s="18"/>
      <c r="K27" s="2" t="s">
        <v>496</v>
      </c>
    </row>
    <row r="28" customFormat="false" ht="15" hidden="false" customHeight="false" outlineLevel="0" collapsed="false">
      <c r="A28" s="12" t="n">
        <v>45717</v>
      </c>
      <c r="B28" s="18"/>
      <c r="C28" s="18"/>
      <c r="D28" s="18"/>
      <c r="E28" s="18"/>
      <c r="F28" s="18"/>
      <c r="G28" s="18"/>
      <c r="H28" s="18"/>
      <c r="I28" s="18"/>
      <c r="J28" s="18"/>
      <c r="K28" s="2" t="s">
        <v>496</v>
      </c>
    </row>
    <row r="29" customFormat="false" ht="15" hidden="false" customHeight="false" outlineLevel="0" collapsed="false">
      <c r="A29" s="12" t="n">
        <v>45748</v>
      </c>
      <c r="B29" s="18"/>
      <c r="C29" s="18"/>
      <c r="D29" s="18"/>
      <c r="E29" s="18"/>
      <c r="F29" s="18"/>
      <c r="G29" s="18"/>
      <c r="H29" s="18"/>
      <c r="I29" s="18"/>
      <c r="J29" s="18"/>
      <c r="K29" s="2" t="s">
        <v>496</v>
      </c>
    </row>
    <row r="30" customFormat="false" ht="15" hidden="false" customHeight="false" outlineLevel="0" collapsed="false">
      <c r="A30" s="12" t="n">
        <v>45778</v>
      </c>
      <c r="B30" s="18"/>
      <c r="C30" s="18"/>
      <c r="D30" s="18"/>
      <c r="E30" s="18"/>
      <c r="F30" s="18"/>
      <c r="G30" s="18"/>
      <c r="H30" s="18"/>
      <c r="I30" s="18"/>
      <c r="J30" s="18"/>
      <c r="K30" s="2" t="s">
        <v>496</v>
      </c>
    </row>
    <row r="31" customFormat="false" ht="15" hidden="false" customHeight="false" outlineLevel="0" collapsed="false">
      <c r="A31" s="12" t="n">
        <v>45809</v>
      </c>
      <c r="B31" s="18"/>
      <c r="C31" s="18"/>
      <c r="D31" s="18"/>
      <c r="E31" s="18"/>
      <c r="F31" s="18"/>
      <c r="G31" s="18"/>
      <c r="H31" s="18"/>
      <c r="I31" s="18"/>
      <c r="J31" s="18"/>
      <c r="K31" s="2" t="s">
        <v>496</v>
      </c>
    </row>
    <row r="32" customFormat="false" ht="15" hidden="false" customHeight="false" outlineLevel="0" collapsed="false">
      <c r="A32" s="12" t="n">
        <v>45839</v>
      </c>
      <c r="B32" s="18"/>
      <c r="C32" s="18"/>
      <c r="D32" s="18"/>
      <c r="E32" s="18"/>
      <c r="F32" s="18"/>
      <c r="G32" s="18"/>
      <c r="H32" s="18"/>
      <c r="I32" s="18"/>
      <c r="J32" s="18"/>
      <c r="K32" s="2" t="s">
        <v>496</v>
      </c>
    </row>
    <row r="33" customFormat="false" ht="15" hidden="false" customHeight="false" outlineLevel="0" collapsed="false">
      <c r="A33" s="12" t="n">
        <v>45870</v>
      </c>
      <c r="B33" s="18"/>
      <c r="C33" s="18"/>
      <c r="D33" s="18"/>
      <c r="E33" s="18"/>
      <c r="F33" s="18"/>
      <c r="G33" s="18"/>
      <c r="H33" s="18"/>
      <c r="I33" s="18"/>
      <c r="J33" s="18"/>
      <c r="K33" s="2" t="s">
        <v>496</v>
      </c>
    </row>
    <row r="34" customFormat="false" ht="15" hidden="false" customHeight="false" outlineLevel="0" collapsed="false">
      <c r="A34" s="12" t="n">
        <v>45901</v>
      </c>
      <c r="B34" s="18"/>
      <c r="C34" s="18"/>
      <c r="D34" s="18"/>
      <c r="E34" s="18"/>
      <c r="F34" s="18"/>
      <c r="G34" s="18"/>
      <c r="H34" s="18"/>
      <c r="I34" s="18"/>
      <c r="J34" s="18"/>
      <c r="K34" s="2" t="s">
        <v>496</v>
      </c>
    </row>
    <row r="35" customFormat="false" ht="15" hidden="false" customHeight="false" outlineLevel="0" collapsed="false">
      <c r="A35" s="12" t="n">
        <v>45931</v>
      </c>
      <c r="B35" s="18"/>
      <c r="C35" s="18"/>
      <c r="D35" s="18"/>
      <c r="E35" s="18"/>
      <c r="F35" s="18"/>
      <c r="G35" s="18"/>
      <c r="H35" s="18"/>
      <c r="I35" s="18"/>
      <c r="J35" s="18"/>
      <c r="K35" s="2" t="s">
        <v>496</v>
      </c>
    </row>
    <row r="36" customFormat="false" ht="15" hidden="false" customHeight="false" outlineLevel="0" collapsed="false">
      <c r="A36" s="12" t="n">
        <v>45962</v>
      </c>
      <c r="B36" s="18"/>
      <c r="C36" s="18"/>
      <c r="D36" s="18"/>
      <c r="E36" s="18"/>
      <c r="F36" s="18"/>
      <c r="G36" s="18"/>
      <c r="H36" s="18"/>
      <c r="I36" s="18"/>
      <c r="J36" s="18"/>
      <c r="K36" s="2" t="s">
        <v>496</v>
      </c>
    </row>
    <row r="37" customFormat="false" ht="15" hidden="false" customHeight="false" outlineLevel="0" collapsed="false">
      <c r="A37" s="12" t="n">
        <v>45992</v>
      </c>
      <c r="B37" s="18"/>
      <c r="C37" s="18"/>
      <c r="D37" s="18"/>
      <c r="E37" s="18"/>
      <c r="F37" s="18"/>
      <c r="G37" s="18"/>
      <c r="H37" s="18"/>
      <c r="I37" s="18"/>
      <c r="J37" s="18"/>
      <c r="K37" s="2" t="s">
        <v>496</v>
      </c>
    </row>
    <row r="38" customFormat="false" ht="15" hidden="false" customHeight="false" outlineLevel="0" collapsed="false">
      <c r="A38" s="12" t="n">
        <v>46023</v>
      </c>
      <c r="B38" s="18"/>
      <c r="C38" s="18"/>
      <c r="D38" s="18"/>
      <c r="E38" s="18"/>
      <c r="F38" s="18"/>
      <c r="G38" s="18"/>
      <c r="H38" s="18"/>
      <c r="I38" s="18"/>
      <c r="J38" s="18"/>
      <c r="K38" s="2" t="s">
        <v>496</v>
      </c>
    </row>
    <row r="39" customFormat="false" ht="15" hidden="false" customHeight="false" outlineLevel="0" collapsed="false">
      <c r="A39" s="12" t="n">
        <v>46054</v>
      </c>
      <c r="B39" s="18"/>
      <c r="C39" s="18"/>
      <c r="D39" s="18"/>
      <c r="E39" s="18"/>
      <c r="F39" s="18"/>
      <c r="G39" s="18"/>
      <c r="H39" s="18"/>
      <c r="I39" s="18"/>
      <c r="J39" s="18"/>
      <c r="K39" s="2" t="s">
        <v>496</v>
      </c>
    </row>
    <row r="40" customFormat="false" ht="15" hidden="false" customHeight="false" outlineLevel="0" collapsed="false">
      <c r="A40" s="12" t="n">
        <v>46082</v>
      </c>
      <c r="B40" s="18"/>
      <c r="C40" s="18"/>
      <c r="D40" s="18"/>
      <c r="E40" s="18"/>
      <c r="F40" s="18"/>
      <c r="G40" s="18"/>
      <c r="H40" s="18"/>
      <c r="I40" s="18"/>
      <c r="J40" s="18"/>
      <c r="K40" s="2" t="s">
        <v>496</v>
      </c>
    </row>
    <row r="41" customFormat="false" ht="15" hidden="false" customHeight="false" outlineLevel="0" collapsed="false">
      <c r="A41" s="12" t="n">
        <v>46113</v>
      </c>
      <c r="B41" s="18"/>
      <c r="C41" s="18"/>
      <c r="D41" s="18"/>
      <c r="E41" s="18"/>
      <c r="F41" s="18"/>
      <c r="G41" s="18"/>
      <c r="H41" s="18"/>
      <c r="I41" s="18"/>
      <c r="J41" s="18"/>
      <c r="K41" s="2" t="s">
        <v>496</v>
      </c>
    </row>
    <row r="42" customFormat="false" ht="15" hidden="false" customHeight="false" outlineLevel="0" collapsed="false">
      <c r="A42" s="12" t="n">
        <v>46143</v>
      </c>
      <c r="B42" s="18"/>
      <c r="C42" s="18"/>
      <c r="D42" s="18"/>
      <c r="E42" s="18"/>
      <c r="F42" s="18"/>
      <c r="G42" s="18"/>
      <c r="H42" s="18"/>
      <c r="I42" s="18"/>
      <c r="J42" s="18"/>
      <c r="K42" s="2" t="s">
        <v>496</v>
      </c>
    </row>
    <row r="43" customFormat="false" ht="15" hidden="false" customHeight="false" outlineLevel="0" collapsed="false">
      <c r="A43" s="12" t="n">
        <v>46174</v>
      </c>
      <c r="B43" s="18"/>
      <c r="C43" s="18"/>
      <c r="D43" s="18"/>
      <c r="E43" s="18"/>
      <c r="F43" s="18"/>
      <c r="G43" s="18"/>
      <c r="H43" s="18"/>
      <c r="I43" s="18"/>
      <c r="J43" s="18"/>
      <c r="K43" s="2" t="s">
        <v>496</v>
      </c>
    </row>
    <row r="44" customFormat="false" ht="15" hidden="false" customHeight="false" outlineLevel="0" collapsed="false">
      <c r="A44" s="12" t="n">
        <v>46204</v>
      </c>
      <c r="B44" s="18"/>
      <c r="C44" s="18"/>
      <c r="D44" s="18"/>
      <c r="E44" s="18"/>
      <c r="F44" s="18"/>
      <c r="G44" s="18"/>
      <c r="H44" s="18"/>
      <c r="I44" s="18"/>
      <c r="J44" s="18"/>
      <c r="K44" s="2" t="s">
        <v>496</v>
      </c>
    </row>
    <row r="45" customFormat="false" ht="15" hidden="false" customHeight="false" outlineLevel="0" collapsed="false">
      <c r="A45" s="12" t="n">
        <v>46235</v>
      </c>
      <c r="B45" s="18"/>
      <c r="C45" s="18"/>
      <c r="D45" s="18"/>
      <c r="E45" s="18"/>
      <c r="F45" s="18"/>
      <c r="G45" s="18"/>
      <c r="H45" s="18"/>
      <c r="I45" s="18"/>
      <c r="J45" s="18"/>
      <c r="K45" s="2" t="s">
        <v>496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9" min="8" style="0" width="12"/>
  </cols>
  <sheetData>
    <row r="1" customFormat="false" ht="19.4" hidden="false" customHeight="false" outlineLevel="0" collapsed="false">
      <c r="A1" s="19" t="s">
        <v>497</v>
      </c>
    </row>
    <row r="2" customFormat="false" ht="15" hidden="false" customHeight="false" outlineLevel="0" collapsed="false">
      <c r="A2" s="2" t="s">
        <v>498</v>
      </c>
    </row>
    <row r="4" customFormat="false" ht="29.85" hidden="false" customHeight="false" outlineLevel="0" collapsed="false">
      <c r="A4" s="10" t="s">
        <v>499</v>
      </c>
      <c r="B4" s="10" t="s">
        <v>500</v>
      </c>
      <c r="C4" s="10" t="s">
        <v>501</v>
      </c>
      <c r="D4" s="10" t="s">
        <v>502</v>
      </c>
      <c r="E4" s="10" t="s">
        <v>503</v>
      </c>
      <c r="F4" s="10" t="s">
        <v>504</v>
      </c>
      <c r="G4" s="10" t="s">
        <v>505</v>
      </c>
      <c r="H4" s="10" t="s">
        <v>506</v>
      </c>
      <c r="I4" s="10" t="s">
        <v>507</v>
      </c>
    </row>
    <row r="5" customFormat="false" ht="15" hidden="false" customHeight="false" outlineLevel="0" collapsed="false">
      <c r="A5" s="20" t="s">
        <v>508</v>
      </c>
      <c r="B5" s="20" t="s">
        <v>509</v>
      </c>
      <c r="C5" s="12" t="n">
        <v>45078</v>
      </c>
      <c r="D5" s="14" t="n">
        <v>327</v>
      </c>
      <c r="E5" s="14" t="n">
        <v>185</v>
      </c>
      <c r="F5" s="14" t="n">
        <v>142</v>
      </c>
      <c r="G5" s="21" t="n">
        <v>0.29</v>
      </c>
      <c r="H5" s="18"/>
      <c r="I5" s="18"/>
    </row>
    <row r="6" customFormat="false" ht="15" hidden="false" customHeight="false" outlineLevel="0" collapsed="false">
      <c r="A6" s="20" t="s">
        <v>510</v>
      </c>
      <c r="B6" s="20" t="s">
        <v>511</v>
      </c>
      <c r="C6" s="12" t="n">
        <v>45170</v>
      </c>
      <c r="D6" s="14" t="n">
        <v>450</v>
      </c>
      <c r="E6" s="14" t="n">
        <v>262</v>
      </c>
      <c r="F6" s="14" t="n">
        <v>188</v>
      </c>
      <c r="G6" s="21" t="n">
        <v>0.49</v>
      </c>
      <c r="H6" s="18"/>
      <c r="I6" s="18"/>
    </row>
    <row r="7" customFormat="false" ht="15" hidden="false" customHeight="false" outlineLevel="0" collapsed="false">
      <c r="A7" s="20" t="s">
        <v>512</v>
      </c>
      <c r="B7" s="20" t="s">
        <v>513</v>
      </c>
      <c r="C7" s="12" t="n">
        <v>45261</v>
      </c>
      <c r="D7" s="14" t="n">
        <v>540</v>
      </c>
      <c r="E7" s="14" t="n">
        <v>375</v>
      </c>
      <c r="F7" s="14" t="n">
        <v>164</v>
      </c>
      <c r="G7" s="21" t="n">
        <v>0.45</v>
      </c>
      <c r="H7" s="18"/>
      <c r="I7" s="18"/>
    </row>
    <row r="8" customFormat="false" ht="15" hidden="false" customHeight="false" outlineLevel="0" collapsed="false">
      <c r="A8" s="20" t="s">
        <v>514</v>
      </c>
      <c r="B8" s="20" t="s">
        <v>515</v>
      </c>
      <c r="C8" s="12" t="n">
        <v>45352</v>
      </c>
      <c r="D8" s="14" t="n">
        <v>492</v>
      </c>
      <c r="E8" s="14" t="n">
        <v>361</v>
      </c>
      <c r="F8" s="14" t="n">
        <v>131</v>
      </c>
      <c r="G8" s="21" t="n">
        <v>0.5</v>
      </c>
      <c r="H8" s="18"/>
      <c r="I8" s="18"/>
    </row>
    <row r="9" customFormat="false" ht="15" hidden="false" customHeight="false" outlineLevel="0" collapsed="false">
      <c r="A9" s="20" t="s">
        <v>516</v>
      </c>
      <c r="B9" s="20" t="s">
        <v>517</v>
      </c>
      <c r="C9" s="12" t="n">
        <v>45444</v>
      </c>
      <c r="D9" s="14" t="n">
        <v>652</v>
      </c>
      <c r="E9" s="14" t="n">
        <v>439</v>
      </c>
      <c r="F9" s="14" t="n">
        <v>214</v>
      </c>
      <c r="G9" s="21" t="n">
        <v>0.5</v>
      </c>
      <c r="H9" s="18"/>
      <c r="I9" s="18"/>
    </row>
    <row r="10" customFormat="false" ht="15" hidden="false" customHeight="false" outlineLevel="0" collapsed="false">
      <c r="A10" s="20" t="s">
        <v>518</v>
      </c>
      <c r="B10" s="20" t="s">
        <v>519</v>
      </c>
      <c r="C10" s="12" t="n">
        <v>45536</v>
      </c>
      <c r="D10" s="14" t="n">
        <v>493</v>
      </c>
      <c r="E10" s="14" t="n">
        <v>315</v>
      </c>
      <c r="F10" s="14" t="n">
        <v>179</v>
      </c>
      <c r="G10" s="21" t="n">
        <v>0.44</v>
      </c>
      <c r="H10" s="18"/>
      <c r="I10" s="18"/>
    </row>
    <row r="11" customFormat="false" ht="15" hidden="false" customHeight="false" outlineLevel="0" collapsed="false">
      <c r="A11" s="20" t="s">
        <v>520</v>
      </c>
      <c r="B11" s="20" t="s">
        <v>521</v>
      </c>
      <c r="C11" s="12" t="n">
        <v>45627</v>
      </c>
      <c r="D11" s="14" t="n">
        <v>601</v>
      </c>
      <c r="E11" s="14" t="n">
        <v>420</v>
      </c>
      <c r="F11" s="14" t="n">
        <v>182</v>
      </c>
      <c r="G11" s="21" t="n">
        <v>0.4</v>
      </c>
      <c r="H11" s="18"/>
      <c r="I11" s="18"/>
    </row>
    <row r="12" customFormat="false" ht="15" hidden="false" customHeight="false" outlineLevel="0" collapsed="false">
      <c r="A12" s="20" t="s">
        <v>522</v>
      </c>
      <c r="B12" s="20" t="s">
        <v>523</v>
      </c>
      <c r="C12" s="12" t="n">
        <v>45717</v>
      </c>
      <c r="D12" s="14" t="n">
        <v>643</v>
      </c>
      <c r="E12" s="14" t="n">
        <v>470</v>
      </c>
      <c r="F12" s="14" t="n">
        <v>173</v>
      </c>
      <c r="G12" s="21" t="n">
        <v>0.41</v>
      </c>
      <c r="H12" s="18"/>
      <c r="I12" s="18"/>
    </row>
    <row r="13" customFormat="false" ht="15" hidden="false" customHeight="false" outlineLevel="0" collapsed="false">
      <c r="A13" s="20" t="s">
        <v>524</v>
      </c>
      <c r="B13" s="20" t="s">
        <v>525</v>
      </c>
      <c r="C13" s="12" t="n">
        <v>45809</v>
      </c>
      <c r="D13" s="14" t="n">
        <v>518</v>
      </c>
      <c r="E13" s="14" t="n">
        <v>317</v>
      </c>
      <c r="F13" s="14" t="n">
        <v>201</v>
      </c>
      <c r="G13" s="21" t="n">
        <v>0.38</v>
      </c>
      <c r="H13" s="18"/>
      <c r="I13" s="18"/>
    </row>
    <row r="14" customFormat="false" ht="15" hidden="false" customHeight="false" outlineLevel="0" collapsed="false">
      <c r="A14" s="20" t="s">
        <v>526</v>
      </c>
      <c r="B14" s="20" t="s">
        <v>527</v>
      </c>
      <c r="C14" s="12" t="n">
        <v>45901</v>
      </c>
      <c r="D14" s="14" t="n">
        <v>654</v>
      </c>
      <c r="E14" s="14" t="n">
        <v>416</v>
      </c>
      <c r="F14" s="14" t="n">
        <v>239</v>
      </c>
      <c r="G14" s="21" t="n">
        <v>0.44</v>
      </c>
      <c r="H14" s="18"/>
      <c r="I14" s="18"/>
    </row>
    <row r="15" customFormat="false" ht="15" hidden="false" customHeight="false" outlineLevel="0" collapsed="false">
      <c r="A15" s="20" t="s">
        <v>528</v>
      </c>
      <c r="B15" s="20" t="s">
        <v>529</v>
      </c>
      <c r="C15" s="12" t="n">
        <v>45992</v>
      </c>
      <c r="D15" s="14" t="n">
        <v>559</v>
      </c>
      <c r="E15" s="14" t="n">
        <v>313</v>
      </c>
      <c r="F15" s="14" t="n">
        <v>246</v>
      </c>
      <c r="G15" s="21" t="n">
        <v>0.31</v>
      </c>
      <c r="H15" s="18"/>
      <c r="I15" s="18"/>
    </row>
    <row r="16" customFormat="false" ht="15" hidden="false" customHeight="false" outlineLevel="0" collapsed="false">
      <c r="A16" s="20" t="s">
        <v>530</v>
      </c>
      <c r="B16" s="20" t="s">
        <v>531</v>
      </c>
      <c r="C16" s="12" t="n">
        <v>46082</v>
      </c>
      <c r="D16" s="14" t="n">
        <v>620</v>
      </c>
      <c r="E16" s="14" t="n">
        <v>355</v>
      </c>
      <c r="F16" s="14" t="n">
        <v>266</v>
      </c>
      <c r="G16" s="21" t="n">
        <v>0.26</v>
      </c>
      <c r="H16" s="18"/>
      <c r="I16" s="18"/>
    </row>
    <row r="17" customFormat="false" ht="15" hidden="false" customHeight="false" outlineLevel="0" collapsed="false">
      <c r="A17" s="20" t="s">
        <v>532</v>
      </c>
      <c r="B17" s="20" t="s">
        <v>533</v>
      </c>
      <c r="C17" s="12" t="n">
        <v>46174</v>
      </c>
      <c r="D17" s="14" t="n">
        <v>754</v>
      </c>
      <c r="G17" s="21" t="n">
        <v>0.25</v>
      </c>
      <c r="H17" s="18"/>
      <c r="I17" s="18"/>
    </row>
    <row r="19" customFormat="false" ht="15" hidden="false" customHeight="false" outlineLevel="0" collapsed="false">
      <c r="A19" s="2" t="s">
        <v>534</v>
      </c>
    </row>
    <row r="20" customFormat="false" ht="15" hidden="false" customHeight="false" outlineLevel="0" collapsed="false">
      <c r="A20" s="2" t="s">
        <v>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0"/>
    <col collapsed="false" customWidth="true" hidden="false" outlineLevel="0" max="7" min="4" style="0" width="9"/>
    <col collapsed="false" customWidth="true" hidden="false" outlineLevel="0" max="8" min="8" style="0" width="10"/>
    <col collapsed="false" customWidth="true" hidden="false" outlineLevel="0" max="12" min="9" style="0" width="9"/>
    <col collapsed="false" customWidth="true" hidden="false" outlineLevel="0" max="13" min="13" style="0" width="10"/>
  </cols>
  <sheetData>
    <row r="1" customFormat="false" ht="19.4" hidden="false" customHeight="false" outlineLevel="0" collapsed="false">
      <c r="A1" s="1" t="s">
        <v>536</v>
      </c>
    </row>
    <row r="2" customFormat="false" ht="15" hidden="false" customHeight="false" outlineLevel="0" collapsed="false">
      <c r="A2" s="16" t="s">
        <v>537</v>
      </c>
    </row>
    <row r="3" customFormat="false" ht="15" hidden="false" customHeight="false" outlineLevel="0" collapsed="false">
      <c r="D3" s="11" t="s">
        <v>538</v>
      </c>
      <c r="E3" s="22" t="n">
        <v>0</v>
      </c>
      <c r="F3" s="2" t="s">
        <v>539</v>
      </c>
      <c r="I3" s="11" t="s">
        <v>538</v>
      </c>
      <c r="J3" s="22" t="n">
        <v>1</v>
      </c>
      <c r="K3" s="2" t="s">
        <v>540</v>
      </c>
    </row>
    <row r="4" customFormat="false" ht="15" hidden="false" customHeight="false" outlineLevel="0" collapsed="false">
      <c r="A4" s="10" t="s">
        <v>499</v>
      </c>
      <c r="B4" s="10" t="s">
        <v>501</v>
      </c>
      <c r="C4" s="10" t="s">
        <v>502</v>
      </c>
      <c r="D4" s="10" t="s">
        <v>486</v>
      </c>
      <c r="E4" s="10" t="s">
        <v>488</v>
      </c>
      <c r="F4" s="10" t="s">
        <v>491</v>
      </c>
      <c r="G4" s="10" t="s">
        <v>489</v>
      </c>
      <c r="H4" s="10" t="s">
        <v>541</v>
      </c>
      <c r="I4" s="10" t="s">
        <v>486</v>
      </c>
      <c r="J4" s="10" t="s">
        <v>488</v>
      </c>
      <c r="K4" s="10" t="s">
        <v>491</v>
      </c>
      <c r="L4" s="10" t="s">
        <v>489</v>
      </c>
      <c r="M4" s="10" t="s">
        <v>541</v>
      </c>
    </row>
    <row r="6" customFormat="false" ht="15" hidden="false" customHeight="false" outlineLevel="0" collapsed="false">
      <c r="A6" s="20" t="s">
        <v>508</v>
      </c>
      <c r="B6" s="23" t="n">
        <f aca="false">KOKUSAI_四半期!C5</f>
        <v>45078</v>
      </c>
      <c r="C6" s="24" t="n">
        <f aca="false">KOKUSAI_四半期!D5</f>
        <v>327</v>
      </c>
      <c r="D6" s="18"/>
      <c r="E6" s="18"/>
      <c r="F6" s="18"/>
      <c r="G6" s="18"/>
      <c r="H6" s="25"/>
      <c r="I6" s="18"/>
      <c r="J6" s="18"/>
      <c r="K6" s="18"/>
      <c r="L6" s="18"/>
      <c r="M6" s="25"/>
    </row>
    <row r="7" customFormat="false" ht="15" hidden="false" customHeight="false" outlineLevel="0" collapsed="false">
      <c r="A7" s="20" t="s">
        <v>510</v>
      </c>
      <c r="B7" s="23" t="n">
        <f aca="false">KOKUSAI_四半期!C6</f>
        <v>45170</v>
      </c>
      <c r="C7" s="24" t="n">
        <f aca="false">KOKUSAI_四半期!D6</f>
        <v>450</v>
      </c>
      <c r="D7" s="18"/>
      <c r="E7" s="18"/>
      <c r="F7" s="18"/>
      <c r="G7" s="18"/>
      <c r="H7" s="25"/>
      <c r="I7" s="18"/>
      <c r="J7" s="18"/>
      <c r="K7" s="18"/>
      <c r="L7" s="18"/>
      <c r="M7" s="25"/>
    </row>
    <row r="8" customFormat="false" ht="15" hidden="false" customHeight="false" outlineLevel="0" collapsed="false">
      <c r="A8" s="20" t="s">
        <v>512</v>
      </c>
      <c r="B8" s="23" t="n">
        <f aca="false">KOKUSAI_四半期!C7</f>
        <v>45261</v>
      </c>
      <c r="C8" s="24" t="n">
        <f aca="false">KOKUSAI_四半期!D7</f>
        <v>540</v>
      </c>
      <c r="D8" s="18"/>
      <c r="E8" s="18"/>
      <c r="F8" s="18"/>
      <c r="G8" s="18"/>
      <c r="H8" s="25"/>
      <c r="I8" s="18"/>
      <c r="J8" s="18"/>
      <c r="K8" s="18"/>
      <c r="L8" s="18"/>
      <c r="M8" s="25"/>
    </row>
    <row r="9" customFormat="false" ht="15" hidden="false" customHeight="false" outlineLevel="0" collapsed="false">
      <c r="A9" s="20" t="s">
        <v>514</v>
      </c>
      <c r="B9" s="23" t="n">
        <f aca="false">KOKUSAI_四半期!C8</f>
        <v>45352</v>
      </c>
      <c r="C9" s="24" t="n">
        <f aca="false">KOKUSAI_四半期!D8</f>
        <v>492</v>
      </c>
      <c r="D9" s="18"/>
      <c r="E9" s="18"/>
      <c r="F9" s="18"/>
      <c r="G9" s="18"/>
      <c r="H9" s="25"/>
      <c r="I9" s="18"/>
      <c r="J9" s="18"/>
      <c r="K9" s="18"/>
      <c r="L9" s="18"/>
      <c r="M9" s="25"/>
    </row>
    <row r="10" customFormat="false" ht="15" hidden="false" customHeight="false" outlineLevel="0" collapsed="false">
      <c r="A10" s="20" t="s">
        <v>516</v>
      </c>
      <c r="B10" s="23" t="n">
        <f aca="false">KOKUSAI_四半期!C9</f>
        <v>45444</v>
      </c>
      <c r="C10" s="24" t="n">
        <f aca="false">KOKUSAI_四半期!D9</f>
        <v>652</v>
      </c>
      <c r="D10" s="18"/>
      <c r="E10" s="18"/>
      <c r="F10" s="18"/>
      <c r="G10" s="18"/>
      <c r="H10" s="25"/>
      <c r="I10" s="18"/>
      <c r="J10" s="18"/>
      <c r="K10" s="18"/>
      <c r="L10" s="18"/>
      <c r="M10" s="25"/>
    </row>
    <row r="11" customFormat="false" ht="15" hidden="false" customHeight="false" outlineLevel="0" collapsed="false">
      <c r="A11" s="20" t="s">
        <v>518</v>
      </c>
      <c r="B11" s="23" t="n">
        <f aca="false">KOKUSAI_四半期!C10</f>
        <v>45536</v>
      </c>
      <c r="C11" s="24" t="n">
        <f aca="false">KOKUSAI_四半期!D10</f>
        <v>493</v>
      </c>
      <c r="D11" s="18"/>
      <c r="E11" s="18"/>
      <c r="F11" s="18"/>
      <c r="G11" s="18"/>
      <c r="H11" s="25"/>
      <c r="I11" s="18"/>
      <c r="J11" s="18"/>
      <c r="K11" s="18"/>
      <c r="L11" s="18"/>
      <c r="M11" s="25"/>
    </row>
    <row r="12" customFormat="false" ht="15" hidden="false" customHeight="false" outlineLevel="0" collapsed="false">
      <c r="A12" s="20" t="s">
        <v>520</v>
      </c>
      <c r="B12" s="23" t="n">
        <f aca="false">KOKUSAI_四半期!C11</f>
        <v>45627</v>
      </c>
      <c r="C12" s="24" t="n">
        <f aca="false">KOKUSAI_四半期!D11</f>
        <v>601</v>
      </c>
      <c r="D12" s="18"/>
      <c r="E12" s="18"/>
      <c r="F12" s="18"/>
      <c r="G12" s="18"/>
      <c r="H12" s="25"/>
      <c r="I12" s="18"/>
      <c r="J12" s="18"/>
      <c r="K12" s="18"/>
      <c r="L12" s="18"/>
      <c r="M12" s="25"/>
    </row>
    <row r="13" customFormat="false" ht="15" hidden="false" customHeight="false" outlineLevel="0" collapsed="false">
      <c r="A13" s="20" t="s">
        <v>522</v>
      </c>
      <c r="B13" s="23" t="n">
        <f aca="false">KOKUSAI_四半期!C12</f>
        <v>45717</v>
      </c>
      <c r="C13" s="24" t="n">
        <f aca="false">KOKUSAI_四半期!D12</f>
        <v>643</v>
      </c>
      <c r="D13" s="18"/>
      <c r="E13" s="18"/>
      <c r="F13" s="18"/>
      <c r="G13" s="18"/>
      <c r="H13" s="25"/>
      <c r="I13" s="18"/>
      <c r="J13" s="18"/>
      <c r="K13" s="18"/>
      <c r="L13" s="18"/>
      <c r="M13" s="25"/>
    </row>
    <row r="14" customFormat="false" ht="15" hidden="false" customHeight="false" outlineLevel="0" collapsed="false">
      <c r="A14" s="20" t="s">
        <v>524</v>
      </c>
      <c r="B14" s="23" t="n">
        <f aca="false">KOKUSAI_四半期!C13</f>
        <v>45809</v>
      </c>
      <c r="C14" s="24" t="n">
        <f aca="false">KOKUSAI_四半期!D13</f>
        <v>518</v>
      </c>
      <c r="D14" s="18"/>
      <c r="E14" s="18"/>
      <c r="F14" s="18"/>
      <c r="G14" s="18"/>
      <c r="H14" s="25"/>
      <c r="I14" s="18"/>
      <c r="J14" s="18"/>
      <c r="K14" s="18"/>
      <c r="L14" s="18"/>
      <c r="M14" s="25"/>
    </row>
    <row r="15" customFormat="false" ht="15" hidden="false" customHeight="false" outlineLevel="0" collapsed="false">
      <c r="A15" s="20" t="s">
        <v>526</v>
      </c>
      <c r="B15" s="23" t="n">
        <f aca="false">KOKUSAI_四半期!C14</f>
        <v>45901</v>
      </c>
      <c r="C15" s="24" t="n">
        <f aca="false">KOKUSAI_四半期!D14</f>
        <v>654</v>
      </c>
      <c r="D15" s="18"/>
      <c r="E15" s="18"/>
      <c r="F15" s="18"/>
      <c r="G15" s="18"/>
      <c r="H15" s="25"/>
      <c r="I15" s="18"/>
      <c r="J15" s="18"/>
      <c r="K15" s="18"/>
      <c r="L15" s="18"/>
      <c r="M15" s="25"/>
    </row>
    <row r="16" customFormat="false" ht="15" hidden="false" customHeight="false" outlineLevel="0" collapsed="false">
      <c r="A16" s="20" t="s">
        <v>528</v>
      </c>
      <c r="B16" s="23" t="n">
        <f aca="false">KOKUSAI_四半期!C15</f>
        <v>45992</v>
      </c>
      <c r="C16" s="24" t="n">
        <f aca="false">KOKUSAI_四半期!D15</f>
        <v>559</v>
      </c>
      <c r="D16" s="18"/>
      <c r="E16" s="18"/>
      <c r="F16" s="18"/>
      <c r="G16" s="18"/>
      <c r="H16" s="25"/>
      <c r="I16" s="18"/>
      <c r="J16" s="18"/>
      <c r="K16" s="18"/>
      <c r="L16" s="18"/>
      <c r="M16" s="25"/>
    </row>
    <row r="17" customFormat="false" ht="15" hidden="false" customHeight="false" outlineLevel="0" collapsed="false">
      <c r="A17" s="20" t="s">
        <v>530</v>
      </c>
      <c r="B17" s="23" t="n">
        <f aca="false">KOKUSAI_四半期!C16</f>
        <v>46082</v>
      </c>
      <c r="C17" s="24" t="n">
        <f aca="false">KOKUSAI_四半期!D16</f>
        <v>620</v>
      </c>
      <c r="D17" s="18"/>
      <c r="E17" s="18"/>
      <c r="F17" s="18"/>
      <c r="G17" s="18"/>
      <c r="H17" s="25"/>
      <c r="I17" s="18"/>
      <c r="J17" s="18"/>
      <c r="K17" s="18"/>
      <c r="L17" s="18"/>
      <c r="M17" s="25"/>
    </row>
    <row r="18" customFormat="false" ht="15" hidden="false" customHeight="false" outlineLevel="0" collapsed="false">
      <c r="A18" s="20" t="s">
        <v>532</v>
      </c>
      <c r="B18" s="23" t="n">
        <f aca="false">KOKUSAI_四半期!C17</f>
        <v>46174</v>
      </c>
      <c r="C18" s="24" t="n">
        <f aca="false">KOKUSAI_四半期!D17</f>
        <v>754</v>
      </c>
      <c r="D18" s="18"/>
      <c r="E18" s="18"/>
      <c r="F18" s="18"/>
      <c r="G18" s="18"/>
      <c r="H18" s="25"/>
      <c r="I18" s="18"/>
      <c r="J18" s="18"/>
      <c r="K18" s="18"/>
      <c r="L18" s="18"/>
      <c r="M18" s="25"/>
    </row>
    <row r="19" customFormat="false" ht="15" hidden="false" customHeight="false" outlineLevel="0" collapsed="false">
      <c r="A19" s="20" t="s">
        <v>542</v>
      </c>
      <c r="B19" s="12" t="n">
        <v>46266</v>
      </c>
      <c r="D19" s="18"/>
      <c r="E19" s="18"/>
      <c r="F19" s="18"/>
      <c r="G19" s="18"/>
      <c r="I19" s="18"/>
      <c r="J19" s="18"/>
      <c r="K19" s="18"/>
      <c r="L19" s="18"/>
    </row>
    <row r="21" customFormat="false" ht="15" hidden="false" customHeight="false" outlineLevel="0" collapsed="false">
      <c r="A21" s="2" t="s">
        <v>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4" min="4" style="0" width="10"/>
    <col collapsed="false" customWidth="true" hidden="false" outlineLevel="0" max="6" min="5" style="0" width="8"/>
    <col collapsed="false" customWidth="true" hidden="false" outlineLevel="0" max="9" min="7" style="0" width="9"/>
    <col collapsed="false" customWidth="true" hidden="false" outlineLevel="0" max="10" min="10" style="0" width="7"/>
    <col collapsed="false" customWidth="true" hidden="false" outlineLevel="0" max="13" min="11" style="0" width="10"/>
    <col collapsed="false" customWidth="true" hidden="false" outlineLevel="0" max="14" min="14" style="0" width="9"/>
    <col collapsed="false" customWidth="true" hidden="false" outlineLevel="0" max="16" min="15" style="0" width="10"/>
    <col collapsed="false" customWidth="true" hidden="false" outlineLevel="0" max="19" min="17" style="0" width="9"/>
    <col collapsed="false" customWidth="true" hidden="false" outlineLevel="0" max="20" min="20" style="0" width="10"/>
  </cols>
  <sheetData>
    <row r="1" customFormat="false" ht="19.4" hidden="false" customHeight="false" outlineLevel="0" collapsed="false">
      <c r="A1" s="1" t="s">
        <v>544</v>
      </c>
    </row>
    <row r="2" customFormat="false" ht="15" hidden="false" customHeight="false" outlineLevel="0" collapsed="false">
      <c r="A2" s="2" t="s">
        <v>545</v>
      </c>
    </row>
    <row r="4" customFormat="false" ht="15" hidden="false" customHeight="false" outlineLevel="0" collapsed="false">
      <c r="A4" s="11" t="s">
        <v>546</v>
      </c>
    </row>
    <row r="5" customFormat="false" ht="29.85" hidden="false" customHeight="false" outlineLevel="0" collapsed="false">
      <c r="A5" s="10" t="s">
        <v>499</v>
      </c>
      <c r="B5" s="10" t="s">
        <v>502</v>
      </c>
      <c r="C5" s="10" t="s">
        <v>547</v>
      </c>
      <c r="D5" s="10" t="s">
        <v>548</v>
      </c>
      <c r="E5" s="10" t="s">
        <v>486</v>
      </c>
      <c r="F5" s="10" t="s">
        <v>488</v>
      </c>
      <c r="G5" s="10" t="s">
        <v>491</v>
      </c>
      <c r="H5" s="10" t="s">
        <v>549</v>
      </c>
      <c r="I5" s="10" t="s">
        <v>550</v>
      </c>
      <c r="J5" s="10" t="s">
        <v>551</v>
      </c>
      <c r="K5" s="10" t="s">
        <v>552</v>
      </c>
      <c r="L5" s="10" t="s">
        <v>553</v>
      </c>
      <c r="M5" s="10" t="s">
        <v>554</v>
      </c>
      <c r="N5" s="10" t="s">
        <v>555</v>
      </c>
      <c r="O5" s="10" t="s">
        <v>556</v>
      </c>
      <c r="P5" s="10" t="s">
        <v>557</v>
      </c>
      <c r="Q5" s="10" t="s">
        <v>558</v>
      </c>
      <c r="R5" s="10" t="s">
        <v>559</v>
      </c>
      <c r="S5" s="10" t="s">
        <v>560</v>
      </c>
      <c r="T5" s="10" t="s">
        <v>561</v>
      </c>
    </row>
    <row r="6" customFormat="false" ht="15" hidden="false" customHeight="false" outlineLevel="0" collapsed="false">
      <c r="A6" s="26" t="str">
        <f aca="false">四半期集計!A7</f>
        <v>24/3期 2Q</v>
      </c>
      <c r="B6" s="24" t="n">
        <f aca="false">KOKUSAI_四半期!D6</f>
        <v>450</v>
      </c>
      <c r="C6" s="24" t="n">
        <f aca="false">KOKUSAI_四半期!H6</f>
        <v>0</v>
      </c>
      <c r="D6" s="24" t="n">
        <f aca="false">KOKUSAI_四半期!I6</f>
        <v>0</v>
      </c>
      <c r="E6" s="24" t="n">
        <f aca="false">四半期集計!D7</f>
        <v>0</v>
      </c>
      <c r="F6" s="24" t="n">
        <f aca="false">四半期集計!E7</f>
        <v>0</v>
      </c>
      <c r="G6" s="24" t="n">
        <f aca="false">四半期集計!F7</f>
        <v>0</v>
      </c>
      <c r="H6" s="18"/>
      <c r="I6" s="27"/>
      <c r="J6" s="28"/>
      <c r="K6" s="27"/>
      <c r="L6" s="18"/>
      <c r="M6" s="27"/>
      <c r="N6" s="28"/>
      <c r="O6" s="18"/>
      <c r="P6" s="27"/>
      <c r="Q6" s="28"/>
      <c r="R6" s="18"/>
      <c r="S6" s="27"/>
      <c r="T6" s="27"/>
    </row>
    <row r="7" customFormat="false" ht="15" hidden="false" customHeight="false" outlineLevel="0" collapsed="false">
      <c r="A7" s="26" t="str">
        <f aca="false">四半期集計!A8</f>
        <v>24/3期 3Q</v>
      </c>
      <c r="B7" s="24" t="n">
        <f aca="false">KOKUSAI_四半期!D7</f>
        <v>540</v>
      </c>
      <c r="C7" s="24" t="n">
        <f aca="false">KOKUSAI_四半期!H7</f>
        <v>0</v>
      </c>
      <c r="D7" s="24" t="n">
        <f aca="false">KOKUSAI_四半期!I7</f>
        <v>0</v>
      </c>
      <c r="E7" s="24" t="n">
        <f aca="false">四半期集計!D8</f>
        <v>0</v>
      </c>
      <c r="F7" s="24" t="n">
        <f aca="false">四半期集計!E8</f>
        <v>0</v>
      </c>
      <c r="G7" s="24" t="n">
        <f aca="false">四半期集計!F8</f>
        <v>0</v>
      </c>
      <c r="H7" s="18"/>
      <c r="I7" s="27"/>
      <c r="J7" s="28"/>
      <c r="K7" s="27"/>
      <c r="L7" s="18"/>
      <c r="M7" s="27"/>
      <c r="N7" s="28"/>
      <c r="O7" s="18"/>
      <c r="P7" s="27"/>
      <c r="Q7" s="28"/>
      <c r="R7" s="18"/>
      <c r="S7" s="27"/>
      <c r="T7" s="27"/>
    </row>
    <row r="8" customFormat="false" ht="15" hidden="false" customHeight="false" outlineLevel="0" collapsed="false">
      <c r="A8" s="26" t="str">
        <f aca="false">四半期集計!A9</f>
        <v>24/3期 4Q</v>
      </c>
      <c r="B8" s="24" t="n">
        <f aca="false">KOKUSAI_四半期!D8</f>
        <v>492</v>
      </c>
      <c r="C8" s="24" t="n">
        <f aca="false">KOKUSAI_四半期!H8</f>
        <v>0</v>
      </c>
      <c r="D8" s="24" t="n">
        <f aca="false">KOKUSAI_四半期!I8</f>
        <v>0</v>
      </c>
      <c r="E8" s="24" t="n">
        <f aca="false">四半期集計!D9</f>
        <v>0</v>
      </c>
      <c r="F8" s="24" t="n">
        <f aca="false">四半期集計!E9</f>
        <v>0</v>
      </c>
      <c r="G8" s="24" t="n">
        <f aca="false">四半期集計!F9</f>
        <v>0</v>
      </c>
      <c r="H8" s="18"/>
      <c r="I8" s="27"/>
      <c r="J8" s="28"/>
      <c r="K8" s="27"/>
      <c r="L8" s="18"/>
      <c r="M8" s="27"/>
      <c r="N8" s="28"/>
      <c r="O8" s="18"/>
      <c r="P8" s="27"/>
      <c r="Q8" s="28"/>
      <c r="R8" s="18"/>
      <c r="S8" s="27"/>
      <c r="T8" s="27"/>
    </row>
    <row r="9" customFormat="false" ht="15" hidden="false" customHeight="false" outlineLevel="0" collapsed="false">
      <c r="A9" s="26" t="str">
        <f aca="false">四半期集計!A10</f>
        <v>25/3期 1Q</v>
      </c>
      <c r="B9" s="24" t="n">
        <f aca="false">KOKUSAI_四半期!D9</f>
        <v>652</v>
      </c>
      <c r="C9" s="24" t="n">
        <f aca="false">KOKUSAI_四半期!H9</f>
        <v>0</v>
      </c>
      <c r="D9" s="24" t="n">
        <f aca="false">KOKUSAI_四半期!I9</f>
        <v>0</v>
      </c>
      <c r="E9" s="24" t="n">
        <f aca="false">四半期集計!D10</f>
        <v>0</v>
      </c>
      <c r="F9" s="24" t="n">
        <f aca="false">四半期集計!E10</f>
        <v>0</v>
      </c>
      <c r="G9" s="24" t="n">
        <f aca="false">四半期集計!F10</f>
        <v>0</v>
      </c>
      <c r="H9" s="18"/>
      <c r="I9" s="27"/>
      <c r="J9" s="28"/>
      <c r="K9" s="27"/>
      <c r="L9" s="18"/>
      <c r="M9" s="27"/>
      <c r="N9" s="28"/>
      <c r="O9" s="18"/>
      <c r="P9" s="27"/>
      <c r="Q9" s="28"/>
      <c r="R9" s="18"/>
      <c r="S9" s="27"/>
      <c r="T9" s="27"/>
    </row>
    <row r="10" customFormat="false" ht="15" hidden="false" customHeight="false" outlineLevel="0" collapsed="false">
      <c r="A10" s="26" t="str">
        <f aca="false">四半期集計!A11</f>
        <v>25/3期 2Q</v>
      </c>
      <c r="B10" s="24" t="n">
        <f aca="false">KOKUSAI_四半期!D10</f>
        <v>493</v>
      </c>
      <c r="C10" s="24" t="n">
        <f aca="false">KOKUSAI_四半期!H10</f>
        <v>0</v>
      </c>
      <c r="D10" s="24" t="n">
        <f aca="false">KOKUSAI_四半期!I10</f>
        <v>0</v>
      </c>
      <c r="E10" s="24" t="n">
        <f aca="false">四半期集計!D11</f>
        <v>0</v>
      </c>
      <c r="F10" s="24" t="n">
        <f aca="false">四半期集計!E11</f>
        <v>0</v>
      </c>
      <c r="G10" s="24" t="n">
        <f aca="false">四半期集計!F11</f>
        <v>0</v>
      </c>
      <c r="H10" s="18"/>
      <c r="I10" s="27"/>
      <c r="J10" s="28"/>
      <c r="K10" s="27"/>
      <c r="L10" s="18"/>
      <c r="M10" s="27"/>
      <c r="N10" s="28"/>
      <c r="O10" s="18"/>
      <c r="P10" s="27"/>
      <c r="Q10" s="28"/>
      <c r="R10" s="18"/>
      <c r="S10" s="27"/>
      <c r="T10" s="27"/>
    </row>
    <row r="11" customFormat="false" ht="15" hidden="false" customHeight="false" outlineLevel="0" collapsed="false">
      <c r="A11" s="26" t="str">
        <f aca="false">四半期集計!A12</f>
        <v>25/3期 3Q</v>
      </c>
      <c r="B11" s="24" t="n">
        <f aca="false">KOKUSAI_四半期!D11</f>
        <v>601</v>
      </c>
      <c r="C11" s="24" t="n">
        <f aca="false">KOKUSAI_四半期!H11</f>
        <v>0</v>
      </c>
      <c r="D11" s="24" t="n">
        <f aca="false">KOKUSAI_四半期!I11</f>
        <v>0</v>
      </c>
      <c r="E11" s="24" t="n">
        <f aca="false">四半期集計!D12</f>
        <v>0</v>
      </c>
      <c r="F11" s="24" t="n">
        <f aca="false">四半期集計!E12</f>
        <v>0</v>
      </c>
      <c r="G11" s="24" t="n">
        <f aca="false">四半期集計!F12</f>
        <v>0</v>
      </c>
      <c r="H11" s="18"/>
      <c r="I11" s="27"/>
      <c r="J11" s="28"/>
      <c r="K11" s="27"/>
      <c r="L11" s="18"/>
      <c r="M11" s="27"/>
      <c r="N11" s="28"/>
      <c r="O11" s="18"/>
      <c r="P11" s="27"/>
      <c r="Q11" s="28"/>
      <c r="R11" s="18"/>
      <c r="S11" s="27"/>
      <c r="T11" s="27"/>
    </row>
    <row r="12" customFormat="false" ht="15" hidden="false" customHeight="false" outlineLevel="0" collapsed="false">
      <c r="A12" s="26" t="str">
        <f aca="false">四半期集計!A13</f>
        <v>25/3期 4Q</v>
      </c>
      <c r="B12" s="24" t="n">
        <f aca="false">KOKUSAI_四半期!D12</f>
        <v>643</v>
      </c>
      <c r="C12" s="24" t="n">
        <f aca="false">KOKUSAI_四半期!H12</f>
        <v>0</v>
      </c>
      <c r="D12" s="24" t="n">
        <f aca="false">KOKUSAI_四半期!I12</f>
        <v>0</v>
      </c>
      <c r="E12" s="24" t="n">
        <f aca="false">四半期集計!D13</f>
        <v>0</v>
      </c>
      <c r="F12" s="24" t="n">
        <f aca="false">四半期集計!E13</f>
        <v>0</v>
      </c>
      <c r="G12" s="24" t="n">
        <f aca="false">四半期集計!F13</f>
        <v>0</v>
      </c>
      <c r="H12" s="18"/>
      <c r="I12" s="27"/>
      <c r="J12" s="28"/>
      <c r="K12" s="27"/>
      <c r="L12" s="18"/>
      <c r="M12" s="27"/>
      <c r="N12" s="28"/>
      <c r="O12" s="18"/>
      <c r="P12" s="27"/>
      <c r="Q12" s="28"/>
      <c r="R12" s="18"/>
      <c r="S12" s="27"/>
      <c r="T12" s="27"/>
    </row>
    <row r="13" customFormat="false" ht="15" hidden="false" customHeight="false" outlineLevel="0" collapsed="false">
      <c r="A13" s="26" t="str">
        <f aca="false">四半期集計!A14</f>
        <v>26/3期 1Q</v>
      </c>
      <c r="B13" s="24" t="n">
        <f aca="false">KOKUSAI_四半期!D13</f>
        <v>518</v>
      </c>
      <c r="C13" s="24" t="n">
        <f aca="false">KOKUSAI_四半期!H13</f>
        <v>0</v>
      </c>
      <c r="D13" s="24" t="n">
        <f aca="false">KOKUSAI_四半期!I13</f>
        <v>0</v>
      </c>
      <c r="E13" s="24" t="n">
        <f aca="false">四半期集計!D14</f>
        <v>0</v>
      </c>
      <c r="F13" s="24" t="n">
        <f aca="false">四半期集計!E14</f>
        <v>0</v>
      </c>
      <c r="G13" s="24" t="n">
        <f aca="false">四半期集計!F14</f>
        <v>0</v>
      </c>
      <c r="H13" s="18"/>
      <c r="I13" s="27"/>
      <c r="J13" s="28"/>
      <c r="K13" s="27"/>
      <c r="L13" s="18"/>
      <c r="M13" s="27"/>
      <c r="N13" s="28"/>
      <c r="O13" s="18"/>
      <c r="P13" s="27"/>
      <c r="Q13" s="28"/>
      <c r="R13" s="18"/>
      <c r="S13" s="27"/>
      <c r="T13" s="27"/>
    </row>
    <row r="14" customFormat="false" ht="15" hidden="false" customHeight="false" outlineLevel="0" collapsed="false">
      <c r="A14" s="26" t="str">
        <f aca="false">四半期集計!A15</f>
        <v>26/3期 2Q</v>
      </c>
      <c r="B14" s="24" t="n">
        <f aca="false">KOKUSAI_四半期!D14</f>
        <v>654</v>
      </c>
      <c r="C14" s="24" t="n">
        <f aca="false">KOKUSAI_四半期!H14</f>
        <v>0</v>
      </c>
      <c r="D14" s="24" t="n">
        <f aca="false">KOKUSAI_四半期!I14</f>
        <v>0</v>
      </c>
      <c r="E14" s="24" t="n">
        <f aca="false">四半期集計!D15</f>
        <v>0</v>
      </c>
      <c r="F14" s="24" t="n">
        <f aca="false">四半期集計!E15</f>
        <v>0</v>
      </c>
      <c r="G14" s="24" t="n">
        <f aca="false">四半期集計!F15</f>
        <v>0</v>
      </c>
      <c r="H14" s="18"/>
      <c r="I14" s="27"/>
      <c r="J14" s="28"/>
      <c r="K14" s="27"/>
      <c r="L14" s="18"/>
      <c r="M14" s="27"/>
      <c r="N14" s="28"/>
      <c r="O14" s="18"/>
      <c r="P14" s="27"/>
      <c r="Q14" s="28"/>
      <c r="R14" s="18"/>
      <c r="S14" s="27"/>
      <c r="T14" s="27"/>
    </row>
    <row r="15" customFormat="false" ht="15" hidden="false" customHeight="false" outlineLevel="0" collapsed="false">
      <c r="A15" s="26" t="str">
        <f aca="false">四半期集計!A16</f>
        <v>26/3期 3Q</v>
      </c>
      <c r="B15" s="24" t="n">
        <f aca="false">KOKUSAI_四半期!D15</f>
        <v>559</v>
      </c>
      <c r="C15" s="24" t="n">
        <f aca="false">KOKUSAI_四半期!H15</f>
        <v>0</v>
      </c>
      <c r="D15" s="24" t="n">
        <f aca="false">KOKUSAI_四半期!I15</f>
        <v>0</v>
      </c>
      <c r="E15" s="24" t="n">
        <f aca="false">四半期集計!D16</f>
        <v>0</v>
      </c>
      <c r="F15" s="24" t="n">
        <f aca="false">四半期集計!E16</f>
        <v>0</v>
      </c>
      <c r="G15" s="24" t="n">
        <f aca="false">四半期集計!F16</f>
        <v>0</v>
      </c>
      <c r="H15" s="18"/>
      <c r="I15" s="27"/>
      <c r="J15" s="28"/>
      <c r="K15" s="27"/>
      <c r="L15" s="18"/>
      <c r="M15" s="27"/>
      <c r="N15" s="28"/>
      <c r="O15" s="18"/>
      <c r="P15" s="27"/>
      <c r="Q15" s="28"/>
      <c r="R15" s="18"/>
      <c r="S15" s="27"/>
      <c r="T15" s="27"/>
    </row>
    <row r="16" customFormat="false" ht="15" hidden="false" customHeight="false" outlineLevel="0" collapsed="false">
      <c r="A16" s="26" t="str">
        <f aca="false">四半期集計!A17</f>
        <v>26/3期 4Q</v>
      </c>
      <c r="B16" s="24" t="n">
        <f aca="false">KOKUSAI_四半期!D16</f>
        <v>620</v>
      </c>
      <c r="C16" s="24" t="n">
        <f aca="false">KOKUSAI_四半期!H16</f>
        <v>0</v>
      </c>
      <c r="D16" s="24" t="n">
        <f aca="false">KOKUSAI_四半期!I16</f>
        <v>0</v>
      </c>
      <c r="E16" s="24" t="n">
        <f aca="false">四半期集計!D17</f>
        <v>0</v>
      </c>
      <c r="F16" s="24" t="n">
        <f aca="false">四半期集計!E17</f>
        <v>0</v>
      </c>
      <c r="G16" s="24" t="n">
        <f aca="false">四半期集計!F17</f>
        <v>0</v>
      </c>
      <c r="H16" s="18"/>
      <c r="I16" s="27"/>
      <c r="J16" s="28"/>
      <c r="K16" s="27"/>
      <c r="L16" s="18"/>
      <c r="M16" s="27"/>
      <c r="N16" s="28"/>
      <c r="O16" s="18"/>
      <c r="P16" s="27"/>
      <c r="Q16" s="28"/>
      <c r="R16" s="18"/>
      <c r="S16" s="27"/>
      <c r="T16" s="27"/>
    </row>
    <row r="17" customFormat="false" ht="15" hidden="false" customHeight="false" outlineLevel="0" collapsed="false">
      <c r="A17" s="26" t="str">
        <f aca="false">四半期集計!A18</f>
        <v>27/3期 1Q</v>
      </c>
      <c r="B17" s="24" t="n">
        <f aca="false">KOKUSAI_四半期!D17</f>
        <v>754</v>
      </c>
      <c r="C17" s="24" t="n">
        <f aca="false">KOKUSAI_四半期!H17</f>
        <v>0</v>
      </c>
      <c r="D17" s="24" t="n">
        <f aca="false">KOKUSAI_四半期!I17</f>
        <v>0</v>
      </c>
      <c r="E17" s="24" t="n">
        <f aca="false">四半期集計!D18</f>
        <v>0</v>
      </c>
      <c r="F17" s="24" t="n">
        <f aca="false">四半期集計!E18</f>
        <v>0</v>
      </c>
      <c r="G17" s="24" t="n">
        <f aca="false">四半期集計!F18</f>
        <v>0</v>
      </c>
      <c r="H17" s="18"/>
      <c r="I17" s="27"/>
      <c r="J17" s="28"/>
      <c r="K17" s="27"/>
      <c r="L17" s="18"/>
      <c r="M17" s="27"/>
      <c r="N17" s="28"/>
      <c r="O17" s="18"/>
      <c r="P17" s="27"/>
      <c r="Q17" s="28"/>
      <c r="R17" s="18"/>
      <c r="S17" s="27"/>
      <c r="T17" s="27"/>
    </row>
    <row r="19" customFormat="false" ht="41" hidden="false" customHeight="false" outlineLevel="0" collapsed="false">
      <c r="A19" s="17"/>
      <c r="B19" s="10" t="s">
        <v>562</v>
      </c>
      <c r="C19" s="10" t="s">
        <v>563</v>
      </c>
      <c r="D19" s="10" t="s">
        <v>564</v>
      </c>
      <c r="E19" s="17" t="s">
        <v>565</v>
      </c>
      <c r="F19" s="17" t="s">
        <v>566</v>
      </c>
    </row>
    <row r="20" customFormat="false" ht="15" hidden="false" customHeight="false" outlineLevel="0" collapsed="false">
      <c r="B20" s="29" t="s">
        <v>567</v>
      </c>
      <c r="C20" s="30"/>
      <c r="D20" s="31"/>
      <c r="E20" s="32"/>
      <c r="F20" s="30"/>
    </row>
    <row r="21" customFormat="false" ht="15" hidden="false" customHeight="false" outlineLevel="0" collapsed="false">
      <c r="B21" s="29" t="s">
        <v>568</v>
      </c>
      <c r="C21" s="30"/>
      <c r="D21" s="31"/>
      <c r="E21" s="32"/>
    </row>
    <row r="22" customFormat="false" ht="15" hidden="false" customHeight="false" outlineLevel="0" collapsed="false">
      <c r="B22" s="29" t="s">
        <v>569</v>
      </c>
      <c r="C22" s="30"/>
      <c r="D22" s="31"/>
      <c r="E22" s="32"/>
    </row>
    <row r="23" customFormat="false" ht="15" hidden="false" customHeight="false" outlineLevel="0" collapsed="false">
      <c r="B23" s="29" t="s">
        <v>570</v>
      </c>
      <c r="E23" s="32"/>
      <c r="F23" s="30"/>
    </row>
    <row r="24" customFormat="false" ht="15" hidden="false" customHeight="false" outlineLevel="0" collapsed="false">
      <c r="B24" s="29" t="s">
        <v>571</v>
      </c>
      <c r="F24" s="30"/>
    </row>
    <row r="27" customFormat="false" ht="15" hidden="false" customHeight="false" outlineLevel="0" collapsed="false">
      <c r="A27" s="11" t="s">
        <v>572</v>
      </c>
    </row>
    <row r="28" customFormat="false" ht="29.85" hidden="false" customHeight="false" outlineLevel="0" collapsed="false">
      <c r="A28" s="10" t="s">
        <v>499</v>
      </c>
      <c r="B28" s="10" t="s">
        <v>502</v>
      </c>
      <c r="C28" s="10" t="s">
        <v>547</v>
      </c>
      <c r="D28" s="10" t="s">
        <v>548</v>
      </c>
      <c r="E28" s="10" t="s">
        <v>486</v>
      </c>
      <c r="F28" s="10" t="s">
        <v>488</v>
      </c>
      <c r="G28" s="10" t="s">
        <v>491</v>
      </c>
      <c r="H28" s="10" t="s">
        <v>549</v>
      </c>
      <c r="I28" s="10" t="s">
        <v>550</v>
      </c>
      <c r="J28" s="10" t="s">
        <v>551</v>
      </c>
      <c r="K28" s="10" t="s">
        <v>552</v>
      </c>
      <c r="L28" s="10" t="s">
        <v>553</v>
      </c>
      <c r="M28" s="10" t="s">
        <v>554</v>
      </c>
      <c r="N28" s="10" t="s">
        <v>555</v>
      </c>
      <c r="O28" s="10" t="s">
        <v>556</v>
      </c>
      <c r="P28" s="10" t="s">
        <v>557</v>
      </c>
      <c r="Q28" s="10" t="s">
        <v>558</v>
      </c>
      <c r="R28" s="10" t="s">
        <v>559</v>
      </c>
      <c r="S28" s="10" t="s">
        <v>560</v>
      </c>
      <c r="T28" s="10" t="s">
        <v>561</v>
      </c>
    </row>
    <row r="29" customFormat="false" ht="15" hidden="false" customHeight="false" outlineLevel="0" collapsed="false">
      <c r="A29" s="26" t="str">
        <f aca="false">四半期集計!A7</f>
        <v>24/3期 2Q</v>
      </c>
      <c r="B29" s="24" t="n">
        <f aca="false">KOKUSAI_四半期!D6</f>
        <v>450</v>
      </c>
      <c r="C29" s="24" t="n">
        <f aca="false">KOKUSAI_四半期!H6</f>
        <v>0</v>
      </c>
      <c r="D29" s="24" t="n">
        <f aca="false">KOKUSAI_四半期!I6</f>
        <v>0</v>
      </c>
      <c r="E29" s="24" t="n">
        <f aca="false">四半期集計!I7</f>
        <v>0</v>
      </c>
      <c r="F29" s="24" t="n">
        <f aca="false">四半期集計!J7</f>
        <v>0</v>
      </c>
      <c r="G29" s="24" t="n">
        <f aca="false">四半期集計!K7</f>
        <v>0</v>
      </c>
      <c r="H29" s="18"/>
      <c r="I29" s="27"/>
      <c r="J29" s="28"/>
      <c r="K29" s="27"/>
      <c r="L29" s="18"/>
      <c r="M29" s="27"/>
      <c r="N29" s="28"/>
      <c r="O29" s="18"/>
      <c r="P29" s="27"/>
      <c r="Q29" s="28"/>
      <c r="R29" s="18"/>
      <c r="S29" s="27"/>
      <c r="T29" s="27"/>
    </row>
    <row r="30" customFormat="false" ht="15" hidden="false" customHeight="false" outlineLevel="0" collapsed="false">
      <c r="A30" s="26" t="str">
        <f aca="false">四半期集計!A8</f>
        <v>24/3期 3Q</v>
      </c>
      <c r="B30" s="24" t="n">
        <f aca="false">KOKUSAI_四半期!D7</f>
        <v>540</v>
      </c>
      <c r="C30" s="24" t="n">
        <f aca="false">KOKUSAI_四半期!H7</f>
        <v>0</v>
      </c>
      <c r="D30" s="24" t="n">
        <f aca="false">KOKUSAI_四半期!I7</f>
        <v>0</v>
      </c>
      <c r="E30" s="24" t="n">
        <f aca="false">四半期集計!I8</f>
        <v>0</v>
      </c>
      <c r="F30" s="24" t="n">
        <f aca="false">四半期集計!J8</f>
        <v>0</v>
      </c>
      <c r="G30" s="24" t="n">
        <f aca="false">四半期集計!K8</f>
        <v>0</v>
      </c>
      <c r="H30" s="18"/>
      <c r="I30" s="27"/>
      <c r="J30" s="28"/>
      <c r="K30" s="27"/>
      <c r="L30" s="18"/>
      <c r="M30" s="27"/>
      <c r="N30" s="28"/>
      <c r="O30" s="18"/>
      <c r="P30" s="27"/>
      <c r="Q30" s="28"/>
      <c r="R30" s="18"/>
      <c r="S30" s="27"/>
      <c r="T30" s="27"/>
    </row>
    <row r="31" customFormat="false" ht="15" hidden="false" customHeight="false" outlineLevel="0" collapsed="false">
      <c r="A31" s="26" t="str">
        <f aca="false">四半期集計!A9</f>
        <v>24/3期 4Q</v>
      </c>
      <c r="B31" s="24" t="n">
        <f aca="false">KOKUSAI_四半期!D8</f>
        <v>492</v>
      </c>
      <c r="C31" s="24" t="n">
        <f aca="false">KOKUSAI_四半期!H8</f>
        <v>0</v>
      </c>
      <c r="D31" s="24" t="n">
        <f aca="false">KOKUSAI_四半期!I8</f>
        <v>0</v>
      </c>
      <c r="E31" s="24" t="n">
        <f aca="false">四半期集計!I9</f>
        <v>0</v>
      </c>
      <c r="F31" s="24" t="n">
        <f aca="false">四半期集計!J9</f>
        <v>0</v>
      </c>
      <c r="G31" s="24" t="n">
        <f aca="false">四半期集計!K9</f>
        <v>0</v>
      </c>
      <c r="H31" s="18"/>
      <c r="I31" s="27"/>
      <c r="J31" s="28"/>
      <c r="K31" s="27"/>
      <c r="L31" s="18"/>
      <c r="M31" s="27"/>
      <c r="N31" s="28"/>
      <c r="O31" s="18"/>
      <c r="P31" s="27"/>
      <c r="Q31" s="28"/>
      <c r="R31" s="18"/>
      <c r="S31" s="27"/>
      <c r="T31" s="27"/>
    </row>
    <row r="32" customFormat="false" ht="15" hidden="false" customHeight="false" outlineLevel="0" collapsed="false">
      <c r="A32" s="26" t="str">
        <f aca="false">四半期集計!A10</f>
        <v>25/3期 1Q</v>
      </c>
      <c r="B32" s="24" t="n">
        <f aca="false">KOKUSAI_四半期!D9</f>
        <v>652</v>
      </c>
      <c r="C32" s="24" t="n">
        <f aca="false">KOKUSAI_四半期!H9</f>
        <v>0</v>
      </c>
      <c r="D32" s="24" t="n">
        <f aca="false">KOKUSAI_四半期!I9</f>
        <v>0</v>
      </c>
      <c r="E32" s="24" t="n">
        <f aca="false">四半期集計!I10</f>
        <v>0</v>
      </c>
      <c r="F32" s="24" t="n">
        <f aca="false">四半期集計!J10</f>
        <v>0</v>
      </c>
      <c r="G32" s="24" t="n">
        <f aca="false">四半期集計!K10</f>
        <v>0</v>
      </c>
      <c r="H32" s="18"/>
      <c r="I32" s="27"/>
      <c r="J32" s="28"/>
      <c r="K32" s="27"/>
      <c r="L32" s="18"/>
      <c r="M32" s="27"/>
      <c r="N32" s="28"/>
      <c r="O32" s="18"/>
      <c r="P32" s="27"/>
      <c r="Q32" s="28"/>
      <c r="R32" s="18"/>
      <c r="S32" s="27"/>
      <c r="T32" s="27"/>
    </row>
    <row r="33" customFormat="false" ht="15" hidden="false" customHeight="false" outlineLevel="0" collapsed="false">
      <c r="A33" s="26" t="str">
        <f aca="false">四半期集計!A11</f>
        <v>25/3期 2Q</v>
      </c>
      <c r="B33" s="24" t="n">
        <f aca="false">KOKUSAI_四半期!D10</f>
        <v>493</v>
      </c>
      <c r="C33" s="24" t="n">
        <f aca="false">KOKUSAI_四半期!H10</f>
        <v>0</v>
      </c>
      <c r="D33" s="24" t="n">
        <f aca="false">KOKUSAI_四半期!I10</f>
        <v>0</v>
      </c>
      <c r="E33" s="24" t="n">
        <f aca="false">四半期集計!I11</f>
        <v>0</v>
      </c>
      <c r="F33" s="24" t="n">
        <f aca="false">四半期集計!J11</f>
        <v>0</v>
      </c>
      <c r="G33" s="24" t="n">
        <f aca="false">四半期集計!K11</f>
        <v>0</v>
      </c>
      <c r="H33" s="18"/>
      <c r="I33" s="27"/>
      <c r="J33" s="28"/>
      <c r="K33" s="27"/>
      <c r="L33" s="18"/>
      <c r="M33" s="27"/>
      <c r="N33" s="28"/>
      <c r="O33" s="18"/>
      <c r="P33" s="27"/>
      <c r="Q33" s="28"/>
      <c r="R33" s="18"/>
      <c r="S33" s="27"/>
      <c r="T33" s="27"/>
    </row>
    <row r="34" customFormat="false" ht="15" hidden="false" customHeight="false" outlineLevel="0" collapsed="false">
      <c r="A34" s="26" t="str">
        <f aca="false">四半期集計!A12</f>
        <v>25/3期 3Q</v>
      </c>
      <c r="B34" s="24" t="n">
        <f aca="false">KOKUSAI_四半期!D11</f>
        <v>601</v>
      </c>
      <c r="C34" s="24" t="n">
        <f aca="false">KOKUSAI_四半期!H11</f>
        <v>0</v>
      </c>
      <c r="D34" s="24" t="n">
        <f aca="false">KOKUSAI_四半期!I11</f>
        <v>0</v>
      </c>
      <c r="E34" s="24" t="n">
        <f aca="false">四半期集計!I12</f>
        <v>0</v>
      </c>
      <c r="F34" s="24" t="n">
        <f aca="false">四半期集計!J12</f>
        <v>0</v>
      </c>
      <c r="G34" s="24" t="n">
        <f aca="false">四半期集計!K12</f>
        <v>0</v>
      </c>
      <c r="H34" s="18"/>
      <c r="I34" s="27"/>
      <c r="J34" s="28"/>
      <c r="K34" s="27"/>
      <c r="L34" s="18"/>
      <c r="M34" s="27"/>
      <c r="N34" s="28"/>
      <c r="O34" s="18"/>
      <c r="P34" s="27"/>
      <c r="Q34" s="28"/>
      <c r="R34" s="18"/>
      <c r="S34" s="27"/>
      <c r="T34" s="27"/>
    </row>
    <row r="35" customFormat="false" ht="15" hidden="false" customHeight="false" outlineLevel="0" collapsed="false">
      <c r="A35" s="26" t="str">
        <f aca="false">四半期集計!A13</f>
        <v>25/3期 4Q</v>
      </c>
      <c r="B35" s="24" t="n">
        <f aca="false">KOKUSAI_四半期!D12</f>
        <v>643</v>
      </c>
      <c r="C35" s="24" t="n">
        <f aca="false">KOKUSAI_四半期!H12</f>
        <v>0</v>
      </c>
      <c r="D35" s="24" t="n">
        <f aca="false">KOKUSAI_四半期!I12</f>
        <v>0</v>
      </c>
      <c r="E35" s="24" t="n">
        <f aca="false">四半期集計!I13</f>
        <v>0</v>
      </c>
      <c r="F35" s="24" t="n">
        <f aca="false">四半期集計!J13</f>
        <v>0</v>
      </c>
      <c r="G35" s="24" t="n">
        <f aca="false">四半期集計!K13</f>
        <v>0</v>
      </c>
      <c r="H35" s="18"/>
      <c r="I35" s="27"/>
      <c r="J35" s="28"/>
      <c r="K35" s="27"/>
      <c r="L35" s="18"/>
      <c r="M35" s="27"/>
      <c r="N35" s="28"/>
      <c r="O35" s="18"/>
      <c r="P35" s="27"/>
      <c r="Q35" s="28"/>
      <c r="R35" s="18"/>
      <c r="S35" s="27"/>
      <c r="T35" s="27"/>
    </row>
    <row r="36" customFormat="false" ht="15" hidden="false" customHeight="false" outlineLevel="0" collapsed="false">
      <c r="A36" s="26" t="str">
        <f aca="false">四半期集計!A14</f>
        <v>26/3期 1Q</v>
      </c>
      <c r="B36" s="24" t="n">
        <f aca="false">KOKUSAI_四半期!D13</f>
        <v>518</v>
      </c>
      <c r="C36" s="24" t="n">
        <f aca="false">KOKUSAI_四半期!H13</f>
        <v>0</v>
      </c>
      <c r="D36" s="24" t="n">
        <f aca="false">KOKUSAI_四半期!I13</f>
        <v>0</v>
      </c>
      <c r="E36" s="24" t="n">
        <f aca="false">四半期集計!I14</f>
        <v>0</v>
      </c>
      <c r="F36" s="24" t="n">
        <f aca="false">四半期集計!J14</f>
        <v>0</v>
      </c>
      <c r="G36" s="24" t="n">
        <f aca="false">四半期集計!K14</f>
        <v>0</v>
      </c>
      <c r="H36" s="18"/>
      <c r="I36" s="27"/>
      <c r="J36" s="28"/>
      <c r="K36" s="27"/>
      <c r="L36" s="18"/>
      <c r="M36" s="27"/>
      <c r="N36" s="28"/>
      <c r="O36" s="18"/>
      <c r="P36" s="27"/>
      <c r="Q36" s="28"/>
      <c r="R36" s="18"/>
      <c r="S36" s="27"/>
      <c r="T36" s="27"/>
    </row>
    <row r="37" customFormat="false" ht="15" hidden="false" customHeight="false" outlineLevel="0" collapsed="false">
      <c r="A37" s="26" t="str">
        <f aca="false">四半期集計!A15</f>
        <v>26/3期 2Q</v>
      </c>
      <c r="B37" s="24" t="n">
        <f aca="false">KOKUSAI_四半期!D14</f>
        <v>654</v>
      </c>
      <c r="C37" s="24" t="n">
        <f aca="false">KOKUSAI_四半期!H14</f>
        <v>0</v>
      </c>
      <c r="D37" s="24" t="n">
        <f aca="false">KOKUSAI_四半期!I14</f>
        <v>0</v>
      </c>
      <c r="E37" s="24" t="n">
        <f aca="false">四半期集計!I15</f>
        <v>0</v>
      </c>
      <c r="F37" s="24" t="n">
        <f aca="false">四半期集計!J15</f>
        <v>0</v>
      </c>
      <c r="G37" s="24" t="n">
        <f aca="false">四半期集計!K15</f>
        <v>0</v>
      </c>
      <c r="H37" s="18"/>
      <c r="I37" s="27"/>
      <c r="J37" s="28"/>
      <c r="K37" s="27"/>
      <c r="L37" s="18"/>
      <c r="M37" s="27"/>
      <c r="N37" s="28"/>
      <c r="O37" s="18"/>
      <c r="P37" s="27"/>
      <c r="Q37" s="28"/>
      <c r="R37" s="18"/>
      <c r="S37" s="27"/>
      <c r="T37" s="27"/>
    </row>
    <row r="38" customFormat="false" ht="15" hidden="false" customHeight="false" outlineLevel="0" collapsed="false">
      <c r="A38" s="26" t="str">
        <f aca="false">四半期集計!A16</f>
        <v>26/3期 3Q</v>
      </c>
      <c r="B38" s="24" t="n">
        <f aca="false">KOKUSAI_四半期!D15</f>
        <v>559</v>
      </c>
      <c r="C38" s="24" t="n">
        <f aca="false">KOKUSAI_四半期!H15</f>
        <v>0</v>
      </c>
      <c r="D38" s="24" t="n">
        <f aca="false">KOKUSAI_四半期!I15</f>
        <v>0</v>
      </c>
      <c r="E38" s="24" t="n">
        <f aca="false">四半期集計!I16</f>
        <v>0</v>
      </c>
      <c r="F38" s="24" t="n">
        <f aca="false">四半期集計!J16</f>
        <v>0</v>
      </c>
      <c r="G38" s="24" t="n">
        <f aca="false">四半期集計!K16</f>
        <v>0</v>
      </c>
      <c r="H38" s="18"/>
      <c r="I38" s="27"/>
      <c r="J38" s="28"/>
      <c r="K38" s="27"/>
      <c r="L38" s="18"/>
      <c r="M38" s="27"/>
      <c r="N38" s="28"/>
      <c r="O38" s="18"/>
      <c r="P38" s="27"/>
      <c r="Q38" s="28"/>
      <c r="R38" s="18"/>
      <c r="S38" s="27"/>
      <c r="T38" s="27"/>
    </row>
    <row r="39" customFormat="false" ht="15" hidden="false" customHeight="false" outlineLevel="0" collapsed="false">
      <c r="A39" s="26" t="str">
        <f aca="false">四半期集計!A17</f>
        <v>26/3期 4Q</v>
      </c>
      <c r="B39" s="24" t="n">
        <f aca="false">KOKUSAI_四半期!D16</f>
        <v>620</v>
      </c>
      <c r="C39" s="24" t="n">
        <f aca="false">KOKUSAI_四半期!H16</f>
        <v>0</v>
      </c>
      <c r="D39" s="24" t="n">
        <f aca="false">KOKUSAI_四半期!I16</f>
        <v>0</v>
      </c>
      <c r="E39" s="24" t="n">
        <f aca="false">四半期集計!I17</f>
        <v>0</v>
      </c>
      <c r="F39" s="24" t="n">
        <f aca="false">四半期集計!J17</f>
        <v>0</v>
      </c>
      <c r="G39" s="24" t="n">
        <f aca="false">四半期集計!K17</f>
        <v>0</v>
      </c>
      <c r="H39" s="18"/>
      <c r="I39" s="27"/>
      <c r="J39" s="28"/>
      <c r="K39" s="27"/>
      <c r="L39" s="18"/>
      <c r="M39" s="27"/>
      <c r="N39" s="28"/>
      <c r="O39" s="18"/>
      <c r="P39" s="27"/>
      <c r="Q39" s="28"/>
      <c r="R39" s="18"/>
      <c r="S39" s="27"/>
      <c r="T39" s="27"/>
    </row>
    <row r="40" customFormat="false" ht="15" hidden="false" customHeight="false" outlineLevel="0" collapsed="false">
      <c r="A40" s="26" t="str">
        <f aca="false">四半期集計!A18</f>
        <v>27/3期 1Q</v>
      </c>
      <c r="B40" s="24" t="n">
        <f aca="false">KOKUSAI_四半期!D17</f>
        <v>754</v>
      </c>
      <c r="C40" s="24" t="n">
        <f aca="false">KOKUSAI_四半期!H17</f>
        <v>0</v>
      </c>
      <c r="D40" s="24" t="n">
        <f aca="false">KOKUSAI_四半期!I17</f>
        <v>0</v>
      </c>
      <c r="E40" s="24" t="n">
        <f aca="false">四半期集計!I18</f>
        <v>0</v>
      </c>
      <c r="F40" s="24" t="n">
        <f aca="false">四半期集計!J18</f>
        <v>0</v>
      </c>
      <c r="G40" s="24" t="n">
        <f aca="false">四半期集計!K18</f>
        <v>0</v>
      </c>
      <c r="H40" s="18"/>
      <c r="I40" s="27"/>
      <c r="J40" s="28"/>
      <c r="K40" s="27"/>
      <c r="L40" s="18"/>
      <c r="M40" s="27"/>
      <c r="N40" s="28"/>
      <c r="O40" s="18"/>
      <c r="P40" s="27"/>
      <c r="Q40" s="28"/>
      <c r="R40" s="18"/>
      <c r="S40" s="27"/>
      <c r="T40" s="27"/>
    </row>
    <row r="42" customFormat="false" ht="41" hidden="false" customHeight="false" outlineLevel="0" collapsed="false">
      <c r="A42" s="17"/>
      <c r="B42" s="10" t="s">
        <v>562</v>
      </c>
      <c r="C42" s="10" t="s">
        <v>563</v>
      </c>
      <c r="D42" s="10" t="s">
        <v>564</v>
      </c>
      <c r="E42" s="17" t="s">
        <v>565</v>
      </c>
      <c r="F42" s="17" t="s">
        <v>566</v>
      </c>
    </row>
    <row r="43" customFormat="false" ht="15" hidden="false" customHeight="false" outlineLevel="0" collapsed="false">
      <c r="B43" s="29" t="s">
        <v>567</v>
      </c>
      <c r="C43" s="30"/>
      <c r="D43" s="31"/>
      <c r="E43" s="32"/>
      <c r="F43" s="30"/>
    </row>
    <row r="44" customFormat="false" ht="15" hidden="false" customHeight="false" outlineLevel="0" collapsed="false">
      <c r="B44" s="29" t="s">
        <v>568</v>
      </c>
      <c r="C44" s="30"/>
      <c r="D44" s="31"/>
      <c r="E44" s="32"/>
    </row>
    <row r="45" customFormat="false" ht="15" hidden="false" customHeight="false" outlineLevel="0" collapsed="false">
      <c r="B45" s="29" t="s">
        <v>569</v>
      </c>
      <c r="C45" s="30"/>
      <c r="D45" s="31"/>
      <c r="E45" s="32"/>
    </row>
    <row r="46" customFormat="false" ht="15" hidden="false" customHeight="false" outlineLevel="0" collapsed="false">
      <c r="B46" s="29" t="s">
        <v>570</v>
      </c>
      <c r="E46" s="32"/>
      <c r="F46" s="30"/>
    </row>
    <row r="47" customFormat="false" ht="15" hidden="false" customHeight="false" outlineLevel="0" collapsed="false">
      <c r="B47" s="29" t="s">
        <v>571</v>
      </c>
      <c r="F47"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6" min="5" style="0" width="13"/>
    <col collapsed="false" customWidth="true" hidden="false" outlineLevel="0" max="7" min="7" style="0" width="11"/>
    <col collapsed="false" customWidth="true" hidden="false" outlineLevel="0" max="9" min="8" style="0" width="10"/>
    <col collapsed="false" customWidth="true" hidden="false" outlineLevel="0" max="10" min="10" style="0" width="11"/>
  </cols>
  <sheetData>
    <row r="1" customFormat="false" ht="19.4" hidden="false" customHeight="false" outlineLevel="0" collapsed="false">
      <c r="A1" s="19" t="s">
        <v>573</v>
      </c>
    </row>
    <row r="2" customFormat="false" ht="15" hidden="false" customHeight="false" outlineLevel="0" collapsed="false">
      <c r="A2" s="16" t="s">
        <v>574</v>
      </c>
    </row>
    <row r="4" customFormat="false" ht="15" hidden="false" customHeight="false" outlineLevel="0" collapsed="false">
      <c r="A4" s="11" t="s">
        <v>575</v>
      </c>
    </row>
    <row r="5" customFormat="false" ht="15" hidden="false" customHeight="false" outlineLevel="0" collapsed="false">
      <c r="A5" s="10" t="s">
        <v>576</v>
      </c>
      <c r="B5" s="10" t="s">
        <v>488</v>
      </c>
      <c r="C5" s="10" t="s">
        <v>491</v>
      </c>
      <c r="D5" s="10" t="s">
        <v>486</v>
      </c>
    </row>
    <row r="6" customFormat="false" ht="15" hidden="false" customHeight="false" outlineLevel="0" collapsed="false">
      <c r="A6" s="20" t="s">
        <v>577</v>
      </c>
      <c r="B6" s="32"/>
      <c r="C6" s="32"/>
      <c r="D6" s="32"/>
    </row>
    <row r="7" customFormat="false" ht="15" hidden="false" customHeight="false" outlineLevel="0" collapsed="false">
      <c r="A7" s="20" t="s">
        <v>578</v>
      </c>
      <c r="B7" s="32"/>
      <c r="C7" s="32"/>
      <c r="D7" s="32"/>
    </row>
    <row r="8" customFormat="false" ht="15" hidden="false" customHeight="false" outlineLevel="0" collapsed="false">
      <c r="A8" s="20" t="s">
        <v>579</v>
      </c>
      <c r="B8" s="32"/>
      <c r="C8" s="32"/>
      <c r="D8" s="32"/>
    </row>
    <row r="9" customFormat="false" ht="15" hidden="false" customHeight="false" outlineLevel="0" collapsed="false">
      <c r="A9" s="29" t="s">
        <v>409</v>
      </c>
      <c r="B9" s="32"/>
      <c r="C9" s="32"/>
      <c r="D9" s="32"/>
    </row>
    <row r="10" customFormat="false" ht="15" hidden="false" customHeight="false" outlineLevel="0" collapsed="false">
      <c r="A10" s="29" t="s">
        <v>412</v>
      </c>
      <c r="B10" s="32"/>
      <c r="C10" s="32"/>
      <c r="D10" s="32"/>
    </row>
    <row r="12" customFormat="false" ht="15" hidden="false" customHeight="false" outlineLevel="0" collapsed="false">
      <c r="A12" s="11" t="s">
        <v>580</v>
      </c>
      <c r="G12" s="11" t="s">
        <v>581</v>
      </c>
    </row>
    <row r="13" customFormat="false" ht="15" hidden="false" customHeight="false" outlineLevel="0" collapsed="false">
      <c r="A13" s="10" t="s">
        <v>582</v>
      </c>
      <c r="B13" s="10" t="s">
        <v>488</v>
      </c>
      <c r="C13" s="10" t="s">
        <v>491</v>
      </c>
      <c r="D13" s="10" t="s">
        <v>486</v>
      </c>
      <c r="E13" s="10" t="s">
        <v>583</v>
      </c>
      <c r="G13" s="17"/>
      <c r="H13" s="10" t="s">
        <v>488</v>
      </c>
      <c r="I13" s="10" t="s">
        <v>491</v>
      </c>
      <c r="J13" s="10" t="s">
        <v>486</v>
      </c>
    </row>
    <row r="14" customFormat="false" ht="15" hidden="false" customHeight="false" outlineLevel="0" collapsed="false">
      <c r="A14" s="29" t="s">
        <v>584</v>
      </c>
      <c r="B14" s="33" t="n">
        <v>1</v>
      </c>
      <c r="C14" s="33" t="n">
        <v>1</v>
      </c>
      <c r="D14" s="33" t="n">
        <v>1</v>
      </c>
      <c r="E14" s="16" t="s">
        <v>585</v>
      </c>
      <c r="G14" s="20" t="s">
        <v>586</v>
      </c>
      <c r="H14" s="18"/>
      <c r="I14" s="18"/>
      <c r="J14" s="18"/>
    </row>
    <row r="15" customFormat="false" ht="15" hidden="false" customHeight="false" outlineLevel="0" collapsed="false">
      <c r="A15" s="29" t="s">
        <v>587</v>
      </c>
      <c r="B15" s="32"/>
      <c r="C15" s="32"/>
      <c r="D15" s="32"/>
      <c r="E15" s="2" t="s">
        <v>588</v>
      </c>
      <c r="G15" s="20" t="s">
        <v>589</v>
      </c>
      <c r="H15" s="18"/>
      <c r="I15" s="18"/>
      <c r="J15" s="18"/>
    </row>
    <row r="16" customFormat="false" ht="15" hidden="false" customHeight="false" outlineLevel="0" collapsed="false">
      <c r="A16" s="29" t="s">
        <v>590</v>
      </c>
      <c r="B16" s="32"/>
      <c r="C16" s="32"/>
      <c r="D16" s="32"/>
      <c r="E16" s="2" t="s">
        <v>591</v>
      </c>
      <c r="G16" s="29" t="s">
        <v>592</v>
      </c>
      <c r="H16" s="18"/>
      <c r="I16" s="18"/>
      <c r="J16" s="18"/>
    </row>
    <row r="17" customFormat="false" ht="15" hidden="false" customHeight="false" outlineLevel="0" collapsed="false">
      <c r="G17" s="29" t="s">
        <v>409</v>
      </c>
      <c r="H17" s="18"/>
      <c r="I17" s="18"/>
      <c r="J17" s="18"/>
    </row>
    <row r="19" customFormat="false" ht="15" hidden="false" customHeight="false" outlineLevel="0" collapsed="false">
      <c r="A19" s="11" t="s">
        <v>593</v>
      </c>
    </row>
    <row r="20" customFormat="false" ht="29.85" hidden="false" customHeight="false" outlineLevel="0" collapsed="false">
      <c r="A20" s="10" t="s">
        <v>582</v>
      </c>
      <c r="B20" s="10" t="s">
        <v>594</v>
      </c>
      <c r="C20" s="10" t="s">
        <v>595</v>
      </c>
      <c r="D20" s="10" t="s">
        <v>596</v>
      </c>
      <c r="E20" s="10" t="s">
        <v>597</v>
      </c>
      <c r="F20" s="10" t="s">
        <v>598</v>
      </c>
      <c r="G20" s="10" t="s">
        <v>599</v>
      </c>
      <c r="H20" s="10" t="s">
        <v>600</v>
      </c>
      <c r="I20" s="10" t="s">
        <v>601</v>
      </c>
      <c r="J20" s="10" t="s">
        <v>602</v>
      </c>
    </row>
    <row r="21" customFormat="false" ht="15" hidden="false" customHeight="false" outlineLevel="0" collapsed="false">
      <c r="A21" s="29" t="s">
        <v>584</v>
      </c>
      <c r="B21" s="18"/>
      <c r="C21" s="18"/>
      <c r="D21" s="18"/>
      <c r="E21" s="18"/>
      <c r="F21" s="18"/>
      <c r="G21" s="18"/>
      <c r="H21" s="18"/>
      <c r="I21" s="18"/>
      <c r="J21" s="18"/>
    </row>
    <row r="22" customFormat="false" ht="15" hidden="false" customHeight="false" outlineLevel="0" collapsed="false">
      <c r="A22" s="29" t="s">
        <v>587</v>
      </c>
      <c r="B22" s="18"/>
      <c r="C22" s="18"/>
      <c r="D22" s="18"/>
      <c r="E22" s="18"/>
      <c r="F22" s="18"/>
      <c r="G22" s="18"/>
      <c r="H22" s="18"/>
      <c r="I22" s="18"/>
      <c r="J22" s="18"/>
    </row>
    <row r="23" customFormat="false" ht="15" hidden="false" customHeight="false" outlineLevel="0" collapsed="false">
      <c r="A23" s="29" t="s">
        <v>590</v>
      </c>
      <c r="B23" s="18"/>
      <c r="C23" s="18"/>
      <c r="D23" s="18"/>
      <c r="E23" s="18"/>
      <c r="F23" s="18"/>
      <c r="G23" s="18"/>
      <c r="H23" s="18"/>
      <c r="I23" s="18"/>
      <c r="J23" s="18"/>
    </row>
    <row r="25" customFormat="false" ht="15" hidden="false" customHeight="false" outlineLevel="0" collapsed="false">
      <c r="A25" s="11" t="s">
        <v>603</v>
      </c>
    </row>
    <row r="26" customFormat="false" ht="29.85" hidden="false" customHeight="false" outlineLevel="0" collapsed="false">
      <c r="A26" s="17"/>
      <c r="B26" s="10" t="s">
        <v>604</v>
      </c>
      <c r="C26" s="10" t="s">
        <v>605</v>
      </c>
      <c r="D26" s="10" t="s">
        <v>606</v>
      </c>
      <c r="E26" s="10" t="s">
        <v>597</v>
      </c>
      <c r="F26" s="10" t="s">
        <v>598</v>
      </c>
      <c r="G26" s="10" t="s">
        <v>599</v>
      </c>
      <c r="H26" s="10" t="s">
        <v>600</v>
      </c>
      <c r="I26" s="10" t="s">
        <v>601</v>
      </c>
      <c r="J26" s="10" t="s">
        <v>602</v>
      </c>
    </row>
    <row r="27" customFormat="false" ht="15" hidden="false" customHeight="false" outlineLevel="0" collapsed="false">
      <c r="A27" s="29" t="s">
        <v>607</v>
      </c>
      <c r="B27" s="18"/>
      <c r="C27" s="18"/>
      <c r="D27" s="18"/>
      <c r="E27" s="18"/>
      <c r="F27" s="18"/>
      <c r="G27" s="18"/>
      <c r="H27" s="18"/>
      <c r="I27" s="18"/>
      <c r="J27" s="18"/>
    </row>
    <row r="29" customFormat="false" ht="15" hidden="false" customHeight="false" outlineLevel="0" collapsed="false">
      <c r="A29" s="34" t="s">
        <v>608</v>
      </c>
    </row>
    <row r="30" customFormat="false" ht="15" hidden="false" customHeight="false" outlineLevel="0" collapsed="false">
      <c r="A30" s="29" t="s">
        <v>609</v>
      </c>
      <c r="D30" s="14" t="n">
        <v>1610</v>
      </c>
    </row>
    <row r="31" customFormat="false" ht="15" hidden="false" customHeight="false" outlineLevel="0" collapsed="false">
      <c r="A31" s="20" t="s">
        <v>610</v>
      </c>
      <c r="D31" s="18"/>
    </row>
    <row r="32" customFormat="false" ht="15" hidden="false" customHeight="false" outlineLevel="0" collapsed="false">
      <c r="A32" s="29" t="s">
        <v>611</v>
      </c>
      <c r="D32" s="18"/>
    </row>
    <row r="33" customFormat="false" ht="15" hidden="false" customHeight="false" outlineLevel="0" collapsed="false">
      <c r="A33" s="29" t="s">
        <v>612</v>
      </c>
      <c r="D33" s="27"/>
    </row>
    <row r="34" customFormat="false" ht="15" hidden="false" customHeight="false" outlineLevel="0" collapsed="false">
      <c r="A34" s="29" t="s">
        <v>613</v>
      </c>
      <c r="D34" s="25"/>
    </row>
    <row r="35" customFormat="false" ht="15" hidden="false" customHeight="false" outlineLevel="0" collapsed="false">
      <c r="A35" s="29" t="s">
        <v>614</v>
      </c>
      <c r="D35" s="25"/>
      <c r="E35" s="25"/>
      <c r="F35" s="25"/>
    </row>
    <row r="37" customFormat="false" ht="15" hidden="false" customHeight="false" outlineLevel="0" collapsed="false">
      <c r="A37" s="34" t="s">
        <v>615</v>
      </c>
    </row>
    <row r="38" customFormat="false" ht="15" hidden="false" customHeight="false" outlineLevel="0" collapsed="false">
      <c r="A38" s="29" t="s">
        <v>616</v>
      </c>
      <c r="D38" s="18"/>
    </row>
    <row r="39" customFormat="false" ht="15" hidden="false" customHeight="false" outlineLevel="0" collapsed="false">
      <c r="A39" s="29" t="s">
        <v>617</v>
      </c>
      <c r="D39" s="18"/>
    </row>
    <row r="40" customFormat="false" ht="15" hidden="false" customHeight="false" outlineLevel="0" collapsed="false">
      <c r="A40" s="20" t="s">
        <v>618</v>
      </c>
      <c r="D40" s="30"/>
    </row>
    <row r="41" customFormat="false" ht="15" hidden="false" customHeight="false" outlineLevel="0" collapsed="false">
      <c r="A41" s="29" t="s">
        <v>619</v>
      </c>
      <c r="D41" s="28"/>
    </row>
    <row r="42" customFormat="false" ht="15" hidden="false" customHeight="false" outlineLevel="0" collapsed="false">
      <c r="A42" s="29" t="s">
        <v>620</v>
      </c>
      <c r="D42" s="18"/>
    </row>
    <row r="43" customFormat="false" ht="15" hidden="false" customHeight="false" outlineLevel="0" collapsed="false">
      <c r="A43" s="20" t="s">
        <v>621</v>
      </c>
      <c r="D43" s="18"/>
    </row>
    <row r="44" customFormat="false" ht="15" hidden="false" customHeight="false" outlineLevel="0" collapsed="false">
      <c r="A44" s="29" t="s">
        <v>432</v>
      </c>
      <c r="D44" s="25"/>
    </row>
    <row r="45" customFormat="false" ht="15" hidden="false" customHeight="false" outlineLevel="0" collapsed="false">
      <c r="A45" s="29" t="s">
        <v>622</v>
      </c>
      <c r="D45" s="25"/>
      <c r="E45" s="2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623</v>
      </c>
    </row>
    <row r="3" customFormat="false" ht="15" hidden="false" customHeight="false" outlineLevel="0" collapsed="false">
      <c r="A3" s="34" t="s">
        <v>624</v>
      </c>
    </row>
    <row r="4" customFormat="false" ht="15" hidden="false" customHeight="false" outlineLevel="0" collapsed="false">
      <c r="A4" s="29" t="s">
        <v>625</v>
      </c>
    </row>
    <row r="5" customFormat="false" ht="15" hidden="false" customHeight="false" outlineLevel="0" collapsed="false">
      <c r="A5" s="29" t="s">
        <v>626</v>
      </c>
    </row>
    <row r="6" customFormat="false" ht="15" hidden="false" customHeight="false" outlineLevel="0" collapsed="false">
      <c r="A6" s="20" t="s">
        <v>627</v>
      </c>
    </row>
    <row r="7" customFormat="false" ht="15" hidden="false" customHeight="false" outlineLevel="0" collapsed="false">
      <c r="A7" s="20" t="s">
        <v>628</v>
      </c>
    </row>
    <row r="8" customFormat="false" ht="15" hidden="false" customHeight="false" outlineLevel="0" collapsed="false">
      <c r="A8" s="20" t="s">
        <v>629</v>
      </c>
    </row>
    <row r="9" customFormat="false" ht="15" hidden="false" customHeight="false" outlineLevel="0" collapsed="false">
      <c r="A9" s="20" t="s">
        <v>630</v>
      </c>
    </row>
    <row r="10" customFormat="false" ht="15" hidden="false" customHeight="false" outlineLevel="0" collapsed="false">
      <c r="A10" s="29" t="s">
        <v>631</v>
      </c>
    </row>
    <row r="11" customFormat="false" ht="15" hidden="false" customHeight="false" outlineLevel="0" collapsed="false">
      <c r="A11" s="20"/>
    </row>
    <row r="12" customFormat="false" ht="15" hidden="false" customHeight="false" outlineLevel="0" collapsed="false">
      <c r="A12" s="34" t="s">
        <v>632</v>
      </c>
    </row>
    <row r="13" customFormat="false" ht="15" hidden="false" customHeight="false" outlineLevel="0" collapsed="false">
      <c r="A13" s="20" t="s">
        <v>633</v>
      </c>
    </row>
    <row r="14" customFormat="false" ht="15" hidden="false" customHeight="false" outlineLevel="0" collapsed="false">
      <c r="A14" s="20" t="s">
        <v>634</v>
      </c>
    </row>
    <row r="15" customFormat="false" ht="15" hidden="false" customHeight="false" outlineLevel="0" collapsed="false">
      <c r="A15" s="20" t="s">
        <v>635</v>
      </c>
    </row>
    <row r="16" customFormat="false" ht="15" hidden="false" customHeight="false" outlineLevel="0" collapsed="false">
      <c r="A16" s="20" t="s">
        <v>636</v>
      </c>
    </row>
    <row r="17" customFormat="false" ht="15" hidden="false" customHeight="false" outlineLevel="0" collapsed="false">
      <c r="A17" s="20" t="s">
        <v>637</v>
      </c>
    </row>
    <row r="18" customFormat="false" ht="15" hidden="false" customHeight="false" outlineLevel="0" collapsed="false">
      <c r="A18" s="20" t="s">
        <v>638</v>
      </c>
    </row>
    <row r="19" customFormat="false" ht="15" hidden="false" customHeight="false" outlineLevel="0" collapsed="false">
      <c r="A19" s="20"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2026-09-28T04:42:29Z</dcterms:created>
  <dc:creator>openpyxl</dc:creator>
  <dc:description/>
  <dc:language>en-US</dc:language>
  <cp:lastModifiedBy/>
  <dcterms:modified xsi:type="dcterms:W3CDTF">2026-09-28T13:42:35Z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