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注記" sheetId="1" state="visible" r:id="rId3"/>
    <sheet name="四半期売上" sheetId="2" state="visible" r:id="rId4"/>
    <sheet name="東京エレクトロン_地域別" sheetId="3" state="visible" r:id="rId5"/>
    <sheet name="SCREEN_地域別(入力)" sheetId="4" state="visible" r:id="rId6"/>
    <sheet name="KOKUSAI_地域別(入力)" sheetId="5" state="visible" r:id="rId7"/>
    <sheet name="出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<sst xmlns="http://schemas.openxmlformats.org/spreadsheetml/2006/main" count="237" uniqueCount="134">
  <si>
    <r>
      <rPr>
        <b val="true"/>
        <sz val="10"/>
        <rFont val="Noto Sans CJK SC"/>
        <family val="2"/>
      </rPr>
      <t xml:space="preserve">東京エレクトロン・</t>
    </r>
    <r>
      <rPr>
        <b val="true"/>
        <sz val="10"/>
        <rFont val="Arial"/>
        <family val="0"/>
        <charset val="1"/>
      </rPr>
      <t xml:space="preserve">SCREEN</t>
    </r>
    <r>
      <rPr>
        <b val="true"/>
        <sz val="10"/>
        <rFont val="Noto Sans CJK SC"/>
        <family val="2"/>
      </rPr>
      <t xml:space="preserve">・</t>
    </r>
    <r>
      <rPr>
        <b val="true"/>
        <sz val="10"/>
        <rFont val="Arial"/>
        <family val="0"/>
        <charset val="1"/>
      </rPr>
      <t xml:space="preserve">KOKUSAI ELECTRIC </t>
    </r>
    <r>
      <rPr>
        <b val="true"/>
        <sz val="10"/>
        <rFont val="Noto Sans CJK SC"/>
        <family val="2"/>
      </rPr>
      <t xml:space="preserve">売上データ</t>
    </r>
  </si>
  <si>
    <r>
      <rPr>
        <sz val="10"/>
        <rFont val="Noto Sans CJK SC"/>
        <family val="2"/>
      </rPr>
      <t xml:space="preserve">対象：暦四半期（各社とも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月決算のため、決算四半期の末が暦の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月と一致する）。単位は億円。</t>
    </r>
  </si>
  <si>
    <r>
      <rPr>
        <sz val="10"/>
        <rFont val="Noto Sans CJK SC"/>
        <family val="2"/>
      </rPr>
      <t xml:space="preserve">四半期売上：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社の決算説明会資料・決算短信から転記した連結売上高（</t>
    </r>
    <r>
      <rPr>
        <sz val="10"/>
        <rFont val="Arial"/>
        <family val="0"/>
        <charset val="1"/>
      </rPr>
      <t xml:space="preserve">KOKUSAI</t>
    </r>
    <r>
      <rPr>
        <sz val="10"/>
        <rFont val="Noto Sans CJK SC"/>
        <family val="2"/>
      </rPr>
      <t xml:space="preserve">は売上収益）。青字は入力値、黒字は数式である。</t>
    </r>
  </si>
  <si>
    <r>
      <rPr>
        <sz val="10"/>
        <rFont val="Noto Sans CJK SC"/>
        <family val="2"/>
      </rPr>
      <t xml:space="preserve">東京エレクトロンの地域別売上：決算説明会資料の四半期地域別売上（億円）を転記した。各四半期の地域合計と報告売上高の差は</t>
    </r>
    <r>
      <rPr>
        <sz val="10"/>
        <rFont val="Arial"/>
        <family val="0"/>
        <charset val="1"/>
      </rPr>
      <t xml:space="preserve">±5</t>
    </r>
    <r>
      <rPr>
        <sz val="10"/>
        <rFont val="Noto Sans CJK SC"/>
        <family val="2"/>
      </rPr>
      <t xml:space="preserve">億円以内で、丸めの範囲である（同シートの差異列）。</t>
    </r>
  </si>
  <si>
    <r>
      <rPr>
        <sz val="10"/>
        <rFont val="Arial"/>
        <family val="0"/>
        <charset val="1"/>
      </rPr>
      <t xml:space="preserve">SCREEN</t>
    </r>
    <r>
      <rPr>
        <sz val="10"/>
        <rFont val="Noto Sans CJK SC"/>
        <family val="2"/>
      </rPr>
      <t xml:space="preserve">の地域別売上：決算説明会資料に掲載されているのは地域別の比率グラフのみで、金額と四半期比率を文字として確認できなかった。入力用の欄を用意した。</t>
    </r>
  </si>
  <si>
    <r>
      <rPr>
        <sz val="10"/>
        <rFont val="Arial"/>
        <family val="0"/>
        <charset val="1"/>
      </rPr>
      <t xml:space="preserve">KOKUSAI</t>
    </r>
    <r>
      <rPr>
        <sz val="10"/>
        <rFont val="Noto Sans CJK SC"/>
        <family val="2"/>
      </rPr>
      <t xml:space="preserve">の地域別売上：四半期の地域別比率を確認できなかった。入力用の欄を用意し、確認できた一部の開示は同シートに記載した。</t>
    </r>
  </si>
  <si>
    <t xml:space="preserve">入力用の欄（黄色）に決算説明会資料のグラフの比率を入れると、売上高に掛けた金額が数式で計算される。</t>
  </si>
  <si>
    <r>
      <rPr>
        <sz val="10"/>
        <rFont val="Arial"/>
        <family val="0"/>
        <charset val="1"/>
      </rPr>
      <t xml:space="preserve">KOKUSAI</t>
    </r>
    <r>
      <rPr>
        <sz val="10"/>
        <rFont val="Noto Sans CJK SC"/>
        <family val="2"/>
      </rPr>
      <t xml:space="preserve">の一部四半期は、累計や通期からの逆算である（四半期売上シートの備考列）。</t>
    </r>
  </si>
  <si>
    <t xml:space="preserve">各数値は公開資料から取得した値であり、正式な確認には各社の決算資料の原本を参照すること。</t>
  </si>
  <si>
    <t xml:space="preserve">暦四半期</t>
  </si>
  <si>
    <t xml:space="preserve">決算期</t>
  </si>
  <si>
    <t xml:space="preserve">東京エレクトロン</t>
  </si>
  <si>
    <t xml:space="preserve">SCREEN</t>
  </si>
  <si>
    <t xml:space="preserve">SCREEN SPE</t>
  </si>
  <si>
    <t xml:space="preserve">KOKUSAI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</si>
  <si>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社合計</t>
    </r>
  </si>
  <si>
    <r>
      <rPr>
        <b val="true"/>
        <sz val="10"/>
        <rFont val="Arial"/>
        <family val="0"/>
        <charset val="1"/>
      </rPr>
      <t xml:space="preserve">SPE</t>
    </r>
    <r>
      <rPr>
        <b val="true"/>
        <sz val="10"/>
        <rFont val="Noto Sans CJK SC"/>
        <family val="2"/>
      </rPr>
      <t xml:space="preserve">比率</t>
    </r>
    <r>
      <rPr>
        <b val="true"/>
        <sz val="10"/>
        <rFont val="Arial"/>
        <family val="0"/>
        <charset val="1"/>
      </rPr>
      <t xml:space="preserve">(SCREEN)</t>
    </r>
  </si>
  <si>
    <t xml:space="preserve">TEL QoQ</t>
  </si>
  <si>
    <t xml:space="preserve">SCREEN QoQ</t>
  </si>
  <si>
    <t xml:space="preserve">KOKUSAI QoQ</t>
  </si>
  <si>
    <t xml:space="preserve">TEL YoY</t>
  </si>
  <si>
    <t xml:space="preserve">SCREEN YoY</t>
  </si>
  <si>
    <t xml:space="preserve">KOKUSAI YoY</t>
  </si>
  <si>
    <r>
      <rPr>
        <b val="true"/>
        <sz val="10"/>
        <rFont val="Arial"/>
        <family val="0"/>
        <charset val="1"/>
      </rPr>
      <t xml:space="preserve">KOKUSAI </t>
    </r>
    <r>
      <rPr>
        <b val="true"/>
        <sz val="10"/>
        <rFont val="Noto Sans CJK SC"/>
        <family val="2"/>
      </rPr>
      <t xml:space="preserve">備考</t>
    </r>
  </si>
  <si>
    <t xml:space="preserve">2023Q1</t>
  </si>
  <si>
    <t xml:space="preserve">FY23/3 4Q</t>
  </si>
  <si>
    <t xml:space="preserve">資料で確認できず</t>
  </si>
  <si>
    <t xml:space="preserve">2023Q2</t>
  </si>
  <si>
    <t xml:space="preserve">FY24/3 1Q</t>
  </si>
  <si>
    <r>
      <rPr>
        <sz val="10"/>
        <rFont val="Arial"/>
        <family val="0"/>
        <charset val="1"/>
      </rPr>
      <t xml:space="preserve">FY24/3 1Q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月決算説明資料）</t>
    </r>
  </si>
  <si>
    <t xml:space="preserve">2023Q3</t>
  </si>
  <si>
    <t xml:space="preserve">FY24/3 2Q</t>
  </si>
  <si>
    <r>
      <rPr>
        <sz val="10"/>
        <rFont val="Noto Sans CJK SC"/>
        <family val="2"/>
      </rPr>
      <t xml:space="preserve">同 </t>
    </r>
    <r>
      <rPr>
        <sz val="10"/>
        <rFont val="Arial"/>
        <family val="0"/>
        <charset val="1"/>
      </rPr>
      <t xml:space="preserve">2Q</t>
    </r>
  </si>
  <si>
    <t xml:space="preserve">2023Q4</t>
  </si>
  <si>
    <t xml:space="preserve">FY24/3 3Q</t>
  </si>
  <si>
    <r>
      <rPr>
        <sz val="10"/>
        <rFont val="Noto Sans CJK SC"/>
        <family val="2"/>
      </rPr>
      <t xml:space="preserve">同 </t>
    </r>
    <r>
      <rPr>
        <sz val="10"/>
        <rFont val="Arial"/>
        <family val="0"/>
        <charset val="1"/>
      </rPr>
      <t xml:space="preserve">3Q</t>
    </r>
  </si>
  <si>
    <t xml:space="preserve">2024Q1</t>
  </si>
  <si>
    <t xml:space="preserve">FY24/3 4Q</t>
  </si>
  <si>
    <r>
      <rPr>
        <sz val="10"/>
        <rFont val="Noto Sans CJK SC"/>
        <family val="2"/>
      </rPr>
      <t xml:space="preserve">同 </t>
    </r>
    <r>
      <rPr>
        <sz val="10"/>
        <rFont val="Arial"/>
        <family val="0"/>
        <charset val="1"/>
      </rPr>
      <t xml:space="preserve">4Q</t>
    </r>
  </si>
  <si>
    <t xml:space="preserve">2024Q2</t>
  </si>
  <si>
    <t xml:space="preserve">FY25/3 1Q</t>
  </si>
  <si>
    <r>
      <rPr>
        <sz val="10"/>
        <rFont val="Arial"/>
        <family val="0"/>
        <charset val="1"/>
      </rPr>
      <t xml:space="preserve">FY25/3 1Q</t>
    </r>
    <r>
      <rPr>
        <sz val="10"/>
        <rFont val="Noto Sans CJK SC"/>
        <family val="2"/>
      </rPr>
      <t xml:space="preserve">（同資料）</t>
    </r>
  </si>
  <si>
    <t xml:space="preserve">2024Q3</t>
  </si>
  <si>
    <t xml:space="preserve">FY25/3 2Q</t>
  </si>
  <si>
    <t xml:space="preserve">2024Q4</t>
  </si>
  <si>
    <t xml:space="preserve">FY25/3 3Q</t>
  </si>
  <si>
    <t xml:space="preserve">2025Q1</t>
  </si>
  <si>
    <t xml:space="preserve">FY25/3 4Q</t>
  </si>
  <si>
    <t xml:space="preserve">2025Q2</t>
  </si>
  <si>
    <t xml:space="preserve">FY26/3 1Q</t>
  </si>
  <si>
    <r>
      <rPr>
        <sz val="10"/>
        <rFont val="Arial"/>
        <family val="0"/>
        <charset val="1"/>
      </rPr>
      <t xml:space="preserve">FY26/3 1Q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サマリー </t>
    </r>
    <r>
      <rPr>
        <sz val="10"/>
        <rFont val="Arial"/>
        <family val="0"/>
        <charset val="1"/>
      </rPr>
      <t xml:space="preserve">51.8</t>
    </r>
    <r>
      <rPr>
        <sz val="10"/>
        <rFont val="Noto Sans CJK SC"/>
        <family val="2"/>
      </rPr>
      <t xml:space="preserve">十億円）</t>
    </r>
  </si>
  <si>
    <t xml:space="preserve">2025Q3</t>
  </si>
  <si>
    <t xml:space="preserve">FY26/3 2Q</t>
  </si>
  <si>
    <r>
      <rPr>
        <sz val="10"/>
        <rFont val="Arial"/>
        <family val="0"/>
        <charset val="1"/>
      </rPr>
      <t xml:space="preserve">FY26/3 2Q</t>
    </r>
    <r>
      <rPr>
        <sz val="10"/>
        <rFont val="Noto Sans CJK SC"/>
        <family val="2"/>
      </rPr>
      <t xml:space="preserve">＝累計</t>
    </r>
    <r>
      <rPr>
        <sz val="10"/>
        <rFont val="Arial"/>
        <family val="0"/>
        <charset val="1"/>
      </rPr>
      <t xml:space="preserve">1,731−518−559</t>
    </r>
    <r>
      <rPr>
        <sz val="10"/>
        <rFont val="Noto Sans CJK SC"/>
        <family val="2"/>
      </rPr>
      <t xml:space="preserve">（逆算）。</t>
    </r>
    <r>
      <rPr>
        <sz val="10"/>
        <rFont val="Arial"/>
        <family val="0"/>
        <charset val="1"/>
      </rPr>
      <t xml:space="preserve">Q3</t>
    </r>
    <r>
      <rPr>
        <sz val="10"/>
        <rFont val="Noto Sans CJK SC"/>
        <family val="2"/>
      </rPr>
      <t xml:space="preserve">の前期比−</t>
    </r>
    <r>
      <rPr>
        <sz val="10"/>
        <rFont val="Arial"/>
        <family val="0"/>
        <charset val="1"/>
      </rPr>
      <t xml:space="preserve">14.6%</t>
    </r>
    <r>
      <rPr>
        <sz val="10"/>
        <rFont val="Noto Sans CJK SC"/>
        <family val="2"/>
      </rPr>
      <t xml:space="preserve">とも整合</t>
    </r>
  </si>
  <si>
    <t xml:space="preserve">2025Q4</t>
  </si>
  <si>
    <t xml:space="preserve">FY26/3 3Q</t>
  </si>
  <si>
    <r>
      <rPr>
        <sz val="10"/>
        <rFont val="Arial"/>
        <family val="0"/>
        <charset val="1"/>
      </rPr>
      <t xml:space="preserve">FY26/3 3Q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Quartr 55.9</t>
    </r>
    <r>
      <rPr>
        <sz val="10"/>
        <rFont val="Noto Sans CJK SC"/>
        <family val="2"/>
      </rPr>
      <t xml:space="preserve">十億円）</t>
    </r>
  </si>
  <si>
    <t xml:space="preserve">2026Q1</t>
  </si>
  <si>
    <t xml:space="preserve">FY26/3 4Q</t>
  </si>
  <si>
    <r>
      <rPr>
        <sz val="10"/>
        <rFont val="Arial"/>
        <family val="0"/>
        <charset val="1"/>
      </rPr>
      <t xml:space="preserve">FY26/3 4Q</t>
    </r>
    <r>
      <rPr>
        <sz val="10"/>
        <rFont val="Noto Sans CJK SC"/>
        <family val="2"/>
      </rPr>
      <t xml:space="preserve">＝通期</t>
    </r>
    <r>
      <rPr>
        <sz val="10"/>
        <rFont val="Arial"/>
        <family val="0"/>
        <charset val="1"/>
      </rPr>
      <t xml:space="preserve">2,351−</t>
    </r>
    <r>
      <rPr>
        <sz val="10"/>
        <rFont val="Noto Sans CJK SC"/>
        <family val="2"/>
      </rPr>
      <t xml:space="preserve">累計</t>
    </r>
    <r>
      <rPr>
        <sz val="10"/>
        <rFont val="Arial"/>
        <family val="0"/>
        <charset val="1"/>
      </rPr>
      <t xml:space="preserve">1,731</t>
    </r>
    <r>
      <rPr>
        <sz val="10"/>
        <rFont val="Noto Sans CJK SC"/>
        <family val="2"/>
      </rPr>
      <t xml:space="preserve">（逆算）。</t>
    </r>
    <r>
      <rPr>
        <sz val="10"/>
        <rFont val="Arial"/>
        <family val="0"/>
        <charset val="1"/>
      </rPr>
      <t xml:space="preserve">TradingView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62.0</t>
    </r>
    <r>
      <rPr>
        <sz val="10"/>
        <rFont val="Noto Sans CJK SC"/>
        <family val="2"/>
      </rPr>
      <t xml:space="preserve">十億円とも整合</t>
    </r>
  </si>
  <si>
    <t xml:space="preserve">2026Q2</t>
  </si>
  <si>
    <t xml:space="preserve">FY27/3 1Q</t>
  </si>
  <si>
    <r>
      <rPr>
        <sz val="10"/>
        <rFont val="Arial"/>
        <family val="0"/>
        <charset val="1"/>
      </rPr>
      <t xml:space="preserve">FY27/3 1Q</t>
    </r>
    <r>
      <rPr>
        <sz val="10"/>
        <rFont val="Noto Sans CJK SC"/>
        <family val="2"/>
      </rPr>
      <t xml:space="preserve">（決算報道 </t>
    </r>
    <r>
      <rPr>
        <sz val="10"/>
        <rFont val="Arial"/>
        <family val="0"/>
        <charset val="1"/>
      </rPr>
      <t xml:space="preserve">754.14</t>
    </r>
    <r>
      <rPr>
        <sz val="10"/>
        <rFont val="Noto Sans CJK SC"/>
        <family val="2"/>
      </rPr>
      <t xml:space="preserve">億円）</t>
    </r>
  </si>
  <si>
    <t xml:space="preserve">東京エレクトロン 地域別売上（億円）</t>
  </si>
  <si>
    <t xml:space="preserve">日本</t>
  </si>
  <si>
    <t xml:space="preserve">北米</t>
  </si>
  <si>
    <t xml:space="preserve">欧州</t>
  </si>
  <si>
    <t xml:space="preserve">韓国</t>
  </si>
  <si>
    <t xml:space="preserve">台湾</t>
  </si>
  <si>
    <t xml:space="preserve">東南アジア・その他</t>
  </si>
  <si>
    <t xml:space="preserve">中国</t>
  </si>
  <si>
    <t xml:space="preserve">地域合計</t>
  </si>
  <si>
    <t xml:space="preserve">報告売上高</t>
  </si>
  <si>
    <t xml:space="preserve">日本比</t>
  </si>
  <si>
    <t xml:space="preserve">北米比</t>
  </si>
  <si>
    <t xml:space="preserve">欧州比</t>
  </si>
  <si>
    <t xml:space="preserve">韓国比</t>
  </si>
  <si>
    <t xml:space="preserve">台湾比</t>
  </si>
  <si>
    <t xml:space="preserve">東南アジア・その他比</t>
  </si>
  <si>
    <t xml:space="preserve">中国比</t>
  </si>
  <si>
    <r>
      <rPr>
        <sz val="10"/>
        <rFont val="Noto Sans CJK SC"/>
        <family val="2"/>
      </rPr>
      <t xml:space="preserve">差異は決算説明会資料の数値の丸めによる。</t>
    </r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月（</t>
    </r>
    <r>
      <rPr>
        <sz val="10"/>
        <rFont val="Arial"/>
        <family val="0"/>
        <charset val="1"/>
      </rPr>
      <t xml:space="preserve">FY23/3 4Q</t>
    </r>
    <r>
      <rPr>
        <sz val="10"/>
        <rFont val="Noto Sans CJK SC"/>
        <family val="2"/>
      </rPr>
      <t xml:space="preserve">）の地域別は資料から確認できず空欄とした。</t>
    </r>
  </si>
  <si>
    <r>
      <rPr>
        <b val="true"/>
        <sz val="10"/>
        <rFont val="Arial"/>
        <family val="0"/>
        <charset val="1"/>
      </rPr>
      <t xml:space="preserve">SCREEN </t>
    </r>
    <r>
      <rPr>
        <b val="true"/>
        <sz val="10"/>
        <rFont val="Noto Sans CJK SC"/>
        <family val="2"/>
      </rPr>
      <t xml:space="preserve">地域別売上（比率を入力すると金額を計算する）</t>
    </r>
  </si>
  <si>
    <r>
      <rPr>
        <sz val="10"/>
        <rFont val="Noto Sans CJK SC"/>
        <family val="2"/>
      </rPr>
      <t xml:space="preserve">決算説明会資料の「全社地域別売上高比率」グラフの比率（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）を黄色の欄に入力する。比率合計が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になることを確認する。</t>
    </r>
  </si>
  <si>
    <r>
      <rPr>
        <b val="true"/>
        <sz val="10"/>
        <rFont val="Noto Sans CJK SC"/>
        <family val="2"/>
      </rPr>
      <t xml:space="preserve">売上高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億円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</si>
  <si>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日本比率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入力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</si>
  <si>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台湾比率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入力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</si>
  <si>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中国比率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入力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</si>
  <si>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韓国比率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入力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</si>
  <si>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アジア・その他比率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入力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</si>
  <si>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北米比率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入力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</si>
  <si>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欧州比率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入力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</si>
  <si>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その他比率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入力</t>
    </r>
    <r>
      <rPr>
        <b val="true"/>
        <sz val="10"/>
        <rFont val="Arial"/>
        <family val="0"/>
        <charset val="1"/>
      </rPr>
      <t xml:space="preserve">)</t>
    </r>
  </si>
  <si>
    <t xml:space="preserve">比率合計</t>
  </si>
  <si>
    <r>
      <rPr>
        <b val="true"/>
        <sz val="10"/>
        <rFont val="Noto Sans CJK SC"/>
        <family val="2"/>
      </rPr>
      <t xml:space="preserve">日本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億円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</si>
  <si>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台湾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億円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</si>
  <si>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億円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</si>
  <si>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韓国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億円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</si>
  <si>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アジア・その他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億円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</si>
  <si>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北米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億円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</si>
  <si>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欧州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億円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</si>
  <si>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その他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億円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</si>
  <si>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KOKUSAI ELECTRIC </t>
    </r>
    <r>
      <rPr>
        <b val="true"/>
        <sz val="10"/>
        <rFont val="Noto Sans CJK SC"/>
        <family val="2"/>
      </rPr>
      <t xml:space="preserve">地域別売上（比率を入力すると金額を計算する）</t>
    </r>
  </si>
  <si>
    <r>
      <rPr>
        <sz val="10"/>
        <rFont val="Noto Sans CJK SC"/>
        <family val="2"/>
      </rPr>
      <t xml:space="preserve">決算説明資料の地域別売上グラフの比率（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）を黄色の欄に入力する。区分は資料に合わせて変更してよい。</t>
    </r>
  </si>
  <si>
    <r>
      <rPr>
        <b val="true"/>
        <sz val="10"/>
        <rFont val="Noto Sans CJK SC"/>
        <family val="2"/>
      </rPr>
      <t xml:space="preserve">米国比率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入力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</si>
  <si>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米国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億円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</si>
  <si>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確認できた開示（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次情報：</t>
    </r>
    <r>
      <rPr>
        <sz val="10"/>
        <rFont val="Arial"/>
        <family val="0"/>
        <charset val="1"/>
      </rPr>
      <t xml:space="preserve">Investing.com</t>
    </r>
    <r>
      <rPr>
        <sz val="10"/>
        <rFont val="Noto Sans CJK SC"/>
        <family val="2"/>
      </rPr>
      <t xml:space="preserve">のスライド要約）：</t>
    </r>
    <r>
      <rPr>
        <sz val="10"/>
        <rFont val="Arial"/>
        <family val="0"/>
        <charset val="1"/>
      </rPr>
      <t xml:space="preserve">FY27/3 1Q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月）の中国向け</t>
    </r>
    <r>
      <rPr>
        <sz val="10"/>
        <rFont val="Arial"/>
        <family val="0"/>
        <charset val="1"/>
      </rPr>
      <t xml:space="preserve">188</t>
    </r>
    <r>
      <rPr>
        <sz val="10"/>
        <rFont val="Noto Sans CJK SC"/>
        <family val="2"/>
      </rPr>
      <t xml:space="preserve">億円（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）、非中国</t>
    </r>
    <r>
      <rPr>
        <sz val="10"/>
        <rFont val="Arial"/>
        <family val="0"/>
        <charset val="1"/>
      </rPr>
      <t xml:space="preserve">566</t>
    </r>
    <r>
      <rPr>
        <sz val="10"/>
        <rFont val="Noto Sans CJK SC"/>
        <family val="2"/>
      </rPr>
      <t xml:space="preserve">億円（</t>
    </r>
    <r>
      <rPr>
        <sz val="10"/>
        <rFont val="Arial"/>
        <family val="0"/>
        <charset val="1"/>
      </rPr>
      <t xml:space="preserve">75%</t>
    </r>
    <r>
      <rPr>
        <sz val="10"/>
        <rFont val="Noto Sans CJK SC"/>
        <family val="2"/>
      </rPr>
      <t xml:space="preserve">）、合計</t>
    </r>
    <r>
      <rPr>
        <sz val="10"/>
        <rFont val="Arial"/>
        <family val="0"/>
        <charset val="1"/>
      </rPr>
      <t xml:space="preserve">754</t>
    </r>
    <r>
      <rPr>
        <sz val="10"/>
        <rFont val="Noto Sans CJK SC"/>
        <family val="2"/>
      </rPr>
      <t xml:space="preserve">億円。</t>
    </r>
  </si>
  <si>
    <r>
      <rPr>
        <sz val="10"/>
        <rFont val="Noto Sans CJK SC"/>
        <family val="2"/>
      </rPr>
      <t xml:space="preserve">同要約には中国</t>
    </r>
    <r>
      <rPr>
        <sz val="10"/>
        <rFont val="Arial"/>
        <family val="0"/>
        <charset val="1"/>
      </rPr>
      <t xml:space="preserve">28%</t>
    </r>
    <r>
      <rPr>
        <sz val="10"/>
        <rFont val="Noto Sans CJK SC"/>
        <family val="2"/>
      </rPr>
      <t xml:space="preserve">との記載もあり、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と食い違う。原資料で確認するまで入力していない。</t>
    </r>
  </si>
  <si>
    <t xml:space="preserve">出典</t>
  </si>
  <si>
    <r>
      <rPr>
        <sz val="10"/>
        <rFont val="Noto Sans CJK SC"/>
        <family val="2"/>
      </rPr>
      <t xml:space="preserve">東京エレクトロン </t>
    </r>
    <r>
      <rPr>
        <sz val="10"/>
        <rFont val="Arial"/>
        <family val="0"/>
        <charset val="1"/>
      </rPr>
      <t xml:space="preserve">FY27 Q1</t>
    </r>
    <r>
      <rPr>
        <sz val="10"/>
        <rFont val="Noto Sans CJK SC"/>
        <family val="2"/>
      </rPr>
      <t xml:space="preserve">決算説明会資料</t>
    </r>
  </si>
  <si>
    <t xml:space="preserve">https://www.tel.co.jp/ir/library/report/negqvb0000000eqw-att/fy27q1presentations-j.pdf</t>
  </si>
  <si>
    <r>
      <rPr>
        <sz val="10"/>
        <rFont val="Noto Sans CJK SC"/>
        <family val="2"/>
      </rPr>
      <t xml:space="preserve">東京エレクトロン </t>
    </r>
    <r>
      <rPr>
        <sz val="10"/>
        <rFont val="Arial"/>
        <family val="0"/>
        <charset val="1"/>
      </rPr>
      <t xml:space="preserve">FY25 Q4</t>
    </r>
    <r>
      <rPr>
        <sz val="10"/>
        <rFont val="Noto Sans CJK SC"/>
        <family val="2"/>
      </rPr>
      <t xml:space="preserve">決算説明会資料</t>
    </r>
  </si>
  <si>
    <t xml:space="preserve">https://www.tel.co.jp/ir/library/report/vguqj600000000j3-att/fy25q4presentations-j.pdf</t>
  </si>
  <si>
    <r>
      <rPr>
        <sz val="10"/>
        <rFont val="Noto Sans CJK SC"/>
        <family val="2"/>
      </rPr>
      <t xml:space="preserve">東京エレクトロン </t>
    </r>
    <r>
      <rPr>
        <sz val="10"/>
        <rFont val="Arial"/>
        <family val="0"/>
        <charset val="1"/>
      </rPr>
      <t xml:space="preserve">FY24 Q4</t>
    </r>
    <r>
      <rPr>
        <sz val="10"/>
        <rFont val="Noto Sans CJK SC"/>
        <family val="2"/>
      </rPr>
      <t xml:space="preserve">決算説明会資料</t>
    </r>
  </si>
  <si>
    <t xml:space="preserve">https://www.tel.co.jp/ir/library/report/j8ht1m00000000pg-att/fy24q4presentations-j.pdf</t>
  </si>
  <si>
    <r>
      <rPr>
        <sz val="10"/>
        <rFont val="Noto Sans CJK SC"/>
        <family val="2"/>
      </rPr>
      <t xml:space="preserve">東京エレクトロン 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月期第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四半期決算短信</t>
    </r>
  </si>
  <si>
    <t xml:space="preserve">https://www.tel.co.jp/ir/library/report/negqvb0000000eqw-att/fy27q1tanshin-j.pdf</t>
  </si>
  <si>
    <r>
      <rPr>
        <sz val="10"/>
        <rFont val="Arial"/>
        <family val="0"/>
        <charset val="1"/>
      </rPr>
      <t xml:space="preserve">SCREEN FY2027 Q1</t>
    </r>
    <r>
      <rPr>
        <sz val="10"/>
        <rFont val="Noto Sans CJK SC"/>
        <family val="2"/>
      </rPr>
      <t xml:space="preserve">決算説明会資料</t>
    </r>
  </si>
  <si>
    <t xml:space="preserve">https://hdjp-corporateweb-files.screen.co.jp/8117/8885/6333/FY2027Q1_Mtg_J.pdf</t>
  </si>
  <si>
    <r>
      <rPr>
        <sz val="10"/>
        <rFont val="Arial"/>
        <family val="0"/>
        <charset val="1"/>
      </rPr>
      <t xml:space="preserve">SCREEN FY2025 Q4</t>
    </r>
    <r>
      <rPr>
        <sz val="10"/>
        <rFont val="Noto Sans CJK SC"/>
        <family val="2"/>
      </rPr>
      <t xml:space="preserve">決算説明会資料</t>
    </r>
  </si>
  <si>
    <t xml:space="preserve">https://hdjp-corporateweb-files.screen.co.jp/1017/4677/2606/FY2025Q4_Mtg_J.pdf</t>
  </si>
  <si>
    <r>
      <rPr>
        <sz val="10"/>
        <rFont val="Arial"/>
        <family val="0"/>
        <charset val="1"/>
      </rPr>
      <t xml:space="preserve">SCREEN FY2024 Q4</t>
    </r>
    <r>
      <rPr>
        <sz val="10"/>
        <rFont val="Noto Sans CJK SC"/>
        <family val="2"/>
      </rPr>
      <t xml:space="preserve">決算説明会資料</t>
    </r>
  </si>
  <si>
    <t xml:space="preserve">https://hdjp-corporateweb-files.screen.co.jp/7417/2553/3171/FY2024Q4_Mtg_J.pdf</t>
  </si>
  <si>
    <r>
      <rPr>
        <sz val="10"/>
        <rFont val="Arial"/>
        <family val="0"/>
        <charset val="1"/>
      </rPr>
      <t xml:space="preserve">KOKUSAI ELECTRIC 2025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月期決算説明資料</t>
    </r>
  </si>
  <si>
    <t xml:space="preserve">https://finance.stockweather.co.jp/contents/dispPDF.aspx?disclosure=20250513544797</t>
  </si>
  <si>
    <r>
      <rPr>
        <sz val="10"/>
        <rFont val="Arial"/>
        <family val="0"/>
        <charset val="1"/>
      </rPr>
      <t xml:space="preserve">KOKUSAI ELECTRIC 2026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月期決算短信</t>
    </r>
  </si>
  <si>
    <t xml:space="preserve">https://finance-frontend-pc-dist.west.edge.storage-yahoo.jp/disclosure/20260513/20260512526541.pdf</t>
  </si>
  <si>
    <r>
      <rPr>
        <sz val="10"/>
        <rFont val="Arial"/>
        <family val="0"/>
        <charset val="1"/>
      </rPr>
      <t xml:space="preserve">KOKUSAI ELECTRIC 2026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月期</t>
    </r>
    <r>
      <rPr>
        <sz val="10"/>
        <rFont val="Arial"/>
        <family val="0"/>
        <charset val="1"/>
      </rPr>
      <t xml:space="preserve">Q3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Quartr</t>
    </r>
    <r>
      <rPr>
        <sz val="10"/>
        <rFont val="Noto Sans CJK SC"/>
        <family val="2"/>
      </rPr>
      <t xml:space="preserve">）</t>
    </r>
  </si>
  <si>
    <t xml:space="preserve">https://quartr.com/events/kokusai-electric-6525-q3-2026_F922zfFv</t>
  </si>
  <si>
    <r>
      <rPr>
        <sz val="10"/>
        <rFont val="Arial"/>
        <family val="0"/>
        <charset val="1"/>
      </rPr>
      <t xml:space="preserve">KOKUSAI ELECTRIC 2026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月期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決算ラボ）</t>
    </r>
  </si>
  <si>
    <t xml:space="preserve">https://note.com/aikessanlab/n/n02e58e52e526?hl=en</t>
  </si>
  <si>
    <r>
      <rPr>
        <sz val="10"/>
        <rFont val="Arial"/>
        <family val="0"/>
        <charset val="1"/>
      </rPr>
      <t xml:space="preserve">KOKUSAI ELECTRIC 2027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月期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global-net</t>
    </r>
    <r>
      <rPr>
        <sz val="10"/>
        <rFont val="Noto Sans CJK SC"/>
        <family val="2"/>
      </rPr>
      <t xml:space="preserve">）</t>
    </r>
  </si>
  <si>
    <t xml:space="preserve">https://global-net.co.jp/archives/13621</t>
  </si>
  <si>
    <r>
      <rPr>
        <sz val="10"/>
        <rFont val="Arial"/>
        <family val="0"/>
        <charset val="1"/>
      </rPr>
      <t xml:space="preserve">KOKUSAI ELECTRIC Q1 FY27/3</t>
    </r>
    <r>
      <rPr>
        <sz val="10"/>
        <rFont val="Noto Sans CJK SC"/>
        <family val="2"/>
      </rPr>
      <t xml:space="preserve">スライド要約（</t>
    </r>
    <r>
      <rPr>
        <sz val="10"/>
        <rFont val="Arial"/>
        <family val="0"/>
        <charset val="1"/>
      </rPr>
      <t xml:space="preserve">Investing.com</t>
    </r>
    <r>
      <rPr>
        <sz val="10"/>
        <rFont val="Noto Sans CJK SC"/>
        <family val="2"/>
      </rPr>
      <t xml:space="preserve">）</t>
    </r>
  </si>
  <si>
    <t xml:space="preserve">https://www.investing.com/news/company-news/kokusai-electric-q1-fy273-slides-record-revenue-guidance-raised-21-93CH-4840168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</si>
</sst>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;\-#,##0;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70"/>
  </cols>
  <sheetData>
    <row r="1" customFormat="false" ht="15" hidden="false" customHeight="false" outlineLevel="0" collapsed="false">
      <c r="A1" s="1" t="s">
        <v>9</v>
      </c>
      <c r="B1" s="1" t="s">
        <v>10</v>
      </c>
      <c r="C1" s="1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</row>
    <row r="2" customFormat="false" ht="15" hidden="false" customHeight="false" outlineLevel="0" collapsed="false">
      <c r="A2" s="2" t="s">
        <v>24</v>
      </c>
      <c r="B2" s="2" t="s">
        <v>25</v>
      </c>
      <c r="C2" s="5" t="n">
        <v>5582</v>
      </c>
      <c r="D2" s="5" t="n">
        <v>1255</v>
      </c>
      <c r="E2" s="5" t="n">
        <v>1002</v>
      </c>
      <c r="F2" s="5"/>
      <c r="G2" s="6" t="str">
        <f aca="false">IF(COUNT(C2,D2,F2)=3,C2+D2+F2,"")</f>
        <v/>
      </c>
      <c r="H2" s="7" t="n">
        <f aca="false">E2/D2</f>
        <v>0.798406374501992</v>
      </c>
      <c r="I2" s="7"/>
      <c r="J2" s="7"/>
      <c r="K2" s="7"/>
      <c r="L2" s="7"/>
      <c r="M2" s="7"/>
      <c r="N2" s="7"/>
      <c r="O2" s="3" t="s">
        <v>26</v>
      </c>
    </row>
    <row r="3" customFormat="false" ht="15" hidden="false" customHeight="false" outlineLevel="0" collapsed="false">
      <c r="A3" s="2" t="s">
        <v>27</v>
      </c>
      <c r="B3" s="2" t="s">
        <v>28</v>
      </c>
      <c r="C3" s="5" t="n">
        <v>3917</v>
      </c>
      <c r="D3" s="5" t="n">
        <v>996</v>
      </c>
      <c r="E3" s="5" t="n">
        <v>823</v>
      </c>
      <c r="F3" s="5" t="n">
        <v>327</v>
      </c>
      <c r="G3" s="6" t="n">
        <f aca="false">IF(COUNT(C3,D3,F3)=3,C3+D3+F3,"")</f>
        <v>5240</v>
      </c>
      <c r="H3" s="7" t="n">
        <f aca="false">E3/D3</f>
        <v>0.826305220883534</v>
      </c>
      <c r="I3" s="7" t="n">
        <f aca="false">IF(AND(ISNUMBER(C3),ISNUMBER(C2)),C3/C2-1,"")</f>
        <v>-0.298280186313149</v>
      </c>
      <c r="J3" s="7" t="n">
        <f aca="false">IF(AND(ISNUMBER(D3),ISNUMBER(D2)),D3/D2-1,"")</f>
        <v>-0.206374501992032</v>
      </c>
      <c r="K3" s="7" t="str">
        <f aca="false">IF(AND(ISNUMBER(F3),ISNUMBER(F2)),F3/F2-1,"")</f>
        <v/>
      </c>
      <c r="L3" s="7"/>
      <c r="M3" s="7"/>
      <c r="N3" s="7"/>
      <c r="O3" s="2" t="s">
        <v>29</v>
      </c>
    </row>
    <row r="4" customFormat="false" ht="15" hidden="false" customHeight="false" outlineLevel="0" collapsed="false">
      <c r="A4" s="2" t="s">
        <v>30</v>
      </c>
      <c r="B4" s="2" t="s">
        <v>31</v>
      </c>
      <c r="C4" s="5" t="n">
        <v>4278</v>
      </c>
      <c r="D4" s="5" t="n">
        <v>1235</v>
      </c>
      <c r="E4" s="5" t="n">
        <v>1037</v>
      </c>
      <c r="F4" s="5" t="n">
        <v>450</v>
      </c>
      <c r="G4" s="6" t="n">
        <f aca="false">IF(COUNT(C4,D4,F4)=3,C4+D4+F4,"")</f>
        <v>5963</v>
      </c>
      <c r="H4" s="7" t="n">
        <f aca="false">E4/D4</f>
        <v>0.839676113360324</v>
      </c>
      <c r="I4" s="7" t="n">
        <f aca="false">IF(AND(ISNUMBER(C4),ISNUMBER(C3)),C4/C3-1,"")</f>
        <v>0.0921623691600715</v>
      </c>
      <c r="J4" s="7" t="n">
        <f aca="false">IF(AND(ISNUMBER(D4),ISNUMBER(D3)),D4/D3-1,"")</f>
        <v>0.23995983935743</v>
      </c>
      <c r="K4" s="7" t="n">
        <f aca="false">IF(AND(ISNUMBER(F4),ISNUMBER(F3)),F4/F3-1,"")</f>
        <v>0.376146788990826</v>
      </c>
      <c r="L4" s="7"/>
      <c r="M4" s="7"/>
      <c r="N4" s="7"/>
      <c r="O4" s="3" t="s">
        <v>32</v>
      </c>
    </row>
    <row r="5" customFormat="false" ht="15" hidden="false" customHeight="false" outlineLevel="0" collapsed="false">
      <c r="A5" s="2" t="s">
        <v>33</v>
      </c>
      <c r="B5" s="2" t="s">
        <v>34</v>
      </c>
      <c r="C5" s="5" t="n">
        <v>4636</v>
      </c>
      <c r="D5" s="5" t="n">
        <v>1245</v>
      </c>
      <c r="E5" s="5" t="n">
        <v>1019</v>
      </c>
      <c r="F5" s="5" t="n">
        <v>540</v>
      </c>
      <c r="G5" s="6" t="n">
        <f aca="false">IF(COUNT(C5,D5,F5)=3,C5+D5+F5,"")</f>
        <v>6421</v>
      </c>
      <c r="H5" s="7" t="n">
        <f aca="false">E5/D5</f>
        <v>0.818473895582329</v>
      </c>
      <c r="I5" s="7" t="n">
        <f aca="false">IF(AND(ISNUMBER(C5),ISNUMBER(C4)),C5/C4-1,"")</f>
        <v>0.0836839644693783</v>
      </c>
      <c r="J5" s="7" t="n">
        <f aca="false">IF(AND(ISNUMBER(D5),ISNUMBER(D4)),D5/D4-1,"")</f>
        <v>0.00809716599190291</v>
      </c>
      <c r="K5" s="7" t="n">
        <f aca="false">IF(AND(ISNUMBER(F5),ISNUMBER(F4)),F5/F4-1,"")</f>
        <v>0.2</v>
      </c>
      <c r="L5" s="7"/>
      <c r="M5" s="7"/>
      <c r="N5" s="7"/>
      <c r="O5" s="3" t="s">
        <v>35</v>
      </c>
    </row>
    <row r="6" customFormat="false" ht="15" hidden="false" customHeight="false" outlineLevel="0" collapsed="false">
      <c r="A6" s="2" t="s">
        <v>36</v>
      </c>
      <c r="B6" s="2" t="s">
        <v>37</v>
      </c>
      <c r="C6" s="5" t="n">
        <v>5472</v>
      </c>
      <c r="D6" s="5" t="n">
        <v>1570</v>
      </c>
      <c r="E6" s="5" t="n">
        <v>1296</v>
      </c>
      <c r="F6" s="5" t="n">
        <v>492</v>
      </c>
      <c r="G6" s="6" t="n">
        <f aca="false">IF(COUNT(C6,D6,F6)=3,C6+D6+F6,"")</f>
        <v>7534</v>
      </c>
      <c r="H6" s="7" t="n">
        <f aca="false">E6/D6</f>
        <v>0.82547770700637</v>
      </c>
      <c r="I6" s="7" t="n">
        <f aca="false">IF(AND(ISNUMBER(C6),ISNUMBER(C5)),C6/C5-1,"")</f>
        <v>0.180327868852459</v>
      </c>
      <c r="J6" s="7" t="n">
        <f aca="false">IF(AND(ISNUMBER(D6),ISNUMBER(D5)),D6/D5-1,"")</f>
        <v>0.261044176706827</v>
      </c>
      <c r="K6" s="7" t="n">
        <f aca="false">IF(AND(ISNUMBER(F6),ISNUMBER(F5)),F6/F5-1,"")</f>
        <v>-0.0888888888888889</v>
      </c>
      <c r="L6" s="7" t="n">
        <f aca="false">IF(AND(ISNUMBER(C6),ISNUMBER(C2)),C6/C2-1,"")</f>
        <v>-0.019706198495163</v>
      </c>
      <c r="M6" s="7" t="n">
        <f aca="false">IF(AND(ISNUMBER(D6),ISNUMBER(D2)),D6/D2-1,"")</f>
        <v>0.250996015936255</v>
      </c>
      <c r="N6" s="7" t="str">
        <f aca="false">IF(AND(ISNUMBER(F6),ISNUMBER(F2)),F6/F2-1,"")</f>
        <v/>
      </c>
      <c r="O6" s="3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5" t="n">
        <v>5550</v>
      </c>
      <c r="D7" s="5" t="n">
        <v>1342</v>
      </c>
      <c r="E7" s="5" t="n">
        <v>1121</v>
      </c>
      <c r="F7" s="5" t="n">
        <v>652</v>
      </c>
      <c r="G7" s="6" t="n">
        <f aca="false">IF(COUNT(C7,D7,F7)=3,C7+D7+F7,"")</f>
        <v>7544</v>
      </c>
      <c r="H7" s="7" t="n">
        <f aca="false">E7/D7</f>
        <v>0.83532041728763</v>
      </c>
      <c r="I7" s="7" t="n">
        <f aca="false">IF(AND(ISNUMBER(C7),ISNUMBER(C6)),C7/C6-1,"")</f>
        <v>0.0142543859649122</v>
      </c>
      <c r="J7" s="7" t="n">
        <f aca="false">IF(AND(ISNUMBER(D7),ISNUMBER(D6)),D7/D6-1,"")</f>
        <v>-0.145222929936306</v>
      </c>
      <c r="K7" s="7" t="n">
        <f aca="false">IF(AND(ISNUMBER(F7),ISNUMBER(F6)),F7/F6-1,"")</f>
        <v>0.32520325203252</v>
      </c>
      <c r="L7" s="7" t="n">
        <f aca="false">IF(AND(ISNUMBER(C7),ISNUMBER(C3)),C7/C3-1,"")</f>
        <v>0.416900689303038</v>
      </c>
      <c r="M7" s="7" t="n">
        <f aca="false">IF(AND(ISNUMBER(D7),ISNUMBER(D3)),D7/D3-1,"")</f>
        <v>0.347389558232932</v>
      </c>
      <c r="N7" s="7" t="n">
        <f aca="false">IF(AND(ISNUMBER(F7),ISNUMBER(F3)),F7/F3-1,"")</f>
        <v>0.99388379204893</v>
      </c>
      <c r="O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5" t="n">
        <v>5665</v>
      </c>
      <c r="D8" s="5" t="n">
        <v>1431</v>
      </c>
      <c r="E8" s="5" t="n">
        <v>1168</v>
      </c>
      <c r="F8" s="5" t="n">
        <v>493</v>
      </c>
      <c r="G8" s="6" t="n">
        <f aca="false">IF(COUNT(C8,D8,F8)=3,C8+D8+F8,"")</f>
        <v>7589</v>
      </c>
      <c r="H8" s="7" t="n">
        <f aca="false">E8/D8</f>
        <v>0.816212438853948</v>
      </c>
      <c r="I8" s="7" t="n">
        <f aca="false">IF(AND(ISNUMBER(C8),ISNUMBER(C7)),C8/C7-1,"")</f>
        <v>0.0207207207207207</v>
      </c>
      <c r="J8" s="7" t="n">
        <f aca="false">IF(AND(ISNUMBER(D8),ISNUMBER(D7)),D8/D7-1,"")</f>
        <v>0.0663189269746647</v>
      </c>
      <c r="K8" s="7" t="n">
        <f aca="false">IF(AND(ISNUMBER(F8),ISNUMBER(F7)),F8/F7-1,"")</f>
        <v>-0.243865030674847</v>
      </c>
      <c r="L8" s="7" t="n">
        <f aca="false">IF(AND(ISNUMBER(C8),ISNUMBER(C4)),C8/C4-1,"")</f>
        <v>0.324216923796167</v>
      </c>
      <c r="M8" s="7" t="n">
        <f aca="false">IF(AND(ISNUMBER(D8),ISNUMBER(D4)),D8/D4-1,"")</f>
        <v>0.158704453441296</v>
      </c>
      <c r="N8" s="7" t="n">
        <f aca="false">IF(AND(ISNUMBER(F8),ISNUMBER(F4)),F8/F4-1,"")</f>
        <v>0.0955555555555556</v>
      </c>
      <c r="O8" s="3" t="s">
        <v>32</v>
      </c>
    </row>
    <row r="9" customFormat="false" ht="15" hidden="false" customHeight="false" outlineLevel="0" collapsed="false">
      <c r="A9" s="2" t="s">
        <v>44</v>
      </c>
      <c r="B9" s="2" t="s">
        <v>45</v>
      </c>
      <c r="C9" s="5" t="n">
        <v>6545</v>
      </c>
      <c r="D9" s="5" t="n">
        <v>1825</v>
      </c>
      <c r="E9" s="5" t="n">
        <v>1548</v>
      </c>
      <c r="F9" s="5" t="n">
        <v>601</v>
      </c>
      <c r="G9" s="6" t="n">
        <f aca="false">IF(COUNT(C9,D9,F9)=3,C9+D9+F9,"")</f>
        <v>8971</v>
      </c>
      <c r="H9" s="7" t="n">
        <f aca="false">E9/D9</f>
        <v>0.848219178082192</v>
      </c>
      <c r="I9" s="7" t="n">
        <f aca="false">IF(AND(ISNUMBER(C9),ISNUMBER(C8)),C9/C8-1,"")</f>
        <v>0.155339805825243</v>
      </c>
      <c r="J9" s="7" t="n">
        <f aca="false">IF(AND(ISNUMBER(D9),ISNUMBER(D8)),D9/D8-1,"")</f>
        <v>0.275331935709294</v>
      </c>
      <c r="K9" s="7" t="n">
        <f aca="false">IF(AND(ISNUMBER(F9),ISNUMBER(F8)),F9/F8-1,"")</f>
        <v>0.219066937119675</v>
      </c>
      <c r="L9" s="7" t="n">
        <f aca="false">IF(AND(ISNUMBER(C9),ISNUMBER(C5)),C9/C5-1,"")</f>
        <v>0.411777394305436</v>
      </c>
      <c r="M9" s="7" t="n">
        <f aca="false">IF(AND(ISNUMBER(D9),ISNUMBER(D5)),D9/D5-1,"")</f>
        <v>0.465863453815261</v>
      </c>
      <c r="N9" s="7" t="n">
        <f aca="false">IF(AND(ISNUMBER(F9),ISNUMBER(F5)),F9/F5-1,"")</f>
        <v>0.112962962962963</v>
      </c>
      <c r="O9" s="3" t="s">
        <v>35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5" t="n">
        <v>6554</v>
      </c>
      <c r="D10" s="5" t="n">
        <v>1653</v>
      </c>
      <c r="E10" s="5" t="n">
        <v>1355</v>
      </c>
      <c r="F10" s="5" t="n">
        <v>643</v>
      </c>
      <c r="G10" s="6" t="n">
        <f aca="false">IF(COUNT(C10,D10,F10)=3,C10+D10+F10,"")</f>
        <v>8850</v>
      </c>
      <c r="H10" s="7" t="n">
        <f aca="false">E10/D10</f>
        <v>0.819721718088324</v>
      </c>
      <c r="I10" s="7" t="n">
        <f aca="false">IF(AND(ISNUMBER(C10),ISNUMBER(C9)),C10/C9-1,"")</f>
        <v>0.00137509549274251</v>
      </c>
      <c r="J10" s="7" t="n">
        <f aca="false">IF(AND(ISNUMBER(D10),ISNUMBER(D9)),D10/D9-1,"")</f>
        <v>-0.0942465753424657</v>
      </c>
      <c r="K10" s="7" t="n">
        <f aca="false">IF(AND(ISNUMBER(F10),ISNUMBER(F9)),F10/F9-1,"")</f>
        <v>0.0698835274542429</v>
      </c>
      <c r="L10" s="7" t="n">
        <f aca="false">IF(AND(ISNUMBER(C10),ISNUMBER(C6)),C10/C6-1,"")</f>
        <v>0.197733918128655</v>
      </c>
      <c r="M10" s="7" t="n">
        <f aca="false">IF(AND(ISNUMBER(D10),ISNUMBER(D6)),D10/D6-1,"")</f>
        <v>0.0528662420382167</v>
      </c>
      <c r="N10" s="7" t="n">
        <f aca="false">IF(AND(ISNUMBER(F10),ISNUMBER(F6)),F10/F6-1,"")</f>
        <v>0.306910569105691</v>
      </c>
      <c r="O10" s="3" t="s">
        <v>38</v>
      </c>
    </row>
    <row r="11" customFormat="false" ht="15" hidden="false" customHeight="false" outlineLevel="0" collapsed="false">
      <c r="A11" s="2" t="s">
        <v>48</v>
      </c>
      <c r="B11" s="2" t="s">
        <v>49</v>
      </c>
      <c r="C11" s="5" t="n">
        <v>5495</v>
      </c>
      <c r="D11" s="5" t="n">
        <v>1357</v>
      </c>
      <c r="E11" s="5" t="n">
        <v>1095</v>
      </c>
      <c r="F11" s="5" t="n">
        <v>518</v>
      </c>
      <c r="G11" s="6" t="n">
        <f aca="false">IF(COUNT(C11,D11,F11)=3,C11+D11+F11,"")</f>
        <v>7370</v>
      </c>
      <c r="H11" s="7" t="n">
        <f aca="false">E11/D11</f>
        <v>0.8069270449521</v>
      </c>
      <c r="I11" s="7" t="n">
        <f aca="false">IF(AND(ISNUMBER(C11),ISNUMBER(C10)),C11/C10-1,"")</f>
        <v>-0.161580714067745</v>
      </c>
      <c r="J11" s="7" t="n">
        <f aca="false">IF(AND(ISNUMBER(D11),ISNUMBER(D10)),D11/D10-1,"")</f>
        <v>-0.179068360556564</v>
      </c>
      <c r="K11" s="7" t="n">
        <f aca="false">IF(AND(ISNUMBER(F11),ISNUMBER(F10)),F11/F10-1,"")</f>
        <v>-0.194401244167963</v>
      </c>
      <c r="L11" s="7" t="n">
        <f aca="false">IF(AND(ISNUMBER(C11),ISNUMBER(C7)),C11/C7-1,"")</f>
        <v>-0.00990990990990992</v>
      </c>
      <c r="M11" s="7" t="n">
        <f aca="false">IF(AND(ISNUMBER(D11),ISNUMBER(D7)),D11/D7-1,"")</f>
        <v>0.0111773472429211</v>
      </c>
      <c r="N11" s="7" t="n">
        <f aca="false">IF(AND(ISNUMBER(F11),ISNUMBER(F7)),F11/F7-1,"")</f>
        <v>-0.205521472392638</v>
      </c>
      <c r="O11" s="2" t="s">
        <v>50</v>
      </c>
    </row>
    <row r="12" customFormat="false" ht="15" hidden="false" customHeight="false" outlineLevel="0" collapsed="false">
      <c r="A12" s="2" t="s">
        <v>51</v>
      </c>
      <c r="B12" s="2" t="s">
        <v>52</v>
      </c>
      <c r="C12" s="5" t="n">
        <v>6300</v>
      </c>
      <c r="D12" s="5" t="n">
        <v>1385</v>
      </c>
      <c r="E12" s="5" t="n">
        <v>1090</v>
      </c>
      <c r="F12" s="5" t="n">
        <v>654</v>
      </c>
      <c r="G12" s="6" t="n">
        <f aca="false">IF(COUNT(C12,D12,F12)=3,C12+D12+F12,"")</f>
        <v>8339</v>
      </c>
      <c r="H12" s="7" t="n">
        <f aca="false">E12/D12</f>
        <v>0.787003610108303</v>
      </c>
      <c r="I12" s="7" t="n">
        <f aca="false">IF(AND(ISNUMBER(C12),ISNUMBER(C11)),C12/C11-1,"")</f>
        <v>0.146496815286624</v>
      </c>
      <c r="J12" s="7" t="n">
        <f aca="false">IF(AND(ISNUMBER(D12),ISNUMBER(D11)),D12/D11-1,"")</f>
        <v>0.0206337509211496</v>
      </c>
      <c r="K12" s="7" t="n">
        <f aca="false">IF(AND(ISNUMBER(F12),ISNUMBER(F11)),F12/F11-1,"")</f>
        <v>0.262548262548262</v>
      </c>
      <c r="L12" s="7" t="n">
        <f aca="false">IF(AND(ISNUMBER(C12),ISNUMBER(C8)),C12/C8-1,"")</f>
        <v>0.112091791703442</v>
      </c>
      <c r="M12" s="7" t="n">
        <f aca="false">IF(AND(ISNUMBER(D12),ISNUMBER(D8)),D12/D8-1,"")</f>
        <v>-0.0321453529000699</v>
      </c>
      <c r="N12" s="7" t="n">
        <f aca="false">IF(AND(ISNUMBER(F12),ISNUMBER(F8)),F12/F8-1,"")</f>
        <v>0.32657200811359</v>
      </c>
      <c r="O12" s="2" t="s">
        <v>53</v>
      </c>
    </row>
    <row r="13" customFormat="false" ht="15" hidden="false" customHeight="false" outlineLevel="0" collapsed="false">
      <c r="A13" s="2" t="s">
        <v>54</v>
      </c>
      <c r="B13" s="2" t="s">
        <v>55</v>
      </c>
      <c r="C13" s="5" t="n">
        <v>5520</v>
      </c>
      <c r="D13" s="5" t="n">
        <v>1510</v>
      </c>
      <c r="E13" s="5" t="n">
        <v>1200</v>
      </c>
      <c r="F13" s="5" t="n">
        <v>559</v>
      </c>
      <c r="G13" s="6" t="n">
        <f aca="false">IF(COUNT(C13,D13,F13)=3,C13+D13+F13,"")</f>
        <v>7589</v>
      </c>
      <c r="H13" s="7" t="n">
        <f aca="false">E13/D13</f>
        <v>0.794701986754967</v>
      </c>
      <c r="I13" s="7" t="n">
        <f aca="false">IF(AND(ISNUMBER(C13),ISNUMBER(C12)),C13/C12-1,"")</f>
        <v>-0.123809523809524</v>
      </c>
      <c r="J13" s="7" t="n">
        <f aca="false">IF(AND(ISNUMBER(D13),ISNUMBER(D12)),D13/D12-1,"")</f>
        <v>0.0902527075812274</v>
      </c>
      <c r="K13" s="7" t="n">
        <f aca="false">IF(AND(ISNUMBER(F13),ISNUMBER(F12)),F13/F12-1,"")</f>
        <v>-0.145259938837921</v>
      </c>
      <c r="L13" s="7" t="n">
        <f aca="false">IF(AND(ISNUMBER(C13),ISNUMBER(C9)),C13/C9-1,"")</f>
        <v>-0.156608097784568</v>
      </c>
      <c r="M13" s="7" t="n">
        <f aca="false">IF(AND(ISNUMBER(D13),ISNUMBER(D9)),D13/D9-1,"")</f>
        <v>-0.172602739726027</v>
      </c>
      <c r="N13" s="7" t="n">
        <f aca="false">IF(AND(ISNUMBER(F13),ISNUMBER(F9)),F13/F9-1,"")</f>
        <v>-0.069883527454243</v>
      </c>
      <c r="O13" s="2" t="s">
        <v>56</v>
      </c>
    </row>
    <row r="14" customFormat="false" ht="15" hidden="false" customHeight="false" outlineLevel="0" collapsed="false">
      <c r="A14" s="2" t="s">
        <v>57</v>
      </c>
      <c r="B14" s="2" t="s">
        <v>58</v>
      </c>
      <c r="C14" s="5" t="n">
        <v>7118</v>
      </c>
      <c r="D14" s="5" t="n">
        <v>1803</v>
      </c>
      <c r="E14" s="5" t="n">
        <v>1473</v>
      </c>
      <c r="F14" s="5" t="n">
        <v>620</v>
      </c>
      <c r="G14" s="6" t="n">
        <f aca="false">IF(COUNT(C14,D14,F14)=3,C14+D14+F14,"")</f>
        <v>9541</v>
      </c>
      <c r="H14" s="7" t="n">
        <f aca="false">E14/D14</f>
        <v>0.816971713810316</v>
      </c>
      <c r="I14" s="7" t="n">
        <f aca="false">IF(AND(ISNUMBER(C14),ISNUMBER(C13)),C14/C13-1,"")</f>
        <v>0.289492753623188</v>
      </c>
      <c r="J14" s="7" t="n">
        <f aca="false">IF(AND(ISNUMBER(D14),ISNUMBER(D13)),D14/D13-1,"")</f>
        <v>0.194039735099338</v>
      </c>
      <c r="K14" s="7" t="n">
        <f aca="false">IF(AND(ISNUMBER(F14),ISNUMBER(F13)),F14/F13-1,"")</f>
        <v>0.10912343470483</v>
      </c>
      <c r="L14" s="7" t="n">
        <f aca="false">IF(AND(ISNUMBER(C14),ISNUMBER(C10)),C14/C10-1,"")</f>
        <v>0.0860543179737565</v>
      </c>
      <c r="M14" s="7" t="n">
        <f aca="false">IF(AND(ISNUMBER(D14),ISNUMBER(D10)),D14/D10-1,"")</f>
        <v>0.0907441016333939</v>
      </c>
      <c r="N14" s="7" t="n">
        <f aca="false">IF(AND(ISNUMBER(F14),ISNUMBER(F10)),F14/F10-1,"")</f>
        <v>-0.0357698289269052</v>
      </c>
      <c r="O14" s="2" t="s">
        <v>59</v>
      </c>
    </row>
    <row r="15" customFormat="false" ht="15" hidden="false" customHeight="false" outlineLevel="0" collapsed="false">
      <c r="A15" s="2" t="s">
        <v>60</v>
      </c>
      <c r="B15" s="2" t="s">
        <v>61</v>
      </c>
      <c r="C15" s="5" t="n">
        <v>7323</v>
      </c>
      <c r="D15" s="5" t="n">
        <v>1217</v>
      </c>
      <c r="E15" s="5" t="n">
        <v>931</v>
      </c>
      <c r="F15" s="5" t="n">
        <v>754</v>
      </c>
      <c r="G15" s="6" t="n">
        <f aca="false">IF(COUNT(C15,D15,F15)=3,C15+D15+F15,"")</f>
        <v>9294</v>
      </c>
      <c r="H15" s="7" t="n">
        <f aca="false">E15/D15</f>
        <v>0.764995891536565</v>
      </c>
      <c r="I15" s="7" t="n">
        <f aca="false">IF(AND(ISNUMBER(C15),ISNUMBER(C14)),C15/C14-1,"")</f>
        <v>0.0288002247822423</v>
      </c>
      <c r="J15" s="7" t="n">
        <f aca="false">IF(AND(ISNUMBER(D15),ISNUMBER(D14)),D15/D14-1,"")</f>
        <v>-0.325013865779257</v>
      </c>
      <c r="K15" s="7" t="n">
        <f aca="false">IF(AND(ISNUMBER(F15),ISNUMBER(F14)),F15/F14-1,"")</f>
        <v>0.216129032258064</v>
      </c>
      <c r="L15" s="7" t="n">
        <f aca="false">IF(AND(ISNUMBER(C15),ISNUMBER(C11)),C15/C11-1,"")</f>
        <v>0.332666060054595</v>
      </c>
      <c r="M15" s="7" t="n">
        <f aca="false">IF(AND(ISNUMBER(D15),ISNUMBER(D11)),D15/D11-1,"")</f>
        <v>-0.103168754605748</v>
      </c>
      <c r="N15" s="7" t="n">
        <f aca="false">IF(AND(ISNUMBER(F15),ISNUMBER(F11)),F15/F11-1,"")</f>
        <v>0.455598455598456</v>
      </c>
      <c r="O15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3"/>
    <col collapsed="false" customWidth="true" hidden="false" outlineLevel="0" max="8" min="8" style="0" width="20"/>
    <col collapsed="false" customWidth="true" hidden="false" outlineLevel="0" max="19" min="9" style="0" width="13"/>
  </cols>
  <sheetData>
    <row r="1" customFormat="false" ht="15" hidden="false" customHeight="false" outlineLevel="0" collapsed="false">
      <c r="A1" s="1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/>
      <c r="M2" s="1" t="s">
        <v>73</v>
      </c>
      <c r="N2" s="1" t="s">
        <v>74</v>
      </c>
      <c r="O2" s="1" t="s">
        <v>75</v>
      </c>
      <c r="P2" s="1" t="s">
        <v>76</v>
      </c>
      <c r="Q2" s="1" t="s">
        <v>77</v>
      </c>
      <c r="R2" s="1" t="s">
        <v>78</v>
      </c>
      <c r="S2" s="1" t="s">
        <v>79</v>
      </c>
    </row>
    <row r="3" customFormat="false" ht="15" hidden="false" customHeight="false" outlineLevel="0" collapsed="false">
      <c r="A3" s="2" t="s">
        <v>27</v>
      </c>
      <c r="B3" s="2" t="s">
        <v>28</v>
      </c>
      <c r="C3" s="5" t="n">
        <v>295</v>
      </c>
      <c r="D3" s="5" t="n">
        <v>301</v>
      </c>
      <c r="E3" s="5" t="n">
        <v>281</v>
      </c>
      <c r="F3" s="5" t="n">
        <v>767</v>
      </c>
      <c r="G3" s="5" t="n">
        <v>639</v>
      </c>
      <c r="H3" s="5" t="n">
        <v>92</v>
      </c>
      <c r="I3" s="5" t="n">
        <v>1539</v>
      </c>
      <c r="J3" s="6" t="n">
        <f aca="false">SUM(C3:I3)</f>
        <v>3914</v>
      </c>
      <c r="K3" s="6" t="n">
        <f aca="false">INDEX(四半期売上!$C$2:$C$15,MATCH($A3,四半期売上!$A$2:$A$15,0))</f>
        <v>3917</v>
      </c>
      <c r="L3" s="8" t="n">
        <f aca="false">J3-K3</f>
        <v>-3</v>
      </c>
      <c r="M3" s="7" t="n">
        <f aca="false">C3/$J3</f>
        <v>0.0753704649974451</v>
      </c>
      <c r="N3" s="7" t="n">
        <f aca="false">D3/$J3</f>
        <v>0.0769034236075626</v>
      </c>
      <c r="O3" s="7" t="n">
        <f aca="false">E3/$J3</f>
        <v>0.0717935615738375</v>
      </c>
      <c r="P3" s="7" t="n">
        <f aca="false">F3/$J3</f>
        <v>0.195963208993357</v>
      </c>
      <c r="Q3" s="7" t="n">
        <f aca="false">G3/$J3</f>
        <v>0.163260091977517</v>
      </c>
      <c r="R3" s="7" t="n">
        <f aca="false">H3/$J3</f>
        <v>0.0235053653551354</v>
      </c>
      <c r="S3" s="7" t="n">
        <f aca="false">I3/$J3</f>
        <v>0.393203883495146</v>
      </c>
    </row>
    <row r="4" customFormat="false" ht="15" hidden="false" customHeight="false" outlineLevel="0" collapsed="false">
      <c r="A4" s="2" t="s">
        <v>30</v>
      </c>
      <c r="B4" s="2" t="s">
        <v>31</v>
      </c>
      <c r="C4" s="5" t="n">
        <v>412</v>
      </c>
      <c r="D4" s="5" t="n">
        <v>474</v>
      </c>
      <c r="E4" s="5" t="n">
        <v>335</v>
      </c>
      <c r="F4" s="5" t="n">
        <v>674</v>
      </c>
      <c r="G4" s="5" t="n">
        <v>399</v>
      </c>
      <c r="H4" s="5" t="n">
        <v>151</v>
      </c>
      <c r="I4" s="5" t="n">
        <v>1829</v>
      </c>
      <c r="J4" s="6" t="n">
        <f aca="false">SUM(C4:I4)</f>
        <v>4274</v>
      </c>
      <c r="K4" s="6" t="n">
        <f aca="false">INDEX(四半期売上!$C$2:$C$15,MATCH($A4,四半期売上!$A$2:$A$15,0))</f>
        <v>4278</v>
      </c>
      <c r="L4" s="8" t="n">
        <f aca="false">J4-K4</f>
        <v>-4</v>
      </c>
      <c r="M4" s="7" t="n">
        <f aca="false">C4/$J4</f>
        <v>0.0963968179691156</v>
      </c>
      <c r="N4" s="7" t="n">
        <f aca="false">D4/$J4</f>
        <v>0.110903135236313</v>
      </c>
      <c r="O4" s="7" t="n">
        <f aca="false">E4/$J4</f>
        <v>0.0783809078146935</v>
      </c>
      <c r="P4" s="7" t="n">
        <f aca="false">F4/$J4</f>
        <v>0.15769770706598</v>
      </c>
      <c r="Q4" s="7" t="n">
        <f aca="false">G4/$J4</f>
        <v>0.0933551708001872</v>
      </c>
      <c r="R4" s="7" t="n">
        <f aca="false">H4/$J4</f>
        <v>0.0353299017313992</v>
      </c>
      <c r="S4" s="7" t="n">
        <f aca="false">I4/$J4</f>
        <v>0.427936359382312</v>
      </c>
    </row>
    <row r="5" customFormat="false" ht="15" hidden="false" customHeight="false" outlineLevel="0" collapsed="false">
      <c r="A5" s="2" t="s">
        <v>33</v>
      </c>
      <c r="B5" s="2" t="s">
        <v>34</v>
      </c>
      <c r="C5" s="5" t="n">
        <v>574</v>
      </c>
      <c r="D5" s="5" t="n">
        <v>421</v>
      </c>
      <c r="E5" s="5" t="n">
        <v>294</v>
      </c>
      <c r="F5" s="5" t="n">
        <v>582</v>
      </c>
      <c r="G5" s="5" t="n">
        <v>463</v>
      </c>
      <c r="H5" s="5" t="n">
        <v>127</v>
      </c>
      <c r="I5" s="5" t="n">
        <v>2172</v>
      </c>
      <c r="J5" s="6" t="n">
        <f aca="false">SUM(C5:I5)</f>
        <v>4633</v>
      </c>
      <c r="K5" s="6" t="n">
        <f aca="false">INDEX(四半期売上!$C$2:$C$15,MATCH($A5,四半期売上!$A$2:$A$15,0))</f>
        <v>4636</v>
      </c>
      <c r="L5" s="8" t="n">
        <f aca="false">J5-K5</f>
        <v>-3</v>
      </c>
      <c r="M5" s="7" t="n">
        <f aca="false">C5/$J5</f>
        <v>0.123893805309735</v>
      </c>
      <c r="N5" s="7" t="n">
        <f aca="false">D5/$J5</f>
        <v>0.0908698467515649</v>
      </c>
      <c r="O5" s="7" t="n">
        <f aca="false">E5/$J5</f>
        <v>0.0634578027196201</v>
      </c>
      <c r="P5" s="7" t="n">
        <f aca="false">F5/$J5</f>
        <v>0.125620548240881</v>
      </c>
      <c r="Q5" s="7" t="n">
        <f aca="false">G5/$J5</f>
        <v>0.099935247140082</v>
      </c>
      <c r="R5" s="7" t="n">
        <f aca="false">H5/$J5</f>
        <v>0.0274120440319447</v>
      </c>
      <c r="S5" s="7" t="n">
        <f aca="false">I5/$J5</f>
        <v>0.468810705806173</v>
      </c>
    </row>
    <row r="6" customFormat="false" ht="15" hidden="false" customHeight="false" outlineLevel="0" collapsed="false">
      <c r="A6" s="2" t="s">
        <v>36</v>
      </c>
      <c r="B6" s="2" t="s">
        <v>37</v>
      </c>
      <c r="C6" s="5" t="n">
        <v>567</v>
      </c>
      <c r="D6" s="5" t="n">
        <v>483</v>
      </c>
      <c r="E6" s="5" t="n">
        <v>281</v>
      </c>
      <c r="F6" s="5" t="n">
        <v>820</v>
      </c>
      <c r="G6" s="5" t="n">
        <v>552</v>
      </c>
      <c r="H6" s="5" t="n">
        <v>175</v>
      </c>
      <c r="I6" s="5" t="n">
        <v>2591</v>
      </c>
      <c r="J6" s="6" t="n">
        <f aca="false">SUM(C6:I6)</f>
        <v>5469</v>
      </c>
      <c r="K6" s="6" t="n">
        <f aca="false">INDEX(四半期売上!$C$2:$C$15,MATCH($A6,四半期売上!$A$2:$A$15,0))</f>
        <v>5472</v>
      </c>
      <c r="L6" s="8" t="n">
        <f aca="false">J6-K6</f>
        <v>-3</v>
      </c>
      <c r="M6" s="7" t="n">
        <f aca="false">C6/$J6</f>
        <v>0.103675260559517</v>
      </c>
      <c r="N6" s="7" t="n">
        <f aca="false">D6/$J6</f>
        <v>0.0883159626988481</v>
      </c>
      <c r="O6" s="7" t="n">
        <f aca="false">E6/$J6</f>
        <v>0.0513805083196197</v>
      </c>
      <c r="P6" s="7" t="n">
        <f aca="false">F6/$J6</f>
        <v>0.149936002925581</v>
      </c>
      <c r="Q6" s="7" t="n">
        <f aca="false">G6/$J6</f>
        <v>0.100932528798683</v>
      </c>
      <c r="R6" s="7" t="n">
        <f aca="false">H6/$J6</f>
        <v>0.0319985372097276</v>
      </c>
      <c r="S6" s="7" t="n">
        <f aca="false">I6/$J6</f>
        <v>0.473761199488023</v>
      </c>
    </row>
    <row r="7" customFormat="false" ht="15" hidden="false" customHeight="false" outlineLevel="0" collapsed="false">
      <c r="A7" s="2" t="s">
        <v>39</v>
      </c>
      <c r="B7" s="2" t="s">
        <v>40</v>
      </c>
      <c r="C7" s="5" t="n">
        <v>385</v>
      </c>
      <c r="D7" s="5" t="n">
        <v>590</v>
      </c>
      <c r="E7" s="5" t="n">
        <v>155</v>
      </c>
      <c r="F7" s="5" t="n">
        <v>678</v>
      </c>
      <c r="G7" s="5" t="n">
        <v>800</v>
      </c>
      <c r="H7" s="5" t="n">
        <v>170</v>
      </c>
      <c r="I7" s="5" t="n">
        <v>2770</v>
      </c>
      <c r="J7" s="6" t="n">
        <f aca="false">SUM(C7:I7)</f>
        <v>5548</v>
      </c>
      <c r="K7" s="6" t="n">
        <f aca="false">INDEX(四半期売上!$C$2:$C$15,MATCH($A7,四半期売上!$A$2:$A$15,0))</f>
        <v>5550</v>
      </c>
      <c r="L7" s="8" t="n">
        <f aca="false">J7-K7</f>
        <v>-2</v>
      </c>
      <c r="M7" s="7" t="n">
        <f aca="false">C7/$J7</f>
        <v>0.0693943763518385</v>
      </c>
      <c r="N7" s="7" t="n">
        <f aca="false">D7/$J7</f>
        <v>0.106344628695025</v>
      </c>
      <c r="O7" s="7" t="n">
        <f aca="false">E7/$J7</f>
        <v>0.0279379956741168</v>
      </c>
      <c r="P7" s="7" t="n">
        <f aca="false">F7/$J7</f>
        <v>0.122206200432588</v>
      </c>
      <c r="Q7" s="7" t="n">
        <f aca="false">G7/$J7</f>
        <v>0.144196106705119</v>
      </c>
      <c r="R7" s="7" t="n">
        <f aca="false">H7/$J7</f>
        <v>0.0306416726748378</v>
      </c>
      <c r="S7" s="7" t="n">
        <f aca="false">I7/$J7</f>
        <v>0.499279019466474</v>
      </c>
    </row>
    <row r="8" customFormat="false" ht="15" hidden="false" customHeight="false" outlineLevel="0" collapsed="false">
      <c r="A8" s="2" t="s">
        <v>42</v>
      </c>
      <c r="B8" s="2" t="s">
        <v>43</v>
      </c>
      <c r="C8" s="5" t="n">
        <v>526</v>
      </c>
      <c r="D8" s="5" t="n">
        <v>799</v>
      </c>
      <c r="E8" s="5" t="n">
        <v>238</v>
      </c>
      <c r="F8" s="5" t="n">
        <v>795</v>
      </c>
      <c r="G8" s="5" t="n">
        <v>753</v>
      </c>
      <c r="H8" s="5" t="n">
        <v>212</v>
      </c>
      <c r="I8" s="5" t="n">
        <v>2339</v>
      </c>
      <c r="J8" s="6" t="n">
        <f aca="false">SUM(C8:I8)</f>
        <v>5662</v>
      </c>
      <c r="K8" s="6" t="n">
        <f aca="false">INDEX(四半期売上!$C$2:$C$15,MATCH($A8,四半期売上!$A$2:$A$15,0))</f>
        <v>5665</v>
      </c>
      <c r="L8" s="8" t="n">
        <f aca="false">J8-K8</f>
        <v>-3</v>
      </c>
      <c r="M8" s="7" t="n">
        <f aca="false">C8/$J8</f>
        <v>0.0929000353232073</v>
      </c>
      <c r="N8" s="7" t="n">
        <f aca="false">D8/$J8</f>
        <v>0.141116213352172</v>
      </c>
      <c r="O8" s="7" t="n">
        <f aca="false">E8/$J8</f>
        <v>0.0420346167432003</v>
      </c>
      <c r="P8" s="7" t="n">
        <f aca="false">F8/$J8</f>
        <v>0.140409749205228</v>
      </c>
      <c r="Q8" s="7" t="n">
        <f aca="false">G8/$J8</f>
        <v>0.13299187566231</v>
      </c>
      <c r="R8" s="7" t="n">
        <f aca="false">H8/$J8</f>
        <v>0.0374425997880608</v>
      </c>
      <c r="S8" s="7" t="n">
        <f aca="false">I8/$J8</f>
        <v>0.413104909925821</v>
      </c>
    </row>
    <row r="9" customFormat="false" ht="15" hidden="false" customHeight="false" outlineLevel="0" collapsed="false">
      <c r="A9" s="2" t="s">
        <v>44</v>
      </c>
      <c r="B9" s="2" t="s">
        <v>45</v>
      </c>
      <c r="C9" s="5" t="n">
        <v>453</v>
      </c>
      <c r="D9" s="5" t="n">
        <v>577</v>
      </c>
      <c r="E9" s="5" t="n">
        <v>157</v>
      </c>
      <c r="F9" s="5" t="n">
        <v>1145</v>
      </c>
      <c r="G9" s="5" t="n">
        <v>1193</v>
      </c>
      <c r="H9" s="5" t="n">
        <v>223</v>
      </c>
      <c r="I9" s="5" t="n">
        <v>2794</v>
      </c>
      <c r="J9" s="6" t="n">
        <f aca="false">SUM(C9:I9)</f>
        <v>6542</v>
      </c>
      <c r="K9" s="6" t="n">
        <f aca="false">INDEX(四半期売上!$C$2:$C$15,MATCH($A9,四半期売上!$A$2:$A$15,0))</f>
        <v>6545</v>
      </c>
      <c r="L9" s="8" t="n">
        <f aca="false">J9-K9</f>
        <v>-3</v>
      </c>
      <c r="M9" s="7" t="n">
        <f aca="false">C9/$J9</f>
        <v>0.0692448792418221</v>
      </c>
      <c r="N9" s="7" t="n">
        <f aca="false">D9/$J9</f>
        <v>0.0881993274228065</v>
      </c>
      <c r="O9" s="7" t="n">
        <f aca="false">E9/$J9</f>
        <v>0.0239987771323754</v>
      </c>
      <c r="P9" s="7" t="n">
        <f aca="false">F9/$J9</f>
        <v>0.175022928767961</v>
      </c>
      <c r="Q9" s="7" t="n">
        <f aca="false">G9/$J9</f>
        <v>0.182360134515439</v>
      </c>
      <c r="R9" s="7" t="n">
        <f aca="false">H9/$J9</f>
        <v>0.0340874350351574</v>
      </c>
      <c r="S9" s="7" t="n">
        <f aca="false">I9/$J9</f>
        <v>0.427086517884439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5" t="n">
        <v>534</v>
      </c>
      <c r="D10" s="5" t="n">
        <v>462</v>
      </c>
      <c r="E10" s="5" t="n">
        <v>203</v>
      </c>
      <c r="F10" s="5" t="n">
        <v>1470</v>
      </c>
      <c r="G10" s="5" t="n">
        <v>1358</v>
      </c>
      <c r="H10" s="5" t="n">
        <v>278</v>
      </c>
      <c r="I10" s="5" t="n">
        <v>2246</v>
      </c>
      <c r="J10" s="6" t="n">
        <f aca="false">SUM(C10:I10)</f>
        <v>6551</v>
      </c>
      <c r="K10" s="6" t="n">
        <f aca="false">INDEX(四半期売上!$C$2:$C$15,MATCH($A10,四半期売上!$A$2:$A$15,0))</f>
        <v>6554</v>
      </c>
      <c r="L10" s="8" t="n">
        <f aca="false">J10-K10</f>
        <v>-3</v>
      </c>
      <c r="M10" s="7" t="n">
        <f aca="false">C10/$J10</f>
        <v>0.0815142726301328</v>
      </c>
      <c r="N10" s="7" t="n">
        <f aca="false">D10/$J10</f>
        <v>0.0705235841856205</v>
      </c>
      <c r="O10" s="7" t="n">
        <f aca="false">E10/$J10</f>
        <v>0.0309876354754999</v>
      </c>
      <c r="P10" s="7" t="n">
        <f aca="false">F10/$J10</f>
        <v>0.224393222408793</v>
      </c>
      <c r="Q10" s="7" t="n">
        <f aca="false">G10/$J10</f>
        <v>0.207296595939551</v>
      </c>
      <c r="R10" s="7" t="n">
        <f aca="false">H10/$J10</f>
        <v>0.0424362692718669</v>
      </c>
      <c r="S10" s="7" t="n">
        <f aca="false">I10/$J10</f>
        <v>0.342848420088536</v>
      </c>
    </row>
    <row r="11" customFormat="false" ht="15" hidden="false" customHeight="false" outlineLevel="0" collapsed="false">
      <c r="A11" s="2" t="s">
        <v>48</v>
      </c>
      <c r="B11" s="2" t="s">
        <v>49</v>
      </c>
      <c r="C11" s="5" t="n">
        <v>643</v>
      </c>
      <c r="D11" s="5" t="n">
        <v>434</v>
      </c>
      <c r="E11" s="5" t="n">
        <v>140</v>
      </c>
      <c r="F11" s="5" t="n">
        <v>883</v>
      </c>
      <c r="G11" s="5" t="n">
        <v>1115</v>
      </c>
      <c r="H11" s="5" t="n">
        <v>156</v>
      </c>
      <c r="I11" s="5" t="n">
        <v>2121</v>
      </c>
      <c r="J11" s="6" t="n">
        <f aca="false">SUM(C11:I11)</f>
        <v>5492</v>
      </c>
      <c r="K11" s="6" t="n">
        <f aca="false">INDEX(四半期売上!$C$2:$C$15,MATCH($A11,四半期売上!$A$2:$A$15,0))</f>
        <v>5495</v>
      </c>
      <c r="L11" s="8" t="n">
        <f aca="false">J11-K11</f>
        <v>-3</v>
      </c>
      <c r="M11" s="7" t="n">
        <f aca="false">C11/$J11</f>
        <v>0.11707938820102</v>
      </c>
      <c r="N11" s="7" t="n">
        <f aca="false">D11/$J11</f>
        <v>0.0790240349599417</v>
      </c>
      <c r="O11" s="7" t="n">
        <f aca="false">E11/$J11</f>
        <v>0.0254916241806264</v>
      </c>
      <c r="P11" s="7" t="n">
        <f aca="false">F11/$J11</f>
        <v>0.160779315367808</v>
      </c>
      <c r="Q11" s="7" t="n">
        <f aca="false">G11/$J11</f>
        <v>0.203022578295703</v>
      </c>
      <c r="R11" s="7" t="n">
        <f aca="false">H11/$J11</f>
        <v>0.0284049526584122</v>
      </c>
      <c r="S11" s="7" t="n">
        <f aca="false">I11/$J11</f>
        <v>0.386198106336489</v>
      </c>
    </row>
    <row r="12" customFormat="false" ht="15" hidden="false" customHeight="false" outlineLevel="0" collapsed="false">
      <c r="A12" s="2" t="s">
        <v>51</v>
      </c>
      <c r="B12" s="2" t="s">
        <v>52</v>
      </c>
      <c r="C12" s="5" t="n">
        <v>529</v>
      </c>
      <c r="D12" s="5" t="n">
        <v>384</v>
      </c>
      <c r="E12" s="5" t="n">
        <v>108</v>
      </c>
      <c r="F12" s="5" t="n">
        <v>1325</v>
      </c>
      <c r="G12" s="5" t="n">
        <v>1197</v>
      </c>
      <c r="H12" s="5" t="n">
        <v>213</v>
      </c>
      <c r="I12" s="5" t="n">
        <v>2541</v>
      </c>
      <c r="J12" s="6" t="n">
        <f aca="false">SUM(C12:I12)</f>
        <v>6297</v>
      </c>
      <c r="K12" s="6" t="n">
        <f aca="false">INDEX(四半期売上!$C$2:$C$15,MATCH($A12,四半期売上!$A$2:$A$15,0))</f>
        <v>6300</v>
      </c>
      <c r="L12" s="8" t="n">
        <f aca="false">J12-K12</f>
        <v>-3</v>
      </c>
      <c r="M12" s="7" t="n">
        <f aca="false">C12/$J12</f>
        <v>0.0840082579005876</v>
      </c>
      <c r="N12" s="7" t="n">
        <f aca="false">D12/$J12</f>
        <v>0.0609814197236779</v>
      </c>
      <c r="O12" s="7" t="n">
        <f aca="false">E12/$J12</f>
        <v>0.0171510242972844</v>
      </c>
      <c r="P12" s="7" t="n">
        <f aca="false">F12/$J12</f>
        <v>0.210417659202795</v>
      </c>
      <c r="Q12" s="7" t="n">
        <f aca="false">G12/$J12</f>
        <v>0.190090519294902</v>
      </c>
      <c r="R12" s="7" t="n">
        <f aca="false">H12/$J12</f>
        <v>0.0338256312529776</v>
      </c>
      <c r="S12" s="7" t="n">
        <f aca="false">I12/$J12</f>
        <v>0.403525488327775</v>
      </c>
    </row>
    <row r="13" customFormat="false" ht="15" hidden="false" customHeight="false" outlineLevel="0" collapsed="false">
      <c r="A13" s="2" t="s">
        <v>54</v>
      </c>
      <c r="B13" s="2" t="s">
        <v>55</v>
      </c>
      <c r="C13" s="5" t="n">
        <v>393</v>
      </c>
      <c r="D13" s="5" t="n">
        <v>278</v>
      </c>
      <c r="E13" s="5" t="n">
        <v>127</v>
      </c>
      <c r="F13" s="5" t="n">
        <v>1497</v>
      </c>
      <c r="G13" s="5" t="n">
        <v>1119</v>
      </c>
      <c r="H13" s="5" t="n">
        <v>348</v>
      </c>
      <c r="I13" s="5" t="n">
        <v>1755</v>
      </c>
      <c r="J13" s="6" t="n">
        <f aca="false">SUM(C13:I13)</f>
        <v>5517</v>
      </c>
      <c r="K13" s="6" t="n">
        <f aca="false">INDEX(四半期売上!$C$2:$C$15,MATCH($A13,四半期売上!$A$2:$A$15,0))</f>
        <v>5520</v>
      </c>
      <c r="L13" s="8" t="n">
        <f aca="false">J13-K13</f>
        <v>-3</v>
      </c>
      <c r="M13" s="7" t="n">
        <f aca="false">C13/$J13</f>
        <v>0.0712343665035345</v>
      </c>
      <c r="N13" s="7" t="n">
        <f aca="false">D13/$J13</f>
        <v>0.050389704549574</v>
      </c>
      <c r="O13" s="7" t="n">
        <f aca="false">E13/$J13</f>
        <v>0.0230197571143738</v>
      </c>
      <c r="P13" s="7" t="n">
        <f aca="false">F13/$J13</f>
        <v>0.271343121261555</v>
      </c>
      <c r="Q13" s="7" t="n">
        <f aca="false">G13/$J13</f>
        <v>0.202827623708537</v>
      </c>
      <c r="R13" s="7" t="n">
        <f aca="false">H13/$J13</f>
        <v>0.0630777596519848</v>
      </c>
      <c r="S13" s="7" t="n">
        <f aca="false">I13/$J13</f>
        <v>0.318107667210441</v>
      </c>
    </row>
    <row r="14" customFormat="false" ht="15" hidden="false" customHeight="false" outlineLevel="0" collapsed="false">
      <c r="A14" s="2" t="s">
        <v>57</v>
      </c>
      <c r="B14" s="2" t="s">
        <v>58</v>
      </c>
      <c r="C14" s="5" t="n">
        <v>828</v>
      </c>
      <c r="D14" s="5" t="n">
        <v>567</v>
      </c>
      <c r="E14" s="5" t="n">
        <v>297</v>
      </c>
      <c r="F14" s="5" t="n">
        <v>1731</v>
      </c>
      <c r="G14" s="5" t="n">
        <v>1565</v>
      </c>
      <c r="H14" s="5" t="n">
        <v>221</v>
      </c>
      <c r="I14" s="5" t="n">
        <v>1907</v>
      </c>
      <c r="J14" s="6" t="n">
        <f aca="false">SUM(C14:I14)</f>
        <v>7116</v>
      </c>
      <c r="K14" s="6" t="n">
        <f aca="false">INDEX(四半期売上!$C$2:$C$15,MATCH($A14,四半期売上!$A$2:$A$15,0))</f>
        <v>7118</v>
      </c>
      <c r="L14" s="8" t="n">
        <f aca="false">J14-K14</f>
        <v>-2</v>
      </c>
      <c r="M14" s="7" t="n">
        <f aca="false">C14/$J14</f>
        <v>0.116357504215852</v>
      </c>
      <c r="N14" s="7" t="n">
        <f aca="false">D14/$J14</f>
        <v>0.0796795952782462</v>
      </c>
      <c r="O14" s="7" t="n">
        <f aca="false">E14/$J14</f>
        <v>0.0417369308600337</v>
      </c>
      <c r="P14" s="7" t="n">
        <f aca="false">F14/$J14</f>
        <v>0.243254637436762</v>
      </c>
      <c r="Q14" s="7" t="n">
        <f aca="false">G14/$J14</f>
        <v>0.219926925238898</v>
      </c>
      <c r="R14" s="7" t="n">
        <f aca="false">H14/$J14</f>
        <v>0.0310567734682406</v>
      </c>
      <c r="S14" s="7" t="n">
        <f aca="false">I14/$J14</f>
        <v>0.267987633501967</v>
      </c>
    </row>
    <row r="15" customFormat="false" ht="15" hidden="false" customHeight="false" outlineLevel="0" collapsed="false">
      <c r="A15" s="2" t="s">
        <v>60</v>
      </c>
      <c r="B15" s="2" t="s">
        <v>61</v>
      </c>
      <c r="C15" s="5" t="n">
        <v>646</v>
      </c>
      <c r="D15" s="5" t="n">
        <v>590</v>
      </c>
      <c r="E15" s="5" t="n">
        <v>242</v>
      </c>
      <c r="F15" s="5" t="n">
        <v>1524</v>
      </c>
      <c r="G15" s="5" t="n">
        <v>1861</v>
      </c>
      <c r="H15" s="5" t="n">
        <v>229</v>
      </c>
      <c r="I15" s="5" t="n">
        <v>2229</v>
      </c>
      <c r="J15" s="6" t="n">
        <f aca="false">SUM(C15:I15)</f>
        <v>7321</v>
      </c>
      <c r="K15" s="6" t="n">
        <f aca="false">INDEX(四半期売上!$C$2:$C$15,MATCH($A15,四半期売上!$A$2:$A$15,0))</f>
        <v>7323</v>
      </c>
      <c r="L15" s="8" t="n">
        <f aca="false">J15-K15</f>
        <v>-2</v>
      </c>
      <c r="M15" s="7" t="n">
        <f aca="false">C15/$J15</f>
        <v>0.0882393115694577</v>
      </c>
      <c r="N15" s="7" t="n">
        <f aca="false">D15/$J15</f>
        <v>0.0805900833219506</v>
      </c>
      <c r="O15" s="7" t="n">
        <f aca="false">E15/$J15</f>
        <v>0.033055593498156</v>
      </c>
      <c r="P15" s="7" t="n">
        <f aca="false">F15/$J15</f>
        <v>0.208168283021445</v>
      </c>
      <c r="Q15" s="7" t="n">
        <f aca="false">G15/$J15</f>
        <v>0.254200245868051</v>
      </c>
      <c r="R15" s="7" t="n">
        <f aca="false">H15/$J15</f>
        <v>0.0312798797978418</v>
      </c>
      <c r="S15" s="7" t="n">
        <f aca="false">I15/$J15</f>
        <v>0.304466602923098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5" hidden="false" customHeight="false" outlineLevel="0" collapsed="false">
      <c r="A17" s="3" t="s">
        <v>80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5"/>
  </cols>
  <sheetData>
    <row r="1" customFormat="false" ht="15" hidden="false" customHeight="false" outlineLevel="0" collapsed="false">
      <c r="A1" s="4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3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83</v>
      </c>
      <c r="D4" s="1" t="s">
        <v>84</v>
      </c>
      <c r="E4" s="1" t="s">
        <v>85</v>
      </c>
      <c r="F4" s="1" t="s">
        <v>86</v>
      </c>
      <c r="G4" s="1" t="s">
        <v>87</v>
      </c>
      <c r="H4" s="1" t="s">
        <v>88</v>
      </c>
      <c r="I4" s="1" t="s">
        <v>89</v>
      </c>
      <c r="J4" s="1" t="s">
        <v>90</v>
      </c>
      <c r="K4" s="1" t="s">
        <v>91</v>
      </c>
      <c r="L4" s="1" t="s">
        <v>92</v>
      </c>
      <c r="M4" s="1" t="s">
        <v>93</v>
      </c>
      <c r="N4" s="1" t="s">
        <v>94</v>
      </c>
      <c r="O4" s="1" t="s">
        <v>95</v>
      </c>
      <c r="P4" s="1" t="s">
        <v>96</v>
      </c>
      <c r="Q4" s="1" t="s">
        <v>97</v>
      </c>
      <c r="R4" s="1" t="s">
        <v>98</v>
      </c>
      <c r="S4" s="1" t="s">
        <v>99</v>
      </c>
      <c r="T4" s="1" t="s">
        <v>100</v>
      </c>
    </row>
    <row r="5" customFormat="false" ht="15" hidden="false" customHeight="false" outlineLevel="0" collapsed="false">
      <c r="A5" s="2" t="s">
        <v>24</v>
      </c>
      <c r="B5" s="2" t="s">
        <v>25</v>
      </c>
      <c r="C5" s="6" t="n">
        <f aca="false">INDEX(四半期売上!$D$2:$D$15,MATCH($A5,四半期売上!$A$2:$A$15,0))</f>
        <v>1255</v>
      </c>
      <c r="D5" s="9"/>
      <c r="E5" s="9"/>
      <c r="F5" s="9"/>
      <c r="G5" s="9"/>
      <c r="H5" s="9"/>
      <c r="I5" s="9"/>
      <c r="J5" s="9"/>
      <c r="K5" s="9"/>
      <c r="L5" s="7" t="str">
        <f aca="false">IF(COUNT(D5:K5)=0,"",SUM(D5:K5))</f>
        <v/>
      </c>
      <c r="M5" s="6" t="str">
        <f aca="false">IF(OR(D5="",$C5=""),"",D5*$C5)</f>
        <v/>
      </c>
      <c r="N5" s="6" t="str">
        <f aca="false">IF(OR(E5="",$C5=""),"",E5*$C5)</f>
        <v/>
      </c>
      <c r="O5" s="6" t="str">
        <f aca="false">IF(OR(F5="",$C5=""),"",F5*$C5)</f>
        <v/>
      </c>
      <c r="P5" s="6" t="str">
        <f aca="false">IF(OR(G5="",$C5=""),"",G5*$C5)</f>
        <v/>
      </c>
      <c r="Q5" s="6" t="str">
        <f aca="false">IF(OR(H5="",$C5=""),"",H5*$C5)</f>
        <v/>
      </c>
      <c r="R5" s="6" t="str">
        <f aca="false">IF(OR(I5="",$C5=""),"",I5*$C5)</f>
        <v/>
      </c>
      <c r="S5" s="6" t="str">
        <f aca="false">IF(OR(J5="",$C5=""),"",J5*$C5)</f>
        <v/>
      </c>
      <c r="T5" s="6" t="str">
        <f aca="false">IF(OR(K5="",$C5=""),"",K5*$C5)</f>
        <v/>
      </c>
    </row>
    <row r="6" customFormat="false" ht="15" hidden="false" customHeight="false" outlineLevel="0" collapsed="false">
      <c r="A6" s="2" t="s">
        <v>27</v>
      </c>
      <c r="B6" s="2" t="s">
        <v>28</v>
      </c>
      <c r="C6" s="6" t="n">
        <f aca="false">INDEX(四半期売上!$D$2:$D$15,MATCH($A6,四半期売上!$A$2:$A$15,0))</f>
        <v>996</v>
      </c>
      <c r="D6" s="9"/>
      <c r="E6" s="9"/>
      <c r="F6" s="9"/>
      <c r="G6" s="9"/>
      <c r="H6" s="9"/>
      <c r="I6" s="9"/>
      <c r="J6" s="9"/>
      <c r="K6" s="9"/>
      <c r="L6" s="7" t="str">
        <f aca="false">IF(COUNT(D6:K6)=0,"",SUM(D6:K6))</f>
        <v/>
      </c>
      <c r="M6" s="6" t="str">
        <f aca="false">IF(OR(D6="",$C6=""),"",D6*$C6)</f>
        <v/>
      </c>
      <c r="N6" s="6" t="str">
        <f aca="false">IF(OR(E6="",$C6=""),"",E6*$C6)</f>
        <v/>
      </c>
      <c r="O6" s="6" t="str">
        <f aca="false">IF(OR(F6="",$C6=""),"",F6*$C6)</f>
        <v/>
      </c>
      <c r="P6" s="6" t="str">
        <f aca="false">IF(OR(G6="",$C6=""),"",G6*$C6)</f>
        <v/>
      </c>
      <c r="Q6" s="6" t="str">
        <f aca="false">IF(OR(H6="",$C6=""),"",H6*$C6)</f>
        <v/>
      </c>
      <c r="R6" s="6" t="str">
        <f aca="false">IF(OR(I6="",$C6=""),"",I6*$C6)</f>
        <v/>
      </c>
      <c r="S6" s="6" t="str">
        <f aca="false">IF(OR(J6="",$C6=""),"",J6*$C6)</f>
        <v/>
      </c>
      <c r="T6" s="6" t="str">
        <f aca="false">IF(OR(K6="",$C6=""),"",K6*$C6)</f>
        <v/>
      </c>
    </row>
    <row r="7" customFormat="false" ht="15" hidden="false" customHeight="false" outlineLevel="0" collapsed="false">
      <c r="A7" s="2" t="s">
        <v>30</v>
      </c>
      <c r="B7" s="2" t="s">
        <v>31</v>
      </c>
      <c r="C7" s="6" t="n">
        <f aca="false">INDEX(四半期売上!$D$2:$D$15,MATCH($A7,四半期売上!$A$2:$A$15,0))</f>
        <v>1235</v>
      </c>
      <c r="D7" s="9"/>
      <c r="E7" s="9"/>
      <c r="F7" s="9"/>
      <c r="G7" s="9"/>
      <c r="H7" s="9"/>
      <c r="I7" s="9"/>
      <c r="J7" s="9"/>
      <c r="K7" s="9"/>
      <c r="L7" s="7" t="str">
        <f aca="false">IF(COUNT(D7:K7)=0,"",SUM(D7:K7))</f>
        <v/>
      </c>
      <c r="M7" s="6" t="str">
        <f aca="false">IF(OR(D7="",$C7=""),"",D7*$C7)</f>
        <v/>
      </c>
      <c r="N7" s="6" t="str">
        <f aca="false">IF(OR(E7="",$C7=""),"",E7*$C7)</f>
        <v/>
      </c>
      <c r="O7" s="6" t="str">
        <f aca="false">IF(OR(F7="",$C7=""),"",F7*$C7)</f>
        <v/>
      </c>
      <c r="P7" s="6" t="str">
        <f aca="false">IF(OR(G7="",$C7=""),"",G7*$C7)</f>
        <v/>
      </c>
      <c r="Q7" s="6" t="str">
        <f aca="false">IF(OR(H7="",$C7=""),"",H7*$C7)</f>
        <v/>
      </c>
      <c r="R7" s="6" t="str">
        <f aca="false">IF(OR(I7="",$C7=""),"",I7*$C7)</f>
        <v/>
      </c>
      <c r="S7" s="6" t="str">
        <f aca="false">IF(OR(J7="",$C7=""),"",J7*$C7)</f>
        <v/>
      </c>
      <c r="T7" s="6" t="str">
        <f aca="false">IF(OR(K7="",$C7=""),"",K7*$C7)</f>
        <v/>
      </c>
    </row>
    <row r="8" customFormat="false" ht="15" hidden="false" customHeight="false" outlineLevel="0" collapsed="false">
      <c r="A8" s="2" t="s">
        <v>33</v>
      </c>
      <c r="B8" s="2" t="s">
        <v>34</v>
      </c>
      <c r="C8" s="6" t="n">
        <f aca="false">INDEX(四半期売上!$D$2:$D$15,MATCH($A8,四半期売上!$A$2:$A$15,0))</f>
        <v>1245</v>
      </c>
      <c r="D8" s="9"/>
      <c r="E8" s="9"/>
      <c r="F8" s="9"/>
      <c r="G8" s="9"/>
      <c r="H8" s="9"/>
      <c r="I8" s="9"/>
      <c r="J8" s="9"/>
      <c r="K8" s="9"/>
      <c r="L8" s="7" t="str">
        <f aca="false">IF(COUNT(D8:K8)=0,"",SUM(D8:K8))</f>
        <v/>
      </c>
      <c r="M8" s="6" t="str">
        <f aca="false">IF(OR(D8="",$C8=""),"",D8*$C8)</f>
        <v/>
      </c>
      <c r="N8" s="6" t="str">
        <f aca="false">IF(OR(E8="",$C8=""),"",E8*$C8)</f>
        <v/>
      </c>
      <c r="O8" s="6" t="str">
        <f aca="false">IF(OR(F8="",$C8=""),"",F8*$C8)</f>
        <v/>
      </c>
      <c r="P8" s="6" t="str">
        <f aca="false">IF(OR(G8="",$C8=""),"",G8*$C8)</f>
        <v/>
      </c>
      <c r="Q8" s="6" t="str">
        <f aca="false">IF(OR(H8="",$C8=""),"",H8*$C8)</f>
        <v/>
      </c>
      <c r="R8" s="6" t="str">
        <f aca="false">IF(OR(I8="",$C8=""),"",I8*$C8)</f>
        <v/>
      </c>
      <c r="S8" s="6" t="str">
        <f aca="false">IF(OR(J8="",$C8=""),"",J8*$C8)</f>
        <v/>
      </c>
      <c r="T8" s="6" t="str">
        <f aca="false">IF(OR(K8="",$C8=""),"",K8*$C8)</f>
        <v/>
      </c>
    </row>
    <row r="9" customFormat="false" ht="15" hidden="false" customHeight="false" outlineLevel="0" collapsed="false">
      <c r="A9" s="2" t="s">
        <v>36</v>
      </c>
      <c r="B9" s="2" t="s">
        <v>37</v>
      </c>
      <c r="C9" s="6" t="n">
        <f aca="false">INDEX(四半期売上!$D$2:$D$15,MATCH($A9,四半期売上!$A$2:$A$15,0))</f>
        <v>1570</v>
      </c>
      <c r="D9" s="9"/>
      <c r="E9" s="9"/>
      <c r="F9" s="9"/>
      <c r="G9" s="9"/>
      <c r="H9" s="9"/>
      <c r="I9" s="9"/>
      <c r="J9" s="9"/>
      <c r="K9" s="9"/>
      <c r="L9" s="7" t="str">
        <f aca="false">IF(COUNT(D9:K9)=0,"",SUM(D9:K9))</f>
        <v/>
      </c>
      <c r="M9" s="6" t="str">
        <f aca="false">IF(OR(D9="",$C9=""),"",D9*$C9)</f>
        <v/>
      </c>
      <c r="N9" s="6" t="str">
        <f aca="false">IF(OR(E9="",$C9=""),"",E9*$C9)</f>
        <v/>
      </c>
      <c r="O9" s="6" t="str">
        <f aca="false">IF(OR(F9="",$C9=""),"",F9*$C9)</f>
        <v/>
      </c>
      <c r="P9" s="6" t="str">
        <f aca="false">IF(OR(G9="",$C9=""),"",G9*$C9)</f>
        <v/>
      </c>
      <c r="Q9" s="6" t="str">
        <f aca="false">IF(OR(H9="",$C9=""),"",H9*$C9)</f>
        <v/>
      </c>
      <c r="R9" s="6" t="str">
        <f aca="false">IF(OR(I9="",$C9=""),"",I9*$C9)</f>
        <v/>
      </c>
      <c r="S9" s="6" t="str">
        <f aca="false">IF(OR(J9="",$C9=""),"",J9*$C9)</f>
        <v/>
      </c>
      <c r="T9" s="6" t="str">
        <f aca="false">IF(OR(K9="",$C9=""),"",K9*$C9)</f>
        <v/>
      </c>
    </row>
    <row r="10" customFormat="false" ht="15" hidden="false" customHeight="false" outlineLevel="0" collapsed="false">
      <c r="A10" s="2" t="s">
        <v>39</v>
      </c>
      <c r="B10" s="2" t="s">
        <v>40</v>
      </c>
      <c r="C10" s="6" t="n">
        <f aca="false">INDEX(四半期売上!$D$2:$D$15,MATCH($A10,四半期売上!$A$2:$A$15,0))</f>
        <v>1342</v>
      </c>
      <c r="D10" s="9"/>
      <c r="E10" s="9"/>
      <c r="F10" s="9"/>
      <c r="G10" s="9"/>
      <c r="H10" s="9"/>
      <c r="I10" s="9"/>
      <c r="J10" s="9"/>
      <c r="K10" s="9"/>
      <c r="L10" s="7" t="str">
        <f aca="false">IF(COUNT(D10:K10)=0,"",SUM(D10:K10))</f>
        <v/>
      </c>
      <c r="M10" s="6" t="str">
        <f aca="false">IF(OR(D10="",$C10=""),"",D10*$C10)</f>
        <v/>
      </c>
      <c r="N10" s="6" t="str">
        <f aca="false">IF(OR(E10="",$C10=""),"",E10*$C10)</f>
        <v/>
      </c>
      <c r="O10" s="6" t="str">
        <f aca="false">IF(OR(F10="",$C10=""),"",F10*$C10)</f>
        <v/>
      </c>
      <c r="P10" s="6" t="str">
        <f aca="false">IF(OR(G10="",$C10=""),"",G10*$C10)</f>
        <v/>
      </c>
      <c r="Q10" s="6" t="str">
        <f aca="false">IF(OR(H10="",$C10=""),"",H10*$C10)</f>
        <v/>
      </c>
      <c r="R10" s="6" t="str">
        <f aca="false">IF(OR(I10="",$C10=""),"",I10*$C10)</f>
        <v/>
      </c>
      <c r="S10" s="6" t="str">
        <f aca="false">IF(OR(J10="",$C10=""),"",J10*$C10)</f>
        <v/>
      </c>
      <c r="T10" s="6" t="str">
        <f aca="false">IF(OR(K10="",$C10=""),"",K10*$C10)</f>
        <v/>
      </c>
    </row>
    <row r="11" customFormat="false" ht="15" hidden="false" customHeight="false" outlineLevel="0" collapsed="false">
      <c r="A11" s="2" t="s">
        <v>42</v>
      </c>
      <c r="B11" s="2" t="s">
        <v>43</v>
      </c>
      <c r="C11" s="6" t="n">
        <f aca="false">INDEX(四半期売上!$D$2:$D$15,MATCH($A11,四半期売上!$A$2:$A$15,0))</f>
        <v>1431</v>
      </c>
      <c r="D11" s="9"/>
      <c r="E11" s="9"/>
      <c r="F11" s="9"/>
      <c r="G11" s="9"/>
      <c r="H11" s="9"/>
      <c r="I11" s="9"/>
      <c r="J11" s="9"/>
      <c r="K11" s="9"/>
      <c r="L11" s="7" t="str">
        <f aca="false">IF(COUNT(D11:K11)=0,"",SUM(D11:K11))</f>
        <v/>
      </c>
      <c r="M11" s="6" t="str">
        <f aca="false">IF(OR(D11="",$C11=""),"",D11*$C11)</f>
        <v/>
      </c>
      <c r="N11" s="6" t="str">
        <f aca="false">IF(OR(E11="",$C11=""),"",E11*$C11)</f>
        <v/>
      </c>
      <c r="O11" s="6" t="str">
        <f aca="false">IF(OR(F11="",$C11=""),"",F11*$C11)</f>
        <v/>
      </c>
      <c r="P11" s="6" t="str">
        <f aca="false">IF(OR(G11="",$C11=""),"",G11*$C11)</f>
        <v/>
      </c>
      <c r="Q11" s="6" t="str">
        <f aca="false">IF(OR(H11="",$C11=""),"",H11*$C11)</f>
        <v/>
      </c>
      <c r="R11" s="6" t="str">
        <f aca="false">IF(OR(I11="",$C11=""),"",I11*$C11)</f>
        <v/>
      </c>
      <c r="S11" s="6" t="str">
        <f aca="false">IF(OR(J11="",$C11=""),"",J11*$C11)</f>
        <v/>
      </c>
      <c r="T11" s="6" t="str">
        <f aca="false">IF(OR(K11="",$C11=""),"",K11*$C11)</f>
        <v/>
      </c>
    </row>
    <row r="12" customFormat="false" ht="15" hidden="false" customHeight="false" outlineLevel="0" collapsed="false">
      <c r="A12" s="2" t="s">
        <v>44</v>
      </c>
      <c r="B12" s="2" t="s">
        <v>45</v>
      </c>
      <c r="C12" s="6" t="n">
        <f aca="false">INDEX(四半期売上!$D$2:$D$15,MATCH($A12,四半期売上!$A$2:$A$15,0))</f>
        <v>1825</v>
      </c>
      <c r="D12" s="9"/>
      <c r="E12" s="9"/>
      <c r="F12" s="9"/>
      <c r="G12" s="9"/>
      <c r="H12" s="9"/>
      <c r="I12" s="9"/>
      <c r="J12" s="9"/>
      <c r="K12" s="9"/>
      <c r="L12" s="7" t="str">
        <f aca="false">IF(COUNT(D12:K12)=0,"",SUM(D12:K12))</f>
        <v/>
      </c>
      <c r="M12" s="6" t="str">
        <f aca="false">IF(OR(D12="",$C12=""),"",D12*$C12)</f>
        <v/>
      </c>
      <c r="N12" s="6" t="str">
        <f aca="false">IF(OR(E12="",$C12=""),"",E12*$C12)</f>
        <v/>
      </c>
      <c r="O12" s="6" t="str">
        <f aca="false">IF(OR(F12="",$C12=""),"",F12*$C12)</f>
        <v/>
      </c>
      <c r="P12" s="6" t="str">
        <f aca="false">IF(OR(G12="",$C12=""),"",G12*$C12)</f>
        <v/>
      </c>
      <c r="Q12" s="6" t="str">
        <f aca="false">IF(OR(H12="",$C12=""),"",H12*$C12)</f>
        <v/>
      </c>
      <c r="R12" s="6" t="str">
        <f aca="false">IF(OR(I12="",$C12=""),"",I12*$C12)</f>
        <v/>
      </c>
      <c r="S12" s="6" t="str">
        <f aca="false">IF(OR(J12="",$C12=""),"",J12*$C12)</f>
        <v/>
      </c>
      <c r="T12" s="6" t="str">
        <f aca="false">IF(OR(K12="",$C12=""),"",K12*$C12)</f>
        <v/>
      </c>
    </row>
    <row r="13" customFormat="false" ht="15" hidden="false" customHeight="false" outlineLevel="0" collapsed="false">
      <c r="A13" s="2" t="s">
        <v>46</v>
      </c>
      <c r="B13" s="2" t="s">
        <v>47</v>
      </c>
      <c r="C13" s="6" t="n">
        <f aca="false">INDEX(四半期売上!$D$2:$D$15,MATCH($A13,四半期売上!$A$2:$A$15,0))</f>
        <v>1653</v>
      </c>
      <c r="D13" s="9"/>
      <c r="E13" s="9"/>
      <c r="F13" s="9"/>
      <c r="G13" s="9"/>
      <c r="H13" s="9"/>
      <c r="I13" s="9"/>
      <c r="J13" s="9"/>
      <c r="K13" s="9"/>
      <c r="L13" s="7" t="str">
        <f aca="false">IF(COUNT(D13:K13)=0,"",SUM(D13:K13))</f>
        <v/>
      </c>
      <c r="M13" s="6" t="str">
        <f aca="false">IF(OR(D13="",$C13=""),"",D13*$C13)</f>
        <v/>
      </c>
      <c r="N13" s="6" t="str">
        <f aca="false">IF(OR(E13="",$C13=""),"",E13*$C13)</f>
        <v/>
      </c>
      <c r="O13" s="6" t="str">
        <f aca="false">IF(OR(F13="",$C13=""),"",F13*$C13)</f>
        <v/>
      </c>
      <c r="P13" s="6" t="str">
        <f aca="false">IF(OR(G13="",$C13=""),"",G13*$C13)</f>
        <v/>
      </c>
      <c r="Q13" s="6" t="str">
        <f aca="false">IF(OR(H13="",$C13=""),"",H13*$C13)</f>
        <v/>
      </c>
      <c r="R13" s="6" t="str">
        <f aca="false">IF(OR(I13="",$C13=""),"",I13*$C13)</f>
        <v/>
      </c>
      <c r="S13" s="6" t="str">
        <f aca="false">IF(OR(J13="",$C13=""),"",J13*$C13)</f>
        <v/>
      </c>
      <c r="T13" s="6" t="str">
        <f aca="false">IF(OR(K13="",$C13=""),"",K13*$C13)</f>
        <v/>
      </c>
    </row>
    <row r="14" customFormat="false" ht="15" hidden="false" customHeight="false" outlineLevel="0" collapsed="false">
      <c r="A14" s="2" t="s">
        <v>48</v>
      </c>
      <c r="B14" s="2" t="s">
        <v>49</v>
      </c>
      <c r="C14" s="6" t="n">
        <f aca="false">INDEX(四半期売上!$D$2:$D$15,MATCH($A14,四半期売上!$A$2:$A$15,0))</f>
        <v>1357</v>
      </c>
      <c r="D14" s="9"/>
      <c r="E14" s="9"/>
      <c r="F14" s="9"/>
      <c r="G14" s="9"/>
      <c r="H14" s="9"/>
      <c r="I14" s="9"/>
      <c r="J14" s="9"/>
      <c r="K14" s="9"/>
      <c r="L14" s="7" t="str">
        <f aca="false">IF(COUNT(D14:K14)=0,"",SUM(D14:K14))</f>
        <v/>
      </c>
      <c r="M14" s="6" t="str">
        <f aca="false">IF(OR(D14="",$C14=""),"",D14*$C14)</f>
        <v/>
      </c>
      <c r="N14" s="6" t="str">
        <f aca="false">IF(OR(E14="",$C14=""),"",E14*$C14)</f>
        <v/>
      </c>
      <c r="O14" s="6" t="str">
        <f aca="false">IF(OR(F14="",$C14=""),"",F14*$C14)</f>
        <v/>
      </c>
      <c r="P14" s="6" t="str">
        <f aca="false">IF(OR(G14="",$C14=""),"",G14*$C14)</f>
        <v/>
      </c>
      <c r="Q14" s="6" t="str">
        <f aca="false">IF(OR(H14="",$C14=""),"",H14*$C14)</f>
        <v/>
      </c>
      <c r="R14" s="6" t="str">
        <f aca="false">IF(OR(I14="",$C14=""),"",I14*$C14)</f>
        <v/>
      </c>
      <c r="S14" s="6" t="str">
        <f aca="false">IF(OR(J14="",$C14=""),"",J14*$C14)</f>
        <v/>
      </c>
      <c r="T14" s="6" t="str">
        <f aca="false">IF(OR(K14="",$C14=""),"",K14*$C14)</f>
        <v/>
      </c>
    </row>
    <row r="15" customFormat="false" ht="15" hidden="false" customHeight="false" outlineLevel="0" collapsed="false">
      <c r="A15" s="2" t="s">
        <v>51</v>
      </c>
      <c r="B15" s="2" t="s">
        <v>52</v>
      </c>
      <c r="C15" s="6" t="n">
        <f aca="false">INDEX(四半期売上!$D$2:$D$15,MATCH($A15,四半期売上!$A$2:$A$15,0))</f>
        <v>1385</v>
      </c>
      <c r="D15" s="9"/>
      <c r="E15" s="9"/>
      <c r="F15" s="9"/>
      <c r="G15" s="9"/>
      <c r="H15" s="9"/>
      <c r="I15" s="9"/>
      <c r="J15" s="9"/>
      <c r="K15" s="9"/>
      <c r="L15" s="7" t="str">
        <f aca="false">IF(COUNT(D15:K15)=0,"",SUM(D15:K15))</f>
        <v/>
      </c>
      <c r="M15" s="6" t="str">
        <f aca="false">IF(OR(D15="",$C15=""),"",D15*$C15)</f>
        <v/>
      </c>
      <c r="N15" s="6" t="str">
        <f aca="false">IF(OR(E15="",$C15=""),"",E15*$C15)</f>
        <v/>
      </c>
      <c r="O15" s="6" t="str">
        <f aca="false">IF(OR(F15="",$C15=""),"",F15*$C15)</f>
        <v/>
      </c>
      <c r="P15" s="6" t="str">
        <f aca="false">IF(OR(G15="",$C15=""),"",G15*$C15)</f>
        <v/>
      </c>
      <c r="Q15" s="6" t="str">
        <f aca="false">IF(OR(H15="",$C15=""),"",H15*$C15)</f>
        <v/>
      </c>
      <c r="R15" s="6" t="str">
        <f aca="false">IF(OR(I15="",$C15=""),"",I15*$C15)</f>
        <v/>
      </c>
      <c r="S15" s="6" t="str">
        <f aca="false">IF(OR(J15="",$C15=""),"",J15*$C15)</f>
        <v/>
      </c>
      <c r="T15" s="6" t="str">
        <f aca="false">IF(OR(K15="",$C15=""),"",K15*$C15)</f>
        <v/>
      </c>
    </row>
    <row r="16" customFormat="false" ht="15" hidden="false" customHeight="false" outlineLevel="0" collapsed="false">
      <c r="A16" s="2" t="s">
        <v>54</v>
      </c>
      <c r="B16" s="2" t="s">
        <v>55</v>
      </c>
      <c r="C16" s="6" t="n">
        <f aca="false">INDEX(四半期売上!$D$2:$D$15,MATCH($A16,四半期売上!$A$2:$A$15,0))</f>
        <v>1510</v>
      </c>
      <c r="D16" s="9"/>
      <c r="E16" s="9"/>
      <c r="F16" s="9"/>
      <c r="G16" s="9"/>
      <c r="H16" s="9"/>
      <c r="I16" s="9"/>
      <c r="J16" s="9"/>
      <c r="K16" s="9"/>
      <c r="L16" s="7" t="str">
        <f aca="false">IF(COUNT(D16:K16)=0,"",SUM(D16:K16))</f>
        <v/>
      </c>
      <c r="M16" s="6" t="str">
        <f aca="false">IF(OR(D16="",$C16=""),"",D16*$C16)</f>
        <v/>
      </c>
      <c r="N16" s="6" t="str">
        <f aca="false">IF(OR(E16="",$C16=""),"",E16*$C16)</f>
        <v/>
      </c>
      <c r="O16" s="6" t="str">
        <f aca="false">IF(OR(F16="",$C16=""),"",F16*$C16)</f>
        <v/>
      </c>
      <c r="P16" s="6" t="str">
        <f aca="false">IF(OR(G16="",$C16=""),"",G16*$C16)</f>
        <v/>
      </c>
      <c r="Q16" s="6" t="str">
        <f aca="false">IF(OR(H16="",$C16=""),"",H16*$C16)</f>
        <v/>
      </c>
      <c r="R16" s="6" t="str">
        <f aca="false">IF(OR(I16="",$C16=""),"",I16*$C16)</f>
        <v/>
      </c>
      <c r="S16" s="6" t="str">
        <f aca="false">IF(OR(J16="",$C16=""),"",J16*$C16)</f>
        <v/>
      </c>
      <c r="T16" s="6" t="str">
        <f aca="false">IF(OR(K16="",$C16=""),"",K16*$C16)</f>
        <v/>
      </c>
    </row>
    <row r="17" customFormat="false" ht="15" hidden="false" customHeight="false" outlineLevel="0" collapsed="false">
      <c r="A17" s="2" t="s">
        <v>57</v>
      </c>
      <c r="B17" s="2" t="s">
        <v>58</v>
      </c>
      <c r="C17" s="6" t="n">
        <f aca="false">INDEX(四半期売上!$D$2:$D$15,MATCH($A17,四半期売上!$A$2:$A$15,0))</f>
        <v>1803</v>
      </c>
      <c r="D17" s="9"/>
      <c r="E17" s="9"/>
      <c r="F17" s="9"/>
      <c r="G17" s="9"/>
      <c r="H17" s="9"/>
      <c r="I17" s="9"/>
      <c r="J17" s="9"/>
      <c r="K17" s="9"/>
      <c r="L17" s="7" t="str">
        <f aca="false">IF(COUNT(D17:K17)=0,"",SUM(D17:K17))</f>
        <v/>
      </c>
      <c r="M17" s="6" t="str">
        <f aca="false">IF(OR(D17="",$C17=""),"",D17*$C17)</f>
        <v/>
      </c>
      <c r="N17" s="6" t="str">
        <f aca="false">IF(OR(E17="",$C17=""),"",E17*$C17)</f>
        <v/>
      </c>
      <c r="O17" s="6" t="str">
        <f aca="false">IF(OR(F17="",$C17=""),"",F17*$C17)</f>
        <v/>
      </c>
      <c r="P17" s="6" t="str">
        <f aca="false">IF(OR(G17="",$C17=""),"",G17*$C17)</f>
        <v/>
      </c>
      <c r="Q17" s="6" t="str">
        <f aca="false">IF(OR(H17="",$C17=""),"",H17*$C17)</f>
        <v/>
      </c>
      <c r="R17" s="6" t="str">
        <f aca="false">IF(OR(I17="",$C17=""),"",I17*$C17)</f>
        <v/>
      </c>
      <c r="S17" s="6" t="str">
        <f aca="false">IF(OR(J17="",$C17=""),"",J17*$C17)</f>
        <v/>
      </c>
      <c r="T17" s="6" t="str">
        <f aca="false">IF(OR(K17="",$C17=""),"",K17*$C17)</f>
        <v/>
      </c>
    </row>
    <row r="18" customFormat="false" ht="15" hidden="false" customHeight="false" outlineLevel="0" collapsed="false">
      <c r="A18" s="2" t="s">
        <v>60</v>
      </c>
      <c r="B18" s="2" t="s">
        <v>61</v>
      </c>
      <c r="C18" s="6" t="n">
        <f aca="false">INDEX(四半期売上!$D$2:$D$15,MATCH($A18,四半期売上!$A$2:$A$15,0))</f>
        <v>1217</v>
      </c>
      <c r="D18" s="9"/>
      <c r="E18" s="9"/>
      <c r="F18" s="9"/>
      <c r="G18" s="9"/>
      <c r="H18" s="9"/>
      <c r="I18" s="9"/>
      <c r="J18" s="9"/>
      <c r="K18" s="9"/>
      <c r="L18" s="7" t="str">
        <f aca="false">IF(COUNT(D18:K18)=0,"",SUM(D18:K18))</f>
        <v/>
      </c>
      <c r="M18" s="6" t="str">
        <f aca="false">IF(OR(D18="",$C18=""),"",D18*$C18)</f>
        <v/>
      </c>
      <c r="N18" s="6" t="str">
        <f aca="false">IF(OR(E18="",$C18=""),"",E18*$C18)</f>
        <v/>
      </c>
      <c r="O18" s="6" t="str">
        <f aca="false">IF(OR(F18="",$C18=""),"",F18*$C18)</f>
        <v/>
      </c>
      <c r="P18" s="6" t="str">
        <f aca="false">IF(OR(G18="",$C18=""),"",G18*$C18)</f>
        <v/>
      </c>
      <c r="Q18" s="6" t="str">
        <f aca="false">IF(OR(H18="",$C18=""),"",H18*$C18)</f>
        <v/>
      </c>
      <c r="R18" s="6" t="str">
        <f aca="false">IF(OR(I18="",$C18=""),"",I18*$C18)</f>
        <v/>
      </c>
      <c r="S18" s="6" t="str">
        <f aca="false">IF(OR(J18="",$C18=""),"",J18*$C18)</f>
        <v/>
      </c>
      <c r="T18" s="6" t="str">
        <f aca="false">IF(OR(K18="",$C18=""),"",K18*$C18)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5"/>
  </cols>
  <sheetData>
    <row r="1" customFormat="false" ht="15" hidden="false" customHeight="false" outlineLevel="0" collapsed="false">
      <c r="A1" s="4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83</v>
      </c>
      <c r="D4" s="1" t="s">
        <v>84</v>
      </c>
      <c r="E4" s="1" t="s">
        <v>103</v>
      </c>
      <c r="F4" s="1" t="s">
        <v>85</v>
      </c>
      <c r="G4" s="1" t="s">
        <v>87</v>
      </c>
      <c r="H4" s="1" t="s">
        <v>86</v>
      </c>
      <c r="I4" s="1" t="s">
        <v>91</v>
      </c>
      <c r="J4" s="1" t="s">
        <v>92</v>
      </c>
      <c r="K4" s="1" t="s">
        <v>93</v>
      </c>
      <c r="L4" s="1" t="s">
        <v>104</v>
      </c>
      <c r="M4" s="1" t="s">
        <v>94</v>
      </c>
      <c r="N4" s="1" t="s">
        <v>96</v>
      </c>
      <c r="O4" s="1" t="s">
        <v>95</v>
      </c>
      <c r="P4" s="1" t="s">
        <v>100</v>
      </c>
    </row>
    <row r="5" customFormat="false" ht="15" hidden="false" customHeight="false" outlineLevel="0" collapsed="false">
      <c r="A5" s="2" t="s">
        <v>24</v>
      </c>
      <c r="B5" s="2" t="s">
        <v>25</v>
      </c>
      <c r="C5" s="6" t="n">
        <f aca="false">INDEX(四半期売上!$F$2:$F$15,MATCH($A5,四半期売上!$A$2:$A$15,0))</f>
        <v>0</v>
      </c>
      <c r="D5" s="9"/>
      <c r="E5" s="9"/>
      <c r="F5" s="9"/>
      <c r="G5" s="9"/>
      <c r="H5" s="9"/>
      <c r="I5" s="9"/>
      <c r="J5" s="7" t="str">
        <f aca="false">IF(COUNT(D5:I5)=0,"",SUM(D5:I5))</f>
        <v/>
      </c>
      <c r="K5" s="6" t="str">
        <f aca="false">IF(OR(D5="",$C5=""),"",D5*$C5)</f>
        <v/>
      </c>
      <c r="L5" s="6" t="str">
        <f aca="false">IF(OR(E5="",$C5=""),"",E5*$C5)</f>
        <v/>
      </c>
      <c r="M5" s="6" t="str">
        <f aca="false">IF(OR(F5="",$C5=""),"",F5*$C5)</f>
        <v/>
      </c>
      <c r="N5" s="6" t="str">
        <f aca="false">IF(OR(G5="",$C5=""),"",G5*$C5)</f>
        <v/>
      </c>
      <c r="O5" s="6" t="str">
        <f aca="false">IF(OR(H5="",$C5=""),"",H5*$C5)</f>
        <v/>
      </c>
      <c r="P5" s="6" t="str">
        <f aca="false">IF(OR(I5="",$C5=""),"",I5*$C5)</f>
        <v/>
      </c>
    </row>
    <row r="6" customFormat="false" ht="15" hidden="false" customHeight="false" outlineLevel="0" collapsed="false">
      <c r="A6" s="2" t="s">
        <v>27</v>
      </c>
      <c r="B6" s="2" t="s">
        <v>28</v>
      </c>
      <c r="C6" s="6" t="n">
        <f aca="false">INDEX(四半期売上!$F$2:$F$15,MATCH($A6,四半期売上!$A$2:$A$15,0))</f>
        <v>327</v>
      </c>
      <c r="D6" s="9"/>
      <c r="E6" s="9"/>
      <c r="F6" s="9"/>
      <c r="G6" s="9"/>
      <c r="H6" s="9"/>
      <c r="I6" s="9"/>
      <c r="J6" s="7" t="str">
        <f aca="false">IF(COUNT(D6:I6)=0,"",SUM(D6:I6))</f>
        <v/>
      </c>
      <c r="K6" s="6" t="str">
        <f aca="false">IF(OR(D6="",$C6=""),"",D6*$C6)</f>
        <v/>
      </c>
      <c r="L6" s="6" t="str">
        <f aca="false">IF(OR(E6="",$C6=""),"",E6*$C6)</f>
        <v/>
      </c>
      <c r="M6" s="6" t="str">
        <f aca="false">IF(OR(F6="",$C6=""),"",F6*$C6)</f>
        <v/>
      </c>
      <c r="N6" s="6" t="str">
        <f aca="false">IF(OR(G6="",$C6=""),"",G6*$C6)</f>
        <v/>
      </c>
      <c r="O6" s="6" t="str">
        <f aca="false">IF(OR(H6="",$C6=""),"",H6*$C6)</f>
        <v/>
      </c>
      <c r="P6" s="6" t="str">
        <f aca="false">IF(OR(I6="",$C6=""),"",I6*$C6)</f>
        <v/>
      </c>
    </row>
    <row r="7" customFormat="false" ht="15" hidden="false" customHeight="false" outlineLevel="0" collapsed="false">
      <c r="A7" s="2" t="s">
        <v>30</v>
      </c>
      <c r="B7" s="2" t="s">
        <v>31</v>
      </c>
      <c r="C7" s="6" t="n">
        <f aca="false">INDEX(四半期売上!$F$2:$F$15,MATCH($A7,四半期売上!$A$2:$A$15,0))</f>
        <v>450</v>
      </c>
      <c r="D7" s="9"/>
      <c r="E7" s="9"/>
      <c r="F7" s="9"/>
      <c r="G7" s="9"/>
      <c r="H7" s="9"/>
      <c r="I7" s="9"/>
      <c r="J7" s="7" t="str">
        <f aca="false">IF(COUNT(D7:I7)=0,"",SUM(D7:I7))</f>
        <v/>
      </c>
      <c r="K7" s="6" t="str">
        <f aca="false">IF(OR(D7="",$C7=""),"",D7*$C7)</f>
        <v/>
      </c>
      <c r="L7" s="6" t="str">
        <f aca="false">IF(OR(E7="",$C7=""),"",E7*$C7)</f>
        <v/>
      </c>
      <c r="M7" s="6" t="str">
        <f aca="false">IF(OR(F7="",$C7=""),"",F7*$C7)</f>
        <v/>
      </c>
      <c r="N7" s="6" t="str">
        <f aca="false">IF(OR(G7="",$C7=""),"",G7*$C7)</f>
        <v/>
      </c>
      <c r="O7" s="6" t="str">
        <f aca="false">IF(OR(H7="",$C7=""),"",H7*$C7)</f>
        <v/>
      </c>
      <c r="P7" s="6" t="str">
        <f aca="false">IF(OR(I7="",$C7=""),"",I7*$C7)</f>
        <v/>
      </c>
    </row>
    <row r="8" customFormat="false" ht="15" hidden="false" customHeight="false" outlineLevel="0" collapsed="false">
      <c r="A8" s="2" t="s">
        <v>33</v>
      </c>
      <c r="B8" s="2" t="s">
        <v>34</v>
      </c>
      <c r="C8" s="6" t="n">
        <f aca="false">INDEX(四半期売上!$F$2:$F$15,MATCH($A8,四半期売上!$A$2:$A$15,0))</f>
        <v>540</v>
      </c>
      <c r="D8" s="9"/>
      <c r="E8" s="9"/>
      <c r="F8" s="9"/>
      <c r="G8" s="9"/>
      <c r="H8" s="9"/>
      <c r="I8" s="9"/>
      <c r="J8" s="7" t="str">
        <f aca="false">IF(COUNT(D8:I8)=0,"",SUM(D8:I8))</f>
        <v/>
      </c>
      <c r="K8" s="6" t="str">
        <f aca="false">IF(OR(D8="",$C8=""),"",D8*$C8)</f>
        <v/>
      </c>
      <c r="L8" s="6" t="str">
        <f aca="false">IF(OR(E8="",$C8=""),"",E8*$C8)</f>
        <v/>
      </c>
      <c r="M8" s="6" t="str">
        <f aca="false">IF(OR(F8="",$C8=""),"",F8*$C8)</f>
        <v/>
      </c>
      <c r="N8" s="6" t="str">
        <f aca="false">IF(OR(G8="",$C8=""),"",G8*$C8)</f>
        <v/>
      </c>
      <c r="O8" s="6" t="str">
        <f aca="false">IF(OR(H8="",$C8=""),"",H8*$C8)</f>
        <v/>
      </c>
      <c r="P8" s="6" t="str">
        <f aca="false">IF(OR(I8="",$C8=""),"",I8*$C8)</f>
        <v/>
      </c>
    </row>
    <row r="9" customFormat="false" ht="15" hidden="false" customHeight="false" outlineLevel="0" collapsed="false">
      <c r="A9" s="2" t="s">
        <v>36</v>
      </c>
      <c r="B9" s="2" t="s">
        <v>37</v>
      </c>
      <c r="C9" s="6" t="n">
        <f aca="false">INDEX(四半期売上!$F$2:$F$15,MATCH($A9,四半期売上!$A$2:$A$15,0))</f>
        <v>492</v>
      </c>
      <c r="D9" s="9"/>
      <c r="E9" s="9"/>
      <c r="F9" s="9"/>
      <c r="G9" s="9"/>
      <c r="H9" s="9"/>
      <c r="I9" s="9"/>
      <c r="J9" s="7" t="str">
        <f aca="false">IF(COUNT(D9:I9)=0,"",SUM(D9:I9))</f>
        <v/>
      </c>
      <c r="K9" s="6" t="str">
        <f aca="false">IF(OR(D9="",$C9=""),"",D9*$C9)</f>
        <v/>
      </c>
      <c r="L9" s="6" t="str">
        <f aca="false">IF(OR(E9="",$C9=""),"",E9*$C9)</f>
        <v/>
      </c>
      <c r="M9" s="6" t="str">
        <f aca="false">IF(OR(F9="",$C9=""),"",F9*$C9)</f>
        <v/>
      </c>
      <c r="N9" s="6" t="str">
        <f aca="false">IF(OR(G9="",$C9=""),"",G9*$C9)</f>
        <v/>
      </c>
      <c r="O9" s="6" t="str">
        <f aca="false">IF(OR(H9="",$C9=""),"",H9*$C9)</f>
        <v/>
      </c>
      <c r="P9" s="6" t="str">
        <f aca="false">IF(OR(I9="",$C9=""),"",I9*$C9)</f>
        <v/>
      </c>
    </row>
    <row r="10" customFormat="false" ht="15" hidden="false" customHeight="false" outlineLevel="0" collapsed="false">
      <c r="A10" s="2" t="s">
        <v>39</v>
      </c>
      <c r="B10" s="2" t="s">
        <v>40</v>
      </c>
      <c r="C10" s="6" t="n">
        <f aca="false">INDEX(四半期売上!$F$2:$F$15,MATCH($A10,四半期売上!$A$2:$A$15,0))</f>
        <v>652</v>
      </c>
      <c r="D10" s="9"/>
      <c r="E10" s="9"/>
      <c r="F10" s="9"/>
      <c r="G10" s="9"/>
      <c r="H10" s="9"/>
      <c r="I10" s="9"/>
      <c r="J10" s="7" t="str">
        <f aca="false">IF(COUNT(D10:I10)=0,"",SUM(D10:I10))</f>
        <v/>
      </c>
      <c r="K10" s="6" t="str">
        <f aca="false">IF(OR(D10="",$C10=""),"",D10*$C10)</f>
        <v/>
      </c>
      <c r="L10" s="6" t="str">
        <f aca="false">IF(OR(E10="",$C10=""),"",E10*$C10)</f>
        <v/>
      </c>
      <c r="M10" s="6" t="str">
        <f aca="false">IF(OR(F10="",$C10=""),"",F10*$C10)</f>
        <v/>
      </c>
      <c r="N10" s="6" t="str">
        <f aca="false">IF(OR(G10="",$C10=""),"",G10*$C10)</f>
        <v/>
      </c>
      <c r="O10" s="6" t="str">
        <f aca="false">IF(OR(H10="",$C10=""),"",H10*$C10)</f>
        <v/>
      </c>
      <c r="P10" s="6" t="str">
        <f aca="false">IF(OR(I10="",$C10=""),"",I10*$C10)</f>
        <v/>
      </c>
    </row>
    <row r="11" customFormat="false" ht="15" hidden="false" customHeight="false" outlineLevel="0" collapsed="false">
      <c r="A11" s="2" t="s">
        <v>42</v>
      </c>
      <c r="B11" s="2" t="s">
        <v>43</v>
      </c>
      <c r="C11" s="6" t="n">
        <f aca="false">INDEX(四半期売上!$F$2:$F$15,MATCH($A11,四半期売上!$A$2:$A$15,0))</f>
        <v>493</v>
      </c>
      <c r="D11" s="9"/>
      <c r="E11" s="9"/>
      <c r="F11" s="9"/>
      <c r="G11" s="9"/>
      <c r="H11" s="9"/>
      <c r="I11" s="9"/>
      <c r="J11" s="7" t="str">
        <f aca="false">IF(COUNT(D11:I11)=0,"",SUM(D11:I11))</f>
        <v/>
      </c>
      <c r="K11" s="6" t="str">
        <f aca="false">IF(OR(D11="",$C11=""),"",D11*$C11)</f>
        <v/>
      </c>
      <c r="L11" s="6" t="str">
        <f aca="false">IF(OR(E11="",$C11=""),"",E11*$C11)</f>
        <v/>
      </c>
      <c r="M11" s="6" t="str">
        <f aca="false">IF(OR(F11="",$C11=""),"",F11*$C11)</f>
        <v/>
      </c>
      <c r="N11" s="6" t="str">
        <f aca="false">IF(OR(G11="",$C11=""),"",G11*$C11)</f>
        <v/>
      </c>
      <c r="O11" s="6" t="str">
        <f aca="false">IF(OR(H11="",$C11=""),"",H11*$C11)</f>
        <v/>
      </c>
      <c r="P11" s="6" t="str">
        <f aca="false">IF(OR(I11="",$C11=""),"",I11*$C11)</f>
        <v/>
      </c>
    </row>
    <row r="12" customFormat="false" ht="15" hidden="false" customHeight="false" outlineLevel="0" collapsed="false">
      <c r="A12" s="2" t="s">
        <v>44</v>
      </c>
      <c r="B12" s="2" t="s">
        <v>45</v>
      </c>
      <c r="C12" s="6" t="n">
        <f aca="false">INDEX(四半期売上!$F$2:$F$15,MATCH($A12,四半期売上!$A$2:$A$15,0))</f>
        <v>601</v>
      </c>
      <c r="D12" s="9"/>
      <c r="E12" s="9"/>
      <c r="F12" s="9"/>
      <c r="G12" s="9"/>
      <c r="H12" s="9"/>
      <c r="I12" s="9"/>
      <c r="J12" s="7" t="str">
        <f aca="false">IF(COUNT(D12:I12)=0,"",SUM(D12:I12))</f>
        <v/>
      </c>
      <c r="K12" s="6" t="str">
        <f aca="false">IF(OR(D12="",$C12=""),"",D12*$C12)</f>
        <v/>
      </c>
      <c r="L12" s="6" t="str">
        <f aca="false">IF(OR(E12="",$C12=""),"",E12*$C12)</f>
        <v/>
      </c>
      <c r="M12" s="6" t="str">
        <f aca="false">IF(OR(F12="",$C12=""),"",F12*$C12)</f>
        <v/>
      </c>
      <c r="N12" s="6" t="str">
        <f aca="false">IF(OR(G12="",$C12=""),"",G12*$C12)</f>
        <v/>
      </c>
      <c r="O12" s="6" t="str">
        <f aca="false">IF(OR(H12="",$C12=""),"",H12*$C12)</f>
        <v/>
      </c>
      <c r="P12" s="6" t="str">
        <f aca="false">IF(OR(I12="",$C12=""),"",I12*$C12)</f>
        <v/>
      </c>
    </row>
    <row r="13" customFormat="false" ht="15" hidden="false" customHeight="false" outlineLevel="0" collapsed="false">
      <c r="A13" s="2" t="s">
        <v>46</v>
      </c>
      <c r="B13" s="2" t="s">
        <v>47</v>
      </c>
      <c r="C13" s="6" t="n">
        <f aca="false">INDEX(四半期売上!$F$2:$F$15,MATCH($A13,四半期売上!$A$2:$A$15,0))</f>
        <v>643</v>
      </c>
      <c r="D13" s="9"/>
      <c r="E13" s="9"/>
      <c r="F13" s="9"/>
      <c r="G13" s="9"/>
      <c r="H13" s="9"/>
      <c r="I13" s="9"/>
      <c r="J13" s="7" t="str">
        <f aca="false">IF(COUNT(D13:I13)=0,"",SUM(D13:I13))</f>
        <v/>
      </c>
      <c r="K13" s="6" t="str">
        <f aca="false">IF(OR(D13="",$C13=""),"",D13*$C13)</f>
        <v/>
      </c>
      <c r="L13" s="6" t="str">
        <f aca="false">IF(OR(E13="",$C13=""),"",E13*$C13)</f>
        <v/>
      </c>
      <c r="M13" s="6" t="str">
        <f aca="false">IF(OR(F13="",$C13=""),"",F13*$C13)</f>
        <v/>
      </c>
      <c r="N13" s="6" t="str">
        <f aca="false">IF(OR(G13="",$C13=""),"",G13*$C13)</f>
        <v/>
      </c>
      <c r="O13" s="6" t="str">
        <f aca="false">IF(OR(H13="",$C13=""),"",H13*$C13)</f>
        <v/>
      </c>
      <c r="P13" s="6" t="str">
        <f aca="false">IF(OR(I13="",$C13=""),"",I13*$C13)</f>
        <v/>
      </c>
    </row>
    <row r="14" customFormat="false" ht="15" hidden="false" customHeight="false" outlineLevel="0" collapsed="false">
      <c r="A14" s="2" t="s">
        <v>48</v>
      </c>
      <c r="B14" s="2" t="s">
        <v>49</v>
      </c>
      <c r="C14" s="6" t="n">
        <f aca="false">INDEX(四半期売上!$F$2:$F$15,MATCH($A14,四半期売上!$A$2:$A$15,0))</f>
        <v>518</v>
      </c>
      <c r="D14" s="9"/>
      <c r="E14" s="9"/>
      <c r="F14" s="9"/>
      <c r="G14" s="9"/>
      <c r="H14" s="9"/>
      <c r="I14" s="9"/>
      <c r="J14" s="7" t="str">
        <f aca="false">IF(COUNT(D14:I14)=0,"",SUM(D14:I14))</f>
        <v/>
      </c>
      <c r="K14" s="6" t="str">
        <f aca="false">IF(OR(D14="",$C14=""),"",D14*$C14)</f>
        <v/>
      </c>
      <c r="L14" s="6" t="str">
        <f aca="false">IF(OR(E14="",$C14=""),"",E14*$C14)</f>
        <v/>
      </c>
      <c r="M14" s="6" t="str">
        <f aca="false">IF(OR(F14="",$C14=""),"",F14*$C14)</f>
        <v/>
      </c>
      <c r="N14" s="6" t="str">
        <f aca="false">IF(OR(G14="",$C14=""),"",G14*$C14)</f>
        <v/>
      </c>
      <c r="O14" s="6" t="str">
        <f aca="false">IF(OR(H14="",$C14=""),"",H14*$C14)</f>
        <v/>
      </c>
      <c r="P14" s="6" t="str">
        <f aca="false">IF(OR(I14="",$C14=""),"",I14*$C14)</f>
        <v/>
      </c>
    </row>
    <row r="15" customFormat="false" ht="15" hidden="false" customHeight="false" outlineLevel="0" collapsed="false">
      <c r="A15" s="2" t="s">
        <v>51</v>
      </c>
      <c r="B15" s="2" t="s">
        <v>52</v>
      </c>
      <c r="C15" s="6" t="n">
        <f aca="false">INDEX(四半期売上!$F$2:$F$15,MATCH($A15,四半期売上!$A$2:$A$15,0))</f>
        <v>654</v>
      </c>
      <c r="D15" s="9"/>
      <c r="E15" s="9"/>
      <c r="F15" s="9"/>
      <c r="G15" s="9"/>
      <c r="H15" s="9"/>
      <c r="I15" s="9"/>
      <c r="J15" s="7" t="str">
        <f aca="false">IF(COUNT(D15:I15)=0,"",SUM(D15:I15))</f>
        <v/>
      </c>
      <c r="K15" s="6" t="str">
        <f aca="false">IF(OR(D15="",$C15=""),"",D15*$C15)</f>
        <v/>
      </c>
      <c r="L15" s="6" t="str">
        <f aca="false">IF(OR(E15="",$C15=""),"",E15*$C15)</f>
        <v/>
      </c>
      <c r="M15" s="6" t="str">
        <f aca="false">IF(OR(F15="",$C15=""),"",F15*$C15)</f>
        <v/>
      </c>
      <c r="N15" s="6" t="str">
        <f aca="false">IF(OR(G15="",$C15=""),"",G15*$C15)</f>
        <v/>
      </c>
      <c r="O15" s="6" t="str">
        <f aca="false">IF(OR(H15="",$C15=""),"",H15*$C15)</f>
        <v/>
      </c>
      <c r="P15" s="6" t="str">
        <f aca="false">IF(OR(I15="",$C15=""),"",I15*$C15)</f>
        <v/>
      </c>
    </row>
    <row r="16" customFormat="false" ht="15" hidden="false" customHeight="false" outlineLevel="0" collapsed="false">
      <c r="A16" s="2" t="s">
        <v>54</v>
      </c>
      <c r="B16" s="2" t="s">
        <v>55</v>
      </c>
      <c r="C16" s="6" t="n">
        <f aca="false">INDEX(四半期売上!$F$2:$F$15,MATCH($A16,四半期売上!$A$2:$A$15,0))</f>
        <v>559</v>
      </c>
      <c r="D16" s="9"/>
      <c r="E16" s="9"/>
      <c r="F16" s="9"/>
      <c r="G16" s="9"/>
      <c r="H16" s="9"/>
      <c r="I16" s="9"/>
      <c r="J16" s="7" t="str">
        <f aca="false">IF(COUNT(D16:I16)=0,"",SUM(D16:I16))</f>
        <v/>
      </c>
      <c r="K16" s="6" t="str">
        <f aca="false">IF(OR(D16="",$C16=""),"",D16*$C16)</f>
        <v/>
      </c>
      <c r="L16" s="6" t="str">
        <f aca="false">IF(OR(E16="",$C16=""),"",E16*$C16)</f>
        <v/>
      </c>
      <c r="M16" s="6" t="str">
        <f aca="false">IF(OR(F16="",$C16=""),"",F16*$C16)</f>
        <v/>
      </c>
      <c r="N16" s="6" t="str">
        <f aca="false">IF(OR(G16="",$C16=""),"",G16*$C16)</f>
        <v/>
      </c>
      <c r="O16" s="6" t="str">
        <f aca="false">IF(OR(H16="",$C16=""),"",H16*$C16)</f>
        <v/>
      </c>
      <c r="P16" s="6" t="str">
        <f aca="false">IF(OR(I16="",$C16=""),"",I16*$C16)</f>
        <v/>
      </c>
    </row>
    <row r="17" customFormat="false" ht="15" hidden="false" customHeight="false" outlineLevel="0" collapsed="false">
      <c r="A17" s="2" t="s">
        <v>57</v>
      </c>
      <c r="B17" s="2" t="s">
        <v>58</v>
      </c>
      <c r="C17" s="6" t="n">
        <f aca="false">INDEX(四半期売上!$F$2:$F$15,MATCH($A17,四半期売上!$A$2:$A$15,0))</f>
        <v>620</v>
      </c>
      <c r="D17" s="9"/>
      <c r="E17" s="9"/>
      <c r="F17" s="9"/>
      <c r="G17" s="9"/>
      <c r="H17" s="9"/>
      <c r="I17" s="9"/>
      <c r="J17" s="7" t="str">
        <f aca="false">IF(COUNT(D17:I17)=0,"",SUM(D17:I17))</f>
        <v/>
      </c>
      <c r="K17" s="6" t="str">
        <f aca="false">IF(OR(D17="",$C17=""),"",D17*$C17)</f>
        <v/>
      </c>
      <c r="L17" s="6" t="str">
        <f aca="false">IF(OR(E17="",$C17=""),"",E17*$C17)</f>
        <v/>
      </c>
      <c r="M17" s="6" t="str">
        <f aca="false">IF(OR(F17="",$C17=""),"",F17*$C17)</f>
        <v/>
      </c>
      <c r="N17" s="6" t="str">
        <f aca="false">IF(OR(G17="",$C17=""),"",G17*$C17)</f>
        <v/>
      </c>
      <c r="O17" s="6" t="str">
        <f aca="false">IF(OR(H17="",$C17=""),"",H17*$C17)</f>
        <v/>
      </c>
      <c r="P17" s="6" t="str">
        <f aca="false">IF(OR(I17="",$C17=""),"",I17*$C17)</f>
        <v/>
      </c>
    </row>
    <row r="18" customFormat="false" ht="15" hidden="false" customHeight="false" outlineLevel="0" collapsed="false">
      <c r="A18" s="2" t="s">
        <v>60</v>
      </c>
      <c r="B18" s="2" t="s">
        <v>61</v>
      </c>
      <c r="C18" s="6" t="n">
        <f aca="false">INDEX(四半期売上!$F$2:$F$15,MATCH($A18,四半期売上!$A$2:$A$15,0))</f>
        <v>754</v>
      </c>
      <c r="D18" s="9"/>
      <c r="E18" s="9"/>
      <c r="F18" s="9"/>
      <c r="G18" s="9"/>
      <c r="H18" s="9"/>
      <c r="I18" s="9"/>
      <c r="J18" s="7" t="str">
        <f aca="false">IF(COUNT(D18:I18)=0,"",SUM(D18:I18))</f>
        <v/>
      </c>
      <c r="K18" s="6" t="str">
        <f aca="false">IF(OR(D18="",$C18=""),"",D18*$C18)</f>
        <v/>
      </c>
      <c r="L18" s="6" t="str">
        <f aca="false">IF(OR(E18="",$C18=""),"",E18*$C18)</f>
        <v/>
      </c>
      <c r="M18" s="6" t="str">
        <f aca="false">IF(OR(F18="",$C18=""),"",F18*$C18)</f>
        <v/>
      </c>
      <c r="N18" s="6" t="str">
        <f aca="false">IF(OR(G18="",$C18=""),"",G18*$C18)</f>
        <v/>
      </c>
      <c r="O18" s="6" t="str">
        <f aca="false">IF(OR(H18="",$C18=""),"",H18*$C18)</f>
        <v/>
      </c>
      <c r="P18" s="6" t="str">
        <f aca="false">IF(OR(I18="",$C18=""),"",I18*$C18)</f>
        <v/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5" hidden="false" customHeight="false" outlineLevel="0" collapsed="false">
      <c r="A21" s="3" t="s">
        <v>105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5" hidden="false" customHeight="false" outlineLevel="0" collapsed="false">
      <c r="A22" s="3" t="s">
        <v>106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107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108</v>
      </c>
      <c r="B3" s="2" t="s">
        <v>109</v>
      </c>
    </row>
    <row r="4" customFormat="false" ht="15" hidden="false" customHeight="false" outlineLevel="0" collapsed="false">
      <c r="A4" s="3" t="s">
        <v>110</v>
      </c>
      <c r="B4" s="2" t="s">
        <v>111</v>
      </c>
    </row>
    <row r="5" customFormat="false" ht="15" hidden="false" customHeight="false" outlineLevel="0" collapsed="false">
      <c r="A5" s="3" t="s">
        <v>112</v>
      </c>
      <c r="B5" s="2" t="s">
        <v>113</v>
      </c>
    </row>
    <row r="6" customFormat="false" ht="15" hidden="false" customHeight="false" outlineLevel="0" collapsed="false">
      <c r="A6" s="3" t="s">
        <v>114</v>
      </c>
      <c r="B6" s="2" t="s">
        <v>115</v>
      </c>
    </row>
    <row r="7" customFormat="false" ht="15" hidden="false" customHeight="false" outlineLevel="0" collapsed="false">
      <c r="A7" s="2" t="s">
        <v>116</v>
      </c>
      <c r="B7" s="2" t="s">
        <v>117</v>
      </c>
    </row>
    <row r="8" customFormat="false" ht="15" hidden="false" customHeight="false" outlineLevel="0" collapsed="false">
      <c r="A8" s="2" t="s">
        <v>118</v>
      </c>
      <c r="B8" s="2" t="s">
        <v>119</v>
      </c>
    </row>
    <row r="9" customFormat="false" ht="15" hidden="false" customHeight="false" outlineLevel="0" collapsed="false">
      <c r="A9" s="2" t="s">
        <v>120</v>
      </c>
      <c r="B9" s="2" t="s">
        <v>121</v>
      </c>
    </row>
    <row r="10" customFormat="false" ht="15" hidden="false" customHeight="false" outlineLevel="0" collapsed="false">
      <c r="A10" s="2" t="s">
        <v>122</v>
      </c>
      <c r="B10" s="2" t="s">
        <v>123</v>
      </c>
    </row>
    <row r="11" customFormat="false" ht="15" hidden="false" customHeight="false" outlineLevel="0" collapsed="false">
      <c r="A11" s="2" t="s">
        <v>124</v>
      </c>
      <c r="B11" s="2" t="s">
        <v>125</v>
      </c>
    </row>
    <row r="12" customFormat="false" ht="15" hidden="false" customHeight="false" outlineLevel="0" collapsed="false">
      <c r="A12" s="2" t="s">
        <v>126</v>
      </c>
      <c r="B12" s="2" t="s">
        <v>127</v>
      </c>
    </row>
    <row r="13" customFormat="false" ht="15" hidden="false" customHeight="false" outlineLevel="0" collapsed="false">
      <c r="A13" s="2" t="s">
        <v>128</v>
      </c>
      <c r="B13" s="2" t="s">
        <v>129</v>
      </c>
    </row>
    <row r="14" customFormat="false" ht="15" hidden="false" customHeight="false" outlineLevel="0" collapsed="false">
      <c r="A14" s="2" t="s">
        <v>130</v>
      </c>
      <c r="B14" s="2" t="s">
        <v>131</v>
      </c>
    </row>
    <row r="15" customFormat="false" ht="15" hidden="false" customHeight="false" outlineLevel="0" collapsed="false">
      <c r="A15" s="2" t="s">
        <v>132</v>
      </c>
      <c r="B15" s="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2026-09-29T23:43:17Z</dcterms:created>
  <dc:creator>openpyxl</dc:creator>
  <dc:description/>
  <dc:language>en-US</dc:language>
  <cp:lastModifiedBy/>
  <dcterms:modified xsi:type="dcterms:W3CDTF">2026-09-29T23:43:17Z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