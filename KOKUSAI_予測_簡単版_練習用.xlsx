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comments5.xml" ContentType="application/vnd.openxmlformats-officedocument.spreadsheetml.comments+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手順" sheetId="1" state="visible" r:id="rId3"/>
    <sheet name="速報_原データ" sheetId="2" state="visible" r:id="rId4"/>
    <sheet name="貿易_月次" sheetId="3" state="visible" r:id="rId5"/>
    <sheet name="KOKUSAI_四半期" sheetId="4" state="visible" r:id="rId6"/>
    <sheet name="四半期集計" sheetId="5" state="visible" r:id="rId7"/>
    <sheet name="回帰" sheetId="6" state="visible" r:id="rId8"/>
    <sheet name="2Q予測" sheetId="7" state="visible" r:id="rId9"/>
    <sheet name="参考_分解モデル" sheetId="8" state="visible" r:id="rId10"/>
    <sheet name="出所・注記" sheetId="9" state="visible" r:id="rId11"/>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G4" authorId="0">
      <text>
        <r>
          <rPr>
            <sz val="10"/>
            <rFont val="Noto Sans CJK SC"/>
            <family val="2"/>
          </rPr>
          <t xml:space="preserve">会社開示の「中国地場向け」比率。比率の母数（全社か装置か）は要確認。</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E3" authorId="0">
      <text>
        <r>
          <rPr>
            <sz val="10"/>
            <rFont val="Noto Sans CJK SC"/>
            <family val="2"/>
          </rPr>
          <t xml:space="preserve">回帰と</t>
        </r>
        <r>
          <rPr>
            <sz val="10"/>
            <rFont val="Arial"/>
            <family val="2"/>
          </rPr>
          <t xml:space="preserve">2Q</t>
        </r>
        <r>
          <rPr>
            <sz val="10"/>
            <rFont val="Noto Sans CJK SC"/>
            <family val="2"/>
          </rPr>
          <t xml:space="preserve">予測は</t>
        </r>
        <r>
          <rPr>
            <sz val="10"/>
            <rFont val="Arial"/>
            <family val="2"/>
          </rPr>
          <t xml:space="preserve">k=0</t>
        </r>
        <r>
          <rPr>
            <sz val="10"/>
            <rFont val="Noto Sans CJK SC"/>
            <family val="2"/>
          </rPr>
          <t xml:space="preserve">（左のブロック）を使う。</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2023</t>
        </r>
        <r>
          <rPr>
            <sz val="10"/>
            <rFont val="Noto Sans CJK SC"/>
            <family val="2"/>
          </rPr>
          <t xml:space="preserve">年</t>
        </r>
        <r>
          <rPr>
            <sz val="10"/>
            <rFont val="Arial"/>
            <family val="2"/>
          </rPr>
          <t xml:space="preserve">1.23</t>
        </r>
        <r>
          <rPr>
            <sz val="10"/>
            <rFont val="Noto Sans CJK SC"/>
            <family val="2"/>
          </rPr>
          <t xml:space="preserve">、</t>
        </r>
        <r>
          <rPr>
            <sz val="10"/>
            <rFont val="Arial"/>
            <family val="2"/>
          </rPr>
          <t xml:space="preserve">2024</t>
        </r>
        <r>
          <rPr>
            <sz val="10"/>
            <rFont val="Noto Sans CJK SC"/>
            <family val="2"/>
          </rPr>
          <t xml:space="preserve">年</t>
        </r>
        <r>
          <rPr>
            <sz val="10"/>
            <rFont val="Arial"/>
            <family val="2"/>
          </rPr>
          <t xml:space="preserve">1.12</t>
        </r>
        <r>
          <rPr>
            <sz val="10"/>
            <rFont val="Noto Sans CJK SC"/>
            <family val="2"/>
          </rPr>
          <t xml:space="preserve">、</t>
        </r>
        <r>
          <rPr>
            <sz val="10"/>
            <rFont val="Arial"/>
            <family val="2"/>
          </rPr>
          <t xml:space="preserve">2025</t>
        </r>
        <r>
          <rPr>
            <sz val="10"/>
            <rFont val="Noto Sans CJK SC"/>
            <family val="2"/>
          </rPr>
          <t xml:space="preserve">年</t>
        </r>
        <r>
          <rPr>
            <sz val="10"/>
            <rFont val="Arial"/>
            <family val="2"/>
          </rPr>
          <t xml:space="preserve">1.10</t>
        </r>
        <r>
          <rPr>
            <sz val="10"/>
            <rFont val="Noto Sans CJK SC"/>
            <family val="2"/>
          </rPr>
          <t xml:space="preserve">の平均（世界向け、貿易</t>
        </r>
        <r>
          <rPr>
            <sz val="10"/>
            <rFont val="Arial"/>
            <family val="2"/>
          </rPr>
          <t xml:space="preserve">_</t>
        </r>
        <r>
          <rPr>
            <sz val="10"/>
            <rFont val="Noto Sans CJK SC"/>
            <family val="2"/>
          </rPr>
          <t xml:space="preserve">月次から計算）。前提として変えてよい。</t>
        </r>
      </text>
    </comment>
    <comment ref="C18" authorId="0">
      <text>
        <r>
          <rPr>
            <sz val="10"/>
            <rFont val="Noto Sans CJK SC"/>
            <family val="2"/>
          </rPr>
          <t xml:space="preserve">会社の修正後上期計画。出所：</t>
        </r>
        <r>
          <rPr>
            <sz val="10"/>
            <rFont val="Arial"/>
            <family val="2"/>
          </rPr>
          <t xml:space="preserve">Yahoo!</t>
        </r>
        <r>
          <rPr>
            <sz val="10"/>
            <rFont val="Noto Sans CJK SC"/>
            <family val="2"/>
          </rPr>
          <t xml:space="preserve">ファイナンス決算情報（</t>
        </r>
        <r>
          <rPr>
            <sz val="10"/>
            <rFont val="Arial"/>
            <family val="2"/>
          </rPr>
          <t xml:space="preserve">2026</t>
        </r>
        <r>
          <rPr>
            <sz val="10"/>
            <rFont val="Noto Sans CJK SC"/>
            <family val="2"/>
          </rPr>
          <t xml:space="preserve">年</t>
        </r>
        <r>
          <rPr>
            <sz val="10"/>
            <rFont val="Arial"/>
            <family val="2"/>
          </rPr>
          <t xml:space="preserve">8</t>
        </r>
        <r>
          <rPr>
            <sz val="10"/>
            <rFont val="Noto Sans CJK SC"/>
            <family val="2"/>
          </rPr>
          <t xml:space="preserve">月の</t>
        </r>
        <r>
          <rPr>
            <sz val="10"/>
            <rFont val="Arial"/>
            <family val="2"/>
          </rPr>
          <t xml:space="preserve">1Q</t>
        </r>
        <r>
          <rPr>
            <sz val="10"/>
            <rFont val="Noto Sans CJK SC"/>
            <family val="2"/>
          </rPr>
          <t xml:space="preserve">決算発表時）。</t>
        </r>
      </text>
    </comment>
  </commentList>
</comments>
</file>

<file path=xl/sharedStrings.xml><?xml version="1.0" encoding="utf-8"?>
<sst xmlns="http://schemas.openxmlformats.org/spreadsheetml/2006/main" count="890" uniqueCount="363">
  <si>
    <r>
      <rPr>
        <b val="true"/>
        <sz val="12"/>
        <rFont val="Noto Sans CJK SC"/>
        <family val="2"/>
      </rPr>
      <t xml:space="preserve">作り方：黄色のセルを上から順に埋める（完成版＝</t>
    </r>
    <r>
      <rPr>
        <b val="true"/>
        <sz val="12"/>
        <rFont val="Arial"/>
        <family val="0"/>
        <charset val="1"/>
      </rPr>
      <t xml:space="preserve">KOKUSAI_</t>
    </r>
    <r>
      <rPr>
        <b val="true"/>
        <sz val="12"/>
        <rFont val="Noto Sans CJK SC"/>
        <family val="2"/>
      </rPr>
      <t xml:space="preserve">予測</t>
    </r>
    <r>
      <rPr>
        <b val="true"/>
        <sz val="12"/>
        <rFont val="Arial"/>
        <family val="0"/>
        <charset val="1"/>
      </rPr>
      <t xml:space="preserve">_</t>
    </r>
    <r>
      <rPr>
        <b val="true"/>
        <sz val="12"/>
        <rFont val="Noto Sans CJK SC"/>
        <family val="2"/>
      </rPr>
      <t xml:space="preserve">簡単版</t>
    </r>
    <r>
      <rPr>
        <b val="true"/>
        <sz val="12"/>
        <rFont val="Arial"/>
        <family val="0"/>
        <charset val="1"/>
      </rPr>
      <t xml:space="preserve">.xlsx </t>
    </r>
    <r>
      <rPr>
        <b val="true"/>
        <sz val="12"/>
        <rFont val="Noto Sans CJK SC"/>
        <family val="2"/>
      </rPr>
      <t xml:space="preserve">が答え）</t>
    </r>
  </si>
  <si>
    <t xml:space="preserve">凡例：青字＝入力済みのデータ、黄色＝自分で式を入れるセル、緑字＝他シートの参照。四半期集計まではできあがっている。</t>
  </si>
  <si>
    <r>
      <rPr>
        <sz val="9"/>
        <color rgb="FF555555"/>
        <rFont val="Noto Sans CJK SC"/>
        <family val="2"/>
      </rPr>
      <t xml:space="preserve">式の写し方：</t>
    </r>
    <r>
      <rPr>
        <sz val="9"/>
        <color rgb="FF555555"/>
        <rFont val="Arial"/>
        <family val="0"/>
        <charset val="1"/>
      </rPr>
      <t xml:space="preserve">E</t>
    </r>
    <r>
      <rPr>
        <sz val="9"/>
        <color rgb="FF555555"/>
        <rFont val="Noto Sans CJK SC"/>
        <family val="2"/>
      </rPr>
      <t xml:space="preserve">列の式を文字としてコピーし、</t>
    </r>
    <r>
      <rPr>
        <sz val="9"/>
        <color rgb="FF555555"/>
        <rFont val="Arial"/>
        <family val="0"/>
        <charset val="1"/>
      </rPr>
      <t xml:space="preserve">D</t>
    </r>
    <r>
      <rPr>
        <sz val="9"/>
        <color rgb="FF555555"/>
        <rFont val="Noto Sans CJK SC"/>
        <family val="2"/>
      </rPr>
      <t xml:space="preserve">列のセルに貼り付けて確定する。</t>
    </r>
    <r>
      <rPr>
        <sz val="9"/>
        <color rgb="FF555555"/>
        <rFont val="Arial"/>
        <family val="0"/>
        <charset val="1"/>
      </rPr>
      <t xml:space="preserve">F</t>
    </r>
    <r>
      <rPr>
        <sz val="9"/>
        <color rgb="FF555555"/>
        <rFont val="Noto Sans CJK SC"/>
        <family val="2"/>
      </rPr>
      <t xml:space="preserve">列に範囲があれば、フィルハンドルで下へ広げる。</t>
    </r>
  </si>
  <si>
    <r>
      <rPr>
        <sz val="9"/>
        <color rgb="FF555555"/>
        <rFont val="Noto Sans CJK SC"/>
        <family val="2"/>
      </rPr>
      <t xml:space="preserve">確認：</t>
    </r>
    <r>
      <rPr>
        <sz val="9"/>
        <color rgb="FF555555"/>
        <rFont val="Arial"/>
        <family val="0"/>
        <charset val="1"/>
      </rPr>
      <t xml:space="preserve">H</t>
    </r>
    <r>
      <rPr>
        <sz val="9"/>
        <color rgb="FF555555"/>
        <rFont val="Noto Sans CJK SC"/>
        <family val="2"/>
      </rPr>
      <t xml:space="preserve">列の値と同じになれば正解。『発展』と『参考』の行は飛ばしてもよい。</t>
    </r>
  </si>
  <si>
    <r>
      <rPr>
        <sz val="9"/>
        <color rgb="FF555555"/>
        <rFont val="Noto Sans CJK SC"/>
        <family val="2"/>
      </rPr>
      <t xml:space="preserve">流れ：</t>
    </r>
    <r>
      <rPr>
        <sz val="9"/>
        <color rgb="FF555555"/>
        <rFont val="Arial"/>
        <family val="0"/>
        <charset val="1"/>
      </rPr>
      <t xml:space="preserve">Step4 </t>
    </r>
    <r>
      <rPr>
        <sz val="9"/>
        <color rgb="FF555555"/>
        <rFont val="Noto Sans CJK SC"/>
        <family val="2"/>
      </rPr>
      <t xml:space="preserve">回帰（係数→予測と誤差→精度） → </t>
    </r>
    <r>
      <rPr>
        <sz val="9"/>
        <color rgb="FF555555"/>
        <rFont val="Arial"/>
        <family val="0"/>
        <charset val="1"/>
      </rPr>
      <t xml:space="preserve">Step5 2Q</t>
    </r>
    <r>
      <rPr>
        <sz val="9"/>
        <color rgb="FF555555"/>
        <rFont val="Noto Sans CJK SC"/>
        <family val="2"/>
      </rPr>
      <t xml:space="preserve">予測（</t>
    </r>
    <r>
      <rPr>
        <sz val="9"/>
        <color rgb="FF555555"/>
        <rFont val="Arial"/>
        <family val="0"/>
        <charset val="1"/>
      </rPr>
      <t xml:space="preserve">9</t>
    </r>
    <r>
      <rPr>
        <sz val="9"/>
        <color rgb="FF555555"/>
        <rFont val="Noto Sans CJK SC"/>
        <family val="2"/>
      </rPr>
      <t xml:space="preserve">月の推計→予測→計画との比較→必要な輸出） → 参考 分解モデル。</t>
    </r>
  </si>
  <si>
    <t xml:space="preserve">No</t>
  </si>
  <si>
    <t xml:space="preserve">Step</t>
  </si>
  <si>
    <t xml:space="preserve">シート</t>
  </si>
  <si>
    <t xml:space="preserve">セル</t>
  </si>
  <si>
    <t xml:space="preserve">入れる式（文字としてコピーする）</t>
  </si>
  <si>
    <t xml:space="preserve">コピー先</t>
  </si>
  <si>
    <t xml:space="preserve">意味</t>
  </si>
  <si>
    <t xml:space="preserve">確認値（答え）</t>
  </si>
  <si>
    <t xml:space="preserve">4</t>
  </si>
  <si>
    <t xml:space="preserve">回帰</t>
  </si>
  <si>
    <t xml:space="preserve">C5</t>
  </si>
  <si>
    <t xml:space="preserve">=SLOPE($B$11:$B$22,$C$11:$C$22)</t>
  </si>
  <si>
    <r>
      <rPr>
        <sz val="10"/>
        <rFont val="Noto Sans CJK SC"/>
        <family val="2"/>
      </rPr>
      <t xml:space="preserve">傾き：</t>
    </r>
    <r>
      <rPr>
        <sz val="10"/>
        <rFont val="Arial"/>
        <family val="0"/>
        <charset val="1"/>
      </rPr>
      <t xml:space="preserve">b</t>
    </r>
    <r>
      <rPr>
        <sz val="10"/>
        <rFont val="Noto Sans CJK SC"/>
        <family val="2"/>
      </rPr>
      <t xml:space="preserve">＝</t>
    </r>
    <r>
      <rPr>
        <sz val="10"/>
        <rFont val="Arial"/>
        <family val="0"/>
        <charset val="1"/>
      </rPr>
      <t xml:space="preserve">Sxy÷Sxx </t>
    </r>
    <r>
      <rPr>
        <sz val="10"/>
        <rFont val="Noto Sans CJK SC"/>
        <family val="2"/>
      </rPr>
      <t xml:space="preserve">を</t>
    </r>
    <r>
      <rPr>
        <sz val="10"/>
        <rFont val="Arial"/>
        <family val="0"/>
        <charset val="1"/>
      </rPr>
      <t xml:space="preserve">Excel</t>
    </r>
    <r>
      <rPr>
        <sz val="10"/>
        <rFont val="Noto Sans CJK SC"/>
        <family val="2"/>
      </rPr>
      <t xml:space="preserve">で出す</t>
    </r>
  </si>
  <si>
    <r>
      <rPr>
        <sz val="10"/>
        <rFont val="Arial"/>
        <family val="0"/>
        <charset val="1"/>
      </rPr>
      <t xml:space="preserve">C5</t>
    </r>
    <r>
      <rPr>
        <sz val="10"/>
        <rFont val="Noto Sans CJK SC"/>
        <family val="2"/>
      </rPr>
      <t xml:space="preserve">＝</t>
    </r>
    <r>
      <rPr>
        <sz val="10"/>
        <rFont val="Arial"/>
        <family val="0"/>
        <charset val="1"/>
      </rPr>
      <t xml:space="preserve">0.0516</t>
    </r>
  </si>
  <si>
    <t xml:space="preserve">C6</t>
  </si>
  <si>
    <t xml:space="preserve">=INTERCEPT($B$11:$B$22,$C$11:$C$22)</t>
  </si>
  <si>
    <r>
      <rPr>
        <sz val="10"/>
        <rFont val="Noto Sans CJK SC"/>
        <family val="2"/>
      </rPr>
      <t xml:space="preserve">切片：</t>
    </r>
    <r>
      <rPr>
        <sz val="10"/>
        <rFont val="Arial"/>
        <family val="0"/>
        <charset val="1"/>
      </rPr>
      <t xml:space="preserve">a</t>
    </r>
    <r>
      <rPr>
        <sz val="10"/>
        <rFont val="Noto Sans CJK SC"/>
        <family val="2"/>
      </rPr>
      <t xml:space="preserve">＝</t>
    </r>
    <r>
      <rPr>
        <sz val="10"/>
        <rFont val="Arial"/>
        <family val="0"/>
        <charset val="1"/>
      </rPr>
      <t xml:space="preserve">y</t>
    </r>
    <r>
      <rPr>
        <sz val="10"/>
        <rFont val="Noto Sans CJK SC"/>
        <family val="2"/>
      </rPr>
      <t xml:space="preserve">の平均−</t>
    </r>
    <r>
      <rPr>
        <sz val="10"/>
        <rFont val="Arial"/>
        <family val="0"/>
        <charset val="1"/>
      </rPr>
      <t xml:space="preserve">b×x</t>
    </r>
    <r>
      <rPr>
        <sz val="10"/>
        <rFont val="Noto Sans CJK SC"/>
        <family val="2"/>
      </rPr>
      <t xml:space="preserve">の平均</t>
    </r>
  </si>
  <si>
    <r>
      <rPr>
        <sz val="10"/>
        <rFont val="Arial"/>
        <family val="0"/>
        <charset val="1"/>
      </rPr>
      <t xml:space="preserve">C6</t>
    </r>
    <r>
      <rPr>
        <sz val="10"/>
        <rFont val="Noto Sans CJK SC"/>
        <family val="2"/>
      </rPr>
      <t xml:space="preserve">＝</t>
    </r>
    <r>
      <rPr>
        <sz val="10"/>
        <rFont val="Arial"/>
        <family val="0"/>
        <charset val="1"/>
      </rPr>
      <t xml:space="preserve">12.0</t>
    </r>
  </si>
  <si>
    <t xml:space="preserve">C7</t>
  </si>
  <si>
    <t xml:space="preserve">=RSQ($B$11:$B$22,$C$11:$C$22)</t>
  </si>
  <si>
    <r>
      <rPr>
        <sz val="10"/>
        <rFont val="Arial"/>
        <family val="0"/>
        <charset val="1"/>
      </rPr>
      <t xml:space="preserve">R²</t>
    </r>
    <r>
      <rPr>
        <sz val="10"/>
        <rFont val="Noto Sans CJK SC"/>
        <family val="2"/>
      </rPr>
      <t xml:space="preserve">：</t>
    </r>
    <r>
      <rPr>
        <sz val="10"/>
        <rFont val="Arial"/>
        <family val="0"/>
        <charset val="1"/>
      </rPr>
      <t xml:space="preserve">1−(</t>
    </r>
    <r>
      <rPr>
        <sz val="10"/>
        <rFont val="Noto Sans CJK SC"/>
        <family val="2"/>
      </rPr>
      <t xml:space="preserve">誤差の二乗和</t>
    </r>
    <r>
      <rPr>
        <sz val="10"/>
        <rFont val="Arial"/>
        <family val="0"/>
        <charset val="1"/>
      </rPr>
      <t xml:space="preserve">÷y</t>
    </r>
    <r>
      <rPr>
        <sz val="10"/>
        <rFont val="Noto Sans CJK SC"/>
        <family val="2"/>
      </rPr>
      <t xml:space="preserve">のばらつき</t>
    </r>
    <r>
      <rPr>
        <sz val="10"/>
        <rFont val="Arial"/>
        <family val="0"/>
        <charset val="1"/>
      </rPr>
      <t xml:space="preserve">)</t>
    </r>
  </si>
  <si>
    <r>
      <rPr>
        <sz val="10"/>
        <rFont val="Arial"/>
        <family val="0"/>
        <charset val="1"/>
      </rPr>
      <t xml:space="preserve">C7</t>
    </r>
    <r>
      <rPr>
        <sz val="10"/>
        <rFont val="Noto Sans CJK SC"/>
        <family val="2"/>
      </rPr>
      <t xml:space="preserve">＝</t>
    </r>
    <r>
      <rPr>
        <sz val="10"/>
        <rFont val="Arial"/>
        <family val="0"/>
        <charset val="1"/>
      </rPr>
      <t xml:space="preserve">0.46</t>
    </r>
  </si>
  <si>
    <t xml:space="preserve">D11</t>
  </si>
  <si>
    <t xml:space="preserve">=$C$6+$C$5*C11</t>
  </si>
  <si>
    <t xml:space="preserve">D11:D22</t>
  </si>
  <si>
    <r>
      <rPr>
        <sz val="10"/>
        <rFont val="Noto Sans CJK SC"/>
        <family val="2"/>
      </rPr>
      <t xml:space="preserve">予測＝切片＋傾き</t>
    </r>
    <r>
      <rPr>
        <sz val="10"/>
        <rFont val="Arial"/>
        <family val="0"/>
        <charset val="1"/>
      </rPr>
      <t xml:space="preserve">×</t>
    </r>
    <r>
      <rPr>
        <sz val="10"/>
        <rFont val="Noto Sans CJK SC"/>
        <family val="2"/>
      </rPr>
      <t xml:space="preserve">世界輸出（</t>
    </r>
    <r>
      <rPr>
        <sz val="10"/>
        <rFont val="Arial"/>
        <family val="0"/>
        <charset val="1"/>
      </rPr>
      <t xml:space="preserve">$</t>
    </r>
    <r>
      <rPr>
        <sz val="10"/>
        <rFont val="Noto Sans CJK SC"/>
        <family val="2"/>
      </rPr>
      <t xml:space="preserve">で係数を固定してから下へコピー）</t>
    </r>
  </si>
  <si>
    <r>
      <rPr>
        <sz val="10"/>
        <rFont val="Arial"/>
        <family val="0"/>
        <charset val="1"/>
      </rPr>
      <t xml:space="preserve">D11</t>
    </r>
    <r>
      <rPr>
        <sz val="10"/>
        <rFont val="Noto Sans CJK SC"/>
        <family val="2"/>
      </rPr>
      <t xml:space="preserve">＝</t>
    </r>
    <r>
      <rPr>
        <sz val="10"/>
        <rFont val="Arial"/>
        <family val="0"/>
        <charset val="1"/>
      </rPr>
      <t xml:space="preserve">437</t>
    </r>
  </si>
  <si>
    <t xml:space="preserve">E11</t>
  </si>
  <si>
    <t xml:space="preserve">=B11-D11</t>
  </si>
  <si>
    <t xml:space="preserve">E11:E22</t>
  </si>
  <si>
    <t xml:space="preserve">誤差＝実績−予測</t>
  </si>
  <si>
    <r>
      <rPr>
        <sz val="10"/>
        <rFont val="Arial"/>
        <family val="0"/>
        <charset val="1"/>
      </rPr>
      <t xml:space="preserve">E11</t>
    </r>
    <r>
      <rPr>
        <sz val="10"/>
        <rFont val="Noto Sans CJK SC"/>
        <family val="2"/>
      </rPr>
      <t xml:space="preserve">＝</t>
    </r>
    <r>
      <rPr>
        <sz val="10"/>
        <rFont val="Arial"/>
        <family val="0"/>
        <charset val="1"/>
      </rPr>
      <t xml:space="preserve">13</t>
    </r>
  </si>
  <si>
    <t xml:space="preserve">F11</t>
  </si>
  <si>
    <r>
      <rPr>
        <sz val="9"/>
        <rFont val="Consolas"/>
        <family val="0"/>
        <charset val="1"/>
      </rPr>
      <t xml:space="preserve">='</t>
    </r>
    <r>
      <rPr>
        <sz val="9"/>
        <rFont val="Noto Sans CJK SC"/>
        <family val="2"/>
      </rPr>
      <t xml:space="preserve">四半期集計</t>
    </r>
    <r>
      <rPr>
        <sz val="9"/>
        <rFont val="Consolas"/>
        <family val="0"/>
        <charset val="1"/>
      </rPr>
      <t xml:space="preserve">'!C6</t>
    </r>
  </si>
  <si>
    <t xml:space="preserve">F11:F22</t>
  </si>
  <si>
    <r>
      <rPr>
        <sz val="10"/>
        <rFont val="Noto Sans CJK SC"/>
        <family val="2"/>
      </rPr>
      <t xml:space="preserve">前期と同じ予測＝</t>
    </r>
    <r>
      <rPr>
        <sz val="10"/>
        <rFont val="Arial"/>
        <family val="0"/>
        <charset val="1"/>
      </rPr>
      <t xml:space="preserve">1</t>
    </r>
    <r>
      <rPr>
        <sz val="10"/>
        <rFont val="Noto Sans CJK SC"/>
        <family val="2"/>
      </rPr>
      <t xml:space="preserve">つ前の四半期の売上（四半期集計で</t>
    </r>
    <r>
      <rPr>
        <sz val="10"/>
        <rFont val="Arial"/>
        <family val="0"/>
        <charset val="1"/>
      </rPr>
      <t xml:space="preserve">1</t>
    </r>
    <r>
      <rPr>
        <sz val="10"/>
        <rFont val="Noto Sans CJK SC"/>
        <family val="2"/>
      </rPr>
      <t xml:space="preserve">行上を参照）</t>
    </r>
  </si>
  <si>
    <r>
      <rPr>
        <sz val="10"/>
        <rFont val="Arial"/>
        <family val="0"/>
        <charset val="1"/>
      </rPr>
      <t xml:space="preserve">F11</t>
    </r>
    <r>
      <rPr>
        <sz val="10"/>
        <rFont val="Noto Sans CJK SC"/>
        <family val="2"/>
      </rPr>
      <t xml:space="preserve">＝</t>
    </r>
    <r>
      <rPr>
        <sz val="10"/>
        <rFont val="Arial"/>
        <family val="0"/>
        <charset val="1"/>
      </rPr>
      <t xml:space="preserve">327</t>
    </r>
  </si>
  <si>
    <t xml:space="preserve">G11</t>
  </si>
  <si>
    <t xml:space="preserve">=B11-F11</t>
  </si>
  <si>
    <t xml:space="preserve">G11:G22</t>
  </si>
  <si>
    <t xml:space="preserve">前期と同じ予測の誤差＝実績−前期の売上</t>
  </si>
  <si>
    <r>
      <rPr>
        <sz val="10"/>
        <rFont val="Arial"/>
        <family val="0"/>
        <charset val="1"/>
      </rPr>
      <t xml:space="preserve">G11</t>
    </r>
    <r>
      <rPr>
        <sz val="10"/>
        <rFont val="Noto Sans CJK SC"/>
        <family val="2"/>
      </rPr>
      <t xml:space="preserve">＝</t>
    </r>
    <r>
      <rPr>
        <sz val="10"/>
        <rFont val="Arial"/>
        <family val="0"/>
        <charset val="1"/>
      </rPr>
      <t xml:space="preserve">123</t>
    </r>
  </si>
  <si>
    <r>
      <rPr>
        <sz val="10"/>
        <rFont val="Arial"/>
        <family val="0"/>
        <charset val="1"/>
      </rPr>
      <t xml:space="preserve">4</t>
    </r>
    <r>
      <rPr>
        <sz val="10"/>
        <rFont val="Noto Sans CJK SC"/>
        <family val="2"/>
      </rPr>
      <t xml:space="preserve">（発展）</t>
    </r>
  </si>
  <si>
    <t xml:space="preserve">H11</t>
  </si>
  <si>
    <t xml:space="preserve">=E11/(1-(1/COUNT($C$11:$C$22)+(C11-AVERAGE($C$11:$C$22))^2/DEVSQ($C$11:$C$22)))</t>
  </si>
  <si>
    <t xml:space="preserve">H11:H22</t>
  </si>
  <si>
    <r>
      <rPr>
        <sz val="10"/>
        <rFont val="Noto Sans CJK SC"/>
        <family val="2"/>
      </rPr>
      <t xml:space="preserve">（発展）その四半期を抜いて推計した場合の誤差＝誤差</t>
    </r>
    <r>
      <rPr>
        <sz val="10"/>
        <rFont val="Arial"/>
        <family val="0"/>
        <charset val="1"/>
      </rPr>
      <t xml:space="preserve">÷(1−h)</t>
    </r>
    <r>
      <rPr>
        <sz val="10"/>
        <rFont val="Noto Sans CJK SC"/>
        <family val="2"/>
      </rPr>
      <t xml:space="preserve">。</t>
    </r>
    <r>
      <rPr>
        <sz val="10"/>
        <rFont val="Arial"/>
        <family val="0"/>
        <charset val="1"/>
      </rPr>
      <t xml:space="preserve">h</t>
    </r>
    <r>
      <rPr>
        <sz val="10"/>
        <rFont val="Noto Sans CJK SC"/>
        <family val="2"/>
      </rPr>
      <t xml:space="preserve">は</t>
    </r>
    <r>
      <rPr>
        <sz val="10"/>
        <rFont val="Arial"/>
        <family val="0"/>
        <charset val="1"/>
      </rPr>
      <t xml:space="preserve">x</t>
    </r>
    <r>
      <rPr>
        <sz val="10"/>
        <rFont val="Noto Sans CJK SC"/>
        <family val="2"/>
      </rPr>
      <t xml:space="preserve">が平均から遠いほど大きい</t>
    </r>
  </si>
  <si>
    <r>
      <rPr>
        <sz val="10"/>
        <rFont val="Arial"/>
        <family val="0"/>
        <charset val="1"/>
      </rPr>
      <t xml:space="preserve">H11</t>
    </r>
    <r>
      <rPr>
        <sz val="10"/>
        <rFont val="Noto Sans CJK SC"/>
        <family val="2"/>
      </rPr>
      <t xml:space="preserve">＝</t>
    </r>
    <r>
      <rPr>
        <sz val="10"/>
        <rFont val="Arial"/>
        <family val="0"/>
        <charset val="1"/>
      </rPr>
      <t xml:space="preserve">33</t>
    </r>
  </si>
  <si>
    <t xml:space="preserve">C25</t>
  </si>
  <si>
    <t xml:space="preserve">=SQRT(SUMSQ(E11:E22)/COUNT(E11:E22))</t>
  </si>
  <si>
    <r>
      <rPr>
        <sz val="10"/>
        <rFont val="Arial"/>
        <family val="0"/>
        <charset val="1"/>
      </rPr>
      <t xml:space="preserve">RMSE</t>
    </r>
    <r>
      <rPr>
        <sz val="10"/>
        <rFont val="Noto Sans CJK SC"/>
        <family val="2"/>
      </rPr>
      <t xml:space="preserve">＝√</t>
    </r>
    <r>
      <rPr>
        <sz val="10"/>
        <rFont val="Arial"/>
        <family val="0"/>
        <charset val="1"/>
      </rPr>
      <t xml:space="preserve">(</t>
    </r>
    <r>
      <rPr>
        <sz val="10"/>
        <rFont val="Noto Sans CJK SC"/>
        <family val="2"/>
      </rPr>
      <t xml:space="preserve">誤差の二乗の平均</t>
    </r>
    <r>
      <rPr>
        <sz val="10"/>
        <rFont val="Arial"/>
        <family val="0"/>
        <charset val="1"/>
      </rPr>
      <t xml:space="preserve">)</t>
    </r>
  </si>
  <si>
    <r>
      <rPr>
        <sz val="10"/>
        <rFont val="Arial"/>
        <family val="0"/>
        <charset val="1"/>
      </rPr>
      <t xml:space="preserve">C25</t>
    </r>
    <r>
      <rPr>
        <sz val="10"/>
        <rFont val="Noto Sans CJK SC"/>
        <family val="2"/>
      </rPr>
      <t xml:space="preserve">＝</t>
    </r>
    <r>
      <rPr>
        <sz val="10"/>
        <rFont val="Arial"/>
        <family val="0"/>
        <charset val="1"/>
      </rPr>
      <t xml:space="preserve">61.7</t>
    </r>
  </si>
  <si>
    <t xml:space="preserve">C26</t>
  </si>
  <si>
    <t xml:space="preserve">=SQRT(SUMSQ(H11:H22)/COUNT(H11:H22))</t>
  </si>
  <si>
    <r>
      <rPr>
        <sz val="10"/>
        <rFont val="Noto Sans CJK SC"/>
        <family val="2"/>
      </rPr>
      <t xml:space="preserve">（発展）抜いて当てた誤差の</t>
    </r>
    <r>
      <rPr>
        <sz val="10"/>
        <rFont val="Arial"/>
        <family val="0"/>
        <charset val="1"/>
      </rPr>
      <t xml:space="preserve">RMSE</t>
    </r>
  </si>
  <si>
    <r>
      <rPr>
        <sz val="10"/>
        <rFont val="Arial"/>
        <family val="0"/>
        <charset val="1"/>
      </rPr>
      <t xml:space="preserve">C26</t>
    </r>
    <r>
      <rPr>
        <sz val="10"/>
        <rFont val="Noto Sans CJK SC"/>
        <family val="2"/>
      </rPr>
      <t xml:space="preserve">＝</t>
    </r>
    <r>
      <rPr>
        <sz val="10"/>
        <rFont val="Arial"/>
        <family val="0"/>
        <charset val="1"/>
      </rPr>
      <t xml:space="preserve">71.2</t>
    </r>
  </si>
  <si>
    <t xml:space="preserve">C27</t>
  </si>
  <si>
    <t xml:space="preserve">=SQRT(SUMSQ(G11:G22)/COUNT(G11:G22))</t>
  </si>
  <si>
    <r>
      <rPr>
        <sz val="10"/>
        <rFont val="Noto Sans CJK SC"/>
        <family val="2"/>
      </rPr>
      <t xml:space="preserve">前期と同じ予測の</t>
    </r>
    <r>
      <rPr>
        <sz val="10"/>
        <rFont val="Arial"/>
        <family val="0"/>
        <charset val="1"/>
      </rPr>
      <t xml:space="preserve">RMSE</t>
    </r>
  </si>
  <si>
    <r>
      <rPr>
        <sz val="10"/>
        <rFont val="Arial"/>
        <family val="0"/>
        <charset val="1"/>
      </rPr>
      <t xml:space="preserve">C27</t>
    </r>
    <r>
      <rPr>
        <sz val="10"/>
        <rFont val="Noto Sans CJK SC"/>
        <family val="2"/>
      </rPr>
      <t xml:space="preserve">＝</t>
    </r>
    <r>
      <rPr>
        <sz val="10"/>
        <rFont val="Arial"/>
        <family val="0"/>
        <charset val="1"/>
      </rPr>
      <t xml:space="preserve">113.5</t>
    </r>
  </si>
  <si>
    <t xml:space="preserve">C28</t>
  </si>
  <si>
    <t xml:space="preserve">=1-C26/C27</t>
  </si>
  <si>
    <r>
      <rPr>
        <sz val="10"/>
        <rFont val="Arial"/>
        <family val="0"/>
        <charset val="1"/>
      </rPr>
      <t xml:space="preserve">1−</t>
    </r>
    <r>
      <rPr>
        <sz val="10"/>
        <rFont val="Noto Sans CJK SC"/>
        <family val="2"/>
      </rPr>
      <t xml:space="preserve">モデル</t>
    </r>
    <r>
      <rPr>
        <sz val="10"/>
        <rFont val="Arial"/>
        <family val="0"/>
        <charset val="1"/>
      </rPr>
      <t xml:space="preserve">÷</t>
    </r>
    <r>
      <rPr>
        <sz val="10"/>
        <rFont val="Noto Sans CJK SC"/>
        <family val="2"/>
      </rPr>
      <t xml:space="preserve">前期と同じ（抜いて当てた誤差どうしで比べる）</t>
    </r>
  </si>
  <si>
    <r>
      <rPr>
        <sz val="10"/>
        <rFont val="Arial"/>
        <family val="0"/>
        <charset val="1"/>
      </rPr>
      <t xml:space="preserve">C28</t>
    </r>
    <r>
      <rPr>
        <sz val="10"/>
        <rFont val="Noto Sans CJK SC"/>
        <family val="2"/>
      </rPr>
      <t xml:space="preserve">＝</t>
    </r>
    <r>
      <rPr>
        <sz val="10"/>
        <rFont val="Arial"/>
        <family val="0"/>
        <charset val="1"/>
      </rPr>
      <t xml:space="preserve">37%</t>
    </r>
  </si>
  <si>
    <t xml:space="preserve">5</t>
  </si>
  <si>
    <r>
      <rPr>
        <sz val="10"/>
        <rFont val="Arial"/>
        <family val="0"/>
        <charset val="1"/>
      </rPr>
      <t xml:space="preserve">2Q</t>
    </r>
    <r>
      <rPr>
        <sz val="10"/>
        <rFont val="Noto Sans CJK SC"/>
        <family val="2"/>
      </rPr>
      <t xml:space="preserve">予測</t>
    </r>
  </si>
  <si>
    <t xml:space="preserve">C8</t>
  </si>
  <si>
    <t xml:space="preserve">=AVERAGE(C5:C6)*C7</t>
  </si>
  <si>
    <r>
      <rPr>
        <sz val="10"/>
        <rFont val="Arial"/>
        <family val="0"/>
        <charset val="1"/>
      </rPr>
      <t xml:space="preserve">9</t>
    </r>
    <r>
      <rPr>
        <sz val="10"/>
        <rFont val="Noto Sans CJK SC"/>
        <family val="2"/>
      </rPr>
      <t xml:space="preserve">月の推計＝</t>
    </r>
    <r>
      <rPr>
        <sz val="10"/>
        <rFont val="Arial"/>
        <family val="0"/>
        <charset val="1"/>
      </rPr>
      <t xml:space="preserve">7-8</t>
    </r>
    <r>
      <rPr>
        <sz val="10"/>
        <rFont val="Noto Sans CJK SC"/>
        <family val="2"/>
      </rPr>
      <t xml:space="preserve">月平均</t>
    </r>
    <r>
      <rPr>
        <sz val="10"/>
        <rFont val="Arial"/>
        <family val="0"/>
        <charset val="1"/>
      </rPr>
      <t xml:space="preserve">×</t>
    </r>
    <r>
      <rPr>
        <sz val="10"/>
        <rFont val="Noto Sans CJK SC"/>
        <family val="2"/>
      </rPr>
      <t xml:space="preserve">季節比</t>
    </r>
  </si>
  <si>
    <r>
      <rPr>
        <sz val="10"/>
        <rFont val="Arial"/>
        <family val="0"/>
        <charset val="1"/>
      </rPr>
      <t xml:space="preserve">C8</t>
    </r>
    <r>
      <rPr>
        <sz val="10"/>
        <rFont val="Noto Sans CJK SC"/>
        <family val="2"/>
      </rPr>
      <t xml:space="preserve">＝</t>
    </r>
    <r>
      <rPr>
        <sz val="10"/>
        <rFont val="Arial"/>
        <family val="0"/>
        <charset val="1"/>
      </rPr>
      <t xml:space="preserve">5,659</t>
    </r>
  </si>
  <si>
    <t xml:space="preserve">C9</t>
  </si>
  <si>
    <t xml:space="preserve">=SUM(C5:C6,C8)</t>
  </si>
  <si>
    <r>
      <rPr>
        <sz val="10"/>
        <rFont val="Arial"/>
        <family val="0"/>
        <charset val="1"/>
      </rPr>
      <t xml:space="preserve">7-9</t>
    </r>
    <r>
      <rPr>
        <sz val="10"/>
        <rFont val="Noto Sans CJK SC"/>
        <family val="2"/>
      </rPr>
      <t xml:space="preserve">月合計＝</t>
    </r>
    <r>
      <rPr>
        <sz val="10"/>
        <rFont val="Arial"/>
        <family val="0"/>
        <charset val="1"/>
      </rPr>
      <t xml:space="preserve">7</t>
    </r>
    <r>
      <rPr>
        <sz val="10"/>
        <rFont val="Noto Sans CJK SC"/>
        <family val="2"/>
      </rPr>
      <t xml:space="preserve">月＋</t>
    </r>
    <r>
      <rPr>
        <sz val="10"/>
        <rFont val="Arial"/>
        <family val="0"/>
        <charset val="1"/>
      </rPr>
      <t xml:space="preserve">8</t>
    </r>
    <r>
      <rPr>
        <sz val="10"/>
        <rFont val="Noto Sans CJK SC"/>
        <family val="2"/>
      </rPr>
      <t xml:space="preserve">月＋</t>
    </r>
    <r>
      <rPr>
        <sz val="10"/>
        <rFont val="Arial"/>
        <family val="0"/>
        <charset val="1"/>
      </rPr>
      <t xml:space="preserve">9</t>
    </r>
    <r>
      <rPr>
        <sz val="10"/>
        <rFont val="Noto Sans CJK SC"/>
        <family val="2"/>
      </rPr>
      <t xml:space="preserve">月推計</t>
    </r>
  </si>
  <si>
    <r>
      <rPr>
        <sz val="10"/>
        <rFont val="Arial"/>
        <family val="0"/>
        <charset val="1"/>
      </rPr>
      <t xml:space="preserve">C9</t>
    </r>
    <r>
      <rPr>
        <sz val="10"/>
        <rFont val="Noto Sans CJK SC"/>
        <family val="2"/>
      </rPr>
      <t xml:space="preserve">＝</t>
    </r>
    <r>
      <rPr>
        <sz val="10"/>
        <rFont val="Arial"/>
        <family val="0"/>
        <charset val="1"/>
      </rPr>
      <t xml:space="preserve">15,501</t>
    </r>
  </si>
  <si>
    <t xml:space="preserve">C12</t>
  </si>
  <si>
    <r>
      <rPr>
        <sz val="9"/>
        <rFont val="Consolas"/>
        <family val="0"/>
        <charset val="1"/>
      </rPr>
      <t xml:space="preserve">='</t>
    </r>
    <r>
      <rPr>
        <sz val="9"/>
        <rFont val="Noto Sans CJK SC"/>
        <family val="2"/>
      </rPr>
      <t xml:space="preserve">回帰</t>
    </r>
    <r>
      <rPr>
        <sz val="9"/>
        <rFont val="Consolas"/>
        <family val="0"/>
        <charset val="1"/>
      </rPr>
      <t xml:space="preserve">'!C6+'</t>
    </r>
    <r>
      <rPr>
        <sz val="9"/>
        <rFont val="Noto Sans CJK SC"/>
        <family val="2"/>
      </rPr>
      <t xml:space="preserve">回帰</t>
    </r>
    <r>
      <rPr>
        <sz val="9"/>
        <rFont val="Consolas"/>
        <family val="0"/>
        <charset val="1"/>
      </rPr>
      <t xml:space="preserve">'!C5*C9</t>
    </r>
  </si>
  <si>
    <t xml:space="preserve">回帰シートの切片と傾きを使って予測</t>
  </si>
  <si>
    <r>
      <rPr>
        <sz val="10"/>
        <rFont val="Arial"/>
        <family val="0"/>
        <charset val="1"/>
      </rPr>
      <t xml:space="preserve">C12</t>
    </r>
    <r>
      <rPr>
        <sz val="10"/>
        <rFont val="Noto Sans CJK SC"/>
        <family val="2"/>
      </rPr>
      <t xml:space="preserve">＝</t>
    </r>
    <r>
      <rPr>
        <sz val="10"/>
        <rFont val="Arial"/>
        <family val="0"/>
        <charset val="1"/>
      </rPr>
      <t xml:space="preserve">812</t>
    </r>
  </si>
  <si>
    <t xml:space="preserve">C13</t>
  </si>
  <si>
    <r>
      <rPr>
        <sz val="9"/>
        <rFont val="Consolas"/>
        <family val="0"/>
        <charset val="1"/>
      </rPr>
      <t xml:space="preserve">='</t>
    </r>
    <r>
      <rPr>
        <sz val="9"/>
        <rFont val="Noto Sans CJK SC"/>
        <family val="2"/>
      </rPr>
      <t xml:space="preserve">回帰</t>
    </r>
    <r>
      <rPr>
        <sz val="9"/>
        <rFont val="Consolas"/>
        <family val="0"/>
        <charset val="1"/>
      </rPr>
      <t xml:space="preserve">'!C26</t>
    </r>
  </si>
  <si>
    <r>
      <rPr>
        <sz val="10"/>
        <rFont val="Noto Sans CJK SC"/>
        <family val="2"/>
      </rPr>
      <t xml:space="preserve">誤差の目安（回帰シート</t>
    </r>
    <r>
      <rPr>
        <sz val="10"/>
        <rFont val="Arial"/>
        <family val="0"/>
        <charset val="1"/>
      </rPr>
      <t xml:space="preserve">C26</t>
    </r>
    <r>
      <rPr>
        <sz val="10"/>
        <rFont val="Noto Sans CJK SC"/>
        <family val="2"/>
      </rPr>
      <t xml:space="preserve">を参照）</t>
    </r>
  </si>
  <si>
    <t xml:space="preserve">C14</t>
  </si>
  <si>
    <t xml:space="preserve">=C12-C13</t>
  </si>
  <si>
    <t xml:space="preserve">下限＝予測−誤差の目安</t>
  </si>
  <si>
    <r>
      <rPr>
        <sz val="10"/>
        <rFont val="Arial"/>
        <family val="0"/>
        <charset val="1"/>
      </rPr>
      <t xml:space="preserve">C14</t>
    </r>
    <r>
      <rPr>
        <sz val="10"/>
        <rFont val="Noto Sans CJK SC"/>
        <family val="2"/>
      </rPr>
      <t xml:space="preserve">＝</t>
    </r>
    <r>
      <rPr>
        <sz val="10"/>
        <rFont val="Arial"/>
        <family val="0"/>
        <charset val="1"/>
      </rPr>
      <t xml:space="preserve">741</t>
    </r>
  </si>
  <si>
    <t xml:space="preserve">C15</t>
  </si>
  <si>
    <t xml:space="preserve">=C12+C13</t>
  </si>
  <si>
    <t xml:space="preserve">上限＝予測＋誤差の目安</t>
  </si>
  <si>
    <t xml:space="preserve">C20</t>
  </si>
  <si>
    <t xml:space="preserve">=C18-C19</t>
  </si>
  <si>
    <r>
      <rPr>
        <sz val="10"/>
        <rFont val="Noto Sans CJK SC"/>
        <family val="2"/>
      </rPr>
      <t xml:space="preserve">計画が示す</t>
    </r>
    <r>
      <rPr>
        <sz val="10"/>
        <rFont val="Arial"/>
        <family val="0"/>
        <charset val="1"/>
      </rPr>
      <t xml:space="preserve">2Q</t>
    </r>
    <r>
      <rPr>
        <sz val="10"/>
        <rFont val="Noto Sans CJK SC"/>
        <family val="2"/>
      </rPr>
      <t xml:space="preserve">＝上期計画−</t>
    </r>
    <r>
      <rPr>
        <sz val="10"/>
        <rFont val="Arial"/>
        <family val="0"/>
        <charset val="1"/>
      </rPr>
      <t xml:space="preserve">1Q</t>
    </r>
    <r>
      <rPr>
        <sz val="10"/>
        <rFont val="Noto Sans CJK SC"/>
        <family val="2"/>
      </rPr>
      <t xml:space="preserve">実績</t>
    </r>
  </si>
  <si>
    <r>
      <rPr>
        <sz val="10"/>
        <rFont val="Arial"/>
        <family val="0"/>
        <charset val="1"/>
      </rPr>
      <t xml:space="preserve">C20</t>
    </r>
    <r>
      <rPr>
        <sz val="10"/>
        <rFont val="Noto Sans CJK SC"/>
        <family val="2"/>
      </rPr>
      <t xml:space="preserve">＝</t>
    </r>
    <r>
      <rPr>
        <sz val="10"/>
        <rFont val="Arial"/>
        <family val="0"/>
        <charset val="1"/>
      </rPr>
      <t xml:space="preserve">856</t>
    </r>
  </si>
  <si>
    <t xml:space="preserve">C21</t>
  </si>
  <si>
    <t xml:space="preserve">=C12-C20</t>
  </si>
  <si>
    <t xml:space="preserve">予測と計画の差（マイナスなら予測が計画を下回る）</t>
  </si>
  <si>
    <r>
      <rPr>
        <sz val="10"/>
        <rFont val="Arial"/>
        <family val="0"/>
        <charset val="1"/>
      </rPr>
      <t xml:space="preserve">C21</t>
    </r>
    <r>
      <rPr>
        <sz val="10"/>
        <rFont val="Noto Sans CJK SC"/>
        <family val="2"/>
      </rPr>
      <t xml:space="preserve">＝</t>
    </r>
    <r>
      <rPr>
        <sz val="10"/>
        <rFont val="Arial"/>
        <family val="0"/>
        <charset val="1"/>
      </rPr>
      <t xml:space="preserve">-44</t>
    </r>
  </si>
  <si>
    <t xml:space="preserve">C24</t>
  </si>
  <si>
    <r>
      <rPr>
        <sz val="9"/>
        <rFont val="Consolas"/>
        <family val="0"/>
        <charset val="1"/>
      </rPr>
      <t xml:space="preserve">=(C20-'</t>
    </r>
    <r>
      <rPr>
        <sz val="9"/>
        <rFont val="Noto Sans CJK SC"/>
        <family val="2"/>
      </rPr>
      <t xml:space="preserve">回帰</t>
    </r>
    <r>
      <rPr>
        <sz val="9"/>
        <rFont val="Consolas"/>
        <family val="0"/>
        <charset val="1"/>
      </rPr>
      <t xml:space="preserve">'!C6)/'</t>
    </r>
    <r>
      <rPr>
        <sz val="9"/>
        <rFont val="Noto Sans CJK SC"/>
        <family val="2"/>
      </rPr>
      <t xml:space="preserve">回帰</t>
    </r>
    <r>
      <rPr>
        <sz val="9"/>
        <rFont val="Consolas"/>
        <family val="0"/>
        <charset val="1"/>
      </rPr>
      <t xml:space="preserve">'!C5</t>
    </r>
  </si>
  <si>
    <r>
      <rPr>
        <sz val="10"/>
        <rFont val="Noto Sans CJK SC"/>
        <family val="2"/>
      </rPr>
      <t xml:space="preserve">予測の式を逆に解く：</t>
    </r>
    <r>
      <rPr>
        <sz val="10"/>
        <rFont val="Arial"/>
        <family val="0"/>
        <charset val="1"/>
      </rPr>
      <t xml:space="preserve">x</t>
    </r>
    <r>
      <rPr>
        <sz val="10"/>
        <rFont val="Noto Sans CJK SC"/>
        <family val="2"/>
      </rPr>
      <t xml:space="preserve">＝</t>
    </r>
    <r>
      <rPr>
        <sz val="10"/>
        <rFont val="Arial"/>
        <family val="0"/>
        <charset val="1"/>
      </rPr>
      <t xml:space="preserve">(y−a)÷b</t>
    </r>
  </si>
  <si>
    <r>
      <rPr>
        <sz val="10"/>
        <rFont val="Arial"/>
        <family val="0"/>
        <charset val="1"/>
      </rPr>
      <t xml:space="preserve">C24</t>
    </r>
    <r>
      <rPr>
        <sz val="10"/>
        <rFont val="Noto Sans CJK SC"/>
        <family val="2"/>
      </rPr>
      <t xml:space="preserve">＝</t>
    </r>
    <r>
      <rPr>
        <sz val="10"/>
        <rFont val="Arial"/>
        <family val="0"/>
        <charset val="1"/>
      </rPr>
      <t xml:space="preserve">16,348</t>
    </r>
  </si>
  <si>
    <t xml:space="preserve">=C24-C5-C6</t>
  </si>
  <si>
    <r>
      <rPr>
        <sz val="10"/>
        <rFont val="Arial"/>
        <family val="0"/>
        <charset val="1"/>
      </rPr>
      <t xml:space="preserve">9</t>
    </r>
    <r>
      <rPr>
        <sz val="10"/>
        <rFont val="Noto Sans CJK SC"/>
        <family val="2"/>
      </rPr>
      <t xml:space="preserve">月に必要な輸出＝必要な</t>
    </r>
    <r>
      <rPr>
        <sz val="10"/>
        <rFont val="Arial"/>
        <family val="0"/>
        <charset val="1"/>
      </rPr>
      <t xml:space="preserve">7-9</t>
    </r>
    <r>
      <rPr>
        <sz val="10"/>
        <rFont val="Noto Sans CJK SC"/>
        <family val="2"/>
      </rPr>
      <t xml:space="preserve">月合計−</t>
    </r>
    <r>
      <rPr>
        <sz val="10"/>
        <rFont val="Arial"/>
        <family val="0"/>
        <charset val="1"/>
      </rPr>
      <t xml:space="preserve">7</t>
    </r>
    <r>
      <rPr>
        <sz val="10"/>
        <rFont val="Noto Sans CJK SC"/>
        <family val="2"/>
      </rPr>
      <t xml:space="preserve">月−</t>
    </r>
    <r>
      <rPr>
        <sz val="10"/>
        <rFont val="Arial"/>
        <family val="0"/>
        <charset val="1"/>
      </rPr>
      <t xml:space="preserve">8</t>
    </r>
    <r>
      <rPr>
        <sz val="10"/>
        <rFont val="Noto Sans CJK SC"/>
        <family val="2"/>
      </rPr>
      <t xml:space="preserve">月</t>
    </r>
  </si>
  <si>
    <r>
      <rPr>
        <sz val="10"/>
        <rFont val="Arial"/>
        <family val="0"/>
        <charset val="1"/>
      </rPr>
      <t xml:space="preserve">C25</t>
    </r>
    <r>
      <rPr>
        <sz val="10"/>
        <rFont val="Noto Sans CJK SC"/>
        <family val="2"/>
      </rPr>
      <t xml:space="preserve">＝</t>
    </r>
    <r>
      <rPr>
        <sz val="10"/>
        <rFont val="Arial"/>
        <family val="0"/>
        <charset val="1"/>
      </rPr>
      <t xml:space="preserve">6,506</t>
    </r>
  </si>
  <si>
    <t xml:space="preserve">=C25/C26-1</t>
  </si>
  <si>
    <r>
      <rPr>
        <sz val="10"/>
        <rFont val="Noto Sans CJK SC"/>
        <family val="2"/>
      </rPr>
      <t xml:space="preserve">必要な前年同月比＝必要な</t>
    </r>
    <r>
      <rPr>
        <sz val="10"/>
        <rFont val="Arial"/>
        <family val="0"/>
        <charset val="1"/>
      </rPr>
      <t xml:space="preserve">9</t>
    </r>
    <r>
      <rPr>
        <sz val="10"/>
        <rFont val="Noto Sans CJK SC"/>
        <family val="2"/>
      </rPr>
      <t xml:space="preserve">月</t>
    </r>
    <r>
      <rPr>
        <sz val="10"/>
        <rFont val="Arial"/>
        <family val="0"/>
        <charset val="1"/>
      </rPr>
      <t xml:space="preserve">÷</t>
    </r>
    <r>
      <rPr>
        <sz val="10"/>
        <rFont val="Noto Sans CJK SC"/>
        <family val="2"/>
      </rPr>
      <t xml:space="preserve">前年</t>
    </r>
    <r>
      <rPr>
        <sz val="10"/>
        <rFont val="Arial"/>
        <family val="0"/>
        <charset val="1"/>
      </rPr>
      <t xml:space="preserve">9</t>
    </r>
    <r>
      <rPr>
        <sz val="10"/>
        <rFont val="Noto Sans CJK SC"/>
        <family val="2"/>
      </rPr>
      <t xml:space="preserve">月−</t>
    </r>
    <r>
      <rPr>
        <sz val="10"/>
        <rFont val="Arial"/>
        <family val="0"/>
        <charset val="1"/>
      </rPr>
      <t xml:space="preserve">1</t>
    </r>
  </si>
  <si>
    <r>
      <rPr>
        <sz val="10"/>
        <rFont val="Arial"/>
        <family val="0"/>
        <charset val="1"/>
      </rPr>
      <t xml:space="preserve">C27</t>
    </r>
    <r>
      <rPr>
        <sz val="10"/>
        <rFont val="Noto Sans CJK SC"/>
        <family val="2"/>
      </rPr>
      <t xml:space="preserve">＝</t>
    </r>
    <r>
      <rPr>
        <sz val="10"/>
        <rFont val="Arial"/>
        <family val="0"/>
        <charset val="1"/>
      </rPr>
      <t xml:space="preserve">69%</t>
    </r>
  </si>
  <si>
    <r>
      <rPr>
        <sz val="9"/>
        <rFont val="Consolas"/>
        <family val="0"/>
        <charset val="1"/>
      </rPr>
      <t xml:space="preserve">=C5/'</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'!B32-1</t>
    </r>
  </si>
  <si>
    <r>
      <rPr>
        <sz val="10"/>
        <rFont val="Arial"/>
        <family val="0"/>
        <charset val="1"/>
      </rPr>
      <t xml:space="preserve">7</t>
    </r>
    <r>
      <rPr>
        <sz val="10"/>
        <rFont val="Noto Sans CJK SC"/>
        <family val="2"/>
      </rPr>
      <t xml:space="preserve">月の前年同月比（比べる材料）</t>
    </r>
  </si>
  <si>
    <r>
      <rPr>
        <sz val="10"/>
        <rFont val="Arial"/>
        <family val="0"/>
        <charset val="1"/>
      </rPr>
      <t xml:space="preserve">C28</t>
    </r>
    <r>
      <rPr>
        <sz val="10"/>
        <rFont val="Noto Sans CJK SC"/>
        <family val="2"/>
      </rPr>
      <t xml:space="preserve">＝</t>
    </r>
    <r>
      <rPr>
        <sz val="10"/>
        <rFont val="Arial"/>
        <family val="0"/>
        <charset val="1"/>
      </rPr>
      <t xml:space="preserve">41%</t>
    </r>
  </si>
  <si>
    <t xml:space="preserve">D28</t>
  </si>
  <si>
    <r>
      <rPr>
        <sz val="9"/>
        <rFont val="Consolas"/>
        <family val="0"/>
        <charset val="1"/>
      </rPr>
      <t xml:space="preserve">=C6/'</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'!B33-1</t>
    </r>
  </si>
  <si>
    <r>
      <rPr>
        <sz val="10"/>
        <rFont val="Arial"/>
        <family val="0"/>
        <charset val="1"/>
      </rPr>
      <t xml:space="preserve">8</t>
    </r>
    <r>
      <rPr>
        <sz val="10"/>
        <rFont val="Noto Sans CJK SC"/>
        <family val="2"/>
      </rPr>
      <t xml:space="preserve">月の前年同月比</t>
    </r>
  </si>
  <si>
    <t xml:space="preserve">参考</t>
  </si>
  <si>
    <r>
      <rPr>
        <sz val="10"/>
        <rFont val="Noto Sans CJK SC"/>
        <family val="2"/>
      </rPr>
      <t xml:space="preserve">参考</t>
    </r>
    <r>
      <rPr>
        <sz val="10"/>
        <rFont val="Arial"/>
        <family val="0"/>
        <charset val="1"/>
      </rPr>
      <t xml:space="preserve">_</t>
    </r>
    <r>
      <rPr>
        <sz val="10"/>
        <rFont val="Noto Sans CJK SC"/>
        <family val="2"/>
      </rPr>
      <t xml:space="preserve">分解モデル</t>
    </r>
  </si>
  <si>
    <t xml:space="preserve">B5</t>
  </si>
  <si>
    <t xml:space="preserve">=SLOPE($B$12:$B$23,$C$12:$C$23)</t>
  </si>
  <si>
    <r>
      <rPr>
        <sz val="10"/>
        <rFont val="Noto Sans CJK SC"/>
        <family val="2"/>
      </rPr>
      <t xml:space="preserve">傾き（</t>
    </r>
    <r>
      <rPr>
        <sz val="10"/>
        <rFont val="Arial"/>
        <family val="0"/>
        <charset val="1"/>
      </rPr>
      <t xml:space="preserve">SLOPE</t>
    </r>
    <r>
      <rPr>
        <sz val="10"/>
        <rFont val="Noto Sans CJK SC"/>
        <family val="2"/>
      </rPr>
      <t xml:space="preserve">）：中国地場の式</t>
    </r>
  </si>
  <si>
    <r>
      <rPr>
        <sz val="10"/>
        <rFont val="Arial"/>
        <family val="0"/>
        <charset val="1"/>
      </rPr>
      <t xml:space="preserve">B5</t>
    </r>
    <r>
      <rPr>
        <sz val="10"/>
        <rFont val="Noto Sans CJK SC"/>
        <family val="2"/>
      </rPr>
      <t xml:space="preserve">＝</t>
    </r>
    <r>
      <rPr>
        <sz val="10"/>
        <rFont val="Arial"/>
        <family val="0"/>
        <charset val="1"/>
      </rPr>
      <t xml:space="preserve">0.0537</t>
    </r>
  </si>
  <si>
    <t xml:space="preserve">=INTERCEPT($B$12:$B$23,$C$12:$C$23)</t>
  </si>
  <si>
    <r>
      <rPr>
        <sz val="10"/>
        <rFont val="Noto Sans CJK SC"/>
        <family val="2"/>
      </rPr>
      <t xml:space="preserve">切片（</t>
    </r>
    <r>
      <rPr>
        <sz val="10"/>
        <rFont val="Arial"/>
        <family val="0"/>
        <charset val="1"/>
      </rPr>
      <t xml:space="preserve">INTERCEPT</t>
    </r>
    <r>
      <rPr>
        <sz val="10"/>
        <rFont val="Noto Sans CJK SC"/>
        <family val="2"/>
      </rPr>
      <t xml:space="preserve">）：中国地場の式</t>
    </r>
  </si>
  <si>
    <t xml:space="preserve">D5</t>
  </si>
  <si>
    <t xml:space="preserve">=RSQ($B$12:$B$23,$C$12:$C$23)</t>
  </si>
  <si>
    <r>
      <rPr>
        <sz val="10"/>
        <rFont val="Arial"/>
        <family val="0"/>
        <charset val="1"/>
      </rPr>
      <t xml:space="preserve">R²</t>
    </r>
    <r>
      <rPr>
        <sz val="10"/>
        <rFont val="Noto Sans CJK SC"/>
        <family val="2"/>
      </rPr>
      <t xml:space="preserve">（</t>
    </r>
    <r>
      <rPr>
        <sz val="10"/>
        <rFont val="Arial"/>
        <family val="0"/>
        <charset val="1"/>
      </rPr>
      <t xml:space="preserve">RSQ</t>
    </r>
    <r>
      <rPr>
        <sz val="10"/>
        <rFont val="Noto Sans CJK SC"/>
        <family val="2"/>
      </rPr>
      <t xml:space="preserve">）：中国地場の式</t>
    </r>
  </si>
  <si>
    <t xml:space="preserve">B6</t>
  </si>
  <si>
    <t xml:space="preserve">=SLOPE($E$12:$E$23,$F$12:$F$23)</t>
  </si>
  <si>
    <r>
      <rPr>
        <sz val="10"/>
        <rFont val="Noto Sans CJK SC"/>
        <family val="2"/>
      </rPr>
      <t xml:space="preserve">傾き（</t>
    </r>
    <r>
      <rPr>
        <sz val="10"/>
        <rFont val="Arial"/>
        <family val="0"/>
        <charset val="1"/>
      </rPr>
      <t xml:space="preserve">SLOPE</t>
    </r>
    <r>
      <rPr>
        <sz val="10"/>
        <rFont val="Noto Sans CJK SC"/>
        <family val="2"/>
      </rPr>
      <t xml:space="preserve">）：グローバルの式</t>
    </r>
  </si>
  <si>
    <r>
      <rPr>
        <sz val="10"/>
        <rFont val="Arial"/>
        <family val="0"/>
        <charset val="1"/>
      </rPr>
      <t xml:space="preserve">B6</t>
    </r>
    <r>
      <rPr>
        <sz val="10"/>
        <rFont val="Noto Sans CJK SC"/>
        <family val="2"/>
      </rPr>
      <t xml:space="preserve">＝</t>
    </r>
    <r>
      <rPr>
        <sz val="10"/>
        <rFont val="Arial"/>
        <family val="0"/>
        <charset val="1"/>
      </rPr>
      <t xml:space="preserve">0.0634</t>
    </r>
  </si>
  <si>
    <t xml:space="preserve">=INTERCEPT($E$12:$E$23,$F$12:$F$23)</t>
  </si>
  <si>
    <r>
      <rPr>
        <sz val="10"/>
        <rFont val="Noto Sans CJK SC"/>
        <family val="2"/>
      </rPr>
      <t xml:space="preserve">切片（</t>
    </r>
    <r>
      <rPr>
        <sz val="10"/>
        <rFont val="Arial"/>
        <family val="0"/>
        <charset val="1"/>
      </rPr>
      <t xml:space="preserve">INTERCEPT</t>
    </r>
    <r>
      <rPr>
        <sz val="10"/>
        <rFont val="Noto Sans CJK SC"/>
        <family val="2"/>
      </rPr>
      <t xml:space="preserve">）：グローバルの式</t>
    </r>
  </si>
  <si>
    <t xml:space="preserve">D6</t>
  </si>
  <si>
    <t xml:space="preserve">=RSQ($E$12:$E$23,$F$12:$F$23)</t>
  </si>
  <si>
    <r>
      <rPr>
        <sz val="10"/>
        <rFont val="Arial"/>
        <family val="0"/>
        <charset val="1"/>
      </rPr>
      <t xml:space="preserve">R²</t>
    </r>
    <r>
      <rPr>
        <sz val="10"/>
        <rFont val="Noto Sans CJK SC"/>
        <family val="2"/>
      </rPr>
      <t xml:space="preserve">（</t>
    </r>
    <r>
      <rPr>
        <sz val="10"/>
        <rFont val="Arial"/>
        <family val="0"/>
        <charset val="1"/>
      </rPr>
      <t xml:space="preserve">RSQ</t>
    </r>
    <r>
      <rPr>
        <sz val="10"/>
        <rFont val="Noto Sans CJK SC"/>
        <family val="2"/>
      </rPr>
      <t xml:space="preserve">）：グローバルの式</t>
    </r>
  </si>
  <si>
    <r>
      <rPr>
        <sz val="10"/>
        <rFont val="Arial"/>
        <family val="0"/>
        <charset val="1"/>
      </rPr>
      <t xml:space="preserve">D6</t>
    </r>
    <r>
      <rPr>
        <sz val="10"/>
        <rFont val="Noto Sans CJK SC"/>
        <family val="2"/>
      </rPr>
      <t xml:space="preserve">＝</t>
    </r>
    <r>
      <rPr>
        <sz val="10"/>
        <rFont val="Arial"/>
        <family val="0"/>
        <charset val="1"/>
      </rPr>
      <t xml:space="preserve">0.80</t>
    </r>
  </si>
  <si>
    <t xml:space="preserve">D12</t>
  </si>
  <si>
    <t xml:space="preserve">=$C$5+$B$5*C12</t>
  </si>
  <si>
    <t xml:space="preserve">D12:D23</t>
  </si>
  <si>
    <t xml:space="preserve">中国地場の予測</t>
  </si>
  <si>
    <r>
      <rPr>
        <sz val="10"/>
        <rFont val="Arial"/>
        <family val="0"/>
        <charset val="1"/>
      </rPr>
      <t xml:space="preserve">D12</t>
    </r>
    <r>
      <rPr>
        <sz val="10"/>
        <rFont val="Noto Sans CJK SC"/>
        <family val="2"/>
      </rPr>
      <t xml:space="preserve">＝</t>
    </r>
    <r>
      <rPr>
        <sz val="10"/>
        <rFont val="Arial"/>
        <family val="0"/>
        <charset val="1"/>
      </rPr>
      <t xml:space="preserve">195</t>
    </r>
  </si>
  <si>
    <t xml:space="preserve">G12</t>
  </si>
  <si>
    <t xml:space="preserve">=$C$6+$B$6*F12</t>
  </si>
  <si>
    <t xml:space="preserve">G12:G23</t>
  </si>
  <si>
    <t xml:space="preserve">グローバルの予測</t>
  </si>
  <si>
    <r>
      <rPr>
        <sz val="10"/>
        <rFont val="Arial"/>
        <family val="0"/>
        <charset val="1"/>
      </rPr>
      <t xml:space="preserve">G12</t>
    </r>
    <r>
      <rPr>
        <sz val="10"/>
        <rFont val="Noto Sans CJK SC"/>
        <family val="2"/>
      </rPr>
      <t xml:space="preserve">＝</t>
    </r>
    <r>
      <rPr>
        <sz val="10"/>
        <rFont val="Arial"/>
        <family val="0"/>
        <charset val="1"/>
      </rPr>
      <t xml:space="preserve">216</t>
    </r>
  </si>
  <si>
    <t xml:space="preserve">I12</t>
  </si>
  <si>
    <t xml:space="preserve">=D12+G12</t>
  </si>
  <si>
    <t xml:space="preserve">I12:I23</t>
  </si>
  <si>
    <r>
      <rPr>
        <sz val="10"/>
        <rFont val="Noto Sans CJK SC"/>
        <family val="2"/>
      </rPr>
      <t xml:space="preserve">全社の予測＝</t>
    </r>
    <r>
      <rPr>
        <sz val="10"/>
        <rFont val="Arial"/>
        <family val="0"/>
        <charset val="1"/>
      </rPr>
      <t xml:space="preserve">2</t>
    </r>
    <r>
      <rPr>
        <sz val="10"/>
        <rFont val="Noto Sans CJK SC"/>
        <family val="2"/>
      </rPr>
      <t xml:space="preserve">つの予測の和</t>
    </r>
  </si>
  <si>
    <r>
      <rPr>
        <sz val="10"/>
        <rFont val="Arial"/>
        <family val="0"/>
        <charset val="1"/>
      </rPr>
      <t xml:space="preserve">I12</t>
    </r>
    <r>
      <rPr>
        <sz val="10"/>
        <rFont val="Noto Sans CJK SC"/>
        <family val="2"/>
      </rPr>
      <t xml:space="preserve">＝</t>
    </r>
    <r>
      <rPr>
        <sz val="10"/>
        <rFont val="Arial"/>
        <family val="0"/>
        <charset val="1"/>
      </rPr>
      <t xml:space="preserve">411</t>
    </r>
  </si>
  <si>
    <t xml:space="preserve">J12</t>
  </si>
  <si>
    <t xml:space="preserve">=H12-I12</t>
  </si>
  <si>
    <t xml:space="preserve">J12:J23</t>
  </si>
  <si>
    <t xml:space="preserve">全社の誤差＝実績−予測</t>
  </si>
  <si>
    <t xml:space="preserve">D25</t>
  </si>
  <si>
    <t xml:space="preserve">=SQRT(SUMSQ(J12:J23)/COUNT(J12:J23))</t>
  </si>
  <si>
    <t xml:space="preserve">分解モデルの誤差。単純なモデルとほぼ同じになる</t>
  </si>
  <si>
    <r>
      <rPr>
        <sz val="10"/>
        <rFont val="Arial"/>
        <family val="0"/>
        <charset val="1"/>
      </rPr>
      <t xml:space="preserve">D25</t>
    </r>
    <r>
      <rPr>
        <sz val="10"/>
        <rFont val="Noto Sans CJK SC"/>
        <family val="2"/>
      </rPr>
      <t xml:space="preserve">＝</t>
    </r>
    <r>
      <rPr>
        <sz val="10"/>
        <rFont val="Arial"/>
        <family val="0"/>
        <charset val="1"/>
      </rPr>
      <t xml:space="preserve">61.8</t>
    </r>
  </si>
  <si>
    <t xml:space="preserve">D30</t>
  </si>
  <si>
    <r>
      <rPr>
        <sz val="9"/>
        <rFont val="Consolas"/>
        <family val="0"/>
        <charset val="1"/>
      </rPr>
      <t xml:space="preserve">=AVERAGE(B30:C30)*'2Q</t>
    </r>
    <r>
      <rPr>
        <sz val="9"/>
        <rFont val="Noto Sans CJK SC"/>
        <family val="2"/>
      </rPr>
      <t xml:space="preserve">予測</t>
    </r>
    <r>
      <rPr>
        <sz val="9"/>
        <rFont val="Consolas"/>
        <family val="0"/>
        <charset val="1"/>
      </rPr>
      <t xml:space="preserve">'!$C$7</t>
    </r>
  </si>
  <si>
    <t xml:space="preserve">D30:D31</t>
  </si>
  <si>
    <r>
      <rPr>
        <sz val="10"/>
        <rFont val="Arial"/>
        <family val="0"/>
        <charset val="1"/>
      </rPr>
      <t xml:space="preserve">9</t>
    </r>
    <r>
      <rPr>
        <sz val="10"/>
        <rFont val="Noto Sans CJK SC"/>
        <family val="2"/>
      </rPr>
      <t xml:space="preserve">月の推計＝</t>
    </r>
    <r>
      <rPr>
        <sz val="10"/>
        <rFont val="Arial"/>
        <family val="0"/>
        <charset val="1"/>
      </rPr>
      <t xml:space="preserve">7-8</t>
    </r>
    <r>
      <rPr>
        <sz val="10"/>
        <rFont val="Noto Sans CJK SC"/>
        <family val="2"/>
      </rPr>
      <t xml:space="preserve">月平均</t>
    </r>
    <r>
      <rPr>
        <sz val="10"/>
        <rFont val="Arial"/>
        <family val="0"/>
        <charset val="1"/>
      </rPr>
      <t xml:space="preserve">×</t>
    </r>
    <r>
      <rPr>
        <sz val="10"/>
        <rFont val="Noto Sans CJK SC"/>
        <family val="2"/>
      </rPr>
      <t xml:space="preserve">季節比（</t>
    </r>
    <r>
      <rPr>
        <sz val="10"/>
        <rFont val="Arial"/>
        <family val="0"/>
        <charset val="1"/>
      </rPr>
      <t xml:space="preserve">2Q</t>
    </r>
    <r>
      <rPr>
        <sz val="10"/>
        <rFont val="Noto Sans CJK SC"/>
        <family val="2"/>
      </rPr>
      <t xml:space="preserve">予測シート</t>
    </r>
    <r>
      <rPr>
        <sz val="10"/>
        <rFont val="Arial"/>
        <family val="0"/>
        <charset val="1"/>
      </rPr>
      <t xml:space="preserve">C7</t>
    </r>
    <r>
      <rPr>
        <sz val="10"/>
        <rFont val="Noto Sans CJK SC"/>
        <family val="2"/>
      </rPr>
      <t xml:space="preserve">）</t>
    </r>
  </si>
  <si>
    <t xml:space="preserve">E30</t>
  </si>
  <si>
    <t xml:space="preserve">=SUM(B30:D30)</t>
  </si>
  <si>
    <t xml:space="preserve">E30:E31</t>
  </si>
  <si>
    <r>
      <rPr>
        <sz val="10"/>
        <rFont val="Arial"/>
        <family val="0"/>
        <charset val="1"/>
      </rPr>
      <t xml:space="preserve">7-9</t>
    </r>
    <r>
      <rPr>
        <sz val="10"/>
        <rFont val="Noto Sans CJK SC"/>
        <family val="2"/>
      </rPr>
      <t xml:space="preserve">月合計</t>
    </r>
  </si>
  <si>
    <t xml:space="preserve">F30</t>
  </si>
  <si>
    <t xml:space="preserve">=$C$5+$B$5*E30</t>
  </si>
  <si>
    <t xml:space="preserve">中国地場の予測（中国地場の式を使う）</t>
  </si>
  <si>
    <t xml:space="preserve">F31</t>
  </si>
  <si>
    <t xml:space="preserve">=$C$6+$B$6*E31</t>
  </si>
  <si>
    <t xml:space="preserve">グローバルの予測（グローバルの式を使う）</t>
  </si>
  <si>
    <t xml:space="preserve">F32</t>
  </si>
  <si>
    <t xml:space="preserve">=F30+F31</t>
  </si>
  <si>
    <t xml:space="preserve">全社の予測</t>
  </si>
  <si>
    <r>
      <rPr>
        <sz val="10"/>
        <rFont val="Arial"/>
        <family val="0"/>
        <charset val="1"/>
      </rPr>
      <t xml:space="preserve">F32</t>
    </r>
    <r>
      <rPr>
        <sz val="10"/>
        <rFont val="Noto Sans CJK SC"/>
        <family val="2"/>
      </rPr>
      <t xml:space="preserve">＝</t>
    </r>
    <r>
      <rPr>
        <sz val="10"/>
        <rFont val="Arial"/>
        <family val="0"/>
        <charset val="1"/>
      </rPr>
      <t xml:space="preserve">850</t>
    </r>
  </si>
  <si>
    <t xml:space="preserve">財務省 貿易統計 月次速報：概況品「半導体等製造装置」の地域別輸出（原データ）</t>
  </si>
  <si>
    <r>
      <rPr>
        <sz val="9"/>
        <color rgb="FF555555"/>
        <rFont val="Noto Sans CJK SC"/>
        <family val="2"/>
      </rPr>
      <t xml:space="preserve">青字＝各月の速報</t>
    </r>
    <r>
      <rPr>
        <sz val="9"/>
        <color rgb="FF555555"/>
        <rFont val="Arial"/>
        <family val="0"/>
        <charset val="1"/>
      </rPr>
      <t xml:space="preserve">PDF</t>
    </r>
    <r>
      <rPr>
        <sz val="9"/>
        <color rgb="FF555555"/>
        <rFont val="Noto Sans CJK SC"/>
        <family val="2"/>
      </rPr>
      <t xml:space="preserve">から転記した値。価額は百万円、前年同月比は％（例：</t>
    </r>
    <r>
      <rPr>
        <sz val="9"/>
        <color rgb="FF555555"/>
        <rFont val="Arial"/>
        <family val="0"/>
        <charset val="1"/>
      </rPr>
      <t xml:space="preserve">40.1</t>
    </r>
    <r>
      <rPr>
        <sz val="9"/>
        <color rgb="FF555555"/>
        <rFont val="Noto Sans CJK SC"/>
        <family val="2"/>
      </rPr>
      <t xml:space="preserve">＝＋</t>
    </r>
    <r>
      <rPr>
        <sz val="9"/>
        <color rgb="FF555555"/>
        <rFont val="Arial"/>
        <family val="0"/>
        <charset val="1"/>
      </rPr>
      <t xml:space="preserve">40.1</t>
    </r>
    <r>
      <rPr>
        <sz val="9"/>
        <color rgb="FF555555"/>
        <rFont val="Noto Sans CJK SC"/>
        <family val="2"/>
      </rPr>
      <t xml:space="preserve">％）。</t>
    </r>
  </si>
  <si>
    <t xml:space="preserve">月</t>
  </si>
  <si>
    <t xml:space="preserve">地域</t>
  </si>
  <si>
    <t xml:space="preserve">価額（百万円）</t>
  </si>
  <si>
    <t xml:space="preserve">前年同月比（％）</t>
  </si>
  <si>
    <t xml:space="preserve">数量（トン）</t>
  </si>
  <si>
    <t xml:space="preserve">数量前年比（％）</t>
  </si>
  <si>
    <r>
      <rPr>
        <b val="true"/>
        <sz val="10"/>
        <rFont val="Noto Sans CJK SC"/>
        <family val="2"/>
      </rPr>
      <t xml:space="preserve">出所</t>
    </r>
    <r>
      <rPr>
        <b val="true"/>
        <sz val="10"/>
        <rFont val="Arial"/>
        <family val="0"/>
        <charset val="1"/>
      </rPr>
      <t xml:space="preserve">PDF</t>
    </r>
  </si>
  <si>
    <r>
      <rPr>
        <b val="true"/>
        <sz val="10"/>
        <rFont val="Arial"/>
        <family val="0"/>
        <charset val="1"/>
      </rPr>
      <t xml:space="preserve">2024</t>
    </r>
    <r>
      <rPr>
        <b val="true"/>
        <sz val="10"/>
        <rFont val="Noto Sans CJK SC"/>
        <family val="2"/>
      </rPr>
      <t xml:space="preserve">年</t>
    </r>
    <r>
      <rPr>
        <b val="true"/>
        <sz val="10"/>
        <rFont val="Arial"/>
        <family val="0"/>
        <charset val="1"/>
      </rPr>
      <t xml:space="preserve">5</t>
    </r>
    <r>
      <rPr>
        <b val="true"/>
        <sz val="10"/>
        <rFont val="Noto Sans CJK SC"/>
        <family val="2"/>
      </rPr>
      <t xml:space="preserve">月の前年同月比（概要</t>
    </r>
    <r>
      <rPr>
        <b val="true"/>
        <sz val="10"/>
        <rFont val="Arial"/>
        <family val="0"/>
        <charset val="1"/>
      </rPr>
      <t xml:space="preserve">PDF</t>
    </r>
    <r>
      <rPr>
        <b val="true"/>
        <sz val="10"/>
        <rFont val="Noto Sans CJK SC"/>
        <family val="2"/>
      </rPr>
      <t xml:space="preserve">より）</t>
    </r>
  </si>
  <si>
    <t xml:space="preserve">ASEAN</t>
  </si>
  <si>
    <t xml:space="preserve">https://www.customs.go.jp/toukei/shinbun/trade-st/2024/2024044.pdf</t>
  </si>
  <si>
    <t xml:space="preserve">Asia</t>
  </si>
  <si>
    <t xml:space="preserve">World</t>
  </si>
  <si>
    <t xml:space="preserve">China</t>
  </si>
  <si>
    <t xml:space="preserve">EU</t>
  </si>
  <si>
    <t xml:space="preserve">Korea</t>
  </si>
  <si>
    <t xml:space="preserve">US</t>
  </si>
  <si>
    <r>
      <rPr>
        <sz val="9"/>
        <color rgb="FF555555"/>
        <rFont val="Noto Sans CJK SC"/>
        <family val="2"/>
      </rPr>
      <t xml:space="preserve">出所</t>
    </r>
    <r>
      <rPr>
        <sz val="9"/>
        <color rgb="FF555555"/>
        <rFont val="Arial"/>
        <family val="0"/>
        <charset val="1"/>
      </rPr>
      <t xml:space="preserve">: https://www.customs.go.jp/toukei/shinbun/trade-st/gaiyo2024_05.pdf</t>
    </r>
  </si>
  <si>
    <t xml:space="preserve">https://www.customs.go.jp/toukei/shinbun/trade-st/2024/2024064.pdf</t>
  </si>
  <si>
    <t xml:space="preserve">https://www.customs.go.jp/toukei/shinbun/trade-st/2024/2024074.pdf</t>
  </si>
  <si>
    <t xml:space="preserve">https://www.customs.go.jp/toukei/shinbun/trade-st/2024/2024084.pdf</t>
  </si>
  <si>
    <t xml:space="preserve">https://www.customs.go.jp/toukei/shinbun/trade-st/2024/2024094.pdf</t>
  </si>
  <si>
    <t xml:space="preserve">https://www.customs.go.jp/toukei/shinbun/trade-st/2024/2024104.pdf</t>
  </si>
  <si>
    <t xml:space="preserve">https://www.customs.go.jp/toukei/shinbun/trade-st/2024/2024114.pdf</t>
  </si>
  <si>
    <t xml:space="preserve">https://www.customs.go.jp/toukei/shinbun/trade-st/2024/2024124.pdf</t>
  </si>
  <si>
    <t xml:space="preserve">https://www.customs.go.jp/toukei/shinbun/trade-st/2025/2025014.pdf</t>
  </si>
  <si>
    <t xml:space="preserve">https://www.customs.go.jp/toukei/shinbun/trade-st/2025/2025024.pdf</t>
  </si>
  <si>
    <t xml:space="preserve">https://www.customs.go.jp/toukei/shinbun/trade-st/2025/2025034.pdf</t>
  </si>
  <si>
    <t xml:space="preserve">https://www.customs.go.jp/toukei/shinbun/trade-st/2025/2025044.pdf</t>
  </si>
  <si>
    <t xml:space="preserve">https://www.customs.go.jp/toukei/shinbun/trade-st/2025/2025054.pdf</t>
  </si>
  <si>
    <t xml:space="preserve">https://www.customs.go.jp/toukei/shinbun/trade-st/2025/2025064.pdf</t>
  </si>
  <si>
    <t xml:space="preserve">https://www.customs.go.jp/toukei/shinbun/trade-st/2025/2025074.pdf</t>
  </si>
  <si>
    <t xml:space="preserve">https://www.customs.go.jp/toukei/shinbun/trade-st/2025/2025084.pdf</t>
  </si>
  <si>
    <t xml:space="preserve">https://www.customs.go.jp/toukei/shinbun/trade-st/2025/2025094.pdf</t>
  </si>
  <si>
    <t xml:space="preserve">https://www.customs.go.jp/toukei/shinbun/trade-st/2025/2025104.pdf</t>
  </si>
  <si>
    <t xml:space="preserve">https://www.customs.go.jp/toukei/shinbun/trade-st/2025/2025114.pdf</t>
  </si>
  <si>
    <t xml:space="preserve">https://www.customs.go.jp/toukei/shinbun/trade-st/2025/2025124.pdf</t>
  </si>
  <si>
    <t xml:space="preserve">https://www.customs.go.jp/toukei/shinbun/trade-st/2026/2026014.pdf</t>
  </si>
  <si>
    <t xml:space="preserve">https://www.customs.go.jp/toukei/shinbun/trade-st/2026/2026024.pdf</t>
  </si>
  <si>
    <t xml:space="preserve">https://www.customs.go.jp/toukei/shinbun/trade-st/2026/2026034.pdf</t>
  </si>
  <si>
    <t xml:space="preserve">https://www.customs.go.jp/toukei/shinbun/trade-st/2026/2026044.pdf</t>
  </si>
  <si>
    <t xml:space="preserve">https://www.customs.go.jp/toukei/shinbun/trade-st/2026/2026054.pdf</t>
  </si>
  <si>
    <t xml:space="preserve">https://www.customs.go.jp/toukei/shinbun/trade-st/2026/2026064.pdf</t>
  </si>
  <si>
    <t xml:space="preserve">https://www.customs.go.jp/toukei/shinbun/trade-st/2026/2026074.pdf</t>
  </si>
  <si>
    <t xml:space="preserve">https://www.customs.go.jp/toukei/shinbun/trade-st/2026/2026084.pdf</t>
  </si>
  <si>
    <t xml:space="preserve">半導体等製造装置の輸出（億円）— 月次パネル</t>
  </si>
  <si>
    <r>
      <rPr>
        <sz val="9"/>
        <color rgb="FF555555"/>
        <rFont val="Noto Sans CJK SC"/>
        <family val="2"/>
      </rPr>
      <t xml:space="preserve">当月の速報値を優先。無い月は翌年同月の速報値</t>
    </r>
    <r>
      <rPr>
        <sz val="9"/>
        <color rgb="FF555555"/>
        <rFont val="Arial"/>
        <family val="0"/>
        <charset val="1"/>
      </rPr>
      <t xml:space="preserve">÷(1</t>
    </r>
    <r>
      <rPr>
        <sz val="9"/>
        <color rgb="FF555555"/>
        <rFont val="Noto Sans CJK SC"/>
        <family val="2"/>
      </rPr>
      <t xml:space="preserve">＋前年同月比</t>
    </r>
    <r>
      <rPr>
        <sz val="9"/>
        <color rgb="FF555555"/>
        <rFont val="Arial"/>
        <family val="0"/>
        <charset val="1"/>
      </rPr>
      <t xml:space="preserve">)</t>
    </r>
    <r>
      <rPr>
        <sz val="9"/>
        <color rgb="FF555555"/>
        <rFont val="Noto Sans CJK SC"/>
        <family val="2"/>
      </rPr>
      <t xml:space="preserve">で逆算。</t>
    </r>
    <r>
      <rPr>
        <sz val="9"/>
        <color rgb="FF555555"/>
        <rFont val="Arial"/>
        <family val="0"/>
        <charset val="1"/>
      </rPr>
      <t xml:space="preserve">2023</t>
    </r>
    <r>
      <rPr>
        <sz val="9"/>
        <color rgb="FF555555"/>
        <rFont val="Noto Sans CJK SC"/>
        <family val="2"/>
      </rPr>
      <t xml:space="preserve">年</t>
    </r>
    <r>
      <rPr>
        <sz val="9"/>
        <color rgb="FF555555"/>
        <rFont val="Arial"/>
        <family val="0"/>
        <charset val="1"/>
      </rPr>
      <t xml:space="preserve">5</t>
    </r>
    <r>
      <rPr>
        <sz val="9"/>
        <color rgb="FF555555"/>
        <rFont val="Noto Sans CJK SC"/>
        <family val="2"/>
      </rPr>
      <t xml:space="preserve">月は</t>
    </r>
    <r>
      <rPr>
        <sz val="9"/>
        <color rgb="FF555555"/>
        <rFont val="Arial"/>
        <family val="0"/>
        <charset val="1"/>
      </rPr>
      <t xml:space="preserve">2</t>
    </r>
    <r>
      <rPr>
        <sz val="9"/>
        <color rgb="FF555555"/>
        <rFont val="Noto Sans CJK SC"/>
        <family val="2"/>
      </rPr>
      <t xml:space="preserve">段逆算、韓国・</t>
    </r>
    <r>
      <rPr>
        <sz val="9"/>
        <color rgb="FF555555"/>
        <rFont val="Arial"/>
        <family val="0"/>
        <charset val="1"/>
      </rPr>
      <t xml:space="preserve">ASEAN</t>
    </r>
    <r>
      <rPr>
        <sz val="9"/>
        <color rgb="FF555555"/>
        <rFont val="Noto Sans CJK SC"/>
        <family val="2"/>
      </rPr>
      <t xml:space="preserve">・</t>
    </r>
    <r>
      <rPr>
        <sz val="9"/>
        <color rgb="FF555555"/>
        <rFont val="Arial"/>
        <family val="0"/>
        <charset val="1"/>
      </rPr>
      <t xml:space="preserve">EU</t>
    </r>
    <r>
      <rPr>
        <sz val="9"/>
        <color rgb="FF555555"/>
        <rFont val="Noto Sans CJK SC"/>
        <family val="2"/>
      </rPr>
      <t xml:space="preserve">の同月は前後月の平均で補間。</t>
    </r>
  </si>
  <si>
    <t xml:space="preserve">世界</t>
  </si>
  <si>
    <t xml:space="preserve">アジア</t>
  </si>
  <si>
    <t xml:space="preserve">中国</t>
  </si>
  <si>
    <t xml:space="preserve">韓国</t>
  </si>
  <si>
    <t xml:space="preserve">米国</t>
  </si>
  <si>
    <t xml:space="preserve">中国以外</t>
  </si>
  <si>
    <t xml:space="preserve">アジア残差（台湾等）</t>
  </si>
  <si>
    <t xml:space="preserve">値の出所</t>
  </si>
  <si>
    <t xml:space="preserve">翌年同月速報の前年比から逆算</t>
  </si>
  <si>
    <r>
      <rPr>
        <sz val="9"/>
        <color rgb="FF555555"/>
        <rFont val="Arial"/>
        <family val="0"/>
        <charset val="1"/>
      </rPr>
      <t xml:space="preserve">2</t>
    </r>
    <r>
      <rPr>
        <sz val="9"/>
        <color rgb="FF555555"/>
        <rFont val="Noto Sans CJK SC"/>
        <family val="2"/>
      </rPr>
      <t xml:space="preserve">段逆算（韓国・</t>
    </r>
    <r>
      <rPr>
        <sz val="9"/>
        <color rgb="FF555555"/>
        <rFont val="Arial"/>
        <family val="0"/>
        <charset val="1"/>
      </rPr>
      <t xml:space="preserve">ASEAN</t>
    </r>
    <r>
      <rPr>
        <sz val="9"/>
        <color rgb="FF555555"/>
        <rFont val="Noto Sans CJK SC"/>
        <family val="2"/>
      </rPr>
      <t xml:space="preserve">・</t>
    </r>
    <r>
      <rPr>
        <sz val="9"/>
        <color rgb="FF555555"/>
        <rFont val="Arial"/>
        <family val="0"/>
        <charset val="1"/>
      </rPr>
      <t xml:space="preserve">EU</t>
    </r>
    <r>
      <rPr>
        <sz val="9"/>
        <color rgb="FF555555"/>
        <rFont val="Noto Sans CJK SC"/>
        <family val="2"/>
      </rPr>
      <t xml:space="preserve">は補間）</t>
    </r>
  </si>
  <si>
    <t xml:space="preserve">当月速報</t>
  </si>
  <si>
    <r>
      <rPr>
        <b val="true"/>
        <sz val="12"/>
        <rFont val="Arial"/>
        <family val="0"/>
        <charset val="1"/>
      </rPr>
      <t xml:space="preserve">KOKUSAI ELECTRIC</t>
    </r>
    <r>
      <rPr>
        <b val="true"/>
        <sz val="12"/>
        <rFont val="Noto Sans CJK SC"/>
        <family val="2"/>
      </rPr>
      <t xml:space="preserve">（</t>
    </r>
    <r>
      <rPr>
        <b val="true"/>
        <sz val="12"/>
        <rFont val="Arial"/>
        <family val="0"/>
        <charset val="1"/>
      </rPr>
      <t xml:space="preserve">6525</t>
    </r>
    <r>
      <rPr>
        <b val="true"/>
        <sz val="12"/>
        <rFont val="Noto Sans CJK SC"/>
        <family val="2"/>
      </rPr>
      <t xml:space="preserve">）四半期売上収益（億円）</t>
    </r>
  </si>
  <si>
    <r>
      <rPr>
        <sz val="9"/>
        <color rgb="FF555555"/>
        <rFont val="Noto Sans CJK SC"/>
        <family val="2"/>
      </rPr>
      <t xml:space="preserve">青字＝決算説明資料からの転記。</t>
    </r>
    <r>
      <rPr>
        <sz val="9"/>
        <color rgb="FF555555"/>
        <rFont val="Arial"/>
        <family val="0"/>
        <charset val="1"/>
      </rPr>
      <t xml:space="preserve">27/3</t>
    </r>
    <r>
      <rPr>
        <sz val="9"/>
        <color rgb="FF555555"/>
        <rFont val="Noto Sans CJK SC"/>
        <family val="2"/>
      </rPr>
      <t xml:space="preserve">期から装置・サービスの区分基準が変更されたため、</t>
    </r>
    <r>
      <rPr>
        <sz val="9"/>
        <color rgb="FF555555"/>
        <rFont val="Arial"/>
        <family val="0"/>
        <charset val="1"/>
      </rPr>
      <t xml:space="preserve">1Q</t>
    </r>
    <r>
      <rPr>
        <sz val="9"/>
        <color rgb="FF555555"/>
        <rFont val="Noto Sans CJK SC"/>
        <family val="2"/>
      </rPr>
      <t xml:space="preserve">の内訳は空欄。</t>
    </r>
  </si>
  <si>
    <t xml:space="preserve">四半期</t>
  </si>
  <si>
    <t xml:space="preserve">期間</t>
  </si>
  <si>
    <t xml:space="preserve">期末月</t>
  </si>
  <si>
    <t xml:space="preserve">売上収益</t>
  </si>
  <si>
    <t xml:space="preserve">装置（旧基準）</t>
  </si>
  <si>
    <t xml:space="preserve">サービス（旧基準）</t>
  </si>
  <si>
    <t xml:space="preserve">中国地場比率</t>
  </si>
  <si>
    <t xml:space="preserve">中国地場売上</t>
  </si>
  <si>
    <t xml:space="preserve">グローバル売上</t>
  </si>
  <si>
    <r>
      <rPr>
        <sz val="10"/>
        <color rgb="FF000000"/>
        <rFont val="Arial"/>
        <family val="0"/>
        <charset val="1"/>
      </rPr>
      <t xml:space="preserve">24/3</t>
    </r>
    <r>
      <rPr>
        <sz val="10"/>
        <color rgb="FF000000"/>
        <rFont val="Noto Sans CJK SC"/>
        <family val="2"/>
      </rPr>
      <t xml:space="preserve">期 </t>
    </r>
    <r>
      <rPr>
        <sz val="10"/>
        <color rgb="FF000000"/>
        <rFont val="Arial"/>
        <family val="0"/>
        <charset val="1"/>
      </rPr>
      <t xml:space="preserve">1Q</t>
    </r>
  </si>
  <si>
    <r>
      <rPr>
        <sz val="10"/>
        <color rgb="FF000000"/>
        <rFont val="Arial"/>
        <family val="0"/>
        <charset val="1"/>
      </rPr>
      <t xml:space="preserve">2023</t>
    </r>
    <r>
      <rPr>
        <sz val="10"/>
        <color rgb="FF000000"/>
        <rFont val="Noto Sans CJK SC"/>
        <family val="2"/>
      </rPr>
      <t xml:space="preserve">年</t>
    </r>
    <r>
      <rPr>
        <sz val="10"/>
        <color rgb="FF000000"/>
        <rFont val="Arial"/>
        <family val="0"/>
        <charset val="1"/>
      </rPr>
      <t xml:space="preserve">4-6</t>
    </r>
    <r>
      <rPr>
        <sz val="10"/>
        <color rgb="FF000000"/>
        <rFont val="Noto Sans CJK SC"/>
        <family val="2"/>
      </rPr>
      <t xml:space="preserve">月</t>
    </r>
  </si>
  <si>
    <r>
      <rPr>
        <sz val="10"/>
        <color rgb="FF000000"/>
        <rFont val="Arial"/>
        <family val="0"/>
        <charset val="1"/>
      </rPr>
      <t xml:space="preserve">24/3</t>
    </r>
    <r>
      <rPr>
        <sz val="10"/>
        <color rgb="FF000000"/>
        <rFont val="Noto Sans CJK SC"/>
        <family val="2"/>
      </rPr>
      <t xml:space="preserve">期 </t>
    </r>
    <r>
      <rPr>
        <sz val="10"/>
        <color rgb="FF000000"/>
        <rFont val="Arial"/>
        <family val="0"/>
        <charset val="1"/>
      </rPr>
      <t xml:space="preserve">2Q</t>
    </r>
  </si>
  <si>
    <r>
      <rPr>
        <sz val="10"/>
        <color rgb="FF000000"/>
        <rFont val="Arial"/>
        <family val="0"/>
        <charset val="1"/>
      </rPr>
      <t xml:space="preserve">2023</t>
    </r>
    <r>
      <rPr>
        <sz val="10"/>
        <color rgb="FF000000"/>
        <rFont val="Noto Sans CJK SC"/>
        <family val="2"/>
      </rPr>
      <t xml:space="preserve">年</t>
    </r>
    <r>
      <rPr>
        <sz val="10"/>
        <color rgb="FF000000"/>
        <rFont val="Arial"/>
        <family val="0"/>
        <charset val="1"/>
      </rPr>
      <t xml:space="preserve">7-9</t>
    </r>
    <r>
      <rPr>
        <sz val="10"/>
        <color rgb="FF000000"/>
        <rFont val="Noto Sans CJK SC"/>
        <family val="2"/>
      </rPr>
      <t xml:space="preserve">月</t>
    </r>
  </si>
  <si>
    <r>
      <rPr>
        <sz val="10"/>
        <color rgb="FF000000"/>
        <rFont val="Arial"/>
        <family val="0"/>
        <charset val="1"/>
      </rPr>
      <t xml:space="preserve">24/3</t>
    </r>
    <r>
      <rPr>
        <sz val="10"/>
        <color rgb="FF000000"/>
        <rFont val="Noto Sans CJK SC"/>
        <family val="2"/>
      </rPr>
      <t xml:space="preserve">期 </t>
    </r>
    <r>
      <rPr>
        <sz val="10"/>
        <color rgb="FF000000"/>
        <rFont val="Arial"/>
        <family val="0"/>
        <charset val="1"/>
      </rPr>
      <t xml:space="preserve">3Q</t>
    </r>
  </si>
  <si>
    <r>
      <rPr>
        <sz val="10"/>
        <color rgb="FF000000"/>
        <rFont val="Arial"/>
        <family val="0"/>
        <charset val="1"/>
      </rPr>
      <t xml:space="preserve">2023</t>
    </r>
    <r>
      <rPr>
        <sz val="10"/>
        <color rgb="FF000000"/>
        <rFont val="Noto Sans CJK SC"/>
        <family val="2"/>
      </rPr>
      <t xml:space="preserve">年</t>
    </r>
    <r>
      <rPr>
        <sz val="10"/>
        <color rgb="FF000000"/>
        <rFont val="Arial"/>
        <family val="0"/>
        <charset val="1"/>
      </rPr>
      <t xml:space="preserve">10-12</t>
    </r>
    <r>
      <rPr>
        <sz val="10"/>
        <color rgb="FF000000"/>
        <rFont val="Noto Sans CJK SC"/>
        <family val="2"/>
      </rPr>
      <t xml:space="preserve">月</t>
    </r>
  </si>
  <si>
    <r>
      <rPr>
        <sz val="10"/>
        <color rgb="FF000000"/>
        <rFont val="Arial"/>
        <family val="0"/>
        <charset val="1"/>
      </rPr>
      <t xml:space="preserve">24/3</t>
    </r>
    <r>
      <rPr>
        <sz val="10"/>
        <color rgb="FF000000"/>
        <rFont val="Noto Sans CJK SC"/>
        <family val="2"/>
      </rPr>
      <t xml:space="preserve">期 </t>
    </r>
    <r>
      <rPr>
        <sz val="10"/>
        <color rgb="FF000000"/>
        <rFont val="Arial"/>
        <family val="0"/>
        <charset val="1"/>
      </rPr>
      <t xml:space="preserve">4Q</t>
    </r>
  </si>
  <si>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1-3</t>
    </r>
    <r>
      <rPr>
        <sz val="10"/>
        <color rgb="FF000000"/>
        <rFont val="Noto Sans CJK SC"/>
        <family val="2"/>
      </rPr>
      <t xml:space="preserve">月</t>
    </r>
  </si>
  <si>
    <r>
      <rPr>
        <sz val="10"/>
        <color rgb="FF000000"/>
        <rFont val="Arial"/>
        <family val="0"/>
        <charset val="1"/>
      </rPr>
      <t xml:space="preserve">25/3</t>
    </r>
    <r>
      <rPr>
        <sz val="10"/>
        <color rgb="FF000000"/>
        <rFont val="Noto Sans CJK SC"/>
        <family val="2"/>
      </rPr>
      <t xml:space="preserve">期 </t>
    </r>
    <r>
      <rPr>
        <sz val="10"/>
        <color rgb="FF000000"/>
        <rFont val="Arial"/>
        <family val="0"/>
        <charset val="1"/>
      </rPr>
      <t xml:space="preserve">1Q</t>
    </r>
  </si>
  <si>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4-6</t>
    </r>
    <r>
      <rPr>
        <sz val="10"/>
        <color rgb="FF000000"/>
        <rFont val="Noto Sans CJK SC"/>
        <family val="2"/>
      </rPr>
      <t xml:space="preserve">月</t>
    </r>
  </si>
  <si>
    <r>
      <rPr>
        <sz val="10"/>
        <color rgb="FF000000"/>
        <rFont val="Arial"/>
        <family val="0"/>
        <charset val="1"/>
      </rPr>
      <t xml:space="preserve">25/3</t>
    </r>
    <r>
      <rPr>
        <sz val="10"/>
        <color rgb="FF000000"/>
        <rFont val="Noto Sans CJK SC"/>
        <family val="2"/>
      </rPr>
      <t xml:space="preserve">期 </t>
    </r>
    <r>
      <rPr>
        <sz val="10"/>
        <color rgb="FF000000"/>
        <rFont val="Arial"/>
        <family val="0"/>
        <charset val="1"/>
      </rPr>
      <t xml:space="preserve">2Q</t>
    </r>
  </si>
  <si>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7-9</t>
    </r>
    <r>
      <rPr>
        <sz val="10"/>
        <color rgb="FF000000"/>
        <rFont val="Noto Sans CJK SC"/>
        <family val="2"/>
      </rPr>
      <t xml:space="preserve">月</t>
    </r>
  </si>
  <si>
    <r>
      <rPr>
        <sz val="10"/>
        <color rgb="FF000000"/>
        <rFont val="Arial"/>
        <family val="0"/>
        <charset val="1"/>
      </rPr>
      <t xml:space="preserve">25/3</t>
    </r>
    <r>
      <rPr>
        <sz val="10"/>
        <color rgb="FF000000"/>
        <rFont val="Noto Sans CJK SC"/>
        <family val="2"/>
      </rPr>
      <t xml:space="preserve">期 </t>
    </r>
    <r>
      <rPr>
        <sz val="10"/>
        <color rgb="FF000000"/>
        <rFont val="Arial"/>
        <family val="0"/>
        <charset val="1"/>
      </rPr>
      <t xml:space="preserve">3Q</t>
    </r>
  </si>
  <si>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10-12</t>
    </r>
    <r>
      <rPr>
        <sz val="10"/>
        <color rgb="FF000000"/>
        <rFont val="Noto Sans CJK SC"/>
        <family val="2"/>
      </rPr>
      <t xml:space="preserve">月</t>
    </r>
  </si>
  <si>
    <r>
      <rPr>
        <sz val="10"/>
        <color rgb="FF000000"/>
        <rFont val="Arial"/>
        <family val="0"/>
        <charset val="1"/>
      </rPr>
      <t xml:space="preserve">25/3</t>
    </r>
    <r>
      <rPr>
        <sz val="10"/>
        <color rgb="FF000000"/>
        <rFont val="Noto Sans CJK SC"/>
        <family val="2"/>
      </rPr>
      <t xml:space="preserve">期 </t>
    </r>
    <r>
      <rPr>
        <sz val="10"/>
        <color rgb="FF000000"/>
        <rFont val="Arial"/>
        <family val="0"/>
        <charset val="1"/>
      </rPr>
      <t xml:space="preserve">4Q</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</si>
  <si>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1-3</t>
    </r>
    <r>
      <rPr>
        <sz val="10"/>
        <color rgb="FF000000"/>
        <rFont val="Noto Sans CJK SC"/>
        <family val="2"/>
      </rPr>
      <t xml:space="preserve">月</t>
    </r>
  </si>
  <si>
    <r>
      <rPr>
        <sz val="10"/>
        <color rgb="FF000000"/>
        <rFont val="Arial"/>
        <family val="0"/>
        <charset val="1"/>
      </rPr>
      <t xml:space="preserve">26/3</t>
    </r>
    <r>
      <rPr>
        <sz val="10"/>
        <color rgb="FF000000"/>
        <rFont val="Noto Sans CJK SC"/>
        <family val="2"/>
      </rPr>
      <t xml:space="preserve">期 </t>
    </r>
    <r>
      <rPr>
        <sz val="10"/>
        <color rgb="FF000000"/>
        <rFont val="Arial"/>
        <family val="0"/>
        <charset val="1"/>
      </rPr>
      <t xml:space="preserve">1Q</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</si>
  <si>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4-6</t>
    </r>
    <r>
      <rPr>
        <sz val="10"/>
        <color rgb="FF000000"/>
        <rFont val="Noto Sans CJK SC"/>
        <family val="2"/>
      </rPr>
      <t xml:space="preserve">月</t>
    </r>
  </si>
  <si>
    <r>
      <rPr>
        <sz val="10"/>
        <color rgb="FF000000"/>
        <rFont val="Arial"/>
        <family val="0"/>
        <charset val="1"/>
      </rPr>
      <t xml:space="preserve">26/3</t>
    </r>
    <r>
      <rPr>
        <sz val="10"/>
        <color rgb="FF000000"/>
        <rFont val="Noto Sans CJK SC"/>
        <family val="2"/>
      </rPr>
      <t xml:space="preserve">期 </t>
    </r>
    <r>
      <rPr>
        <sz val="10"/>
        <color rgb="FF000000"/>
        <rFont val="Arial"/>
        <family val="0"/>
        <charset val="1"/>
      </rPr>
      <t xml:space="preserve">2Q</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</si>
  <si>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7-9</t>
    </r>
    <r>
      <rPr>
        <sz val="10"/>
        <color rgb="FF000000"/>
        <rFont val="Noto Sans CJK SC"/>
        <family val="2"/>
      </rPr>
      <t xml:space="preserve">月</t>
    </r>
  </si>
  <si>
    <r>
      <rPr>
        <sz val="10"/>
        <color rgb="FF000000"/>
        <rFont val="Arial"/>
        <family val="0"/>
        <charset val="1"/>
      </rPr>
      <t xml:space="preserve">26/3</t>
    </r>
    <r>
      <rPr>
        <sz val="10"/>
        <color rgb="FF000000"/>
        <rFont val="Noto Sans CJK SC"/>
        <family val="2"/>
      </rPr>
      <t xml:space="preserve">期 </t>
    </r>
    <r>
      <rPr>
        <sz val="10"/>
        <color rgb="FF000000"/>
        <rFont val="Arial"/>
        <family val="0"/>
        <charset val="1"/>
      </rPr>
      <t xml:space="preserve">3Q</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</si>
  <si>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10-12</t>
    </r>
    <r>
      <rPr>
        <sz val="10"/>
        <color rgb="FF000000"/>
        <rFont val="Noto Sans CJK SC"/>
        <family val="2"/>
      </rPr>
      <t xml:space="preserve">月</t>
    </r>
  </si>
  <si>
    <r>
      <rPr>
        <sz val="10"/>
        <color rgb="FF000000"/>
        <rFont val="Arial"/>
        <family val="0"/>
        <charset val="1"/>
      </rPr>
      <t xml:space="preserve">26/3</t>
    </r>
    <r>
      <rPr>
        <sz val="10"/>
        <color rgb="FF000000"/>
        <rFont val="Noto Sans CJK SC"/>
        <family val="2"/>
      </rPr>
      <t xml:space="preserve">期 </t>
    </r>
    <r>
      <rPr>
        <sz val="10"/>
        <color rgb="FF000000"/>
        <rFont val="Arial"/>
        <family val="0"/>
        <charset val="1"/>
      </rPr>
      <t xml:space="preserve">4Q</t>
    </r>
  </si>
  <si>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1-3</t>
    </r>
    <r>
      <rPr>
        <sz val="10"/>
        <color rgb="FF000000"/>
        <rFont val="Noto Sans CJK SC"/>
        <family val="2"/>
      </rPr>
      <t xml:space="preserve">月</t>
    </r>
  </si>
  <si>
    <r>
      <rPr>
        <sz val="10"/>
        <color rgb="FF000000"/>
        <rFont val="Arial"/>
        <family val="0"/>
        <charset val="1"/>
      </rPr>
      <t xml:space="preserve">27/3</t>
    </r>
    <r>
      <rPr>
        <sz val="10"/>
        <color rgb="FF000000"/>
        <rFont val="Noto Sans CJK SC"/>
        <family val="2"/>
      </rPr>
      <t xml:space="preserve">期 </t>
    </r>
    <r>
      <rPr>
        <sz val="10"/>
        <color rgb="FF000000"/>
        <rFont val="Arial"/>
        <family val="0"/>
        <charset val="1"/>
      </rPr>
      <t xml:space="preserve">1Q</t>
    </r>
  </si>
  <si>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4-6</t>
    </r>
    <r>
      <rPr>
        <sz val="10"/>
        <color rgb="FF000000"/>
        <rFont val="Noto Sans CJK SC"/>
        <family val="2"/>
      </rPr>
      <t xml:space="preserve">月</t>
    </r>
  </si>
  <si>
    <r>
      <rPr>
        <sz val="9"/>
        <color rgb="FF555555"/>
        <rFont val="Noto Sans CJK SC"/>
        <family val="2"/>
      </rPr>
      <t xml:space="preserve">出所</t>
    </r>
    <r>
      <rPr>
        <sz val="9"/>
        <color rgb="FF555555"/>
        <rFont val="Arial"/>
        <family val="0"/>
        <charset val="1"/>
      </rPr>
      <t xml:space="preserve">: 24/3</t>
    </r>
    <r>
      <rPr>
        <sz val="9"/>
        <color rgb="FF555555"/>
        <rFont val="Noto Sans CJK SC"/>
        <family val="2"/>
      </rPr>
      <t xml:space="preserve">期〜</t>
    </r>
    <r>
      <rPr>
        <sz val="9"/>
        <color rgb="FF555555"/>
        <rFont val="Arial"/>
        <family val="0"/>
        <charset val="1"/>
      </rPr>
      <t xml:space="preserve">25/3</t>
    </r>
    <r>
      <rPr>
        <sz val="9"/>
        <color rgb="FF555555"/>
        <rFont val="Noto Sans CJK SC"/>
        <family val="2"/>
      </rPr>
      <t xml:space="preserve">期は</t>
    </r>
    <r>
      <rPr>
        <sz val="9"/>
        <color rgb="FF555555"/>
        <rFont val="Arial"/>
        <family val="0"/>
        <charset val="1"/>
      </rPr>
      <t xml:space="preserve">25/3</t>
    </r>
    <r>
      <rPr>
        <sz val="9"/>
        <color rgb="FF555555"/>
        <rFont val="Noto Sans CJK SC"/>
        <family val="2"/>
      </rPr>
      <t xml:space="preserve">期決算説明資料、</t>
    </r>
    <r>
      <rPr>
        <sz val="9"/>
        <color rgb="FF555555"/>
        <rFont val="Arial"/>
        <family val="0"/>
        <charset val="1"/>
      </rPr>
      <t xml:space="preserve">26/3</t>
    </r>
    <r>
      <rPr>
        <sz val="9"/>
        <color rgb="FF555555"/>
        <rFont val="Noto Sans CJK SC"/>
        <family val="2"/>
      </rPr>
      <t xml:space="preserve">期は</t>
    </r>
    <r>
      <rPr>
        <sz val="9"/>
        <color rgb="FF555555"/>
        <rFont val="Arial"/>
        <family val="0"/>
        <charset val="1"/>
      </rPr>
      <t xml:space="preserve">26/3</t>
    </r>
    <r>
      <rPr>
        <sz val="9"/>
        <color rgb="FF555555"/>
        <rFont val="Noto Sans CJK SC"/>
        <family val="2"/>
      </rPr>
      <t xml:space="preserve">期決算説明資料、</t>
    </r>
    <r>
      <rPr>
        <sz val="9"/>
        <color rgb="FF555555"/>
        <rFont val="Arial"/>
        <family val="0"/>
        <charset val="1"/>
      </rPr>
      <t xml:space="preserve">27/3</t>
    </r>
    <r>
      <rPr>
        <sz val="9"/>
        <color rgb="FF555555"/>
        <rFont val="Noto Sans CJK SC"/>
        <family val="2"/>
      </rPr>
      <t xml:space="preserve">期</t>
    </r>
    <r>
      <rPr>
        <sz val="9"/>
        <color rgb="FF555555"/>
        <rFont val="Arial"/>
        <family val="0"/>
        <charset val="1"/>
      </rPr>
      <t xml:space="preserve">1Q</t>
    </r>
    <r>
      <rPr>
        <sz val="9"/>
        <color rgb="FF555555"/>
        <rFont val="Noto Sans CJK SC"/>
        <family val="2"/>
      </rPr>
      <t xml:space="preserve">は決算報道（売上</t>
    </r>
    <r>
      <rPr>
        <sz val="9"/>
        <color rgb="FF555555"/>
        <rFont val="Arial"/>
        <family val="0"/>
        <charset val="1"/>
      </rPr>
      <t xml:space="preserve">754</t>
    </r>
    <r>
      <rPr>
        <sz val="9"/>
        <color rgb="FF555555"/>
        <rFont val="Noto Sans CJK SC"/>
        <family val="2"/>
      </rPr>
      <t xml:space="preserve">億円、中国地場</t>
    </r>
    <r>
      <rPr>
        <sz val="9"/>
        <color rgb="FF555555"/>
        <rFont val="Arial"/>
        <family val="0"/>
        <charset val="1"/>
      </rPr>
      <t xml:space="preserve">25</t>
    </r>
    <r>
      <rPr>
        <sz val="9"/>
        <color rgb="FF555555"/>
        <rFont val="Noto Sans CJK SC"/>
        <family val="2"/>
      </rPr>
      <t xml:space="preserve">％）。</t>
    </r>
  </si>
  <si>
    <t xml:space="preserve">中国地場比率は会社開示の四半期比率を全社売上に掛けて金額化した近似（比率の母数が装置売上である場合は過大）。</t>
  </si>
  <si>
    <r>
      <rPr>
        <b val="true"/>
        <sz val="12"/>
        <rFont val="Noto Sans CJK SC"/>
        <family val="2"/>
      </rPr>
      <t xml:space="preserve">四半期ごとの輸出額（億円）— 期末月から</t>
    </r>
    <r>
      <rPr>
        <b val="true"/>
        <sz val="12"/>
        <rFont val="Arial"/>
        <family val="0"/>
        <charset val="1"/>
      </rPr>
      <t xml:space="preserve">k</t>
    </r>
    <r>
      <rPr>
        <b val="true"/>
        <sz val="12"/>
        <rFont val="Noto Sans CJK SC"/>
        <family val="2"/>
      </rPr>
      <t xml:space="preserve">か月ずらした</t>
    </r>
    <r>
      <rPr>
        <b val="true"/>
        <sz val="12"/>
        <rFont val="Arial"/>
        <family val="0"/>
        <charset val="1"/>
      </rPr>
      <t xml:space="preserve">3</t>
    </r>
    <r>
      <rPr>
        <b val="true"/>
        <sz val="12"/>
        <rFont val="Noto Sans CJK SC"/>
        <family val="2"/>
      </rPr>
      <t xml:space="preserve">か月合計</t>
    </r>
  </si>
  <si>
    <r>
      <rPr>
        <sz val="9"/>
        <color rgb="FF555555"/>
        <rFont val="Arial"/>
        <family val="0"/>
        <charset val="1"/>
      </rPr>
      <t xml:space="preserve">k</t>
    </r>
    <r>
      <rPr>
        <sz val="9"/>
        <color rgb="FF555555"/>
        <rFont val="Noto Sans CJK SC"/>
        <family val="2"/>
      </rPr>
      <t xml:space="preserve">＝輸出（通関）が売上計上に先行する月数。</t>
    </r>
    <r>
      <rPr>
        <sz val="9"/>
        <color rgb="FF555555"/>
        <rFont val="Arial"/>
        <family val="0"/>
        <charset val="1"/>
      </rPr>
      <t xml:space="preserve">k=1</t>
    </r>
    <r>
      <rPr>
        <sz val="9"/>
        <color rgb="FF555555"/>
        <rFont val="Noto Sans CJK SC"/>
        <family val="2"/>
      </rPr>
      <t xml:space="preserve">なら、</t>
    </r>
    <r>
      <rPr>
        <sz val="9"/>
        <color rgb="FF555555"/>
        <rFont val="Arial"/>
        <family val="0"/>
        <charset val="1"/>
      </rPr>
      <t xml:space="preserve">7-9</t>
    </r>
    <r>
      <rPr>
        <sz val="9"/>
        <color rgb="FF555555"/>
        <rFont val="Noto Sans CJK SC"/>
        <family val="2"/>
      </rPr>
      <t xml:space="preserve">月期に</t>
    </r>
    <r>
      <rPr>
        <sz val="9"/>
        <color rgb="FF555555"/>
        <rFont val="Arial"/>
        <family val="0"/>
        <charset val="1"/>
      </rPr>
      <t xml:space="preserve">6-8</t>
    </r>
    <r>
      <rPr>
        <sz val="9"/>
        <color rgb="FF555555"/>
        <rFont val="Noto Sans CJK SC"/>
        <family val="2"/>
      </rPr>
      <t xml:space="preserve">月の輸出を対応させる。</t>
    </r>
  </si>
  <si>
    <t xml:space="preserve">k =</t>
  </si>
  <si>
    <r>
      <rPr>
        <sz val="9"/>
        <color rgb="FF555555"/>
        <rFont val="Noto Sans CJK SC"/>
        <family val="2"/>
      </rPr>
      <t xml:space="preserve">（</t>
    </r>
    <r>
      <rPr>
        <sz val="9"/>
        <color rgb="FF555555"/>
        <rFont val="Arial"/>
        <family val="0"/>
        <charset val="1"/>
      </rPr>
      <t xml:space="preserve">k=0</t>
    </r>
    <r>
      <rPr>
        <sz val="9"/>
        <color rgb="FF555555"/>
        <rFont val="Noto Sans CJK SC"/>
        <family val="2"/>
      </rPr>
      <t xml:space="preserve">：同じ</t>
    </r>
    <r>
      <rPr>
        <sz val="9"/>
        <color rgb="FF555555"/>
        <rFont val="Arial"/>
        <family val="0"/>
        <charset val="1"/>
      </rPr>
      <t xml:space="preserve">3</t>
    </r>
    <r>
      <rPr>
        <sz val="9"/>
        <color rgb="FF555555"/>
        <rFont val="Noto Sans CJK SC"/>
        <family val="2"/>
      </rPr>
      <t xml:space="preserve">か月）</t>
    </r>
  </si>
  <si>
    <r>
      <rPr>
        <sz val="9"/>
        <color rgb="FF555555"/>
        <rFont val="Noto Sans CJK SC"/>
        <family val="2"/>
      </rPr>
      <t xml:space="preserve">（</t>
    </r>
    <r>
      <rPr>
        <sz val="9"/>
        <color rgb="FF555555"/>
        <rFont val="Arial"/>
        <family val="0"/>
        <charset val="1"/>
      </rPr>
      <t xml:space="preserve">k=1</t>
    </r>
    <r>
      <rPr>
        <sz val="9"/>
        <color rgb="FF555555"/>
        <rFont val="Noto Sans CJK SC"/>
        <family val="2"/>
      </rPr>
      <t xml:space="preserve">：</t>
    </r>
    <r>
      <rPr>
        <sz val="9"/>
        <color rgb="FF555555"/>
        <rFont val="Arial"/>
        <family val="0"/>
        <charset val="1"/>
      </rPr>
      <t xml:space="preserve">1</t>
    </r>
    <r>
      <rPr>
        <sz val="9"/>
        <color rgb="FF555555"/>
        <rFont val="Noto Sans CJK SC"/>
        <family val="2"/>
      </rPr>
      <t xml:space="preserve">か月先行）</t>
    </r>
  </si>
  <si>
    <t xml:space="preserve">実質シェア</t>
  </si>
  <si>
    <r>
      <rPr>
        <sz val="10"/>
        <color rgb="FF000000"/>
        <rFont val="Arial"/>
        <family val="0"/>
        <charset val="1"/>
      </rPr>
      <t xml:space="preserve">27/3</t>
    </r>
    <r>
      <rPr>
        <sz val="10"/>
        <color rgb="FF000000"/>
        <rFont val="Noto Sans CJK SC"/>
        <family val="2"/>
      </rPr>
      <t xml:space="preserve">期 </t>
    </r>
    <r>
      <rPr>
        <sz val="10"/>
        <color rgb="FF000000"/>
        <rFont val="Arial"/>
        <family val="0"/>
        <charset val="1"/>
      </rPr>
      <t xml:space="preserve">2Q</t>
    </r>
  </si>
  <si>
    <r>
      <rPr>
        <sz val="9"/>
        <color rgb="FF555555"/>
        <rFont val="Noto Sans CJK SC"/>
        <family val="2"/>
      </rPr>
      <t xml:space="preserve">実質シェア＝</t>
    </r>
    <r>
      <rPr>
        <sz val="9"/>
        <color rgb="FF555555"/>
        <rFont val="Arial"/>
        <family val="0"/>
        <charset val="1"/>
      </rPr>
      <t xml:space="preserve">KOKUSAI</t>
    </r>
    <r>
      <rPr>
        <sz val="9"/>
        <color rgb="FF555555"/>
        <rFont val="Noto Sans CJK SC"/>
        <family val="2"/>
      </rPr>
      <t xml:space="preserve">売上</t>
    </r>
    <r>
      <rPr>
        <sz val="9"/>
        <color rgb="FF555555"/>
        <rFont val="Arial"/>
        <family val="0"/>
        <charset val="1"/>
      </rPr>
      <t xml:space="preserve">÷</t>
    </r>
    <r>
      <rPr>
        <sz val="9"/>
        <color rgb="FF555555"/>
        <rFont val="Noto Sans CJK SC"/>
        <family val="2"/>
      </rPr>
      <t xml:space="preserve">日本の半導体等製造装置輸出。</t>
    </r>
    <r>
      <rPr>
        <sz val="9"/>
        <color rgb="FF555555"/>
        <rFont val="Arial"/>
        <family val="0"/>
        <charset val="1"/>
      </rPr>
      <t xml:space="preserve">27/3</t>
    </r>
    <r>
      <rPr>
        <sz val="9"/>
        <color rgb="FF555555"/>
        <rFont val="Noto Sans CJK SC"/>
        <family val="2"/>
      </rPr>
      <t xml:space="preserve">期</t>
    </r>
    <r>
      <rPr>
        <sz val="9"/>
        <color rgb="FF555555"/>
        <rFont val="Arial"/>
        <family val="0"/>
        <charset val="1"/>
      </rPr>
      <t xml:space="preserve">2Q</t>
    </r>
    <r>
      <rPr>
        <sz val="9"/>
        <color rgb="FF555555"/>
        <rFont val="Noto Sans CJK SC"/>
        <family val="2"/>
      </rPr>
      <t xml:space="preserve">の</t>
    </r>
    <r>
      <rPr>
        <sz val="9"/>
        <color rgb="FF555555"/>
        <rFont val="Arial"/>
        <family val="0"/>
        <charset val="1"/>
      </rPr>
      <t xml:space="preserve">k=0</t>
    </r>
    <r>
      <rPr>
        <sz val="9"/>
        <color rgb="FF555555"/>
        <rFont val="Noto Sans CJK SC"/>
        <family val="2"/>
      </rPr>
      <t xml:space="preserve">は</t>
    </r>
    <r>
      <rPr>
        <sz val="9"/>
        <color rgb="FF555555"/>
        <rFont val="Arial"/>
        <family val="0"/>
        <charset val="1"/>
      </rPr>
      <t xml:space="preserve">9</t>
    </r>
    <r>
      <rPr>
        <sz val="9"/>
        <color rgb="FF555555"/>
        <rFont val="Noto Sans CJK SC"/>
        <family val="2"/>
      </rPr>
      <t xml:space="preserve">月分が未公表のため空欄（</t>
    </r>
    <r>
      <rPr>
        <sz val="9"/>
        <color rgb="FF555555"/>
        <rFont val="Arial"/>
        <family val="0"/>
        <charset val="1"/>
      </rPr>
      <t xml:space="preserve">2Q</t>
    </r>
    <r>
      <rPr>
        <sz val="9"/>
        <color rgb="FF555555"/>
        <rFont val="Noto Sans CJK SC"/>
        <family val="2"/>
      </rPr>
      <t xml:space="preserve">予測シートで推計）。</t>
    </r>
  </si>
  <si>
    <r>
      <rPr>
        <b val="true"/>
        <sz val="12"/>
        <rFont val="Noto Sans CJK SC"/>
        <family val="2"/>
      </rPr>
      <t xml:space="preserve">回帰：売上＝切片＋傾き</t>
    </r>
    <r>
      <rPr>
        <b val="true"/>
        <sz val="12"/>
        <rFont val="Arial"/>
        <family val="0"/>
        <charset val="1"/>
      </rPr>
      <t xml:space="preserve">×</t>
    </r>
    <r>
      <rPr>
        <b val="true"/>
        <sz val="12"/>
        <rFont val="Noto Sans CJK SC"/>
        <family val="2"/>
      </rPr>
      <t xml:space="preserve">世界輸出（</t>
    </r>
    <r>
      <rPr>
        <b val="true"/>
        <sz val="12"/>
        <rFont val="Arial"/>
        <family val="0"/>
        <charset val="1"/>
      </rPr>
      <t xml:space="preserve">k=0</t>
    </r>
    <r>
      <rPr>
        <b val="true"/>
        <sz val="12"/>
        <rFont val="Noto Sans CJK SC"/>
        <family val="2"/>
      </rPr>
      <t xml:space="preserve">、</t>
    </r>
    <r>
      <rPr>
        <b val="true"/>
        <sz val="12"/>
        <rFont val="Arial"/>
        <family val="0"/>
        <charset val="1"/>
      </rPr>
      <t xml:space="preserve">24/3</t>
    </r>
    <r>
      <rPr>
        <b val="true"/>
        <sz val="12"/>
        <rFont val="Noto Sans CJK SC"/>
        <family val="2"/>
      </rPr>
      <t xml:space="preserve">期</t>
    </r>
    <r>
      <rPr>
        <b val="true"/>
        <sz val="12"/>
        <rFont val="Arial"/>
        <family val="0"/>
        <charset val="1"/>
      </rPr>
      <t xml:space="preserve">2Q</t>
    </r>
    <r>
      <rPr>
        <b val="true"/>
        <sz val="12"/>
        <rFont val="Noto Sans CJK SC"/>
        <family val="2"/>
      </rPr>
      <t xml:space="preserve">〜</t>
    </r>
    <r>
      <rPr>
        <b val="true"/>
        <sz val="12"/>
        <rFont val="Arial"/>
        <family val="0"/>
        <charset val="1"/>
      </rPr>
      <t xml:space="preserve">27/3</t>
    </r>
    <r>
      <rPr>
        <b val="true"/>
        <sz val="12"/>
        <rFont val="Noto Sans CJK SC"/>
        <family val="2"/>
      </rPr>
      <t xml:space="preserve">期</t>
    </r>
    <r>
      <rPr>
        <b val="true"/>
        <sz val="12"/>
        <rFont val="Arial"/>
        <family val="0"/>
        <charset val="1"/>
      </rPr>
      <t xml:space="preserve">1Q</t>
    </r>
    <r>
      <rPr>
        <b val="true"/>
        <sz val="12"/>
        <rFont val="Noto Sans CJK SC"/>
        <family val="2"/>
      </rPr>
      <t xml:space="preserve">の</t>
    </r>
    <r>
      <rPr>
        <b val="true"/>
        <sz val="12"/>
        <rFont val="Arial"/>
        <family val="0"/>
        <charset val="1"/>
      </rPr>
      <t xml:space="preserve">12</t>
    </r>
    <r>
      <rPr>
        <b val="true"/>
        <sz val="12"/>
        <rFont val="Noto Sans CJK SC"/>
        <family val="2"/>
      </rPr>
      <t xml:space="preserve">四半期）</t>
    </r>
  </si>
  <si>
    <r>
      <rPr>
        <sz val="9"/>
        <color rgb="FF555555"/>
        <rFont val="Noto Sans CJK SC"/>
        <family val="2"/>
      </rPr>
      <t xml:space="preserve">予測＝切片＋傾き</t>
    </r>
    <r>
      <rPr>
        <sz val="9"/>
        <color rgb="FF555555"/>
        <rFont val="Arial"/>
        <family val="0"/>
        <charset val="1"/>
      </rPr>
      <t xml:space="preserve">×</t>
    </r>
    <r>
      <rPr>
        <sz val="9"/>
        <color rgb="FF555555"/>
        <rFont val="Noto Sans CJK SC"/>
        <family val="2"/>
      </rPr>
      <t xml:space="preserve">世界輸出。誤差＝実績−予測。比べる相手として「前期と同じ」と予測した場合の誤差も並べる。</t>
    </r>
  </si>
  <si>
    <t xml:space="preserve">① 係数</t>
  </si>
  <si>
    <r>
      <rPr>
        <sz val="10"/>
        <color rgb="FF000000"/>
        <rFont val="Noto Sans CJK SC"/>
        <family val="2"/>
      </rPr>
      <t xml:space="preserve">傾き </t>
    </r>
    <r>
      <rPr>
        <sz val="10"/>
        <color rgb="FF000000"/>
        <rFont val="Arial"/>
        <family val="0"/>
        <charset val="1"/>
      </rPr>
      <t xml:space="preserve">b</t>
    </r>
    <r>
      <rPr>
        <sz val="10"/>
        <color rgb="FF000000"/>
        <rFont val="Noto Sans CJK SC"/>
        <family val="2"/>
      </rPr>
      <t xml:space="preserve">（輸出</t>
    </r>
    <r>
      <rPr>
        <sz val="10"/>
        <color rgb="FF000000"/>
        <rFont val="Arial"/>
        <family val="0"/>
        <charset val="1"/>
      </rPr>
      <t xml:space="preserve">1</t>
    </r>
    <r>
      <rPr>
        <sz val="10"/>
        <color rgb="FF000000"/>
        <rFont val="Noto Sans CJK SC"/>
        <family val="2"/>
      </rPr>
      <t xml:space="preserve">億円あたりの売上）</t>
    </r>
  </si>
  <si>
    <r>
      <rPr>
        <sz val="10"/>
        <color rgb="FF000000"/>
        <rFont val="Noto Sans CJK SC"/>
        <family val="2"/>
      </rPr>
      <t xml:space="preserve">切片 </t>
    </r>
    <r>
      <rPr>
        <sz val="10"/>
        <color rgb="FF000000"/>
        <rFont val="Arial"/>
        <family val="0"/>
        <charset val="1"/>
      </rPr>
      <t xml:space="preserve">a</t>
    </r>
  </si>
  <si>
    <r>
      <rPr>
        <sz val="10"/>
        <color rgb="FF000000"/>
        <rFont val="Arial"/>
        <family val="0"/>
        <charset val="1"/>
      </rPr>
      <t xml:space="preserve">R²</t>
    </r>
    <r>
      <rPr>
        <sz val="10"/>
        <color rgb="FF000000"/>
        <rFont val="Noto Sans CJK SC"/>
        <family val="2"/>
      </rPr>
      <t xml:space="preserve">（当てはまり、</t>
    </r>
    <r>
      <rPr>
        <sz val="10"/>
        <color rgb="FF000000"/>
        <rFont val="Arial"/>
        <family val="0"/>
        <charset val="1"/>
      </rPr>
      <t xml:space="preserve">1</t>
    </r>
    <r>
      <rPr>
        <sz val="10"/>
        <color rgb="FF000000"/>
        <rFont val="Noto Sans CJK SC"/>
        <family val="2"/>
      </rPr>
      <t xml:space="preserve">に近いほど良い）</t>
    </r>
  </si>
  <si>
    <t xml:space="preserve">② 四半期ごとの予測と誤差（億円）</t>
  </si>
  <si>
    <t xml:space="preserve">売上（実績）</t>
  </si>
  <si>
    <t xml:space="preserve">世界輸出</t>
  </si>
  <si>
    <t xml:space="preserve">予測</t>
  </si>
  <si>
    <t xml:space="preserve">誤差</t>
  </si>
  <si>
    <t xml:space="preserve">前期の売上
（＝前期と同じ予測）</t>
  </si>
  <si>
    <t xml:space="preserve">前期と同じ予測の誤差</t>
  </si>
  <si>
    <t xml:space="preserve">（発展）抜いて当てた誤差</t>
  </si>
  <si>
    <r>
      <rPr>
        <b val="true"/>
        <sz val="10"/>
        <rFont val="Noto Sans CJK SC"/>
        <family val="2"/>
      </rPr>
      <t xml:space="preserve">③ 精度（誤差の大きさ＝</t>
    </r>
    <r>
      <rPr>
        <b val="true"/>
        <sz val="10"/>
        <rFont val="Arial"/>
        <family val="0"/>
        <charset val="1"/>
      </rPr>
      <t xml:space="preserve">RMSE</t>
    </r>
    <r>
      <rPr>
        <b val="true"/>
        <sz val="10"/>
        <rFont val="Noto Sans CJK SC"/>
        <family val="2"/>
      </rPr>
      <t xml:space="preserve">、億円）</t>
    </r>
  </si>
  <si>
    <t xml:space="preserve">モデルの誤差（推計に使ったデータで測る）</t>
  </si>
  <si>
    <t xml:space="preserve">（発展）モデルを抜いて当てた誤差</t>
  </si>
  <si>
    <t xml:space="preserve">モデルの誤差は前期と同じ予測より何％小さいか</t>
  </si>
  <si>
    <r>
      <rPr>
        <b val="true"/>
        <sz val="12"/>
        <rFont val="Arial"/>
        <family val="0"/>
        <charset val="1"/>
      </rPr>
      <t xml:space="preserve">7-9</t>
    </r>
    <r>
      <rPr>
        <b val="true"/>
        <sz val="12"/>
        <rFont val="Noto Sans CJK SC"/>
        <family val="2"/>
      </rPr>
      <t xml:space="preserve">月期（</t>
    </r>
    <r>
      <rPr>
        <b val="true"/>
        <sz val="12"/>
        <rFont val="Arial"/>
        <family val="0"/>
        <charset val="1"/>
      </rPr>
      <t xml:space="preserve">27/3</t>
    </r>
    <r>
      <rPr>
        <b val="true"/>
        <sz val="12"/>
        <rFont val="Noto Sans CJK SC"/>
        <family val="2"/>
      </rPr>
      <t xml:space="preserve">期</t>
    </r>
    <r>
      <rPr>
        <b val="true"/>
        <sz val="12"/>
        <rFont val="Arial"/>
        <family val="0"/>
        <charset val="1"/>
      </rPr>
      <t xml:space="preserve">2Q</t>
    </r>
    <r>
      <rPr>
        <b val="true"/>
        <sz val="12"/>
        <rFont val="Noto Sans CJK SC"/>
        <family val="2"/>
      </rPr>
      <t xml:space="preserve">）売上の予測（億円）</t>
    </r>
  </si>
  <si>
    <r>
      <rPr>
        <sz val="9"/>
        <color rgb="FF555555"/>
        <rFont val="Arial"/>
        <family val="0"/>
        <charset val="1"/>
      </rPr>
      <t xml:space="preserve">9</t>
    </r>
    <r>
      <rPr>
        <sz val="9"/>
        <color rgb="FF555555"/>
        <rFont val="Noto Sans CJK SC"/>
        <family val="2"/>
      </rPr>
      <t xml:space="preserve">月の輸出はまだ公表されていない（</t>
    </r>
    <r>
      <rPr>
        <sz val="9"/>
        <color rgb="FF555555"/>
        <rFont val="Arial"/>
        <family val="0"/>
        <charset val="1"/>
      </rPr>
      <t xml:space="preserve">10/21</t>
    </r>
    <r>
      <rPr>
        <sz val="9"/>
        <color rgb="FF555555"/>
        <rFont val="Noto Sans CJK SC"/>
        <family val="2"/>
      </rPr>
      <t xml:space="preserve">公表予定）ので、</t>
    </r>
    <r>
      <rPr>
        <sz val="9"/>
        <color rgb="FF555555"/>
        <rFont val="Arial"/>
        <family val="0"/>
        <charset val="1"/>
      </rPr>
      <t xml:space="preserve">7-8</t>
    </r>
    <r>
      <rPr>
        <sz val="9"/>
        <color rgb="FF555555"/>
        <rFont val="Noto Sans CJK SC"/>
        <family val="2"/>
      </rPr>
      <t xml:space="preserve">月の平均</t>
    </r>
    <r>
      <rPr>
        <sz val="9"/>
        <color rgb="FF555555"/>
        <rFont val="Arial"/>
        <family val="0"/>
        <charset val="1"/>
      </rPr>
      <t xml:space="preserve">×</t>
    </r>
    <r>
      <rPr>
        <sz val="9"/>
        <color rgb="FF555555"/>
        <rFont val="Noto Sans CJK SC"/>
        <family val="2"/>
      </rPr>
      <t xml:space="preserve">季節比で置く。公表されたら</t>
    </r>
    <r>
      <rPr>
        <sz val="9"/>
        <color rgb="FF555555"/>
        <rFont val="Arial"/>
        <family val="0"/>
        <charset val="1"/>
      </rPr>
      <t xml:space="preserve">C8</t>
    </r>
    <r>
      <rPr>
        <sz val="9"/>
        <color rgb="FF555555"/>
        <rFont val="Noto Sans CJK SC"/>
        <family val="2"/>
      </rPr>
      <t xml:space="preserve">に実績を入れる。</t>
    </r>
  </si>
  <si>
    <r>
      <rPr>
        <b val="true"/>
        <sz val="10"/>
        <rFont val="Arial"/>
        <family val="0"/>
        <charset val="1"/>
      </rPr>
      <t xml:space="preserve">① 7-9</t>
    </r>
    <r>
      <rPr>
        <b val="true"/>
        <sz val="10"/>
        <rFont val="Noto Sans CJK SC"/>
        <family val="2"/>
      </rPr>
      <t xml:space="preserve">月の世界輸出</t>
    </r>
  </si>
  <si>
    <r>
      <rPr>
        <sz val="10"/>
        <color rgb="FF000000"/>
        <rFont val="Arial"/>
        <family val="0"/>
        <charset val="1"/>
      </rPr>
      <t xml:space="preserve">7</t>
    </r>
    <r>
      <rPr>
        <sz val="10"/>
        <color rgb="FF000000"/>
        <rFont val="Noto Sans CJK SC"/>
        <family val="2"/>
      </rPr>
      <t xml:space="preserve">月の世界輸出</t>
    </r>
  </si>
  <si>
    <r>
      <rPr>
        <sz val="10"/>
        <color rgb="FF000000"/>
        <rFont val="Arial"/>
        <family val="0"/>
        <charset val="1"/>
      </rPr>
      <t xml:space="preserve">8</t>
    </r>
    <r>
      <rPr>
        <sz val="10"/>
        <color rgb="FF000000"/>
        <rFont val="Noto Sans CJK SC"/>
        <family val="2"/>
      </rPr>
      <t xml:space="preserve">月の世界輸出</t>
    </r>
  </si>
  <si>
    <r>
      <rPr>
        <sz val="10"/>
        <color rgb="FF000000"/>
        <rFont val="Arial"/>
        <family val="0"/>
        <charset val="1"/>
      </rPr>
      <t xml:space="preserve">9</t>
    </r>
    <r>
      <rPr>
        <sz val="10"/>
        <color rgb="FF000000"/>
        <rFont val="Noto Sans CJK SC"/>
        <family val="2"/>
      </rPr>
      <t xml:space="preserve">月の季節比（</t>
    </r>
    <r>
      <rPr>
        <sz val="10"/>
        <color rgb="FF000000"/>
        <rFont val="Arial"/>
        <family val="0"/>
        <charset val="1"/>
      </rPr>
      <t xml:space="preserve">9</t>
    </r>
    <r>
      <rPr>
        <sz val="10"/>
        <color rgb="FF000000"/>
        <rFont val="Noto Sans CJK SC"/>
        <family val="2"/>
      </rPr>
      <t xml:space="preserve">月</t>
    </r>
    <r>
      <rPr>
        <sz val="10"/>
        <color rgb="FF000000"/>
        <rFont val="Arial"/>
        <family val="0"/>
        <charset val="1"/>
      </rPr>
      <t xml:space="preserve">÷7-8</t>
    </r>
    <r>
      <rPr>
        <sz val="10"/>
        <color rgb="FF000000"/>
        <rFont val="Noto Sans CJK SC"/>
        <family val="2"/>
      </rPr>
      <t xml:space="preserve">月平均、過去</t>
    </r>
    <r>
      <rPr>
        <sz val="10"/>
        <color rgb="FF000000"/>
        <rFont val="Arial"/>
        <family val="0"/>
        <charset val="1"/>
      </rPr>
      <t xml:space="preserve">3</t>
    </r>
    <r>
      <rPr>
        <sz val="10"/>
        <color rgb="FF000000"/>
        <rFont val="Noto Sans CJK SC"/>
        <family val="2"/>
      </rPr>
      <t xml:space="preserve">年の平均）</t>
    </r>
  </si>
  <si>
    <r>
      <rPr>
        <sz val="10"/>
        <color rgb="FF000000"/>
        <rFont val="Arial"/>
        <family val="0"/>
        <charset val="1"/>
      </rPr>
      <t xml:space="preserve">9</t>
    </r>
    <r>
      <rPr>
        <sz val="10"/>
        <color rgb="FF000000"/>
        <rFont val="Noto Sans CJK SC"/>
        <family val="2"/>
      </rPr>
      <t xml:space="preserve">月の世界輸出（推計）＝</t>
    </r>
    <r>
      <rPr>
        <sz val="10"/>
        <color rgb="FF000000"/>
        <rFont val="Arial"/>
        <family val="0"/>
        <charset val="1"/>
      </rPr>
      <t xml:space="preserve">7-8</t>
    </r>
    <r>
      <rPr>
        <sz val="10"/>
        <color rgb="FF000000"/>
        <rFont val="Noto Sans CJK SC"/>
        <family val="2"/>
      </rPr>
      <t xml:space="preserve">月平均</t>
    </r>
    <r>
      <rPr>
        <sz val="10"/>
        <color rgb="FF000000"/>
        <rFont val="Arial"/>
        <family val="0"/>
        <charset val="1"/>
      </rPr>
      <t xml:space="preserve">×</t>
    </r>
    <r>
      <rPr>
        <sz val="10"/>
        <color rgb="FF000000"/>
        <rFont val="Noto Sans CJK SC"/>
        <family val="2"/>
      </rPr>
      <t xml:space="preserve">季節比</t>
    </r>
  </si>
  <si>
    <r>
      <rPr>
        <sz val="10"/>
        <color rgb="FF000000"/>
        <rFont val="Arial"/>
        <family val="0"/>
        <charset val="1"/>
      </rPr>
      <t xml:space="preserve">7-9</t>
    </r>
    <r>
      <rPr>
        <sz val="10"/>
        <color rgb="FF000000"/>
        <rFont val="Noto Sans CJK SC"/>
        <family val="2"/>
      </rPr>
      <t xml:space="preserve">月の世界輸出 合計</t>
    </r>
  </si>
  <si>
    <t xml:space="preserve">② 予測</t>
  </si>
  <si>
    <r>
      <rPr>
        <sz val="10"/>
        <color rgb="FF000000"/>
        <rFont val="Noto Sans CJK SC"/>
        <family val="2"/>
      </rPr>
      <t xml:space="preserve">予測売上＝切片＋傾き</t>
    </r>
    <r>
      <rPr>
        <sz val="10"/>
        <color rgb="FF000000"/>
        <rFont val="Arial"/>
        <family val="0"/>
        <charset val="1"/>
      </rPr>
      <t xml:space="preserve">×7-9</t>
    </r>
    <r>
      <rPr>
        <sz val="10"/>
        <color rgb="FF000000"/>
        <rFont val="Noto Sans CJK SC"/>
        <family val="2"/>
      </rPr>
      <t xml:space="preserve">月合計</t>
    </r>
  </si>
  <si>
    <t xml:space="preserve">誤差の目安（抜いて当てた誤差）</t>
  </si>
  <si>
    <t xml:space="preserve">予測の幅：下限</t>
  </si>
  <si>
    <t xml:space="preserve">予測の幅：上限</t>
  </si>
  <si>
    <t xml:space="preserve">③ 会社計画との比較</t>
  </si>
  <si>
    <r>
      <rPr>
        <sz val="10"/>
        <color rgb="FF000000"/>
        <rFont val="Noto Sans CJK SC"/>
        <family val="2"/>
      </rPr>
      <t xml:space="preserve">上期（</t>
    </r>
    <r>
      <rPr>
        <sz val="10"/>
        <color rgb="FF000000"/>
        <rFont val="Arial"/>
        <family val="0"/>
        <charset val="1"/>
      </rPr>
      <t xml:space="preserve">4-9</t>
    </r>
    <r>
      <rPr>
        <sz val="10"/>
        <color rgb="FF000000"/>
        <rFont val="Noto Sans CJK SC"/>
        <family val="2"/>
      </rPr>
      <t xml:space="preserve">月）売上計画（修正後）</t>
    </r>
  </si>
  <si>
    <r>
      <rPr>
        <sz val="10"/>
        <color rgb="FF000000"/>
        <rFont val="Arial"/>
        <family val="0"/>
        <charset val="1"/>
      </rPr>
      <t xml:space="preserve">1Q</t>
    </r>
    <r>
      <rPr>
        <sz val="10"/>
        <color rgb="FF000000"/>
        <rFont val="Noto Sans CJK SC"/>
        <family val="2"/>
      </rPr>
      <t xml:space="preserve">実績</t>
    </r>
  </si>
  <si>
    <r>
      <rPr>
        <sz val="10"/>
        <color rgb="FF000000"/>
        <rFont val="Noto Sans CJK SC"/>
        <family val="2"/>
      </rPr>
      <t xml:space="preserve">計画が示す</t>
    </r>
    <r>
      <rPr>
        <sz val="10"/>
        <color rgb="FF000000"/>
        <rFont val="Arial"/>
        <family val="0"/>
        <charset val="1"/>
      </rPr>
      <t xml:space="preserve">2Q</t>
    </r>
    <r>
      <rPr>
        <sz val="10"/>
        <color rgb="FF000000"/>
        <rFont val="Noto Sans CJK SC"/>
        <family val="2"/>
      </rPr>
      <t xml:space="preserve">売上＝上期計画−</t>
    </r>
    <r>
      <rPr>
        <sz val="10"/>
        <color rgb="FF000000"/>
        <rFont val="Arial"/>
        <family val="0"/>
        <charset val="1"/>
      </rPr>
      <t xml:space="preserve">1Q</t>
    </r>
    <r>
      <rPr>
        <sz val="10"/>
        <color rgb="FF000000"/>
        <rFont val="Noto Sans CJK SC"/>
        <family val="2"/>
      </rPr>
      <t xml:space="preserve">実績</t>
    </r>
  </si>
  <si>
    <t xml:space="preserve">予測−計画</t>
  </si>
  <si>
    <t xml:space="preserve">④ 計画を達成するのに必要な輸出</t>
  </si>
  <si>
    <r>
      <rPr>
        <sz val="10"/>
        <color rgb="FF000000"/>
        <rFont val="Noto Sans CJK SC"/>
        <family val="2"/>
      </rPr>
      <t xml:space="preserve">必要な</t>
    </r>
    <r>
      <rPr>
        <sz val="10"/>
        <color rgb="FF000000"/>
        <rFont val="Arial"/>
        <family val="0"/>
        <charset val="1"/>
      </rPr>
      <t xml:space="preserve">7-9</t>
    </r>
    <r>
      <rPr>
        <sz val="10"/>
        <color rgb="FF000000"/>
        <rFont val="Noto Sans CJK SC"/>
        <family val="2"/>
      </rPr>
      <t xml:space="preserve">月の世界輸出＝</t>
    </r>
    <r>
      <rPr>
        <sz val="10"/>
        <color rgb="FF000000"/>
        <rFont val="Arial"/>
        <family val="0"/>
        <charset val="1"/>
      </rPr>
      <t xml:space="preserve">(2Q</t>
    </r>
    <r>
      <rPr>
        <sz val="10"/>
        <color rgb="FF000000"/>
        <rFont val="Noto Sans CJK SC"/>
        <family val="2"/>
      </rPr>
      <t xml:space="preserve">計画−切片</t>
    </r>
    <r>
      <rPr>
        <sz val="10"/>
        <color rgb="FF000000"/>
        <rFont val="Arial"/>
        <family val="0"/>
        <charset val="1"/>
      </rPr>
      <t xml:space="preserve">)÷</t>
    </r>
    <r>
      <rPr>
        <sz val="10"/>
        <color rgb="FF000000"/>
        <rFont val="Noto Sans CJK SC"/>
        <family val="2"/>
      </rPr>
      <t xml:space="preserve">傾き</t>
    </r>
  </si>
  <si>
    <r>
      <rPr>
        <sz val="10"/>
        <color rgb="FF000000"/>
        <rFont val="Noto Sans CJK SC"/>
        <family val="2"/>
      </rPr>
      <t xml:space="preserve">そのうち</t>
    </r>
    <r>
      <rPr>
        <sz val="10"/>
        <color rgb="FF000000"/>
        <rFont val="Arial"/>
        <family val="0"/>
        <charset val="1"/>
      </rPr>
      <t xml:space="preserve">9</t>
    </r>
    <r>
      <rPr>
        <sz val="10"/>
        <color rgb="FF000000"/>
        <rFont val="Noto Sans CJK SC"/>
        <family val="2"/>
      </rPr>
      <t xml:space="preserve">月に必要な輸出＝必要額−</t>
    </r>
    <r>
      <rPr>
        <sz val="10"/>
        <color rgb="FF000000"/>
        <rFont val="Arial"/>
        <family val="0"/>
        <charset val="1"/>
      </rPr>
      <t xml:space="preserve">7</t>
    </r>
    <r>
      <rPr>
        <sz val="10"/>
        <color rgb="FF000000"/>
        <rFont val="Noto Sans CJK SC"/>
        <family val="2"/>
      </rPr>
      <t xml:space="preserve">月−</t>
    </r>
    <r>
      <rPr>
        <sz val="10"/>
        <color rgb="FF000000"/>
        <rFont val="Arial"/>
        <family val="0"/>
        <charset val="1"/>
      </rPr>
      <t xml:space="preserve">8</t>
    </r>
    <r>
      <rPr>
        <sz val="10"/>
        <color rgb="FF000000"/>
        <rFont val="Noto Sans CJK SC"/>
        <family val="2"/>
      </rPr>
      <t xml:space="preserve">月</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</si>
  <si>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9</t>
    </r>
    <r>
      <rPr>
        <sz val="10"/>
        <color rgb="FF000000"/>
        <rFont val="Noto Sans CJK SC"/>
        <family val="2"/>
      </rPr>
      <t xml:space="preserve">月の世界輸出</t>
    </r>
  </si>
  <si>
    <r>
      <rPr>
        <sz val="10"/>
        <color rgb="FF000000"/>
        <rFont val="Noto Sans CJK SC"/>
        <family val="2"/>
      </rPr>
      <t xml:space="preserve">必要な</t>
    </r>
    <r>
      <rPr>
        <sz val="10"/>
        <color rgb="FF000000"/>
        <rFont val="Arial"/>
        <family val="0"/>
        <charset val="1"/>
      </rPr>
      <t xml:space="preserve">9</t>
    </r>
    <r>
      <rPr>
        <sz val="10"/>
        <color rgb="FF000000"/>
        <rFont val="Noto Sans CJK SC"/>
        <family val="2"/>
      </rPr>
      <t xml:space="preserve">月の前年同月比</t>
    </r>
  </si>
  <si>
    <r>
      <rPr>
        <sz val="10"/>
        <color rgb="FF000000"/>
        <rFont val="Noto Sans CJK SC"/>
        <family val="2"/>
      </rPr>
      <t xml:space="preserve">参考：</t>
    </r>
    <r>
      <rPr>
        <sz val="10"/>
        <color rgb="FF000000"/>
        <rFont val="Arial"/>
        <family val="0"/>
        <charset val="1"/>
      </rPr>
      <t xml:space="preserve">7</t>
    </r>
    <r>
      <rPr>
        <sz val="10"/>
        <color rgb="FF000000"/>
        <rFont val="Noto Sans CJK SC"/>
        <family val="2"/>
      </rPr>
      <t xml:space="preserve">月・</t>
    </r>
    <r>
      <rPr>
        <sz val="10"/>
        <color rgb="FF000000"/>
        <rFont val="Arial"/>
        <family val="0"/>
        <charset val="1"/>
      </rPr>
      <t xml:space="preserve">8</t>
    </r>
    <r>
      <rPr>
        <sz val="10"/>
        <color rgb="FF000000"/>
        <rFont val="Noto Sans CJK SC"/>
        <family val="2"/>
      </rPr>
      <t xml:space="preserve">月の前年同月比</t>
    </r>
  </si>
  <si>
    <t xml:space="preserve">参考：中国地場とグローバルに分けて回帰する（分解モデル）</t>
  </si>
  <si>
    <r>
      <rPr>
        <sz val="9"/>
        <color rgb="FF555555"/>
        <rFont val="Noto Sans CJK SC"/>
        <family val="2"/>
      </rPr>
      <t xml:space="preserve">中国地場売上は対中輸出で、グローバル売上は中国以外向け輸出で説明し、</t>
    </r>
    <r>
      <rPr>
        <sz val="9"/>
        <color rgb="FF555555"/>
        <rFont val="Arial"/>
        <family val="0"/>
        <charset val="1"/>
      </rPr>
      <t xml:space="preserve">2</t>
    </r>
    <r>
      <rPr>
        <sz val="9"/>
        <color rgb="FF555555"/>
        <rFont val="Noto Sans CJK SC"/>
        <family val="2"/>
      </rPr>
      <t xml:space="preserve">つの予測を足して全社の予測にする。</t>
    </r>
  </si>
  <si>
    <t xml:space="preserve">式</t>
  </si>
  <si>
    <t xml:space="preserve">傾き</t>
  </si>
  <si>
    <t xml:space="preserve">切片</t>
  </si>
  <si>
    <t xml:space="preserve">R²</t>
  </si>
  <si>
    <r>
      <rPr>
        <sz val="10"/>
        <color rgb="FF000000"/>
        <rFont val="Noto Sans CJK SC"/>
        <family val="2"/>
      </rPr>
      <t xml:space="preserve">中国地場売上＝切片＋傾き</t>
    </r>
    <r>
      <rPr>
        <sz val="10"/>
        <color rgb="FF000000"/>
        <rFont val="Arial"/>
        <family val="0"/>
        <charset val="1"/>
      </rPr>
      <t xml:space="preserve">×</t>
    </r>
    <r>
      <rPr>
        <sz val="10"/>
        <color rgb="FF000000"/>
        <rFont val="Noto Sans CJK SC"/>
        <family val="2"/>
      </rPr>
      <t xml:space="preserve">対中輸出</t>
    </r>
  </si>
  <si>
    <r>
      <rPr>
        <sz val="10"/>
        <color rgb="FF000000"/>
        <rFont val="Noto Sans CJK SC"/>
        <family val="2"/>
      </rPr>
      <t xml:space="preserve">グローバル売上＝切片＋傾き</t>
    </r>
    <r>
      <rPr>
        <sz val="10"/>
        <color rgb="FF000000"/>
        <rFont val="Arial"/>
        <family val="0"/>
        <charset val="1"/>
      </rPr>
      <t xml:space="preserve">×</t>
    </r>
    <r>
      <rPr>
        <sz val="10"/>
        <color rgb="FF000000"/>
        <rFont val="Noto Sans CJK SC"/>
        <family val="2"/>
      </rPr>
      <t xml:space="preserve">中国以外向け輸出</t>
    </r>
  </si>
  <si>
    <t xml:space="preserve">対中輸出</t>
  </si>
  <si>
    <t xml:space="preserve">中国以外輸出</t>
  </si>
  <si>
    <t xml:space="preserve">全社売上</t>
  </si>
  <si>
    <t xml:space="preserve">全社の予測（和）</t>
  </si>
  <si>
    <t xml:space="preserve">全社の誤差</t>
  </si>
  <si>
    <r>
      <rPr>
        <sz val="10"/>
        <color rgb="FF000000"/>
        <rFont val="Noto Sans CJK SC"/>
        <family val="2"/>
      </rPr>
      <t xml:space="preserve">全社の誤差（</t>
    </r>
    <r>
      <rPr>
        <sz val="10"/>
        <color rgb="FF000000"/>
        <rFont val="Arial"/>
        <family val="0"/>
        <charset val="1"/>
      </rPr>
      <t xml:space="preserve">RMSE</t>
    </r>
    <r>
      <rPr>
        <sz val="10"/>
        <color rgb="FF000000"/>
        <rFont val="Noto Sans CJK SC"/>
        <family val="2"/>
      </rPr>
      <t xml:space="preserve">、推計に使ったデータで）</t>
    </r>
  </si>
  <si>
    <r>
      <rPr>
        <sz val="10"/>
        <color rgb="FF000000"/>
        <rFont val="Noto Sans CJK SC"/>
        <family val="2"/>
      </rPr>
      <t xml:space="preserve">比較：単純なモデル（回帰シート</t>
    </r>
    <r>
      <rPr>
        <sz val="10"/>
        <color rgb="FF000000"/>
        <rFont val="Arial"/>
        <family val="0"/>
        <charset val="1"/>
      </rPr>
      <t xml:space="preserve">C25</t>
    </r>
    <r>
      <rPr>
        <sz val="10"/>
        <color rgb="FF000000"/>
        <rFont val="Noto Sans CJK SC"/>
        <family val="2"/>
      </rPr>
      <t xml:space="preserve">）</t>
    </r>
  </si>
  <si>
    <r>
      <rPr>
        <b val="true"/>
        <sz val="10"/>
        <rFont val="Arial"/>
        <family val="0"/>
        <charset val="1"/>
      </rPr>
      <t xml:space="preserve">7-9</t>
    </r>
    <r>
      <rPr>
        <b val="true"/>
        <sz val="10"/>
        <rFont val="Noto Sans CJK SC"/>
        <family val="2"/>
      </rPr>
      <t xml:space="preserve">月の予測（参考）</t>
    </r>
  </si>
  <si>
    <r>
      <rPr>
        <b val="true"/>
        <sz val="10"/>
        <rFont val="Arial"/>
        <family val="0"/>
        <charset val="1"/>
      </rPr>
      <t xml:space="preserve">7</t>
    </r>
    <r>
      <rPr>
        <b val="true"/>
        <sz val="10"/>
        <rFont val="Noto Sans CJK SC"/>
        <family val="2"/>
      </rPr>
      <t xml:space="preserve">月</t>
    </r>
  </si>
  <si>
    <r>
      <rPr>
        <b val="true"/>
        <sz val="10"/>
        <rFont val="Arial"/>
        <family val="0"/>
        <charset val="1"/>
      </rPr>
      <t xml:space="preserve">8</t>
    </r>
    <r>
      <rPr>
        <b val="true"/>
        <sz val="10"/>
        <rFont val="Noto Sans CJK SC"/>
        <family val="2"/>
      </rPr>
      <t xml:space="preserve">月</t>
    </r>
  </si>
  <si>
    <r>
      <rPr>
        <b val="true"/>
        <sz val="10"/>
        <rFont val="Arial"/>
        <family val="0"/>
        <charset val="1"/>
      </rPr>
      <t xml:space="preserve">9</t>
    </r>
    <r>
      <rPr>
        <b val="true"/>
        <sz val="10"/>
        <rFont val="Noto Sans CJK SC"/>
        <family val="2"/>
      </rPr>
      <t xml:space="preserve">月（推計）</t>
    </r>
  </si>
  <si>
    <r>
      <rPr>
        <b val="true"/>
        <sz val="10"/>
        <rFont val="Arial"/>
        <family val="0"/>
        <charset val="1"/>
      </rPr>
      <t xml:space="preserve">7-9</t>
    </r>
    <r>
      <rPr>
        <b val="true"/>
        <sz val="10"/>
        <rFont val="Noto Sans CJK SC"/>
        <family val="2"/>
      </rPr>
      <t xml:space="preserve">月合計</t>
    </r>
  </si>
  <si>
    <t xml:space="preserve">中国（中国地場の予測）</t>
  </si>
  <si>
    <t xml:space="preserve">中国以外（グローバルの予測）</t>
  </si>
  <si>
    <t xml:space="preserve">出所・注記</t>
  </si>
  <si>
    <t xml:space="preserve">【出所】</t>
  </si>
  <si>
    <r>
      <rPr>
        <sz val="10"/>
        <color rgb="FF000000"/>
        <rFont val="Noto Sans CJK SC"/>
        <family val="2"/>
      </rPr>
      <t xml:space="preserve">財務省 貿易統計 月次速報</t>
    </r>
    <r>
      <rPr>
        <sz val="10"/>
        <color rgb="FF000000"/>
        <rFont val="Arial"/>
        <family val="0"/>
        <charset val="1"/>
      </rPr>
      <t xml:space="preserve">PDF</t>
    </r>
    <r>
      <rPr>
        <sz val="10"/>
        <color rgb="FF000000"/>
        <rFont val="Noto Sans CJK SC"/>
        <family val="2"/>
      </rPr>
      <t xml:space="preserve">（各月）</t>
    </r>
    <r>
      <rPr>
        <sz val="10"/>
        <color rgb="FF000000"/>
        <rFont val="Arial"/>
        <family val="0"/>
        <charset val="1"/>
      </rPr>
      <t xml:space="preserve">: https://www.customs.go.jp/toukei/shinbun/trade-st/ </t>
    </r>
    <r>
      <rPr>
        <sz val="10"/>
        <color rgb="FF000000"/>
        <rFont val="Noto Sans CJK SC"/>
        <family val="2"/>
      </rPr>
      <t xml:space="preserve">（</t>
    </r>
    <r>
      <rPr>
        <sz val="10"/>
        <color rgb="FF000000"/>
        <rFont val="Arial"/>
        <family val="0"/>
        <charset val="1"/>
      </rPr>
      <t xml:space="preserve">URL</t>
    </r>
    <r>
      <rPr>
        <sz val="10"/>
        <color rgb="FF000000"/>
        <rFont val="Noto Sans CJK SC"/>
        <family val="2"/>
      </rPr>
      <t xml:space="preserve">は速報</t>
    </r>
    <r>
      <rPr>
        <sz val="10"/>
        <color rgb="FF000000"/>
        <rFont val="Arial"/>
        <family val="0"/>
        <charset val="1"/>
      </rPr>
      <t xml:space="preserve">_</t>
    </r>
    <r>
      <rPr>
        <sz val="10"/>
        <color rgb="FF000000"/>
        <rFont val="Noto Sans CJK SC"/>
        <family val="2"/>
      </rPr>
      <t xml:space="preserve">原データの</t>
    </r>
    <r>
      <rPr>
        <sz val="10"/>
        <color rgb="FF000000"/>
        <rFont val="Arial"/>
        <family val="0"/>
        <charset val="1"/>
      </rPr>
      <t xml:space="preserve">G</t>
    </r>
    <r>
      <rPr>
        <sz val="10"/>
        <color rgb="FF000000"/>
        <rFont val="Noto Sans CJK SC"/>
        <family val="2"/>
      </rPr>
      <t xml:space="preserve">列）</t>
    </r>
  </si>
  <si>
    <r>
      <rPr>
        <sz val="10"/>
        <color rgb="FF000000"/>
        <rFont val="Noto Sans CJK SC"/>
        <family val="2"/>
      </rPr>
      <t xml:space="preserve">財務省 貿易統計 </t>
    </r>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5</t>
    </r>
    <r>
      <rPr>
        <sz val="10"/>
        <color rgb="FF000000"/>
        <rFont val="Noto Sans CJK SC"/>
        <family val="2"/>
      </rPr>
      <t xml:space="preserve">月分 概要</t>
    </r>
    <r>
      <rPr>
        <sz val="10"/>
        <color rgb="FF000000"/>
        <rFont val="Arial"/>
        <family val="0"/>
        <charset val="1"/>
      </rPr>
      <t xml:space="preserve">: https://www.customs.go.jp/toukei/shinbun/trade-st/gaiyo2024_05.pdf</t>
    </r>
  </si>
  <si>
    <r>
      <rPr>
        <sz val="10"/>
        <color rgb="FF000000"/>
        <rFont val="Arial"/>
        <family val="0"/>
        <charset val="1"/>
      </rPr>
      <t xml:space="preserve">KOKUSAI ELECTRIC 25/3</t>
    </r>
    <r>
      <rPr>
        <sz val="10"/>
        <color rgb="FF000000"/>
        <rFont val="Noto Sans CJK SC"/>
        <family val="2"/>
      </rPr>
      <t xml:space="preserve">期 決算説明資料</t>
    </r>
    <r>
      <rPr>
        <sz val="10"/>
        <color rgb="FF000000"/>
        <rFont val="Arial"/>
        <family val="0"/>
        <charset val="1"/>
      </rPr>
      <t xml:space="preserve">: https://finance-frontend-pc-dist.west.edge.storage-yahoo.jp/disclosure/20250513/20250513544797.pdf</t>
    </r>
  </si>
  <si>
    <r>
      <rPr>
        <sz val="10"/>
        <color rgb="FF000000"/>
        <rFont val="Arial"/>
        <family val="0"/>
        <charset val="1"/>
      </rPr>
      <t xml:space="preserve">KOKUSAI ELECTRIC 26/3</t>
    </r>
    <r>
      <rPr>
        <sz val="10"/>
        <color rgb="FF000000"/>
        <rFont val="Noto Sans CJK SC"/>
        <family val="2"/>
      </rPr>
      <t xml:space="preserve">期 決算説明資料</t>
    </r>
    <r>
      <rPr>
        <sz val="10"/>
        <color rgb="FF000000"/>
        <rFont val="Arial"/>
        <family val="0"/>
        <charset val="1"/>
      </rPr>
      <t xml:space="preserve">: https://finance.stockweather.co.jp/contents/dispPDF.aspx?disclosure=20260513527733</t>
    </r>
  </si>
  <si>
    <r>
      <rPr>
        <sz val="10"/>
        <color rgb="FF000000"/>
        <rFont val="Arial"/>
        <family val="0"/>
        <charset val="1"/>
      </rPr>
      <t xml:space="preserve">27/3</t>
    </r>
    <r>
      <rPr>
        <sz val="10"/>
        <color rgb="FF000000"/>
        <rFont val="Noto Sans CJK SC"/>
        <family val="2"/>
      </rPr>
      <t xml:space="preserve">期</t>
    </r>
    <r>
      <rPr>
        <sz val="10"/>
        <color rgb="FF000000"/>
        <rFont val="Arial"/>
        <family val="0"/>
        <charset val="1"/>
      </rPr>
      <t xml:space="preserve">1Q</t>
    </r>
    <r>
      <rPr>
        <sz val="10"/>
        <color rgb="FF000000"/>
        <rFont val="Noto Sans CJK SC"/>
        <family val="2"/>
      </rPr>
      <t xml:space="preserve">実績（売上</t>
    </r>
    <r>
      <rPr>
        <sz val="10"/>
        <color rgb="FF000000"/>
        <rFont val="Arial"/>
        <family val="0"/>
        <charset val="1"/>
      </rPr>
      <t xml:space="preserve">754</t>
    </r>
    <r>
      <rPr>
        <sz val="10"/>
        <color rgb="FF000000"/>
        <rFont val="Noto Sans CJK SC"/>
        <family val="2"/>
      </rPr>
      <t xml:space="preserve">億円、中国地場</t>
    </r>
    <r>
      <rPr>
        <sz val="10"/>
        <color rgb="FF000000"/>
        <rFont val="Arial"/>
        <family val="0"/>
        <charset val="1"/>
      </rPr>
      <t xml:space="preserve">25</t>
    </r>
    <r>
      <rPr>
        <sz val="10"/>
        <color rgb="FF000000"/>
        <rFont val="Noto Sans CJK SC"/>
        <family val="2"/>
      </rPr>
      <t xml:space="preserve">％）</t>
    </r>
    <r>
      <rPr>
        <sz val="10"/>
        <color rgb="FF000000"/>
        <rFont val="Arial"/>
        <family val="0"/>
        <charset val="1"/>
      </rPr>
      <t xml:space="preserve">: https://global-net.co.jp/archives/13621</t>
    </r>
  </si>
  <si>
    <r>
      <rPr>
        <sz val="10"/>
        <color rgb="FF000000"/>
        <rFont val="Arial"/>
        <family val="0"/>
        <charset val="1"/>
      </rPr>
      <t xml:space="preserve">27/3</t>
    </r>
    <r>
      <rPr>
        <sz val="10"/>
        <color rgb="FF000000"/>
        <rFont val="Noto Sans CJK SC"/>
        <family val="2"/>
      </rPr>
      <t xml:space="preserve">期上期計画</t>
    </r>
    <r>
      <rPr>
        <sz val="10"/>
        <color rgb="FF000000"/>
        <rFont val="Arial"/>
        <family val="0"/>
        <charset val="1"/>
      </rPr>
      <t xml:space="preserve">1,610</t>
    </r>
    <r>
      <rPr>
        <sz val="10"/>
        <color rgb="FF000000"/>
        <rFont val="Noto Sans CJK SC"/>
        <family val="2"/>
      </rPr>
      <t xml:space="preserve">億円</t>
    </r>
    <r>
      <rPr>
        <sz val="10"/>
        <color rgb="FF000000"/>
        <rFont val="Arial"/>
        <family val="0"/>
        <charset val="1"/>
      </rPr>
      <t xml:space="preserve">: https://finance.yahoo.co.jp/quote/6525.T/financials</t>
    </r>
  </si>
  <si>
    <t xml:space="preserve">【注記】</t>
  </si>
  <si>
    <r>
      <rPr>
        <sz val="10"/>
        <color rgb="FF000000"/>
        <rFont val="Arial"/>
        <family val="0"/>
        <charset val="1"/>
      </rPr>
      <t xml:space="preserve">1. </t>
    </r>
    <r>
      <rPr>
        <sz val="10"/>
        <color rgb="FF000000"/>
        <rFont val="Noto Sans CJK SC"/>
        <family val="2"/>
      </rPr>
      <t xml:space="preserve">輸出は</t>
    </r>
    <r>
      <rPr>
        <sz val="10"/>
        <color rgb="FF000000"/>
        <rFont val="Arial"/>
        <family val="0"/>
        <charset val="1"/>
      </rPr>
      <t xml:space="preserve">HS8486</t>
    </r>
    <r>
      <rPr>
        <sz val="10"/>
        <color rgb="FF000000"/>
        <rFont val="Noto Sans CJK SC"/>
        <family val="2"/>
      </rPr>
      <t xml:space="preserve">全体（</t>
    </r>
    <r>
      <rPr>
        <sz val="10"/>
        <color rgb="FF000000"/>
        <rFont val="Arial"/>
        <family val="0"/>
        <charset val="1"/>
      </rPr>
      <t xml:space="preserve">FPD</t>
    </r>
    <r>
      <rPr>
        <sz val="10"/>
        <color rgb="FF000000"/>
        <rFont val="Noto Sans CJK SC"/>
        <family val="2"/>
      </rPr>
      <t xml:space="preserve">製造装置・部分品を含む）。</t>
    </r>
    <r>
      <rPr>
        <sz val="10"/>
        <color rgb="FF000000"/>
        <rFont val="Arial"/>
        <family val="0"/>
        <charset val="1"/>
      </rPr>
      <t xml:space="preserve">KOKUSAI</t>
    </r>
    <r>
      <rPr>
        <sz val="10"/>
        <color rgb="FF000000"/>
        <rFont val="Noto Sans CJK SC"/>
        <family val="2"/>
      </rPr>
      <t xml:space="preserve">はその約</t>
    </r>
    <r>
      <rPr>
        <sz val="10"/>
        <color rgb="FF000000"/>
        <rFont val="Arial"/>
        <family val="0"/>
        <charset val="1"/>
      </rPr>
      <t xml:space="preserve">4</t>
    </r>
    <r>
      <rPr>
        <sz val="10"/>
        <color rgb="FF000000"/>
        <rFont val="Noto Sans CJK SC"/>
        <family val="2"/>
      </rPr>
      <t xml:space="preserve">〜</t>
    </r>
    <r>
      <rPr>
        <sz val="10"/>
        <color rgb="FF000000"/>
        <rFont val="Arial"/>
        <family val="0"/>
        <charset val="1"/>
      </rPr>
      <t xml:space="preserve">6</t>
    </r>
    <r>
      <rPr>
        <sz val="10"/>
        <color rgb="FF000000"/>
        <rFont val="Noto Sans CJK SC"/>
        <family val="2"/>
      </rPr>
      <t xml:space="preserve">％にあたる。</t>
    </r>
  </si>
  <si>
    <r>
      <rPr>
        <sz val="10"/>
        <color rgb="FF000000"/>
        <rFont val="Arial"/>
        <family val="0"/>
        <charset val="1"/>
      </rPr>
      <t xml:space="preserve">2. </t>
    </r>
    <r>
      <rPr>
        <sz val="10"/>
        <color rgb="FF000000"/>
        <rFont val="Noto Sans CJK SC"/>
        <family val="2"/>
      </rPr>
      <t xml:space="preserve">速報値を使用。翌年の前年比から逆算した値と当月速報の差は最大</t>
    </r>
    <r>
      <rPr>
        <sz val="10"/>
        <color rgb="FF000000"/>
        <rFont val="Arial"/>
        <family val="0"/>
        <charset val="1"/>
      </rPr>
      <t xml:space="preserve">0.7</t>
    </r>
    <r>
      <rPr>
        <sz val="10"/>
        <color rgb="FF000000"/>
        <rFont val="Noto Sans CJK SC"/>
        <family val="2"/>
      </rPr>
      <t xml:space="preserve">％。</t>
    </r>
  </si>
  <si>
    <r>
      <rPr>
        <sz val="10"/>
        <color rgb="FF000000"/>
        <rFont val="Arial"/>
        <family val="0"/>
        <charset val="1"/>
      </rPr>
      <t xml:space="preserve">3. </t>
    </r>
    <r>
      <rPr>
        <sz val="10"/>
        <color rgb="FF000000"/>
        <rFont val="Noto Sans CJK SC"/>
        <family val="2"/>
      </rPr>
      <t xml:space="preserve">サンプルは</t>
    </r>
    <r>
      <rPr>
        <sz val="10"/>
        <color rgb="FF000000"/>
        <rFont val="Arial"/>
        <family val="0"/>
        <charset val="1"/>
      </rPr>
      <t xml:space="preserve">12</t>
    </r>
    <r>
      <rPr>
        <sz val="10"/>
        <color rgb="FF000000"/>
        <rFont val="Noto Sans CJK SC"/>
        <family val="2"/>
      </rPr>
      <t xml:space="preserve">四半期しかなく、係数は不安定である。</t>
    </r>
  </si>
  <si>
    <r>
      <rPr>
        <sz val="10"/>
        <color rgb="FF000000"/>
        <rFont val="Arial"/>
        <family val="0"/>
        <charset val="1"/>
      </rPr>
      <t xml:space="preserve">4. </t>
    </r>
    <r>
      <rPr>
        <sz val="10"/>
        <color rgb="FF000000"/>
        <rFont val="Noto Sans CJK SC"/>
        <family val="2"/>
      </rPr>
      <t xml:space="preserve">中国地場売上＝全社売上</t>
    </r>
    <r>
      <rPr>
        <sz val="10"/>
        <color rgb="FF000000"/>
        <rFont val="Arial"/>
        <family val="0"/>
        <charset val="1"/>
      </rPr>
      <t xml:space="preserve">×</t>
    </r>
    <r>
      <rPr>
        <sz val="10"/>
        <color rgb="FF000000"/>
        <rFont val="Noto Sans CJK SC"/>
        <family val="2"/>
      </rPr>
      <t xml:space="preserve">中国地場比率の近似。比率の母数が装置売上なら分解は歪む。</t>
    </r>
  </si>
  <si>
    <r>
      <rPr>
        <sz val="10"/>
        <color rgb="FF000000"/>
        <rFont val="Arial"/>
        <family val="0"/>
        <charset val="1"/>
      </rPr>
      <t xml:space="preserve">5. </t>
    </r>
    <r>
      <rPr>
        <sz val="10"/>
        <color rgb="FF000000"/>
        <rFont val="Noto Sans CJK SC"/>
        <family val="2"/>
      </rPr>
      <t xml:space="preserve">国内向け販売と海外生産分は輸出統計に現れない。</t>
    </r>
  </si>
</sst>
</file>

<file path=xl/styles.xml><?xml version="1.0" encoding="utf-8"?>
<styleSheet xmlns="http://schemas.openxmlformats.org/spreadsheetml/2006/main">
  <numFmts count="11">
    <numFmt numFmtId="164" formatCode="General"/>
    <numFmt numFmtId="165" formatCode="yyyy\-mm"/>
    <numFmt numFmtId="166" formatCode="#,##0"/>
    <numFmt numFmtId="167" formatCode="0.0"/>
    <numFmt numFmtId="168" formatCode="0%"/>
    <numFmt numFmtId="169" formatCode="0"/>
    <numFmt numFmtId="170" formatCode="0.0%"/>
    <numFmt numFmtId="171" formatCode="0.0000"/>
    <numFmt numFmtId="172" formatCode="#,##0.0"/>
    <numFmt numFmtId="173" formatCode="0.00"/>
    <numFmt numFmtId="174" formatCode="#,##0;\(#,##0\);\-"/>
  </numFmts>
  <fonts count="21">
    <font>
      <sz val="11"/>
      <color theme="1"/>
      <name val="Calibri"/>
      <family val="2"/>
      <charset val="1"/>
    </font>
    <font>
      <sz val="10"/>
      <name val="Arial"/>
      <family val="0"/>
    </font>
    <font>
      <sz val="10"/>
      <name val="Arial"/>
      <family val="0"/>
    </font>
    <font>
      <sz val="10"/>
      <name val="Arial"/>
      <family val="0"/>
    </font>
    <font>
      <b val="true"/>
      <sz val="12"/>
      <name val="Noto Sans CJK SC"/>
      <family val="2"/>
    </font>
    <font>
      <b val="true"/>
      <sz val="12"/>
      <name val="Arial"/>
      <family val="0"/>
      <charset val="1"/>
    </font>
    <font>
      <sz val="9"/>
      <color rgb="FF555555"/>
      <name val="Noto Sans CJK SC"/>
      <family val="2"/>
    </font>
    <font>
      <sz val="9"/>
      <color rgb="FF555555"/>
      <name val="Arial"/>
      <family val="0"/>
      <charset val="1"/>
    </font>
    <font>
      <b val="true"/>
      <sz val="10"/>
      <name val="Arial"/>
      <family val="0"/>
      <charset val="1"/>
    </font>
    <font>
      <b val="true"/>
      <sz val="10"/>
      <name val="Noto Sans CJK SC"/>
      <family val="2"/>
    </font>
    <font>
      <sz val="10"/>
      <name val="Arial"/>
      <family val="0"/>
      <charset val="1"/>
    </font>
    <font>
      <sz val="10"/>
      <name val="Noto Sans CJK SC"/>
      <family val="2"/>
    </font>
    <font>
      <sz val="9"/>
      <name val="Consolas"/>
      <family val="0"/>
      <charset val="1"/>
    </font>
    <font>
      <sz val="9"/>
      <name val="Noto Sans CJK SC"/>
      <family val="2"/>
    </font>
    <font>
      <sz val="10"/>
      <color rgb="FF0000FF"/>
      <name val="Arial"/>
      <family val="0"/>
      <charset val="1"/>
    </font>
    <font>
      <sz val="10"/>
      <color rgb="FF000000"/>
      <name val="Arial"/>
      <family val="0"/>
      <charset val="1"/>
    </font>
    <font>
      <sz val="10"/>
      <color rgb="FF000000"/>
      <name val="Noto Sans CJK SC"/>
      <family val="2"/>
    </font>
    <font>
      <sz val="10"/>
      <color rgb="FF008000"/>
      <name val="Arial"/>
      <family val="0"/>
      <charset val="1"/>
    </font>
    <font>
      <sz val="10"/>
      <name val="Arial"/>
      <family val="2"/>
    </font>
    <font>
      <b val="true"/>
      <sz val="18"/>
      <color rgb="FF000000"/>
      <name val="Noto Sans CJK SC"/>
      <family val="2"/>
    </font>
    <font>
      <sz val="10"/>
      <color rgb="FF000000"/>
      <name val="Calibri"/>
      <family val="2"/>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1" fontId="15" fillId="2" borderId="0" xfId="0" applyFont="true" applyBorder="false" applyAlignment="false" applyProtection="false">
      <alignment horizontal="general" vertical="bottom" textRotation="0" wrapText="false" indent="0" shrinkToFit="false"/>
      <protection locked="true" hidden="false"/>
    </xf>
    <xf numFmtId="172" fontId="15" fillId="2" borderId="0" xfId="0" applyFont="true" applyBorder="false" applyAlignment="false" applyProtection="false">
      <alignment horizontal="general" vertical="bottom" textRotation="0" wrapText="false" indent="0" shrinkToFit="false"/>
      <protection locked="true" hidden="false"/>
    </xf>
    <xf numFmtId="173" fontId="15" fillId="2"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6" fontId="15" fillId="2" borderId="0" xfId="0" applyFont="true" applyBorder="false" applyAlignment="false" applyProtection="false">
      <alignment horizontal="general" vertical="bottom" textRotation="0" wrapText="false" indent="0" shrinkToFit="false"/>
      <protection locked="true" hidden="false"/>
    </xf>
    <xf numFmtId="174" fontId="15" fillId="2" borderId="0" xfId="0" applyFont="true" applyBorder="false" applyAlignment="false" applyProtection="false">
      <alignment horizontal="general" vertical="bottom" textRotation="0" wrapText="false" indent="0" shrinkToFit="false"/>
      <protection locked="true" hidden="false"/>
    </xf>
    <xf numFmtId="168" fontId="15" fillId="2" borderId="0" xfId="0" applyFont="true" applyBorder="false" applyAlignment="false" applyProtection="false">
      <alignment horizontal="general" vertical="bottom" textRotation="0" wrapText="false" indent="0" shrinkToFit="false"/>
      <protection locked="true" hidden="false"/>
    </xf>
    <xf numFmtId="173" fontId="14" fillId="2" borderId="0" xfId="0" applyFont="true" applyBorder="false" applyAlignment="false" applyProtection="false">
      <alignment horizontal="general" vertical="bottom" textRotation="0" wrapText="false" indent="0" shrinkToFit="false"/>
      <protection locked="true" hidden="false"/>
    </xf>
    <xf numFmtId="172" fontId="1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8B855"/>
      <rgbColor rgb="FFFFCC00"/>
      <rgbColor rgb="FFFF9900"/>
      <rgbColor rgb="FFFF6600"/>
      <rgbColor rgb="FF4A7EBB"/>
      <rgbColor rgb="FF969696"/>
      <rgbColor rgb="FF003366"/>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売上：実績・予測・前期と同じ（億円）</a:t>
            </a:r>
          </a:p>
        </c:rich>
      </c:tx>
      <c:overlay val="0"/>
      <c:spPr>
        <a:noFill/>
        <a:ln w="0">
          <a:noFill/>
        </a:ln>
      </c:spPr>
    </c:title>
    <c:autoTitleDeleted val="0"/>
    <c:plotArea>
      <c:lineChart>
        <c:grouping val="standard"/>
        <c:varyColors val="0"/>
        <c:ser>
          <c:idx val="0"/>
          <c:order val="0"/>
          <c:tx>
            <c:strRef>
              <c:f>回帰!B10</c:f>
              <c:strCache>
                <c:ptCount val="1"/>
                <c:pt idx="0">
                  <c:v>売上（実績）</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回帰!$A$11:$A$22</c:f>
              <c:strCache>
                <c:ptCount val="12"/>
                <c:pt idx="0">
                  <c:v>24/3期 2Q</c:v>
                </c:pt>
                <c:pt idx="1">
                  <c:v>24/3期 3Q</c:v>
                </c:pt>
                <c:pt idx="2">
                  <c:v>24/3期 4Q</c:v>
                </c:pt>
                <c:pt idx="3">
                  <c:v>25/3期 1Q</c:v>
                </c:pt>
                <c:pt idx="4">
                  <c:v>25/3期 2Q</c:v>
                </c:pt>
                <c:pt idx="5">
                  <c:v>25/3期 3Q</c:v>
                </c:pt>
                <c:pt idx="6">
                  <c:v>25/3期 4Q</c:v>
                </c:pt>
                <c:pt idx="7">
                  <c:v>26/3期 1Q</c:v>
                </c:pt>
                <c:pt idx="8">
                  <c:v>26/3期 2Q</c:v>
                </c:pt>
                <c:pt idx="9">
                  <c:v>26/3期 3Q</c:v>
                </c:pt>
                <c:pt idx="10">
                  <c:v>26/3期 4Q</c:v>
                </c:pt>
                <c:pt idx="11">
                  <c:v>27/3期 1Q</c:v>
                </c:pt>
              </c:strCache>
            </c:strRef>
          </c:cat>
          <c:val>
            <c:numRef>
              <c:f>回帰!$B$11:$B$22</c:f>
              <c:numCache>
                <c:formatCode>#,##0</c:formatCode>
                <c:ptCount val="12"/>
                <c:pt idx="0">
                  <c:v>450</c:v>
                </c:pt>
                <c:pt idx="1">
                  <c:v>540</c:v>
                </c:pt>
                <c:pt idx="2">
                  <c:v>492</c:v>
                </c:pt>
                <c:pt idx="3">
                  <c:v>652</c:v>
                </c:pt>
                <c:pt idx="4">
                  <c:v>493</c:v>
                </c:pt>
                <c:pt idx="5">
                  <c:v>601</c:v>
                </c:pt>
                <c:pt idx="6">
                  <c:v>643</c:v>
                </c:pt>
                <c:pt idx="7">
                  <c:v>518</c:v>
                </c:pt>
                <c:pt idx="8">
                  <c:v>654</c:v>
                </c:pt>
                <c:pt idx="9">
                  <c:v>559</c:v>
                </c:pt>
                <c:pt idx="10">
                  <c:v>620</c:v>
                </c:pt>
                <c:pt idx="11">
                  <c:v>754</c:v>
                </c:pt>
              </c:numCache>
            </c:numRef>
          </c:val>
          <c:smooth val="1"/>
        </c:ser>
        <c:ser>
          <c:idx val="1"/>
          <c:order val="1"/>
          <c:tx>
            <c:strRef>
              <c:f>回帰!D10</c:f>
              <c:strCache>
                <c:ptCount val="1"/>
                <c:pt idx="0">
                  <c:v>予測</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回帰!$A$11:$A$22</c:f>
              <c:strCache>
                <c:ptCount val="12"/>
                <c:pt idx="0">
                  <c:v>24/3期 2Q</c:v>
                </c:pt>
                <c:pt idx="1">
                  <c:v>24/3期 3Q</c:v>
                </c:pt>
                <c:pt idx="2">
                  <c:v>24/3期 4Q</c:v>
                </c:pt>
                <c:pt idx="3">
                  <c:v>25/3期 1Q</c:v>
                </c:pt>
                <c:pt idx="4">
                  <c:v>25/3期 2Q</c:v>
                </c:pt>
                <c:pt idx="5">
                  <c:v>25/3期 3Q</c:v>
                </c:pt>
                <c:pt idx="6">
                  <c:v>25/3期 4Q</c:v>
                </c:pt>
                <c:pt idx="7">
                  <c:v>26/3期 1Q</c:v>
                </c:pt>
                <c:pt idx="8">
                  <c:v>26/3期 2Q</c:v>
                </c:pt>
                <c:pt idx="9">
                  <c:v>26/3期 3Q</c:v>
                </c:pt>
                <c:pt idx="10">
                  <c:v>26/3期 4Q</c:v>
                </c:pt>
                <c:pt idx="11">
                  <c:v>27/3期 1Q</c:v>
                </c:pt>
              </c:strCache>
            </c:strRef>
          </c:cat>
          <c:val>
            <c:numRef>
              <c:f>回帰!$D$11:$D$22</c:f>
              <c:numCache>
                <c:formatCode>General</c:formatCode>
                <c:ptCount val="12"/>
              </c:numCache>
            </c:numRef>
          </c:val>
          <c:smooth val="1"/>
        </c:ser>
        <c:ser>
          <c:idx val="2"/>
          <c:order val="2"/>
          <c:tx>
            <c:strRef>
              <c:f>回帰!F10</c:f>
              <c:strCache>
                <c:ptCount val="1"/>
                <c:pt idx="0">
                  <c:v>前期の売上
（＝前期と同じ予測）</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回帰!$A$11:$A$22</c:f>
              <c:strCache>
                <c:ptCount val="12"/>
                <c:pt idx="0">
                  <c:v>24/3期 2Q</c:v>
                </c:pt>
                <c:pt idx="1">
                  <c:v>24/3期 3Q</c:v>
                </c:pt>
                <c:pt idx="2">
                  <c:v>24/3期 4Q</c:v>
                </c:pt>
                <c:pt idx="3">
                  <c:v>25/3期 1Q</c:v>
                </c:pt>
                <c:pt idx="4">
                  <c:v>25/3期 2Q</c:v>
                </c:pt>
                <c:pt idx="5">
                  <c:v>25/3期 3Q</c:v>
                </c:pt>
                <c:pt idx="6">
                  <c:v>25/3期 4Q</c:v>
                </c:pt>
                <c:pt idx="7">
                  <c:v>26/3期 1Q</c:v>
                </c:pt>
                <c:pt idx="8">
                  <c:v>26/3期 2Q</c:v>
                </c:pt>
                <c:pt idx="9">
                  <c:v>26/3期 3Q</c:v>
                </c:pt>
                <c:pt idx="10">
                  <c:v>26/3期 4Q</c:v>
                </c:pt>
                <c:pt idx="11">
                  <c:v>27/3期 1Q</c:v>
                </c:pt>
              </c:strCache>
            </c:strRef>
          </c:cat>
          <c:val>
            <c:numRef>
              <c:f>回帰!$F$11:$F$22</c:f>
              <c:numCache>
                <c:formatCode>General</c:formatCode>
                <c:ptCount val="12"/>
              </c:numCache>
            </c:numRef>
          </c:val>
          <c:smooth val="1"/>
        </c:ser>
        <c:hiLowLines>
          <c:spPr>
            <a:ln w="0">
              <a:noFill/>
            </a:ln>
          </c:spPr>
        </c:hiLowLines>
        <c:marker val="0"/>
        <c:axId val="2993764"/>
        <c:axId val="42535588"/>
      </c:lineChart>
      <c:catAx>
        <c:axId val="299376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535588"/>
        <c:crosses val="autoZero"/>
        <c:auto val="1"/>
        <c:lblAlgn val="ctr"/>
        <c:lblOffset val="100"/>
        <c:noMultiLvlLbl val="0"/>
      </c:catAx>
      <c:valAx>
        <c:axId val="42535588"/>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9376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xdr:row>
      <xdr:rowOff>134640</xdr:rowOff>
    </xdr:from>
    <xdr:to>
      <xdr:col>17</xdr:col>
      <xdr:colOff>507600</xdr:colOff>
      <xdr:row>15</xdr:row>
      <xdr:rowOff>167400</xdr:rowOff>
    </xdr:to>
    <xdr:graphicFrame>
      <xdr:nvGraphicFramePr>
        <xdr:cNvPr id="0" name="Chart 1"/>
        <xdr:cNvGraphicFramePr/>
      </xdr:nvGraphicFramePr>
      <xdr:xfrm>
        <a:off x="9281160" y="57168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16"/>
    <col collapsed="false" customWidth="true" hidden="false" outlineLevel="0" max="4" min="4" style="0" width="7"/>
    <col collapsed="false" customWidth="true" hidden="false" outlineLevel="0" max="5" min="5" style="0" width="60"/>
    <col collapsed="false" customWidth="true" hidden="false" outlineLevel="0" max="6" min="6" style="0" width="10"/>
    <col collapsed="false" customWidth="true" hidden="false" outlineLevel="0" max="7" min="7" style="0" width="48"/>
    <col collapsed="false" customWidth="true" hidden="false" outlineLevel="0" max="8" min="8" style="0" width="22"/>
  </cols>
  <sheetData>
    <row r="1" customFormat="false" ht="19.4"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2" t="s">
        <v>4</v>
      </c>
    </row>
    <row r="7" customFormat="false" ht="15" hidden="false" customHeight="false" outlineLevel="0" collapsed="false">
      <c r="A7" s="3" t="s">
        <v>5</v>
      </c>
      <c r="B7" s="3" t="s">
        <v>6</v>
      </c>
      <c r="C7" s="4" t="s">
        <v>7</v>
      </c>
      <c r="D7" s="4" t="s">
        <v>8</v>
      </c>
      <c r="E7" s="4" t="s">
        <v>9</v>
      </c>
      <c r="F7" s="4" t="s">
        <v>10</v>
      </c>
      <c r="G7" s="4" t="s">
        <v>11</v>
      </c>
      <c r="H7" s="4" t="s">
        <v>12</v>
      </c>
    </row>
    <row r="8" customFormat="false" ht="15" hidden="false" customHeight="false" outlineLevel="0" collapsed="false">
      <c r="A8" s="5" t="n">
        <v>1</v>
      </c>
      <c r="B8" s="5" t="s">
        <v>13</v>
      </c>
      <c r="C8" s="6" t="s">
        <v>14</v>
      </c>
      <c r="D8" s="5" t="s">
        <v>15</v>
      </c>
      <c r="E8" s="7" t="s">
        <v>16</v>
      </c>
      <c r="F8" s="5"/>
      <c r="G8" s="8" t="s">
        <v>17</v>
      </c>
      <c r="H8" s="5" t="s">
        <v>18</v>
      </c>
    </row>
    <row r="9" customFormat="false" ht="15" hidden="false" customHeight="false" outlineLevel="0" collapsed="false">
      <c r="A9" s="5" t="n">
        <v>2</v>
      </c>
      <c r="B9" s="5" t="s">
        <v>13</v>
      </c>
      <c r="C9" s="6" t="s">
        <v>14</v>
      </c>
      <c r="D9" s="5" t="s">
        <v>19</v>
      </c>
      <c r="E9" s="7" t="s">
        <v>20</v>
      </c>
      <c r="F9" s="5"/>
      <c r="G9" s="8" t="s">
        <v>21</v>
      </c>
      <c r="H9" s="5" t="s">
        <v>22</v>
      </c>
    </row>
    <row r="10" customFormat="false" ht="15" hidden="false" customHeight="false" outlineLevel="0" collapsed="false">
      <c r="A10" s="5" t="n">
        <v>3</v>
      </c>
      <c r="B10" s="5" t="s">
        <v>13</v>
      </c>
      <c r="C10" s="6" t="s">
        <v>14</v>
      </c>
      <c r="D10" s="5" t="s">
        <v>23</v>
      </c>
      <c r="E10" s="7" t="s">
        <v>24</v>
      </c>
      <c r="F10" s="5"/>
      <c r="G10" s="9" t="s">
        <v>25</v>
      </c>
      <c r="H10" s="5" t="s">
        <v>26</v>
      </c>
    </row>
    <row r="11" customFormat="false" ht="29.85" hidden="false" customHeight="false" outlineLevel="0" collapsed="false">
      <c r="A11" s="5" t="n">
        <v>4</v>
      </c>
      <c r="B11" s="5" t="s">
        <v>13</v>
      </c>
      <c r="C11" s="6" t="s">
        <v>14</v>
      </c>
      <c r="D11" s="5" t="s">
        <v>27</v>
      </c>
      <c r="E11" s="7" t="s">
        <v>28</v>
      </c>
      <c r="F11" s="5" t="s">
        <v>29</v>
      </c>
      <c r="G11" s="8" t="s">
        <v>30</v>
      </c>
      <c r="H11" s="5" t="s">
        <v>31</v>
      </c>
    </row>
    <row r="12" customFormat="false" ht="15" hidden="false" customHeight="false" outlineLevel="0" collapsed="false">
      <c r="A12" s="5" t="n">
        <v>5</v>
      </c>
      <c r="B12" s="5" t="s">
        <v>13</v>
      </c>
      <c r="C12" s="6" t="s">
        <v>14</v>
      </c>
      <c r="D12" s="5" t="s">
        <v>32</v>
      </c>
      <c r="E12" s="7" t="s">
        <v>33</v>
      </c>
      <c r="F12" s="5" t="s">
        <v>34</v>
      </c>
      <c r="G12" s="8" t="s">
        <v>35</v>
      </c>
      <c r="H12" s="5" t="s">
        <v>36</v>
      </c>
    </row>
    <row r="13" customFormat="false" ht="29.85" hidden="false" customHeight="false" outlineLevel="0" collapsed="false">
      <c r="A13" s="5" t="n">
        <v>6</v>
      </c>
      <c r="B13" s="5" t="s">
        <v>13</v>
      </c>
      <c r="C13" s="6" t="s">
        <v>14</v>
      </c>
      <c r="D13" s="5" t="s">
        <v>37</v>
      </c>
      <c r="E13" s="7" t="s">
        <v>38</v>
      </c>
      <c r="F13" s="5" t="s">
        <v>39</v>
      </c>
      <c r="G13" s="8" t="s">
        <v>40</v>
      </c>
      <c r="H13" s="5" t="s">
        <v>41</v>
      </c>
    </row>
    <row r="14" customFormat="false" ht="15" hidden="false" customHeight="false" outlineLevel="0" collapsed="false">
      <c r="A14" s="5" t="n">
        <v>7</v>
      </c>
      <c r="B14" s="5" t="s">
        <v>13</v>
      </c>
      <c r="C14" s="6" t="s">
        <v>14</v>
      </c>
      <c r="D14" s="5" t="s">
        <v>42</v>
      </c>
      <c r="E14" s="7" t="s">
        <v>43</v>
      </c>
      <c r="F14" s="5" t="s">
        <v>44</v>
      </c>
      <c r="G14" s="8" t="s">
        <v>45</v>
      </c>
      <c r="H14" s="5" t="s">
        <v>46</v>
      </c>
    </row>
    <row r="15" customFormat="false" ht="29.85" hidden="false" customHeight="false" outlineLevel="0" collapsed="false">
      <c r="A15" s="5" t="n">
        <v>8</v>
      </c>
      <c r="B15" s="5" t="s">
        <v>47</v>
      </c>
      <c r="C15" s="6" t="s">
        <v>14</v>
      </c>
      <c r="D15" s="5" t="s">
        <v>48</v>
      </c>
      <c r="E15" s="7" t="s">
        <v>49</v>
      </c>
      <c r="F15" s="5" t="s">
        <v>50</v>
      </c>
      <c r="G15" s="8" t="s">
        <v>51</v>
      </c>
      <c r="H15" s="5" t="s">
        <v>52</v>
      </c>
    </row>
    <row r="16" customFormat="false" ht="15" hidden="false" customHeight="false" outlineLevel="0" collapsed="false">
      <c r="A16" s="5" t="n">
        <v>9</v>
      </c>
      <c r="B16" s="5" t="s">
        <v>13</v>
      </c>
      <c r="C16" s="6" t="s">
        <v>14</v>
      </c>
      <c r="D16" s="5" t="s">
        <v>53</v>
      </c>
      <c r="E16" s="7" t="s">
        <v>54</v>
      </c>
      <c r="F16" s="5"/>
      <c r="G16" s="9" t="s">
        <v>55</v>
      </c>
      <c r="H16" s="5" t="s">
        <v>56</v>
      </c>
    </row>
    <row r="17" customFormat="false" ht="15" hidden="false" customHeight="false" outlineLevel="0" collapsed="false">
      <c r="A17" s="5" t="n">
        <v>10</v>
      </c>
      <c r="B17" s="5" t="s">
        <v>47</v>
      </c>
      <c r="C17" s="6" t="s">
        <v>14</v>
      </c>
      <c r="D17" s="5" t="s">
        <v>57</v>
      </c>
      <c r="E17" s="7" t="s">
        <v>58</v>
      </c>
      <c r="F17" s="5"/>
      <c r="G17" s="8" t="s">
        <v>59</v>
      </c>
      <c r="H17" s="5" t="s">
        <v>60</v>
      </c>
    </row>
    <row r="18" customFormat="false" ht="15" hidden="false" customHeight="false" outlineLevel="0" collapsed="false">
      <c r="A18" s="5" t="n">
        <v>11</v>
      </c>
      <c r="B18" s="5" t="s">
        <v>13</v>
      </c>
      <c r="C18" s="6" t="s">
        <v>14</v>
      </c>
      <c r="D18" s="5" t="s">
        <v>61</v>
      </c>
      <c r="E18" s="7" t="s">
        <v>62</v>
      </c>
      <c r="F18" s="5"/>
      <c r="G18" s="8" t="s">
        <v>63</v>
      </c>
      <c r="H18" s="5" t="s">
        <v>64</v>
      </c>
    </row>
    <row r="19" customFormat="false" ht="29.85" hidden="false" customHeight="false" outlineLevel="0" collapsed="false">
      <c r="A19" s="5" t="n">
        <v>12</v>
      </c>
      <c r="B19" s="5" t="s">
        <v>13</v>
      </c>
      <c r="C19" s="6" t="s">
        <v>14</v>
      </c>
      <c r="D19" s="5" t="s">
        <v>65</v>
      </c>
      <c r="E19" s="7" t="s">
        <v>66</v>
      </c>
      <c r="F19" s="5"/>
      <c r="G19" s="9" t="s">
        <v>67</v>
      </c>
      <c r="H19" s="5" t="s">
        <v>68</v>
      </c>
    </row>
    <row r="20" customFormat="false" ht="15" hidden="false" customHeight="false" outlineLevel="0" collapsed="false">
      <c r="A20" s="5" t="n">
        <v>13</v>
      </c>
      <c r="B20" s="5" t="s">
        <v>69</v>
      </c>
      <c r="C20" s="5" t="s">
        <v>70</v>
      </c>
      <c r="D20" s="5" t="s">
        <v>71</v>
      </c>
      <c r="E20" s="7" t="s">
        <v>72</v>
      </c>
      <c r="F20" s="5"/>
      <c r="G20" s="9" t="s">
        <v>73</v>
      </c>
      <c r="H20" s="5" t="s">
        <v>74</v>
      </c>
    </row>
    <row r="21" customFormat="false" ht="15" hidden="false" customHeight="false" outlineLevel="0" collapsed="false">
      <c r="A21" s="5" t="n">
        <v>14</v>
      </c>
      <c r="B21" s="5" t="s">
        <v>69</v>
      </c>
      <c r="C21" s="5" t="s">
        <v>70</v>
      </c>
      <c r="D21" s="5" t="s">
        <v>75</v>
      </c>
      <c r="E21" s="7" t="s">
        <v>76</v>
      </c>
      <c r="F21" s="5"/>
      <c r="G21" s="9" t="s">
        <v>77</v>
      </c>
      <c r="H21" s="5" t="s">
        <v>78</v>
      </c>
    </row>
    <row r="22" customFormat="false" ht="15" hidden="false" customHeight="false" outlineLevel="0" collapsed="false">
      <c r="A22" s="5" t="n">
        <v>15</v>
      </c>
      <c r="B22" s="5" t="s">
        <v>69</v>
      </c>
      <c r="C22" s="5" t="s">
        <v>70</v>
      </c>
      <c r="D22" s="5" t="s">
        <v>79</v>
      </c>
      <c r="E22" s="7" t="s">
        <v>80</v>
      </c>
      <c r="F22" s="5"/>
      <c r="G22" s="8" t="s">
        <v>81</v>
      </c>
      <c r="H22" s="5" t="s">
        <v>82</v>
      </c>
    </row>
    <row r="23" customFormat="false" ht="15" hidden="false" customHeight="false" outlineLevel="0" collapsed="false">
      <c r="A23" s="5" t="n">
        <v>16</v>
      </c>
      <c r="B23" s="5" t="s">
        <v>69</v>
      </c>
      <c r="C23" s="5" t="s">
        <v>70</v>
      </c>
      <c r="D23" s="5" t="s">
        <v>83</v>
      </c>
      <c r="E23" s="7" t="s">
        <v>84</v>
      </c>
      <c r="F23" s="5"/>
      <c r="G23" s="8" t="s">
        <v>85</v>
      </c>
      <c r="H23" s="5"/>
    </row>
    <row r="24" customFormat="false" ht="15" hidden="false" customHeight="false" outlineLevel="0" collapsed="false">
      <c r="A24" s="5" t="n">
        <v>17</v>
      </c>
      <c r="B24" s="5" t="s">
        <v>69</v>
      </c>
      <c r="C24" s="5" t="s">
        <v>70</v>
      </c>
      <c r="D24" s="5" t="s">
        <v>86</v>
      </c>
      <c r="E24" s="7" t="s">
        <v>87</v>
      </c>
      <c r="F24" s="5"/>
      <c r="G24" s="8" t="s">
        <v>88</v>
      </c>
      <c r="H24" s="5" t="s">
        <v>89</v>
      </c>
    </row>
    <row r="25" customFormat="false" ht="15" hidden="false" customHeight="false" outlineLevel="0" collapsed="false">
      <c r="A25" s="5" t="n">
        <v>18</v>
      </c>
      <c r="B25" s="5" t="s">
        <v>69</v>
      </c>
      <c r="C25" s="5" t="s">
        <v>70</v>
      </c>
      <c r="D25" s="5" t="s">
        <v>90</v>
      </c>
      <c r="E25" s="7" t="s">
        <v>91</v>
      </c>
      <c r="F25" s="5"/>
      <c r="G25" s="8" t="s">
        <v>92</v>
      </c>
      <c r="H25" s="5"/>
    </row>
    <row r="26" customFormat="false" ht="15" hidden="false" customHeight="false" outlineLevel="0" collapsed="false">
      <c r="A26" s="5" t="n">
        <v>19</v>
      </c>
      <c r="B26" s="5" t="s">
        <v>69</v>
      </c>
      <c r="C26" s="5" t="s">
        <v>70</v>
      </c>
      <c r="D26" s="5" t="s">
        <v>93</v>
      </c>
      <c r="E26" s="7" t="s">
        <v>94</v>
      </c>
      <c r="F26" s="5"/>
      <c r="G26" s="8" t="s">
        <v>95</v>
      </c>
      <c r="H26" s="5" t="s">
        <v>96</v>
      </c>
    </row>
    <row r="27" customFormat="false" ht="15" hidden="false" customHeight="false" outlineLevel="0" collapsed="false">
      <c r="A27" s="5" t="n">
        <v>20</v>
      </c>
      <c r="B27" s="5" t="s">
        <v>69</v>
      </c>
      <c r="C27" s="5" t="s">
        <v>70</v>
      </c>
      <c r="D27" s="5" t="s">
        <v>97</v>
      </c>
      <c r="E27" s="7" t="s">
        <v>98</v>
      </c>
      <c r="F27" s="5"/>
      <c r="G27" s="8" t="s">
        <v>99</v>
      </c>
      <c r="H27" s="5" t="s">
        <v>100</v>
      </c>
    </row>
    <row r="28" customFormat="false" ht="15" hidden="false" customHeight="false" outlineLevel="0" collapsed="false">
      <c r="A28" s="5" t="n">
        <v>21</v>
      </c>
      <c r="B28" s="5" t="s">
        <v>69</v>
      </c>
      <c r="C28" s="5" t="s">
        <v>70</v>
      </c>
      <c r="D28" s="5" t="s">
        <v>101</v>
      </c>
      <c r="E28" s="7" t="s">
        <v>102</v>
      </c>
      <c r="F28" s="5"/>
      <c r="G28" s="8" t="s">
        <v>103</v>
      </c>
      <c r="H28" s="5" t="s">
        <v>104</v>
      </c>
    </row>
    <row r="29" customFormat="false" ht="15" hidden="false" customHeight="false" outlineLevel="0" collapsed="false">
      <c r="A29" s="5" t="n">
        <v>22</v>
      </c>
      <c r="B29" s="5" t="s">
        <v>69</v>
      </c>
      <c r="C29" s="5" t="s">
        <v>70</v>
      </c>
      <c r="D29" s="5" t="s">
        <v>53</v>
      </c>
      <c r="E29" s="7" t="s">
        <v>105</v>
      </c>
      <c r="F29" s="5"/>
      <c r="G29" s="9" t="s">
        <v>106</v>
      </c>
      <c r="H29" s="5" t="s">
        <v>107</v>
      </c>
    </row>
    <row r="30" customFormat="false" ht="15" hidden="false" customHeight="false" outlineLevel="0" collapsed="false">
      <c r="A30" s="5" t="n">
        <v>23</v>
      </c>
      <c r="B30" s="5" t="s">
        <v>69</v>
      </c>
      <c r="C30" s="5" t="s">
        <v>70</v>
      </c>
      <c r="D30" s="5" t="s">
        <v>61</v>
      </c>
      <c r="E30" s="7" t="s">
        <v>108</v>
      </c>
      <c r="F30" s="5"/>
      <c r="G30" s="8" t="s">
        <v>109</v>
      </c>
      <c r="H30" s="5" t="s">
        <v>110</v>
      </c>
    </row>
    <row r="31" customFormat="false" ht="15" hidden="false" customHeight="false" outlineLevel="0" collapsed="false">
      <c r="A31" s="5" t="n">
        <v>24</v>
      </c>
      <c r="B31" s="5" t="s">
        <v>69</v>
      </c>
      <c r="C31" s="5" t="s">
        <v>70</v>
      </c>
      <c r="D31" s="5" t="s">
        <v>65</v>
      </c>
      <c r="E31" s="7" t="s">
        <v>111</v>
      </c>
      <c r="F31" s="5"/>
      <c r="G31" s="9" t="s">
        <v>112</v>
      </c>
      <c r="H31" s="5" t="s">
        <v>113</v>
      </c>
    </row>
    <row r="32" customFormat="false" ht="15" hidden="false" customHeight="false" outlineLevel="0" collapsed="false">
      <c r="A32" s="5" t="n">
        <v>25</v>
      </c>
      <c r="B32" s="5" t="s">
        <v>69</v>
      </c>
      <c r="C32" s="5" t="s">
        <v>70</v>
      </c>
      <c r="D32" s="5" t="s">
        <v>114</v>
      </c>
      <c r="E32" s="7" t="s">
        <v>115</v>
      </c>
      <c r="F32" s="5"/>
      <c r="G32" s="9" t="s">
        <v>116</v>
      </c>
      <c r="H32" s="5"/>
    </row>
    <row r="33" customFormat="false" ht="15" hidden="false" customHeight="false" outlineLevel="0" collapsed="false">
      <c r="A33" s="5" t="n">
        <v>26</v>
      </c>
      <c r="B33" s="6" t="s">
        <v>117</v>
      </c>
      <c r="C33" s="6" t="s">
        <v>118</v>
      </c>
      <c r="D33" s="5" t="s">
        <v>119</v>
      </c>
      <c r="E33" s="7" t="s">
        <v>120</v>
      </c>
      <c r="F33" s="5"/>
      <c r="G33" s="8" t="s">
        <v>121</v>
      </c>
      <c r="H33" s="5" t="s">
        <v>122</v>
      </c>
    </row>
    <row r="34" customFormat="false" ht="15" hidden="false" customHeight="false" outlineLevel="0" collapsed="false">
      <c r="A34" s="5" t="n">
        <v>27</v>
      </c>
      <c r="B34" s="6" t="s">
        <v>117</v>
      </c>
      <c r="C34" s="6" t="s">
        <v>118</v>
      </c>
      <c r="D34" s="5" t="s">
        <v>15</v>
      </c>
      <c r="E34" s="7" t="s">
        <v>123</v>
      </c>
      <c r="F34" s="5"/>
      <c r="G34" s="8" t="s">
        <v>124</v>
      </c>
      <c r="H34" s="5"/>
    </row>
    <row r="35" customFormat="false" ht="15" hidden="false" customHeight="false" outlineLevel="0" collapsed="false">
      <c r="A35" s="5" t="n">
        <v>28</v>
      </c>
      <c r="B35" s="6" t="s">
        <v>117</v>
      </c>
      <c r="C35" s="6" t="s">
        <v>118</v>
      </c>
      <c r="D35" s="5" t="s">
        <v>125</v>
      </c>
      <c r="E35" s="7" t="s">
        <v>126</v>
      </c>
      <c r="F35" s="5"/>
      <c r="G35" s="9" t="s">
        <v>127</v>
      </c>
      <c r="H35" s="5"/>
    </row>
    <row r="36" customFormat="false" ht="15" hidden="false" customHeight="false" outlineLevel="0" collapsed="false">
      <c r="A36" s="5" t="n">
        <v>29</v>
      </c>
      <c r="B36" s="6" t="s">
        <v>117</v>
      </c>
      <c r="C36" s="6" t="s">
        <v>118</v>
      </c>
      <c r="D36" s="5" t="s">
        <v>128</v>
      </c>
      <c r="E36" s="7" t="s">
        <v>129</v>
      </c>
      <c r="F36" s="5"/>
      <c r="G36" s="8" t="s">
        <v>130</v>
      </c>
      <c r="H36" s="5" t="s">
        <v>131</v>
      </c>
    </row>
    <row r="37" customFormat="false" ht="15" hidden="false" customHeight="false" outlineLevel="0" collapsed="false">
      <c r="A37" s="5" t="n">
        <v>30</v>
      </c>
      <c r="B37" s="6" t="s">
        <v>117</v>
      </c>
      <c r="C37" s="6" t="s">
        <v>118</v>
      </c>
      <c r="D37" s="5" t="s">
        <v>19</v>
      </c>
      <c r="E37" s="7" t="s">
        <v>132</v>
      </c>
      <c r="F37" s="5"/>
      <c r="G37" s="8" t="s">
        <v>133</v>
      </c>
      <c r="H37" s="5"/>
    </row>
    <row r="38" customFormat="false" ht="15" hidden="false" customHeight="false" outlineLevel="0" collapsed="false">
      <c r="A38" s="5" t="n">
        <v>31</v>
      </c>
      <c r="B38" s="6" t="s">
        <v>117</v>
      </c>
      <c r="C38" s="6" t="s">
        <v>118</v>
      </c>
      <c r="D38" s="5" t="s">
        <v>134</v>
      </c>
      <c r="E38" s="7" t="s">
        <v>135</v>
      </c>
      <c r="F38" s="5"/>
      <c r="G38" s="9" t="s">
        <v>136</v>
      </c>
      <c r="H38" s="5" t="s">
        <v>137</v>
      </c>
    </row>
    <row r="39" customFormat="false" ht="15" hidden="false" customHeight="false" outlineLevel="0" collapsed="false">
      <c r="A39" s="5" t="n">
        <v>32</v>
      </c>
      <c r="B39" s="6" t="s">
        <v>117</v>
      </c>
      <c r="C39" s="6" t="s">
        <v>118</v>
      </c>
      <c r="D39" s="5" t="s">
        <v>138</v>
      </c>
      <c r="E39" s="7" t="s">
        <v>139</v>
      </c>
      <c r="F39" s="5" t="s">
        <v>140</v>
      </c>
      <c r="G39" s="8" t="s">
        <v>141</v>
      </c>
      <c r="H39" s="5" t="s">
        <v>142</v>
      </c>
    </row>
    <row r="40" customFormat="false" ht="15" hidden="false" customHeight="false" outlineLevel="0" collapsed="false">
      <c r="A40" s="5" t="n">
        <v>33</v>
      </c>
      <c r="B40" s="6" t="s">
        <v>117</v>
      </c>
      <c r="C40" s="6" t="s">
        <v>118</v>
      </c>
      <c r="D40" s="5" t="s">
        <v>143</v>
      </c>
      <c r="E40" s="7" t="s">
        <v>144</v>
      </c>
      <c r="F40" s="5" t="s">
        <v>145</v>
      </c>
      <c r="G40" s="8" t="s">
        <v>146</v>
      </c>
      <c r="H40" s="5" t="s">
        <v>147</v>
      </c>
    </row>
    <row r="41" customFormat="false" ht="15" hidden="false" customHeight="false" outlineLevel="0" collapsed="false">
      <c r="A41" s="5" t="n">
        <v>34</v>
      </c>
      <c r="B41" s="6" t="s">
        <v>117</v>
      </c>
      <c r="C41" s="6" t="s">
        <v>118</v>
      </c>
      <c r="D41" s="5" t="s">
        <v>148</v>
      </c>
      <c r="E41" s="7" t="s">
        <v>149</v>
      </c>
      <c r="F41" s="5" t="s">
        <v>150</v>
      </c>
      <c r="G41" s="8" t="s">
        <v>151</v>
      </c>
      <c r="H41" s="5" t="s">
        <v>152</v>
      </c>
    </row>
    <row r="42" customFormat="false" ht="15" hidden="false" customHeight="false" outlineLevel="0" collapsed="false">
      <c r="A42" s="5" t="n">
        <v>35</v>
      </c>
      <c r="B42" s="6" t="s">
        <v>117</v>
      </c>
      <c r="C42" s="6" t="s">
        <v>118</v>
      </c>
      <c r="D42" s="5" t="s">
        <v>153</v>
      </c>
      <c r="E42" s="7" t="s">
        <v>154</v>
      </c>
      <c r="F42" s="5" t="s">
        <v>155</v>
      </c>
      <c r="G42" s="8" t="s">
        <v>156</v>
      </c>
      <c r="H42" s="5"/>
    </row>
    <row r="43" customFormat="false" ht="15" hidden="false" customHeight="false" outlineLevel="0" collapsed="false">
      <c r="A43" s="5" t="n">
        <v>36</v>
      </c>
      <c r="B43" s="6" t="s">
        <v>117</v>
      </c>
      <c r="C43" s="6" t="s">
        <v>118</v>
      </c>
      <c r="D43" s="5" t="s">
        <v>157</v>
      </c>
      <c r="E43" s="7" t="s">
        <v>158</v>
      </c>
      <c r="F43" s="5"/>
      <c r="G43" s="8" t="s">
        <v>159</v>
      </c>
      <c r="H43" s="5" t="s">
        <v>160</v>
      </c>
    </row>
    <row r="44" customFormat="false" ht="15" hidden="false" customHeight="false" outlineLevel="0" collapsed="false">
      <c r="A44" s="5" t="n">
        <v>37</v>
      </c>
      <c r="B44" s="6" t="s">
        <v>117</v>
      </c>
      <c r="C44" s="6" t="s">
        <v>118</v>
      </c>
      <c r="D44" s="5" t="s">
        <v>161</v>
      </c>
      <c r="E44" s="7" t="s">
        <v>162</v>
      </c>
      <c r="F44" s="5" t="s">
        <v>163</v>
      </c>
      <c r="G44" s="9" t="s">
        <v>164</v>
      </c>
      <c r="H44" s="5"/>
    </row>
    <row r="45" customFormat="false" ht="15" hidden="false" customHeight="false" outlineLevel="0" collapsed="false">
      <c r="A45" s="5" t="n">
        <v>38</v>
      </c>
      <c r="B45" s="6" t="s">
        <v>117</v>
      </c>
      <c r="C45" s="6" t="s">
        <v>118</v>
      </c>
      <c r="D45" s="5" t="s">
        <v>165</v>
      </c>
      <c r="E45" s="7" t="s">
        <v>166</v>
      </c>
      <c r="F45" s="5" t="s">
        <v>167</v>
      </c>
      <c r="G45" s="9" t="s">
        <v>168</v>
      </c>
      <c r="H45" s="5"/>
    </row>
    <row r="46" customFormat="false" ht="15" hidden="false" customHeight="false" outlineLevel="0" collapsed="false">
      <c r="A46" s="5" t="n">
        <v>39</v>
      </c>
      <c r="B46" s="6" t="s">
        <v>117</v>
      </c>
      <c r="C46" s="6" t="s">
        <v>118</v>
      </c>
      <c r="D46" s="5" t="s">
        <v>169</v>
      </c>
      <c r="E46" s="7" t="s">
        <v>170</v>
      </c>
      <c r="F46" s="5"/>
      <c r="G46" s="8" t="s">
        <v>171</v>
      </c>
      <c r="H46" s="5"/>
    </row>
    <row r="47" customFormat="false" ht="15" hidden="false" customHeight="false" outlineLevel="0" collapsed="false">
      <c r="A47" s="5" t="n">
        <v>40</v>
      </c>
      <c r="B47" s="6" t="s">
        <v>117</v>
      </c>
      <c r="C47" s="6" t="s">
        <v>118</v>
      </c>
      <c r="D47" s="5" t="s">
        <v>172</v>
      </c>
      <c r="E47" s="7" t="s">
        <v>173</v>
      </c>
      <c r="F47" s="5"/>
      <c r="G47" s="8" t="s">
        <v>174</v>
      </c>
      <c r="H47" s="5"/>
    </row>
    <row r="48" customFormat="false" ht="15" hidden="false" customHeight="false" outlineLevel="0" collapsed="false">
      <c r="A48" s="5" t="n">
        <v>41</v>
      </c>
      <c r="B48" s="6" t="s">
        <v>117</v>
      </c>
      <c r="C48" s="6" t="s">
        <v>118</v>
      </c>
      <c r="D48" s="5" t="s">
        <v>175</v>
      </c>
      <c r="E48" s="7" t="s">
        <v>176</v>
      </c>
      <c r="F48" s="5"/>
      <c r="G48" s="8" t="s">
        <v>177</v>
      </c>
      <c r="H48" s="5" t="s">
        <v>178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4" min="3" style="0" width="14"/>
    <col collapsed="false" customWidth="true" hidden="false" outlineLevel="0" max="5" min="5" style="0" width="12"/>
    <col collapsed="false" customWidth="true" hidden="false" outlineLevel="0" max="6" min="6" style="0" width="14"/>
    <col collapsed="false" customWidth="true" hidden="false" outlineLevel="0" max="7" min="7" style="0" width="62"/>
    <col collapsed="false" customWidth="true" hidden="false" outlineLevel="0" max="8" min="8" style="0" width="3"/>
    <col collapsed="false" customWidth="true" hidden="false" outlineLevel="0" max="9" min="9" style="0" width="10"/>
    <col collapsed="false" customWidth="true" hidden="false" outlineLevel="0" max="10" min="10" style="0" width="9"/>
    <col collapsed="false" customWidth="true" hidden="false" outlineLevel="0" max="11" min="11" style="0" width="14"/>
  </cols>
  <sheetData>
    <row r="1" customFormat="false" ht="15" hidden="false" customHeight="false" outlineLevel="0" collapsed="false">
      <c r="A1" s="1" t="s">
        <v>179</v>
      </c>
    </row>
    <row r="2" customFormat="false" ht="15" hidden="false" customHeight="false" outlineLevel="0" collapsed="false">
      <c r="A2" s="2" t="s">
        <v>180</v>
      </c>
    </row>
    <row r="4" customFormat="false" ht="29.85" hidden="false" customHeight="false" outlineLevel="0" collapsed="false">
      <c r="A4" s="10" t="s">
        <v>181</v>
      </c>
      <c r="B4" s="10" t="s">
        <v>182</v>
      </c>
      <c r="C4" s="10" t="s">
        <v>183</v>
      </c>
      <c r="D4" s="10" t="s">
        <v>184</v>
      </c>
      <c r="E4" s="10" t="s">
        <v>185</v>
      </c>
      <c r="F4" s="10" t="s">
        <v>186</v>
      </c>
      <c r="G4" s="10" t="s">
        <v>187</v>
      </c>
      <c r="I4" s="11" t="s">
        <v>188</v>
      </c>
    </row>
    <row r="5" customFormat="false" ht="29.85" hidden="false" customHeight="false" outlineLevel="0" collapsed="false">
      <c r="A5" s="12" t="n">
        <v>45383</v>
      </c>
      <c r="B5" s="13" t="s">
        <v>189</v>
      </c>
      <c r="C5" s="14" t="n">
        <v>17542</v>
      </c>
      <c r="D5" s="15" t="n">
        <v>27.4</v>
      </c>
      <c r="E5" s="14" t="n">
        <v>545</v>
      </c>
      <c r="F5" s="15" t="n">
        <v>-1.2</v>
      </c>
      <c r="G5" s="16" t="s">
        <v>190</v>
      </c>
      <c r="I5" s="10" t="s">
        <v>181</v>
      </c>
      <c r="J5" s="10" t="s">
        <v>182</v>
      </c>
      <c r="K5" s="10" t="s">
        <v>184</v>
      </c>
    </row>
    <row r="6" customFormat="false" ht="15" hidden="false" customHeight="false" outlineLevel="0" collapsed="false">
      <c r="A6" s="12" t="n">
        <v>45383</v>
      </c>
      <c r="B6" s="13" t="s">
        <v>191</v>
      </c>
      <c r="C6" s="14" t="n">
        <v>322037</v>
      </c>
      <c r="D6" s="15" t="n">
        <v>45.2</v>
      </c>
      <c r="E6" s="14" t="n">
        <v>11129</v>
      </c>
      <c r="F6" s="15" t="n">
        <v>43.8</v>
      </c>
      <c r="G6" s="16" t="s">
        <v>190</v>
      </c>
      <c r="I6" s="12" t="n">
        <v>45413</v>
      </c>
      <c r="J6" s="13" t="s">
        <v>192</v>
      </c>
      <c r="K6" s="15" t="n">
        <v>45.9</v>
      </c>
    </row>
    <row r="7" customFormat="false" ht="15" hidden="false" customHeight="false" outlineLevel="0" collapsed="false">
      <c r="A7" s="12" t="n">
        <v>45383</v>
      </c>
      <c r="B7" s="13" t="s">
        <v>193</v>
      </c>
      <c r="C7" s="14" t="n">
        <v>188866</v>
      </c>
      <c r="D7" s="15" t="n">
        <v>95.4</v>
      </c>
      <c r="E7" s="14" t="n">
        <v>6494</v>
      </c>
      <c r="F7" s="15" t="n">
        <v>94.8</v>
      </c>
      <c r="G7" s="16" t="s">
        <v>190</v>
      </c>
      <c r="I7" s="12" t="n">
        <v>45413</v>
      </c>
      <c r="J7" s="13" t="s">
        <v>191</v>
      </c>
      <c r="K7" s="15" t="n">
        <v>56.2</v>
      </c>
    </row>
    <row r="8" customFormat="false" ht="15" hidden="false" customHeight="false" outlineLevel="0" collapsed="false">
      <c r="A8" s="12" t="n">
        <v>45383</v>
      </c>
      <c r="B8" s="13" t="s">
        <v>194</v>
      </c>
      <c r="C8" s="14" t="n">
        <v>12280</v>
      </c>
      <c r="D8" s="15" t="n">
        <v>-44.5</v>
      </c>
      <c r="E8" s="14" t="n">
        <v>395</v>
      </c>
      <c r="F8" s="15" t="n">
        <v>-43.9</v>
      </c>
      <c r="G8" s="16" t="s">
        <v>190</v>
      </c>
      <c r="I8" s="12" t="n">
        <v>45413</v>
      </c>
      <c r="J8" s="13" t="s">
        <v>193</v>
      </c>
      <c r="K8" s="15" t="n">
        <v>130.7</v>
      </c>
    </row>
    <row r="9" customFormat="false" ht="15" hidden="false" customHeight="false" outlineLevel="0" collapsed="false">
      <c r="A9" s="12" t="n">
        <v>45383</v>
      </c>
      <c r="B9" s="13" t="s">
        <v>195</v>
      </c>
      <c r="C9" s="14" t="n">
        <v>45082</v>
      </c>
      <c r="D9" s="15" t="n">
        <v>-0.4</v>
      </c>
      <c r="E9" s="14" t="n">
        <v>1611</v>
      </c>
      <c r="F9" s="15" t="n">
        <v>28.9</v>
      </c>
      <c r="G9" s="16" t="s">
        <v>190</v>
      </c>
      <c r="I9" s="12" t="n">
        <v>45413</v>
      </c>
      <c r="J9" s="13" t="s">
        <v>196</v>
      </c>
      <c r="K9" s="15" t="n">
        <v>137.8</v>
      </c>
    </row>
    <row r="10" customFormat="false" ht="15" hidden="false" customHeight="false" outlineLevel="0" collapsed="false">
      <c r="A10" s="12" t="n">
        <v>45383</v>
      </c>
      <c r="B10" s="13" t="s">
        <v>196</v>
      </c>
      <c r="C10" s="14" t="n">
        <v>42838</v>
      </c>
      <c r="D10" s="15" t="n">
        <v>-16.3</v>
      </c>
      <c r="E10" s="14" t="n">
        <v>1188</v>
      </c>
      <c r="F10" s="15" t="n">
        <v>-24.7</v>
      </c>
      <c r="G10" s="16" t="s">
        <v>190</v>
      </c>
      <c r="I10" s="2" t="s">
        <v>197</v>
      </c>
    </row>
    <row r="11" customFormat="false" ht="15" hidden="false" customHeight="false" outlineLevel="0" collapsed="false">
      <c r="A11" s="12" t="n">
        <v>45383</v>
      </c>
      <c r="B11" s="13" t="s">
        <v>192</v>
      </c>
      <c r="C11" s="14" t="n">
        <v>379038</v>
      </c>
      <c r="D11" s="15" t="n">
        <v>28.2</v>
      </c>
      <c r="E11" s="14" t="n">
        <v>12780</v>
      </c>
      <c r="F11" s="15" t="n">
        <v>27.3</v>
      </c>
      <c r="G11" s="16" t="s">
        <v>190</v>
      </c>
    </row>
    <row r="12" customFormat="false" ht="15" hidden="false" customHeight="false" outlineLevel="0" collapsed="false">
      <c r="A12" s="12" t="n">
        <v>45444</v>
      </c>
      <c r="B12" s="13" t="s">
        <v>189</v>
      </c>
      <c r="C12" s="14" t="n">
        <v>16156</v>
      </c>
      <c r="D12" s="15" t="n">
        <v>13.8</v>
      </c>
      <c r="E12" s="14" t="n">
        <v>426</v>
      </c>
      <c r="F12" s="15" t="n">
        <v>-30</v>
      </c>
      <c r="G12" s="16" t="s">
        <v>198</v>
      </c>
    </row>
    <row r="13" customFormat="false" ht="15" hidden="false" customHeight="false" outlineLevel="0" collapsed="false">
      <c r="A13" s="12" t="n">
        <v>45444</v>
      </c>
      <c r="B13" s="13" t="s">
        <v>191</v>
      </c>
      <c r="C13" s="14" t="n">
        <v>338211</v>
      </c>
      <c r="D13" s="15" t="n">
        <v>42.9</v>
      </c>
      <c r="E13" s="14" t="n">
        <v>11035</v>
      </c>
      <c r="F13" s="15" t="n">
        <v>28.5</v>
      </c>
      <c r="G13" s="16" t="s">
        <v>198</v>
      </c>
    </row>
    <row r="14" customFormat="false" ht="15" hidden="false" customHeight="false" outlineLevel="0" collapsed="false">
      <c r="A14" s="12" t="n">
        <v>45444</v>
      </c>
      <c r="B14" s="13" t="s">
        <v>193</v>
      </c>
      <c r="C14" s="14" t="n">
        <v>192584</v>
      </c>
      <c r="D14" s="15" t="n">
        <v>47.7</v>
      </c>
      <c r="E14" s="14" t="n">
        <v>6249</v>
      </c>
      <c r="F14" s="15" t="n">
        <v>30.5</v>
      </c>
      <c r="G14" s="16" t="s">
        <v>198</v>
      </c>
    </row>
    <row r="15" customFormat="false" ht="15" hidden="false" customHeight="false" outlineLevel="0" collapsed="false">
      <c r="A15" s="12" t="n">
        <v>45444</v>
      </c>
      <c r="B15" s="13" t="s">
        <v>194</v>
      </c>
      <c r="C15" s="14" t="n">
        <v>10419</v>
      </c>
      <c r="D15" s="15" t="n">
        <v>-48.7</v>
      </c>
      <c r="E15" s="14" t="n">
        <v>280</v>
      </c>
      <c r="F15" s="15" t="n">
        <v>-49.7</v>
      </c>
      <c r="G15" s="16" t="s">
        <v>198</v>
      </c>
    </row>
    <row r="16" customFormat="false" ht="15" hidden="false" customHeight="false" outlineLevel="0" collapsed="false">
      <c r="A16" s="12" t="n">
        <v>45444</v>
      </c>
      <c r="B16" s="13" t="s">
        <v>195</v>
      </c>
      <c r="C16" s="14" t="n">
        <v>54349</v>
      </c>
      <c r="D16" s="15" t="n">
        <v>7.6</v>
      </c>
      <c r="E16" s="14" t="n">
        <v>1963</v>
      </c>
      <c r="F16" s="15" t="n">
        <v>42.6</v>
      </c>
      <c r="G16" s="16" t="s">
        <v>198</v>
      </c>
    </row>
    <row r="17" customFormat="false" ht="15" hidden="false" customHeight="false" outlineLevel="0" collapsed="false">
      <c r="A17" s="12" t="n">
        <v>45444</v>
      </c>
      <c r="B17" s="13" t="s">
        <v>196</v>
      </c>
      <c r="C17" s="14" t="n">
        <v>47981</v>
      </c>
      <c r="D17" s="15" t="n">
        <v>58.4</v>
      </c>
      <c r="E17" s="14" t="n">
        <v>1018</v>
      </c>
      <c r="F17" s="15" t="n">
        <v>18.2</v>
      </c>
      <c r="G17" s="16" t="s">
        <v>198</v>
      </c>
    </row>
    <row r="18" customFormat="false" ht="15" hidden="false" customHeight="false" outlineLevel="0" collapsed="false">
      <c r="A18" s="12" t="n">
        <v>45444</v>
      </c>
      <c r="B18" s="13" t="s">
        <v>192</v>
      </c>
      <c r="C18" s="14" t="n">
        <v>397166</v>
      </c>
      <c r="D18" s="15" t="n">
        <v>37.9</v>
      </c>
      <c r="E18" s="14" t="n">
        <v>12343</v>
      </c>
      <c r="F18" s="15" t="n">
        <v>23</v>
      </c>
      <c r="G18" s="16" t="s">
        <v>198</v>
      </c>
    </row>
    <row r="19" customFormat="false" ht="15" hidden="false" customHeight="false" outlineLevel="0" collapsed="false">
      <c r="A19" s="12" t="n">
        <v>45474</v>
      </c>
      <c r="B19" s="13" t="s">
        <v>189</v>
      </c>
      <c r="C19" s="14" t="n">
        <v>19766</v>
      </c>
      <c r="D19" s="15" t="n">
        <v>35.4</v>
      </c>
      <c r="E19" s="14" t="n">
        <v>564</v>
      </c>
      <c r="F19" s="15" t="n">
        <v>-14.4</v>
      </c>
      <c r="G19" s="16" t="s">
        <v>199</v>
      </c>
    </row>
    <row r="20" customFormat="false" ht="15" hidden="false" customHeight="false" outlineLevel="0" collapsed="false">
      <c r="A20" s="12" t="n">
        <v>45474</v>
      </c>
      <c r="B20" s="13" t="s">
        <v>191</v>
      </c>
      <c r="C20" s="14" t="n">
        <v>314213</v>
      </c>
      <c r="D20" s="15" t="n">
        <v>32.6</v>
      </c>
      <c r="E20" s="14" t="n">
        <v>9989</v>
      </c>
      <c r="F20" s="15" t="n">
        <v>-2.3</v>
      </c>
      <c r="G20" s="16" t="s">
        <v>199</v>
      </c>
    </row>
    <row r="21" customFormat="false" ht="15" hidden="false" customHeight="false" outlineLevel="0" collapsed="false">
      <c r="A21" s="12" t="n">
        <v>45474</v>
      </c>
      <c r="B21" s="13" t="s">
        <v>193</v>
      </c>
      <c r="C21" s="14" t="n">
        <v>163858</v>
      </c>
      <c r="D21" s="15" t="n">
        <v>16.6</v>
      </c>
      <c r="E21" s="14" t="n">
        <v>5287</v>
      </c>
      <c r="F21" s="15" t="n">
        <v>-19.1</v>
      </c>
      <c r="G21" s="16" t="s">
        <v>199</v>
      </c>
    </row>
    <row r="22" customFormat="false" ht="15" hidden="false" customHeight="false" outlineLevel="0" collapsed="false">
      <c r="A22" s="12" t="n">
        <v>45474</v>
      </c>
      <c r="B22" s="13" t="s">
        <v>194</v>
      </c>
      <c r="C22" s="14" t="n">
        <v>8783</v>
      </c>
      <c r="D22" s="15" t="n">
        <v>-49.1</v>
      </c>
      <c r="E22" s="14" t="n">
        <v>261</v>
      </c>
      <c r="F22" s="15" t="n">
        <v>-56.9</v>
      </c>
      <c r="G22" s="16" t="s">
        <v>199</v>
      </c>
    </row>
    <row r="23" customFormat="false" ht="15" hidden="false" customHeight="false" outlineLevel="0" collapsed="false">
      <c r="A23" s="12" t="n">
        <v>45474</v>
      </c>
      <c r="B23" s="13" t="s">
        <v>195</v>
      </c>
      <c r="C23" s="14" t="n">
        <v>51193</v>
      </c>
      <c r="D23" s="15" t="n">
        <v>16.2</v>
      </c>
      <c r="E23" s="14" t="n">
        <v>1565</v>
      </c>
      <c r="F23" s="15" t="n">
        <v>-0.5</v>
      </c>
      <c r="G23" s="16" t="s">
        <v>199</v>
      </c>
    </row>
    <row r="24" customFormat="false" ht="15" hidden="false" customHeight="false" outlineLevel="0" collapsed="false">
      <c r="A24" s="12" t="n">
        <v>45474</v>
      </c>
      <c r="B24" s="13" t="s">
        <v>196</v>
      </c>
      <c r="C24" s="14" t="n">
        <v>43964</v>
      </c>
      <c r="D24" s="15" t="n">
        <v>30.8</v>
      </c>
      <c r="E24" s="14" t="n">
        <v>1034</v>
      </c>
      <c r="F24" s="15" t="n">
        <v>16.2</v>
      </c>
      <c r="G24" s="16" t="s">
        <v>199</v>
      </c>
    </row>
    <row r="25" customFormat="false" ht="15" hidden="false" customHeight="false" outlineLevel="0" collapsed="false">
      <c r="A25" s="12" t="n">
        <v>45474</v>
      </c>
      <c r="B25" s="13" t="s">
        <v>192</v>
      </c>
      <c r="C25" s="14" t="n">
        <v>368544</v>
      </c>
      <c r="D25" s="15" t="n">
        <v>27.8</v>
      </c>
      <c r="E25" s="14" t="n">
        <v>11360</v>
      </c>
      <c r="F25" s="15" t="n">
        <v>-3.2</v>
      </c>
      <c r="G25" s="16" t="s">
        <v>199</v>
      </c>
    </row>
    <row r="26" customFormat="false" ht="15" hidden="false" customHeight="false" outlineLevel="0" collapsed="false">
      <c r="A26" s="12" t="n">
        <v>45505</v>
      </c>
      <c r="B26" s="13" t="s">
        <v>189</v>
      </c>
      <c r="C26" s="14" t="n">
        <v>20870</v>
      </c>
      <c r="D26" s="15" t="n">
        <v>49.7</v>
      </c>
      <c r="E26" s="14" t="n">
        <v>474</v>
      </c>
      <c r="F26" s="15" t="n">
        <v>-9.9</v>
      </c>
      <c r="G26" s="16" t="s">
        <v>200</v>
      </c>
    </row>
    <row r="27" customFormat="false" ht="15" hidden="false" customHeight="false" outlineLevel="0" collapsed="false">
      <c r="A27" s="12" t="n">
        <v>45505</v>
      </c>
      <c r="B27" s="13" t="s">
        <v>191</v>
      </c>
      <c r="C27" s="14" t="n">
        <v>293075</v>
      </c>
      <c r="D27" s="15" t="n">
        <v>63.9</v>
      </c>
      <c r="E27" s="14" t="n">
        <v>10153</v>
      </c>
      <c r="F27" s="15" t="n">
        <v>45.1</v>
      </c>
      <c r="G27" s="16" t="s">
        <v>200</v>
      </c>
    </row>
    <row r="28" customFormat="false" ht="15" hidden="false" customHeight="false" outlineLevel="0" collapsed="false">
      <c r="A28" s="12" t="n">
        <v>45505</v>
      </c>
      <c r="B28" s="13" t="s">
        <v>193</v>
      </c>
      <c r="C28" s="14" t="n">
        <v>179927</v>
      </c>
      <c r="D28" s="15" t="n">
        <v>61.6</v>
      </c>
      <c r="E28" s="14" t="n">
        <v>6742</v>
      </c>
      <c r="F28" s="15" t="n">
        <v>41</v>
      </c>
      <c r="G28" s="16" t="s">
        <v>200</v>
      </c>
    </row>
    <row r="29" customFormat="false" ht="15" hidden="false" customHeight="false" outlineLevel="0" collapsed="false">
      <c r="A29" s="12" t="n">
        <v>45505</v>
      </c>
      <c r="B29" s="13" t="s">
        <v>194</v>
      </c>
      <c r="C29" s="14" t="n">
        <v>11618</v>
      </c>
      <c r="D29" s="15" t="n">
        <v>-17</v>
      </c>
      <c r="E29" s="14" t="n">
        <v>255</v>
      </c>
      <c r="F29" s="15" t="n">
        <v>-41</v>
      </c>
      <c r="G29" s="16" t="s">
        <v>200</v>
      </c>
    </row>
    <row r="30" customFormat="false" ht="15" hidden="false" customHeight="false" outlineLevel="0" collapsed="false">
      <c r="A30" s="12" t="n">
        <v>45505</v>
      </c>
      <c r="B30" s="13" t="s">
        <v>195</v>
      </c>
      <c r="C30" s="14" t="n">
        <v>44878</v>
      </c>
      <c r="D30" s="15" t="n">
        <v>54.5</v>
      </c>
      <c r="E30" s="14" t="n">
        <v>1339</v>
      </c>
      <c r="F30" s="15" t="n">
        <v>74.2</v>
      </c>
      <c r="G30" s="16" t="s">
        <v>200</v>
      </c>
    </row>
    <row r="31" customFormat="false" ht="15" hidden="false" customHeight="false" outlineLevel="0" collapsed="false">
      <c r="A31" s="12" t="n">
        <v>45505</v>
      </c>
      <c r="B31" s="13" t="s">
        <v>196</v>
      </c>
      <c r="C31" s="14" t="n">
        <v>37317</v>
      </c>
      <c r="D31" s="15" t="n">
        <v>41.4</v>
      </c>
      <c r="E31" s="14" t="n">
        <v>908</v>
      </c>
      <c r="F31" s="15" t="n">
        <v>55.8</v>
      </c>
      <c r="G31" s="16" t="s">
        <v>200</v>
      </c>
    </row>
    <row r="32" customFormat="false" ht="15" hidden="false" customHeight="false" outlineLevel="0" collapsed="false">
      <c r="A32" s="12" t="n">
        <v>45505</v>
      </c>
      <c r="B32" s="13" t="s">
        <v>192</v>
      </c>
      <c r="C32" s="14" t="n">
        <v>342924</v>
      </c>
      <c r="D32" s="15" t="n">
        <v>55.2</v>
      </c>
      <c r="E32" s="14" t="n">
        <v>11409</v>
      </c>
      <c r="F32" s="15" t="n">
        <v>41.3</v>
      </c>
      <c r="G32" s="16" t="s">
        <v>200</v>
      </c>
    </row>
    <row r="33" customFormat="false" ht="15" hidden="false" customHeight="false" outlineLevel="0" collapsed="false">
      <c r="A33" s="12" t="n">
        <v>45536</v>
      </c>
      <c r="B33" s="13" t="s">
        <v>189</v>
      </c>
      <c r="C33" s="14" t="n">
        <v>27540</v>
      </c>
      <c r="D33" s="15" t="n">
        <v>57.7</v>
      </c>
      <c r="E33" s="14" t="n">
        <v>593</v>
      </c>
      <c r="F33" s="15" t="n">
        <v>-13.7</v>
      </c>
      <c r="G33" s="16" t="s">
        <v>201</v>
      </c>
    </row>
    <row r="34" customFormat="false" ht="15" hidden="false" customHeight="false" outlineLevel="0" collapsed="false">
      <c r="A34" s="12" t="n">
        <v>45536</v>
      </c>
      <c r="B34" s="13" t="s">
        <v>191</v>
      </c>
      <c r="C34" s="14" t="n">
        <v>327248</v>
      </c>
      <c r="D34" s="15" t="n">
        <v>24.2</v>
      </c>
      <c r="E34" s="14" t="n">
        <v>10402</v>
      </c>
      <c r="F34" s="15" t="n">
        <v>13.9</v>
      </c>
      <c r="G34" s="16" t="s">
        <v>201</v>
      </c>
    </row>
    <row r="35" customFormat="false" ht="15" hidden="false" customHeight="false" outlineLevel="0" collapsed="false">
      <c r="A35" s="12" t="n">
        <v>45536</v>
      </c>
      <c r="B35" s="13" t="s">
        <v>193</v>
      </c>
      <c r="C35" s="14" t="n">
        <v>194671</v>
      </c>
      <c r="D35" s="15" t="n">
        <v>16.8</v>
      </c>
      <c r="E35" s="14" t="n">
        <v>6314</v>
      </c>
      <c r="F35" s="15" t="n">
        <v>4.3</v>
      </c>
      <c r="G35" s="16" t="s">
        <v>201</v>
      </c>
    </row>
    <row r="36" customFormat="false" ht="15" hidden="false" customHeight="false" outlineLevel="0" collapsed="false">
      <c r="A36" s="12" t="n">
        <v>45536</v>
      </c>
      <c r="B36" s="13" t="s">
        <v>194</v>
      </c>
      <c r="C36" s="14" t="n">
        <v>10166</v>
      </c>
      <c r="D36" s="15" t="n">
        <v>-39.2</v>
      </c>
      <c r="E36" s="14" t="n">
        <v>288</v>
      </c>
      <c r="F36" s="15" t="n">
        <v>-42.1</v>
      </c>
      <c r="G36" s="16" t="s">
        <v>201</v>
      </c>
    </row>
    <row r="37" customFormat="false" ht="15" hidden="false" customHeight="false" outlineLevel="0" collapsed="false">
      <c r="A37" s="12" t="n">
        <v>45536</v>
      </c>
      <c r="B37" s="13" t="s">
        <v>195</v>
      </c>
      <c r="C37" s="14" t="n">
        <v>48086</v>
      </c>
      <c r="D37" s="15" t="n">
        <v>7.7</v>
      </c>
      <c r="E37" s="14" t="n">
        <v>1595</v>
      </c>
      <c r="F37" s="15" t="n">
        <v>58.8</v>
      </c>
      <c r="G37" s="16" t="s">
        <v>201</v>
      </c>
    </row>
    <row r="38" customFormat="false" ht="15" hidden="false" customHeight="false" outlineLevel="0" collapsed="false">
      <c r="A38" s="12" t="n">
        <v>45536</v>
      </c>
      <c r="B38" s="13" t="s">
        <v>196</v>
      </c>
      <c r="C38" s="14" t="n">
        <v>58420</v>
      </c>
      <c r="D38" s="15" t="n">
        <v>74.5</v>
      </c>
      <c r="E38" s="14" t="n">
        <v>1403</v>
      </c>
      <c r="F38" s="15" t="n">
        <v>59.5</v>
      </c>
      <c r="G38" s="16" t="s">
        <v>201</v>
      </c>
    </row>
    <row r="39" customFormat="false" ht="15" hidden="false" customHeight="false" outlineLevel="0" collapsed="false">
      <c r="A39" s="12" t="n">
        <v>45536</v>
      </c>
      <c r="B39" s="13" t="s">
        <v>192</v>
      </c>
      <c r="C39" s="14" t="n">
        <v>397027</v>
      </c>
      <c r="D39" s="15" t="n">
        <v>26.3</v>
      </c>
      <c r="E39" s="14" t="n">
        <v>12223</v>
      </c>
      <c r="F39" s="15" t="n">
        <v>15.9</v>
      </c>
      <c r="G39" s="16" t="s">
        <v>201</v>
      </c>
    </row>
    <row r="40" customFormat="false" ht="15" hidden="false" customHeight="false" outlineLevel="0" collapsed="false">
      <c r="A40" s="12" t="n">
        <v>45566</v>
      </c>
      <c r="B40" s="13" t="s">
        <v>189</v>
      </c>
      <c r="C40" s="14" t="n">
        <v>31488</v>
      </c>
      <c r="D40" s="15" t="n">
        <v>118.9</v>
      </c>
      <c r="E40" s="14" t="n">
        <v>895</v>
      </c>
      <c r="F40" s="15" t="n">
        <v>58.5</v>
      </c>
      <c r="G40" s="16" t="s">
        <v>202</v>
      </c>
    </row>
    <row r="41" customFormat="false" ht="15" hidden="false" customHeight="false" outlineLevel="0" collapsed="false">
      <c r="A41" s="12" t="n">
        <v>45566</v>
      </c>
      <c r="B41" s="13" t="s">
        <v>191</v>
      </c>
      <c r="C41" s="14" t="n">
        <v>335917</v>
      </c>
      <c r="D41" s="15" t="n">
        <v>53.5</v>
      </c>
      <c r="E41" s="14" t="n">
        <v>11050</v>
      </c>
      <c r="F41" s="15" t="n">
        <v>27.8</v>
      </c>
      <c r="G41" s="16" t="s">
        <v>202</v>
      </c>
    </row>
    <row r="42" customFormat="false" ht="15" hidden="false" customHeight="false" outlineLevel="0" collapsed="false">
      <c r="A42" s="12" t="n">
        <v>45566</v>
      </c>
      <c r="B42" s="13" t="s">
        <v>193</v>
      </c>
      <c r="C42" s="14" t="n">
        <v>184041</v>
      </c>
      <c r="D42" s="15" t="n">
        <v>33.4</v>
      </c>
      <c r="E42" s="14" t="n">
        <v>6213</v>
      </c>
      <c r="F42" s="15" t="n">
        <v>11.6</v>
      </c>
      <c r="G42" s="16" t="s">
        <v>202</v>
      </c>
    </row>
    <row r="43" customFormat="false" ht="15" hidden="false" customHeight="false" outlineLevel="0" collapsed="false">
      <c r="A43" s="12" t="n">
        <v>45566</v>
      </c>
      <c r="B43" s="13" t="s">
        <v>194</v>
      </c>
      <c r="C43" s="14" t="n">
        <v>13181</v>
      </c>
      <c r="D43" s="15" t="n">
        <v>-20.7</v>
      </c>
      <c r="E43" s="14" t="n">
        <v>367</v>
      </c>
      <c r="F43" s="15" t="n">
        <v>-35.7</v>
      </c>
      <c r="G43" s="16" t="s">
        <v>202</v>
      </c>
    </row>
    <row r="44" customFormat="false" ht="15" hidden="false" customHeight="false" outlineLevel="0" collapsed="false">
      <c r="A44" s="12" t="n">
        <v>45566</v>
      </c>
      <c r="B44" s="13" t="s">
        <v>195</v>
      </c>
      <c r="C44" s="14" t="n">
        <v>62755</v>
      </c>
      <c r="D44" s="15" t="n">
        <v>124.6</v>
      </c>
      <c r="E44" s="14" t="n">
        <v>1836</v>
      </c>
      <c r="F44" s="15" t="n">
        <v>94.3</v>
      </c>
      <c r="G44" s="16" t="s">
        <v>202</v>
      </c>
    </row>
    <row r="45" customFormat="false" ht="15" hidden="false" customHeight="false" outlineLevel="0" collapsed="false">
      <c r="A45" s="12" t="n">
        <v>45566</v>
      </c>
      <c r="B45" s="13" t="s">
        <v>196</v>
      </c>
      <c r="C45" s="14" t="n">
        <v>57584</v>
      </c>
      <c r="D45" s="15" t="n">
        <v>15.2</v>
      </c>
      <c r="E45" s="14" t="n">
        <v>1217</v>
      </c>
      <c r="F45" s="15" t="n">
        <v>7.8</v>
      </c>
      <c r="G45" s="16" t="s">
        <v>202</v>
      </c>
    </row>
    <row r="46" customFormat="false" ht="15" hidden="false" customHeight="false" outlineLevel="0" collapsed="false">
      <c r="A46" s="12" t="n">
        <v>45566</v>
      </c>
      <c r="B46" s="13" t="s">
        <v>192</v>
      </c>
      <c r="C46" s="14" t="n">
        <v>407598</v>
      </c>
      <c r="D46" s="15" t="n">
        <v>42.6</v>
      </c>
      <c r="E46" s="14" t="n">
        <v>12677</v>
      </c>
      <c r="F46" s="15" t="n">
        <v>22.4</v>
      </c>
      <c r="G46" s="16" t="s">
        <v>202</v>
      </c>
    </row>
    <row r="47" customFormat="false" ht="15" hidden="false" customHeight="false" outlineLevel="0" collapsed="false">
      <c r="A47" s="12" t="n">
        <v>45597</v>
      </c>
      <c r="B47" s="13" t="s">
        <v>189</v>
      </c>
      <c r="C47" s="14" t="n">
        <v>21186</v>
      </c>
      <c r="D47" s="15" t="n">
        <v>47.5</v>
      </c>
      <c r="E47" s="14" t="n">
        <v>500</v>
      </c>
      <c r="F47" s="15" t="n">
        <v>5.9</v>
      </c>
      <c r="G47" s="16" t="s">
        <v>203</v>
      </c>
    </row>
    <row r="48" customFormat="false" ht="15" hidden="false" customHeight="false" outlineLevel="0" collapsed="false">
      <c r="A48" s="12" t="n">
        <v>45597</v>
      </c>
      <c r="B48" s="13" t="s">
        <v>191</v>
      </c>
      <c r="C48" s="14" t="n">
        <v>322003</v>
      </c>
      <c r="D48" s="15" t="n">
        <v>36.8</v>
      </c>
      <c r="E48" s="14" t="n">
        <v>10225</v>
      </c>
      <c r="F48" s="15" t="n">
        <v>11.5</v>
      </c>
      <c r="G48" s="16" t="s">
        <v>203</v>
      </c>
    </row>
    <row r="49" customFormat="false" ht="15" hidden="false" customHeight="false" outlineLevel="0" collapsed="false">
      <c r="A49" s="12" t="n">
        <v>45597</v>
      </c>
      <c r="B49" s="13" t="s">
        <v>193</v>
      </c>
      <c r="C49" s="14" t="n">
        <v>164134</v>
      </c>
      <c r="D49" s="15" t="n">
        <v>4.2</v>
      </c>
      <c r="E49" s="14" t="n">
        <v>5178</v>
      </c>
      <c r="F49" s="15" t="n">
        <v>-19.7</v>
      </c>
      <c r="G49" s="16" t="s">
        <v>203</v>
      </c>
    </row>
    <row r="50" customFormat="false" ht="15" hidden="false" customHeight="false" outlineLevel="0" collapsed="false">
      <c r="A50" s="12" t="n">
        <v>45597</v>
      </c>
      <c r="B50" s="13" t="s">
        <v>194</v>
      </c>
      <c r="C50" s="14" t="n">
        <v>9276</v>
      </c>
      <c r="D50" s="15" t="n">
        <v>-18.8</v>
      </c>
      <c r="E50" s="14" t="n">
        <v>253</v>
      </c>
      <c r="F50" s="15" t="n">
        <v>-15.4</v>
      </c>
      <c r="G50" s="16" t="s">
        <v>203</v>
      </c>
    </row>
    <row r="51" customFormat="false" ht="15" hidden="false" customHeight="false" outlineLevel="0" collapsed="false">
      <c r="A51" s="12" t="n">
        <v>45597</v>
      </c>
      <c r="B51" s="13" t="s">
        <v>195</v>
      </c>
      <c r="C51" s="14" t="n">
        <v>55648</v>
      </c>
      <c r="D51" s="15" t="n">
        <v>89.9</v>
      </c>
      <c r="E51" s="14" t="n">
        <v>1744</v>
      </c>
      <c r="F51" s="15" t="n">
        <v>91.8</v>
      </c>
      <c r="G51" s="16" t="s">
        <v>203</v>
      </c>
    </row>
    <row r="52" customFormat="false" ht="15" hidden="false" customHeight="false" outlineLevel="0" collapsed="false">
      <c r="A52" s="12" t="n">
        <v>45597</v>
      </c>
      <c r="B52" s="13" t="s">
        <v>196</v>
      </c>
      <c r="C52" s="14" t="n">
        <v>42000</v>
      </c>
      <c r="D52" s="15" t="n">
        <v>17.6</v>
      </c>
      <c r="E52" s="14" t="n">
        <v>1046</v>
      </c>
      <c r="F52" s="15" t="n">
        <v>34.6</v>
      </c>
      <c r="G52" s="16" t="s">
        <v>203</v>
      </c>
    </row>
    <row r="53" customFormat="false" ht="15" hidden="false" customHeight="false" outlineLevel="0" collapsed="false">
      <c r="A53" s="12" t="n">
        <v>45597</v>
      </c>
      <c r="B53" s="13" t="s">
        <v>192</v>
      </c>
      <c r="C53" s="14" t="n">
        <v>374360</v>
      </c>
      <c r="D53" s="15" t="n">
        <v>32.1</v>
      </c>
      <c r="E53" s="14" t="n">
        <v>11560</v>
      </c>
      <c r="F53" s="15" t="n">
        <v>12.5</v>
      </c>
      <c r="G53" s="16" t="s">
        <v>203</v>
      </c>
    </row>
    <row r="54" customFormat="false" ht="15" hidden="false" customHeight="false" outlineLevel="0" collapsed="false">
      <c r="A54" s="12" t="n">
        <v>45627</v>
      </c>
      <c r="B54" s="13" t="s">
        <v>189</v>
      </c>
      <c r="C54" s="14" t="n">
        <v>27080</v>
      </c>
      <c r="D54" s="15" t="n">
        <v>34</v>
      </c>
      <c r="E54" s="14" t="n">
        <v>773</v>
      </c>
      <c r="F54" s="15" t="n">
        <v>23.6</v>
      </c>
      <c r="G54" s="16" t="s">
        <v>204</v>
      </c>
    </row>
    <row r="55" customFormat="false" ht="15" hidden="false" customHeight="false" outlineLevel="0" collapsed="false">
      <c r="A55" s="12" t="n">
        <v>45627</v>
      </c>
      <c r="B55" s="13" t="s">
        <v>191</v>
      </c>
      <c r="C55" s="14" t="n">
        <v>392832</v>
      </c>
      <c r="D55" s="15" t="n">
        <v>11.2</v>
      </c>
      <c r="E55" s="14" t="n">
        <v>11160</v>
      </c>
      <c r="F55" s="15" t="n">
        <v>-7.7</v>
      </c>
      <c r="G55" s="16" t="s">
        <v>204</v>
      </c>
    </row>
    <row r="56" customFormat="false" ht="15" hidden="false" customHeight="false" outlineLevel="0" collapsed="false">
      <c r="A56" s="12" t="n">
        <v>45627</v>
      </c>
      <c r="B56" s="13" t="s">
        <v>193</v>
      </c>
      <c r="C56" s="14" t="n">
        <v>199284</v>
      </c>
      <c r="D56" s="15" t="n">
        <v>-10.4</v>
      </c>
      <c r="E56" s="14" t="n">
        <v>5637</v>
      </c>
      <c r="F56" s="15" t="n">
        <v>-28.2</v>
      </c>
      <c r="G56" s="16" t="s">
        <v>204</v>
      </c>
    </row>
    <row r="57" customFormat="false" ht="15" hidden="false" customHeight="false" outlineLevel="0" collapsed="false">
      <c r="A57" s="12" t="n">
        <v>45627</v>
      </c>
      <c r="B57" s="13" t="s">
        <v>194</v>
      </c>
      <c r="C57" s="14" t="n">
        <v>13060</v>
      </c>
      <c r="D57" s="15" t="n">
        <v>9.5</v>
      </c>
      <c r="E57" s="14" t="n">
        <v>417</v>
      </c>
      <c r="F57" s="15" t="n">
        <v>7.4</v>
      </c>
      <c r="G57" s="16" t="s">
        <v>204</v>
      </c>
    </row>
    <row r="58" customFormat="false" ht="15" hidden="false" customHeight="false" outlineLevel="0" collapsed="false">
      <c r="A58" s="12" t="n">
        <v>45627</v>
      </c>
      <c r="B58" s="13" t="s">
        <v>195</v>
      </c>
      <c r="C58" s="14" t="n">
        <v>69625</v>
      </c>
      <c r="D58" s="15" t="n">
        <v>20.7</v>
      </c>
      <c r="E58" s="14" t="n">
        <v>1785</v>
      </c>
      <c r="F58" s="15" t="n">
        <v>7.8</v>
      </c>
      <c r="G58" s="16" t="s">
        <v>204</v>
      </c>
    </row>
    <row r="59" customFormat="false" ht="15" hidden="false" customHeight="false" outlineLevel="0" collapsed="false">
      <c r="A59" s="12" t="n">
        <v>45627</v>
      </c>
      <c r="B59" s="13" t="s">
        <v>196</v>
      </c>
      <c r="C59" s="14" t="n">
        <v>41659</v>
      </c>
      <c r="D59" s="15" t="n">
        <v>2.2</v>
      </c>
      <c r="E59" s="14" t="n">
        <v>990</v>
      </c>
      <c r="F59" s="15" t="n">
        <v>7.3</v>
      </c>
      <c r="G59" s="16" t="s">
        <v>204</v>
      </c>
    </row>
    <row r="60" customFormat="false" ht="15" hidden="false" customHeight="false" outlineLevel="0" collapsed="false">
      <c r="A60" s="12" t="n">
        <v>45627</v>
      </c>
      <c r="B60" s="13" t="s">
        <v>192</v>
      </c>
      <c r="C60" s="14" t="n">
        <v>450261</v>
      </c>
      <c r="D60" s="15" t="n">
        <v>10.6</v>
      </c>
      <c r="E60" s="14" t="n">
        <v>12644</v>
      </c>
      <c r="F60" s="15" t="n">
        <v>-5.9</v>
      </c>
      <c r="G60" s="16" t="s">
        <v>204</v>
      </c>
    </row>
    <row r="61" customFormat="false" ht="15" hidden="false" customHeight="false" outlineLevel="0" collapsed="false">
      <c r="A61" s="12" t="n">
        <v>45658</v>
      </c>
      <c r="B61" s="13" t="s">
        <v>189</v>
      </c>
      <c r="C61" s="14" t="n">
        <v>19045</v>
      </c>
      <c r="D61" s="15" t="n">
        <v>1.5</v>
      </c>
      <c r="E61" s="14" t="n">
        <v>529</v>
      </c>
      <c r="F61" s="15" t="n">
        <v>-14.8</v>
      </c>
      <c r="G61" s="16" t="s">
        <v>205</v>
      </c>
    </row>
    <row r="62" customFormat="false" ht="15" hidden="false" customHeight="false" outlineLevel="0" collapsed="false">
      <c r="A62" s="12" t="n">
        <v>45658</v>
      </c>
      <c r="B62" s="13" t="s">
        <v>191</v>
      </c>
      <c r="C62" s="14" t="n">
        <v>249060</v>
      </c>
      <c r="D62" s="15" t="n">
        <v>3.2</v>
      </c>
      <c r="E62" s="14" t="n">
        <v>7704</v>
      </c>
      <c r="F62" s="15" t="n">
        <v>-12</v>
      </c>
      <c r="G62" s="16" t="s">
        <v>205</v>
      </c>
    </row>
    <row r="63" customFormat="false" ht="15" hidden="false" customHeight="false" outlineLevel="0" collapsed="false">
      <c r="A63" s="12" t="n">
        <v>45658</v>
      </c>
      <c r="B63" s="13" t="s">
        <v>193</v>
      </c>
      <c r="C63" s="14" t="n">
        <v>98287</v>
      </c>
      <c r="D63" s="15" t="n">
        <v>-20.8</v>
      </c>
      <c r="E63" s="14" t="n">
        <v>3515</v>
      </c>
      <c r="F63" s="15" t="n">
        <v>-32</v>
      </c>
      <c r="G63" s="16" t="s">
        <v>205</v>
      </c>
    </row>
    <row r="64" customFormat="false" ht="15" hidden="false" customHeight="false" outlineLevel="0" collapsed="false">
      <c r="A64" s="12" t="n">
        <v>45658</v>
      </c>
      <c r="B64" s="13" t="s">
        <v>194</v>
      </c>
      <c r="C64" s="14" t="n">
        <v>8960</v>
      </c>
      <c r="D64" s="15" t="n">
        <v>-30.6</v>
      </c>
      <c r="E64" s="14" t="n">
        <v>232</v>
      </c>
      <c r="F64" s="15" t="n">
        <v>-32</v>
      </c>
      <c r="G64" s="16" t="s">
        <v>205</v>
      </c>
    </row>
    <row r="65" customFormat="false" ht="15" hidden="false" customHeight="false" outlineLevel="0" collapsed="false">
      <c r="A65" s="12" t="n">
        <v>45658</v>
      </c>
      <c r="B65" s="13" t="s">
        <v>195</v>
      </c>
      <c r="C65" s="14" t="n">
        <v>50582</v>
      </c>
      <c r="D65" s="15" t="n">
        <v>-15.5</v>
      </c>
      <c r="E65" s="14" t="n">
        <v>1286</v>
      </c>
      <c r="F65" s="15" t="n">
        <v>-21.4</v>
      </c>
      <c r="G65" s="16" t="s">
        <v>205</v>
      </c>
    </row>
    <row r="66" customFormat="false" ht="15" hidden="false" customHeight="false" outlineLevel="0" collapsed="false">
      <c r="A66" s="12" t="n">
        <v>45658</v>
      </c>
      <c r="B66" s="13" t="s">
        <v>196</v>
      </c>
      <c r="C66" s="14" t="n">
        <v>28896</v>
      </c>
      <c r="D66" s="15" t="n">
        <v>-20.2</v>
      </c>
      <c r="E66" s="14" t="n">
        <v>560</v>
      </c>
      <c r="F66" s="15" t="n">
        <v>-39.7</v>
      </c>
      <c r="G66" s="16" t="s">
        <v>205</v>
      </c>
    </row>
    <row r="67" customFormat="false" ht="15" hidden="false" customHeight="false" outlineLevel="0" collapsed="false">
      <c r="A67" s="12" t="n">
        <v>45658</v>
      </c>
      <c r="B67" s="13" t="s">
        <v>192</v>
      </c>
      <c r="C67" s="14" t="n">
        <v>287930</v>
      </c>
      <c r="D67" s="15" t="n">
        <v>-1.1</v>
      </c>
      <c r="E67" s="14" t="n">
        <v>8520</v>
      </c>
      <c r="F67" s="15" t="n">
        <v>-15.2</v>
      </c>
      <c r="G67" s="16" t="s">
        <v>205</v>
      </c>
    </row>
    <row r="68" customFormat="false" ht="15" hidden="false" customHeight="false" outlineLevel="0" collapsed="false">
      <c r="A68" s="12" t="n">
        <v>45689</v>
      </c>
      <c r="B68" s="13" t="s">
        <v>189</v>
      </c>
      <c r="C68" s="14" t="n">
        <v>26523</v>
      </c>
      <c r="D68" s="15" t="n">
        <v>78.3</v>
      </c>
      <c r="E68" s="14" t="n">
        <v>666</v>
      </c>
      <c r="F68" s="15" t="n">
        <v>44.9</v>
      </c>
      <c r="G68" s="16" t="s">
        <v>206</v>
      </c>
    </row>
    <row r="69" customFormat="false" ht="15" hidden="false" customHeight="false" outlineLevel="0" collapsed="false">
      <c r="A69" s="12" t="n">
        <v>45689</v>
      </c>
      <c r="B69" s="13" t="s">
        <v>191</v>
      </c>
      <c r="C69" s="14" t="n">
        <v>355059</v>
      </c>
      <c r="D69" s="15" t="n">
        <v>35.9</v>
      </c>
      <c r="E69" s="14" t="n">
        <v>11185</v>
      </c>
      <c r="F69" s="15" t="n">
        <v>25</v>
      </c>
      <c r="G69" s="16" t="s">
        <v>206</v>
      </c>
    </row>
    <row r="70" customFormat="false" ht="15" hidden="false" customHeight="false" outlineLevel="0" collapsed="false">
      <c r="A70" s="12" t="n">
        <v>45689</v>
      </c>
      <c r="B70" s="13" t="s">
        <v>193</v>
      </c>
      <c r="C70" s="14" t="n">
        <v>145879</v>
      </c>
      <c r="D70" s="15" t="n">
        <v>-11.9</v>
      </c>
      <c r="E70" s="14" t="n">
        <v>5133</v>
      </c>
      <c r="F70" s="15" t="n">
        <v>-8.4</v>
      </c>
      <c r="G70" s="16" t="s">
        <v>206</v>
      </c>
    </row>
    <row r="71" customFormat="false" ht="15" hidden="false" customHeight="false" outlineLevel="0" collapsed="false">
      <c r="A71" s="12" t="n">
        <v>45689</v>
      </c>
      <c r="B71" s="13" t="s">
        <v>194</v>
      </c>
      <c r="C71" s="14" t="n">
        <v>5077</v>
      </c>
      <c r="D71" s="15" t="n">
        <v>-59.9</v>
      </c>
      <c r="E71" s="14" t="n">
        <v>190</v>
      </c>
      <c r="F71" s="15" t="n">
        <v>-58.1</v>
      </c>
      <c r="G71" s="16" t="s">
        <v>206</v>
      </c>
    </row>
    <row r="72" customFormat="false" ht="15" hidden="false" customHeight="false" outlineLevel="0" collapsed="false">
      <c r="A72" s="12" t="n">
        <v>45689</v>
      </c>
      <c r="B72" s="13" t="s">
        <v>195</v>
      </c>
      <c r="C72" s="14" t="n">
        <v>72615</v>
      </c>
      <c r="D72" s="15" t="n">
        <v>48.9</v>
      </c>
      <c r="E72" s="14" t="n">
        <v>1758</v>
      </c>
      <c r="F72" s="15" t="n">
        <v>12.1</v>
      </c>
      <c r="G72" s="16" t="s">
        <v>206</v>
      </c>
    </row>
    <row r="73" customFormat="false" ht="15" hidden="false" customHeight="false" outlineLevel="0" collapsed="false">
      <c r="A73" s="12" t="n">
        <v>45689</v>
      </c>
      <c r="B73" s="13" t="s">
        <v>196</v>
      </c>
      <c r="C73" s="14" t="n">
        <v>35382</v>
      </c>
      <c r="D73" s="15" t="n">
        <v>-1.9</v>
      </c>
      <c r="E73" s="14" t="n">
        <v>716</v>
      </c>
      <c r="F73" s="15" t="n">
        <v>-20.8</v>
      </c>
      <c r="G73" s="16" t="s">
        <v>206</v>
      </c>
    </row>
    <row r="74" customFormat="false" ht="15" hidden="false" customHeight="false" outlineLevel="0" collapsed="false">
      <c r="A74" s="12" t="n">
        <v>45689</v>
      </c>
      <c r="B74" s="13" t="s">
        <v>192</v>
      </c>
      <c r="C74" s="14" t="n">
        <v>396742</v>
      </c>
      <c r="D74" s="15" t="n">
        <v>27.8</v>
      </c>
      <c r="E74" s="14" t="n">
        <v>12137</v>
      </c>
      <c r="F74" s="15" t="n">
        <v>17.6</v>
      </c>
      <c r="G74" s="16" t="s">
        <v>206</v>
      </c>
    </row>
    <row r="75" customFormat="false" ht="15" hidden="false" customHeight="false" outlineLevel="0" collapsed="false">
      <c r="A75" s="12" t="n">
        <v>45717</v>
      </c>
      <c r="B75" s="13" t="s">
        <v>189</v>
      </c>
      <c r="C75" s="14" t="n">
        <v>34086</v>
      </c>
      <c r="D75" s="15" t="n">
        <v>77.6</v>
      </c>
      <c r="E75" s="14" t="n">
        <v>822</v>
      </c>
      <c r="F75" s="15" t="n">
        <v>28.6</v>
      </c>
      <c r="G75" s="16" t="s">
        <v>207</v>
      </c>
    </row>
    <row r="76" customFormat="false" ht="15" hidden="false" customHeight="false" outlineLevel="0" collapsed="false">
      <c r="A76" s="12" t="n">
        <v>45717</v>
      </c>
      <c r="B76" s="13" t="s">
        <v>191</v>
      </c>
      <c r="C76" s="14" t="n">
        <v>451195</v>
      </c>
      <c r="D76" s="15" t="n">
        <v>20.9</v>
      </c>
      <c r="E76" s="14" t="n">
        <v>13319</v>
      </c>
      <c r="F76" s="15" t="n">
        <v>5.3</v>
      </c>
      <c r="G76" s="16" t="s">
        <v>207</v>
      </c>
    </row>
    <row r="77" customFormat="false" ht="15" hidden="false" customHeight="false" outlineLevel="0" collapsed="false">
      <c r="A77" s="12" t="n">
        <v>45717</v>
      </c>
      <c r="B77" s="13" t="s">
        <v>193</v>
      </c>
      <c r="C77" s="14" t="n">
        <v>207493</v>
      </c>
      <c r="D77" s="15" t="n">
        <v>-10.4</v>
      </c>
      <c r="E77" s="14" t="n">
        <v>6775</v>
      </c>
      <c r="F77" s="15" t="n">
        <v>-7.9</v>
      </c>
      <c r="G77" s="16" t="s">
        <v>207</v>
      </c>
    </row>
    <row r="78" customFormat="false" ht="15" hidden="false" customHeight="false" outlineLevel="0" collapsed="false">
      <c r="A78" s="12" t="n">
        <v>45717</v>
      </c>
      <c r="B78" s="13" t="s">
        <v>194</v>
      </c>
      <c r="C78" s="14" t="n">
        <v>9050</v>
      </c>
      <c r="D78" s="15" t="n">
        <v>-37.7</v>
      </c>
      <c r="E78" s="14" t="n">
        <v>297</v>
      </c>
      <c r="F78" s="15" t="n">
        <v>-19.5</v>
      </c>
      <c r="G78" s="16" t="s">
        <v>207</v>
      </c>
    </row>
    <row r="79" customFormat="false" ht="15" hidden="false" customHeight="false" outlineLevel="0" collapsed="false">
      <c r="A79" s="12" t="n">
        <v>45717</v>
      </c>
      <c r="B79" s="13" t="s">
        <v>195</v>
      </c>
      <c r="C79" s="14" t="n">
        <v>99853</v>
      </c>
      <c r="D79" s="15" t="n">
        <v>65.5</v>
      </c>
      <c r="E79" s="14" t="n">
        <v>2349</v>
      </c>
      <c r="F79" s="15" t="n">
        <v>7.5</v>
      </c>
      <c r="G79" s="16" t="s">
        <v>207</v>
      </c>
    </row>
    <row r="80" customFormat="false" ht="15" hidden="false" customHeight="false" outlineLevel="0" collapsed="false">
      <c r="A80" s="12" t="n">
        <v>45717</v>
      </c>
      <c r="B80" s="13" t="s">
        <v>196</v>
      </c>
      <c r="C80" s="14" t="n">
        <v>36234</v>
      </c>
      <c r="D80" s="15" t="n">
        <v>-21.9</v>
      </c>
      <c r="E80" s="14" t="n">
        <v>882</v>
      </c>
      <c r="F80" s="15" t="n">
        <v>-25.1</v>
      </c>
      <c r="G80" s="16" t="s">
        <v>207</v>
      </c>
    </row>
    <row r="81" customFormat="false" ht="15" hidden="false" customHeight="false" outlineLevel="0" collapsed="false">
      <c r="A81" s="12" t="n">
        <v>45717</v>
      </c>
      <c r="B81" s="13" t="s">
        <v>192</v>
      </c>
      <c r="C81" s="14" t="n">
        <v>498420</v>
      </c>
      <c r="D81" s="15" t="n">
        <v>14.6</v>
      </c>
      <c r="E81" s="14" t="n">
        <v>14555</v>
      </c>
      <c r="F81" s="15" t="n">
        <v>2.3</v>
      </c>
      <c r="G81" s="16" t="s">
        <v>207</v>
      </c>
    </row>
    <row r="82" customFormat="false" ht="15" hidden="false" customHeight="false" outlineLevel="0" collapsed="false">
      <c r="A82" s="12" t="n">
        <v>45748</v>
      </c>
      <c r="B82" s="13" t="s">
        <v>189</v>
      </c>
      <c r="C82" s="14" t="n">
        <v>24043</v>
      </c>
      <c r="D82" s="15" t="n">
        <v>37.1</v>
      </c>
      <c r="E82" s="14" t="n">
        <v>584</v>
      </c>
      <c r="F82" s="15" t="n">
        <v>7</v>
      </c>
      <c r="G82" s="16" t="s">
        <v>208</v>
      </c>
    </row>
    <row r="83" customFormat="false" ht="15" hidden="false" customHeight="false" outlineLevel="0" collapsed="false">
      <c r="A83" s="12" t="n">
        <v>45748</v>
      </c>
      <c r="B83" s="13" t="s">
        <v>191</v>
      </c>
      <c r="C83" s="14" t="n">
        <v>328490</v>
      </c>
      <c r="D83" s="15" t="n">
        <v>2</v>
      </c>
      <c r="E83" s="14" t="n">
        <v>11033</v>
      </c>
      <c r="F83" s="15" t="n">
        <v>-0.9</v>
      </c>
      <c r="G83" s="16" t="s">
        <v>208</v>
      </c>
    </row>
    <row r="84" customFormat="false" ht="15" hidden="false" customHeight="false" outlineLevel="0" collapsed="false">
      <c r="A84" s="12" t="n">
        <v>45748</v>
      </c>
      <c r="B84" s="13" t="s">
        <v>193</v>
      </c>
      <c r="C84" s="14" t="n">
        <v>151630</v>
      </c>
      <c r="D84" s="15" t="n">
        <v>-19.7</v>
      </c>
      <c r="E84" s="14" t="n">
        <v>5793</v>
      </c>
      <c r="F84" s="15" t="n">
        <v>-10.8</v>
      </c>
      <c r="G84" s="16" t="s">
        <v>208</v>
      </c>
    </row>
    <row r="85" customFormat="false" ht="15" hidden="false" customHeight="false" outlineLevel="0" collapsed="false">
      <c r="A85" s="12" t="n">
        <v>45748</v>
      </c>
      <c r="B85" s="13" t="s">
        <v>194</v>
      </c>
      <c r="C85" s="14" t="n">
        <v>9782</v>
      </c>
      <c r="D85" s="15" t="n">
        <v>-20.3</v>
      </c>
      <c r="E85" s="14" t="n">
        <v>235</v>
      </c>
      <c r="F85" s="15" t="n">
        <v>-40.6</v>
      </c>
      <c r="G85" s="16" t="s">
        <v>208</v>
      </c>
    </row>
    <row r="86" customFormat="false" ht="15" hidden="false" customHeight="false" outlineLevel="0" collapsed="false">
      <c r="A86" s="12" t="n">
        <v>45748</v>
      </c>
      <c r="B86" s="13" t="s">
        <v>195</v>
      </c>
      <c r="C86" s="14" t="n">
        <v>43731</v>
      </c>
      <c r="D86" s="15" t="n">
        <v>-3</v>
      </c>
      <c r="E86" s="14" t="n">
        <v>1375</v>
      </c>
      <c r="F86" s="15" t="n">
        <v>-14.6</v>
      </c>
      <c r="G86" s="16" t="s">
        <v>208</v>
      </c>
    </row>
    <row r="87" customFormat="false" ht="15" hidden="false" customHeight="false" outlineLevel="0" collapsed="false">
      <c r="A87" s="12" t="n">
        <v>45748</v>
      </c>
      <c r="B87" s="13" t="s">
        <v>196</v>
      </c>
      <c r="C87" s="14" t="n">
        <v>34408</v>
      </c>
      <c r="D87" s="15" t="n">
        <v>-19.7</v>
      </c>
      <c r="E87" s="14" t="n">
        <v>936</v>
      </c>
      <c r="F87" s="15" t="n">
        <v>-21.2</v>
      </c>
      <c r="G87" s="16" t="s">
        <v>208</v>
      </c>
    </row>
    <row r="88" customFormat="false" ht="15" hidden="false" customHeight="false" outlineLevel="0" collapsed="false">
      <c r="A88" s="12" t="n">
        <v>45748</v>
      </c>
      <c r="B88" s="13" t="s">
        <v>192</v>
      </c>
      <c r="C88" s="14" t="n">
        <v>373531</v>
      </c>
      <c r="D88" s="15" t="n">
        <v>-1.5</v>
      </c>
      <c r="E88" s="14" t="n">
        <v>12243</v>
      </c>
      <c r="F88" s="15" t="n">
        <v>-4.2</v>
      </c>
      <c r="G88" s="16" t="s">
        <v>208</v>
      </c>
    </row>
    <row r="89" customFormat="false" ht="15" hidden="false" customHeight="false" outlineLevel="0" collapsed="false">
      <c r="A89" s="12" t="n">
        <v>45778</v>
      </c>
      <c r="B89" s="13" t="s">
        <v>189</v>
      </c>
      <c r="C89" s="14" t="n">
        <v>17187</v>
      </c>
      <c r="D89" s="15" t="n">
        <v>-39.6</v>
      </c>
      <c r="E89" s="14" t="n">
        <v>441</v>
      </c>
      <c r="F89" s="15" t="n">
        <v>-43.6</v>
      </c>
      <c r="G89" s="16" t="s">
        <v>209</v>
      </c>
    </row>
    <row r="90" customFormat="false" ht="15" hidden="false" customHeight="false" outlineLevel="0" collapsed="false">
      <c r="A90" s="12" t="n">
        <v>45778</v>
      </c>
      <c r="B90" s="13" t="s">
        <v>191</v>
      </c>
      <c r="C90" s="14" t="n">
        <v>298142</v>
      </c>
      <c r="D90" s="15" t="n">
        <v>0.6</v>
      </c>
      <c r="E90" s="14" t="n">
        <v>10948</v>
      </c>
      <c r="F90" s="15" t="n">
        <v>11.2</v>
      </c>
      <c r="G90" s="16" t="s">
        <v>209</v>
      </c>
    </row>
    <row r="91" customFormat="false" ht="15" hidden="false" customHeight="false" outlineLevel="0" collapsed="false">
      <c r="A91" s="12" t="n">
        <v>45778</v>
      </c>
      <c r="B91" s="13" t="s">
        <v>193</v>
      </c>
      <c r="C91" s="14" t="n">
        <v>147562</v>
      </c>
      <c r="D91" s="15" t="n">
        <v>-21.7</v>
      </c>
      <c r="E91" s="14" t="n">
        <v>6193</v>
      </c>
      <c r="F91" s="15" t="n">
        <v>6.2</v>
      </c>
      <c r="G91" s="16" t="s">
        <v>209</v>
      </c>
    </row>
    <row r="92" customFormat="false" ht="15" hidden="false" customHeight="false" outlineLevel="0" collapsed="false">
      <c r="A92" s="12" t="n">
        <v>45778</v>
      </c>
      <c r="B92" s="13" t="s">
        <v>194</v>
      </c>
      <c r="C92" s="14" t="n">
        <v>6617</v>
      </c>
      <c r="D92" s="15" t="n">
        <v>11.7</v>
      </c>
      <c r="E92" s="14" t="n">
        <v>194</v>
      </c>
      <c r="F92" s="15" t="n">
        <v>-0.1</v>
      </c>
      <c r="G92" s="16" t="s">
        <v>209</v>
      </c>
    </row>
    <row r="93" customFormat="false" ht="15" hidden="false" customHeight="false" outlineLevel="0" collapsed="false">
      <c r="A93" s="12" t="n">
        <v>45778</v>
      </c>
      <c r="B93" s="13" t="s">
        <v>195</v>
      </c>
      <c r="C93" s="14" t="n">
        <v>46103</v>
      </c>
      <c r="D93" s="15" t="n">
        <v>18.2</v>
      </c>
      <c r="E93" s="14" t="n">
        <v>1458</v>
      </c>
      <c r="F93" s="15" t="n">
        <v>-18.5</v>
      </c>
      <c r="G93" s="16" t="s">
        <v>209</v>
      </c>
    </row>
    <row r="94" customFormat="false" ht="15" hidden="false" customHeight="false" outlineLevel="0" collapsed="false">
      <c r="A94" s="12" t="n">
        <v>45778</v>
      </c>
      <c r="B94" s="13" t="s">
        <v>196</v>
      </c>
      <c r="C94" s="14" t="n">
        <v>26101</v>
      </c>
      <c r="D94" s="15" t="n">
        <v>-33.8</v>
      </c>
      <c r="E94" s="14" t="n">
        <v>574</v>
      </c>
      <c r="F94" s="15" t="n">
        <v>-34.7</v>
      </c>
      <c r="G94" s="16" t="s">
        <v>209</v>
      </c>
    </row>
    <row r="95" customFormat="false" ht="15" hidden="false" customHeight="false" outlineLevel="0" collapsed="false">
      <c r="A95" s="12" t="n">
        <v>45778</v>
      </c>
      <c r="B95" s="13" t="s">
        <v>192</v>
      </c>
      <c r="C95" s="14" t="n">
        <v>331985</v>
      </c>
      <c r="D95" s="15" t="n">
        <v>-3.1</v>
      </c>
      <c r="E95" s="14" t="n">
        <v>11735</v>
      </c>
      <c r="F95" s="15" t="n">
        <v>7.3</v>
      </c>
      <c r="G95" s="16" t="s">
        <v>209</v>
      </c>
    </row>
    <row r="96" customFormat="false" ht="15" hidden="false" customHeight="false" outlineLevel="0" collapsed="false">
      <c r="A96" s="12" t="n">
        <v>45809</v>
      </c>
      <c r="B96" s="13" t="s">
        <v>189</v>
      </c>
      <c r="C96" s="14" t="n">
        <v>16153</v>
      </c>
      <c r="D96" s="15" t="n">
        <v>0</v>
      </c>
      <c r="E96" s="14" t="n">
        <v>361</v>
      </c>
      <c r="F96" s="15" t="n">
        <v>-15.2</v>
      </c>
      <c r="G96" s="16" t="s">
        <v>210</v>
      </c>
    </row>
    <row r="97" customFormat="false" ht="15" hidden="false" customHeight="false" outlineLevel="0" collapsed="false">
      <c r="A97" s="12" t="n">
        <v>45809</v>
      </c>
      <c r="B97" s="13" t="s">
        <v>191</v>
      </c>
      <c r="C97" s="14" t="n">
        <v>346153</v>
      </c>
      <c r="D97" s="15" t="n">
        <v>2.3</v>
      </c>
      <c r="E97" s="14" t="n">
        <v>11068</v>
      </c>
      <c r="F97" s="15" t="n">
        <v>0.3</v>
      </c>
      <c r="G97" s="16" t="s">
        <v>210</v>
      </c>
    </row>
    <row r="98" customFormat="false" ht="15" hidden="false" customHeight="false" outlineLevel="0" collapsed="false">
      <c r="A98" s="12" t="n">
        <v>45809</v>
      </c>
      <c r="B98" s="13" t="s">
        <v>193</v>
      </c>
      <c r="C98" s="14" t="n">
        <v>174984</v>
      </c>
      <c r="D98" s="15" t="n">
        <v>-9.1</v>
      </c>
      <c r="E98" s="14" t="n">
        <v>6187</v>
      </c>
      <c r="F98" s="15" t="n">
        <v>-1</v>
      </c>
      <c r="G98" s="16" t="s">
        <v>210</v>
      </c>
    </row>
    <row r="99" customFormat="false" ht="15" hidden="false" customHeight="false" outlineLevel="0" collapsed="false">
      <c r="A99" s="12" t="n">
        <v>45809</v>
      </c>
      <c r="B99" s="13" t="s">
        <v>194</v>
      </c>
      <c r="C99" s="14" t="n">
        <v>4380</v>
      </c>
      <c r="D99" s="15" t="n">
        <v>-58</v>
      </c>
      <c r="E99" s="14" t="n">
        <v>137</v>
      </c>
      <c r="F99" s="15" t="n">
        <v>-50.9</v>
      </c>
      <c r="G99" s="16" t="s">
        <v>210</v>
      </c>
    </row>
    <row r="100" customFormat="false" ht="15" hidden="false" customHeight="false" outlineLevel="0" collapsed="false">
      <c r="A100" s="12" t="n">
        <v>45809</v>
      </c>
      <c r="B100" s="13" t="s">
        <v>195</v>
      </c>
      <c r="C100" s="14" t="n">
        <v>63385</v>
      </c>
      <c r="D100" s="15" t="n">
        <v>16.6</v>
      </c>
      <c r="E100" s="14" t="n">
        <v>1829</v>
      </c>
      <c r="F100" s="15" t="n">
        <v>-6.8</v>
      </c>
      <c r="G100" s="16" t="s">
        <v>210</v>
      </c>
    </row>
    <row r="101" customFormat="false" ht="15" hidden="false" customHeight="false" outlineLevel="0" collapsed="false">
      <c r="A101" s="12" t="n">
        <v>45809</v>
      </c>
      <c r="B101" s="13" t="s">
        <v>196</v>
      </c>
      <c r="C101" s="14" t="n">
        <v>35605</v>
      </c>
      <c r="D101" s="15" t="n">
        <v>-25.8</v>
      </c>
      <c r="E101" s="14" t="n">
        <v>650</v>
      </c>
      <c r="F101" s="15" t="n">
        <v>-36.1</v>
      </c>
      <c r="G101" s="16" t="s">
        <v>210</v>
      </c>
    </row>
    <row r="102" customFormat="false" ht="15" hidden="false" customHeight="false" outlineLevel="0" collapsed="false">
      <c r="A102" s="12" t="n">
        <v>45809</v>
      </c>
      <c r="B102" s="13" t="s">
        <v>192</v>
      </c>
      <c r="C102" s="14" t="n">
        <v>387780</v>
      </c>
      <c r="D102" s="15" t="n">
        <v>-2.4</v>
      </c>
      <c r="E102" s="14" t="n">
        <v>11894</v>
      </c>
      <c r="F102" s="15" t="n">
        <v>-3.6</v>
      </c>
      <c r="G102" s="16" t="s">
        <v>210</v>
      </c>
    </row>
    <row r="103" customFormat="false" ht="15" hidden="false" customHeight="false" outlineLevel="0" collapsed="false">
      <c r="A103" s="12" t="n">
        <v>45839</v>
      </c>
      <c r="B103" s="13" t="s">
        <v>189</v>
      </c>
      <c r="C103" s="14" t="n">
        <v>26787</v>
      </c>
      <c r="D103" s="15" t="n">
        <v>35.5</v>
      </c>
      <c r="E103" s="14" t="n">
        <v>523</v>
      </c>
      <c r="F103" s="15" t="n">
        <v>-7.3</v>
      </c>
      <c r="G103" s="16" t="s">
        <v>211</v>
      </c>
    </row>
    <row r="104" customFormat="false" ht="15" hidden="false" customHeight="false" outlineLevel="0" collapsed="false">
      <c r="A104" s="12" t="n">
        <v>45839</v>
      </c>
      <c r="B104" s="13" t="s">
        <v>191</v>
      </c>
      <c r="C104" s="14" t="n">
        <v>313278</v>
      </c>
      <c r="D104" s="15" t="n">
        <v>-0.3</v>
      </c>
      <c r="E104" s="14" t="n">
        <v>10397</v>
      </c>
      <c r="F104" s="15" t="n">
        <v>4.1</v>
      </c>
      <c r="G104" s="16" t="s">
        <v>211</v>
      </c>
    </row>
    <row r="105" customFormat="false" ht="15" hidden="false" customHeight="false" outlineLevel="0" collapsed="false">
      <c r="A105" s="12" t="n">
        <v>45839</v>
      </c>
      <c r="B105" s="13" t="s">
        <v>193</v>
      </c>
      <c r="C105" s="14" t="n">
        <v>156405</v>
      </c>
      <c r="D105" s="15" t="n">
        <v>-4.5</v>
      </c>
      <c r="E105" s="14" t="n">
        <v>5637</v>
      </c>
      <c r="F105" s="15" t="n">
        <v>6.6</v>
      </c>
      <c r="G105" s="16" t="s">
        <v>211</v>
      </c>
    </row>
    <row r="106" customFormat="false" ht="15" hidden="false" customHeight="false" outlineLevel="0" collapsed="false">
      <c r="A106" s="12" t="n">
        <v>45839</v>
      </c>
      <c r="B106" s="13" t="s">
        <v>194</v>
      </c>
      <c r="C106" s="14" t="n">
        <v>5904</v>
      </c>
      <c r="D106" s="15" t="n">
        <v>-32.8</v>
      </c>
      <c r="E106" s="14" t="n">
        <v>301</v>
      </c>
      <c r="F106" s="15" t="n">
        <v>15.1</v>
      </c>
      <c r="G106" s="16" t="s">
        <v>211</v>
      </c>
    </row>
    <row r="107" customFormat="false" ht="15" hidden="false" customHeight="false" outlineLevel="0" collapsed="false">
      <c r="A107" s="12" t="n">
        <v>45839</v>
      </c>
      <c r="B107" s="13" t="s">
        <v>195</v>
      </c>
      <c r="C107" s="14" t="n">
        <v>42360</v>
      </c>
      <c r="D107" s="15" t="n">
        <v>-17.3</v>
      </c>
      <c r="E107" s="14" t="n">
        <v>1432</v>
      </c>
      <c r="F107" s="15" t="n">
        <v>-8.5</v>
      </c>
      <c r="G107" s="16" t="s">
        <v>211</v>
      </c>
    </row>
    <row r="108" customFormat="false" ht="15" hidden="false" customHeight="false" outlineLevel="0" collapsed="false">
      <c r="A108" s="12" t="n">
        <v>45839</v>
      </c>
      <c r="B108" s="13" t="s">
        <v>196</v>
      </c>
      <c r="C108" s="14" t="n">
        <v>30209</v>
      </c>
      <c r="D108" s="15" t="n">
        <v>-31.3</v>
      </c>
      <c r="E108" s="14" t="n">
        <v>681</v>
      </c>
      <c r="F108" s="15" t="n">
        <v>-34.1</v>
      </c>
      <c r="G108" s="16" t="s">
        <v>211</v>
      </c>
    </row>
    <row r="109" customFormat="false" ht="15" hidden="false" customHeight="false" outlineLevel="0" collapsed="false">
      <c r="A109" s="12" t="n">
        <v>45839</v>
      </c>
      <c r="B109" s="13" t="s">
        <v>192</v>
      </c>
      <c r="C109" s="14" t="n">
        <v>350943</v>
      </c>
      <c r="D109" s="15" t="n">
        <v>-4.8</v>
      </c>
      <c r="E109" s="14" t="n">
        <v>11423</v>
      </c>
      <c r="F109" s="15" t="n">
        <v>0.6</v>
      </c>
      <c r="G109" s="16" t="s">
        <v>211</v>
      </c>
    </row>
    <row r="110" customFormat="false" ht="15" hidden="false" customHeight="false" outlineLevel="0" collapsed="false">
      <c r="A110" s="12" t="n">
        <v>45870</v>
      </c>
      <c r="B110" s="13" t="s">
        <v>189</v>
      </c>
      <c r="C110" s="14" t="n">
        <v>19795</v>
      </c>
      <c r="D110" s="15" t="n">
        <v>-5.2</v>
      </c>
      <c r="E110" s="14" t="n">
        <v>507</v>
      </c>
      <c r="F110" s="15" t="n">
        <v>6.8</v>
      </c>
      <c r="G110" s="16" t="s">
        <v>212</v>
      </c>
    </row>
    <row r="111" customFormat="false" ht="15" hidden="false" customHeight="false" outlineLevel="0" collapsed="false">
      <c r="A111" s="12" t="n">
        <v>45870</v>
      </c>
      <c r="B111" s="13" t="s">
        <v>191</v>
      </c>
      <c r="C111" s="14" t="n">
        <v>320182</v>
      </c>
      <c r="D111" s="15" t="n">
        <v>9.2</v>
      </c>
      <c r="E111" s="14" t="n">
        <v>10133</v>
      </c>
      <c r="F111" s="15" t="n">
        <v>-0.2</v>
      </c>
      <c r="G111" s="16" t="s">
        <v>212</v>
      </c>
    </row>
    <row r="112" customFormat="false" ht="15" hidden="false" customHeight="false" outlineLevel="0" collapsed="false">
      <c r="A112" s="12" t="n">
        <v>45870</v>
      </c>
      <c r="B112" s="13" t="s">
        <v>193</v>
      </c>
      <c r="C112" s="14" t="n">
        <v>167490</v>
      </c>
      <c r="D112" s="15" t="n">
        <v>-6.9</v>
      </c>
      <c r="E112" s="14" t="n">
        <v>5928</v>
      </c>
      <c r="F112" s="15" t="n">
        <v>-12.1</v>
      </c>
      <c r="G112" s="16" t="s">
        <v>212</v>
      </c>
    </row>
    <row r="113" customFormat="false" ht="15" hidden="false" customHeight="false" outlineLevel="0" collapsed="false">
      <c r="A113" s="12" t="n">
        <v>45870</v>
      </c>
      <c r="B113" s="13" t="s">
        <v>194</v>
      </c>
      <c r="C113" s="14" t="n">
        <v>5537</v>
      </c>
      <c r="D113" s="15" t="n">
        <v>-52.3</v>
      </c>
      <c r="E113" s="14" t="n">
        <v>170</v>
      </c>
      <c r="F113" s="15" t="n">
        <v>-33.3</v>
      </c>
      <c r="G113" s="16" t="s">
        <v>212</v>
      </c>
    </row>
    <row r="114" customFormat="false" ht="15" hidden="false" customHeight="false" outlineLevel="0" collapsed="false">
      <c r="A114" s="12" t="n">
        <v>45870</v>
      </c>
      <c r="B114" s="13" t="s">
        <v>195</v>
      </c>
      <c r="C114" s="14" t="n">
        <v>49997</v>
      </c>
      <c r="D114" s="15" t="n">
        <v>11.4</v>
      </c>
      <c r="E114" s="14" t="n">
        <v>1073</v>
      </c>
      <c r="F114" s="15" t="n">
        <v>-19.9</v>
      </c>
      <c r="G114" s="16" t="s">
        <v>212</v>
      </c>
    </row>
    <row r="115" customFormat="false" ht="15" hidden="false" customHeight="false" outlineLevel="0" collapsed="false">
      <c r="A115" s="12" t="n">
        <v>45870</v>
      </c>
      <c r="B115" s="13" t="s">
        <v>196</v>
      </c>
      <c r="C115" s="14" t="n">
        <v>22816</v>
      </c>
      <c r="D115" s="15" t="n">
        <v>-38.9</v>
      </c>
      <c r="E115" s="14" t="n">
        <v>540</v>
      </c>
      <c r="F115" s="15" t="n">
        <v>-40.6</v>
      </c>
      <c r="G115" s="16" t="s">
        <v>212</v>
      </c>
    </row>
    <row r="116" customFormat="false" ht="15" hidden="false" customHeight="false" outlineLevel="0" collapsed="false">
      <c r="A116" s="12" t="n">
        <v>45870</v>
      </c>
      <c r="B116" s="13" t="s">
        <v>192</v>
      </c>
      <c r="C116" s="14" t="n">
        <v>349446</v>
      </c>
      <c r="D116" s="15" t="n">
        <v>1.9</v>
      </c>
      <c r="E116" s="14" t="n">
        <v>10881</v>
      </c>
      <c r="F116" s="15" t="n">
        <v>-4.6</v>
      </c>
      <c r="G116" s="16" t="s">
        <v>212</v>
      </c>
    </row>
    <row r="117" customFormat="false" ht="15" hidden="false" customHeight="false" outlineLevel="0" collapsed="false">
      <c r="A117" s="12" t="n">
        <v>45901</v>
      </c>
      <c r="B117" s="13" t="s">
        <v>189</v>
      </c>
      <c r="C117" s="14" t="n">
        <v>19843</v>
      </c>
      <c r="D117" s="15" t="n">
        <v>-27.9</v>
      </c>
      <c r="E117" s="14" t="n">
        <v>497</v>
      </c>
      <c r="F117" s="15" t="n">
        <v>-16.1</v>
      </c>
      <c r="G117" s="16" t="s">
        <v>213</v>
      </c>
    </row>
    <row r="118" customFormat="false" ht="15" hidden="false" customHeight="false" outlineLevel="0" collapsed="false">
      <c r="A118" s="12" t="n">
        <v>45901</v>
      </c>
      <c r="B118" s="13" t="s">
        <v>191</v>
      </c>
      <c r="C118" s="14" t="n">
        <v>342297</v>
      </c>
      <c r="D118" s="15" t="n">
        <v>4.6</v>
      </c>
      <c r="E118" s="14" t="n">
        <v>10813</v>
      </c>
      <c r="F118" s="15" t="n">
        <v>4</v>
      </c>
      <c r="G118" s="16" t="s">
        <v>213</v>
      </c>
    </row>
    <row r="119" customFormat="false" ht="15" hidden="false" customHeight="false" outlineLevel="0" collapsed="false">
      <c r="A119" s="12" t="n">
        <v>45901</v>
      </c>
      <c r="B119" s="13" t="s">
        <v>193</v>
      </c>
      <c r="C119" s="14" t="n">
        <v>197006</v>
      </c>
      <c r="D119" s="15" t="n">
        <v>1.2</v>
      </c>
      <c r="E119" s="14" t="n">
        <v>6980</v>
      </c>
      <c r="F119" s="15" t="n">
        <v>10.5</v>
      </c>
      <c r="G119" s="16" t="s">
        <v>213</v>
      </c>
    </row>
    <row r="120" customFormat="false" ht="15" hidden="false" customHeight="false" outlineLevel="0" collapsed="false">
      <c r="A120" s="12" t="n">
        <v>45901</v>
      </c>
      <c r="B120" s="13" t="s">
        <v>194</v>
      </c>
      <c r="C120" s="14" t="n">
        <v>9097</v>
      </c>
      <c r="D120" s="15" t="n">
        <v>-10.5</v>
      </c>
      <c r="E120" s="14" t="n">
        <v>371</v>
      </c>
      <c r="F120" s="15" t="n">
        <v>28.8</v>
      </c>
      <c r="G120" s="16" t="s">
        <v>213</v>
      </c>
    </row>
    <row r="121" customFormat="false" ht="15" hidden="false" customHeight="false" outlineLevel="0" collapsed="false">
      <c r="A121" s="12" t="n">
        <v>45901</v>
      </c>
      <c r="B121" s="13" t="s">
        <v>195</v>
      </c>
      <c r="C121" s="14" t="n">
        <v>53301</v>
      </c>
      <c r="D121" s="15" t="n">
        <v>10.8</v>
      </c>
      <c r="E121" s="14" t="n">
        <v>1214</v>
      </c>
      <c r="F121" s="15" t="n">
        <v>-23.9</v>
      </c>
      <c r="G121" s="16" t="s">
        <v>213</v>
      </c>
    </row>
    <row r="122" customFormat="false" ht="15" hidden="false" customHeight="false" outlineLevel="0" collapsed="false">
      <c r="A122" s="12" t="n">
        <v>45901</v>
      </c>
      <c r="B122" s="13" t="s">
        <v>196</v>
      </c>
      <c r="C122" s="14" t="n">
        <v>31731</v>
      </c>
      <c r="D122" s="15" t="n">
        <v>-45.7</v>
      </c>
      <c r="E122" s="14" t="n">
        <v>816</v>
      </c>
      <c r="F122" s="15" t="n">
        <v>-41.8</v>
      </c>
      <c r="G122" s="16" t="s">
        <v>213</v>
      </c>
    </row>
    <row r="123" customFormat="false" ht="15" hidden="false" customHeight="false" outlineLevel="0" collapsed="false">
      <c r="A123" s="12" t="n">
        <v>45901</v>
      </c>
      <c r="B123" s="13" t="s">
        <v>192</v>
      </c>
      <c r="C123" s="14" t="n">
        <v>384411</v>
      </c>
      <c r="D123" s="15" t="n">
        <v>-3.2</v>
      </c>
      <c r="E123" s="14" t="n">
        <v>12102</v>
      </c>
      <c r="F123" s="15" t="n">
        <v>-1</v>
      </c>
      <c r="G123" s="16" t="s">
        <v>213</v>
      </c>
    </row>
    <row r="124" customFormat="false" ht="15" hidden="false" customHeight="false" outlineLevel="0" collapsed="false">
      <c r="A124" s="12" t="n">
        <v>45931</v>
      </c>
      <c r="B124" s="13" t="s">
        <v>189</v>
      </c>
      <c r="C124" s="14" t="n">
        <v>34077</v>
      </c>
      <c r="D124" s="15" t="n">
        <v>8.2</v>
      </c>
      <c r="E124" s="14" t="n">
        <v>874</v>
      </c>
      <c r="F124" s="15" t="n">
        <v>-2.4</v>
      </c>
      <c r="G124" s="16" t="s">
        <v>214</v>
      </c>
    </row>
    <row r="125" customFormat="false" ht="15" hidden="false" customHeight="false" outlineLevel="0" collapsed="false">
      <c r="A125" s="12" t="n">
        <v>45931</v>
      </c>
      <c r="B125" s="13" t="s">
        <v>191</v>
      </c>
      <c r="C125" s="14" t="n">
        <v>323023</v>
      </c>
      <c r="D125" s="15" t="n">
        <v>-3.8</v>
      </c>
      <c r="E125" s="14" t="n">
        <v>10844</v>
      </c>
      <c r="F125" s="15" t="n">
        <v>-1.9</v>
      </c>
      <c r="G125" s="16" t="s">
        <v>214</v>
      </c>
    </row>
    <row r="126" customFormat="false" ht="15" hidden="false" customHeight="false" outlineLevel="0" collapsed="false">
      <c r="A126" s="12" t="n">
        <v>45931</v>
      </c>
      <c r="B126" s="13" t="s">
        <v>193</v>
      </c>
      <c r="C126" s="14" t="n">
        <v>149205</v>
      </c>
      <c r="D126" s="15" t="n">
        <v>-18.9</v>
      </c>
      <c r="E126" s="14" t="n">
        <v>5786</v>
      </c>
      <c r="F126" s="15" t="n">
        <v>-6.9</v>
      </c>
      <c r="G126" s="16" t="s">
        <v>214</v>
      </c>
    </row>
    <row r="127" customFormat="false" ht="15" hidden="false" customHeight="false" outlineLevel="0" collapsed="false">
      <c r="A127" s="12" t="n">
        <v>45931</v>
      </c>
      <c r="B127" s="13" t="s">
        <v>194</v>
      </c>
      <c r="C127" s="14" t="n">
        <v>9513</v>
      </c>
      <c r="D127" s="15" t="n">
        <v>-27.8</v>
      </c>
      <c r="E127" s="14" t="n">
        <v>356</v>
      </c>
      <c r="F127" s="15" t="n">
        <v>-3.1</v>
      </c>
      <c r="G127" s="16" t="s">
        <v>214</v>
      </c>
    </row>
    <row r="128" customFormat="false" ht="15" hidden="false" customHeight="false" outlineLevel="0" collapsed="false">
      <c r="A128" s="12" t="n">
        <v>45931</v>
      </c>
      <c r="B128" s="13" t="s">
        <v>195</v>
      </c>
      <c r="C128" s="14" t="n">
        <v>55428</v>
      </c>
      <c r="D128" s="15" t="n">
        <v>-11.7</v>
      </c>
      <c r="E128" s="14" t="n">
        <v>1433</v>
      </c>
      <c r="F128" s="15" t="n">
        <v>-21.9</v>
      </c>
      <c r="G128" s="16" t="s">
        <v>214</v>
      </c>
    </row>
    <row r="129" customFormat="false" ht="15" hidden="false" customHeight="false" outlineLevel="0" collapsed="false">
      <c r="A129" s="12" t="n">
        <v>45931</v>
      </c>
      <c r="B129" s="13" t="s">
        <v>196</v>
      </c>
      <c r="C129" s="14" t="n">
        <v>29031</v>
      </c>
      <c r="D129" s="15" t="n">
        <v>-49.6</v>
      </c>
      <c r="E129" s="14" t="n">
        <v>787</v>
      </c>
      <c r="F129" s="15" t="n">
        <v>-35.3</v>
      </c>
      <c r="G129" s="16" t="s">
        <v>214</v>
      </c>
    </row>
    <row r="130" customFormat="false" ht="15" hidden="false" customHeight="false" outlineLevel="0" collapsed="false">
      <c r="A130" s="12" t="n">
        <v>45931</v>
      </c>
      <c r="B130" s="13" t="s">
        <v>192</v>
      </c>
      <c r="C130" s="14" t="n">
        <v>363538</v>
      </c>
      <c r="D130" s="15" t="n">
        <v>-10.8</v>
      </c>
      <c r="E130" s="14" t="n">
        <v>12096</v>
      </c>
      <c r="F130" s="15" t="n">
        <v>-4.6</v>
      </c>
      <c r="G130" s="16" t="s">
        <v>214</v>
      </c>
    </row>
    <row r="131" customFormat="false" ht="15" hidden="false" customHeight="false" outlineLevel="0" collapsed="false">
      <c r="A131" s="12" t="n">
        <v>45962</v>
      </c>
      <c r="B131" s="13" t="s">
        <v>189</v>
      </c>
      <c r="C131" s="14" t="n">
        <v>39454</v>
      </c>
      <c r="D131" s="15" t="n">
        <v>86.2</v>
      </c>
      <c r="E131" s="14" t="n">
        <v>911</v>
      </c>
      <c r="F131" s="15" t="n">
        <v>82.3</v>
      </c>
      <c r="G131" s="16" t="s">
        <v>215</v>
      </c>
    </row>
    <row r="132" customFormat="false" ht="15" hidden="false" customHeight="false" outlineLevel="0" collapsed="false">
      <c r="A132" s="12" t="n">
        <v>45962</v>
      </c>
      <c r="B132" s="13" t="s">
        <v>191</v>
      </c>
      <c r="C132" s="14" t="n">
        <v>338407</v>
      </c>
      <c r="D132" s="15" t="n">
        <v>5.1</v>
      </c>
      <c r="E132" s="14" t="n">
        <v>10451</v>
      </c>
      <c r="F132" s="15" t="n">
        <v>2.2</v>
      </c>
      <c r="G132" s="16" t="s">
        <v>215</v>
      </c>
    </row>
    <row r="133" customFormat="false" ht="15" hidden="false" customHeight="false" outlineLevel="0" collapsed="false">
      <c r="A133" s="12" t="n">
        <v>45962</v>
      </c>
      <c r="B133" s="13" t="s">
        <v>193</v>
      </c>
      <c r="C133" s="14" t="n">
        <v>139874</v>
      </c>
      <c r="D133" s="15" t="n">
        <v>-14.8</v>
      </c>
      <c r="E133" s="14" t="n">
        <v>4959</v>
      </c>
      <c r="F133" s="15" t="n">
        <v>-4.2</v>
      </c>
      <c r="G133" s="16" t="s">
        <v>215</v>
      </c>
    </row>
    <row r="134" customFormat="false" ht="15" hidden="false" customHeight="false" outlineLevel="0" collapsed="false">
      <c r="A134" s="12" t="n">
        <v>45962</v>
      </c>
      <c r="B134" s="13" t="s">
        <v>194</v>
      </c>
      <c r="C134" s="14" t="n">
        <v>9204</v>
      </c>
      <c r="D134" s="15" t="n">
        <v>-0.8</v>
      </c>
      <c r="E134" s="14" t="n">
        <v>360</v>
      </c>
      <c r="F134" s="15" t="n">
        <v>42.2</v>
      </c>
      <c r="G134" s="16" t="s">
        <v>215</v>
      </c>
    </row>
    <row r="135" customFormat="false" ht="15" hidden="false" customHeight="false" outlineLevel="0" collapsed="false">
      <c r="A135" s="12" t="n">
        <v>45962</v>
      </c>
      <c r="B135" s="13" t="s">
        <v>195</v>
      </c>
      <c r="C135" s="14" t="n">
        <v>61766</v>
      </c>
      <c r="D135" s="15" t="n">
        <v>11</v>
      </c>
      <c r="E135" s="14" t="n">
        <v>1639</v>
      </c>
      <c r="F135" s="15" t="n">
        <v>-6.1</v>
      </c>
      <c r="G135" s="16" t="s">
        <v>215</v>
      </c>
    </row>
    <row r="136" customFormat="false" ht="15" hidden="false" customHeight="false" outlineLevel="0" collapsed="false">
      <c r="A136" s="12" t="n">
        <v>45962</v>
      </c>
      <c r="B136" s="13" t="s">
        <v>196</v>
      </c>
      <c r="C136" s="14" t="n">
        <v>30023</v>
      </c>
      <c r="D136" s="15" t="n">
        <v>-28.5</v>
      </c>
      <c r="E136" s="14" t="n">
        <v>827</v>
      </c>
      <c r="F136" s="15" t="n">
        <v>-20.9</v>
      </c>
      <c r="G136" s="16" t="s">
        <v>215</v>
      </c>
    </row>
    <row r="137" customFormat="false" ht="15" hidden="false" customHeight="false" outlineLevel="0" collapsed="false">
      <c r="A137" s="12" t="n">
        <v>45962</v>
      </c>
      <c r="B137" s="13" t="s">
        <v>192</v>
      </c>
      <c r="C137" s="14" t="n">
        <v>379223</v>
      </c>
      <c r="D137" s="15" t="n">
        <v>1.3</v>
      </c>
      <c r="E137" s="14" t="n">
        <v>11713</v>
      </c>
      <c r="F137" s="15" t="n">
        <v>1.3</v>
      </c>
      <c r="G137" s="16" t="s">
        <v>215</v>
      </c>
    </row>
    <row r="138" customFormat="false" ht="15" hidden="false" customHeight="false" outlineLevel="0" collapsed="false">
      <c r="A138" s="12" t="n">
        <v>45992</v>
      </c>
      <c r="B138" s="13" t="s">
        <v>189</v>
      </c>
      <c r="C138" s="14" t="n">
        <v>46697</v>
      </c>
      <c r="D138" s="15" t="n">
        <v>72.4</v>
      </c>
      <c r="E138" s="14" t="n">
        <v>1092</v>
      </c>
      <c r="F138" s="15" t="n">
        <v>41.2</v>
      </c>
      <c r="G138" s="16" t="s">
        <v>216</v>
      </c>
    </row>
    <row r="139" customFormat="false" ht="15" hidden="false" customHeight="false" outlineLevel="0" collapsed="false">
      <c r="A139" s="12" t="n">
        <v>45992</v>
      </c>
      <c r="B139" s="13" t="s">
        <v>191</v>
      </c>
      <c r="C139" s="14" t="n">
        <v>405479</v>
      </c>
      <c r="D139" s="15" t="n">
        <v>3.2</v>
      </c>
      <c r="E139" s="14" t="n">
        <v>12129</v>
      </c>
      <c r="F139" s="15" t="n">
        <v>8.7</v>
      </c>
      <c r="G139" s="16" t="s">
        <v>216</v>
      </c>
    </row>
    <row r="140" customFormat="false" ht="15" hidden="false" customHeight="false" outlineLevel="0" collapsed="false">
      <c r="A140" s="12" t="n">
        <v>45992</v>
      </c>
      <c r="B140" s="13" t="s">
        <v>193</v>
      </c>
      <c r="C140" s="14" t="n">
        <v>174922</v>
      </c>
      <c r="D140" s="15" t="n">
        <v>-12.2</v>
      </c>
      <c r="E140" s="14" t="n">
        <v>5914</v>
      </c>
      <c r="F140" s="15" t="n">
        <v>4.9</v>
      </c>
      <c r="G140" s="16" t="s">
        <v>216</v>
      </c>
    </row>
    <row r="141" customFormat="false" ht="15" hidden="false" customHeight="false" outlineLevel="0" collapsed="false">
      <c r="A141" s="12" t="n">
        <v>45992</v>
      </c>
      <c r="B141" s="13" t="s">
        <v>194</v>
      </c>
      <c r="C141" s="14" t="n">
        <v>7651</v>
      </c>
      <c r="D141" s="15" t="n">
        <v>-41.4</v>
      </c>
      <c r="E141" s="14" t="n">
        <v>328</v>
      </c>
      <c r="F141" s="15" t="n">
        <v>-21.4</v>
      </c>
      <c r="G141" s="16" t="s">
        <v>216</v>
      </c>
    </row>
    <row r="142" customFormat="false" ht="15" hidden="false" customHeight="false" outlineLevel="0" collapsed="false">
      <c r="A142" s="12" t="n">
        <v>45992</v>
      </c>
      <c r="B142" s="13" t="s">
        <v>195</v>
      </c>
      <c r="C142" s="14" t="n">
        <v>75936</v>
      </c>
      <c r="D142" s="15" t="n">
        <v>9.1</v>
      </c>
      <c r="E142" s="14" t="n">
        <v>1703</v>
      </c>
      <c r="F142" s="15" t="n">
        <v>-4.6</v>
      </c>
      <c r="G142" s="16" t="s">
        <v>216</v>
      </c>
    </row>
    <row r="143" customFormat="false" ht="15" hidden="false" customHeight="false" outlineLevel="0" collapsed="false">
      <c r="A143" s="12" t="n">
        <v>45992</v>
      </c>
      <c r="B143" s="13" t="s">
        <v>196</v>
      </c>
      <c r="C143" s="14" t="n">
        <v>29510</v>
      </c>
      <c r="D143" s="15" t="n">
        <v>-29.2</v>
      </c>
      <c r="E143" s="14" t="n">
        <v>807</v>
      </c>
      <c r="F143" s="15" t="n">
        <v>-18.5</v>
      </c>
      <c r="G143" s="16" t="s">
        <v>216</v>
      </c>
    </row>
    <row r="144" customFormat="false" ht="15" hidden="false" customHeight="false" outlineLevel="0" collapsed="false">
      <c r="A144" s="12" t="n">
        <v>45992</v>
      </c>
      <c r="B144" s="13" t="s">
        <v>192</v>
      </c>
      <c r="C144" s="14" t="n">
        <v>443683</v>
      </c>
      <c r="D144" s="15" t="n">
        <v>-1.5</v>
      </c>
      <c r="E144" s="14" t="n">
        <v>13325</v>
      </c>
      <c r="F144" s="15" t="n">
        <v>5.4</v>
      </c>
      <c r="G144" s="16" t="s">
        <v>216</v>
      </c>
    </row>
    <row r="145" customFormat="false" ht="15" hidden="false" customHeight="false" outlineLevel="0" collapsed="false">
      <c r="A145" s="12" t="n">
        <v>46023</v>
      </c>
      <c r="B145" s="13" t="s">
        <v>189</v>
      </c>
      <c r="C145" s="14" t="n">
        <v>26203</v>
      </c>
      <c r="D145" s="15" t="n">
        <v>37.6</v>
      </c>
      <c r="E145" s="14" t="n">
        <v>662</v>
      </c>
      <c r="F145" s="15" t="n">
        <v>25.2</v>
      </c>
      <c r="G145" s="16" t="s">
        <v>217</v>
      </c>
    </row>
    <row r="146" customFormat="false" ht="15" hidden="false" customHeight="false" outlineLevel="0" collapsed="false">
      <c r="A146" s="12" t="n">
        <v>46023</v>
      </c>
      <c r="B146" s="13" t="s">
        <v>191</v>
      </c>
      <c r="C146" s="14" t="n">
        <v>278465</v>
      </c>
      <c r="D146" s="15" t="n">
        <v>11.8</v>
      </c>
      <c r="E146" s="14" t="n">
        <v>8821</v>
      </c>
      <c r="F146" s="15" t="n">
        <v>14.5</v>
      </c>
      <c r="G146" s="16" t="s">
        <v>217</v>
      </c>
    </row>
    <row r="147" customFormat="false" ht="15" hidden="false" customHeight="false" outlineLevel="0" collapsed="false">
      <c r="A147" s="12" t="n">
        <v>46023</v>
      </c>
      <c r="B147" s="13" t="s">
        <v>193</v>
      </c>
      <c r="C147" s="14" t="n">
        <v>101449</v>
      </c>
      <c r="D147" s="15" t="n">
        <v>3.2</v>
      </c>
      <c r="E147" s="14" t="n">
        <v>4543</v>
      </c>
      <c r="F147" s="15" t="n">
        <v>29.2</v>
      </c>
      <c r="G147" s="16" t="s">
        <v>217</v>
      </c>
    </row>
    <row r="148" customFormat="false" ht="15" hidden="false" customHeight="false" outlineLevel="0" collapsed="false">
      <c r="A148" s="12" t="n">
        <v>46023</v>
      </c>
      <c r="B148" s="13" t="s">
        <v>194</v>
      </c>
      <c r="C148" s="14" t="n">
        <v>8823</v>
      </c>
      <c r="D148" s="15" t="n">
        <v>-1.5</v>
      </c>
      <c r="E148" s="14" t="n">
        <v>279</v>
      </c>
      <c r="F148" s="15" t="n">
        <v>20.4</v>
      </c>
      <c r="G148" s="16" t="s">
        <v>217</v>
      </c>
    </row>
    <row r="149" customFormat="false" ht="15" hidden="false" customHeight="false" outlineLevel="0" collapsed="false">
      <c r="A149" s="12" t="n">
        <v>46023</v>
      </c>
      <c r="B149" s="13" t="s">
        <v>195</v>
      </c>
      <c r="C149" s="14" t="n">
        <v>71717</v>
      </c>
      <c r="D149" s="15" t="n">
        <v>41.8</v>
      </c>
      <c r="E149" s="14" t="n">
        <v>1354</v>
      </c>
      <c r="F149" s="15" t="n">
        <v>5.3</v>
      </c>
      <c r="G149" s="16" t="s">
        <v>217</v>
      </c>
    </row>
    <row r="150" customFormat="false" ht="15" hidden="false" customHeight="false" outlineLevel="0" collapsed="false">
      <c r="A150" s="12" t="n">
        <v>46023</v>
      </c>
      <c r="B150" s="13" t="s">
        <v>196</v>
      </c>
      <c r="C150" s="14" t="n">
        <v>26504</v>
      </c>
      <c r="D150" s="15" t="n">
        <v>-8.3</v>
      </c>
      <c r="E150" s="14" t="n">
        <v>608</v>
      </c>
      <c r="F150" s="15" t="n">
        <v>8.5</v>
      </c>
      <c r="G150" s="16" t="s">
        <v>217</v>
      </c>
    </row>
    <row r="151" customFormat="false" ht="15" hidden="false" customHeight="false" outlineLevel="0" collapsed="false">
      <c r="A151" s="12" t="n">
        <v>46023</v>
      </c>
      <c r="B151" s="13" t="s">
        <v>192</v>
      </c>
      <c r="C151" s="14" t="n">
        <v>315667</v>
      </c>
      <c r="D151" s="15" t="n">
        <v>9.6</v>
      </c>
      <c r="E151" s="14" t="n">
        <v>9814</v>
      </c>
      <c r="F151" s="15" t="n">
        <v>15.2</v>
      </c>
      <c r="G151" s="16" t="s">
        <v>217</v>
      </c>
    </row>
    <row r="152" customFormat="false" ht="15" hidden="false" customHeight="false" outlineLevel="0" collapsed="false">
      <c r="A152" s="12" t="n">
        <v>46054</v>
      </c>
      <c r="B152" s="13" t="s">
        <v>189</v>
      </c>
      <c r="C152" s="14" t="n">
        <v>24979</v>
      </c>
      <c r="D152" s="15" t="n">
        <v>-5.8</v>
      </c>
      <c r="E152" s="14" t="n">
        <v>587</v>
      </c>
      <c r="F152" s="15" t="n">
        <v>-11.8</v>
      </c>
      <c r="G152" s="16" t="s">
        <v>218</v>
      </c>
    </row>
    <row r="153" customFormat="false" ht="15" hidden="false" customHeight="false" outlineLevel="0" collapsed="false">
      <c r="A153" s="12" t="n">
        <v>46054</v>
      </c>
      <c r="B153" s="13" t="s">
        <v>191</v>
      </c>
      <c r="C153" s="14" t="n">
        <v>277016</v>
      </c>
      <c r="D153" s="15" t="n">
        <v>-21.9</v>
      </c>
      <c r="E153" s="14" t="n">
        <v>9588</v>
      </c>
      <c r="F153" s="15" t="n">
        <v>-14.2</v>
      </c>
      <c r="G153" s="16" t="s">
        <v>218</v>
      </c>
    </row>
    <row r="154" customFormat="false" ht="15" hidden="false" customHeight="false" outlineLevel="0" collapsed="false">
      <c r="A154" s="12" t="n">
        <v>46054</v>
      </c>
      <c r="B154" s="13" t="s">
        <v>193</v>
      </c>
      <c r="C154" s="14" t="n">
        <v>97621</v>
      </c>
      <c r="D154" s="15" t="n">
        <v>-33.1</v>
      </c>
      <c r="E154" s="14" t="n">
        <v>4451</v>
      </c>
      <c r="F154" s="15" t="n">
        <v>-13.3</v>
      </c>
      <c r="G154" s="16" t="s">
        <v>218</v>
      </c>
    </row>
    <row r="155" customFormat="false" ht="15" hidden="false" customHeight="false" outlineLevel="0" collapsed="false">
      <c r="A155" s="12" t="n">
        <v>46054</v>
      </c>
      <c r="B155" s="13" t="s">
        <v>194</v>
      </c>
      <c r="C155" s="14" t="n">
        <v>11642</v>
      </c>
      <c r="D155" s="15" t="n">
        <v>129.3</v>
      </c>
      <c r="E155" s="14" t="n">
        <v>392</v>
      </c>
      <c r="F155" s="15" t="n">
        <v>106</v>
      </c>
      <c r="G155" s="16" t="s">
        <v>218</v>
      </c>
    </row>
    <row r="156" customFormat="false" ht="15" hidden="false" customHeight="false" outlineLevel="0" collapsed="false">
      <c r="A156" s="12" t="n">
        <v>46054</v>
      </c>
      <c r="B156" s="13" t="s">
        <v>195</v>
      </c>
      <c r="C156" s="14" t="n">
        <v>67630</v>
      </c>
      <c r="D156" s="15" t="n">
        <v>-6.2</v>
      </c>
      <c r="E156" s="14" t="n">
        <v>1830</v>
      </c>
      <c r="F156" s="15" t="n">
        <v>4.7</v>
      </c>
      <c r="G156" s="16" t="s">
        <v>218</v>
      </c>
    </row>
    <row r="157" customFormat="false" ht="15" hidden="false" customHeight="false" outlineLevel="0" collapsed="false">
      <c r="A157" s="12" t="n">
        <v>46054</v>
      </c>
      <c r="B157" s="13" t="s">
        <v>196</v>
      </c>
      <c r="C157" s="14" t="n">
        <v>39191</v>
      </c>
      <c r="D157" s="15" t="n">
        <v>10.8</v>
      </c>
      <c r="E157" s="14" t="n">
        <v>960</v>
      </c>
      <c r="F157" s="15" t="n">
        <v>34</v>
      </c>
      <c r="G157" s="16" t="s">
        <v>218</v>
      </c>
    </row>
    <row r="158" customFormat="false" ht="15" hidden="false" customHeight="false" outlineLevel="0" collapsed="false">
      <c r="A158" s="12" t="n">
        <v>46054</v>
      </c>
      <c r="B158" s="13" t="s">
        <v>192</v>
      </c>
      <c r="C158" s="14" t="n">
        <v>329089</v>
      </c>
      <c r="D158" s="15" t="n">
        <v>-16.9</v>
      </c>
      <c r="E158" s="14" t="n">
        <v>10966</v>
      </c>
      <c r="F158" s="15" t="n">
        <v>-9.6</v>
      </c>
      <c r="G158" s="16" t="s">
        <v>218</v>
      </c>
    </row>
    <row r="159" customFormat="false" ht="15" hidden="false" customHeight="false" outlineLevel="0" collapsed="false">
      <c r="A159" s="12" t="n">
        <v>46082</v>
      </c>
      <c r="B159" s="13" t="s">
        <v>189</v>
      </c>
      <c r="C159" s="14" t="n">
        <v>27841</v>
      </c>
      <c r="D159" s="15" t="n">
        <v>-18.3</v>
      </c>
      <c r="E159" s="14" t="n">
        <v>685</v>
      </c>
      <c r="F159" s="15" t="n">
        <v>-16.6</v>
      </c>
      <c r="G159" s="16" t="s">
        <v>219</v>
      </c>
    </row>
    <row r="160" customFormat="false" ht="15" hidden="false" customHeight="false" outlineLevel="0" collapsed="false">
      <c r="A160" s="12" t="n">
        <v>46082</v>
      </c>
      <c r="B160" s="13" t="s">
        <v>191</v>
      </c>
      <c r="C160" s="14" t="n">
        <v>466793</v>
      </c>
      <c r="D160" s="15" t="n">
        <v>3.5</v>
      </c>
      <c r="E160" s="14" t="n">
        <v>13779</v>
      </c>
      <c r="F160" s="15" t="n">
        <v>3.5</v>
      </c>
      <c r="G160" s="16" t="s">
        <v>219</v>
      </c>
    </row>
    <row r="161" customFormat="false" ht="15" hidden="false" customHeight="false" outlineLevel="0" collapsed="false">
      <c r="A161" s="12" t="n">
        <v>46082</v>
      </c>
      <c r="B161" s="13" t="s">
        <v>193</v>
      </c>
      <c r="C161" s="14" t="n">
        <v>205893</v>
      </c>
      <c r="D161" s="15" t="n">
        <v>-0.8</v>
      </c>
      <c r="E161" s="14" t="n">
        <v>6834</v>
      </c>
      <c r="F161" s="15" t="n">
        <v>0.9</v>
      </c>
      <c r="G161" s="16" t="s">
        <v>219</v>
      </c>
    </row>
    <row r="162" customFormat="false" ht="15" hidden="false" customHeight="false" outlineLevel="0" collapsed="false">
      <c r="A162" s="12" t="n">
        <v>46082</v>
      </c>
      <c r="B162" s="13" t="s">
        <v>194</v>
      </c>
      <c r="C162" s="14" t="n">
        <v>18002</v>
      </c>
      <c r="D162" s="15" t="n">
        <v>98.9</v>
      </c>
      <c r="E162" s="14" t="n">
        <v>527</v>
      </c>
      <c r="F162" s="15" t="n">
        <v>77.5</v>
      </c>
      <c r="G162" s="16" t="s">
        <v>219</v>
      </c>
    </row>
    <row r="163" customFormat="false" ht="15" hidden="false" customHeight="false" outlineLevel="0" collapsed="false">
      <c r="A163" s="12" t="n">
        <v>46082</v>
      </c>
      <c r="B163" s="13" t="s">
        <v>195</v>
      </c>
      <c r="C163" s="14" t="n">
        <v>97242</v>
      </c>
      <c r="D163" s="15" t="n">
        <v>-2.6</v>
      </c>
      <c r="E163" s="14" t="n">
        <v>2077</v>
      </c>
      <c r="F163" s="15" t="n">
        <v>-11.6</v>
      </c>
      <c r="G163" s="16" t="s">
        <v>219</v>
      </c>
    </row>
    <row r="164" customFormat="false" ht="15" hidden="false" customHeight="false" outlineLevel="0" collapsed="false">
      <c r="A164" s="12" t="n">
        <v>46082</v>
      </c>
      <c r="B164" s="13" t="s">
        <v>196</v>
      </c>
      <c r="C164" s="14" t="n">
        <v>39675</v>
      </c>
      <c r="D164" s="15" t="n">
        <v>9.5</v>
      </c>
      <c r="E164" s="14" t="n">
        <v>1152</v>
      </c>
      <c r="F164" s="15" t="n">
        <v>30.6</v>
      </c>
      <c r="G164" s="16" t="s">
        <v>219</v>
      </c>
    </row>
    <row r="165" customFormat="false" ht="15" hidden="false" customHeight="false" outlineLevel="0" collapsed="false">
      <c r="A165" s="12" t="n">
        <v>46082</v>
      </c>
      <c r="B165" s="13" t="s">
        <v>192</v>
      </c>
      <c r="C165" s="14" t="n">
        <v>525989</v>
      </c>
      <c r="D165" s="15" t="n">
        <v>5.5</v>
      </c>
      <c r="E165" s="14" t="n">
        <v>15487</v>
      </c>
      <c r="F165" s="15" t="n">
        <v>6.4</v>
      </c>
      <c r="G165" s="16" t="s">
        <v>219</v>
      </c>
    </row>
    <row r="166" customFormat="false" ht="15" hidden="false" customHeight="false" outlineLevel="0" collapsed="false">
      <c r="A166" s="12" t="n">
        <v>46113</v>
      </c>
      <c r="B166" s="13" t="s">
        <v>189</v>
      </c>
      <c r="C166" s="14" t="n">
        <v>29864</v>
      </c>
      <c r="D166" s="15" t="n">
        <v>24.2</v>
      </c>
      <c r="E166" s="14" t="n">
        <v>711</v>
      </c>
      <c r="F166" s="15" t="n">
        <v>21.8</v>
      </c>
      <c r="G166" s="16" t="s">
        <v>220</v>
      </c>
    </row>
    <row r="167" customFormat="false" ht="15" hidden="false" customHeight="false" outlineLevel="0" collapsed="false">
      <c r="A167" s="12" t="n">
        <v>46113</v>
      </c>
      <c r="B167" s="13" t="s">
        <v>191</v>
      </c>
      <c r="C167" s="14" t="n">
        <v>324945</v>
      </c>
      <c r="D167" s="15" t="n">
        <v>-1.1</v>
      </c>
      <c r="E167" s="14" t="n">
        <v>9851</v>
      </c>
      <c r="F167" s="15" t="n">
        <v>-10.7</v>
      </c>
      <c r="G167" s="16" t="s">
        <v>220</v>
      </c>
    </row>
    <row r="168" customFormat="false" ht="15" hidden="false" customHeight="false" outlineLevel="0" collapsed="false">
      <c r="A168" s="12" t="n">
        <v>46113</v>
      </c>
      <c r="B168" s="13" t="s">
        <v>193</v>
      </c>
      <c r="C168" s="14" t="n">
        <v>111799</v>
      </c>
      <c r="D168" s="15" t="n">
        <v>-26.3</v>
      </c>
      <c r="E168" s="14" t="n">
        <v>4162</v>
      </c>
      <c r="F168" s="15" t="n">
        <v>-28.2</v>
      </c>
      <c r="G168" s="16" t="s">
        <v>220</v>
      </c>
    </row>
    <row r="169" customFormat="false" ht="15" hidden="false" customHeight="false" outlineLevel="0" collapsed="false">
      <c r="A169" s="12" t="n">
        <v>46113</v>
      </c>
      <c r="B169" s="13" t="s">
        <v>194</v>
      </c>
      <c r="C169" s="14" t="n">
        <v>10142</v>
      </c>
      <c r="D169" s="15" t="n">
        <v>3.7</v>
      </c>
      <c r="E169" s="14" t="n">
        <v>380</v>
      </c>
      <c r="F169" s="15" t="n">
        <v>62</v>
      </c>
      <c r="G169" s="16" t="s">
        <v>220</v>
      </c>
    </row>
    <row r="170" customFormat="false" ht="15" hidden="false" customHeight="false" outlineLevel="0" collapsed="false">
      <c r="A170" s="12" t="n">
        <v>46113</v>
      </c>
      <c r="B170" s="13" t="s">
        <v>195</v>
      </c>
      <c r="C170" s="14" t="n">
        <v>79161</v>
      </c>
      <c r="D170" s="15" t="n">
        <v>81</v>
      </c>
      <c r="E170" s="14" t="n">
        <v>1767</v>
      </c>
      <c r="F170" s="15" t="n">
        <v>28.5</v>
      </c>
      <c r="G170" s="16" t="s">
        <v>220</v>
      </c>
    </row>
    <row r="171" customFormat="false" ht="15" hidden="false" customHeight="false" outlineLevel="0" collapsed="false">
      <c r="A171" s="12" t="n">
        <v>46113</v>
      </c>
      <c r="B171" s="13" t="s">
        <v>196</v>
      </c>
      <c r="C171" s="14" t="n">
        <v>57581</v>
      </c>
      <c r="D171" s="15" t="n">
        <v>67.3</v>
      </c>
      <c r="E171" s="14" t="n">
        <v>1624</v>
      </c>
      <c r="F171" s="15" t="n">
        <v>73.6</v>
      </c>
      <c r="G171" s="16" t="s">
        <v>220</v>
      </c>
    </row>
    <row r="172" customFormat="false" ht="15" hidden="false" customHeight="false" outlineLevel="0" collapsed="false">
      <c r="A172" s="12" t="n">
        <v>46113</v>
      </c>
      <c r="B172" s="13" t="s">
        <v>192</v>
      </c>
      <c r="C172" s="14" t="n">
        <v>393213</v>
      </c>
      <c r="D172" s="15" t="n">
        <v>5.3</v>
      </c>
      <c r="E172" s="14" t="n">
        <v>11878</v>
      </c>
      <c r="F172" s="15" t="n">
        <v>-3</v>
      </c>
      <c r="G172" s="16" t="s">
        <v>220</v>
      </c>
    </row>
    <row r="173" customFormat="false" ht="15" hidden="false" customHeight="false" outlineLevel="0" collapsed="false">
      <c r="A173" s="12" t="n">
        <v>46143</v>
      </c>
      <c r="B173" s="13" t="s">
        <v>189</v>
      </c>
      <c r="C173" s="14" t="n">
        <v>21038</v>
      </c>
      <c r="D173" s="15" t="n">
        <v>22.4</v>
      </c>
      <c r="E173" s="14" t="n">
        <v>463</v>
      </c>
      <c r="F173" s="15" t="n">
        <v>5.1</v>
      </c>
      <c r="G173" s="16" t="s">
        <v>221</v>
      </c>
    </row>
    <row r="174" customFormat="false" ht="15" hidden="false" customHeight="false" outlineLevel="0" collapsed="false">
      <c r="A174" s="12" t="n">
        <v>46143</v>
      </c>
      <c r="B174" s="13" t="s">
        <v>191</v>
      </c>
      <c r="C174" s="14" t="n">
        <v>317076</v>
      </c>
      <c r="D174" s="15" t="n">
        <v>6.4</v>
      </c>
      <c r="E174" s="14" t="n">
        <v>10382</v>
      </c>
      <c r="F174" s="15" t="n">
        <v>-5.2</v>
      </c>
      <c r="G174" s="16" t="s">
        <v>221</v>
      </c>
    </row>
    <row r="175" customFormat="false" ht="15" hidden="false" customHeight="false" outlineLevel="0" collapsed="false">
      <c r="A175" s="12" t="n">
        <v>46143</v>
      </c>
      <c r="B175" s="13" t="s">
        <v>193</v>
      </c>
      <c r="C175" s="14" t="n">
        <v>110774</v>
      </c>
      <c r="D175" s="15" t="n">
        <v>-24.9</v>
      </c>
      <c r="E175" s="14" t="n">
        <v>4722</v>
      </c>
      <c r="F175" s="15" t="n">
        <v>-23.7</v>
      </c>
      <c r="G175" s="16" t="s">
        <v>221</v>
      </c>
    </row>
    <row r="176" customFormat="false" ht="15" hidden="false" customHeight="false" outlineLevel="0" collapsed="false">
      <c r="A176" s="12" t="n">
        <v>46143</v>
      </c>
      <c r="B176" s="13" t="s">
        <v>194</v>
      </c>
      <c r="C176" s="14" t="n">
        <v>11138</v>
      </c>
      <c r="D176" s="15" t="n">
        <v>68.3</v>
      </c>
      <c r="E176" s="14" t="n">
        <v>355</v>
      </c>
      <c r="F176" s="15" t="n">
        <v>82.7</v>
      </c>
      <c r="G176" s="16" t="s">
        <v>221</v>
      </c>
    </row>
    <row r="177" customFormat="false" ht="15" hidden="false" customHeight="false" outlineLevel="0" collapsed="false">
      <c r="A177" s="12" t="n">
        <v>46143</v>
      </c>
      <c r="B177" s="13" t="s">
        <v>195</v>
      </c>
      <c r="C177" s="14" t="n">
        <v>70549</v>
      </c>
      <c r="D177" s="15" t="n">
        <v>53</v>
      </c>
      <c r="E177" s="14" t="n">
        <v>1793</v>
      </c>
      <c r="F177" s="15" t="n">
        <v>23</v>
      </c>
      <c r="G177" s="16" t="s">
        <v>221</v>
      </c>
    </row>
    <row r="178" customFormat="false" ht="15" hidden="false" customHeight="false" outlineLevel="0" collapsed="false">
      <c r="A178" s="12" t="n">
        <v>46143</v>
      </c>
      <c r="B178" s="13" t="s">
        <v>196</v>
      </c>
      <c r="C178" s="14" t="n">
        <v>36840</v>
      </c>
      <c r="D178" s="15" t="n">
        <v>41.1</v>
      </c>
      <c r="E178" s="14" t="n">
        <v>919</v>
      </c>
      <c r="F178" s="15" t="n">
        <v>60.1</v>
      </c>
      <c r="G178" s="16" t="s">
        <v>221</v>
      </c>
    </row>
    <row r="179" customFormat="false" ht="15" hidden="false" customHeight="false" outlineLevel="0" collapsed="false">
      <c r="A179" s="12" t="n">
        <v>46143</v>
      </c>
      <c r="B179" s="13" t="s">
        <v>192</v>
      </c>
      <c r="C179" s="14" t="n">
        <v>365786</v>
      </c>
      <c r="D179" s="15" t="n">
        <v>10.2</v>
      </c>
      <c r="E179" s="14" t="n">
        <v>11677</v>
      </c>
      <c r="F179" s="15" t="n">
        <v>-0.5</v>
      </c>
      <c r="G179" s="16" t="s">
        <v>221</v>
      </c>
    </row>
    <row r="180" customFormat="false" ht="15" hidden="false" customHeight="false" outlineLevel="0" collapsed="false">
      <c r="A180" s="12" t="n">
        <v>46174</v>
      </c>
      <c r="B180" s="13" t="s">
        <v>189</v>
      </c>
      <c r="C180" s="14" t="n">
        <v>26162</v>
      </c>
      <c r="D180" s="15" t="n">
        <v>62</v>
      </c>
      <c r="E180" s="14" t="n">
        <v>600</v>
      </c>
      <c r="F180" s="15" t="n">
        <v>66.3</v>
      </c>
      <c r="G180" s="16" t="s">
        <v>222</v>
      </c>
    </row>
    <row r="181" customFormat="false" ht="15" hidden="false" customHeight="false" outlineLevel="0" collapsed="false">
      <c r="A181" s="12" t="n">
        <v>46174</v>
      </c>
      <c r="B181" s="13" t="s">
        <v>191</v>
      </c>
      <c r="C181" s="14" t="n">
        <v>403430</v>
      </c>
      <c r="D181" s="15" t="n">
        <v>16.5</v>
      </c>
      <c r="E181" s="14" t="n">
        <v>12564</v>
      </c>
      <c r="F181" s="15" t="n">
        <v>13.5</v>
      </c>
      <c r="G181" s="16" t="s">
        <v>222</v>
      </c>
    </row>
    <row r="182" customFormat="false" ht="15" hidden="false" customHeight="false" outlineLevel="0" collapsed="false">
      <c r="A182" s="12" t="n">
        <v>46174</v>
      </c>
      <c r="B182" s="13" t="s">
        <v>193</v>
      </c>
      <c r="C182" s="14" t="n">
        <v>157063</v>
      </c>
      <c r="D182" s="15" t="n">
        <v>-10.2</v>
      </c>
      <c r="E182" s="14" t="n">
        <v>6162</v>
      </c>
      <c r="F182" s="15" t="n">
        <v>-0.4</v>
      </c>
      <c r="G182" s="16" t="s">
        <v>222</v>
      </c>
    </row>
    <row r="183" customFormat="false" ht="15" hidden="false" customHeight="false" outlineLevel="0" collapsed="false">
      <c r="A183" s="12" t="n">
        <v>46174</v>
      </c>
      <c r="B183" s="13" t="s">
        <v>194</v>
      </c>
      <c r="C183" s="14" t="n">
        <v>12788</v>
      </c>
      <c r="D183" s="15" t="n">
        <v>192</v>
      </c>
      <c r="E183" s="14" t="n">
        <v>371</v>
      </c>
      <c r="F183" s="15" t="n">
        <v>170.1</v>
      </c>
      <c r="G183" s="16" t="s">
        <v>222</v>
      </c>
    </row>
    <row r="184" customFormat="false" ht="15" hidden="false" customHeight="false" outlineLevel="0" collapsed="false">
      <c r="A184" s="12" t="n">
        <v>46174</v>
      </c>
      <c r="B184" s="13" t="s">
        <v>195</v>
      </c>
      <c r="C184" s="14" t="n">
        <v>86249</v>
      </c>
      <c r="D184" s="15" t="n">
        <v>36.1</v>
      </c>
      <c r="E184" s="14" t="n">
        <v>1994</v>
      </c>
      <c r="F184" s="15" t="n">
        <v>9</v>
      </c>
      <c r="G184" s="16" t="s">
        <v>222</v>
      </c>
    </row>
    <row r="185" customFormat="false" ht="15" hidden="false" customHeight="false" outlineLevel="0" collapsed="false">
      <c r="A185" s="12" t="n">
        <v>46174</v>
      </c>
      <c r="B185" s="13" t="s">
        <v>196</v>
      </c>
      <c r="C185" s="14" t="n">
        <v>40706</v>
      </c>
      <c r="D185" s="15" t="n">
        <v>14.3</v>
      </c>
      <c r="E185" s="14" t="n">
        <v>856</v>
      </c>
      <c r="F185" s="15" t="n">
        <v>31.6</v>
      </c>
      <c r="G185" s="16" t="s">
        <v>222</v>
      </c>
    </row>
    <row r="186" customFormat="false" ht="15" hidden="false" customHeight="false" outlineLevel="0" collapsed="false">
      <c r="A186" s="12" t="n">
        <v>46174</v>
      </c>
      <c r="B186" s="13" t="s">
        <v>192</v>
      </c>
      <c r="C186" s="14" t="n">
        <v>460142</v>
      </c>
      <c r="D186" s="15" t="n">
        <v>18.7</v>
      </c>
      <c r="E186" s="14" t="n">
        <v>13835</v>
      </c>
      <c r="F186" s="15" t="n">
        <v>16.3</v>
      </c>
      <c r="G186" s="16" t="s">
        <v>222</v>
      </c>
    </row>
    <row r="187" customFormat="false" ht="15" hidden="false" customHeight="false" outlineLevel="0" collapsed="false">
      <c r="A187" s="12" t="n">
        <v>46204</v>
      </c>
      <c r="B187" s="13" t="s">
        <v>189</v>
      </c>
      <c r="C187" s="14" t="n">
        <v>35745</v>
      </c>
      <c r="D187" s="15" t="n">
        <v>33.4</v>
      </c>
      <c r="E187" s="14" t="n">
        <v>684</v>
      </c>
      <c r="F187" s="15" t="n">
        <v>30.8</v>
      </c>
      <c r="G187" s="16" t="s">
        <v>223</v>
      </c>
    </row>
    <row r="188" customFormat="false" ht="15" hidden="false" customHeight="false" outlineLevel="0" collapsed="false">
      <c r="A188" s="12" t="n">
        <v>46204</v>
      </c>
      <c r="B188" s="13" t="s">
        <v>191</v>
      </c>
      <c r="C188" s="14" t="n">
        <v>436197</v>
      </c>
      <c r="D188" s="15" t="n">
        <v>39.2</v>
      </c>
      <c r="E188" s="14" t="n">
        <v>14164</v>
      </c>
      <c r="F188" s="15" t="n">
        <v>36.2</v>
      </c>
      <c r="G188" s="16" t="s">
        <v>223</v>
      </c>
    </row>
    <row r="189" customFormat="false" ht="15" hidden="false" customHeight="false" outlineLevel="0" collapsed="false">
      <c r="A189" s="12" t="n">
        <v>46204</v>
      </c>
      <c r="B189" s="13" t="s">
        <v>193</v>
      </c>
      <c r="C189" s="14" t="n">
        <v>207346</v>
      </c>
      <c r="D189" s="15" t="n">
        <v>32.6</v>
      </c>
      <c r="E189" s="14" t="n">
        <v>8268</v>
      </c>
      <c r="F189" s="15" t="n">
        <v>46.7</v>
      </c>
      <c r="G189" s="16" t="s">
        <v>223</v>
      </c>
    </row>
    <row r="190" customFormat="false" ht="15" hidden="false" customHeight="false" outlineLevel="0" collapsed="false">
      <c r="A190" s="12" t="n">
        <v>46204</v>
      </c>
      <c r="B190" s="13" t="s">
        <v>194</v>
      </c>
      <c r="C190" s="14" t="n">
        <v>16274</v>
      </c>
      <c r="D190" s="15" t="n">
        <v>175.6</v>
      </c>
      <c r="E190" s="14" t="n">
        <v>448</v>
      </c>
      <c r="F190" s="15" t="n">
        <v>49.1</v>
      </c>
      <c r="G190" s="16" t="s">
        <v>223</v>
      </c>
    </row>
    <row r="191" customFormat="false" ht="15" hidden="false" customHeight="false" outlineLevel="0" collapsed="false">
      <c r="A191" s="12" t="n">
        <v>46204</v>
      </c>
      <c r="B191" s="13" t="s">
        <v>195</v>
      </c>
      <c r="C191" s="14" t="n">
        <v>74913</v>
      </c>
      <c r="D191" s="15" t="n">
        <v>76.9</v>
      </c>
      <c r="E191" s="14" t="n">
        <v>1805</v>
      </c>
      <c r="F191" s="15" t="n">
        <v>26</v>
      </c>
      <c r="G191" s="16" t="s">
        <v>223</v>
      </c>
    </row>
    <row r="192" customFormat="false" ht="15" hidden="false" customHeight="false" outlineLevel="0" collapsed="false">
      <c r="A192" s="12" t="n">
        <v>46204</v>
      </c>
      <c r="B192" s="13" t="s">
        <v>196</v>
      </c>
      <c r="C192" s="14" t="n">
        <v>40419</v>
      </c>
      <c r="D192" s="15" t="n">
        <v>33.8</v>
      </c>
      <c r="E192" s="14" t="n">
        <v>943</v>
      </c>
      <c r="F192" s="15" t="n">
        <v>38.5</v>
      </c>
      <c r="G192" s="16" t="s">
        <v>223</v>
      </c>
    </row>
    <row r="193" customFormat="false" ht="15" hidden="false" customHeight="false" outlineLevel="0" collapsed="false">
      <c r="A193" s="12" t="n">
        <v>46204</v>
      </c>
      <c r="B193" s="13" t="s">
        <v>192</v>
      </c>
      <c r="C193" s="14" t="n">
        <v>494437</v>
      </c>
      <c r="D193" s="15" t="n">
        <v>40.9</v>
      </c>
      <c r="E193" s="14" t="n">
        <v>15586</v>
      </c>
      <c r="F193" s="15" t="n">
        <v>36.4</v>
      </c>
      <c r="G193" s="16" t="s">
        <v>223</v>
      </c>
    </row>
    <row r="194" customFormat="false" ht="15" hidden="false" customHeight="false" outlineLevel="0" collapsed="false">
      <c r="A194" s="12" t="n">
        <v>46235</v>
      </c>
      <c r="B194" s="13" t="s">
        <v>189</v>
      </c>
      <c r="C194" s="14" t="n">
        <v>35647</v>
      </c>
      <c r="D194" s="15" t="n">
        <v>80.1</v>
      </c>
      <c r="E194" s="14" t="n">
        <v>840</v>
      </c>
      <c r="F194" s="15" t="n">
        <v>65.7</v>
      </c>
      <c r="G194" s="16" t="s">
        <v>224</v>
      </c>
    </row>
    <row r="195" customFormat="false" ht="15" hidden="false" customHeight="false" outlineLevel="0" collapsed="false">
      <c r="A195" s="12" t="n">
        <v>46235</v>
      </c>
      <c r="B195" s="13" t="s">
        <v>191</v>
      </c>
      <c r="C195" s="14" t="n">
        <v>424108</v>
      </c>
      <c r="D195" s="15" t="n">
        <v>32.4</v>
      </c>
      <c r="E195" s="14" t="n">
        <v>13961</v>
      </c>
      <c r="F195" s="15" t="n">
        <v>37.8</v>
      </c>
      <c r="G195" s="16" t="s">
        <v>224</v>
      </c>
    </row>
    <row r="196" customFormat="false" ht="15" hidden="false" customHeight="false" outlineLevel="0" collapsed="false">
      <c r="A196" s="12" t="n">
        <v>46235</v>
      </c>
      <c r="B196" s="13" t="s">
        <v>193</v>
      </c>
      <c r="C196" s="14" t="n">
        <v>194791</v>
      </c>
      <c r="D196" s="15" t="n">
        <v>16.3</v>
      </c>
      <c r="E196" s="14" t="n">
        <v>7755</v>
      </c>
      <c r="F196" s="15" t="n">
        <v>30.8</v>
      </c>
      <c r="G196" s="16" t="s">
        <v>224</v>
      </c>
    </row>
    <row r="197" customFormat="false" ht="15" hidden="false" customHeight="false" outlineLevel="0" collapsed="false">
      <c r="A197" s="12" t="n">
        <v>46235</v>
      </c>
      <c r="B197" s="13" t="s">
        <v>194</v>
      </c>
      <c r="C197" s="14" t="n">
        <v>13550</v>
      </c>
      <c r="D197" s="15" t="n">
        <v>144.7</v>
      </c>
      <c r="E197" s="14" t="n">
        <v>350</v>
      </c>
      <c r="F197" s="15" t="n">
        <v>105.8</v>
      </c>
      <c r="G197" s="16" t="s">
        <v>224</v>
      </c>
    </row>
    <row r="198" customFormat="false" ht="15" hidden="false" customHeight="false" outlineLevel="0" collapsed="false">
      <c r="A198" s="12" t="n">
        <v>46235</v>
      </c>
      <c r="B198" s="13" t="s">
        <v>195</v>
      </c>
      <c r="C198" s="14" t="n">
        <v>85051</v>
      </c>
      <c r="D198" s="15" t="n">
        <v>70.1</v>
      </c>
      <c r="E198" s="14" t="n">
        <v>2185</v>
      </c>
      <c r="F198" s="15" t="n">
        <v>103.6</v>
      </c>
      <c r="G198" s="16" t="s">
        <v>224</v>
      </c>
    </row>
    <row r="199" customFormat="false" ht="15" hidden="false" customHeight="false" outlineLevel="0" collapsed="false">
      <c r="A199" s="12" t="n">
        <v>46235</v>
      </c>
      <c r="B199" s="13" t="s">
        <v>196</v>
      </c>
      <c r="C199" s="14" t="n">
        <v>48494</v>
      </c>
      <c r="D199" s="15" t="n">
        <v>112.5</v>
      </c>
      <c r="E199" s="14" t="n">
        <v>1207</v>
      </c>
      <c r="F199" s="15" t="n">
        <v>123.6</v>
      </c>
      <c r="G199" s="16" t="s">
        <v>224</v>
      </c>
    </row>
    <row r="200" customFormat="false" ht="15" hidden="false" customHeight="false" outlineLevel="0" collapsed="false">
      <c r="A200" s="12" t="n">
        <v>46235</v>
      </c>
      <c r="B200" s="13" t="s">
        <v>192</v>
      </c>
      <c r="C200" s="14" t="n">
        <v>489764</v>
      </c>
      <c r="D200" s="15" t="n">
        <v>40.1</v>
      </c>
      <c r="E200" s="14" t="n">
        <v>15572</v>
      </c>
      <c r="F200" s="15" t="n">
        <v>43.1</v>
      </c>
      <c r="G200" s="16" t="s">
        <v>224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9" min="1" style="0" width="10"/>
    <col collapsed="false" customWidth="true" hidden="false" outlineLevel="0" max="10" min="10" style="0" width="14"/>
    <col collapsed="false" customWidth="true" hidden="false" outlineLevel="0" max="11" min="11" style="0" width="30"/>
  </cols>
  <sheetData>
    <row r="1" customFormat="false" ht="15" hidden="false" customHeight="false" outlineLevel="0" collapsed="false">
      <c r="A1" s="1" t="s">
        <v>225</v>
      </c>
    </row>
    <row r="2" customFormat="false" ht="15" hidden="false" customHeight="false" outlineLevel="0" collapsed="false">
      <c r="A2" s="2" t="s">
        <v>226</v>
      </c>
    </row>
    <row r="3" customFormat="false" ht="15" hidden="false" customHeight="false" outlineLevel="0" collapsed="false">
      <c r="B3" s="16" t="s">
        <v>192</v>
      </c>
      <c r="C3" s="16" t="s">
        <v>191</v>
      </c>
      <c r="D3" s="16" t="s">
        <v>193</v>
      </c>
      <c r="E3" s="16" t="s">
        <v>195</v>
      </c>
      <c r="F3" s="16" t="s">
        <v>196</v>
      </c>
      <c r="G3" s="16" t="s">
        <v>194</v>
      </c>
      <c r="H3" s="16" t="s">
        <v>189</v>
      </c>
    </row>
    <row r="4" customFormat="false" ht="29.85" hidden="false" customHeight="false" outlineLevel="0" collapsed="false">
      <c r="A4" s="10" t="s">
        <v>181</v>
      </c>
      <c r="B4" s="10" t="s">
        <v>227</v>
      </c>
      <c r="C4" s="10" t="s">
        <v>228</v>
      </c>
      <c r="D4" s="10" t="s">
        <v>229</v>
      </c>
      <c r="E4" s="10" t="s">
        <v>230</v>
      </c>
      <c r="F4" s="10" t="s">
        <v>231</v>
      </c>
      <c r="G4" s="17" t="s">
        <v>194</v>
      </c>
      <c r="H4" s="17" t="s">
        <v>189</v>
      </c>
      <c r="I4" s="10" t="s">
        <v>232</v>
      </c>
      <c r="J4" s="10" t="s">
        <v>233</v>
      </c>
      <c r="K4" s="10" t="s">
        <v>234</v>
      </c>
    </row>
    <row r="5" customFormat="false" ht="15" hidden="false" customHeight="false" outlineLevel="0" collapsed="false">
      <c r="A5" s="12" t="n">
        <v>45017</v>
      </c>
      <c r="B5" s="18" t="n">
        <f aca="false">IF(COUNTIFS(速報_原データ!$A$5:$A$200,$A5,速報_原データ!$B$5:$B$200,B$3)&gt;0,SUMIFS(速報_原データ!$C$5:$C$200,速報_原データ!$A$5:$A$200,$A5,速報_原データ!$B$5:$B$200,B$3)/100,IF(COUNTIFS(速報_原データ!$A$5:$A$200,EDATE($A5,12),速報_原データ!$B$5:$B$200,B$3)&gt;0,SUMIFS(速報_原データ!$C$5:$C$200,速報_原データ!$A$5:$A$200,EDATE($A5,12),速報_原データ!$B$5:$B$200,B$3)/100/(1+SUMIFS(速報_原データ!$D$5:$D$200,速報_原データ!$A$5:$A$200,EDATE($A5,12),速報_原データ!$B$5:$B$200,B$3)/100),IF(COUNTIFS(速報_原データ!$I$6:$I$9,EDATE($A5,12),速報_原データ!$J$6:$J$9,B$3)&gt;0,B17/(1+SUMIFS(速報_原データ!$K$6:$K$9,速報_原データ!$I$6:$I$9,EDATE($A5,12),速報_原データ!$J$6:$J$9,B$3)/100),AVERAGE(B4,B6))))</f>
        <v>2956.61466458658</v>
      </c>
      <c r="C5" s="18" t="n">
        <f aca="false">IF(COUNTIFS(速報_原データ!$A$5:$A$200,$A5,速報_原データ!$B$5:$B$200,C$3)&gt;0,SUMIFS(速報_原データ!$C$5:$C$200,速報_原データ!$A$5:$A$200,$A5,速報_原データ!$B$5:$B$200,C$3)/100,IF(COUNTIFS(速報_原データ!$A$5:$A$200,EDATE($A5,12),速報_原データ!$B$5:$B$200,C$3)&gt;0,SUMIFS(速報_原データ!$C$5:$C$200,速報_原データ!$A$5:$A$200,EDATE($A5,12),速報_原データ!$B$5:$B$200,C$3)/100/(1+SUMIFS(速報_原データ!$D$5:$D$200,速報_原データ!$A$5:$A$200,EDATE($A5,12),速報_原データ!$B$5:$B$200,C$3)/100),IF(COUNTIFS(速報_原データ!$I$6:$I$9,EDATE($A5,12),速報_原データ!$J$6:$J$9,C$3)&gt;0,C17/(1+SUMIFS(速報_原データ!$K$6:$K$9,速報_原データ!$I$6:$I$9,EDATE($A5,12),速報_原データ!$J$6:$J$9,C$3)/100),AVERAGE(C4,C6))))</f>
        <v>2217.88567493113</v>
      </c>
      <c r="D5" s="18" t="n">
        <f aca="false">IF(COUNTIFS(速報_原データ!$A$5:$A$200,$A5,速報_原データ!$B$5:$B$200,D$3)&gt;0,SUMIFS(速報_原データ!$C$5:$C$200,速報_原データ!$A$5:$A$200,$A5,速報_原データ!$B$5:$B$200,D$3)/100,IF(COUNTIFS(速報_原データ!$A$5:$A$200,EDATE($A5,12),速報_原データ!$B$5:$B$200,D$3)&gt;0,SUMIFS(速報_原データ!$C$5:$C$200,速報_原データ!$A$5:$A$200,EDATE($A5,12),速報_原データ!$B$5:$B$200,D$3)/100/(1+SUMIFS(速報_原データ!$D$5:$D$200,速報_原データ!$A$5:$A$200,EDATE($A5,12),速報_原データ!$B$5:$B$200,D$3)/100),IF(COUNTIFS(速報_原データ!$I$6:$I$9,EDATE($A5,12),速報_原データ!$J$6:$J$9,D$3)&gt;0,D17/(1+SUMIFS(速報_原データ!$K$6:$K$9,速報_原データ!$I$6:$I$9,EDATE($A5,12),速報_原データ!$J$6:$J$9,D$3)/100),AVERAGE(D4,D6))))</f>
        <v>966.560900716479</v>
      </c>
      <c r="E5" s="18" t="n">
        <f aca="false">IF(COUNTIFS(速報_原データ!$A$5:$A$200,$A5,速報_原データ!$B$5:$B$200,E$3)&gt;0,SUMIFS(速報_原データ!$C$5:$C$200,速報_原データ!$A$5:$A$200,$A5,速報_原データ!$B$5:$B$200,E$3)/100,IF(COUNTIFS(速報_原データ!$A$5:$A$200,EDATE($A5,12),速報_原データ!$B$5:$B$200,E$3)&gt;0,SUMIFS(速報_原データ!$C$5:$C$200,速報_原データ!$A$5:$A$200,EDATE($A5,12),速報_原データ!$B$5:$B$200,E$3)/100/(1+SUMIFS(速報_原データ!$D$5:$D$200,速報_原データ!$A$5:$A$200,EDATE($A5,12),速報_原データ!$B$5:$B$200,E$3)/100),IF(COUNTIFS(速報_原データ!$I$6:$I$9,EDATE($A5,12),速報_原データ!$J$6:$J$9,E$3)&gt;0,E17/(1+SUMIFS(速報_原データ!$K$6:$K$9,速報_原データ!$I$6:$I$9,EDATE($A5,12),速報_原データ!$J$6:$J$9,E$3)/100),AVERAGE(E4,E6))))</f>
        <v>452.630522088353</v>
      </c>
      <c r="F5" s="18" t="n">
        <f aca="false">IF(COUNTIFS(速報_原データ!$A$5:$A$200,$A5,速報_原データ!$B$5:$B$200,F$3)&gt;0,SUMIFS(速報_原データ!$C$5:$C$200,速報_原データ!$A$5:$A$200,$A5,速報_原データ!$B$5:$B$200,F$3)/100,IF(COUNTIFS(速報_原データ!$A$5:$A$200,EDATE($A5,12),速報_原データ!$B$5:$B$200,F$3)&gt;0,SUMIFS(速報_原データ!$C$5:$C$200,速報_原データ!$A$5:$A$200,EDATE($A5,12),速報_原データ!$B$5:$B$200,F$3)/100/(1+SUMIFS(速報_原データ!$D$5:$D$200,速報_原データ!$A$5:$A$200,EDATE($A5,12),速報_原データ!$B$5:$B$200,F$3)/100),IF(COUNTIFS(速報_原データ!$I$6:$I$9,EDATE($A5,12),速報_原データ!$J$6:$J$9,F$3)&gt;0,F17/(1+SUMIFS(速報_原データ!$K$6:$K$9,速報_原データ!$I$6:$I$9,EDATE($A5,12),速報_原データ!$J$6:$J$9,F$3)/100),AVERAGE(F4,F6))))</f>
        <v>511.804062126643</v>
      </c>
      <c r="G5" s="18" t="n">
        <f aca="false">IF(COUNTIFS(速報_原データ!$A$5:$A$200,$A5,速報_原データ!$B$5:$B$200,G$3)&gt;0,SUMIFS(速報_原データ!$C$5:$C$200,速報_原データ!$A$5:$A$200,$A5,速報_原データ!$B$5:$B$200,G$3)/100,IF(COUNTIFS(速報_原データ!$A$5:$A$200,EDATE($A5,12),速報_原データ!$B$5:$B$200,G$3)&gt;0,SUMIFS(速報_原データ!$C$5:$C$200,速報_原データ!$A$5:$A$200,EDATE($A5,12),速報_原データ!$B$5:$B$200,G$3)/100/(1+SUMIFS(速報_原データ!$D$5:$D$200,速報_原データ!$A$5:$A$200,EDATE($A5,12),速報_原データ!$B$5:$B$200,G$3)/100),IF(COUNTIFS(速報_原データ!$I$6:$I$9,EDATE($A5,12),速報_原データ!$J$6:$J$9,G$3)&gt;0,G17/(1+SUMIFS(速報_原データ!$K$6:$K$9,速報_原データ!$I$6:$I$9,EDATE($A5,12),速報_原データ!$J$6:$J$9,G$3)/100),AVERAGE(G4,G6))))</f>
        <v>221.261261261261</v>
      </c>
      <c r="H5" s="18" t="n">
        <f aca="false">IF(COUNTIFS(速報_原データ!$A$5:$A$200,$A5,速報_原データ!$B$5:$B$200,H$3)&gt;0,SUMIFS(速報_原データ!$C$5:$C$200,速報_原データ!$A$5:$A$200,$A5,速報_原データ!$B$5:$B$200,H$3)/100,IF(COUNTIFS(速報_原データ!$A$5:$A$200,EDATE($A5,12),速報_原データ!$B$5:$B$200,H$3)&gt;0,SUMIFS(速報_原データ!$C$5:$C$200,速報_原データ!$A$5:$A$200,EDATE($A5,12),速報_原データ!$B$5:$B$200,H$3)/100/(1+SUMIFS(速報_原データ!$D$5:$D$200,速報_原データ!$A$5:$A$200,EDATE($A5,12),速報_原データ!$B$5:$B$200,H$3)/100),IF(COUNTIFS(速報_原データ!$I$6:$I$9,EDATE($A5,12),速報_原データ!$J$6:$J$9,H$3)&gt;0,H17/(1+SUMIFS(速報_原データ!$K$6:$K$9,速報_原データ!$I$6:$I$9,EDATE($A5,12),速報_原データ!$J$6:$J$9,H$3)/100),AVERAGE(H4,H6))))</f>
        <v>137.692307692308</v>
      </c>
      <c r="I5" s="18" t="n">
        <f aca="false">B5-D5</f>
        <v>1990.0537638701</v>
      </c>
      <c r="J5" s="18" t="n">
        <f aca="false">C5-D5-E5-H5</f>
        <v>661.001944433989</v>
      </c>
      <c r="K5" s="2" t="s">
        <v>235</v>
      </c>
    </row>
    <row r="6" customFormat="false" ht="15" hidden="false" customHeight="false" outlineLevel="0" collapsed="false">
      <c r="A6" s="12" t="n">
        <v>45047</v>
      </c>
      <c r="B6" s="18" t="n">
        <f aca="false">IF(COUNTIFS(速報_原データ!$A$5:$A$200,$A6,速報_原データ!$B$5:$B$200,B$3)&gt;0,SUMIFS(速報_原データ!$C$5:$C$200,速報_原データ!$A$5:$A$200,$A6,速報_原データ!$B$5:$B$200,B$3)/100,IF(COUNTIFS(速報_原データ!$A$5:$A$200,EDATE($A6,12),速報_原データ!$B$5:$B$200,B$3)&gt;0,SUMIFS(速報_原データ!$C$5:$C$200,速報_原データ!$A$5:$A$200,EDATE($A6,12),速報_原データ!$B$5:$B$200,B$3)/100/(1+SUMIFS(速報_原データ!$D$5:$D$200,速報_原データ!$A$5:$A$200,EDATE($A6,12),速報_原データ!$B$5:$B$200,B$3)/100),IF(COUNTIFS(速報_原データ!$I$6:$I$9,EDATE($A6,12),速報_原データ!$J$6:$J$9,B$3)&gt;0,B18/(1+SUMIFS(速報_原データ!$K$6:$K$9,速報_原データ!$I$6:$I$9,EDATE($A6,12),速報_原データ!$J$6:$J$9,B$3)/100),AVERAGE(B5,B7))))</f>
        <v>2348.22329783253</v>
      </c>
      <c r="C6" s="18" t="n">
        <f aca="false">IF(COUNTIFS(速報_原データ!$A$5:$A$200,$A6,速報_原データ!$B$5:$B$200,C$3)&gt;0,SUMIFS(速報_原データ!$C$5:$C$200,速報_原データ!$A$5:$A$200,$A6,速報_原データ!$B$5:$B$200,C$3)/100,IF(COUNTIFS(速報_原データ!$A$5:$A$200,EDATE($A6,12),速報_原データ!$B$5:$B$200,C$3)&gt;0,SUMIFS(速報_原データ!$C$5:$C$200,速報_原データ!$A$5:$A$200,EDATE($A6,12),速報_原データ!$B$5:$B$200,C$3)/100/(1+SUMIFS(速報_原データ!$D$5:$D$200,速報_原データ!$A$5:$A$200,EDATE($A6,12),速報_原データ!$B$5:$B$200,C$3)/100),IF(COUNTIFS(速報_原データ!$I$6:$I$9,EDATE($A6,12),速報_原データ!$J$6:$J$9,C$3)&gt;0,C18/(1+SUMIFS(速報_原データ!$K$6:$K$9,速報_原データ!$I$6:$I$9,EDATE($A6,12),速報_原データ!$J$6:$J$9,C$3)/100),AVERAGE(C5,C7))))</f>
        <v>1897.33557680804</v>
      </c>
      <c r="D6" s="18" t="n">
        <f aca="false">IF(COUNTIFS(速報_原データ!$A$5:$A$200,$A6,速報_原データ!$B$5:$B$200,D$3)&gt;0,SUMIFS(速報_原データ!$C$5:$C$200,速報_原データ!$A$5:$A$200,$A6,速報_原データ!$B$5:$B$200,D$3)/100,IF(COUNTIFS(速報_原データ!$A$5:$A$200,EDATE($A6,12),速報_原データ!$B$5:$B$200,D$3)&gt;0,SUMIFS(速報_原データ!$C$5:$C$200,速報_原データ!$A$5:$A$200,EDATE($A6,12),速報_原データ!$B$5:$B$200,D$3)/100/(1+SUMIFS(速報_原データ!$D$5:$D$200,速報_原データ!$A$5:$A$200,EDATE($A6,12),速報_原データ!$B$5:$B$200,D$3)/100),IF(COUNTIFS(速報_原データ!$I$6:$I$9,EDATE($A6,12),速報_原データ!$J$6:$J$9,D$3)&gt;0,D18/(1+SUMIFS(速報_原データ!$K$6:$K$9,速報_原データ!$I$6:$I$9,EDATE($A6,12),速報_原データ!$J$6:$J$9,D$3)/100),AVERAGE(D5,D7))))</f>
        <v>816.893003192571</v>
      </c>
      <c r="E6" s="18" t="n">
        <f aca="false">IF(COUNTIFS(速報_原データ!$A$5:$A$200,$A6,速報_原データ!$B$5:$B$200,E$3)&gt;0,SUMIFS(速報_原データ!$C$5:$C$200,速報_原データ!$A$5:$A$200,$A6,速報_原データ!$B$5:$B$200,E$3)/100,IF(COUNTIFS(速報_原データ!$A$5:$A$200,EDATE($A6,12),速報_原データ!$B$5:$B$200,E$3)&gt;0,SUMIFS(速報_原データ!$C$5:$C$200,速報_原データ!$A$5:$A$200,EDATE($A6,12),速報_原データ!$B$5:$B$200,E$3)/100/(1+SUMIFS(速報_原データ!$D$5:$D$200,速報_原データ!$A$5:$A$200,EDATE($A6,12),速報_原データ!$B$5:$B$200,E$3)/100),IF(COUNTIFS(速報_原データ!$I$6:$I$9,EDATE($A6,12),速報_原データ!$J$6:$J$9,E$3)&gt;0,E18/(1+SUMIFS(速報_原データ!$K$6:$K$9,速報_原データ!$I$6:$I$9,EDATE($A6,12),速報_原データ!$J$6:$J$9,E$3)/100),AVERAGE(E5,E7))))</f>
        <v>478.866376285812</v>
      </c>
      <c r="F6" s="18" t="n">
        <f aca="false">IF(COUNTIFS(速報_原データ!$A$5:$A$200,$A6,速報_原データ!$B$5:$B$200,F$3)&gt;0,SUMIFS(速報_原データ!$C$5:$C$200,速報_原データ!$A$5:$A$200,$A6,速報_原データ!$B$5:$B$200,F$3)/100,IF(COUNTIFS(速報_原データ!$A$5:$A$200,EDATE($A6,12),速報_原データ!$B$5:$B$200,F$3)&gt;0,SUMIFS(速報_原データ!$C$5:$C$200,速報_原データ!$A$5:$A$200,EDATE($A6,12),速報_原データ!$B$5:$B$200,F$3)/100/(1+SUMIFS(速報_原データ!$D$5:$D$200,速報_原データ!$A$5:$A$200,EDATE($A6,12),速報_原データ!$B$5:$B$200,F$3)/100),IF(COUNTIFS(速報_原データ!$I$6:$I$9,EDATE($A6,12),速報_原データ!$J$6:$J$9,F$3)&gt;0,F18/(1+SUMIFS(速報_原データ!$K$6:$K$9,速報_原データ!$I$6:$I$9,EDATE($A6,12),速報_原データ!$J$6:$J$9,F$3)/100),AVERAGE(F5,F7))))</f>
        <v>165.801061594323</v>
      </c>
      <c r="G6" s="18" t="n">
        <f aca="false">IF(COUNTIFS(速報_原データ!$A$5:$A$200,$A6,速報_原データ!$B$5:$B$200,G$3)&gt;0,SUMIFS(速報_原データ!$C$5:$C$200,速報_原データ!$A$5:$A$200,$A6,速報_原データ!$B$5:$B$200,G$3)/100,IF(COUNTIFS(速報_原データ!$A$5:$A$200,EDATE($A6,12),速報_原データ!$B$5:$B$200,G$3)&gt;0,SUMIFS(速報_原データ!$C$5:$C$200,速報_原データ!$A$5:$A$200,EDATE($A6,12),速報_原データ!$B$5:$B$200,G$3)/100/(1+SUMIFS(速報_原データ!$D$5:$D$200,速報_原データ!$A$5:$A$200,EDATE($A6,12),速報_原データ!$B$5:$B$200,G$3)/100),IF(COUNTIFS(速報_原データ!$I$6:$I$9,EDATE($A6,12),速報_原データ!$J$6:$J$9,G$3)&gt;0,G18/(1+SUMIFS(速報_原データ!$K$6:$K$9,速報_原データ!$I$6:$I$9,EDATE($A6,12),速報_原データ!$J$6:$J$9,G$3)/100),AVERAGE(G5,G7))))</f>
        <v>212.18033823297</v>
      </c>
      <c r="H6" s="18" t="n">
        <f aca="false">IF(COUNTIFS(速報_原データ!$A$5:$A$200,$A6,速報_原データ!$B$5:$B$200,H$3)&gt;0,SUMIFS(速報_原データ!$C$5:$C$200,速報_原データ!$A$5:$A$200,$A6,速報_原データ!$B$5:$B$200,H$3)/100,IF(COUNTIFS(速報_原データ!$A$5:$A$200,EDATE($A6,12),速報_原データ!$B$5:$B$200,H$3)&gt;0,SUMIFS(速報_原データ!$C$5:$C$200,速報_原データ!$A$5:$A$200,EDATE($A6,12),速報_原データ!$B$5:$B$200,H$3)/100/(1+SUMIFS(速報_原データ!$D$5:$D$200,速報_原データ!$A$5:$A$200,EDATE($A6,12),速報_原データ!$B$5:$B$200,H$3)/100),IF(COUNTIFS(速報_原データ!$I$6:$I$9,EDATE($A6,12),速報_原データ!$J$6:$J$9,H$3)&gt;0,H18/(1+SUMIFS(速報_原データ!$K$6:$K$9,速報_原データ!$I$6:$I$9,EDATE($A6,12),速報_原データ!$J$6:$J$9,H$3)/100),AVERAGE(H5,H7))))</f>
        <v>139.830336622955</v>
      </c>
      <c r="I6" s="18" t="n">
        <f aca="false">B6-D6</f>
        <v>1531.33029463996</v>
      </c>
      <c r="J6" s="18" t="n">
        <f aca="false">C6-D6-E6-H6</f>
        <v>461.745860706699</v>
      </c>
      <c r="K6" s="16" t="s">
        <v>236</v>
      </c>
    </row>
    <row r="7" customFormat="false" ht="15" hidden="false" customHeight="false" outlineLevel="0" collapsed="false">
      <c r="A7" s="12" t="n">
        <v>45078</v>
      </c>
      <c r="B7" s="18" t="n">
        <f aca="false">IF(COUNTIFS(速報_原データ!$A$5:$A$200,$A7,速報_原データ!$B$5:$B$200,B$3)&gt;0,SUMIFS(速報_原データ!$C$5:$C$200,速報_原データ!$A$5:$A$200,$A7,速報_原データ!$B$5:$B$200,B$3)/100,IF(COUNTIFS(速報_原データ!$A$5:$A$200,EDATE($A7,12),速報_原データ!$B$5:$B$200,B$3)&gt;0,SUMIFS(速報_原データ!$C$5:$C$200,速報_原データ!$A$5:$A$200,EDATE($A7,12),速報_原データ!$B$5:$B$200,B$3)/100/(1+SUMIFS(速報_原データ!$D$5:$D$200,速報_原データ!$A$5:$A$200,EDATE($A7,12),速報_原データ!$B$5:$B$200,B$3)/100),IF(COUNTIFS(速報_原データ!$I$6:$I$9,EDATE($A7,12),速報_原データ!$J$6:$J$9,B$3)&gt;0,B19/(1+SUMIFS(速報_原データ!$K$6:$K$9,速報_原データ!$I$6:$I$9,EDATE($A7,12),速報_原データ!$J$6:$J$9,B$3)/100),AVERAGE(B6,B8))))</f>
        <v>2880.10152284264</v>
      </c>
      <c r="C7" s="18" t="n">
        <f aca="false">IF(COUNTIFS(速報_原データ!$A$5:$A$200,$A7,速報_原データ!$B$5:$B$200,C$3)&gt;0,SUMIFS(速報_原データ!$C$5:$C$200,速報_原データ!$A$5:$A$200,$A7,速報_原データ!$B$5:$B$200,C$3)/100,IF(COUNTIFS(速報_原データ!$A$5:$A$200,EDATE($A7,12),速報_原データ!$B$5:$B$200,C$3)&gt;0,SUMIFS(速報_原データ!$C$5:$C$200,速報_原データ!$A$5:$A$200,EDATE($A7,12),速報_原データ!$B$5:$B$200,C$3)/100/(1+SUMIFS(速報_原データ!$D$5:$D$200,速報_原データ!$A$5:$A$200,EDATE($A7,12),速報_原データ!$B$5:$B$200,C$3)/100),IF(COUNTIFS(速報_原データ!$I$6:$I$9,EDATE($A7,12),速報_原データ!$J$6:$J$9,C$3)&gt;0,C19/(1+SUMIFS(速報_原データ!$K$6:$K$9,速報_原データ!$I$6:$I$9,EDATE($A7,12),速報_原データ!$J$6:$J$9,C$3)/100),AVERAGE(C6,C8))))</f>
        <v>2366.76696990903</v>
      </c>
      <c r="D7" s="18" t="n">
        <f aca="false">IF(COUNTIFS(速報_原データ!$A$5:$A$200,$A7,速報_原データ!$B$5:$B$200,D$3)&gt;0,SUMIFS(速報_原データ!$C$5:$C$200,速報_原データ!$A$5:$A$200,$A7,速報_原データ!$B$5:$B$200,D$3)/100,IF(COUNTIFS(速報_原データ!$A$5:$A$200,EDATE($A7,12),速報_原データ!$B$5:$B$200,D$3)&gt;0,SUMIFS(速報_原データ!$C$5:$C$200,速報_原データ!$A$5:$A$200,EDATE($A7,12),速報_原データ!$B$5:$B$200,D$3)/100/(1+SUMIFS(速報_原データ!$D$5:$D$200,速報_原データ!$A$5:$A$200,EDATE($A7,12),速報_原データ!$B$5:$B$200,D$3)/100),IF(COUNTIFS(速報_原データ!$I$6:$I$9,EDATE($A7,12),速報_原データ!$J$6:$J$9,D$3)&gt;0,D19/(1+SUMIFS(速報_原データ!$K$6:$K$9,速報_原データ!$I$6:$I$9,EDATE($A7,12),速報_原データ!$J$6:$J$9,D$3)/100),AVERAGE(D6,D8))))</f>
        <v>1303.88625592417</v>
      </c>
      <c r="E7" s="18" t="n">
        <f aca="false">IF(COUNTIFS(速報_原データ!$A$5:$A$200,$A7,速報_原データ!$B$5:$B$200,E$3)&gt;0,SUMIFS(速報_原データ!$C$5:$C$200,速報_原データ!$A$5:$A$200,$A7,速報_原データ!$B$5:$B$200,E$3)/100,IF(COUNTIFS(速報_原データ!$A$5:$A$200,EDATE($A7,12),速報_原データ!$B$5:$B$200,E$3)&gt;0,SUMIFS(速報_原データ!$C$5:$C$200,速報_原データ!$A$5:$A$200,EDATE($A7,12),速報_原データ!$B$5:$B$200,E$3)/100/(1+SUMIFS(速報_原データ!$D$5:$D$200,速報_原データ!$A$5:$A$200,EDATE($A7,12),速報_原データ!$B$5:$B$200,E$3)/100),IF(COUNTIFS(速報_原データ!$I$6:$I$9,EDATE($A7,12),速報_原データ!$J$6:$J$9,E$3)&gt;0,E19/(1+SUMIFS(速報_原データ!$K$6:$K$9,速報_原データ!$I$6:$I$9,EDATE($A7,12),速報_原データ!$J$6:$J$9,E$3)/100),AVERAGE(E6,E8))))</f>
        <v>505.102230483271</v>
      </c>
      <c r="F7" s="18" t="n">
        <f aca="false">IF(COUNTIFS(速報_原データ!$A$5:$A$200,$A7,速報_原データ!$B$5:$B$200,F$3)&gt;0,SUMIFS(速報_原データ!$C$5:$C$200,速報_原データ!$A$5:$A$200,$A7,速報_原データ!$B$5:$B$200,F$3)/100,IF(COUNTIFS(速報_原データ!$A$5:$A$200,EDATE($A7,12),速報_原データ!$B$5:$B$200,F$3)&gt;0,SUMIFS(速報_原データ!$C$5:$C$200,速報_原データ!$A$5:$A$200,EDATE($A7,12),速報_原データ!$B$5:$B$200,F$3)/100/(1+SUMIFS(速報_原データ!$D$5:$D$200,速報_原データ!$A$5:$A$200,EDATE($A7,12),速報_原データ!$B$5:$B$200,F$3)/100),IF(COUNTIFS(速報_原データ!$I$6:$I$9,EDATE($A7,12),速報_原データ!$J$6:$J$9,F$3)&gt;0,F19/(1+SUMIFS(速報_原データ!$K$6:$K$9,速報_原データ!$I$6:$I$9,EDATE($A7,12),速報_原データ!$J$6:$J$9,F$3)/100),AVERAGE(F6,F8))))</f>
        <v>302.910353535354</v>
      </c>
      <c r="G7" s="18" t="n">
        <f aca="false">IF(COUNTIFS(速報_原データ!$A$5:$A$200,$A7,速報_原データ!$B$5:$B$200,G$3)&gt;0,SUMIFS(速報_原データ!$C$5:$C$200,速報_原データ!$A$5:$A$200,$A7,速報_原データ!$B$5:$B$200,G$3)/100,IF(COUNTIFS(速報_原データ!$A$5:$A$200,EDATE($A7,12),速報_原データ!$B$5:$B$200,G$3)&gt;0,SUMIFS(速報_原データ!$C$5:$C$200,速報_原データ!$A$5:$A$200,EDATE($A7,12),速報_原データ!$B$5:$B$200,G$3)/100/(1+SUMIFS(速報_原データ!$D$5:$D$200,速報_原データ!$A$5:$A$200,EDATE($A7,12),速報_原データ!$B$5:$B$200,G$3)/100),IF(COUNTIFS(速報_原データ!$I$6:$I$9,EDATE($A7,12),速報_原データ!$J$6:$J$9,G$3)&gt;0,G19/(1+SUMIFS(速報_原データ!$K$6:$K$9,速報_原データ!$I$6:$I$9,EDATE($A7,12),速報_原データ!$J$6:$J$9,G$3)/100),AVERAGE(G6,G8))))</f>
        <v>203.099415204678</v>
      </c>
      <c r="H7" s="18" t="n">
        <f aca="false">IF(COUNTIFS(速報_原データ!$A$5:$A$200,$A7,速報_原データ!$B$5:$B$200,H$3)&gt;0,SUMIFS(速報_原データ!$C$5:$C$200,速報_原データ!$A$5:$A$200,$A7,速報_原データ!$B$5:$B$200,H$3)/100,IF(COUNTIFS(速報_原データ!$A$5:$A$200,EDATE($A7,12),速報_原データ!$B$5:$B$200,H$3)&gt;0,SUMIFS(速報_原データ!$C$5:$C$200,速報_原データ!$A$5:$A$200,EDATE($A7,12),速報_原データ!$B$5:$B$200,H$3)/100/(1+SUMIFS(速報_原データ!$D$5:$D$200,速報_原データ!$A$5:$A$200,EDATE($A7,12),速報_原データ!$B$5:$B$200,H$3)/100),IF(COUNTIFS(速報_原データ!$I$6:$I$9,EDATE($A7,12),速報_原データ!$J$6:$J$9,H$3)&gt;0,H19/(1+SUMIFS(速報_原データ!$K$6:$K$9,速報_原データ!$I$6:$I$9,EDATE($A7,12),速報_原データ!$J$6:$J$9,H$3)/100),AVERAGE(H6,H8))))</f>
        <v>141.968365553603</v>
      </c>
      <c r="I7" s="18" t="n">
        <f aca="false">B7-D7</f>
        <v>1576.21526691847</v>
      </c>
      <c r="J7" s="18" t="n">
        <f aca="false">C7-D7-E7-H7</f>
        <v>415.810117947983</v>
      </c>
      <c r="K7" s="2" t="s">
        <v>235</v>
      </c>
    </row>
    <row r="8" customFormat="false" ht="15" hidden="false" customHeight="false" outlineLevel="0" collapsed="false">
      <c r="A8" s="12" t="n">
        <v>45108</v>
      </c>
      <c r="B8" s="18" t="n">
        <f aca="false">IF(COUNTIFS(速報_原データ!$A$5:$A$200,$A8,速報_原データ!$B$5:$B$200,B$3)&gt;0,SUMIFS(速報_原データ!$C$5:$C$200,速報_原データ!$A$5:$A$200,$A8,速報_原データ!$B$5:$B$200,B$3)/100,IF(COUNTIFS(速報_原データ!$A$5:$A$200,EDATE($A8,12),速報_原データ!$B$5:$B$200,B$3)&gt;0,SUMIFS(速報_原データ!$C$5:$C$200,速報_原データ!$A$5:$A$200,EDATE($A8,12),速報_原データ!$B$5:$B$200,B$3)/100/(1+SUMIFS(速報_原データ!$D$5:$D$200,速報_原データ!$A$5:$A$200,EDATE($A8,12),速報_原データ!$B$5:$B$200,B$3)/100),IF(COUNTIFS(速報_原データ!$I$6:$I$9,EDATE($A8,12),速報_原データ!$J$6:$J$9,B$3)&gt;0,B20/(1+SUMIFS(速報_原データ!$K$6:$K$9,速報_原データ!$I$6:$I$9,EDATE($A8,12),速報_原データ!$J$6:$J$9,B$3)/100),AVERAGE(B7,B9))))</f>
        <v>2883.7558685446</v>
      </c>
      <c r="C8" s="18" t="n">
        <f aca="false">IF(COUNTIFS(速報_原データ!$A$5:$A$200,$A8,速報_原データ!$B$5:$B$200,C$3)&gt;0,SUMIFS(速報_原データ!$C$5:$C$200,速報_原データ!$A$5:$A$200,$A8,速報_原データ!$B$5:$B$200,C$3)/100,IF(COUNTIFS(速報_原データ!$A$5:$A$200,EDATE($A8,12),速報_原データ!$B$5:$B$200,C$3)&gt;0,SUMIFS(速報_原データ!$C$5:$C$200,速報_原データ!$A$5:$A$200,EDATE($A8,12),速報_原データ!$B$5:$B$200,C$3)/100/(1+SUMIFS(速報_原データ!$D$5:$D$200,速報_原データ!$A$5:$A$200,EDATE($A8,12),速報_原データ!$B$5:$B$200,C$3)/100),IF(COUNTIFS(速報_原データ!$I$6:$I$9,EDATE($A8,12),速報_原データ!$J$6:$J$9,C$3)&gt;0,C20/(1+SUMIFS(速報_原データ!$K$6:$K$9,速報_原データ!$I$6:$I$9,EDATE($A8,12),速報_原データ!$J$6:$J$9,C$3)/100),AVERAGE(C7,C9))))</f>
        <v>2369.63046757164</v>
      </c>
      <c r="D8" s="18" t="n">
        <f aca="false">IF(COUNTIFS(速報_原データ!$A$5:$A$200,$A8,速報_原データ!$B$5:$B$200,D$3)&gt;0,SUMIFS(速報_原データ!$C$5:$C$200,速報_原データ!$A$5:$A$200,$A8,速報_原データ!$B$5:$B$200,D$3)/100,IF(COUNTIFS(速報_原データ!$A$5:$A$200,EDATE($A8,12),速報_原データ!$B$5:$B$200,D$3)&gt;0,SUMIFS(速報_原データ!$C$5:$C$200,速報_原データ!$A$5:$A$200,EDATE($A8,12),速報_原データ!$B$5:$B$200,D$3)/100/(1+SUMIFS(速報_原データ!$D$5:$D$200,速報_原データ!$A$5:$A$200,EDATE($A8,12),速報_原データ!$B$5:$B$200,D$3)/100),IF(COUNTIFS(速報_原データ!$I$6:$I$9,EDATE($A8,12),速報_原データ!$J$6:$J$9,D$3)&gt;0,D20/(1+SUMIFS(速報_原データ!$K$6:$K$9,速報_原データ!$I$6:$I$9,EDATE($A8,12),速報_原データ!$J$6:$J$9,D$3)/100),AVERAGE(D7,D9))))</f>
        <v>1405.30017152659</v>
      </c>
      <c r="E8" s="18" t="n">
        <f aca="false">IF(COUNTIFS(速報_原データ!$A$5:$A$200,$A8,速報_原データ!$B$5:$B$200,E$3)&gt;0,SUMIFS(速報_原データ!$C$5:$C$200,速報_原データ!$A$5:$A$200,$A8,速報_原データ!$B$5:$B$200,E$3)/100,IF(COUNTIFS(速報_原データ!$A$5:$A$200,EDATE($A8,12),速報_原データ!$B$5:$B$200,E$3)&gt;0,SUMIFS(速報_原データ!$C$5:$C$200,速報_原データ!$A$5:$A$200,EDATE($A8,12),速報_原データ!$B$5:$B$200,E$3)/100/(1+SUMIFS(速報_原データ!$D$5:$D$200,速報_原データ!$A$5:$A$200,EDATE($A8,12),速報_原データ!$B$5:$B$200,E$3)/100),IF(COUNTIFS(速報_原データ!$I$6:$I$9,EDATE($A8,12),速報_原データ!$J$6:$J$9,E$3)&gt;0,E20/(1+SUMIFS(速報_原データ!$K$6:$K$9,速報_原データ!$I$6:$I$9,EDATE($A8,12),速報_原データ!$J$6:$J$9,E$3)/100),AVERAGE(E7,E9))))</f>
        <v>440.559380378658</v>
      </c>
      <c r="F8" s="18" t="n">
        <f aca="false">IF(COUNTIFS(速報_原データ!$A$5:$A$200,$A8,速報_原データ!$B$5:$B$200,F$3)&gt;0,SUMIFS(速報_原データ!$C$5:$C$200,速報_原データ!$A$5:$A$200,$A8,速報_原データ!$B$5:$B$200,F$3)/100,IF(COUNTIFS(速報_原データ!$A$5:$A$200,EDATE($A8,12),速報_原データ!$B$5:$B$200,F$3)&gt;0,SUMIFS(速報_原データ!$C$5:$C$200,速報_原データ!$A$5:$A$200,EDATE($A8,12),速報_原データ!$B$5:$B$200,F$3)/100/(1+SUMIFS(速報_原データ!$D$5:$D$200,速報_原データ!$A$5:$A$200,EDATE($A8,12),速報_原データ!$B$5:$B$200,F$3)/100),IF(COUNTIFS(速報_原データ!$I$6:$I$9,EDATE($A8,12),速報_原データ!$J$6:$J$9,F$3)&gt;0,F20/(1+SUMIFS(速報_原データ!$K$6:$K$9,速報_原データ!$I$6:$I$9,EDATE($A8,12),速報_原データ!$J$6:$J$9,F$3)/100),AVERAGE(F7,F9))))</f>
        <v>336.11620795107</v>
      </c>
      <c r="G8" s="18" t="n">
        <f aca="false">IF(COUNTIFS(速報_原データ!$A$5:$A$200,$A8,速報_原データ!$B$5:$B$200,G$3)&gt;0,SUMIFS(速報_原データ!$C$5:$C$200,速報_原データ!$A$5:$A$200,$A8,速報_原データ!$B$5:$B$200,G$3)/100,IF(COUNTIFS(速報_原データ!$A$5:$A$200,EDATE($A8,12),速報_原データ!$B$5:$B$200,G$3)&gt;0,SUMIFS(速報_原データ!$C$5:$C$200,速報_原データ!$A$5:$A$200,EDATE($A8,12),速報_原データ!$B$5:$B$200,G$3)/100/(1+SUMIFS(速報_原データ!$D$5:$D$200,速報_原データ!$A$5:$A$200,EDATE($A8,12),速報_原データ!$B$5:$B$200,G$3)/100),IF(COUNTIFS(速報_原データ!$I$6:$I$9,EDATE($A8,12),速報_原データ!$J$6:$J$9,G$3)&gt;0,G20/(1+SUMIFS(速報_原データ!$K$6:$K$9,速報_原データ!$I$6:$I$9,EDATE($A8,12),速報_原データ!$J$6:$J$9,G$3)/100),AVERAGE(G7,G9))))</f>
        <v>172.554027504912</v>
      </c>
      <c r="H8" s="18" t="n">
        <f aca="false">IF(COUNTIFS(速報_原データ!$A$5:$A$200,$A8,速報_原データ!$B$5:$B$200,H$3)&gt;0,SUMIFS(速報_原データ!$C$5:$C$200,速報_原データ!$A$5:$A$200,$A8,速報_原データ!$B$5:$B$200,H$3)/100,IF(COUNTIFS(速報_原データ!$A$5:$A$200,EDATE($A8,12),速報_原データ!$B$5:$B$200,H$3)&gt;0,SUMIFS(速報_原データ!$C$5:$C$200,速報_原データ!$A$5:$A$200,EDATE($A8,12),速報_原データ!$B$5:$B$200,H$3)/100/(1+SUMIFS(速報_原データ!$D$5:$D$200,速報_原データ!$A$5:$A$200,EDATE($A8,12),速報_原データ!$B$5:$B$200,H$3)/100),IF(COUNTIFS(速報_原データ!$I$6:$I$9,EDATE($A8,12),速報_原データ!$J$6:$J$9,H$3)&gt;0,H20/(1+SUMIFS(速報_原データ!$K$6:$K$9,速報_原データ!$I$6:$I$9,EDATE($A8,12),速報_原データ!$J$6:$J$9,H$3)/100),AVERAGE(H7,H9))))</f>
        <v>145.982274741507</v>
      </c>
      <c r="I8" s="18" t="n">
        <f aca="false">B8-D8</f>
        <v>1478.45569701801</v>
      </c>
      <c r="J8" s="18" t="n">
        <f aca="false">C8-D8-E8-H8</f>
        <v>377.788640924893</v>
      </c>
      <c r="K8" s="2" t="s">
        <v>235</v>
      </c>
    </row>
    <row r="9" customFormat="false" ht="15" hidden="false" customHeight="false" outlineLevel="0" collapsed="false">
      <c r="A9" s="12" t="n">
        <v>45139</v>
      </c>
      <c r="B9" s="18" t="n">
        <f aca="false">IF(COUNTIFS(速報_原データ!$A$5:$A$200,$A9,速報_原データ!$B$5:$B$200,B$3)&gt;0,SUMIFS(速報_原データ!$C$5:$C$200,速報_原データ!$A$5:$A$200,$A9,速報_原データ!$B$5:$B$200,B$3)/100,IF(COUNTIFS(速報_原データ!$A$5:$A$200,EDATE($A9,12),速報_原データ!$B$5:$B$200,B$3)&gt;0,SUMIFS(速報_原データ!$C$5:$C$200,速報_原データ!$A$5:$A$200,EDATE($A9,12),速報_原データ!$B$5:$B$200,B$3)/100/(1+SUMIFS(速報_原データ!$D$5:$D$200,速報_原データ!$A$5:$A$200,EDATE($A9,12),速報_原データ!$B$5:$B$200,B$3)/100),IF(COUNTIFS(速報_原データ!$I$6:$I$9,EDATE($A9,12),速報_原データ!$J$6:$J$9,B$3)&gt;0,B21/(1+SUMIFS(速報_原データ!$K$6:$K$9,速報_原データ!$I$6:$I$9,EDATE($A9,12),速報_原データ!$J$6:$J$9,B$3)/100),AVERAGE(B8,B10))))</f>
        <v>2209.5618556701</v>
      </c>
      <c r="C9" s="18" t="n">
        <f aca="false">IF(COUNTIFS(速報_原データ!$A$5:$A$200,$A9,速報_原データ!$B$5:$B$200,C$3)&gt;0,SUMIFS(速報_原データ!$C$5:$C$200,速報_原データ!$A$5:$A$200,$A9,速報_原データ!$B$5:$B$200,C$3)/100,IF(COUNTIFS(速報_原データ!$A$5:$A$200,EDATE($A9,12),速報_原データ!$B$5:$B$200,C$3)&gt;0,SUMIFS(速報_原データ!$C$5:$C$200,速報_原データ!$A$5:$A$200,EDATE($A9,12),速報_原データ!$B$5:$B$200,C$3)/100/(1+SUMIFS(速報_原データ!$D$5:$D$200,速報_原データ!$A$5:$A$200,EDATE($A9,12),速報_原データ!$B$5:$B$200,C$3)/100),IF(COUNTIFS(速報_原データ!$I$6:$I$9,EDATE($A9,12),速報_原データ!$J$6:$J$9,C$3)&gt;0,C21/(1+SUMIFS(速報_原データ!$K$6:$K$9,速報_原データ!$I$6:$I$9,EDATE($A9,12),速報_原データ!$J$6:$J$9,C$3)/100),AVERAGE(C8,C10))))</f>
        <v>1788.13300793167</v>
      </c>
      <c r="D9" s="18" t="n">
        <f aca="false">IF(COUNTIFS(速報_原データ!$A$5:$A$200,$A9,速報_原データ!$B$5:$B$200,D$3)&gt;0,SUMIFS(速報_原データ!$C$5:$C$200,速報_原データ!$A$5:$A$200,$A9,速報_原データ!$B$5:$B$200,D$3)/100,IF(COUNTIFS(速報_原データ!$A$5:$A$200,EDATE($A9,12),速報_原データ!$B$5:$B$200,D$3)&gt;0,SUMIFS(速報_原データ!$C$5:$C$200,速報_原データ!$A$5:$A$200,EDATE($A9,12),速報_原データ!$B$5:$B$200,D$3)/100/(1+SUMIFS(速報_原データ!$D$5:$D$200,速報_原データ!$A$5:$A$200,EDATE($A9,12),速報_原データ!$B$5:$B$200,D$3)/100),IF(COUNTIFS(速報_原データ!$I$6:$I$9,EDATE($A9,12),速報_原データ!$J$6:$J$9,D$3)&gt;0,D21/(1+SUMIFS(速報_原データ!$K$6:$K$9,速報_原データ!$I$6:$I$9,EDATE($A9,12),速報_原データ!$J$6:$J$9,D$3)/100),AVERAGE(D8,D10))))</f>
        <v>1113.40965346535</v>
      </c>
      <c r="E9" s="18" t="n">
        <f aca="false">IF(COUNTIFS(速報_原データ!$A$5:$A$200,$A9,速報_原データ!$B$5:$B$200,E$3)&gt;0,SUMIFS(速報_原データ!$C$5:$C$200,速報_原データ!$A$5:$A$200,$A9,速報_原データ!$B$5:$B$200,E$3)/100,IF(COUNTIFS(速報_原データ!$A$5:$A$200,EDATE($A9,12),速報_原データ!$B$5:$B$200,E$3)&gt;0,SUMIFS(速報_原データ!$C$5:$C$200,速報_原データ!$A$5:$A$200,EDATE($A9,12),速報_原データ!$B$5:$B$200,E$3)/100/(1+SUMIFS(速報_原データ!$D$5:$D$200,速報_原データ!$A$5:$A$200,EDATE($A9,12),速報_原データ!$B$5:$B$200,E$3)/100),IF(COUNTIFS(速報_原データ!$I$6:$I$9,EDATE($A9,12),速報_原データ!$J$6:$J$9,E$3)&gt;0,E21/(1+SUMIFS(速報_原データ!$K$6:$K$9,速報_原データ!$I$6:$I$9,EDATE($A9,12),速報_原データ!$J$6:$J$9,E$3)/100),AVERAGE(E8,E10))))</f>
        <v>290.472491909385</v>
      </c>
      <c r="F9" s="18" t="n">
        <f aca="false">IF(COUNTIFS(速報_原データ!$A$5:$A$200,$A9,速報_原データ!$B$5:$B$200,F$3)&gt;0,SUMIFS(速報_原データ!$C$5:$C$200,速報_原データ!$A$5:$A$200,$A9,速報_原データ!$B$5:$B$200,F$3)/100,IF(COUNTIFS(速報_原データ!$A$5:$A$200,EDATE($A9,12),速報_原データ!$B$5:$B$200,F$3)&gt;0,SUMIFS(速報_原データ!$C$5:$C$200,速報_原データ!$A$5:$A$200,EDATE($A9,12),速報_原データ!$B$5:$B$200,F$3)/100/(1+SUMIFS(速報_原データ!$D$5:$D$200,速報_原データ!$A$5:$A$200,EDATE($A9,12),速報_原データ!$B$5:$B$200,F$3)/100),IF(COUNTIFS(速報_原データ!$I$6:$I$9,EDATE($A9,12),速報_原データ!$J$6:$J$9,F$3)&gt;0,F21/(1+SUMIFS(速報_原データ!$K$6:$K$9,速報_原データ!$I$6:$I$9,EDATE($A9,12),速報_原データ!$J$6:$J$9,F$3)/100),AVERAGE(F8,F10))))</f>
        <v>263.910891089109</v>
      </c>
      <c r="G9" s="18" t="n">
        <f aca="false">IF(COUNTIFS(速報_原データ!$A$5:$A$200,$A9,速報_原データ!$B$5:$B$200,G$3)&gt;0,SUMIFS(速報_原データ!$C$5:$C$200,速報_原データ!$A$5:$A$200,$A9,速報_原データ!$B$5:$B$200,G$3)/100,IF(COUNTIFS(速報_原データ!$A$5:$A$200,EDATE($A9,12),速報_原データ!$B$5:$B$200,G$3)&gt;0,SUMIFS(速報_原データ!$C$5:$C$200,速報_原データ!$A$5:$A$200,EDATE($A9,12),速報_原データ!$B$5:$B$200,G$3)/100/(1+SUMIFS(速報_原データ!$D$5:$D$200,速報_原データ!$A$5:$A$200,EDATE($A9,12),速報_原データ!$B$5:$B$200,G$3)/100),IF(COUNTIFS(速報_原データ!$I$6:$I$9,EDATE($A9,12),速報_原データ!$J$6:$J$9,G$3)&gt;0,G21/(1+SUMIFS(速報_原データ!$K$6:$K$9,速報_原データ!$I$6:$I$9,EDATE($A9,12),速報_原データ!$J$6:$J$9,G$3)/100),AVERAGE(G8,G10))))</f>
        <v>139.975903614458</v>
      </c>
      <c r="H9" s="18" t="n">
        <f aca="false">IF(COUNTIFS(速報_原データ!$A$5:$A$200,$A9,速報_原データ!$B$5:$B$200,H$3)&gt;0,SUMIFS(速報_原データ!$C$5:$C$200,速報_原データ!$A$5:$A$200,$A9,速報_原データ!$B$5:$B$200,H$3)/100,IF(COUNTIFS(速報_原データ!$A$5:$A$200,EDATE($A9,12),速報_原データ!$B$5:$B$200,H$3)&gt;0,SUMIFS(速報_原データ!$C$5:$C$200,速報_原データ!$A$5:$A$200,EDATE($A9,12),速報_原データ!$B$5:$B$200,H$3)/100/(1+SUMIFS(速報_原データ!$D$5:$D$200,速報_原データ!$A$5:$A$200,EDATE($A9,12),速報_原データ!$B$5:$B$200,H$3)/100),IF(COUNTIFS(速報_原データ!$I$6:$I$9,EDATE($A9,12),速報_原データ!$J$6:$J$9,H$3)&gt;0,H21/(1+SUMIFS(速報_原データ!$K$6:$K$9,速報_原データ!$I$6:$I$9,EDATE($A9,12),速報_原データ!$J$6:$J$9,H$3)/100),AVERAGE(H8,H10))))</f>
        <v>139.412157648631</v>
      </c>
      <c r="I9" s="18" t="n">
        <f aca="false">B9-D9</f>
        <v>1096.15220220476</v>
      </c>
      <c r="J9" s="18" t="n">
        <f aca="false">C9-D9-E9-H9</f>
        <v>244.838704908303</v>
      </c>
      <c r="K9" s="2" t="s">
        <v>235</v>
      </c>
    </row>
    <row r="10" customFormat="false" ht="15" hidden="false" customHeight="false" outlineLevel="0" collapsed="false">
      <c r="A10" s="12" t="n">
        <v>45170</v>
      </c>
      <c r="B10" s="18" t="n">
        <f aca="false">IF(COUNTIFS(速報_原データ!$A$5:$A$200,$A10,速報_原データ!$B$5:$B$200,B$3)&gt;0,SUMIFS(速報_原データ!$C$5:$C$200,速報_原データ!$A$5:$A$200,$A10,速報_原データ!$B$5:$B$200,B$3)/100,IF(COUNTIFS(速報_原データ!$A$5:$A$200,EDATE($A10,12),速報_原データ!$B$5:$B$200,B$3)&gt;0,SUMIFS(速報_原データ!$C$5:$C$200,速報_原データ!$A$5:$A$200,EDATE($A10,12),速報_原データ!$B$5:$B$200,B$3)/100/(1+SUMIFS(速報_原データ!$D$5:$D$200,速報_原データ!$A$5:$A$200,EDATE($A10,12),速報_原データ!$B$5:$B$200,B$3)/100),IF(COUNTIFS(速報_原データ!$I$6:$I$9,EDATE($A10,12),速報_原データ!$J$6:$J$9,B$3)&gt;0,B22/(1+SUMIFS(速報_原データ!$K$6:$K$9,速報_原データ!$I$6:$I$9,EDATE($A10,12),速報_原データ!$J$6:$J$9,B$3)/100),AVERAGE(B9,B11))))</f>
        <v>3143.5233570863</v>
      </c>
      <c r="C10" s="18" t="n">
        <f aca="false">IF(COUNTIFS(速報_原データ!$A$5:$A$200,$A10,速報_原データ!$B$5:$B$200,C$3)&gt;0,SUMIFS(速報_原データ!$C$5:$C$200,速報_原データ!$A$5:$A$200,$A10,速報_原データ!$B$5:$B$200,C$3)/100,IF(COUNTIFS(速報_原データ!$A$5:$A$200,EDATE($A10,12),速報_原データ!$B$5:$B$200,C$3)&gt;0,SUMIFS(速報_原データ!$C$5:$C$200,速報_原データ!$A$5:$A$200,EDATE($A10,12),速報_原データ!$B$5:$B$200,C$3)/100/(1+SUMIFS(速報_原データ!$D$5:$D$200,速報_原データ!$A$5:$A$200,EDATE($A10,12),速報_原データ!$B$5:$B$200,C$3)/100),IF(COUNTIFS(速報_原データ!$I$6:$I$9,EDATE($A10,12),速報_原データ!$J$6:$J$9,C$3)&gt;0,C22/(1+SUMIFS(速報_原データ!$K$6:$K$9,速報_原データ!$I$6:$I$9,EDATE($A10,12),速報_原データ!$J$6:$J$9,C$3)/100),AVERAGE(C9,C11))))</f>
        <v>2634.84702093398</v>
      </c>
      <c r="D10" s="18" t="n">
        <f aca="false">IF(COUNTIFS(速報_原データ!$A$5:$A$200,$A10,速報_原データ!$B$5:$B$200,D$3)&gt;0,SUMIFS(速報_原データ!$C$5:$C$200,速報_原データ!$A$5:$A$200,$A10,速報_原データ!$B$5:$B$200,D$3)/100,IF(COUNTIFS(速報_原データ!$A$5:$A$200,EDATE($A10,12),速報_原データ!$B$5:$B$200,D$3)&gt;0,SUMIFS(速報_原データ!$C$5:$C$200,速報_原データ!$A$5:$A$200,EDATE($A10,12),速報_原データ!$B$5:$B$200,D$3)/100/(1+SUMIFS(速報_原データ!$D$5:$D$200,速報_原データ!$A$5:$A$200,EDATE($A10,12),速報_原データ!$B$5:$B$200,D$3)/100),IF(COUNTIFS(速報_原データ!$I$6:$I$9,EDATE($A10,12),速報_原データ!$J$6:$J$9,D$3)&gt;0,D22/(1+SUMIFS(速報_原データ!$K$6:$K$9,速報_原データ!$I$6:$I$9,EDATE($A10,12),速報_原データ!$J$6:$J$9,D$3)/100),AVERAGE(D9,D11))))</f>
        <v>1666.70376712329</v>
      </c>
      <c r="E10" s="18" t="n">
        <f aca="false">IF(COUNTIFS(速報_原データ!$A$5:$A$200,$A10,速報_原データ!$B$5:$B$200,E$3)&gt;0,SUMIFS(速報_原データ!$C$5:$C$200,速報_原データ!$A$5:$A$200,$A10,速報_原データ!$B$5:$B$200,E$3)/100,IF(COUNTIFS(速報_原データ!$A$5:$A$200,EDATE($A10,12),速報_原データ!$B$5:$B$200,E$3)&gt;0,SUMIFS(速報_原データ!$C$5:$C$200,速報_原データ!$A$5:$A$200,EDATE($A10,12),速報_原データ!$B$5:$B$200,E$3)/100/(1+SUMIFS(速報_原データ!$D$5:$D$200,速報_原データ!$A$5:$A$200,EDATE($A10,12),速報_原データ!$B$5:$B$200,E$3)/100),IF(COUNTIFS(速報_原データ!$I$6:$I$9,EDATE($A10,12),速報_原データ!$J$6:$J$9,E$3)&gt;0,E22/(1+SUMIFS(速報_原データ!$K$6:$K$9,速報_原データ!$I$6:$I$9,EDATE($A10,12),速報_原データ!$J$6:$J$9,E$3)/100),AVERAGE(E9,E11))))</f>
        <v>446.480965645311</v>
      </c>
      <c r="F10" s="18" t="n">
        <f aca="false">IF(COUNTIFS(速報_原データ!$A$5:$A$200,$A10,速報_原データ!$B$5:$B$200,F$3)&gt;0,SUMIFS(速報_原データ!$C$5:$C$200,速報_原データ!$A$5:$A$200,$A10,速報_原データ!$B$5:$B$200,F$3)/100,IF(COUNTIFS(速報_原データ!$A$5:$A$200,EDATE($A10,12),速報_原データ!$B$5:$B$200,F$3)&gt;0,SUMIFS(速報_原データ!$C$5:$C$200,速報_原データ!$A$5:$A$200,EDATE($A10,12),速報_原データ!$B$5:$B$200,F$3)/100/(1+SUMIFS(速報_原データ!$D$5:$D$200,速報_原データ!$A$5:$A$200,EDATE($A10,12),速報_原データ!$B$5:$B$200,F$3)/100),IF(COUNTIFS(速報_原データ!$I$6:$I$9,EDATE($A10,12),速報_原データ!$J$6:$J$9,F$3)&gt;0,F22/(1+SUMIFS(速報_原データ!$K$6:$K$9,速報_原データ!$I$6:$I$9,EDATE($A10,12),速報_原データ!$J$6:$J$9,F$3)/100),AVERAGE(F9,F11))))</f>
        <v>334.785100286533</v>
      </c>
      <c r="G10" s="18" t="n">
        <f aca="false">IF(COUNTIFS(速報_原データ!$A$5:$A$200,$A10,速報_原データ!$B$5:$B$200,G$3)&gt;0,SUMIFS(速報_原データ!$C$5:$C$200,速報_原データ!$A$5:$A$200,$A10,速報_原データ!$B$5:$B$200,G$3)/100,IF(COUNTIFS(速報_原データ!$A$5:$A$200,EDATE($A10,12),速報_原データ!$B$5:$B$200,G$3)&gt;0,SUMIFS(速報_原データ!$C$5:$C$200,速報_原データ!$A$5:$A$200,EDATE($A10,12),速報_原データ!$B$5:$B$200,G$3)/100/(1+SUMIFS(速報_原データ!$D$5:$D$200,速報_原データ!$A$5:$A$200,EDATE($A10,12),速報_原データ!$B$5:$B$200,G$3)/100),IF(COUNTIFS(速報_原データ!$I$6:$I$9,EDATE($A10,12),速報_原データ!$J$6:$J$9,G$3)&gt;0,G22/(1+SUMIFS(速報_原データ!$K$6:$K$9,速報_原データ!$I$6:$I$9,EDATE($A10,12),速報_原データ!$J$6:$J$9,G$3)/100),AVERAGE(G9,G11))))</f>
        <v>167.203947368421</v>
      </c>
      <c r="H10" s="18" t="n">
        <f aca="false">IF(COUNTIFS(速報_原データ!$A$5:$A$200,$A10,速報_原データ!$B$5:$B$200,H$3)&gt;0,SUMIFS(速報_原データ!$C$5:$C$200,速報_原データ!$A$5:$A$200,$A10,速報_原データ!$B$5:$B$200,H$3)/100,IF(COUNTIFS(速報_原データ!$A$5:$A$200,EDATE($A10,12),速報_原データ!$B$5:$B$200,H$3)&gt;0,SUMIFS(速報_原データ!$C$5:$C$200,速報_原データ!$A$5:$A$200,EDATE($A10,12),速報_原データ!$B$5:$B$200,H$3)/100/(1+SUMIFS(速報_原データ!$D$5:$D$200,速報_原データ!$A$5:$A$200,EDATE($A10,12),速報_原データ!$B$5:$B$200,H$3)/100),IF(COUNTIFS(速報_原データ!$I$6:$I$9,EDATE($A10,12),速報_原データ!$J$6:$J$9,H$3)&gt;0,H22/(1+SUMIFS(速報_原データ!$K$6:$K$9,速報_原データ!$I$6:$I$9,EDATE($A10,12),速報_原データ!$J$6:$J$9,H$3)/100),AVERAGE(H9,H11))))</f>
        <v>174.635383639822</v>
      </c>
      <c r="I10" s="18" t="n">
        <f aca="false">B10-D10</f>
        <v>1476.81958996302</v>
      </c>
      <c r="J10" s="18" t="n">
        <f aca="false">C10-D10-E10-H10</f>
        <v>347.026904525556</v>
      </c>
      <c r="K10" s="2" t="s">
        <v>235</v>
      </c>
    </row>
    <row r="11" customFormat="false" ht="15" hidden="false" customHeight="false" outlineLevel="0" collapsed="false">
      <c r="A11" s="12" t="n">
        <v>45200</v>
      </c>
      <c r="B11" s="18" t="n">
        <f aca="false">IF(COUNTIFS(速報_原データ!$A$5:$A$200,$A11,速報_原データ!$B$5:$B$200,B$3)&gt;0,SUMIFS(速報_原データ!$C$5:$C$200,速報_原データ!$A$5:$A$200,$A11,速報_原データ!$B$5:$B$200,B$3)/100,IF(COUNTIFS(速報_原データ!$A$5:$A$200,EDATE($A11,12),速報_原データ!$B$5:$B$200,B$3)&gt;0,SUMIFS(速報_原データ!$C$5:$C$200,速報_原データ!$A$5:$A$200,EDATE($A11,12),速報_原データ!$B$5:$B$200,B$3)/100/(1+SUMIFS(速報_原データ!$D$5:$D$200,速報_原データ!$A$5:$A$200,EDATE($A11,12),速報_原データ!$B$5:$B$200,B$3)/100),IF(COUNTIFS(速報_原データ!$I$6:$I$9,EDATE($A11,12),速報_原データ!$J$6:$J$9,B$3)&gt;0,B23/(1+SUMIFS(速報_原データ!$K$6:$K$9,速報_原データ!$I$6:$I$9,EDATE($A11,12),速報_原データ!$J$6:$J$9,B$3)/100),AVERAGE(B10,B12))))</f>
        <v>2858.33099579243</v>
      </c>
      <c r="C11" s="18" t="n">
        <f aca="false">IF(COUNTIFS(速報_原データ!$A$5:$A$200,$A11,速報_原データ!$B$5:$B$200,C$3)&gt;0,SUMIFS(速報_原データ!$C$5:$C$200,速報_原データ!$A$5:$A$200,$A11,速報_原データ!$B$5:$B$200,C$3)/100,IF(COUNTIFS(速報_原データ!$A$5:$A$200,EDATE($A11,12),速報_原データ!$B$5:$B$200,C$3)&gt;0,SUMIFS(速報_原データ!$C$5:$C$200,速報_原データ!$A$5:$A$200,EDATE($A11,12),速報_原データ!$B$5:$B$200,C$3)/100/(1+SUMIFS(速報_原データ!$D$5:$D$200,速報_原データ!$A$5:$A$200,EDATE($A11,12),速報_原データ!$B$5:$B$200,C$3)/100),IF(COUNTIFS(速報_原データ!$I$6:$I$9,EDATE($A11,12),速報_原データ!$J$6:$J$9,C$3)&gt;0,C23/(1+SUMIFS(速報_原データ!$K$6:$K$9,速報_原データ!$I$6:$I$9,EDATE($A11,12),速報_原データ!$J$6:$J$9,C$3)/100),AVERAGE(C10,C12))))</f>
        <v>2188.38436482085</v>
      </c>
      <c r="D11" s="18" t="n">
        <f aca="false">IF(COUNTIFS(速報_原データ!$A$5:$A$200,$A11,速報_原データ!$B$5:$B$200,D$3)&gt;0,SUMIFS(速報_原データ!$C$5:$C$200,速報_原データ!$A$5:$A$200,$A11,速報_原データ!$B$5:$B$200,D$3)/100,IF(COUNTIFS(速報_原データ!$A$5:$A$200,EDATE($A11,12),速報_原データ!$B$5:$B$200,D$3)&gt;0,SUMIFS(速報_原データ!$C$5:$C$200,速報_原データ!$A$5:$A$200,EDATE($A11,12),速報_原データ!$B$5:$B$200,D$3)/100/(1+SUMIFS(速報_原データ!$D$5:$D$200,速報_原データ!$A$5:$A$200,EDATE($A11,12),速報_原データ!$B$5:$B$200,D$3)/100),IF(COUNTIFS(速報_原データ!$I$6:$I$9,EDATE($A11,12),速報_原データ!$J$6:$J$9,D$3)&gt;0,D23/(1+SUMIFS(速報_原データ!$K$6:$K$9,速報_原データ!$I$6:$I$9,EDATE($A11,12),速報_原データ!$J$6:$J$9,D$3)/100),AVERAGE(D10,D12))))</f>
        <v>1379.61769115442</v>
      </c>
      <c r="E11" s="18" t="n">
        <f aca="false">IF(COUNTIFS(速報_原データ!$A$5:$A$200,$A11,速報_原データ!$B$5:$B$200,E$3)&gt;0,SUMIFS(速報_原データ!$C$5:$C$200,速報_原データ!$A$5:$A$200,$A11,速報_原データ!$B$5:$B$200,E$3)/100,IF(COUNTIFS(速報_原データ!$A$5:$A$200,EDATE($A11,12),速報_原データ!$B$5:$B$200,E$3)&gt;0,SUMIFS(速報_原データ!$C$5:$C$200,速報_原データ!$A$5:$A$200,EDATE($A11,12),速報_原データ!$B$5:$B$200,E$3)/100/(1+SUMIFS(速報_原データ!$D$5:$D$200,速報_原データ!$A$5:$A$200,EDATE($A11,12),速報_原データ!$B$5:$B$200,E$3)/100),IF(COUNTIFS(速報_原データ!$I$6:$I$9,EDATE($A11,12),速報_原データ!$J$6:$J$9,E$3)&gt;0,E23/(1+SUMIFS(速報_原データ!$K$6:$K$9,速報_原データ!$I$6:$I$9,EDATE($A11,12),速報_原データ!$J$6:$J$9,E$3)/100),AVERAGE(E10,E12))))</f>
        <v>279.407836153161</v>
      </c>
      <c r="F11" s="18" t="n">
        <f aca="false">IF(COUNTIFS(速報_原データ!$A$5:$A$200,$A11,速報_原データ!$B$5:$B$200,F$3)&gt;0,SUMIFS(速報_原データ!$C$5:$C$200,速報_原データ!$A$5:$A$200,$A11,速報_原データ!$B$5:$B$200,F$3)/100,IF(COUNTIFS(速報_原データ!$A$5:$A$200,EDATE($A11,12),速報_原データ!$B$5:$B$200,F$3)&gt;0,SUMIFS(速報_原データ!$C$5:$C$200,速報_原データ!$A$5:$A$200,EDATE($A11,12),速報_原データ!$B$5:$B$200,F$3)/100/(1+SUMIFS(速報_原データ!$D$5:$D$200,速報_原データ!$A$5:$A$200,EDATE($A11,12),速報_原データ!$B$5:$B$200,F$3)/100),IF(COUNTIFS(速報_原データ!$I$6:$I$9,EDATE($A11,12),速報_原データ!$J$6:$J$9,F$3)&gt;0,F23/(1+SUMIFS(速報_原データ!$K$6:$K$9,速報_原データ!$I$6:$I$9,EDATE($A11,12),速報_原データ!$J$6:$J$9,F$3)/100),AVERAGE(F10,F12))))</f>
        <v>499.861111111111</v>
      </c>
      <c r="G11" s="18" t="n">
        <f aca="false">IF(COUNTIFS(速報_原データ!$A$5:$A$200,$A11,速報_原データ!$B$5:$B$200,G$3)&gt;0,SUMIFS(速報_原データ!$C$5:$C$200,速報_原データ!$A$5:$A$200,$A11,速報_原データ!$B$5:$B$200,G$3)/100,IF(COUNTIFS(速報_原データ!$A$5:$A$200,EDATE($A11,12),速報_原データ!$B$5:$B$200,G$3)&gt;0,SUMIFS(速報_原データ!$C$5:$C$200,速報_原データ!$A$5:$A$200,EDATE($A11,12),速報_原データ!$B$5:$B$200,G$3)/100/(1+SUMIFS(速報_原データ!$D$5:$D$200,速報_原データ!$A$5:$A$200,EDATE($A11,12),速報_原データ!$B$5:$B$200,G$3)/100),IF(COUNTIFS(速報_原データ!$I$6:$I$9,EDATE($A11,12),速報_原データ!$J$6:$J$9,G$3)&gt;0,G23/(1+SUMIFS(速報_原データ!$K$6:$K$9,速報_原データ!$I$6:$I$9,EDATE($A11,12),速報_原データ!$J$6:$J$9,G$3)/100),AVERAGE(G10,G12))))</f>
        <v>166.216897856242</v>
      </c>
      <c r="H11" s="18" t="n">
        <f aca="false">IF(COUNTIFS(速報_原データ!$A$5:$A$200,$A11,速報_原データ!$B$5:$B$200,H$3)&gt;0,SUMIFS(速報_原データ!$C$5:$C$200,速報_原データ!$A$5:$A$200,$A11,速報_原データ!$B$5:$B$200,H$3)/100,IF(COUNTIFS(速報_原データ!$A$5:$A$200,EDATE($A11,12),速報_原データ!$B$5:$B$200,H$3)&gt;0,SUMIFS(速報_原データ!$C$5:$C$200,速報_原データ!$A$5:$A$200,EDATE($A11,12),速報_原データ!$B$5:$B$200,H$3)/100/(1+SUMIFS(速報_原データ!$D$5:$D$200,速報_原データ!$A$5:$A$200,EDATE($A11,12),速報_原データ!$B$5:$B$200,H$3)/100),IF(COUNTIFS(速報_原データ!$I$6:$I$9,EDATE($A11,12),速報_原データ!$J$6:$J$9,H$3)&gt;0,H23/(1+SUMIFS(速報_原データ!$K$6:$K$9,速報_原データ!$I$6:$I$9,EDATE($A11,12),速報_原データ!$J$6:$J$9,H$3)/100),AVERAGE(H10,H12))))</f>
        <v>143.84650525354</v>
      </c>
      <c r="I11" s="18" t="n">
        <f aca="false">B11-D11</f>
        <v>1478.713304638</v>
      </c>
      <c r="J11" s="18" t="n">
        <f aca="false">C11-D11-E11-H11</f>
        <v>385.512332259722</v>
      </c>
      <c r="K11" s="2" t="s">
        <v>235</v>
      </c>
    </row>
    <row r="12" customFormat="false" ht="15" hidden="false" customHeight="false" outlineLevel="0" collapsed="false">
      <c r="A12" s="12" t="n">
        <v>45231</v>
      </c>
      <c r="B12" s="18" t="n">
        <f aca="false">IF(COUNTIFS(速報_原データ!$A$5:$A$200,$A12,速報_原データ!$B$5:$B$200,B$3)&gt;0,SUMIFS(速報_原データ!$C$5:$C$200,速報_原データ!$A$5:$A$200,$A12,速報_原データ!$B$5:$B$200,B$3)/100,IF(COUNTIFS(速報_原データ!$A$5:$A$200,EDATE($A12,12),速報_原データ!$B$5:$B$200,B$3)&gt;0,SUMIFS(速報_原データ!$C$5:$C$200,速報_原データ!$A$5:$A$200,EDATE($A12,12),速報_原データ!$B$5:$B$200,B$3)/100/(1+SUMIFS(速報_原データ!$D$5:$D$200,速報_原データ!$A$5:$A$200,EDATE($A12,12),速報_原データ!$B$5:$B$200,B$3)/100),IF(COUNTIFS(速報_原データ!$I$6:$I$9,EDATE($A12,12),速報_原データ!$J$6:$J$9,B$3)&gt;0,B24/(1+SUMIFS(速報_原データ!$K$6:$K$9,速報_原データ!$I$6:$I$9,EDATE($A12,12),速報_原データ!$J$6:$J$9,B$3)/100),AVERAGE(B11,B13))))</f>
        <v>2833.91370174111</v>
      </c>
      <c r="C12" s="18" t="n">
        <f aca="false">IF(COUNTIFS(速報_原データ!$A$5:$A$200,$A12,速報_原データ!$B$5:$B$200,C$3)&gt;0,SUMIFS(速報_原データ!$C$5:$C$200,速報_原データ!$A$5:$A$200,$A12,速報_原データ!$B$5:$B$200,C$3)/100,IF(COUNTIFS(速報_原データ!$A$5:$A$200,EDATE($A12,12),速報_原データ!$B$5:$B$200,C$3)&gt;0,SUMIFS(速報_原データ!$C$5:$C$200,速報_原データ!$A$5:$A$200,EDATE($A12,12),速報_原データ!$B$5:$B$200,C$3)/100/(1+SUMIFS(速報_原データ!$D$5:$D$200,速報_原データ!$A$5:$A$200,EDATE($A12,12),速報_原データ!$B$5:$B$200,C$3)/100),IF(COUNTIFS(速報_原データ!$I$6:$I$9,EDATE($A12,12),速報_原データ!$J$6:$J$9,C$3)&gt;0,C24/(1+SUMIFS(速報_原データ!$K$6:$K$9,速報_原データ!$I$6:$I$9,EDATE($A12,12),速報_原データ!$J$6:$J$9,C$3)/100),AVERAGE(C11,C13))))</f>
        <v>2353.82309941521</v>
      </c>
      <c r="D12" s="18" t="n">
        <f aca="false">IF(COUNTIFS(速報_原データ!$A$5:$A$200,$A12,速報_原データ!$B$5:$B$200,D$3)&gt;0,SUMIFS(速報_原データ!$C$5:$C$200,速報_原データ!$A$5:$A$200,$A12,速報_原データ!$B$5:$B$200,D$3)/100,IF(COUNTIFS(速報_原データ!$A$5:$A$200,EDATE($A12,12),速報_原データ!$B$5:$B$200,D$3)&gt;0,SUMIFS(速報_原データ!$C$5:$C$200,速報_原データ!$A$5:$A$200,EDATE($A12,12),速報_原データ!$B$5:$B$200,D$3)/100/(1+SUMIFS(速報_原データ!$D$5:$D$200,速報_原データ!$A$5:$A$200,EDATE($A12,12),速報_原データ!$B$5:$B$200,D$3)/100),IF(COUNTIFS(速報_原データ!$I$6:$I$9,EDATE($A12,12),速報_原データ!$J$6:$J$9,D$3)&gt;0,D24/(1+SUMIFS(速報_原データ!$K$6:$K$9,速報_原データ!$I$6:$I$9,EDATE($A12,12),速報_原データ!$J$6:$J$9,D$3)/100),AVERAGE(D11,D13))))</f>
        <v>1575.18234165067</v>
      </c>
      <c r="E12" s="18" t="n">
        <f aca="false">IF(COUNTIFS(速報_原データ!$A$5:$A$200,$A12,速報_原データ!$B$5:$B$200,E$3)&gt;0,SUMIFS(速報_原データ!$C$5:$C$200,速報_原データ!$A$5:$A$200,$A12,速報_原データ!$B$5:$B$200,E$3)/100,IF(COUNTIFS(速報_原データ!$A$5:$A$200,EDATE($A12,12),速報_原データ!$B$5:$B$200,E$3)&gt;0,SUMIFS(速報_原データ!$C$5:$C$200,速報_原データ!$A$5:$A$200,EDATE($A12,12),速報_原データ!$B$5:$B$200,E$3)/100/(1+SUMIFS(速報_原データ!$D$5:$D$200,速報_原データ!$A$5:$A$200,EDATE($A12,12),速報_原データ!$B$5:$B$200,E$3)/100),IF(COUNTIFS(速報_原データ!$I$6:$I$9,EDATE($A12,12),速報_原データ!$J$6:$J$9,E$3)&gt;0,E24/(1+SUMIFS(速報_原データ!$K$6:$K$9,速報_原データ!$I$6:$I$9,EDATE($A12,12),速報_原データ!$J$6:$J$9,E$3)/100),AVERAGE(E11,E13))))</f>
        <v>293.038441284887</v>
      </c>
      <c r="F12" s="18" t="n">
        <f aca="false">IF(COUNTIFS(速報_原データ!$A$5:$A$200,$A12,速報_原データ!$B$5:$B$200,F$3)&gt;0,SUMIFS(速報_原データ!$C$5:$C$200,速報_原データ!$A$5:$A$200,$A12,速報_原データ!$B$5:$B$200,F$3)/100,IF(COUNTIFS(速報_原データ!$A$5:$A$200,EDATE($A12,12),速報_原データ!$B$5:$B$200,F$3)&gt;0,SUMIFS(速報_原データ!$C$5:$C$200,速報_原データ!$A$5:$A$200,EDATE($A12,12),速報_原データ!$B$5:$B$200,F$3)/100/(1+SUMIFS(速報_原データ!$D$5:$D$200,速報_原データ!$A$5:$A$200,EDATE($A12,12),速報_原データ!$B$5:$B$200,F$3)/100),IF(COUNTIFS(速報_原データ!$I$6:$I$9,EDATE($A12,12),速報_原データ!$J$6:$J$9,F$3)&gt;0,F24/(1+SUMIFS(速報_原データ!$K$6:$K$9,速報_原データ!$I$6:$I$9,EDATE($A12,12),速報_原データ!$J$6:$J$9,F$3)/100),AVERAGE(F11,F13))))</f>
        <v>357.142857142857</v>
      </c>
      <c r="G12" s="18" t="n">
        <f aca="false">IF(COUNTIFS(速報_原データ!$A$5:$A$200,$A12,速報_原データ!$B$5:$B$200,G$3)&gt;0,SUMIFS(速報_原データ!$C$5:$C$200,速報_原データ!$A$5:$A$200,$A12,速報_原データ!$B$5:$B$200,G$3)/100,IF(COUNTIFS(速報_原データ!$A$5:$A$200,EDATE($A12,12),速報_原データ!$B$5:$B$200,G$3)&gt;0,SUMIFS(速報_原データ!$C$5:$C$200,速報_原データ!$A$5:$A$200,EDATE($A12,12),速報_原データ!$B$5:$B$200,G$3)/100/(1+SUMIFS(速報_原データ!$D$5:$D$200,速報_原データ!$A$5:$A$200,EDATE($A12,12),速報_原データ!$B$5:$B$200,G$3)/100),IF(COUNTIFS(速報_原データ!$I$6:$I$9,EDATE($A12,12),速報_原データ!$J$6:$J$9,G$3)&gt;0,G24/(1+SUMIFS(速報_原データ!$K$6:$K$9,速報_原データ!$I$6:$I$9,EDATE($A12,12),速報_原データ!$J$6:$J$9,G$3)/100),AVERAGE(G11,G13))))</f>
        <v>114.23645320197</v>
      </c>
      <c r="H12" s="18" t="n">
        <f aca="false">IF(COUNTIFS(速報_原データ!$A$5:$A$200,$A12,速報_原データ!$B$5:$B$200,H$3)&gt;0,SUMIFS(速報_原データ!$C$5:$C$200,速報_原データ!$A$5:$A$200,$A12,速報_原データ!$B$5:$B$200,H$3)/100,IF(COUNTIFS(速報_原データ!$A$5:$A$200,EDATE($A12,12),速報_原データ!$B$5:$B$200,H$3)&gt;0,SUMIFS(速報_原データ!$C$5:$C$200,速報_原データ!$A$5:$A$200,EDATE($A12,12),速報_原データ!$B$5:$B$200,H$3)/100/(1+SUMIFS(速報_原データ!$D$5:$D$200,速報_原データ!$A$5:$A$200,EDATE($A12,12),速報_原データ!$B$5:$B$200,H$3)/100),IF(COUNTIFS(速報_原データ!$I$6:$I$9,EDATE($A12,12),速報_原データ!$J$6:$J$9,H$3)&gt;0,H24/(1+SUMIFS(速報_原データ!$K$6:$K$9,速報_原データ!$I$6:$I$9,EDATE($A12,12),速報_原データ!$J$6:$J$9,H$3)/100),AVERAGE(H11,H13))))</f>
        <v>143.633898305085</v>
      </c>
      <c r="I12" s="18" t="n">
        <f aca="false">B12-D12</f>
        <v>1258.73136009043</v>
      </c>
      <c r="J12" s="18" t="n">
        <f aca="false">C12-D12-E12-H12</f>
        <v>341.968418174562</v>
      </c>
      <c r="K12" s="2" t="s">
        <v>235</v>
      </c>
    </row>
    <row r="13" customFormat="false" ht="15" hidden="false" customHeight="false" outlineLevel="0" collapsed="false">
      <c r="A13" s="12" t="n">
        <v>45261</v>
      </c>
      <c r="B13" s="18" t="n">
        <f aca="false">IF(COUNTIFS(速報_原データ!$A$5:$A$200,$A13,速報_原データ!$B$5:$B$200,B$3)&gt;0,SUMIFS(速報_原データ!$C$5:$C$200,速報_原データ!$A$5:$A$200,$A13,速報_原データ!$B$5:$B$200,B$3)/100,IF(COUNTIFS(速報_原データ!$A$5:$A$200,EDATE($A13,12),速報_原データ!$B$5:$B$200,B$3)&gt;0,SUMIFS(速報_原データ!$C$5:$C$200,速報_原データ!$A$5:$A$200,EDATE($A13,12),速報_原データ!$B$5:$B$200,B$3)/100/(1+SUMIFS(速報_原データ!$D$5:$D$200,速報_原データ!$A$5:$A$200,EDATE($A13,12),速報_原データ!$B$5:$B$200,B$3)/100),IF(COUNTIFS(速報_原データ!$I$6:$I$9,EDATE($A13,12),速報_原データ!$J$6:$J$9,B$3)&gt;0,B25/(1+SUMIFS(速報_原データ!$K$6:$K$9,速報_原データ!$I$6:$I$9,EDATE($A13,12),速報_原データ!$J$6:$J$9,B$3)/100),AVERAGE(B12,B14))))</f>
        <v>4071.07594936709</v>
      </c>
      <c r="C13" s="18" t="n">
        <f aca="false">IF(COUNTIFS(速報_原データ!$A$5:$A$200,$A13,速報_原データ!$B$5:$B$200,C$3)&gt;0,SUMIFS(速報_原データ!$C$5:$C$200,速報_原データ!$A$5:$A$200,$A13,速報_原データ!$B$5:$B$200,C$3)/100,IF(COUNTIFS(速報_原データ!$A$5:$A$200,EDATE($A13,12),速報_原データ!$B$5:$B$200,C$3)&gt;0,SUMIFS(速報_原データ!$C$5:$C$200,速報_原データ!$A$5:$A$200,EDATE($A13,12),速報_原データ!$B$5:$B$200,C$3)/100/(1+SUMIFS(速報_原データ!$D$5:$D$200,速報_原データ!$A$5:$A$200,EDATE($A13,12),速報_原データ!$B$5:$B$200,C$3)/100),IF(COUNTIFS(速報_原データ!$I$6:$I$9,EDATE($A13,12),速報_原データ!$J$6:$J$9,C$3)&gt;0,C25/(1+SUMIFS(速報_原データ!$K$6:$K$9,速報_原データ!$I$6:$I$9,EDATE($A13,12),速報_原データ!$J$6:$J$9,C$3)/100),AVERAGE(C12,C14))))</f>
        <v>3532.6618705036</v>
      </c>
      <c r="D13" s="18" t="n">
        <f aca="false">IF(COUNTIFS(速報_原データ!$A$5:$A$200,$A13,速報_原データ!$B$5:$B$200,D$3)&gt;0,SUMIFS(速報_原データ!$C$5:$C$200,速報_原データ!$A$5:$A$200,$A13,速報_原データ!$B$5:$B$200,D$3)/100,IF(COUNTIFS(速報_原データ!$A$5:$A$200,EDATE($A13,12),速報_原データ!$B$5:$B$200,D$3)&gt;0,SUMIFS(速報_原データ!$C$5:$C$200,速報_原データ!$A$5:$A$200,EDATE($A13,12),速報_原データ!$B$5:$B$200,D$3)/100/(1+SUMIFS(速報_原データ!$D$5:$D$200,速報_原データ!$A$5:$A$200,EDATE($A13,12),速報_原データ!$B$5:$B$200,D$3)/100),IF(COUNTIFS(速報_原データ!$I$6:$I$9,EDATE($A13,12),速報_原データ!$J$6:$J$9,D$3)&gt;0,D25/(1+SUMIFS(速報_原データ!$K$6:$K$9,速報_原データ!$I$6:$I$9,EDATE($A13,12),速報_原データ!$J$6:$J$9,D$3)/100),AVERAGE(D12,D14))))</f>
        <v>2224.15178571429</v>
      </c>
      <c r="E13" s="18" t="n">
        <f aca="false">IF(COUNTIFS(速報_原データ!$A$5:$A$200,$A13,速報_原データ!$B$5:$B$200,E$3)&gt;0,SUMIFS(速報_原データ!$C$5:$C$200,速報_原データ!$A$5:$A$200,$A13,速報_原データ!$B$5:$B$200,E$3)/100,IF(COUNTIFS(速報_原データ!$A$5:$A$200,EDATE($A13,12),速報_原データ!$B$5:$B$200,E$3)&gt;0,SUMIFS(速報_原データ!$C$5:$C$200,速報_原データ!$A$5:$A$200,EDATE($A13,12),速報_原データ!$B$5:$B$200,E$3)/100/(1+SUMIFS(速報_原データ!$D$5:$D$200,速報_原データ!$A$5:$A$200,EDATE($A13,12),速報_原データ!$B$5:$B$200,E$3)/100),IF(COUNTIFS(速報_原データ!$I$6:$I$9,EDATE($A13,12),速報_原データ!$J$6:$J$9,E$3)&gt;0,E25/(1+SUMIFS(速報_原データ!$K$6:$K$9,速報_原データ!$I$6:$I$9,EDATE($A13,12),速報_原データ!$J$6:$J$9,E$3)/100),AVERAGE(E12,E14))))</f>
        <v>576.843413421707</v>
      </c>
      <c r="F13" s="18" t="n">
        <f aca="false">IF(COUNTIFS(速報_原データ!$A$5:$A$200,$A13,速報_原データ!$B$5:$B$200,F$3)&gt;0,SUMIFS(速報_原データ!$C$5:$C$200,速報_原データ!$A$5:$A$200,$A13,速報_原データ!$B$5:$B$200,F$3)/100,IF(COUNTIFS(速報_原データ!$A$5:$A$200,EDATE($A13,12),速報_原データ!$B$5:$B$200,F$3)&gt;0,SUMIFS(速報_原データ!$C$5:$C$200,速報_原データ!$A$5:$A$200,EDATE($A13,12),速報_原データ!$B$5:$B$200,F$3)/100/(1+SUMIFS(速報_原データ!$D$5:$D$200,速報_原データ!$A$5:$A$200,EDATE($A13,12),速報_原データ!$B$5:$B$200,F$3)/100),IF(COUNTIFS(速報_原データ!$I$6:$I$9,EDATE($A13,12),速報_原データ!$J$6:$J$9,F$3)&gt;0,F25/(1+SUMIFS(速報_原データ!$K$6:$K$9,速報_原データ!$I$6:$I$9,EDATE($A13,12),速報_原データ!$J$6:$J$9,F$3)/100),AVERAGE(F12,F14))))</f>
        <v>407.622309197652</v>
      </c>
      <c r="G13" s="18" t="n">
        <f aca="false">IF(COUNTIFS(速報_原データ!$A$5:$A$200,$A13,速報_原データ!$B$5:$B$200,G$3)&gt;0,SUMIFS(速報_原データ!$C$5:$C$200,速報_原データ!$A$5:$A$200,$A13,速報_原データ!$B$5:$B$200,G$3)/100,IF(COUNTIFS(速報_原データ!$A$5:$A$200,EDATE($A13,12),速報_原データ!$B$5:$B$200,G$3)&gt;0,SUMIFS(速報_原データ!$C$5:$C$200,速報_原データ!$A$5:$A$200,EDATE($A13,12),速報_原データ!$B$5:$B$200,G$3)/100/(1+SUMIFS(速報_原データ!$D$5:$D$200,速報_原データ!$A$5:$A$200,EDATE($A13,12),速報_原データ!$B$5:$B$200,G$3)/100),IF(COUNTIFS(速報_原データ!$I$6:$I$9,EDATE($A13,12),速報_原データ!$J$6:$J$9,G$3)&gt;0,G25/(1+SUMIFS(速報_原データ!$K$6:$K$9,速報_原データ!$I$6:$I$9,EDATE($A13,12),速報_原データ!$J$6:$J$9,G$3)/100),AVERAGE(G12,G14))))</f>
        <v>119.269406392694</v>
      </c>
      <c r="H13" s="18" t="n">
        <f aca="false">IF(COUNTIFS(速報_原データ!$A$5:$A$200,$A13,速報_原データ!$B$5:$B$200,H$3)&gt;0,SUMIFS(速報_原データ!$C$5:$C$200,速報_原データ!$A$5:$A$200,$A13,速報_原データ!$B$5:$B$200,H$3)/100,IF(COUNTIFS(速報_原データ!$A$5:$A$200,EDATE($A13,12),速報_原データ!$B$5:$B$200,H$3)&gt;0,SUMIFS(速報_原データ!$C$5:$C$200,速報_原データ!$A$5:$A$200,EDATE($A13,12),速報_原データ!$B$5:$B$200,H$3)/100/(1+SUMIFS(速報_原データ!$D$5:$D$200,速報_原データ!$A$5:$A$200,EDATE($A13,12),速報_原データ!$B$5:$B$200,H$3)/100),IF(COUNTIFS(速報_原データ!$I$6:$I$9,EDATE($A13,12),速報_原データ!$J$6:$J$9,H$3)&gt;0,H25/(1+SUMIFS(速報_原データ!$K$6:$K$9,速報_原データ!$I$6:$I$9,EDATE($A13,12),速報_原データ!$J$6:$J$9,H$3)/100),AVERAGE(H12,H14))))</f>
        <v>202.089552238806</v>
      </c>
      <c r="I13" s="18" t="n">
        <f aca="false">B13-D13</f>
        <v>1846.9241636528</v>
      </c>
      <c r="J13" s="18" t="n">
        <f aca="false">C13-D13-E13-H13</f>
        <v>529.577119128799</v>
      </c>
      <c r="K13" s="2" t="s">
        <v>235</v>
      </c>
    </row>
    <row r="14" customFormat="false" ht="15" hidden="false" customHeight="false" outlineLevel="0" collapsed="false">
      <c r="A14" s="12" t="n">
        <v>45292</v>
      </c>
      <c r="B14" s="18" t="n">
        <f aca="false">IF(COUNTIFS(速報_原データ!$A$5:$A$200,$A14,速報_原データ!$B$5:$B$200,B$3)&gt;0,SUMIFS(速報_原データ!$C$5:$C$200,速報_原データ!$A$5:$A$200,$A14,速報_原データ!$B$5:$B$200,B$3)/100,IF(COUNTIFS(速報_原データ!$A$5:$A$200,EDATE($A14,12),速報_原データ!$B$5:$B$200,B$3)&gt;0,SUMIFS(速報_原データ!$C$5:$C$200,速報_原データ!$A$5:$A$200,EDATE($A14,12),速報_原データ!$B$5:$B$200,B$3)/100/(1+SUMIFS(速報_原データ!$D$5:$D$200,速報_原データ!$A$5:$A$200,EDATE($A14,12),速報_原データ!$B$5:$B$200,B$3)/100),IF(COUNTIFS(速報_原データ!$I$6:$I$9,EDATE($A14,12),速報_原データ!$J$6:$J$9,B$3)&gt;0,B26/(1+SUMIFS(速報_原データ!$K$6:$K$9,速報_原データ!$I$6:$I$9,EDATE($A14,12),速報_原データ!$J$6:$J$9,B$3)/100),AVERAGE(B13,B15))))</f>
        <v>2911.324570273</v>
      </c>
      <c r="C14" s="18" t="n">
        <f aca="false">IF(COUNTIFS(速報_原データ!$A$5:$A$200,$A14,速報_原データ!$B$5:$B$200,C$3)&gt;0,SUMIFS(速報_原データ!$C$5:$C$200,速報_原データ!$A$5:$A$200,$A14,速報_原データ!$B$5:$B$200,C$3)/100,IF(COUNTIFS(速報_原データ!$A$5:$A$200,EDATE($A14,12),速報_原データ!$B$5:$B$200,C$3)&gt;0,SUMIFS(速報_原データ!$C$5:$C$200,速報_原データ!$A$5:$A$200,EDATE($A14,12),速報_原データ!$B$5:$B$200,C$3)/100/(1+SUMIFS(速報_原データ!$D$5:$D$200,速報_原データ!$A$5:$A$200,EDATE($A14,12),速報_原データ!$B$5:$B$200,C$3)/100),IF(COUNTIFS(速報_原データ!$I$6:$I$9,EDATE($A14,12),速報_原データ!$J$6:$J$9,C$3)&gt;0,C26/(1+SUMIFS(速報_原データ!$K$6:$K$9,速報_原データ!$I$6:$I$9,EDATE($A14,12),速報_原データ!$J$6:$J$9,C$3)/100),AVERAGE(C13,C15))))</f>
        <v>2413.37209302326</v>
      </c>
      <c r="D14" s="18" t="n">
        <f aca="false">IF(COUNTIFS(速報_原データ!$A$5:$A$200,$A14,速報_原データ!$B$5:$B$200,D$3)&gt;0,SUMIFS(速報_原データ!$C$5:$C$200,速報_原データ!$A$5:$A$200,$A14,速報_原データ!$B$5:$B$200,D$3)/100,IF(COUNTIFS(速報_原データ!$A$5:$A$200,EDATE($A14,12),速報_原データ!$B$5:$B$200,D$3)&gt;0,SUMIFS(速報_原データ!$C$5:$C$200,速報_原データ!$A$5:$A$200,EDATE($A14,12),速報_原データ!$B$5:$B$200,D$3)/100/(1+SUMIFS(速報_原データ!$D$5:$D$200,速報_原データ!$A$5:$A$200,EDATE($A14,12),速報_原データ!$B$5:$B$200,D$3)/100),IF(COUNTIFS(速報_原データ!$I$6:$I$9,EDATE($A14,12),速報_原データ!$J$6:$J$9,D$3)&gt;0,D26/(1+SUMIFS(速報_原データ!$K$6:$K$9,速報_原データ!$I$6:$I$9,EDATE($A14,12),速報_原データ!$J$6:$J$9,D$3)/100),AVERAGE(D13,D15))))</f>
        <v>1240.99747474747</v>
      </c>
      <c r="E14" s="18" t="n">
        <f aca="false">IF(COUNTIFS(速報_原データ!$A$5:$A$200,$A14,速報_原データ!$B$5:$B$200,E$3)&gt;0,SUMIFS(速報_原データ!$C$5:$C$200,速報_原データ!$A$5:$A$200,$A14,速報_原データ!$B$5:$B$200,E$3)/100,IF(COUNTIFS(速報_原データ!$A$5:$A$200,EDATE($A14,12),速報_原データ!$B$5:$B$200,E$3)&gt;0,SUMIFS(速報_原データ!$C$5:$C$200,速報_原データ!$A$5:$A$200,EDATE($A14,12),速報_原データ!$B$5:$B$200,E$3)/100/(1+SUMIFS(速報_原データ!$D$5:$D$200,速報_原データ!$A$5:$A$200,EDATE($A14,12),速報_原データ!$B$5:$B$200,E$3)/100),IF(COUNTIFS(速報_原データ!$I$6:$I$9,EDATE($A14,12),速報_原データ!$J$6:$J$9,E$3)&gt;0,E26/(1+SUMIFS(速報_原データ!$K$6:$K$9,速報_原データ!$I$6:$I$9,EDATE($A14,12),速報_原データ!$J$6:$J$9,E$3)/100),AVERAGE(E13,E15))))</f>
        <v>598.603550295858</v>
      </c>
      <c r="F14" s="18" t="n">
        <f aca="false">IF(COUNTIFS(速報_原データ!$A$5:$A$200,$A14,速報_原データ!$B$5:$B$200,F$3)&gt;0,SUMIFS(速報_原データ!$C$5:$C$200,速報_原データ!$A$5:$A$200,$A14,速報_原データ!$B$5:$B$200,F$3)/100,IF(COUNTIFS(速報_原データ!$A$5:$A$200,EDATE($A14,12),速報_原データ!$B$5:$B$200,F$3)&gt;0,SUMIFS(速報_原データ!$C$5:$C$200,速報_原データ!$A$5:$A$200,EDATE($A14,12),速報_原データ!$B$5:$B$200,F$3)/100/(1+SUMIFS(速報_原データ!$D$5:$D$200,速報_原データ!$A$5:$A$200,EDATE($A14,12),速報_原データ!$B$5:$B$200,F$3)/100),IF(COUNTIFS(速報_原データ!$I$6:$I$9,EDATE($A14,12),速報_原データ!$J$6:$J$9,F$3)&gt;0,F26/(1+SUMIFS(速報_原データ!$K$6:$K$9,速報_原データ!$I$6:$I$9,EDATE($A14,12),速報_原データ!$J$6:$J$9,F$3)/100),AVERAGE(F13,F15))))</f>
        <v>362.105263157895</v>
      </c>
      <c r="G14" s="18" t="n">
        <f aca="false">IF(COUNTIFS(速報_原データ!$A$5:$A$200,$A14,速報_原データ!$B$5:$B$200,G$3)&gt;0,SUMIFS(速報_原データ!$C$5:$C$200,速報_原データ!$A$5:$A$200,$A14,速報_原データ!$B$5:$B$200,G$3)/100,IF(COUNTIFS(速報_原データ!$A$5:$A$200,EDATE($A14,12),速報_原データ!$B$5:$B$200,G$3)&gt;0,SUMIFS(速報_原データ!$C$5:$C$200,速報_原データ!$A$5:$A$200,EDATE($A14,12),速報_原データ!$B$5:$B$200,G$3)/100/(1+SUMIFS(速報_原データ!$D$5:$D$200,速報_原データ!$A$5:$A$200,EDATE($A14,12),速報_原データ!$B$5:$B$200,G$3)/100),IF(COUNTIFS(速報_原データ!$I$6:$I$9,EDATE($A14,12),速報_原データ!$J$6:$J$9,G$3)&gt;0,G26/(1+SUMIFS(速報_原データ!$K$6:$K$9,速報_原データ!$I$6:$I$9,EDATE($A14,12),速報_原データ!$J$6:$J$9,G$3)/100),AVERAGE(G13,G15))))</f>
        <v>129.106628242075</v>
      </c>
      <c r="H14" s="18" t="n">
        <f aca="false">IF(COUNTIFS(速報_原データ!$A$5:$A$200,$A14,速報_原データ!$B$5:$B$200,H$3)&gt;0,SUMIFS(速報_原データ!$C$5:$C$200,速報_原データ!$A$5:$A$200,$A14,速報_原データ!$B$5:$B$200,H$3)/100,IF(COUNTIFS(速報_原データ!$A$5:$A$200,EDATE($A14,12),速報_原データ!$B$5:$B$200,H$3)&gt;0,SUMIFS(速報_原データ!$C$5:$C$200,速報_原データ!$A$5:$A$200,EDATE($A14,12),速報_原データ!$B$5:$B$200,H$3)/100/(1+SUMIFS(速報_原データ!$D$5:$D$200,速報_原データ!$A$5:$A$200,EDATE($A14,12),速報_原データ!$B$5:$B$200,H$3)/100),IF(COUNTIFS(速報_原データ!$I$6:$I$9,EDATE($A14,12),速報_原データ!$J$6:$J$9,H$3)&gt;0,H26/(1+SUMIFS(速報_原データ!$K$6:$K$9,速報_原データ!$I$6:$I$9,EDATE($A14,12),速報_原データ!$J$6:$J$9,H$3)/100),AVERAGE(H13,H15))))</f>
        <v>187.635467980296</v>
      </c>
      <c r="I14" s="18" t="n">
        <f aca="false">B14-D14</f>
        <v>1670.32709552553</v>
      </c>
      <c r="J14" s="18" t="n">
        <f aca="false">C14-D14-E14-H14</f>
        <v>386.135599999628</v>
      </c>
      <c r="K14" s="2" t="s">
        <v>235</v>
      </c>
    </row>
    <row r="15" customFormat="false" ht="15" hidden="false" customHeight="false" outlineLevel="0" collapsed="false">
      <c r="A15" s="12" t="n">
        <v>45323</v>
      </c>
      <c r="B15" s="18" t="n">
        <f aca="false">IF(COUNTIFS(速報_原データ!$A$5:$A$200,$A15,速報_原データ!$B$5:$B$200,B$3)&gt;0,SUMIFS(速報_原データ!$C$5:$C$200,速報_原データ!$A$5:$A$200,$A15,速報_原データ!$B$5:$B$200,B$3)/100,IF(COUNTIFS(速報_原データ!$A$5:$A$200,EDATE($A15,12),速報_原データ!$B$5:$B$200,B$3)&gt;0,SUMIFS(速報_原データ!$C$5:$C$200,速報_原データ!$A$5:$A$200,EDATE($A15,12),速報_原データ!$B$5:$B$200,B$3)/100/(1+SUMIFS(速報_原データ!$D$5:$D$200,速報_原データ!$A$5:$A$200,EDATE($A15,12),速報_原データ!$B$5:$B$200,B$3)/100),IF(COUNTIFS(速報_原データ!$I$6:$I$9,EDATE($A15,12),速報_原データ!$J$6:$J$9,B$3)&gt;0,B27/(1+SUMIFS(速報_原データ!$K$6:$K$9,速報_原データ!$I$6:$I$9,EDATE($A15,12),速報_原データ!$J$6:$J$9,B$3)/100),AVERAGE(B14,B16))))</f>
        <v>3104.39749608764</v>
      </c>
      <c r="C15" s="18" t="n">
        <f aca="false">IF(COUNTIFS(速報_原データ!$A$5:$A$200,$A15,速報_原データ!$B$5:$B$200,C$3)&gt;0,SUMIFS(速報_原データ!$C$5:$C$200,速報_原データ!$A$5:$A$200,$A15,速報_原データ!$B$5:$B$200,C$3)/100,IF(COUNTIFS(速報_原データ!$A$5:$A$200,EDATE($A15,12),速報_原データ!$B$5:$B$200,C$3)&gt;0,SUMIFS(速報_原データ!$C$5:$C$200,速報_原データ!$A$5:$A$200,EDATE($A15,12),速報_原データ!$B$5:$B$200,C$3)/100/(1+SUMIFS(速報_原データ!$D$5:$D$200,速報_原データ!$A$5:$A$200,EDATE($A15,12),速報_原データ!$B$5:$B$200,C$3)/100),IF(COUNTIFS(速報_原データ!$I$6:$I$9,EDATE($A15,12),速報_原データ!$J$6:$J$9,C$3)&gt;0,C27/(1+SUMIFS(速報_原データ!$K$6:$K$9,速報_原データ!$I$6:$I$9,EDATE($A15,12),速報_原データ!$J$6:$J$9,C$3)/100),AVERAGE(C14,C16))))</f>
        <v>2612.64900662252</v>
      </c>
      <c r="D15" s="18" t="n">
        <f aca="false">IF(COUNTIFS(速報_原データ!$A$5:$A$200,$A15,速報_原データ!$B$5:$B$200,D$3)&gt;0,SUMIFS(速報_原データ!$C$5:$C$200,速報_原データ!$A$5:$A$200,$A15,速報_原データ!$B$5:$B$200,D$3)/100,IF(COUNTIFS(速報_原データ!$A$5:$A$200,EDATE($A15,12),速報_原データ!$B$5:$B$200,D$3)&gt;0,SUMIFS(速報_原データ!$C$5:$C$200,速報_原データ!$A$5:$A$200,EDATE($A15,12),速報_原データ!$B$5:$B$200,D$3)/100/(1+SUMIFS(速報_原データ!$D$5:$D$200,速報_原データ!$A$5:$A$200,EDATE($A15,12),速報_原データ!$B$5:$B$200,D$3)/100),IF(COUNTIFS(速報_原データ!$I$6:$I$9,EDATE($A15,12),速報_原データ!$J$6:$J$9,D$3)&gt;0,D27/(1+SUMIFS(速報_原データ!$K$6:$K$9,速報_原データ!$I$6:$I$9,EDATE($A15,12),速報_原データ!$J$6:$J$9,D$3)/100),AVERAGE(D14,D16))))</f>
        <v>1655.83427922815</v>
      </c>
      <c r="E15" s="18" t="n">
        <f aca="false">IF(COUNTIFS(速報_原データ!$A$5:$A$200,$A15,速報_原データ!$B$5:$B$200,E$3)&gt;0,SUMIFS(速報_原データ!$C$5:$C$200,速報_原データ!$A$5:$A$200,$A15,速報_原データ!$B$5:$B$200,E$3)/100,IF(COUNTIFS(速報_原データ!$A$5:$A$200,EDATE($A15,12),速報_原データ!$B$5:$B$200,E$3)&gt;0,SUMIFS(速報_原データ!$C$5:$C$200,速報_原データ!$A$5:$A$200,EDATE($A15,12),速報_原データ!$B$5:$B$200,E$3)/100/(1+SUMIFS(速報_原データ!$D$5:$D$200,速報_原データ!$A$5:$A$200,EDATE($A15,12),速報_原データ!$B$5:$B$200,E$3)/100),IF(COUNTIFS(速報_原データ!$I$6:$I$9,EDATE($A15,12),速報_原データ!$J$6:$J$9,E$3)&gt;0,E27/(1+SUMIFS(速報_原データ!$K$6:$K$9,速報_原データ!$I$6:$I$9,EDATE($A15,12),速報_原データ!$J$6:$J$9,E$3)/100),AVERAGE(E14,E16))))</f>
        <v>487.676292813969</v>
      </c>
      <c r="F15" s="18" t="n">
        <f aca="false">IF(COUNTIFS(速報_原データ!$A$5:$A$200,$A15,速報_原データ!$B$5:$B$200,F$3)&gt;0,SUMIFS(速報_原データ!$C$5:$C$200,速報_原データ!$A$5:$A$200,$A15,速報_原データ!$B$5:$B$200,F$3)/100,IF(COUNTIFS(速報_原データ!$A$5:$A$200,EDATE($A15,12),速報_原データ!$B$5:$B$200,F$3)&gt;0,SUMIFS(速報_原データ!$C$5:$C$200,速報_原データ!$A$5:$A$200,EDATE($A15,12),速報_原データ!$B$5:$B$200,F$3)/100/(1+SUMIFS(速報_原データ!$D$5:$D$200,速報_原データ!$A$5:$A$200,EDATE($A15,12),速報_原データ!$B$5:$B$200,F$3)/100),IF(COUNTIFS(速報_原データ!$I$6:$I$9,EDATE($A15,12),速報_原データ!$J$6:$J$9,F$3)&gt;0,F27/(1+SUMIFS(速報_原データ!$K$6:$K$9,速報_原データ!$I$6:$I$9,EDATE($A15,12),速報_原データ!$J$6:$J$9,F$3)/100),AVERAGE(F14,F16))))</f>
        <v>360.672782874618</v>
      </c>
      <c r="G15" s="18" t="n">
        <f aca="false">IF(COUNTIFS(速報_原データ!$A$5:$A$200,$A15,速報_原データ!$B$5:$B$200,G$3)&gt;0,SUMIFS(速報_原データ!$C$5:$C$200,速報_原データ!$A$5:$A$200,$A15,速報_原データ!$B$5:$B$200,G$3)/100,IF(COUNTIFS(速報_原データ!$A$5:$A$200,EDATE($A15,12),速報_原データ!$B$5:$B$200,G$3)&gt;0,SUMIFS(速報_原データ!$C$5:$C$200,速報_原データ!$A$5:$A$200,EDATE($A15,12),速報_原データ!$B$5:$B$200,G$3)/100/(1+SUMIFS(速報_原データ!$D$5:$D$200,速報_原データ!$A$5:$A$200,EDATE($A15,12),速報_原データ!$B$5:$B$200,G$3)/100),IF(COUNTIFS(速報_原データ!$I$6:$I$9,EDATE($A15,12),速報_原データ!$J$6:$J$9,G$3)&gt;0,G27/(1+SUMIFS(速報_原データ!$K$6:$K$9,速報_原データ!$I$6:$I$9,EDATE($A15,12),速報_原データ!$J$6:$J$9,G$3)/100),AVERAGE(G14,G16))))</f>
        <v>126.608478802993</v>
      </c>
      <c r="H15" s="18" t="n">
        <f aca="false">IF(COUNTIFS(速報_原データ!$A$5:$A$200,$A15,速報_原データ!$B$5:$B$200,H$3)&gt;0,SUMIFS(速報_原データ!$C$5:$C$200,速報_原データ!$A$5:$A$200,$A15,速報_原データ!$B$5:$B$200,H$3)/100,IF(COUNTIFS(速報_原データ!$A$5:$A$200,EDATE($A15,12),速報_原データ!$B$5:$B$200,H$3)&gt;0,SUMIFS(速報_原データ!$C$5:$C$200,速報_原データ!$A$5:$A$200,EDATE($A15,12),速報_原データ!$B$5:$B$200,H$3)/100/(1+SUMIFS(速報_原データ!$D$5:$D$200,速報_原データ!$A$5:$A$200,EDATE($A15,12),速報_原データ!$B$5:$B$200,H$3)/100),IF(COUNTIFS(速報_原データ!$I$6:$I$9,EDATE($A15,12),速報_原データ!$J$6:$J$9,H$3)&gt;0,H27/(1+SUMIFS(速報_原データ!$K$6:$K$9,速報_原データ!$I$6:$I$9,EDATE($A15,12),速報_原データ!$J$6:$J$9,H$3)/100),AVERAGE(H14,H16))))</f>
        <v>148.754907459338</v>
      </c>
      <c r="I15" s="18" t="n">
        <f aca="false">B15-D15</f>
        <v>1448.56321685949</v>
      </c>
      <c r="J15" s="18" t="n">
        <f aca="false">C15-D15-E15-H15</f>
        <v>320.383527121059</v>
      </c>
      <c r="K15" s="2" t="s">
        <v>235</v>
      </c>
    </row>
    <row r="16" customFormat="false" ht="15" hidden="false" customHeight="false" outlineLevel="0" collapsed="false">
      <c r="A16" s="12" t="n">
        <v>45352</v>
      </c>
      <c r="B16" s="18" t="n">
        <f aca="false">IF(COUNTIFS(速報_原データ!$A$5:$A$200,$A16,速報_原データ!$B$5:$B$200,B$3)&gt;0,SUMIFS(速報_原データ!$C$5:$C$200,速報_原データ!$A$5:$A$200,$A16,速報_原データ!$B$5:$B$200,B$3)/100,IF(COUNTIFS(速報_原データ!$A$5:$A$200,EDATE($A16,12),速報_原データ!$B$5:$B$200,B$3)&gt;0,SUMIFS(速報_原データ!$C$5:$C$200,速報_原データ!$A$5:$A$200,EDATE($A16,12),速報_原データ!$B$5:$B$200,B$3)/100/(1+SUMIFS(速報_原データ!$D$5:$D$200,速報_原データ!$A$5:$A$200,EDATE($A16,12),速報_原データ!$B$5:$B$200,B$3)/100),IF(COUNTIFS(速報_原データ!$I$6:$I$9,EDATE($A16,12),速報_原データ!$J$6:$J$9,B$3)&gt;0,B28/(1+SUMIFS(速報_原データ!$K$6:$K$9,速報_原データ!$I$6:$I$9,EDATE($A16,12),速報_原データ!$J$6:$J$9,B$3)/100),AVERAGE(B15,B17))))</f>
        <v>4349.21465968586</v>
      </c>
      <c r="C16" s="18" t="n">
        <f aca="false">IF(COUNTIFS(速報_原データ!$A$5:$A$200,$A16,速報_原データ!$B$5:$B$200,C$3)&gt;0,SUMIFS(速報_原データ!$C$5:$C$200,速報_原データ!$A$5:$A$200,$A16,速報_原データ!$B$5:$B$200,C$3)/100,IF(COUNTIFS(速報_原データ!$A$5:$A$200,EDATE($A16,12),速報_原データ!$B$5:$B$200,C$3)&gt;0,SUMIFS(速報_原データ!$C$5:$C$200,速報_原データ!$A$5:$A$200,EDATE($A16,12),速報_原データ!$B$5:$B$200,C$3)/100/(1+SUMIFS(速報_原データ!$D$5:$D$200,速報_原データ!$A$5:$A$200,EDATE($A16,12),速報_原データ!$B$5:$B$200,C$3)/100),IF(COUNTIFS(速報_原データ!$I$6:$I$9,EDATE($A16,12),速報_原データ!$J$6:$J$9,C$3)&gt;0,C28/(1+SUMIFS(速報_原データ!$K$6:$K$9,速報_原データ!$I$6:$I$9,EDATE($A16,12),速報_原データ!$J$6:$J$9,C$3)/100),AVERAGE(C15,C17))))</f>
        <v>3731.96856906534</v>
      </c>
      <c r="D16" s="18" t="n">
        <f aca="false">IF(COUNTIFS(速報_原データ!$A$5:$A$200,$A16,速報_原データ!$B$5:$B$200,D$3)&gt;0,SUMIFS(速報_原データ!$C$5:$C$200,速報_原データ!$A$5:$A$200,$A16,速報_原データ!$B$5:$B$200,D$3)/100,IF(COUNTIFS(速報_原データ!$A$5:$A$200,EDATE($A16,12),速報_原データ!$B$5:$B$200,D$3)&gt;0,SUMIFS(速報_原データ!$C$5:$C$200,速報_原データ!$A$5:$A$200,EDATE($A16,12),速報_原データ!$B$5:$B$200,D$3)/100/(1+SUMIFS(速報_原データ!$D$5:$D$200,速報_原データ!$A$5:$A$200,EDATE($A16,12),速報_原データ!$B$5:$B$200,D$3)/100),IF(COUNTIFS(速報_原データ!$I$6:$I$9,EDATE($A16,12),速報_原データ!$J$6:$J$9,D$3)&gt;0,D28/(1+SUMIFS(速報_原データ!$K$6:$K$9,速報_原データ!$I$6:$I$9,EDATE($A16,12),速報_原データ!$J$6:$J$9,D$3)/100),AVERAGE(D15,D17))))</f>
        <v>2315.77008928571</v>
      </c>
      <c r="E16" s="18" t="n">
        <f aca="false">IF(COUNTIFS(速報_原データ!$A$5:$A$200,$A16,速報_原データ!$B$5:$B$200,E$3)&gt;0,SUMIFS(速報_原データ!$C$5:$C$200,速報_原データ!$A$5:$A$200,$A16,速報_原データ!$B$5:$B$200,E$3)/100,IF(COUNTIFS(速報_原データ!$A$5:$A$200,EDATE($A16,12),速報_原データ!$B$5:$B$200,E$3)&gt;0,SUMIFS(速報_原データ!$C$5:$C$200,速報_原データ!$A$5:$A$200,EDATE($A16,12),速報_原データ!$B$5:$B$200,E$3)/100/(1+SUMIFS(速報_原データ!$D$5:$D$200,速報_原データ!$A$5:$A$200,EDATE($A16,12),速報_原データ!$B$5:$B$200,E$3)/100),IF(COUNTIFS(速報_原データ!$I$6:$I$9,EDATE($A16,12),速報_原データ!$J$6:$J$9,E$3)&gt;0,E28/(1+SUMIFS(速報_原データ!$K$6:$K$9,速報_原データ!$I$6:$I$9,EDATE($A16,12),速報_原データ!$J$6:$J$9,E$3)/100),AVERAGE(E15,E17))))</f>
        <v>603.341389728097</v>
      </c>
      <c r="F16" s="18" t="n">
        <f aca="false">IF(COUNTIFS(速報_原データ!$A$5:$A$200,$A16,速報_原データ!$B$5:$B$200,F$3)&gt;0,SUMIFS(速報_原データ!$C$5:$C$200,速報_原データ!$A$5:$A$200,$A16,速報_原データ!$B$5:$B$200,F$3)/100,IF(COUNTIFS(速報_原データ!$A$5:$A$200,EDATE($A16,12),速報_原データ!$B$5:$B$200,F$3)&gt;0,SUMIFS(速報_原データ!$C$5:$C$200,速報_原データ!$A$5:$A$200,EDATE($A16,12),速報_原データ!$B$5:$B$200,F$3)/100/(1+SUMIFS(速報_原データ!$D$5:$D$200,速報_原データ!$A$5:$A$200,EDATE($A16,12),速報_原データ!$B$5:$B$200,F$3)/100),IF(COUNTIFS(速報_原データ!$I$6:$I$9,EDATE($A16,12),速報_原データ!$J$6:$J$9,F$3)&gt;0,F28/(1+SUMIFS(速報_原データ!$K$6:$K$9,速報_原データ!$I$6:$I$9,EDATE($A16,12),速報_原データ!$J$6:$J$9,F$3)/100),AVERAGE(F15,F17))))</f>
        <v>463.943661971831</v>
      </c>
      <c r="G16" s="18" t="n">
        <f aca="false">IF(COUNTIFS(速報_原データ!$A$5:$A$200,$A16,速報_原データ!$B$5:$B$200,G$3)&gt;0,SUMIFS(速報_原データ!$C$5:$C$200,速報_原データ!$A$5:$A$200,$A16,速報_原データ!$B$5:$B$200,G$3)/100,IF(COUNTIFS(速報_原データ!$A$5:$A$200,EDATE($A16,12),速報_原データ!$B$5:$B$200,G$3)&gt;0,SUMIFS(速報_原データ!$C$5:$C$200,速報_原データ!$A$5:$A$200,EDATE($A16,12),速報_原データ!$B$5:$B$200,G$3)/100/(1+SUMIFS(速報_原データ!$D$5:$D$200,速報_原データ!$A$5:$A$200,EDATE($A16,12),速報_原データ!$B$5:$B$200,G$3)/100),IF(COUNTIFS(速報_原データ!$I$6:$I$9,EDATE($A16,12),速報_原データ!$J$6:$J$9,G$3)&gt;0,G28/(1+SUMIFS(速報_原データ!$K$6:$K$9,速報_原データ!$I$6:$I$9,EDATE($A16,12),速報_原データ!$J$6:$J$9,G$3)/100),AVERAGE(G15,G17))))</f>
        <v>145.264847512039</v>
      </c>
      <c r="H16" s="18" t="n">
        <f aca="false">IF(COUNTIFS(速報_原データ!$A$5:$A$200,$A16,速報_原データ!$B$5:$B$200,H$3)&gt;0,SUMIFS(速報_原データ!$C$5:$C$200,速報_原データ!$A$5:$A$200,$A16,速報_原データ!$B$5:$B$200,H$3)/100,IF(COUNTIFS(速報_原データ!$A$5:$A$200,EDATE($A16,12),速報_原データ!$B$5:$B$200,H$3)&gt;0,SUMIFS(速報_原データ!$C$5:$C$200,速報_原データ!$A$5:$A$200,EDATE($A16,12),速報_原データ!$B$5:$B$200,H$3)/100/(1+SUMIFS(速報_原データ!$D$5:$D$200,速報_原データ!$A$5:$A$200,EDATE($A16,12),速報_原データ!$B$5:$B$200,H$3)/100),IF(COUNTIFS(速報_原データ!$I$6:$I$9,EDATE($A16,12),速報_原データ!$J$6:$J$9,H$3)&gt;0,H28/(1+SUMIFS(速報_原データ!$K$6:$K$9,速報_原データ!$I$6:$I$9,EDATE($A16,12),速報_原データ!$J$6:$J$9,H$3)/100),AVERAGE(H15,H17))))</f>
        <v>191.925675675676</v>
      </c>
      <c r="I16" s="18" t="n">
        <f aca="false">B16-D16</f>
        <v>2033.44457040015</v>
      </c>
      <c r="J16" s="18" t="n">
        <f aca="false">C16-D16-E16-H16</f>
        <v>620.931414375856</v>
      </c>
      <c r="K16" s="2" t="s">
        <v>235</v>
      </c>
    </row>
    <row r="17" customFormat="false" ht="15" hidden="false" customHeight="false" outlineLevel="0" collapsed="false">
      <c r="A17" s="12" t="n">
        <v>45383</v>
      </c>
      <c r="B17" s="18" t="n">
        <f aca="false">IF(COUNTIFS(速報_原データ!$A$5:$A$200,$A17,速報_原データ!$B$5:$B$200,B$3)&gt;0,SUMIFS(速報_原データ!$C$5:$C$200,速報_原データ!$A$5:$A$200,$A17,速報_原データ!$B$5:$B$200,B$3)/100,IF(COUNTIFS(速報_原データ!$A$5:$A$200,EDATE($A17,12),速報_原データ!$B$5:$B$200,B$3)&gt;0,SUMIFS(速報_原データ!$C$5:$C$200,速報_原データ!$A$5:$A$200,EDATE($A17,12),速報_原データ!$B$5:$B$200,B$3)/100/(1+SUMIFS(速報_原データ!$D$5:$D$200,速報_原データ!$A$5:$A$200,EDATE($A17,12),速報_原データ!$B$5:$B$200,B$3)/100),IF(COUNTIFS(速報_原データ!$I$6:$I$9,EDATE($A17,12),速報_原データ!$J$6:$J$9,B$3)&gt;0,B29/(1+SUMIFS(速報_原データ!$K$6:$K$9,速報_原データ!$I$6:$I$9,EDATE($A17,12),速報_原データ!$J$6:$J$9,B$3)/100),AVERAGE(B16,B18))))</f>
        <v>3790.38</v>
      </c>
      <c r="C17" s="18" t="n">
        <f aca="false">IF(COUNTIFS(速報_原データ!$A$5:$A$200,$A17,速報_原データ!$B$5:$B$200,C$3)&gt;0,SUMIFS(速報_原データ!$C$5:$C$200,速報_原データ!$A$5:$A$200,$A17,速報_原データ!$B$5:$B$200,C$3)/100,IF(COUNTIFS(速報_原データ!$A$5:$A$200,EDATE($A17,12),速報_原データ!$B$5:$B$200,C$3)&gt;0,SUMIFS(速報_原データ!$C$5:$C$200,速報_原データ!$A$5:$A$200,EDATE($A17,12),速報_原データ!$B$5:$B$200,C$3)/100/(1+SUMIFS(速報_原データ!$D$5:$D$200,速報_原データ!$A$5:$A$200,EDATE($A17,12),速報_原データ!$B$5:$B$200,C$3)/100),IF(COUNTIFS(速報_原データ!$I$6:$I$9,EDATE($A17,12),速報_原データ!$J$6:$J$9,C$3)&gt;0,C29/(1+SUMIFS(速報_原データ!$K$6:$K$9,速報_原データ!$I$6:$I$9,EDATE($A17,12),速報_原データ!$J$6:$J$9,C$3)/100),AVERAGE(C16,C18))))</f>
        <v>3220.37</v>
      </c>
      <c r="D17" s="18" t="n">
        <f aca="false">IF(COUNTIFS(速報_原データ!$A$5:$A$200,$A17,速報_原データ!$B$5:$B$200,D$3)&gt;0,SUMIFS(速報_原データ!$C$5:$C$200,速報_原データ!$A$5:$A$200,$A17,速報_原データ!$B$5:$B$200,D$3)/100,IF(COUNTIFS(速報_原データ!$A$5:$A$200,EDATE($A17,12),速報_原データ!$B$5:$B$200,D$3)&gt;0,SUMIFS(速報_原データ!$C$5:$C$200,速報_原データ!$A$5:$A$200,EDATE($A17,12),速報_原データ!$B$5:$B$200,D$3)/100/(1+SUMIFS(速報_原データ!$D$5:$D$200,速報_原データ!$A$5:$A$200,EDATE($A17,12),速報_原データ!$B$5:$B$200,D$3)/100),IF(COUNTIFS(速報_原データ!$I$6:$I$9,EDATE($A17,12),速報_原データ!$J$6:$J$9,D$3)&gt;0,D29/(1+SUMIFS(速報_原データ!$K$6:$K$9,速報_原データ!$I$6:$I$9,EDATE($A17,12),速報_原データ!$J$6:$J$9,D$3)/100),AVERAGE(D16,D18))))</f>
        <v>1888.66</v>
      </c>
      <c r="E17" s="18" t="n">
        <f aca="false">IF(COUNTIFS(速報_原データ!$A$5:$A$200,$A17,速報_原データ!$B$5:$B$200,E$3)&gt;0,SUMIFS(速報_原データ!$C$5:$C$200,速報_原データ!$A$5:$A$200,$A17,速報_原データ!$B$5:$B$200,E$3)/100,IF(COUNTIFS(速報_原データ!$A$5:$A$200,EDATE($A17,12),速報_原データ!$B$5:$B$200,E$3)&gt;0,SUMIFS(速報_原データ!$C$5:$C$200,速報_原データ!$A$5:$A$200,EDATE($A17,12),速報_原データ!$B$5:$B$200,E$3)/100/(1+SUMIFS(速報_原データ!$D$5:$D$200,速報_原データ!$A$5:$A$200,EDATE($A17,12),速報_原データ!$B$5:$B$200,E$3)/100),IF(COUNTIFS(速報_原データ!$I$6:$I$9,EDATE($A17,12),速報_原データ!$J$6:$J$9,E$3)&gt;0,E29/(1+SUMIFS(速報_原データ!$K$6:$K$9,速報_原データ!$I$6:$I$9,EDATE($A17,12),速報_原データ!$J$6:$J$9,E$3)/100),AVERAGE(E16,E18))))</f>
        <v>450.82</v>
      </c>
      <c r="F17" s="18" t="n">
        <f aca="false">IF(COUNTIFS(速報_原データ!$A$5:$A$200,$A17,速報_原データ!$B$5:$B$200,F$3)&gt;0,SUMIFS(速報_原データ!$C$5:$C$200,速報_原データ!$A$5:$A$200,$A17,速報_原データ!$B$5:$B$200,F$3)/100,IF(COUNTIFS(速報_原データ!$A$5:$A$200,EDATE($A17,12),速報_原データ!$B$5:$B$200,F$3)&gt;0,SUMIFS(速報_原データ!$C$5:$C$200,速報_原データ!$A$5:$A$200,EDATE($A17,12),速報_原データ!$B$5:$B$200,F$3)/100/(1+SUMIFS(速報_原データ!$D$5:$D$200,速報_原データ!$A$5:$A$200,EDATE($A17,12),速報_原データ!$B$5:$B$200,F$3)/100),IF(COUNTIFS(速報_原データ!$I$6:$I$9,EDATE($A17,12),速報_原データ!$J$6:$J$9,F$3)&gt;0,F29/(1+SUMIFS(速報_原データ!$K$6:$K$9,速報_原データ!$I$6:$I$9,EDATE($A17,12),速報_原データ!$J$6:$J$9,F$3)/100),AVERAGE(F16,F18))))</f>
        <v>428.38</v>
      </c>
      <c r="G17" s="18" t="n">
        <f aca="false">IF(COUNTIFS(速報_原データ!$A$5:$A$200,$A17,速報_原データ!$B$5:$B$200,G$3)&gt;0,SUMIFS(速報_原データ!$C$5:$C$200,速報_原データ!$A$5:$A$200,$A17,速報_原データ!$B$5:$B$200,G$3)/100,IF(COUNTIFS(速報_原データ!$A$5:$A$200,EDATE($A17,12),速報_原データ!$B$5:$B$200,G$3)&gt;0,SUMIFS(速報_原データ!$C$5:$C$200,速報_原データ!$A$5:$A$200,EDATE($A17,12),速報_原データ!$B$5:$B$200,G$3)/100/(1+SUMIFS(速報_原データ!$D$5:$D$200,速報_原データ!$A$5:$A$200,EDATE($A17,12),速報_原データ!$B$5:$B$200,G$3)/100),IF(COUNTIFS(速報_原データ!$I$6:$I$9,EDATE($A17,12),速報_原データ!$J$6:$J$9,G$3)&gt;0,G29/(1+SUMIFS(速報_原データ!$K$6:$K$9,速報_原データ!$I$6:$I$9,EDATE($A17,12),速報_原データ!$J$6:$J$9,G$3)/100),AVERAGE(G16,G18))))</f>
        <v>122.8</v>
      </c>
      <c r="H17" s="18" t="n">
        <f aca="false">IF(COUNTIFS(速報_原データ!$A$5:$A$200,$A17,速報_原データ!$B$5:$B$200,H$3)&gt;0,SUMIFS(速報_原データ!$C$5:$C$200,速報_原データ!$A$5:$A$200,$A17,速報_原データ!$B$5:$B$200,H$3)/100,IF(COUNTIFS(速報_原データ!$A$5:$A$200,EDATE($A17,12),速報_原データ!$B$5:$B$200,H$3)&gt;0,SUMIFS(速報_原データ!$C$5:$C$200,速報_原データ!$A$5:$A$200,EDATE($A17,12),速報_原データ!$B$5:$B$200,H$3)/100/(1+SUMIFS(速報_原データ!$D$5:$D$200,速報_原データ!$A$5:$A$200,EDATE($A17,12),速報_原データ!$B$5:$B$200,H$3)/100),IF(COUNTIFS(速報_原データ!$I$6:$I$9,EDATE($A17,12),速報_原データ!$J$6:$J$9,H$3)&gt;0,H29/(1+SUMIFS(速報_原データ!$K$6:$K$9,速報_原データ!$I$6:$I$9,EDATE($A17,12),速報_原データ!$J$6:$J$9,H$3)/100),AVERAGE(H16,H18))))</f>
        <v>175.42</v>
      </c>
      <c r="I17" s="18" t="n">
        <f aca="false">B17-D17</f>
        <v>1901.72</v>
      </c>
      <c r="J17" s="18" t="n">
        <f aca="false">C17-D17-E17-H17</f>
        <v>705.47</v>
      </c>
      <c r="K17" s="2" t="s">
        <v>237</v>
      </c>
    </row>
    <row r="18" customFormat="false" ht="15" hidden="false" customHeight="false" outlineLevel="0" collapsed="false">
      <c r="A18" s="12" t="n">
        <v>45413</v>
      </c>
      <c r="B18" s="18" t="n">
        <f aca="false">IF(COUNTIFS(速報_原データ!$A$5:$A$200,$A18,速報_原データ!$B$5:$B$200,B$3)&gt;0,SUMIFS(速報_原データ!$C$5:$C$200,速報_原データ!$A$5:$A$200,$A18,速報_原データ!$B$5:$B$200,B$3)/100,IF(COUNTIFS(速報_原データ!$A$5:$A$200,EDATE($A18,12),速報_原データ!$B$5:$B$200,B$3)&gt;0,SUMIFS(速報_原データ!$C$5:$C$200,速報_原データ!$A$5:$A$200,EDATE($A18,12),速報_原データ!$B$5:$B$200,B$3)/100/(1+SUMIFS(速報_原データ!$D$5:$D$200,速報_原データ!$A$5:$A$200,EDATE($A18,12),速報_原データ!$B$5:$B$200,B$3)/100),IF(COUNTIFS(速報_原データ!$I$6:$I$9,EDATE($A18,12),速報_原データ!$J$6:$J$9,B$3)&gt;0,B30/(1+SUMIFS(速報_原データ!$K$6:$K$9,速報_原データ!$I$6:$I$9,EDATE($A18,12),速報_原データ!$J$6:$J$9,B$3)/100),AVERAGE(B17,B19))))</f>
        <v>3426.05779153767</v>
      </c>
      <c r="C18" s="18" t="n">
        <f aca="false">IF(COUNTIFS(速報_原データ!$A$5:$A$200,$A18,速報_原データ!$B$5:$B$200,C$3)&gt;0,SUMIFS(速報_原データ!$C$5:$C$200,速報_原データ!$A$5:$A$200,$A18,速報_原データ!$B$5:$B$200,C$3)/100,IF(COUNTIFS(速報_原データ!$A$5:$A$200,EDATE($A18,12),速報_原データ!$B$5:$B$200,C$3)&gt;0,SUMIFS(速報_原データ!$C$5:$C$200,速報_原データ!$A$5:$A$200,EDATE($A18,12),速報_原データ!$B$5:$B$200,C$3)/100/(1+SUMIFS(速報_原データ!$D$5:$D$200,速報_原データ!$A$5:$A$200,EDATE($A18,12),速報_原データ!$B$5:$B$200,C$3)/100),IF(COUNTIFS(速報_原データ!$I$6:$I$9,EDATE($A18,12),速報_原データ!$J$6:$J$9,C$3)&gt;0,C30/(1+SUMIFS(速報_原データ!$K$6:$K$9,速報_原データ!$I$6:$I$9,EDATE($A18,12),速報_原データ!$J$6:$J$9,C$3)/100),AVERAGE(C17,C19))))</f>
        <v>2963.63817097416</v>
      </c>
      <c r="D18" s="18" t="n">
        <f aca="false">IF(COUNTIFS(速報_原データ!$A$5:$A$200,$A18,速報_原データ!$B$5:$B$200,D$3)&gt;0,SUMIFS(速報_原データ!$C$5:$C$200,速報_原データ!$A$5:$A$200,$A18,速報_原データ!$B$5:$B$200,D$3)/100,IF(COUNTIFS(速報_原データ!$A$5:$A$200,EDATE($A18,12),速報_原データ!$B$5:$B$200,D$3)&gt;0,SUMIFS(速報_原データ!$C$5:$C$200,速報_原データ!$A$5:$A$200,EDATE($A18,12),速報_原データ!$B$5:$B$200,D$3)/100/(1+SUMIFS(速報_原データ!$D$5:$D$200,速報_原データ!$A$5:$A$200,EDATE($A18,12),速報_原データ!$B$5:$B$200,D$3)/100),IF(COUNTIFS(速報_原データ!$I$6:$I$9,EDATE($A18,12),速報_原データ!$J$6:$J$9,D$3)&gt;0,D30/(1+SUMIFS(速報_原データ!$K$6:$K$9,速報_原データ!$I$6:$I$9,EDATE($A18,12),速報_原データ!$J$6:$J$9,D$3)/100),AVERAGE(D17,D19))))</f>
        <v>1884.57215836526</v>
      </c>
      <c r="E18" s="18" t="n">
        <f aca="false">IF(COUNTIFS(速報_原データ!$A$5:$A$200,$A18,速報_原データ!$B$5:$B$200,E$3)&gt;0,SUMIFS(速報_原データ!$C$5:$C$200,速報_原データ!$A$5:$A$200,$A18,速報_原データ!$B$5:$B$200,E$3)/100,IF(COUNTIFS(速報_原データ!$A$5:$A$200,EDATE($A18,12),速報_原データ!$B$5:$B$200,E$3)&gt;0,SUMIFS(速報_原データ!$C$5:$C$200,速報_原データ!$A$5:$A$200,EDATE($A18,12),速報_原データ!$B$5:$B$200,E$3)/100/(1+SUMIFS(速報_原データ!$D$5:$D$200,速報_原データ!$A$5:$A$200,EDATE($A18,12),速報_原データ!$B$5:$B$200,E$3)/100),IF(COUNTIFS(速報_原データ!$I$6:$I$9,EDATE($A18,12),速報_原データ!$J$6:$J$9,E$3)&gt;0,E30/(1+SUMIFS(速報_原データ!$K$6:$K$9,速報_原データ!$I$6:$I$9,EDATE($A18,12),速報_原データ!$J$6:$J$9,E$3)/100),AVERAGE(E17,E19))))</f>
        <v>390.042301184433</v>
      </c>
      <c r="F18" s="18" t="n">
        <f aca="false">IF(COUNTIFS(速報_原データ!$A$5:$A$200,$A18,速報_原データ!$B$5:$B$200,F$3)&gt;0,SUMIFS(速報_原データ!$C$5:$C$200,速報_原データ!$A$5:$A$200,$A18,速報_原データ!$B$5:$B$200,F$3)/100,IF(COUNTIFS(速報_原データ!$A$5:$A$200,EDATE($A18,12),速報_原データ!$B$5:$B$200,F$3)&gt;0,SUMIFS(速報_原データ!$C$5:$C$200,速報_原データ!$A$5:$A$200,EDATE($A18,12),速報_原データ!$B$5:$B$200,F$3)/100/(1+SUMIFS(速報_原データ!$D$5:$D$200,速報_原データ!$A$5:$A$200,EDATE($A18,12),速報_原データ!$B$5:$B$200,F$3)/100),IF(COUNTIFS(速報_原データ!$I$6:$I$9,EDATE($A18,12),速報_原データ!$J$6:$J$9,F$3)&gt;0,F30/(1+SUMIFS(速報_原データ!$K$6:$K$9,速報_原データ!$I$6:$I$9,EDATE($A18,12),速報_原データ!$J$6:$J$9,F$3)/100),AVERAGE(F17,F19))))</f>
        <v>394.274924471299</v>
      </c>
      <c r="G18" s="18" t="n">
        <f aca="false">IF(COUNTIFS(速報_原データ!$A$5:$A$200,$A18,速報_原データ!$B$5:$B$200,G$3)&gt;0,SUMIFS(速報_原データ!$C$5:$C$200,速報_原データ!$A$5:$A$200,$A18,速報_原データ!$B$5:$B$200,G$3)/100,IF(COUNTIFS(速報_原データ!$A$5:$A$200,EDATE($A18,12),速報_原データ!$B$5:$B$200,G$3)&gt;0,SUMIFS(速報_原データ!$C$5:$C$200,速報_原データ!$A$5:$A$200,EDATE($A18,12),速報_原データ!$B$5:$B$200,G$3)/100/(1+SUMIFS(速報_原データ!$D$5:$D$200,速報_原データ!$A$5:$A$200,EDATE($A18,12),速報_原データ!$B$5:$B$200,G$3)/100),IF(COUNTIFS(速報_原データ!$I$6:$I$9,EDATE($A18,12),速報_原データ!$J$6:$J$9,G$3)&gt;0,G30/(1+SUMIFS(速報_原データ!$K$6:$K$9,速報_原データ!$I$6:$I$9,EDATE($A18,12),速報_原データ!$J$6:$J$9,G$3)/100),AVERAGE(G17,G19))))</f>
        <v>59.2390331244405</v>
      </c>
      <c r="H18" s="18" t="n">
        <f aca="false">IF(COUNTIFS(速報_原データ!$A$5:$A$200,$A18,速報_原データ!$B$5:$B$200,H$3)&gt;0,SUMIFS(速報_原データ!$C$5:$C$200,速報_原データ!$A$5:$A$200,$A18,速報_原データ!$B$5:$B$200,H$3)/100,IF(COUNTIFS(速報_原データ!$A$5:$A$200,EDATE($A18,12),速報_原データ!$B$5:$B$200,H$3)&gt;0,SUMIFS(速報_原データ!$C$5:$C$200,速報_原データ!$A$5:$A$200,EDATE($A18,12),速報_原データ!$B$5:$B$200,H$3)/100/(1+SUMIFS(速報_原データ!$D$5:$D$200,速報_原データ!$A$5:$A$200,EDATE($A18,12),速報_原データ!$B$5:$B$200,H$3)/100),IF(COUNTIFS(速報_原データ!$I$6:$I$9,EDATE($A18,12),速報_原データ!$J$6:$J$9,H$3)&gt;0,H30/(1+SUMIFS(速報_原データ!$K$6:$K$9,速報_原データ!$I$6:$I$9,EDATE($A18,12),速報_原データ!$J$6:$J$9,H$3)/100),AVERAGE(H17,H19))))</f>
        <v>284.55298013245</v>
      </c>
      <c r="I18" s="18" t="n">
        <f aca="false">B18-D18</f>
        <v>1541.48563317241</v>
      </c>
      <c r="J18" s="18" t="n">
        <f aca="false">C18-D18-E18-H18</f>
        <v>404.47073129201</v>
      </c>
      <c r="K18" s="2" t="s">
        <v>235</v>
      </c>
    </row>
    <row r="19" customFormat="false" ht="15" hidden="false" customHeight="false" outlineLevel="0" collapsed="false">
      <c r="A19" s="12" t="n">
        <v>45444</v>
      </c>
      <c r="B19" s="18" t="n">
        <f aca="false">IF(COUNTIFS(速報_原データ!$A$5:$A$200,$A19,速報_原データ!$B$5:$B$200,B$3)&gt;0,SUMIFS(速報_原データ!$C$5:$C$200,速報_原データ!$A$5:$A$200,$A19,速報_原データ!$B$5:$B$200,B$3)/100,IF(COUNTIFS(速報_原データ!$A$5:$A$200,EDATE($A19,12),速報_原データ!$B$5:$B$200,B$3)&gt;0,SUMIFS(速報_原データ!$C$5:$C$200,速報_原データ!$A$5:$A$200,EDATE($A19,12),速報_原データ!$B$5:$B$200,B$3)/100/(1+SUMIFS(速報_原データ!$D$5:$D$200,速報_原データ!$A$5:$A$200,EDATE($A19,12),速報_原データ!$B$5:$B$200,B$3)/100),IF(COUNTIFS(速報_原データ!$I$6:$I$9,EDATE($A19,12),速報_原データ!$J$6:$J$9,B$3)&gt;0,B31/(1+SUMIFS(速報_原データ!$K$6:$K$9,速報_原データ!$I$6:$I$9,EDATE($A19,12),速報_原データ!$J$6:$J$9,B$3)/100),AVERAGE(B18,B20))))</f>
        <v>3971.66</v>
      </c>
      <c r="C19" s="18" t="n">
        <f aca="false">IF(COUNTIFS(速報_原データ!$A$5:$A$200,$A19,速報_原データ!$B$5:$B$200,C$3)&gt;0,SUMIFS(速報_原データ!$C$5:$C$200,速報_原データ!$A$5:$A$200,$A19,速報_原データ!$B$5:$B$200,C$3)/100,IF(COUNTIFS(速報_原データ!$A$5:$A$200,EDATE($A19,12),速報_原データ!$B$5:$B$200,C$3)&gt;0,SUMIFS(速報_原データ!$C$5:$C$200,速報_原データ!$A$5:$A$200,EDATE($A19,12),速報_原データ!$B$5:$B$200,C$3)/100/(1+SUMIFS(速報_原データ!$D$5:$D$200,速報_原データ!$A$5:$A$200,EDATE($A19,12),速報_原データ!$B$5:$B$200,C$3)/100),IF(COUNTIFS(速報_原データ!$I$6:$I$9,EDATE($A19,12),速報_原データ!$J$6:$J$9,C$3)&gt;0,C31/(1+SUMIFS(速報_原データ!$K$6:$K$9,速報_原データ!$I$6:$I$9,EDATE($A19,12),速報_原データ!$J$6:$J$9,C$3)/100),AVERAGE(C18,C20))))</f>
        <v>3382.11</v>
      </c>
      <c r="D19" s="18" t="n">
        <f aca="false">IF(COUNTIFS(速報_原データ!$A$5:$A$200,$A19,速報_原データ!$B$5:$B$200,D$3)&gt;0,SUMIFS(速報_原データ!$C$5:$C$200,速報_原データ!$A$5:$A$200,$A19,速報_原データ!$B$5:$B$200,D$3)/100,IF(COUNTIFS(速報_原データ!$A$5:$A$200,EDATE($A19,12),速報_原データ!$B$5:$B$200,D$3)&gt;0,SUMIFS(速報_原データ!$C$5:$C$200,速報_原データ!$A$5:$A$200,EDATE($A19,12),速報_原データ!$B$5:$B$200,D$3)/100/(1+SUMIFS(速報_原データ!$D$5:$D$200,速報_原データ!$A$5:$A$200,EDATE($A19,12),速報_原データ!$B$5:$B$200,D$3)/100),IF(COUNTIFS(速報_原データ!$I$6:$I$9,EDATE($A19,12),速報_原データ!$J$6:$J$9,D$3)&gt;0,D31/(1+SUMIFS(速報_原データ!$K$6:$K$9,速報_原データ!$I$6:$I$9,EDATE($A19,12),速報_原データ!$J$6:$J$9,D$3)/100),AVERAGE(D18,D20))))</f>
        <v>1925.84</v>
      </c>
      <c r="E19" s="18" t="n">
        <f aca="false">IF(COUNTIFS(速報_原データ!$A$5:$A$200,$A19,速報_原データ!$B$5:$B$200,E$3)&gt;0,SUMIFS(速報_原データ!$C$5:$C$200,速報_原データ!$A$5:$A$200,$A19,速報_原データ!$B$5:$B$200,E$3)/100,IF(COUNTIFS(速報_原データ!$A$5:$A$200,EDATE($A19,12),速報_原データ!$B$5:$B$200,E$3)&gt;0,SUMIFS(速報_原データ!$C$5:$C$200,速報_原データ!$A$5:$A$200,EDATE($A19,12),速報_原データ!$B$5:$B$200,E$3)/100/(1+SUMIFS(速報_原データ!$D$5:$D$200,速報_原データ!$A$5:$A$200,EDATE($A19,12),速報_原データ!$B$5:$B$200,E$3)/100),IF(COUNTIFS(速報_原データ!$I$6:$I$9,EDATE($A19,12),速報_原データ!$J$6:$J$9,E$3)&gt;0,E31/(1+SUMIFS(速報_原データ!$K$6:$K$9,速報_原データ!$I$6:$I$9,EDATE($A19,12),速報_原データ!$J$6:$J$9,E$3)/100),AVERAGE(E18,E20))))</f>
        <v>543.49</v>
      </c>
      <c r="F19" s="18" t="n">
        <f aca="false">IF(COUNTIFS(速報_原データ!$A$5:$A$200,$A19,速報_原データ!$B$5:$B$200,F$3)&gt;0,SUMIFS(速報_原データ!$C$5:$C$200,速報_原データ!$A$5:$A$200,$A19,速報_原データ!$B$5:$B$200,F$3)/100,IF(COUNTIFS(速報_原データ!$A$5:$A$200,EDATE($A19,12),速報_原データ!$B$5:$B$200,F$3)&gt;0,SUMIFS(速報_原データ!$C$5:$C$200,速報_原データ!$A$5:$A$200,EDATE($A19,12),速報_原データ!$B$5:$B$200,F$3)/100/(1+SUMIFS(速報_原データ!$D$5:$D$200,速報_原データ!$A$5:$A$200,EDATE($A19,12),速報_原データ!$B$5:$B$200,F$3)/100),IF(COUNTIFS(速報_原データ!$I$6:$I$9,EDATE($A19,12),速報_原データ!$J$6:$J$9,F$3)&gt;0,F31/(1+SUMIFS(速報_原データ!$K$6:$K$9,速報_原データ!$I$6:$I$9,EDATE($A19,12),速報_原データ!$J$6:$J$9,F$3)/100),AVERAGE(F18,F20))))</f>
        <v>479.81</v>
      </c>
      <c r="G19" s="18" t="n">
        <f aca="false">IF(COUNTIFS(速報_原データ!$A$5:$A$200,$A19,速報_原データ!$B$5:$B$200,G$3)&gt;0,SUMIFS(速報_原データ!$C$5:$C$200,速報_原データ!$A$5:$A$200,$A19,速報_原データ!$B$5:$B$200,G$3)/100,IF(COUNTIFS(速報_原データ!$A$5:$A$200,EDATE($A19,12),速報_原データ!$B$5:$B$200,G$3)&gt;0,SUMIFS(速報_原データ!$C$5:$C$200,速報_原データ!$A$5:$A$200,EDATE($A19,12),速報_原データ!$B$5:$B$200,G$3)/100/(1+SUMIFS(速報_原データ!$D$5:$D$200,速報_原データ!$A$5:$A$200,EDATE($A19,12),速報_原データ!$B$5:$B$200,G$3)/100),IF(COUNTIFS(速報_原データ!$I$6:$I$9,EDATE($A19,12),速報_原データ!$J$6:$J$9,G$3)&gt;0,G31/(1+SUMIFS(速報_原データ!$K$6:$K$9,速報_原データ!$I$6:$I$9,EDATE($A19,12),速報_原データ!$J$6:$J$9,G$3)/100),AVERAGE(G18,G20))))</f>
        <v>104.19</v>
      </c>
      <c r="H19" s="18" t="n">
        <f aca="false">IF(COUNTIFS(速報_原データ!$A$5:$A$200,$A19,速報_原データ!$B$5:$B$200,H$3)&gt;0,SUMIFS(速報_原データ!$C$5:$C$200,速報_原データ!$A$5:$A$200,$A19,速報_原データ!$B$5:$B$200,H$3)/100,IF(COUNTIFS(速報_原データ!$A$5:$A$200,EDATE($A19,12),速報_原データ!$B$5:$B$200,H$3)&gt;0,SUMIFS(速報_原データ!$C$5:$C$200,速報_原データ!$A$5:$A$200,EDATE($A19,12),速報_原データ!$B$5:$B$200,H$3)/100/(1+SUMIFS(速報_原データ!$D$5:$D$200,速報_原データ!$A$5:$A$200,EDATE($A19,12),速報_原データ!$B$5:$B$200,H$3)/100),IF(COUNTIFS(速報_原データ!$I$6:$I$9,EDATE($A19,12),速報_原データ!$J$6:$J$9,H$3)&gt;0,H31/(1+SUMIFS(速報_原データ!$K$6:$K$9,速報_原データ!$I$6:$I$9,EDATE($A19,12),速報_原データ!$J$6:$J$9,H$3)/100),AVERAGE(H18,H20))))</f>
        <v>161.56</v>
      </c>
      <c r="I19" s="18" t="n">
        <f aca="false">B19-D19</f>
        <v>2045.82</v>
      </c>
      <c r="J19" s="18" t="n">
        <f aca="false">C19-D19-E19-H19</f>
        <v>751.22</v>
      </c>
      <c r="K19" s="2" t="s">
        <v>237</v>
      </c>
    </row>
    <row r="20" customFormat="false" ht="15" hidden="false" customHeight="false" outlineLevel="0" collapsed="false">
      <c r="A20" s="12" t="n">
        <v>45474</v>
      </c>
      <c r="B20" s="18" t="n">
        <f aca="false">IF(COUNTIFS(速報_原データ!$A$5:$A$200,$A20,速報_原データ!$B$5:$B$200,B$3)&gt;0,SUMIFS(速報_原データ!$C$5:$C$200,速報_原データ!$A$5:$A$200,$A20,速報_原データ!$B$5:$B$200,B$3)/100,IF(COUNTIFS(速報_原データ!$A$5:$A$200,EDATE($A20,12),速報_原データ!$B$5:$B$200,B$3)&gt;0,SUMIFS(速報_原データ!$C$5:$C$200,速報_原データ!$A$5:$A$200,EDATE($A20,12),速報_原データ!$B$5:$B$200,B$3)/100/(1+SUMIFS(速報_原データ!$D$5:$D$200,速報_原データ!$A$5:$A$200,EDATE($A20,12),速報_原データ!$B$5:$B$200,B$3)/100),IF(COUNTIFS(速報_原データ!$I$6:$I$9,EDATE($A20,12),速報_原データ!$J$6:$J$9,B$3)&gt;0,B32/(1+SUMIFS(速報_原データ!$K$6:$K$9,速報_原データ!$I$6:$I$9,EDATE($A20,12),速報_原データ!$J$6:$J$9,B$3)/100),AVERAGE(B19,B21))))</f>
        <v>3685.44</v>
      </c>
      <c r="C20" s="18" t="n">
        <f aca="false">IF(COUNTIFS(速報_原データ!$A$5:$A$200,$A20,速報_原データ!$B$5:$B$200,C$3)&gt;0,SUMIFS(速報_原データ!$C$5:$C$200,速報_原データ!$A$5:$A$200,$A20,速報_原データ!$B$5:$B$200,C$3)/100,IF(COUNTIFS(速報_原データ!$A$5:$A$200,EDATE($A20,12),速報_原データ!$B$5:$B$200,C$3)&gt;0,SUMIFS(速報_原データ!$C$5:$C$200,速報_原データ!$A$5:$A$200,EDATE($A20,12),速報_原データ!$B$5:$B$200,C$3)/100/(1+SUMIFS(速報_原データ!$D$5:$D$200,速報_原データ!$A$5:$A$200,EDATE($A20,12),速報_原データ!$B$5:$B$200,C$3)/100),IF(COUNTIFS(速報_原データ!$I$6:$I$9,EDATE($A20,12),速報_原データ!$J$6:$J$9,C$3)&gt;0,C32/(1+SUMIFS(速報_原データ!$K$6:$K$9,速報_原データ!$I$6:$I$9,EDATE($A20,12),速報_原データ!$J$6:$J$9,C$3)/100),AVERAGE(C19,C21))))</f>
        <v>3142.13</v>
      </c>
      <c r="D20" s="18" t="n">
        <f aca="false">IF(COUNTIFS(速報_原データ!$A$5:$A$200,$A20,速報_原データ!$B$5:$B$200,D$3)&gt;0,SUMIFS(速報_原データ!$C$5:$C$200,速報_原データ!$A$5:$A$200,$A20,速報_原データ!$B$5:$B$200,D$3)/100,IF(COUNTIFS(速報_原データ!$A$5:$A$200,EDATE($A20,12),速報_原データ!$B$5:$B$200,D$3)&gt;0,SUMIFS(速報_原データ!$C$5:$C$200,速報_原データ!$A$5:$A$200,EDATE($A20,12),速報_原データ!$B$5:$B$200,D$3)/100/(1+SUMIFS(速報_原データ!$D$5:$D$200,速報_原データ!$A$5:$A$200,EDATE($A20,12),速報_原データ!$B$5:$B$200,D$3)/100),IF(COUNTIFS(速報_原データ!$I$6:$I$9,EDATE($A20,12),速報_原データ!$J$6:$J$9,D$3)&gt;0,D32/(1+SUMIFS(速報_原データ!$K$6:$K$9,速報_原データ!$I$6:$I$9,EDATE($A20,12),速報_原データ!$J$6:$J$9,D$3)/100),AVERAGE(D19,D21))))</f>
        <v>1638.58</v>
      </c>
      <c r="E20" s="18" t="n">
        <f aca="false">IF(COUNTIFS(速報_原データ!$A$5:$A$200,$A20,速報_原データ!$B$5:$B$200,E$3)&gt;0,SUMIFS(速報_原データ!$C$5:$C$200,速報_原データ!$A$5:$A$200,$A20,速報_原データ!$B$5:$B$200,E$3)/100,IF(COUNTIFS(速報_原データ!$A$5:$A$200,EDATE($A20,12),速報_原データ!$B$5:$B$200,E$3)&gt;0,SUMIFS(速報_原データ!$C$5:$C$200,速報_原データ!$A$5:$A$200,EDATE($A20,12),速報_原データ!$B$5:$B$200,E$3)/100/(1+SUMIFS(速報_原データ!$D$5:$D$200,速報_原データ!$A$5:$A$200,EDATE($A20,12),速報_原データ!$B$5:$B$200,E$3)/100),IF(COUNTIFS(速報_原データ!$I$6:$I$9,EDATE($A20,12),速報_原データ!$J$6:$J$9,E$3)&gt;0,E32/(1+SUMIFS(速報_原データ!$K$6:$K$9,速報_原データ!$I$6:$I$9,EDATE($A20,12),速報_原データ!$J$6:$J$9,E$3)/100),AVERAGE(E19,E21))))</f>
        <v>511.93</v>
      </c>
      <c r="F20" s="18" t="n">
        <f aca="false">IF(COUNTIFS(速報_原データ!$A$5:$A$200,$A20,速報_原データ!$B$5:$B$200,F$3)&gt;0,SUMIFS(速報_原データ!$C$5:$C$200,速報_原データ!$A$5:$A$200,$A20,速報_原データ!$B$5:$B$200,F$3)/100,IF(COUNTIFS(速報_原データ!$A$5:$A$200,EDATE($A20,12),速報_原データ!$B$5:$B$200,F$3)&gt;0,SUMIFS(速報_原データ!$C$5:$C$200,速報_原データ!$A$5:$A$200,EDATE($A20,12),速報_原データ!$B$5:$B$200,F$3)/100/(1+SUMIFS(速報_原データ!$D$5:$D$200,速報_原データ!$A$5:$A$200,EDATE($A20,12),速報_原データ!$B$5:$B$200,F$3)/100),IF(COUNTIFS(速報_原データ!$I$6:$I$9,EDATE($A20,12),速報_原データ!$J$6:$J$9,F$3)&gt;0,F32/(1+SUMIFS(速報_原データ!$K$6:$K$9,速報_原データ!$I$6:$I$9,EDATE($A20,12),速報_原データ!$J$6:$J$9,F$3)/100),AVERAGE(F19,F21))))</f>
        <v>439.64</v>
      </c>
      <c r="G20" s="18" t="n">
        <f aca="false">IF(COUNTIFS(速報_原データ!$A$5:$A$200,$A20,速報_原データ!$B$5:$B$200,G$3)&gt;0,SUMIFS(速報_原データ!$C$5:$C$200,速報_原データ!$A$5:$A$200,$A20,速報_原データ!$B$5:$B$200,G$3)/100,IF(COUNTIFS(速報_原データ!$A$5:$A$200,EDATE($A20,12),速報_原データ!$B$5:$B$200,G$3)&gt;0,SUMIFS(速報_原データ!$C$5:$C$200,速報_原データ!$A$5:$A$200,EDATE($A20,12),速報_原データ!$B$5:$B$200,G$3)/100/(1+SUMIFS(速報_原データ!$D$5:$D$200,速報_原データ!$A$5:$A$200,EDATE($A20,12),速報_原データ!$B$5:$B$200,G$3)/100),IF(COUNTIFS(速報_原データ!$I$6:$I$9,EDATE($A20,12),速報_原データ!$J$6:$J$9,G$3)&gt;0,G32/(1+SUMIFS(速報_原データ!$K$6:$K$9,速報_原データ!$I$6:$I$9,EDATE($A20,12),速報_原データ!$J$6:$J$9,G$3)/100),AVERAGE(G19,G21))))</f>
        <v>87.83</v>
      </c>
      <c r="H20" s="18" t="n">
        <f aca="false">IF(COUNTIFS(速報_原データ!$A$5:$A$200,$A20,速報_原データ!$B$5:$B$200,H$3)&gt;0,SUMIFS(速報_原データ!$C$5:$C$200,速報_原データ!$A$5:$A$200,$A20,速報_原データ!$B$5:$B$200,H$3)/100,IF(COUNTIFS(速報_原データ!$A$5:$A$200,EDATE($A20,12),速報_原データ!$B$5:$B$200,H$3)&gt;0,SUMIFS(速報_原データ!$C$5:$C$200,速報_原データ!$A$5:$A$200,EDATE($A20,12),速報_原データ!$B$5:$B$200,H$3)/100/(1+SUMIFS(速報_原データ!$D$5:$D$200,速報_原データ!$A$5:$A$200,EDATE($A20,12),速報_原データ!$B$5:$B$200,H$3)/100),IF(COUNTIFS(速報_原データ!$I$6:$I$9,EDATE($A20,12),速報_原データ!$J$6:$J$9,H$3)&gt;0,H32/(1+SUMIFS(速報_原データ!$K$6:$K$9,速報_原データ!$I$6:$I$9,EDATE($A20,12),速報_原データ!$J$6:$J$9,H$3)/100),AVERAGE(H19,H21))))</f>
        <v>197.66</v>
      </c>
      <c r="I20" s="18" t="n">
        <f aca="false">B20-D20</f>
        <v>2046.86</v>
      </c>
      <c r="J20" s="18" t="n">
        <f aca="false">C20-D20-E20-H20</f>
        <v>793.96</v>
      </c>
      <c r="K20" s="2" t="s">
        <v>237</v>
      </c>
    </row>
    <row r="21" customFormat="false" ht="15" hidden="false" customHeight="false" outlineLevel="0" collapsed="false">
      <c r="A21" s="12" t="n">
        <v>45505</v>
      </c>
      <c r="B21" s="18" t="n">
        <f aca="false">IF(COUNTIFS(速報_原データ!$A$5:$A$200,$A21,速報_原データ!$B$5:$B$200,B$3)&gt;0,SUMIFS(速報_原データ!$C$5:$C$200,速報_原データ!$A$5:$A$200,$A21,速報_原データ!$B$5:$B$200,B$3)/100,IF(COUNTIFS(速報_原データ!$A$5:$A$200,EDATE($A21,12),速報_原データ!$B$5:$B$200,B$3)&gt;0,SUMIFS(速報_原データ!$C$5:$C$200,速報_原データ!$A$5:$A$200,EDATE($A21,12),速報_原データ!$B$5:$B$200,B$3)/100/(1+SUMIFS(速報_原データ!$D$5:$D$200,速報_原データ!$A$5:$A$200,EDATE($A21,12),速報_原データ!$B$5:$B$200,B$3)/100),IF(COUNTIFS(速報_原データ!$I$6:$I$9,EDATE($A21,12),速報_原データ!$J$6:$J$9,B$3)&gt;0,B33/(1+SUMIFS(速報_原データ!$K$6:$K$9,速報_原データ!$I$6:$I$9,EDATE($A21,12),速報_原データ!$J$6:$J$9,B$3)/100),AVERAGE(B20,B22))))</f>
        <v>3429.24</v>
      </c>
      <c r="C21" s="18" t="n">
        <f aca="false">IF(COUNTIFS(速報_原データ!$A$5:$A$200,$A21,速報_原データ!$B$5:$B$200,C$3)&gt;0,SUMIFS(速報_原データ!$C$5:$C$200,速報_原データ!$A$5:$A$200,$A21,速報_原データ!$B$5:$B$200,C$3)/100,IF(COUNTIFS(速報_原データ!$A$5:$A$200,EDATE($A21,12),速報_原データ!$B$5:$B$200,C$3)&gt;0,SUMIFS(速報_原データ!$C$5:$C$200,速報_原データ!$A$5:$A$200,EDATE($A21,12),速報_原データ!$B$5:$B$200,C$3)/100/(1+SUMIFS(速報_原データ!$D$5:$D$200,速報_原データ!$A$5:$A$200,EDATE($A21,12),速報_原データ!$B$5:$B$200,C$3)/100),IF(COUNTIFS(速報_原データ!$I$6:$I$9,EDATE($A21,12),速報_原データ!$J$6:$J$9,C$3)&gt;0,C33/(1+SUMIFS(速報_原データ!$K$6:$K$9,速報_原データ!$I$6:$I$9,EDATE($A21,12),速報_原データ!$J$6:$J$9,C$3)/100),AVERAGE(C20,C22))))</f>
        <v>2930.75</v>
      </c>
      <c r="D21" s="18" t="n">
        <f aca="false">IF(COUNTIFS(速報_原データ!$A$5:$A$200,$A21,速報_原データ!$B$5:$B$200,D$3)&gt;0,SUMIFS(速報_原データ!$C$5:$C$200,速報_原データ!$A$5:$A$200,$A21,速報_原データ!$B$5:$B$200,D$3)/100,IF(COUNTIFS(速報_原データ!$A$5:$A$200,EDATE($A21,12),速報_原データ!$B$5:$B$200,D$3)&gt;0,SUMIFS(速報_原データ!$C$5:$C$200,速報_原データ!$A$5:$A$200,EDATE($A21,12),速報_原データ!$B$5:$B$200,D$3)/100/(1+SUMIFS(速報_原データ!$D$5:$D$200,速報_原データ!$A$5:$A$200,EDATE($A21,12),速報_原データ!$B$5:$B$200,D$3)/100),IF(COUNTIFS(速報_原データ!$I$6:$I$9,EDATE($A21,12),速報_原データ!$J$6:$J$9,D$3)&gt;0,D33/(1+SUMIFS(速報_原データ!$K$6:$K$9,速報_原データ!$I$6:$I$9,EDATE($A21,12),速報_原データ!$J$6:$J$9,D$3)/100),AVERAGE(D20,D22))))</f>
        <v>1799.27</v>
      </c>
      <c r="E21" s="18" t="n">
        <f aca="false">IF(COUNTIFS(速報_原データ!$A$5:$A$200,$A21,速報_原データ!$B$5:$B$200,E$3)&gt;0,SUMIFS(速報_原データ!$C$5:$C$200,速報_原データ!$A$5:$A$200,$A21,速報_原データ!$B$5:$B$200,E$3)/100,IF(COUNTIFS(速報_原データ!$A$5:$A$200,EDATE($A21,12),速報_原データ!$B$5:$B$200,E$3)&gt;0,SUMIFS(速報_原データ!$C$5:$C$200,速報_原データ!$A$5:$A$200,EDATE($A21,12),速報_原データ!$B$5:$B$200,E$3)/100/(1+SUMIFS(速報_原データ!$D$5:$D$200,速報_原データ!$A$5:$A$200,EDATE($A21,12),速報_原データ!$B$5:$B$200,E$3)/100),IF(COUNTIFS(速報_原データ!$I$6:$I$9,EDATE($A21,12),速報_原データ!$J$6:$J$9,E$3)&gt;0,E33/(1+SUMIFS(速報_原データ!$K$6:$K$9,速報_原データ!$I$6:$I$9,EDATE($A21,12),速報_原データ!$J$6:$J$9,E$3)/100),AVERAGE(E20,E22))))</f>
        <v>448.78</v>
      </c>
      <c r="F21" s="18" t="n">
        <f aca="false">IF(COUNTIFS(速報_原データ!$A$5:$A$200,$A21,速報_原データ!$B$5:$B$200,F$3)&gt;0,SUMIFS(速報_原データ!$C$5:$C$200,速報_原データ!$A$5:$A$200,$A21,速報_原データ!$B$5:$B$200,F$3)/100,IF(COUNTIFS(速報_原データ!$A$5:$A$200,EDATE($A21,12),速報_原データ!$B$5:$B$200,F$3)&gt;0,SUMIFS(速報_原データ!$C$5:$C$200,速報_原データ!$A$5:$A$200,EDATE($A21,12),速報_原データ!$B$5:$B$200,F$3)/100/(1+SUMIFS(速報_原データ!$D$5:$D$200,速報_原データ!$A$5:$A$200,EDATE($A21,12),速報_原データ!$B$5:$B$200,F$3)/100),IF(COUNTIFS(速報_原データ!$I$6:$I$9,EDATE($A21,12),速報_原データ!$J$6:$J$9,F$3)&gt;0,F33/(1+SUMIFS(速報_原データ!$K$6:$K$9,速報_原データ!$I$6:$I$9,EDATE($A21,12),速報_原データ!$J$6:$J$9,F$3)/100),AVERAGE(F20,F22))))</f>
        <v>373.17</v>
      </c>
      <c r="G21" s="18" t="n">
        <f aca="false">IF(COUNTIFS(速報_原データ!$A$5:$A$200,$A21,速報_原データ!$B$5:$B$200,G$3)&gt;0,SUMIFS(速報_原データ!$C$5:$C$200,速報_原データ!$A$5:$A$200,$A21,速報_原データ!$B$5:$B$200,G$3)/100,IF(COUNTIFS(速報_原データ!$A$5:$A$200,EDATE($A21,12),速報_原データ!$B$5:$B$200,G$3)&gt;0,SUMIFS(速報_原データ!$C$5:$C$200,速報_原データ!$A$5:$A$200,EDATE($A21,12),速報_原データ!$B$5:$B$200,G$3)/100/(1+SUMIFS(速報_原データ!$D$5:$D$200,速報_原データ!$A$5:$A$200,EDATE($A21,12),速報_原データ!$B$5:$B$200,G$3)/100),IF(COUNTIFS(速報_原データ!$I$6:$I$9,EDATE($A21,12),速報_原データ!$J$6:$J$9,G$3)&gt;0,G33/(1+SUMIFS(速報_原データ!$K$6:$K$9,速報_原データ!$I$6:$I$9,EDATE($A21,12),速報_原データ!$J$6:$J$9,G$3)/100),AVERAGE(G20,G22))))</f>
        <v>116.18</v>
      </c>
      <c r="H21" s="18" t="n">
        <f aca="false">IF(COUNTIFS(速報_原データ!$A$5:$A$200,$A21,速報_原データ!$B$5:$B$200,H$3)&gt;0,SUMIFS(速報_原データ!$C$5:$C$200,速報_原データ!$A$5:$A$200,$A21,速報_原データ!$B$5:$B$200,H$3)/100,IF(COUNTIFS(速報_原データ!$A$5:$A$200,EDATE($A21,12),速報_原データ!$B$5:$B$200,H$3)&gt;0,SUMIFS(速報_原データ!$C$5:$C$200,速報_原データ!$A$5:$A$200,EDATE($A21,12),速報_原データ!$B$5:$B$200,H$3)/100/(1+SUMIFS(速報_原データ!$D$5:$D$200,速報_原データ!$A$5:$A$200,EDATE($A21,12),速報_原データ!$B$5:$B$200,H$3)/100),IF(COUNTIFS(速報_原データ!$I$6:$I$9,EDATE($A21,12),速報_原データ!$J$6:$J$9,H$3)&gt;0,H33/(1+SUMIFS(速報_原データ!$K$6:$K$9,速報_原データ!$I$6:$I$9,EDATE($A21,12),速報_原データ!$J$6:$J$9,H$3)/100),AVERAGE(H20,H22))))</f>
        <v>208.7</v>
      </c>
      <c r="I21" s="18" t="n">
        <f aca="false">B21-D21</f>
        <v>1629.97</v>
      </c>
      <c r="J21" s="18" t="n">
        <f aca="false">C21-D21-E21-H21</f>
        <v>474</v>
      </c>
      <c r="K21" s="2" t="s">
        <v>237</v>
      </c>
    </row>
    <row r="22" customFormat="false" ht="15" hidden="false" customHeight="false" outlineLevel="0" collapsed="false">
      <c r="A22" s="12" t="n">
        <v>45536</v>
      </c>
      <c r="B22" s="18" t="n">
        <f aca="false">IF(COUNTIFS(速報_原データ!$A$5:$A$200,$A22,速報_原データ!$B$5:$B$200,B$3)&gt;0,SUMIFS(速報_原データ!$C$5:$C$200,速報_原データ!$A$5:$A$200,$A22,速報_原データ!$B$5:$B$200,B$3)/100,IF(COUNTIFS(速報_原データ!$A$5:$A$200,EDATE($A22,12),速報_原データ!$B$5:$B$200,B$3)&gt;0,SUMIFS(速報_原データ!$C$5:$C$200,速報_原データ!$A$5:$A$200,EDATE($A22,12),速報_原データ!$B$5:$B$200,B$3)/100/(1+SUMIFS(速報_原データ!$D$5:$D$200,速報_原データ!$A$5:$A$200,EDATE($A22,12),速報_原データ!$B$5:$B$200,B$3)/100),IF(COUNTIFS(速報_原データ!$I$6:$I$9,EDATE($A22,12),速報_原データ!$J$6:$J$9,B$3)&gt;0,B34/(1+SUMIFS(速報_原データ!$K$6:$K$9,速報_原データ!$I$6:$I$9,EDATE($A22,12),速報_原データ!$J$6:$J$9,B$3)/100),AVERAGE(B21,B23))))</f>
        <v>3970.27</v>
      </c>
      <c r="C22" s="18" t="n">
        <f aca="false">IF(COUNTIFS(速報_原データ!$A$5:$A$200,$A22,速報_原データ!$B$5:$B$200,C$3)&gt;0,SUMIFS(速報_原データ!$C$5:$C$200,速報_原データ!$A$5:$A$200,$A22,速報_原データ!$B$5:$B$200,C$3)/100,IF(COUNTIFS(速報_原データ!$A$5:$A$200,EDATE($A22,12),速報_原データ!$B$5:$B$200,C$3)&gt;0,SUMIFS(速報_原データ!$C$5:$C$200,速報_原データ!$A$5:$A$200,EDATE($A22,12),速報_原データ!$B$5:$B$200,C$3)/100/(1+SUMIFS(速報_原データ!$D$5:$D$200,速報_原データ!$A$5:$A$200,EDATE($A22,12),速報_原データ!$B$5:$B$200,C$3)/100),IF(COUNTIFS(速報_原データ!$I$6:$I$9,EDATE($A22,12),速報_原データ!$J$6:$J$9,C$3)&gt;0,C34/(1+SUMIFS(速報_原データ!$K$6:$K$9,速報_原データ!$I$6:$I$9,EDATE($A22,12),速報_原データ!$J$6:$J$9,C$3)/100),AVERAGE(C21,C23))))</f>
        <v>3272.48</v>
      </c>
      <c r="D22" s="18" t="n">
        <f aca="false">IF(COUNTIFS(速報_原データ!$A$5:$A$200,$A22,速報_原データ!$B$5:$B$200,D$3)&gt;0,SUMIFS(速報_原データ!$C$5:$C$200,速報_原データ!$A$5:$A$200,$A22,速報_原データ!$B$5:$B$200,D$3)/100,IF(COUNTIFS(速報_原データ!$A$5:$A$200,EDATE($A22,12),速報_原データ!$B$5:$B$200,D$3)&gt;0,SUMIFS(速報_原データ!$C$5:$C$200,速報_原データ!$A$5:$A$200,EDATE($A22,12),速報_原データ!$B$5:$B$200,D$3)/100/(1+SUMIFS(速報_原データ!$D$5:$D$200,速報_原データ!$A$5:$A$200,EDATE($A22,12),速報_原データ!$B$5:$B$200,D$3)/100),IF(COUNTIFS(速報_原データ!$I$6:$I$9,EDATE($A22,12),速報_原データ!$J$6:$J$9,D$3)&gt;0,D34/(1+SUMIFS(速報_原データ!$K$6:$K$9,速報_原データ!$I$6:$I$9,EDATE($A22,12),速報_原データ!$J$6:$J$9,D$3)/100),AVERAGE(D21,D23))))</f>
        <v>1946.71</v>
      </c>
      <c r="E22" s="18" t="n">
        <f aca="false">IF(COUNTIFS(速報_原データ!$A$5:$A$200,$A22,速報_原データ!$B$5:$B$200,E$3)&gt;0,SUMIFS(速報_原データ!$C$5:$C$200,速報_原データ!$A$5:$A$200,$A22,速報_原データ!$B$5:$B$200,E$3)/100,IF(COUNTIFS(速報_原データ!$A$5:$A$200,EDATE($A22,12),速報_原データ!$B$5:$B$200,E$3)&gt;0,SUMIFS(速報_原データ!$C$5:$C$200,速報_原データ!$A$5:$A$200,EDATE($A22,12),速報_原データ!$B$5:$B$200,E$3)/100/(1+SUMIFS(速報_原データ!$D$5:$D$200,速報_原データ!$A$5:$A$200,EDATE($A22,12),速報_原データ!$B$5:$B$200,E$3)/100),IF(COUNTIFS(速報_原データ!$I$6:$I$9,EDATE($A22,12),速報_原データ!$J$6:$J$9,E$3)&gt;0,E34/(1+SUMIFS(速報_原データ!$K$6:$K$9,速報_原データ!$I$6:$I$9,EDATE($A22,12),速報_原データ!$J$6:$J$9,E$3)/100),AVERAGE(E21,E23))))</f>
        <v>480.86</v>
      </c>
      <c r="F22" s="18" t="n">
        <f aca="false">IF(COUNTIFS(速報_原データ!$A$5:$A$200,$A22,速報_原データ!$B$5:$B$200,F$3)&gt;0,SUMIFS(速報_原データ!$C$5:$C$200,速報_原データ!$A$5:$A$200,$A22,速報_原データ!$B$5:$B$200,F$3)/100,IF(COUNTIFS(速報_原データ!$A$5:$A$200,EDATE($A22,12),速報_原データ!$B$5:$B$200,F$3)&gt;0,SUMIFS(速報_原データ!$C$5:$C$200,速報_原データ!$A$5:$A$200,EDATE($A22,12),速報_原データ!$B$5:$B$200,F$3)/100/(1+SUMIFS(速報_原データ!$D$5:$D$200,速報_原データ!$A$5:$A$200,EDATE($A22,12),速報_原データ!$B$5:$B$200,F$3)/100),IF(COUNTIFS(速報_原データ!$I$6:$I$9,EDATE($A22,12),速報_原データ!$J$6:$J$9,F$3)&gt;0,F34/(1+SUMIFS(速報_原データ!$K$6:$K$9,速報_原データ!$I$6:$I$9,EDATE($A22,12),速報_原データ!$J$6:$J$9,F$3)/100),AVERAGE(F21,F23))))</f>
        <v>584.2</v>
      </c>
      <c r="G22" s="18" t="n">
        <f aca="false">IF(COUNTIFS(速報_原データ!$A$5:$A$200,$A22,速報_原データ!$B$5:$B$200,G$3)&gt;0,SUMIFS(速報_原データ!$C$5:$C$200,速報_原データ!$A$5:$A$200,$A22,速報_原データ!$B$5:$B$200,G$3)/100,IF(COUNTIFS(速報_原データ!$A$5:$A$200,EDATE($A22,12),速報_原データ!$B$5:$B$200,G$3)&gt;0,SUMIFS(速報_原データ!$C$5:$C$200,速報_原データ!$A$5:$A$200,EDATE($A22,12),速報_原データ!$B$5:$B$200,G$3)/100/(1+SUMIFS(速報_原データ!$D$5:$D$200,速報_原データ!$A$5:$A$200,EDATE($A22,12),速報_原データ!$B$5:$B$200,G$3)/100),IF(COUNTIFS(速報_原データ!$I$6:$I$9,EDATE($A22,12),速報_原データ!$J$6:$J$9,G$3)&gt;0,G34/(1+SUMIFS(速報_原データ!$K$6:$K$9,速報_原データ!$I$6:$I$9,EDATE($A22,12),速報_原データ!$J$6:$J$9,G$3)/100),AVERAGE(G21,G23))))</f>
        <v>101.66</v>
      </c>
      <c r="H22" s="18" t="n">
        <f aca="false">IF(COUNTIFS(速報_原データ!$A$5:$A$200,$A22,速報_原データ!$B$5:$B$200,H$3)&gt;0,SUMIFS(速報_原データ!$C$5:$C$200,速報_原データ!$A$5:$A$200,$A22,速報_原データ!$B$5:$B$200,H$3)/100,IF(COUNTIFS(速報_原データ!$A$5:$A$200,EDATE($A22,12),速報_原データ!$B$5:$B$200,H$3)&gt;0,SUMIFS(速報_原データ!$C$5:$C$200,速報_原データ!$A$5:$A$200,EDATE($A22,12),速報_原データ!$B$5:$B$200,H$3)/100/(1+SUMIFS(速報_原データ!$D$5:$D$200,速報_原データ!$A$5:$A$200,EDATE($A22,12),速報_原データ!$B$5:$B$200,H$3)/100),IF(COUNTIFS(速報_原データ!$I$6:$I$9,EDATE($A22,12),速報_原データ!$J$6:$J$9,H$3)&gt;0,H34/(1+SUMIFS(速報_原データ!$K$6:$K$9,速報_原データ!$I$6:$I$9,EDATE($A22,12),速報_原データ!$J$6:$J$9,H$3)/100),AVERAGE(H21,H23))))</f>
        <v>275.4</v>
      </c>
      <c r="I22" s="18" t="n">
        <f aca="false">B22-D22</f>
        <v>2023.56</v>
      </c>
      <c r="J22" s="18" t="n">
        <f aca="false">C22-D22-E22-H22</f>
        <v>569.51</v>
      </c>
      <c r="K22" s="2" t="s">
        <v>237</v>
      </c>
    </row>
    <row r="23" customFormat="false" ht="15" hidden="false" customHeight="false" outlineLevel="0" collapsed="false">
      <c r="A23" s="12" t="n">
        <v>45566</v>
      </c>
      <c r="B23" s="18" t="n">
        <f aca="false">IF(COUNTIFS(速報_原データ!$A$5:$A$200,$A23,速報_原データ!$B$5:$B$200,B$3)&gt;0,SUMIFS(速報_原データ!$C$5:$C$200,速報_原データ!$A$5:$A$200,$A23,速報_原データ!$B$5:$B$200,B$3)/100,IF(COUNTIFS(速報_原データ!$A$5:$A$200,EDATE($A23,12),速報_原データ!$B$5:$B$200,B$3)&gt;0,SUMIFS(速報_原データ!$C$5:$C$200,速報_原データ!$A$5:$A$200,EDATE($A23,12),速報_原データ!$B$5:$B$200,B$3)/100/(1+SUMIFS(速報_原データ!$D$5:$D$200,速報_原データ!$A$5:$A$200,EDATE($A23,12),速報_原データ!$B$5:$B$200,B$3)/100),IF(COUNTIFS(速報_原データ!$I$6:$I$9,EDATE($A23,12),速報_原データ!$J$6:$J$9,B$3)&gt;0,B35/(1+SUMIFS(速報_原データ!$K$6:$K$9,速報_原データ!$I$6:$I$9,EDATE($A23,12),速報_原データ!$J$6:$J$9,B$3)/100),AVERAGE(B22,B24))))</f>
        <v>4075.98</v>
      </c>
      <c r="C23" s="18" t="n">
        <f aca="false">IF(COUNTIFS(速報_原データ!$A$5:$A$200,$A23,速報_原データ!$B$5:$B$200,C$3)&gt;0,SUMIFS(速報_原データ!$C$5:$C$200,速報_原データ!$A$5:$A$200,$A23,速報_原データ!$B$5:$B$200,C$3)/100,IF(COUNTIFS(速報_原データ!$A$5:$A$200,EDATE($A23,12),速報_原データ!$B$5:$B$200,C$3)&gt;0,SUMIFS(速報_原データ!$C$5:$C$200,速報_原データ!$A$5:$A$200,EDATE($A23,12),速報_原データ!$B$5:$B$200,C$3)/100/(1+SUMIFS(速報_原データ!$D$5:$D$200,速報_原データ!$A$5:$A$200,EDATE($A23,12),速報_原データ!$B$5:$B$200,C$3)/100),IF(COUNTIFS(速報_原データ!$I$6:$I$9,EDATE($A23,12),速報_原データ!$J$6:$J$9,C$3)&gt;0,C35/(1+SUMIFS(速報_原データ!$K$6:$K$9,速報_原データ!$I$6:$I$9,EDATE($A23,12),速報_原データ!$J$6:$J$9,C$3)/100),AVERAGE(C22,C24))))</f>
        <v>3359.17</v>
      </c>
      <c r="D23" s="18" t="n">
        <f aca="false">IF(COUNTIFS(速報_原データ!$A$5:$A$200,$A23,速報_原データ!$B$5:$B$200,D$3)&gt;0,SUMIFS(速報_原データ!$C$5:$C$200,速報_原データ!$A$5:$A$200,$A23,速報_原データ!$B$5:$B$200,D$3)/100,IF(COUNTIFS(速報_原データ!$A$5:$A$200,EDATE($A23,12),速報_原データ!$B$5:$B$200,D$3)&gt;0,SUMIFS(速報_原データ!$C$5:$C$200,速報_原データ!$A$5:$A$200,EDATE($A23,12),速報_原データ!$B$5:$B$200,D$3)/100/(1+SUMIFS(速報_原データ!$D$5:$D$200,速報_原データ!$A$5:$A$200,EDATE($A23,12),速報_原データ!$B$5:$B$200,D$3)/100),IF(COUNTIFS(速報_原データ!$I$6:$I$9,EDATE($A23,12),速報_原データ!$J$6:$J$9,D$3)&gt;0,D35/(1+SUMIFS(速報_原データ!$K$6:$K$9,速報_原データ!$I$6:$I$9,EDATE($A23,12),速報_原データ!$J$6:$J$9,D$3)/100),AVERAGE(D22,D24))))</f>
        <v>1840.41</v>
      </c>
      <c r="E23" s="18" t="n">
        <f aca="false">IF(COUNTIFS(速報_原データ!$A$5:$A$200,$A23,速報_原データ!$B$5:$B$200,E$3)&gt;0,SUMIFS(速報_原データ!$C$5:$C$200,速報_原データ!$A$5:$A$200,$A23,速報_原データ!$B$5:$B$200,E$3)/100,IF(COUNTIFS(速報_原データ!$A$5:$A$200,EDATE($A23,12),速報_原データ!$B$5:$B$200,E$3)&gt;0,SUMIFS(速報_原データ!$C$5:$C$200,速報_原データ!$A$5:$A$200,EDATE($A23,12),速報_原データ!$B$5:$B$200,E$3)/100/(1+SUMIFS(速報_原データ!$D$5:$D$200,速報_原データ!$A$5:$A$200,EDATE($A23,12),速報_原データ!$B$5:$B$200,E$3)/100),IF(COUNTIFS(速報_原データ!$I$6:$I$9,EDATE($A23,12),速報_原データ!$J$6:$J$9,E$3)&gt;0,E35/(1+SUMIFS(速報_原データ!$K$6:$K$9,速報_原データ!$I$6:$I$9,EDATE($A23,12),速報_原データ!$J$6:$J$9,E$3)/100),AVERAGE(E22,E24))))</f>
        <v>627.55</v>
      </c>
      <c r="F23" s="18" t="n">
        <f aca="false">IF(COUNTIFS(速報_原データ!$A$5:$A$200,$A23,速報_原データ!$B$5:$B$200,F$3)&gt;0,SUMIFS(速報_原データ!$C$5:$C$200,速報_原データ!$A$5:$A$200,$A23,速報_原データ!$B$5:$B$200,F$3)/100,IF(COUNTIFS(速報_原データ!$A$5:$A$200,EDATE($A23,12),速報_原データ!$B$5:$B$200,F$3)&gt;0,SUMIFS(速報_原データ!$C$5:$C$200,速報_原データ!$A$5:$A$200,EDATE($A23,12),速報_原データ!$B$5:$B$200,F$3)/100/(1+SUMIFS(速報_原データ!$D$5:$D$200,速報_原データ!$A$5:$A$200,EDATE($A23,12),速報_原データ!$B$5:$B$200,F$3)/100),IF(COUNTIFS(速報_原データ!$I$6:$I$9,EDATE($A23,12),速報_原データ!$J$6:$J$9,F$3)&gt;0,F35/(1+SUMIFS(速報_原データ!$K$6:$K$9,速報_原データ!$I$6:$I$9,EDATE($A23,12),速報_原データ!$J$6:$J$9,F$3)/100),AVERAGE(F22,F24))))</f>
        <v>575.84</v>
      </c>
      <c r="G23" s="18" t="n">
        <f aca="false">IF(COUNTIFS(速報_原データ!$A$5:$A$200,$A23,速報_原データ!$B$5:$B$200,G$3)&gt;0,SUMIFS(速報_原データ!$C$5:$C$200,速報_原データ!$A$5:$A$200,$A23,速報_原データ!$B$5:$B$200,G$3)/100,IF(COUNTIFS(速報_原データ!$A$5:$A$200,EDATE($A23,12),速報_原データ!$B$5:$B$200,G$3)&gt;0,SUMIFS(速報_原データ!$C$5:$C$200,速報_原データ!$A$5:$A$200,EDATE($A23,12),速報_原データ!$B$5:$B$200,G$3)/100/(1+SUMIFS(速報_原データ!$D$5:$D$200,速報_原データ!$A$5:$A$200,EDATE($A23,12),速報_原データ!$B$5:$B$200,G$3)/100),IF(COUNTIFS(速報_原データ!$I$6:$I$9,EDATE($A23,12),速報_原データ!$J$6:$J$9,G$3)&gt;0,G35/(1+SUMIFS(速報_原データ!$K$6:$K$9,速報_原データ!$I$6:$I$9,EDATE($A23,12),速報_原データ!$J$6:$J$9,G$3)/100),AVERAGE(G22,G24))))</f>
        <v>131.81</v>
      </c>
      <c r="H23" s="18" t="n">
        <f aca="false">IF(COUNTIFS(速報_原データ!$A$5:$A$200,$A23,速報_原データ!$B$5:$B$200,H$3)&gt;0,SUMIFS(速報_原データ!$C$5:$C$200,速報_原データ!$A$5:$A$200,$A23,速報_原データ!$B$5:$B$200,H$3)/100,IF(COUNTIFS(速報_原データ!$A$5:$A$200,EDATE($A23,12),速報_原データ!$B$5:$B$200,H$3)&gt;0,SUMIFS(速報_原データ!$C$5:$C$200,速報_原データ!$A$5:$A$200,EDATE($A23,12),速報_原データ!$B$5:$B$200,H$3)/100/(1+SUMIFS(速報_原データ!$D$5:$D$200,速報_原データ!$A$5:$A$200,EDATE($A23,12),速報_原データ!$B$5:$B$200,H$3)/100),IF(COUNTIFS(速報_原データ!$I$6:$I$9,EDATE($A23,12),速報_原データ!$J$6:$J$9,H$3)&gt;0,H35/(1+SUMIFS(速報_原データ!$K$6:$K$9,速報_原データ!$I$6:$I$9,EDATE($A23,12),速報_原データ!$J$6:$J$9,H$3)/100),AVERAGE(H22,H24))))</f>
        <v>314.88</v>
      </c>
      <c r="I23" s="18" t="n">
        <f aca="false">B23-D23</f>
        <v>2235.57</v>
      </c>
      <c r="J23" s="18" t="n">
        <f aca="false">C23-D23-E23-H23</f>
        <v>576.33</v>
      </c>
      <c r="K23" s="2" t="s">
        <v>237</v>
      </c>
    </row>
    <row r="24" customFormat="false" ht="15" hidden="false" customHeight="false" outlineLevel="0" collapsed="false">
      <c r="A24" s="12" t="n">
        <v>45597</v>
      </c>
      <c r="B24" s="18" t="n">
        <f aca="false">IF(COUNTIFS(速報_原データ!$A$5:$A$200,$A24,速報_原データ!$B$5:$B$200,B$3)&gt;0,SUMIFS(速報_原データ!$C$5:$C$200,速報_原データ!$A$5:$A$200,$A24,速報_原データ!$B$5:$B$200,B$3)/100,IF(COUNTIFS(速報_原データ!$A$5:$A$200,EDATE($A24,12),速報_原データ!$B$5:$B$200,B$3)&gt;0,SUMIFS(速報_原データ!$C$5:$C$200,速報_原データ!$A$5:$A$200,EDATE($A24,12),速報_原データ!$B$5:$B$200,B$3)/100/(1+SUMIFS(速報_原データ!$D$5:$D$200,速報_原データ!$A$5:$A$200,EDATE($A24,12),速報_原データ!$B$5:$B$200,B$3)/100),IF(COUNTIFS(速報_原データ!$I$6:$I$9,EDATE($A24,12),速報_原データ!$J$6:$J$9,B$3)&gt;0,B36/(1+SUMIFS(速報_原データ!$K$6:$K$9,速報_原データ!$I$6:$I$9,EDATE($A24,12),速報_原データ!$J$6:$J$9,B$3)/100),AVERAGE(B23,B25))))</f>
        <v>3743.6</v>
      </c>
      <c r="C24" s="18" t="n">
        <f aca="false">IF(COUNTIFS(速報_原データ!$A$5:$A$200,$A24,速報_原データ!$B$5:$B$200,C$3)&gt;0,SUMIFS(速報_原データ!$C$5:$C$200,速報_原データ!$A$5:$A$200,$A24,速報_原データ!$B$5:$B$200,C$3)/100,IF(COUNTIFS(速報_原データ!$A$5:$A$200,EDATE($A24,12),速報_原データ!$B$5:$B$200,C$3)&gt;0,SUMIFS(速報_原データ!$C$5:$C$200,速報_原データ!$A$5:$A$200,EDATE($A24,12),速報_原データ!$B$5:$B$200,C$3)/100/(1+SUMIFS(速報_原データ!$D$5:$D$200,速報_原データ!$A$5:$A$200,EDATE($A24,12),速報_原データ!$B$5:$B$200,C$3)/100),IF(COUNTIFS(速報_原データ!$I$6:$I$9,EDATE($A24,12),速報_原データ!$J$6:$J$9,C$3)&gt;0,C36/(1+SUMIFS(速報_原データ!$K$6:$K$9,速報_原データ!$I$6:$I$9,EDATE($A24,12),速報_原データ!$J$6:$J$9,C$3)/100),AVERAGE(C23,C25))))</f>
        <v>3220.03</v>
      </c>
      <c r="D24" s="18" t="n">
        <f aca="false">IF(COUNTIFS(速報_原データ!$A$5:$A$200,$A24,速報_原データ!$B$5:$B$200,D$3)&gt;0,SUMIFS(速報_原データ!$C$5:$C$200,速報_原データ!$A$5:$A$200,$A24,速報_原データ!$B$5:$B$200,D$3)/100,IF(COUNTIFS(速報_原データ!$A$5:$A$200,EDATE($A24,12),速報_原データ!$B$5:$B$200,D$3)&gt;0,SUMIFS(速報_原データ!$C$5:$C$200,速報_原データ!$A$5:$A$200,EDATE($A24,12),速報_原データ!$B$5:$B$200,D$3)/100/(1+SUMIFS(速報_原データ!$D$5:$D$200,速報_原データ!$A$5:$A$200,EDATE($A24,12),速報_原データ!$B$5:$B$200,D$3)/100),IF(COUNTIFS(速報_原データ!$I$6:$I$9,EDATE($A24,12),速報_原データ!$J$6:$J$9,D$3)&gt;0,D36/(1+SUMIFS(速報_原データ!$K$6:$K$9,速報_原データ!$I$6:$I$9,EDATE($A24,12),速報_原データ!$J$6:$J$9,D$3)/100),AVERAGE(D23,D25))))</f>
        <v>1641.34</v>
      </c>
      <c r="E24" s="18" t="n">
        <f aca="false">IF(COUNTIFS(速報_原データ!$A$5:$A$200,$A24,速報_原データ!$B$5:$B$200,E$3)&gt;0,SUMIFS(速報_原データ!$C$5:$C$200,速報_原データ!$A$5:$A$200,$A24,速報_原データ!$B$5:$B$200,E$3)/100,IF(COUNTIFS(速報_原データ!$A$5:$A$200,EDATE($A24,12),速報_原データ!$B$5:$B$200,E$3)&gt;0,SUMIFS(速報_原データ!$C$5:$C$200,速報_原データ!$A$5:$A$200,EDATE($A24,12),速報_原データ!$B$5:$B$200,E$3)/100/(1+SUMIFS(速報_原データ!$D$5:$D$200,速報_原データ!$A$5:$A$200,EDATE($A24,12),速報_原データ!$B$5:$B$200,E$3)/100),IF(COUNTIFS(速報_原データ!$I$6:$I$9,EDATE($A24,12),速報_原データ!$J$6:$J$9,E$3)&gt;0,E36/(1+SUMIFS(速報_原データ!$K$6:$K$9,速報_原データ!$I$6:$I$9,EDATE($A24,12),速報_原データ!$J$6:$J$9,E$3)/100),AVERAGE(E23,E25))))</f>
        <v>556.48</v>
      </c>
      <c r="F24" s="18" t="n">
        <f aca="false">IF(COUNTIFS(速報_原データ!$A$5:$A$200,$A24,速報_原データ!$B$5:$B$200,F$3)&gt;0,SUMIFS(速報_原データ!$C$5:$C$200,速報_原データ!$A$5:$A$200,$A24,速報_原データ!$B$5:$B$200,F$3)/100,IF(COUNTIFS(速報_原データ!$A$5:$A$200,EDATE($A24,12),速報_原データ!$B$5:$B$200,F$3)&gt;0,SUMIFS(速報_原データ!$C$5:$C$200,速報_原データ!$A$5:$A$200,EDATE($A24,12),速報_原データ!$B$5:$B$200,F$3)/100/(1+SUMIFS(速報_原データ!$D$5:$D$200,速報_原データ!$A$5:$A$200,EDATE($A24,12),速報_原データ!$B$5:$B$200,F$3)/100),IF(COUNTIFS(速報_原データ!$I$6:$I$9,EDATE($A24,12),速報_原データ!$J$6:$J$9,F$3)&gt;0,F36/(1+SUMIFS(速報_原データ!$K$6:$K$9,速報_原データ!$I$6:$I$9,EDATE($A24,12),速報_原データ!$J$6:$J$9,F$3)/100),AVERAGE(F23,F25))))</f>
        <v>420</v>
      </c>
      <c r="G24" s="18" t="n">
        <f aca="false">IF(COUNTIFS(速報_原データ!$A$5:$A$200,$A24,速報_原データ!$B$5:$B$200,G$3)&gt;0,SUMIFS(速報_原データ!$C$5:$C$200,速報_原データ!$A$5:$A$200,$A24,速報_原データ!$B$5:$B$200,G$3)/100,IF(COUNTIFS(速報_原データ!$A$5:$A$200,EDATE($A24,12),速報_原データ!$B$5:$B$200,G$3)&gt;0,SUMIFS(速報_原データ!$C$5:$C$200,速報_原データ!$A$5:$A$200,EDATE($A24,12),速報_原データ!$B$5:$B$200,G$3)/100/(1+SUMIFS(速報_原データ!$D$5:$D$200,速報_原データ!$A$5:$A$200,EDATE($A24,12),速報_原データ!$B$5:$B$200,G$3)/100),IF(COUNTIFS(速報_原データ!$I$6:$I$9,EDATE($A24,12),速報_原データ!$J$6:$J$9,G$3)&gt;0,G36/(1+SUMIFS(速報_原データ!$K$6:$K$9,速報_原データ!$I$6:$I$9,EDATE($A24,12),速報_原データ!$J$6:$J$9,G$3)/100),AVERAGE(G23,G25))))</f>
        <v>92.76</v>
      </c>
      <c r="H24" s="18" t="n">
        <f aca="false">IF(COUNTIFS(速報_原データ!$A$5:$A$200,$A24,速報_原データ!$B$5:$B$200,H$3)&gt;0,SUMIFS(速報_原データ!$C$5:$C$200,速報_原データ!$A$5:$A$200,$A24,速報_原データ!$B$5:$B$200,H$3)/100,IF(COUNTIFS(速報_原データ!$A$5:$A$200,EDATE($A24,12),速報_原データ!$B$5:$B$200,H$3)&gt;0,SUMIFS(速報_原データ!$C$5:$C$200,速報_原データ!$A$5:$A$200,EDATE($A24,12),速報_原データ!$B$5:$B$200,H$3)/100/(1+SUMIFS(速報_原データ!$D$5:$D$200,速報_原データ!$A$5:$A$200,EDATE($A24,12),速報_原データ!$B$5:$B$200,H$3)/100),IF(COUNTIFS(速報_原データ!$I$6:$I$9,EDATE($A24,12),速報_原データ!$J$6:$J$9,H$3)&gt;0,H36/(1+SUMIFS(速報_原データ!$K$6:$K$9,速報_原データ!$I$6:$I$9,EDATE($A24,12),速報_原データ!$J$6:$J$9,H$3)/100),AVERAGE(H23,H25))))</f>
        <v>211.86</v>
      </c>
      <c r="I24" s="18" t="n">
        <f aca="false">B24-D24</f>
        <v>2102.26</v>
      </c>
      <c r="J24" s="18" t="n">
        <f aca="false">C24-D24-E24-H24</f>
        <v>810.35</v>
      </c>
      <c r="K24" s="2" t="s">
        <v>237</v>
      </c>
    </row>
    <row r="25" customFormat="false" ht="15" hidden="false" customHeight="false" outlineLevel="0" collapsed="false">
      <c r="A25" s="12" t="n">
        <v>45627</v>
      </c>
      <c r="B25" s="18" t="n">
        <f aca="false">IF(COUNTIFS(速報_原データ!$A$5:$A$200,$A25,速報_原データ!$B$5:$B$200,B$3)&gt;0,SUMIFS(速報_原データ!$C$5:$C$200,速報_原データ!$A$5:$A$200,$A25,速報_原データ!$B$5:$B$200,B$3)/100,IF(COUNTIFS(速報_原データ!$A$5:$A$200,EDATE($A25,12),速報_原データ!$B$5:$B$200,B$3)&gt;0,SUMIFS(速報_原データ!$C$5:$C$200,速報_原データ!$A$5:$A$200,EDATE($A25,12),速報_原データ!$B$5:$B$200,B$3)/100/(1+SUMIFS(速報_原データ!$D$5:$D$200,速報_原データ!$A$5:$A$200,EDATE($A25,12),速報_原データ!$B$5:$B$200,B$3)/100),IF(COUNTIFS(速報_原データ!$I$6:$I$9,EDATE($A25,12),速報_原データ!$J$6:$J$9,B$3)&gt;0,B37/(1+SUMIFS(速報_原データ!$K$6:$K$9,速報_原データ!$I$6:$I$9,EDATE($A25,12),速報_原データ!$J$6:$J$9,B$3)/100),AVERAGE(B24,B26))))</f>
        <v>4502.61</v>
      </c>
      <c r="C25" s="18" t="n">
        <f aca="false">IF(COUNTIFS(速報_原データ!$A$5:$A$200,$A25,速報_原データ!$B$5:$B$200,C$3)&gt;0,SUMIFS(速報_原データ!$C$5:$C$200,速報_原データ!$A$5:$A$200,$A25,速報_原データ!$B$5:$B$200,C$3)/100,IF(COUNTIFS(速報_原データ!$A$5:$A$200,EDATE($A25,12),速報_原データ!$B$5:$B$200,C$3)&gt;0,SUMIFS(速報_原データ!$C$5:$C$200,速報_原データ!$A$5:$A$200,EDATE($A25,12),速報_原データ!$B$5:$B$200,C$3)/100/(1+SUMIFS(速報_原データ!$D$5:$D$200,速報_原データ!$A$5:$A$200,EDATE($A25,12),速報_原データ!$B$5:$B$200,C$3)/100),IF(COUNTIFS(速報_原データ!$I$6:$I$9,EDATE($A25,12),速報_原データ!$J$6:$J$9,C$3)&gt;0,C37/(1+SUMIFS(速報_原データ!$K$6:$K$9,速報_原データ!$I$6:$I$9,EDATE($A25,12),速報_原データ!$J$6:$J$9,C$3)/100),AVERAGE(C24,C26))))</f>
        <v>3928.32</v>
      </c>
      <c r="D25" s="18" t="n">
        <f aca="false">IF(COUNTIFS(速報_原データ!$A$5:$A$200,$A25,速報_原データ!$B$5:$B$200,D$3)&gt;0,SUMIFS(速報_原データ!$C$5:$C$200,速報_原データ!$A$5:$A$200,$A25,速報_原データ!$B$5:$B$200,D$3)/100,IF(COUNTIFS(速報_原データ!$A$5:$A$200,EDATE($A25,12),速報_原データ!$B$5:$B$200,D$3)&gt;0,SUMIFS(速報_原データ!$C$5:$C$200,速報_原データ!$A$5:$A$200,EDATE($A25,12),速報_原データ!$B$5:$B$200,D$3)/100/(1+SUMIFS(速報_原データ!$D$5:$D$200,速報_原データ!$A$5:$A$200,EDATE($A25,12),速報_原データ!$B$5:$B$200,D$3)/100),IF(COUNTIFS(速報_原データ!$I$6:$I$9,EDATE($A25,12),速報_原データ!$J$6:$J$9,D$3)&gt;0,D37/(1+SUMIFS(速報_原データ!$K$6:$K$9,速報_原データ!$I$6:$I$9,EDATE($A25,12),速報_原データ!$J$6:$J$9,D$3)/100),AVERAGE(D24,D26))))</f>
        <v>1992.84</v>
      </c>
      <c r="E25" s="18" t="n">
        <f aca="false">IF(COUNTIFS(速報_原データ!$A$5:$A$200,$A25,速報_原データ!$B$5:$B$200,E$3)&gt;0,SUMIFS(速報_原データ!$C$5:$C$200,速報_原データ!$A$5:$A$200,$A25,速報_原データ!$B$5:$B$200,E$3)/100,IF(COUNTIFS(速報_原データ!$A$5:$A$200,EDATE($A25,12),速報_原データ!$B$5:$B$200,E$3)&gt;0,SUMIFS(速報_原データ!$C$5:$C$200,速報_原データ!$A$5:$A$200,EDATE($A25,12),速報_原データ!$B$5:$B$200,E$3)/100/(1+SUMIFS(速報_原データ!$D$5:$D$200,速報_原データ!$A$5:$A$200,EDATE($A25,12),速報_原データ!$B$5:$B$200,E$3)/100),IF(COUNTIFS(速報_原データ!$I$6:$I$9,EDATE($A25,12),速報_原データ!$J$6:$J$9,E$3)&gt;0,E37/(1+SUMIFS(速報_原データ!$K$6:$K$9,速報_原データ!$I$6:$I$9,EDATE($A25,12),速報_原データ!$J$6:$J$9,E$3)/100),AVERAGE(E24,E26))))</f>
        <v>696.25</v>
      </c>
      <c r="F25" s="18" t="n">
        <f aca="false">IF(COUNTIFS(速報_原データ!$A$5:$A$200,$A25,速報_原データ!$B$5:$B$200,F$3)&gt;0,SUMIFS(速報_原データ!$C$5:$C$200,速報_原データ!$A$5:$A$200,$A25,速報_原データ!$B$5:$B$200,F$3)/100,IF(COUNTIFS(速報_原データ!$A$5:$A$200,EDATE($A25,12),速報_原データ!$B$5:$B$200,F$3)&gt;0,SUMIFS(速報_原データ!$C$5:$C$200,速報_原データ!$A$5:$A$200,EDATE($A25,12),速報_原データ!$B$5:$B$200,F$3)/100/(1+SUMIFS(速報_原データ!$D$5:$D$200,速報_原データ!$A$5:$A$200,EDATE($A25,12),速報_原データ!$B$5:$B$200,F$3)/100),IF(COUNTIFS(速報_原データ!$I$6:$I$9,EDATE($A25,12),速報_原データ!$J$6:$J$9,F$3)&gt;0,F37/(1+SUMIFS(速報_原データ!$K$6:$K$9,速報_原データ!$I$6:$I$9,EDATE($A25,12),速報_原データ!$J$6:$J$9,F$3)/100),AVERAGE(F24,F26))))</f>
        <v>416.59</v>
      </c>
      <c r="G25" s="18" t="n">
        <f aca="false">IF(COUNTIFS(速報_原データ!$A$5:$A$200,$A25,速報_原データ!$B$5:$B$200,G$3)&gt;0,SUMIFS(速報_原データ!$C$5:$C$200,速報_原データ!$A$5:$A$200,$A25,速報_原データ!$B$5:$B$200,G$3)/100,IF(COUNTIFS(速報_原データ!$A$5:$A$200,EDATE($A25,12),速報_原データ!$B$5:$B$200,G$3)&gt;0,SUMIFS(速報_原データ!$C$5:$C$200,速報_原データ!$A$5:$A$200,EDATE($A25,12),速報_原データ!$B$5:$B$200,G$3)/100/(1+SUMIFS(速報_原データ!$D$5:$D$200,速報_原データ!$A$5:$A$200,EDATE($A25,12),速報_原データ!$B$5:$B$200,G$3)/100),IF(COUNTIFS(速報_原データ!$I$6:$I$9,EDATE($A25,12),速報_原データ!$J$6:$J$9,G$3)&gt;0,G37/(1+SUMIFS(速報_原データ!$K$6:$K$9,速報_原データ!$I$6:$I$9,EDATE($A25,12),速報_原データ!$J$6:$J$9,G$3)/100),AVERAGE(G24,G26))))</f>
        <v>130.6</v>
      </c>
      <c r="H25" s="18" t="n">
        <f aca="false">IF(COUNTIFS(速報_原データ!$A$5:$A$200,$A25,速報_原データ!$B$5:$B$200,H$3)&gt;0,SUMIFS(速報_原データ!$C$5:$C$200,速報_原データ!$A$5:$A$200,$A25,速報_原データ!$B$5:$B$200,H$3)/100,IF(COUNTIFS(速報_原データ!$A$5:$A$200,EDATE($A25,12),速報_原データ!$B$5:$B$200,H$3)&gt;0,SUMIFS(速報_原データ!$C$5:$C$200,速報_原データ!$A$5:$A$200,EDATE($A25,12),速報_原データ!$B$5:$B$200,H$3)/100/(1+SUMIFS(速報_原データ!$D$5:$D$200,速報_原データ!$A$5:$A$200,EDATE($A25,12),速報_原データ!$B$5:$B$200,H$3)/100),IF(COUNTIFS(速報_原データ!$I$6:$I$9,EDATE($A25,12),速報_原データ!$J$6:$J$9,H$3)&gt;0,H37/(1+SUMIFS(速報_原データ!$K$6:$K$9,速報_原データ!$I$6:$I$9,EDATE($A25,12),速報_原データ!$J$6:$J$9,H$3)/100),AVERAGE(H24,H26))))</f>
        <v>270.8</v>
      </c>
      <c r="I25" s="18" t="n">
        <f aca="false">B25-D25</f>
        <v>2509.77</v>
      </c>
      <c r="J25" s="18" t="n">
        <f aca="false">C25-D25-E25-H25</f>
        <v>968.43</v>
      </c>
      <c r="K25" s="2" t="s">
        <v>237</v>
      </c>
    </row>
    <row r="26" customFormat="false" ht="15" hidden="false" customHeight="false" outlineLevel="0" collapsed="false">
      <c r="A26" s="12" t="n">
        <v>45658</v>
      </c>
      <c r="B26" s="18" t="n">
        <f aca="false">IF(COUNTIFS(速報_原データ!$A$5:$A$200,$A26,速報_原データ!$B$5:$B$200,B$3)&gt;0,SUMIFS(速報_原データ!$C$5:$C$200,速報_原データ!$A$5:$A$200,$A26,速報_原データ!$B$5:$B$200,B$3)/100,IF(COUNTIFS(速報_原データ!$A$5:$A$200,EDATE($A26,12),速報_原データ!$B$5:$B$200,B$3)&gt;0,SUMIFS(速報_原データ!$C$5:$C$200,速報_原データ!$A$5:$A$200,EDATE($A26,12),速報_原データ!$B$5:$B$200,B$3)/100/(1+SUMIFS(速報_原データ!$D$5:$D$200,速報_原データ!$A$5:$A$200,EDATE($A26,12),速報_原データ!$B$5:$B$200,B$3)/100),IF(COUNTIFS(速報_原データ!$I$6:$I$9,EDATE($A26,12),速報_原データ!$J$6:$J$9,B$3)&gt;0,B38/(1+SUMIFS(速報_原データ!$K$6:$K$9,速報_原データ!$I$6:$I$9,EDATE($A26,12),速報_原データ!$J$6:$J$9,B$3)/100),AVERAGE(B25,B27))))</f>
        <v>2879.3</v>
      </c>
      <c r="C26" s="18" t="n">
        <f aca="false">IF(COUNTIFS(速報_原データ!$A$5:$A$200,$A26,速報_原データ!$B$5:$B$200,C$3)&gt;0,SUMIFS(速報_原データ!$C$5:$C$200,速報_原データ!$A$5:$A$200,$A26,速報_原データ!$B$5:$B$200,C$3)/100,IF(COUNTIFS(速報_原データ!$A$5:$A$200,EDATE($A26,12),速報_原データ!$B$5:$B$200,C$3)&gt;0,SUMIFS(速報_原データ!$C$5:$C$200,速報_原データ!$A$5:$A$200,EDATE($A26,12),速報_原データ!$B$5:$B$200,C$3)/100/(1+SUMIFS(速報_原データ!$D$5:$D$200,速報_原データ!$A$5:$A$200,EDATE($A26,12),速報_原データ!$B$5:$B$200,C$3)/100),IF(COUNTIFS(速報_原データ!$I$6:$I$9,EDATE($A26,12),速報_原データ!$J$6:$J$9,C$3)&gt;0,C38/(1+SUMIFS(速報_原データ!$K$6:$K$9,速報_原データ!$I$6:$I$9,EDATE($A26,12),速報_原データ!$J$6:$J$9,C$3)/100),AVERAGE(C25,C27))))</f>
        <v>2490.6</v>
      </c>
      <c r="D26" s="18" t="n">
        <f aca="false">IF(COUNTIFS(速報_原データ!$A$5:$A$200,$A26,速報_原データ!$B$5:$B$200,D$3)&gt;0,SUMIFS(速報_原データ!$C$5:$C$200,速報_原データ!$A$5:$A$200,$A26,速報_原データ!$B$5:$B$200,D$3)/100,IF(COUNTIFS(速報_原データ!$A$5:$A$200,EDATE($A26,12),速報_原データ!$B$5:$B$200,D$3)&gt;0,SUMIFS(速報_原データ!$C$5:$C$200,速報_原データ!$A$5:$A$200,EDATE($A26,12),速報_原データ!$B$5:$B$200,D$3)/100/(1+SUMIFS(速報_原データ!$D$5:$D$200,速報_原データ!$A$5:$A$200,EDATE($A26,12),速報_原データ!$B$5:$B$200,D$3)/100),IF(COUNTIFS(速報_原データ!$I$6:$I$9,EDATE($A26,12),速報_原データ!$J$6:$J$9,D$3)&gt;0,D38/(1+SUMIFS(速報_原データ!$K$6:$K$9,速報_原データ!$I$6:$I$9,EDATE($A26,12),速報_原データ!$J$6:$J$9,D$3)/100),AVERAGE(D25,D27))))</f>
        <v>982.87</v>
      </c>
      <c r="E26" s="18" t="n">
        <f aca="false">IF(COUNTIFS(速報_原データ!$A$5:$A$200,$A26,速報_原データ!$B$5:$B$200,E$3)&gt;0,SUMIFS(速報_原データ!$C$5:$C$200,速報_原データ!$A$5:$A$200,$A26,速報_原データ!$B$5:$B$200,E$3)/100,IF(COUNTIFS(速報_原データ!$A$5:$A$200,EDATE($A26,12),速報_原データ!$B$5:$B$200,E$3)&gt;0,SUMIFS(速報_原データ!$C$5:$C$200,速報_原データ!$A$5:$A$200,EDATE($A26,12),速報_原データ!$B$5:$B$200,E$3)/100/(1+SUMIFS(速報_原データ!$D$5:$D$200,速報_原データ!$A$5:$A$200,EDATE($A26,12),速報_原データ!$B$5:$B$200,E$3)/100),IF(COUNTIFS(速報_原データ!$I$6:$I$9,EDATE($A26,12),速報_原データ!$J$6:$J$9,E$3)&gt;0,E38/(1+SUMIFS(速報_原データ!$K$6:$K$9,速報_原データ!$I$6:$I$9,EDATE($A26,12),速報_原データ!$J$6:$J$9,E$3)/100),AVERAGE(E25,E27))))</f>
        <v>505.82</v>
      </c>
      <c r="F26" s="18" t="n">
        <f aca="false">IF(COUNTIFS(速報_原データ!$A$5:$A$200,$A26,速報_原データ!$B$5:$B$200,F$3)&gt;0,SUMIFS(速報_原データ!$C$5:$C$200,速報_原データ!$A$5:$A$200,$A26,速報_原データ!$B$5:$B$200,F$3)/100,IF(COUNTIFS(速報_原データ!$A$5:$A$200,EDATE($A26,12),速報_原データ!$B$5:$B$200,F$3)&gt;0,SUMIFS(速報_原データ!$C$5:$C$200,速報_原データ!$A$5:$A$200,EDATE($A26,12),速報_原データ!$B$5:$B$200,F$3)/100/(1+SUMIFS(速報_原データ!$D$5:$D$200,速報_原データ!$A$5:$A$200,EDATE($A26,12),速報_原データ!$B$5:$B$200,F$3)/100),IF(COUNTIFS(速報_原データ!$I$6:$I$9,EDATE($A26,12),速報_原データ!$J$6:$J$9,F$3)&gt;0,F38/(1+SUMIFS(速報_原データ!$K$6:$K$9,速報_原データ!$I$6:$I$9,EDATE($A26,12),速報_原データ!$J$6:$J$9,F$3)/100),AVERAGE(F25,F27))))</f>
        <v>288.96</v>
      </c>
      <c r="G26" s="18" t="n">
        <f aca="false">IF(COUNTIFS(速報_原データ!$A$5:$A$200,$A26,速報_原データ!$B$5:$B$200,G$3)&gt;0,SUMIFS(速報_原データ!$C$5:$C$200,速報_原データ!$A$5:$A$200,$A26,速報_原データ!$B$5:$B$200,G$3)/100,IF(COUNTIFS(速報_原データ!$A$5:$A$200,EDATE($A26,12),速報_原データ!$B$5:$B$200,G$3)&gt;0,SUMIFS(速報_原データ!$C$5:$C$200,速報_原データ!$A$5:$A$200,EDATE($A26,12),速報_原データ!$B$5:$B$200,G$3)/100/(1+SUMIFS(速報_原データ!$D$5:$D$200,速報_原データ!$A$5:$A$200,EDATE($A26,12),速報_原データ!$B$5:$B$200,G$3)/100),IF(COUNTIFS(速報_原データ!$I$6:$I$9,EDATE($A26,12),速報_原データ!$J$6:$J$9,G$3)&gt;0,G38/(1+SUMIFS(速報_原データ!$K$6:$K$9,速報_原データ!$I$6:$I$9,EDATE($A26,12),速報_原データ!$J$6:$J$9,G$3)/100),AVERAGE(G25,G27))))</f>
        <v>89.6</v>
      </c>
      <c r="H26" s="18" t="n">
        <f aca="false">IF(COUNTIFS(速報_原データ!$A$5:$A$200,$A26,速報_原データ!$B$5:$B$200,H$3)&gt;0,SUMIFS(速報_原データ!$C$5:$C$200,速報_原データ!$A$5:$A$200,$A26,速報_原データ!$B$5:$B$200,H$3)/100,IF(COUNTIFS(速報_原データ!$A$5:$A$200,EDATE($A26,12),速報_原データ!$B$5:$B$200,H$3)&gt;0,SUMIFS(速報_原データ!$C$5:$C$200,速報_原データ!$A$5:$A$200,EDATE($A26,12),速報_原データ!$B$5:$B$200,H$3)/100/(1+SUMIFS(速報_原データ!$D$5:$D$200,速報_原データ!$A$5:$A$200,EDATE($A26,12),速報_原データ!$B$5:$B$200,H$3)/100),IF(COUNTIFS(速報_原データ!$I$6:$I$9,EDATE($A26,12),速報_原データ!$J$6:$J$9,H$3)&gt;0,H38/(1+SUMIFS(速報_原データ!$K$6:$K$9,速報_原データ!$I$6:$I$9,EDATE($A26,12),速報_原データ!$J$6:$J$9,H$3)/100),AVERAGE(H25,H27))))</f>
        <v>190.45</v>
      </c>
      <c r="I26" s="18" t="n">
        <f aca="false">B26-D26</f>
        <v>1896.43</v>
      </c>
      <c r="J26" s="18" t="n">
        <f aca="false">C26-D26-E26-H26</f>
        <v>811.46</v>
      </c>
      <c r="K26" s="2" t="s">
        <v>237</v>
      </c>
    </row>
    <row r="27" customFormat="false" ht="15" hidden="false" customHeight="false" outlineLevel="0" collapsed="false">
      <c r="A27" s="12" t="n">
        <v>45689</v>
      </c>
      <c r="B27" s="18" t="n">
        <f aca="false">IF(COUNTIFS(速報_原データ!$A$5:$A$200,$A27,速報_原データ!$B$5:$B$200,B$3)&gt;0,SUMIFS(速報_原データ!$C$5:$C$200,速報_原データ!$A$5:$A$200,$A27,速報_原データ!$B$5:$B$200,B$3)/100,IF(COUNTIFS(速報_原データ!$A$5:$A$200,EDATE($A27,12),速報_原データ!$B$5:$B$200,B$3)&gt;0,SUMIFS(速報_原データ!$C$5:$C$200,速報_原データ!$A$5:$A$200,EDATE($A27,12),速報_原データ!$B$5:$B$200,B$3)/100/(1+SUMIFS(速報_原データ!$D$5:$D$200,速報_原データ!$A$5:$A$200,EDATE($A27,12),速報_原データ!$B$5:$B$200,B$3)/100),IF(COUNTIFS(速報_原データ!$I$6:$I$9,EDATE($A27,12),速報_原データ!$J$6:$J$9,B$3)&gt;0,B39/(1+SUMIFS(速報_原データ!$K$6:$K$9,速報_原データ!$I$6:$I$9,EDATE($A27,12),速報_原データ!$J$6:$J$9,B$3)/100),AVERAGE(B26,B28))))</f>
        <v>3967.42</v>
      </c>
      <c r="C27" s="18" t="n">
        <f aca="false">IF(COUNTIFS(速報_原データ!$A$5:$A$200,$A27,速報_原データ!$B$5:$B$200,C$3)&gt;0,SUMIFS(速報_原データ!$C$5:$C$200,速報_原データ!$A$5:$A$200,$A27,速報_原データ!$B$5:$B$200,C$3)/100,IF(COUNTIFS(速報_原データ!$A$5:$A$200,EDATE($A27,12),速報_原データ!$B$5:$B$200,C$3)&gt;0,SUMIFS(速報_原データ!$C$5:$C$200,速報_原データ!$A$5:$A$200,EDATE($A27,12),速報_原データ!$B$5:$B$200,C$3)/100/(1+SUMIFS(速報_原データ!$D$5:$D$200,速報_原データ!$A$5:$A$200,EDATE($A27,12),速報_原データ!$B$5:$B$200,C$3)/100),IF(COUNTIFS(速報_原データ!$I$6:$I$9,EDATE($A27,12),速報_原データ!$J$6:$J$9,C$3)&gt;0,C39/(1+SUMIFS(速報_原データ!$K$6:$K$9,速報_原データ!$I$6:$I$9,EDATE($A27,12),速報_原データ!$J$6:$J$9,C$3)/100),AVERAGE(C26,C28))))</f>
        <v>3550.59</v>
      </c>
      <c r="D27" s="18" t="n">
        <f aca="false">IF(COUNTIFS(速報_原データ!$A$5:$A$200,$A27,速報_原データ!$B$5:$B$200,D$3)&gt;0,SUMIFS(速報_原データ!$C$5:$C$200,速報_原データ!$A$5:$A$200,$A27,速報_原データ!$B$5:$B$200,D$3)/100,IF(COUNTIFS(速報_原データ!$A$5:$A$200,EDATE($A27,12),速報_原データ!$B$5:$B$200,D$3)&gt;0,SUMIFS(速報_原データ!$C$5:$C$200,速報_原データ!$A$5:$A$200,EDATE($A27,12),速報_原データ!$B$5:$B$200,D$3)/100/(1+SUMIFS(速報_原データ!$D$5:$D$200,速報_原データ!$A$5:$A$200,EDATE($A27,12),速報_原データ!$B$5:$B$200,D$3)/100),IF(COUNTIFS(速報_原データ!$I$6:$I$9,EDATE($A27,12),速報_原データ!$J$6:$J$9,D$3)&gt;0,D39/(1+SUMIFS(速報_原データ!$K$6:$K$9,速報_原データ!$I$6:$I$9,EDATE($A27,12),速報_原データ!$J$6:$J$9,D$3)/100),AVERAGE(D26,D28))))</f>
        <v>1458.79</v>
      </c>
      <c r="E27" s="18" t="n">
        <f aca="false">IF(COUNTIFS(速報_原データ!$A$5:$A$200,$A27,速報_原データ!$B$5:$B$200,E$3)&gt;0,SUMIFS(速報_原データ!$C$5:$C$200,速報_原データ!$A$5:$A$200,$A27,速報_原データ!$B$5:$B$200,E$3)/100,IF(COUNTIFS(速報_原データ!$A$5:$A$200,EDATE($A27,12),速報_原データ!$B$5:$B$200,E$3)&gt;0,SUMIFS(速報_原データ!$C$5:$C$200,速報_原データ!$A$5:$A$200,EDATE($A27,12),速報_原データ!$B$5:$B$200,E$3)/100/(1+SUMIFS(速報_原データ!$D$5:$D$200,速報_原データ!$A$5:$A$200,EDATE($A27,12),速報_原データ!$B$5:$B$200,E$3)/100),IF(COUNTIFS(速報_原データ!$I$6:$I$9,EDATE($A27,12),速報_原データ!$J$6:$J$9,E$3)&gt;0,E39/(1+SUMIFS(速報_原データ!$K$6:$K$9,速報_原データ!$I$6:$I$9,EDATE($A27,12),速報_原データ!$J$6:$J$9,E$3)/100),AVERAGE(E26,E28))))</f>
        <v>726.15</v>
      </c>
      <c r="F27" s="18" t="n">
        <f aca="false">IF(COUNTIFS(速報_原データ!$A$5:$A$200,$A27,速報_原データ!$B$5:$B$200,F$3)&gt;0,SUMIFS(速報_原データ!$C$5:$C$200,速報_原データ!$A$5:$A$200,$A27,速報_原データ!$B$5:$B$200,F$3)/100,IF(COUNTIFS(速報_原データ!$A$5:$A$200,EDATE($A27,12),速報_原データ!$B$5:$B$200,F$3)&gt;0,SUMIFS(速報_原データ!$C$5:$C$200,速報_原データ!$A$5:$A$200,EDATE($A27,12),速報_原データ!$B$5:$B$200,F$3)/100/(1+SUMIFS(速報_原データ!$D$5:$D$200,速報_原データ!$A$5:$A$200,EDATE($A27,12),速報_原データ!$B$5:$B$200,F$3)/100),IF(COUNTIFS(速報_原データ!$I$6:$I$9,EDATE($A27,12),速報_原データ!$J$6:$J$9,F$3)&gt;0,F39/(1+SUMIFS(速報_原データ!$K$6:$K$9,速報_原データ!$I$6:$I$9,EDATE($A27,12),速報_原データ!$J$6:$J$9,F$3)/100),AVERAGE(F26,F28))))</f>
        <v>353.82</v>
      </c>
      <c r="G27" s="18" t="n">
        <f aca="false">IF(COUNTIFS(速報_原データ!$A$5:$A$200,$A27,速報_原データ!$B$5:$B$200,G$3)&gt;0,SUMIFS(速報_原データ!$C$5:$C$200,速報_原データ!$A$5:$A$200,$A27,速報_原データ!$B$5:$B$200,G$3)/100,IF(COUNTIFS(速報_原データ!$A$5:$A$200,EDATE($A27,12),速報_原データ!$B$5:$B$200,G$3)&gt;0,SUMIFS(速報_原データ!$C$5:$C$200,速報_原データ!$A$5:$A$200,EDATE($A27,12),速報_原データ!$B$5:$B$200,G$3)/100/(1+SUMIFS(速報_原データ!$D$5:$D$200,速報_原データ!$A$5:$A$200,EDATE($A27,12),速報_原データ!$B$5:$B$200,G$3)/100),IF(COUNTIFS(速報_原データ!$I$6:$I$9,EDATE($A27,12),速報_原データ!$J$6:$J$9,G$3)&gt;0,G39/(1+SUMIFS(速報_原データ!$K$6:$K$9,速報_原データ!$I$6:$I$9,EDATE($A27,12),速報_原データ!$J$6:$J$9,G$3)/100),AVERAGE(G26,G28))))</f>
        <v>50.77</v>
      </c>
      <c r="H27" s="18" t="n">
        <f aca="false">IF(COUNTIFS(速報_原データ!$A$5:$A$200,$A27,速報_原データ!$B$5:$B$200,H$3)&gt;0,SUMIFS(速報_原データ!$C$5:$C$200,速報_原データ!$A$5:$A$200,$A27,速報_原データ!$B$5:$B$200,H$3)/100,IF(COUNTIFS(速報_原データ!$A$5:$A$200,EDATE($A27,12),速報_原データ!$B$5:$B$200,H$3)&gt;0,SUMIFS(速報_原データ!$C$5:$C$200,速報_原データ!$A$5:$A$200,EDATE($A27,12),速報_原データ!$B$5:$B$200,H$3)/100/(1+SUMIFS(速報_原データ!$D$5:$D$200,速報_原データ!$A$5:$A$200,EDATE($A27,12),速報_原データ!$B$5:$B$200,H$3)/100),IF(COUNTIFS(速報_原データ!$I$6:$I$9,EDATE($A27,12),速報_原データ!$J$6:$J$9,H$3)&gt;0,H39/(1+SUMIFS(速報_原データ!$K$6:$K$9,速報_原データ!$I$6:$I$9,EDATE($A27,12),速報_原データ!$J$6:$J$9,H$3)/100),AVERAGE(H26,H28))))</f>
        <v>265.23</v>
      </c>
      <c r="I27" s="18" t="n">
        <f aca="false">B27-D27</f>
        <v>2508.63</v>
      </c>
      <c r="J27" s="18" t="n">
        <f aca="false">C27-D27-E27-H27</f>
        <v>1100.42</v>
      </c>
      <c r="K27" s="2" t="s">
        <v>237</v>
      </c>
    </row>
    <row r="28" customFormat="false" ht="15" hidden="false" customHeight="false" outlineLevel="0" collapsed="false">
      <c r="A28" s="12" t="n">
        <v>45717</v>
      </c>
      <c r="B28" s="18" t="n">
        <f aca="false">IF(COUNTIFS(速報_原データ!$A$5:$A$200,$A28,速報_原データ!$B$5:$B$200,B$3)&gt;0,SUMIFS(速報_原データ!$C$5:$C$200,速報_原データ!$A$5:$A$200,$A28,速報_原データ!$B$5:$B$200,B$3)/100,IF(COUNTIFS(速報_原データ!$A$5:$A$200,EDATE($A28,12),速報_原データ!$B$5:$B$200,B$3)&gt;0,SUMIFS(速報_原データ!$C$5:$C$200,速報_原データ!$A$5:$A$200,EDATE($A28,12),速報_原データ!$B$5:$B$200,B$3)/100/(1+SUMIFS(速報_原データ!$D$5:$D$200,速報_原データ!$A$5:$A$200,EDATE($A28,12),速報_原データ!$B$5:$B$200,B$3)/100),IF(COUNTIFS(速報_原データ!$I$6:$I$9,EDATE($A28,12),速報_原データ!$J$6:$J$9,B$3)&gt;0,B40/(1+SUMIFS(速報_原データ!$K$6:$K$9,速報_原データ!$I$6:$I$9,EDATE($A28,12),速報_原データ!$J$6:$J$9,B$3)/100),AVERAGE(B27,B29))))</f>
        <v>4984.2</v>
      </c>
      <c r="C28" s="18" t="n">
        <f aca="false">IF(COUNTIFS(速報_原データ!$A$5:$A$200,$A28,速報_原データ!$B$5:$B$200,C$3)&gt;0,SUMIFS(速報_原データ!$C$5:$C$200,速報_原データ!$A$5:$A$200,$A28,速報_原データ!$B$5:$B$200,C$3)/100,IF(COUNTIFS(速報_原データ!$A$5:$A$200,EDATE($A28,12),速報_原データ!$B$5:$B$200,C$3)&gt;0,SUMIFS(速報_原データ!$C$5:$C$200,速報_原データ!$A$5:$A$200,EDATE($A28,12),速報_原データ!$B$5:$B$200,C$3)/100/(1+SUMIFS(速報_原データ!$D$5:$D$200,速報_原データ!$A$5:$A$200,EDATE($A28,12),速報_原データ!$B$5:$B$200,C$3)/100),IF(COUNTIFS(速報_原データ!$I$6:$I$9,EDATE($A28,12),速報_原データ!$J$6:$J$9,C$3)&gt;0,C40/(1+SUMIFS(速報_原データ!$K$6:$K$9,速報_原データ!$I$6:$I$9,EDATE($A28,12),速報_原データ!$J$6:$J$9,C$3)/100),AVERAGE(C27,C29))))</f>
        <v>4511.95</v>
      </c>
      <c r="D28" s="18" t="n">
        <f aca="false">IF(COUNTIFS(速報_原データ!$A$5:$A$200,$A28,速報_原データ!$B$5:$B$200,D$3)&gt;0,SUMIFS(速報_原データ!$C$5:$C$200,速報_原データ!$A$5:$A$200,$A28,速報_原データ!$B$5:$B$200,D$3)/100,IF(COUNTIFS(速報_原データ!$A$5:$A$200,EDATE($A28,12),速報_原データ!$B$5:$B$200,D$3)&gt;0,SUMIFS(速報_原データ!$C$5:$C$200,速報_原データ!$A$5:$A$200,EDATE($A28,12),速報_原データ!$B$5:$B$200,D$3)/100/(1+SUMIFS(速報_原データ!$D$5:$D$200,速報_原データ!$A$5:$A$200,EDATE($A28,12),速報_原データ!$B$5:$B$200,D$3)/100),IF(COUNTIFS(速報_原データ!$I$6:$I$9,EDATE($A28,12),速報_原データ!$J$6:$J$9,D$3)&gt;0,D40/(1+SUMIFS(速報_原データ!$K$6:$K$9,速報_原データ!$I$6:$I$9,EDATE($A28,12),速報_原データ!$J$6:$J$9,D$3)/100),AVERAGE(D27,D29))))</f>
        <v>2074.93</v>
      </c>
      <c r="E28" s="18" t="n">
        <f aca="false">IF(COUNTIFS(速報_原データ!$A$5:$A$200,$A28,速報_原データ!$B$5:$B$200,E$3)&gt;0,SUMIFS(速報_原データ!$C$5:$C$200,速報_原データ!$A$5:$A$200,$A28,速報_原データ!$B$5:$B$200,E$3)/100,IF(COUNTIFS(速報_原データ!$A$5:$A$200,EDATE($A28,12),速報_原データ!$B$5:$B$200,E$3)&gt;0,SUMIFS(速報_原データ!$C$5:$C$200,速報_原データ!$A$5:$A$200,EDATE($A28,12),速報_原データ!$B$5:$B$200,E$3)/100/(1+SUMIFS(速報_原データ!$D$5:$D$200,速報_原データ!$A$5:$A$200,EDATE($A28,12),速報_原データ!$B$5:$B$200,E$3)/100),IF(COUNTIFS(速報_原データ!$I$6:$I$9,EDATE($A28,12),速報_原データ!$J$6:$J$9,E$3)&gt;0,E40/(1+SUMIFS(速報_原データ!$K$6:$K$9,速報_原データ!$I$6:$I$9,EDATE($A28,12),速報_原データ!$J$6:$J$9,E$3)/100),AVERAGE(E27,E29))))</f>
        <v>998.53</v>
      </c>
      <c r="F28" s="18" t="n">
        <f aca="false">IF(COUNTIFS(速報_原データ!$A$5:$A$200,$A28,速報_原データ!$B$5:$B$200,F$3)&gt;0,SUMIFS(速報_原データ!$C$5:$C$200,速報_原データ!$A$5:$A$200,$A28,速報_原データ!$B$5:$B$200,F$3)/100,IF(COUNTIFS(速報_原データ!$A$5:$A$200,EDATE($A28,12),速報_原データ!$B$5:$B$200,F$3)&gt;0,SUMIFS(速報_原データ!$C$5:$C$200,速報_原データ!$A$5:$A$200,EDATE($A28,12),速報_原データ!$B$5:$B$200,F$3)/100/(1+SUMIFS(速報_原データ!$D$5:$D$200,速報_原データ!$A$5:$A$200,EDATE($A28,12),速報_原データ!$B$5:$B$200,F$3)/100),IF(COUNTIFS(速報_原データ!$I$6:$I$9,EDATE($A28,12),速報_原データ!$J$6:$J$9,F$3)&gt;0,F40/(1+SUMIFS(速報_原データ!$K$6:$K$9,速報_原データ!$I$6:$I$9,EDATE($A28,12),速報_原データ!$J$6:$J$9,F$3)/100),AVERAGE(F27,F29))))</f>
        <v>362.34</v>
      </c>
      <c r="G28" s="18" t="n">
        <f aca="false">IF(COUNTIFS(速報_原データ!$A$5:$A$200,$A28,速報_原データ!$B$5:$B$200,G$3)&gt;0,SUMIFS(速報_原データ!$C$5:$C$200,速報_原データ!$A$5:$A$200,$A28,速報_原データ!$B$5:$B$200,G$3)/100,IF(COUNTIFS(速報_原データ!$A$5:$A$200,EDATE($A28,12),速報_原データ!$B$5:$B$200,G$3)&gt;0,SUMIFS(速報_原データ!$C$5:$C$200,速報_原データ!$A$5:$A$200,EDATE($A28,12),速報_原データ!$B$5:$B$200,G$3)/100/(1+SUMIFS(速報_原データ!$D$5:$D$200,速報_原データ!$A$5:$A$200,EDATE($A28,12),速報_原データ!$B$5:$B$200,G$3)/100),IF(COUNTIFS(速報_原データ!$I$6:$I$9,EDATE($A28,12),速報_原データ!$J$6:$J$9,G$3)&gt;0,G40/(1+SUMIFS(速報_原データ!$K$6:$K$9,速報_原データ!$I$6:$I$9,EDATE($A28,12),速報_原データ!$J$6:$J$9,G$3)/100),AVERAGE(G27,G29))))</f>
        <v>90.5</v>
      </c>
      <c r="H28" s="18" t="n">
        <f aca="false">IF(COUNTIFS(速報_原データ!$A$5:$A$200,$A28,速報_原データ!$B$5:$B$200,H$3)&gt;0,SUMIFS(速報_原データ!$C$5:$C$200,速報_原データ!$A$5:$A$200,$A28,速報_原データ!$B$5:$B$200,H$3)/100,IF(COUNTIFS(速報_原データ!$A$5:$A$200,EDATE($A28,12),速報_原データ!$B$5:$B$200,H$3)&gt;0,SUMIFS(速報_原データ!$C$5:$C$200,速報_原データ!$A$5:$A$200,EDATE($A28,12),速報_原データ!$B$5:$B$200,H$3)/100/(1+SUMIFS(速報_原データ!$D$5:$D$200,速報_原データ!$A$5:$A$200,EDATE($A28,12),速報_原データ!$B$5:$B$200,H$3)/100),IF(COUNTIFS(速報_原データ!$I$6:$I$9,EDATE($A28,12),速報_原データ!$J$6:$J$9,H$3)&gt;0,H40/(1+SUMIFS(速報_原データ!$K$6:$K$9,速報_原データ!$I$6:$I$9,EDATE($A28,12),速報_原データ!$J$6:$J$9,H$3)/100),AVERAGE(H27,H29))))</f>
        <v>340.86</v>
      </c>
      <c r="I28" s="18" t="n">
        <f aca="false">B28-D28</f>
        <v>2909.27</v>
      </c>
      <c r="J28" s="18" t="n">
        <f aca="false">C28-D28-E28-H28</f>
        <v>1097.63</v>
      </c>
      <c r="K28" s="2" t="s">
        <v>237</v>
      </c>
    </row>
    <row r="29" customFormat="false" ht="15" hidden="false" customHeight="false" outlineLevel="0" collapsed="false">
      <c r="A29" s="12" t="n">
        <v>45748</v>
      </c>
      <c r="B29" s="18" t="n">
        <f aca="false">IF(COUNTIFS(速報_原データ!$A$5:$A$200,$A29,速報_原データ!$B$5:$B$200,B$3)&gt;0,SUMIFS(速報_原データ!$C$5:$C$200,速報_原データ!$A$5:$A$200,$A29,速報_原データ!$B$5:$B$200,B$3)/100,IF(COUNTIFS(速報_原データ!$A$5:$A$200,EDATE($A29,12),速報_原データ!$B$5:$B$200,B$3)&gt;0,SUMIFS(速報_原データ!$C$5:$C$200,速報_原データ!$A$5:$A$200,EDATE($A29,12),速報_原データ!$B$5:$B$200,B$3)/100/(1+SUMIFS(速報_原データ!$D$5:$D$200,速報_原データ!$A$5:$A$200,EDATE($A29,12),速報_原データ!$B$5:$B$200,B$3)/100),IF(COUNTIFS(速報_原データ!$I$6:$I$9,EDATE($A29,12),速報_原データ!$J$6:$J$9,B$3)&gt;0,B41/(1+SUMIFS(速報_原データ!$K$6:$K$9,速報_原データ!$I$6:$I$9,EDATE($A29,12),速報_原データ!$J$6:$J$9,B$3)/100),AVERAGE(B28,B30))))</f>
        <v>3735.31</v>
      </c>
      <c r="C29" s="18" t="n">
        <f aca="false">IF(COUNTIFS(速報_原データ!$A$5:$A$200,$A29,速報_原データ!$B$5:$B$200,C$3)&gt;0,SUMIFS(速報_原データ!$C$5:$C$200,速報_原データ!$A$5:$A$200,$A29,速報_原データ!$B$5:$B$200,C$3)/100,IF(COUNTIFS(速報_原データ!$A$5:$A$200,EDATE($A29,12),速報_原データ!$B$5:$B$200,C$3)&gt;0,SUMIFS(速報_原データ!$C$5:$C$200,速報_原データ!$A$5:$A$200,EDATE($A29,12),速報_原データ!$B$5:$B$200,C$3)/100/(1+SUMIFS(速報_原データ!$D$5:$D$200,速報_原データ!$A$5:$A$200,EDATE($A29,12),速報_原データ!$B$5:$B$200,C$3)/100),IF(COUNTIFS(速報_原データ!$I$6:$I$9,EDATE($A29,12),速報_原データ!$J$6:$J$9,C$3)&gt;0,C41/(1+SUMIFS(速報_原データ!$K$6:$K$9,速報_原データ!$I$6:$I$9,EDATE($A29,12),速報_原データ!$J$6:$J$9,C$3)/100),AVERAGE(C28,C30))))</f>
        <v>3284.9</v>
      </c>
      <c r="D29" s="18" t="n">
        <f aca="false">IF(COUNTIFS(速報_原データ!$A$5:$A$200,$A29,速報_原データ!$B$5:$B$200,D$3)&gt;0,SUMIFS(速報_原データ!$C$5:$C$200,速報_原データ!$A$5:$A$200,$A29,速報_原データ!$B$5:$B$200,D$3)/100,IF(COUNTIFS(速報_原データ!$A$5:$A$200,EDATE($A29,12),速報_原データ!$B$5:$B$200,D$3)&gt;0,SUMIFS(速報_原データ!$C$5:$C$200,速報_原データ!$A$5:$A$200,EDATE($A29,12),速報_原データ!$B$5:$B$200,D$3)/100/(1+SUMIFS(速報_原データ!$D$5:$D$200,速報_原データ!$A$5:$A$200,EDATE($A29,12),速報_原データ!$B$5:$B$200,D$3)/100),IF(COUNTIFS(速報_原データ!$I$6:$I$9,EDATE($A29,12),速報_原データ!$J$6:$J$9,D$3)&gt;0,D41/(1+SUMIFS(速報_原データ!$K$6:$K$9,速報_原データ!$I$6:$I$9,EDATE($A29,12),速報_原データ!$J$6:$J$9,D$3)/100),AVERAGE(D28,D30))))</f>
        <v>1516.3</v>
      </c>
      <c r="E29" s="18" t="n">
        <f aca="false">IF(COUNTIFS(速報_原データ!$A$5:$A$200,$A29,速報_原データ!$B$5:$B$200,E$3)&gt;0,SUMIFS(速報_原データ!$C$5:$C$200,速報_原データ!$A$5:$A$200,$A29,速報_原データ!$B$5:$B$200,E$3)/100,IF(COUNTIFS(速報_原データ!$A$5:$A$200,EDATE($A29,12),速報_原データ!$B$5:$B$200,E$3)&gt;0,SUMIFS(速報_原データ!$C$5:$C$200,速報_原データ!$A$5:$A$200,EDATE($A29,12),速報_原データ!$B$5:$B$200,E$3)/100/(1+SUMIFS(速報_原データ!$D$5:$D$200,速報_原データ!$A$5:$A$200,EDATE($A29,12),速報_原データ!$B$5:$B$200,E$3)/100),IF(COUNTIFS(速報_原データ!$I$6:$I$9,EDATE($A29,12),速報_原データ!$J$6:$J$9,E$3)&gt;0,E41/(1+SUMIFS(速報_原データ!$K$6:$K$9,速報_原データ!$I$6:$I$9,EDATE($A29,12),速報_原データ!$J$6:$J$9,E$3)/100),AVERAGE(E28,E30))))</f>
        <v>437.31</v>
      </c>
      <c r="F29" s="18" t="n">
        <f aca="false">IF(COUNTIFS(速報_原データ!$A$5:$A$200,$A29,速報_原データ!$B$5:$B$200,F$3)&gt;0,SUMIFS(速報_原データ!$C$5:$C$200,速報_原データ!$A$5:$A$200,$A29,速報_原データ!$B$5:$B$200,F$3)/100,IF(COUNTIFS(速報_原データ!$A$5:$A$200,EDATE($A29,12),速報_原データ!$B$5:$B$200,F$3)&gt;0,SUMIFS(速報_原データ!$C$5:$C$200,速報_原データ!$A$5:$A$200,EDATE($A29,12),速報_原データ!$B$5:$B$200,F$3)/100/(1+SUMIFS(速報_原データ!$D$5:$D$200,速報_原データ!$A$5:$A$200,EDATE($A29,12),速報_原データ!$B$5:$B$200,F$3)/100),IF(COUNTIFS(速報_原データ!$I$6:$I$9,EDATE($A29,12),速報_原データ!$J$6:$J$9,F$3)&gt;0,F41/(1+SUMIFS(速報_原データ!$K$6:$K$9,速報_原データ!$I$6:$I$9,EDATE($A29,12),速報_原データ!$J$6:$J$9,F$3)/100),AVERAGE(F28,F30))))</f>
        <v>344.08</v>
      </c>
      <c r="G29" s="18" t="n">
        <f aca="false">IF(COUNTIFS(速報_原データ!$A$5:$A$200,$A29,速報_原データ!$B$5:$B$200,G$3)&gt;0,SUMIFS(速報_原データ!$C$5:$C$200,速報_原データ!$A$5:$A$200,$A29,速報_原データ!$B$5:$B$200,G$3)/100,IF(COUNTIFS(速報_原データ!$A$5:$A$200,EDATE($A29,12),速報_原データ!$B$5:$B$200,G$3)&gt;0,SUMIFS(速報_原データ!$C$5:$C$200,速報_原データ!$A$5:$A$200,EDATE($A29,12),速報_原データ!$B$5:$B$200,G$3)/100/(1+SUMIFS(速報_原データ!$D$5:$D$200,速報_原データ!$A$5:$A$200,EDATE($A29,12),速報_原データ!$B$5:$B$200,G$3)/100),IF(COUNTIFS(速報_原データ!$I$6:$I$9,EDATE($A29,12),速報_原データ!$J$6:$J$9,G$3)&gt;0,G41/(1+SUMIFS(速報_原データ!$K$6:$K$9,速報_原データ!$I$6:$I$9,EDATE($A29,12),速報_原データ!$J$6:$J$9,G$3)/100),AVERAGE(G28,G30))))</f>
        <v>97.82</v>
      </c>
      <c r="H29" s="18" t="n">
        <f aca="false">IF(COUNTIFS(速報_原データ!$A$5:$A$200,$A29,速報_原データ!$B$5:$B$200,H$3)&gt;0,SUMIFS(速報_原データ!$C$5:$C$200,速報_原データ!$A$5:$A$200,$A29,速報_原データ!$B$5:$B$200,H$3)/100,IF(COUNTIFS(速報_原データ!$A$5:$A$200,EDATE($A29,12),速報_原データ!$B$5:$B$200,H$3)&gt;0,SUMIFS(速報_原データ!$C$5:$C$200,速報_原データ!$A$5:$A$200,EDATE($A29,12),速報_原データ!$B$5:$B$200,H$3)/100/(1+SUMIFS(速報_原データ!$D$5:$D$200,速報_原データ!$A$5:$A$200,EDATE($A29,12),速報_原データ!$B$5:$B$200,H$3)/100),IF(COUNTIFS(速報_原データ!$I$6:$I$9,EDATE($A29,12),速報_原データ!$J$6:$J$9,H$3)&gt;0,H41/(1+SUMIFS(速報_原データ!$K$6:$K$9,速報_原データ!$I$6:$I$9,EDATE($A29,12),速報_原データ!$J$6:$J$9,H$3)/100),AVERAGE(H28,H30))))</f>
        <v>240.43</v>
      </c>
      <c r="I29" s="18" t="n">
        <f aca="false">B29-D29</f>
        <v>2219.01</v>
      </c>
      <c r="J29" s="18" t="n">
        <f aca="false">C29-D29-E29-H29</f>
        <v>1090.86</v>
      </c>
      <c r="K29" s="2" t="s">
        <v>237</v>
      </c>
    </row>
    <row r="30" customFormat="false" ht="15" hidden="false" customHeight="false" outlineLevel="0" collapsed="false">
      <c r="A30" s="12" t="n">
        <v>45778</v>
      </c>
      <c r="B30" s="18" t="n">
        <f aca="false">IF(COUNTIFS(速報_原データ!$A$5:$A$200,$A30,速報_原データ!$B$5:$B$200,B$3)&gt;0,SUMIFS(速報_原データ!$C$5:$C$200,速報_原データ!$A$5:$A$200,$A30,速報_原データ!$B$5:$B$200,B$3)/100,IF(COUNTIFS(速報_原データ!$A$5:$A$200,EDATE($A30,12),速報_原データ!$B$5:$B$200,B$3)&gt;0,SUMIFS(速報_原データ!$C$5:$C$200,速報_原データ!$A$5:$A$200,EDATE($A30,12),速報_原データ!$B$5:$B$200,B$3)/100/(1+SUMIFS(速報_原データ!$D$5:$D$200,速報_原データ!$A$5:$A$200,EDATE($A30,12),速報_原データ!$B$5:$B$200,B$3)/100),IF(COUNTIFS(速報_原データ!$I$6:$I$9,EDATE($A30,12),速報_原データ!$J$6:$J$9,B$3)&gt;0,B42/(1+SUMIFS(速報_原データ!$K$6:$K$9,速報_原データ!$I$6:$I$9,EDATE($A30,12),速報_原データ!$J$6:$J$9,B$3)/100),AVERAGE(B29,B31))))</f>
        <v>3319.85</v>
      </c>
      <c r="C30" s="18" t="n">
        <f aca="false">IF(COUNTIFS(速報_原データ!$A$5:$A$200,$A30,速報_原データ!$B$5:$B$200,C$3)&gt;0,SUMIFS(速報_原データ!$C$5:$C$200,速報_原データ!$A$5:$A$200,$A30,速報_原データ!$B$5:$B$200,C$3)/100,IF(COUNTIFS(速報_原データ!$A$5:$A$200,EDATE($A30,12),速報_原データ!$B$5:$B$200,C$3)&gt;0,SUMIFS(速報_原データ!$C$5:$C$200,速報_原データ!$A$5:$A$200,EDATE($A30,12),速報_原データ!$B$5:$B$200,C$3)/100/(1+SUMIFS(速報_原データ!$D$5:$D$200,速報_原データ!$A$5:$A$200,EDATE($A30,12),速報_原データ!$B$5:$B$200,C$3)/100),IF(COUNTIFS(速報_原データ!$I$6:$I$9,EDATE($A30,12),速報_原データ!$J$6:$J$9,C$3)&gt;0,C42/(1+SUMIFS(速報_原データ!$K$6:$K$9,速報_原データ!$I$6:$I$9,EDATE($A30,12),速報_原データ!$J$6:$J$9,C$3)/100),AVERAGE(C29,C31))))</f>
        <v>2981.42</v>
      </c>
      <c r="D30" s="18" t="n">
        <f aca="false">IF(COUNTIFS(速報_原データ!$A$5:$A$200,$A30,速報_原データ!$B$5:$B$200,D$3)&gt;0,SUMIFS(速報_原データ!$C$5:$C$200,速報_原データ!$A$5:$A$200,$A30,速報_原データ!$B$5:$B$200,D$3)/100,IF(COUNTIFS(速報_原データ!$A$5:$A$200,EDATE($A30,12),速報_原データ!$B$5:$B$200,D$3)&gt;0,SUMIFS(速報_原データ!$C$5:$C$200,速報_原データ!$A$5:$A$200,EDATE($A30,12),速報_原データ!$B$5:$B$200,D$3)/100/(1+SUMIFS(速報_原データ!$D$5:$D$200,速報_原データ!$A$5:$A$200,EDATE($A30,12),速報_原データ!$B$5:$B$200,D$3)/100),IF(COUNTIFS(速報_原データ!$I$6:$I$9,EDATE($A30,12),速報_原データ!$J$6:$J$9,D$3)&gt;0,D42/(1+SUMIFS(速報_原データ!$K$6:$K$9,速報_原データ!$I$6:$I$9,EDATE($A30,12),速報_原データ!$J$6:$J$9,D$3)/100),AVERAGE(D29,D31))))</f>
        <v>1475.62</v>
      </c>
      <c r="E30" s="18" t="n">
        <f aca="false">IF(COUNTIFS(速報_原データ!$A$5:$A$200,$A30,速報_原データ!$B$5:$B$200,E$3)&gt;0,SUMIFS(速報_原データ!$C$5:$C$200,速報_原データ!$A$5:$A$200,$A30,速報_原データ!$B$5:$B$200,E$3)/100,IF(COUNTIFS(速報_原データ!$A$5:$A$200,EDATE($A30,12),速報_原データ!$B$5:$B$200,E$3)&gt;0,SUMIFS(速報_原データ!$C$5:$C$200,速報_原データ!$A$5:$A$200,EDATE($A30,12),速報_原データ!$B$5:$B$200,E$3)/100/(1+SUMIFS(速報_原データ!$D$5:$D$200,速報_原データ!$A$5:$A$200,EDATE($A30,12),速報_原データ!$B$5:$B$200,E$3)/100),IF(COUNTIFS(速報_原データ!$I$6:$I$9,EDATE($A30,12),速報_原データ!$J$6:$J$9,E$3)&gt;0,E42/(1+SUMIFS(速報_原データ!$K$6:$K$9,速報_原データ!$I$6:$I$9,EDATE($A30,12),速報_原データ!$J$6:$J$9,E$3)/100),AVERAGE(E29,E31))))</f>
        <v>461.03</v>
      </c>
      <c r="F30" s="18" t="n">
        <f aca="false">IF(COUNTIFS(速報_原データ!$A$5:$A$200,$A30,速報_原データ!$B$5:$B$200,F$3)&gt;0,SUMIFS(速報_原データ!$C$5:$C$200,速報_原データ!$A$5:$A$200,$A30,速報_原データ!$B$5:$B$200,F$3)/100,IF(COUNTIFS(速報_原データ!$A$5:$A$200,EDATE($A30,12),速報_原データ!$B$5:$B$200,F$3)&gt;0,SUMIFS(速報_原データ!$C$5:$C$200,速報_原データ!$A$5:$A$200,EDATE($A30,12),速報_原データ!$B$5:$B$200,F$3)/100/(1+SUMIFS(速報_原データ!$D$5:$D$200,速報_原データ!$A$5:$A$200,EDATE($A30,12),速報_原データ!$B$5:$B$200,F$3)/100),IF(COUNTIFS(速報_原データ!$I$6:$I$9,EDATE($A30,12),速報_原データ!$J$6:$J$9,F$3)&gt;0,F42/(1+SUMIFS(速報_原データ!$K$6:$K$9,速報_原データ!$I$6:$I$9,EDATE($A30,12),速報_原データ!$J$6:$J$9,F$3)/100),AVERAGE(F29,F31))))</f>
        <v>261.01</v>
      </c>
      <c r="G30" s="18" t="n">
        <f aca="false">IF(COUNTIFS(速報_原データ!$A$5:$A$200,$A30,速報_原データ!$B$5:$B$200,G$3)&gt;0,SUMIFS(速報_原データ!$C$5:$C$200,速報_原データ!$A$5:$A$200,$A30,速報_原データ!$B$5:$B$200,G$3)/100,IF(COUNTIFS(速報_原データ!$A$5:$A$200,EDATE($A30,12),速報_原データ!$B$5:$B$200,G$3)&gt;0,SUMIFS(速報_原データ!$C$5:$C$200,速報_原データ!$A$5:$A$200,EDATE($A30,12),速報_原データ!$B$5:$B$200,G$3)/100/(1+SUMIFS(速報_原データ!$D$5:$D$200,速報_原データ!$A$5:$A$200,EDATE($A30,12),速報_原データ!$B$5:$B$200,G$3)/100),IF(COUNTIFS(速報_原データ!$I$6:$I$9,EDATE($A30,12),速報_原データ!$J$6:$J$9,G$3)&gt;0,G42/(1+SUMIFS(速報_原データ!$K$6:$K$9,速報_原データ!$I$6:$I$9,EDATE($A30,12),速報_原データ!$J$6:$J$9,G$3)/100),AVERAGE(G29,G31))))</f>
        <v>66.17</v>
      </c>
      <c r="H30" s="18" t="n">
        <f aca="false">IF(COUNTIFS(速報_原データ!$A$5:$A$200,$A30,速報_原データ!$B$5:$B$200,H$3)&gt;0,SUMIFS(速報_原データ!$C$5:$C$200,速報_原データ!$A$5:$A$200,$A30,速報_原データ!$B$5:$B$200,H$3)/100,IF(COUNTIFS(速報_原データ!$A$5:$A$200,EDATE($A30,12),速報_原データ!$B$5:$B$200,H$3)&gt;0,SUMIFS(速報_原データ!$C$5:$C$200,速報_原データ!$A$5:$A$200,EDATE($A30,12),速報_原データ!$B$5:$B$200,H$3)/100/(1+SUMIFS(速報_原データ!$D$5:$D$200,速報_原データ!$A$5:$A$200,EDATE($A30,12),速報_原データ!$B$5:$B$200,H$3)/100),IF(COUNTIFS(速報_原データ!$I$6:$I$9,EDATE($A30,12),速報_原データ!$J$6:$J$9,H$3)&gt;0,H42/(1+SUMIFS(速報_原データ!$K$6:$K$9,速報_原データ!$I$6:$I$9,EDATE($A30,12),速報_原データ!$J$6:$J$9,H$3)/100),AVERAGE(H29,H31))))</f>
        <v>171.87</v>
      </c>
      <c r="I30" s="18" t="n">
        <f aca="false">B30-D30</f>
        <v>1844.23</v>
      </c>
      <c r="J30" s="18" t="n">
        <f aca="false">C30-D30-E30-H30</f>
        <v>872.9</v>
      </c>
      <c r="K30" s="2" t="s">
        <v>237</v>
      </c>
    </row>
    <row r="31" customFormat="false" ht="15" hidden="false" customHeight="false" outlineLevel="0" collapsed="false">
      <c r="A31" s="12" t="n">
        <v>45809</v>
      </c>
      <c r="B31" s="18" t="n">
        <f aca="false">IF(COUNTIFS(速報_原データ!$A$5:$A$200,$A31,速報_原データ!$B$5:$B$200,B$3)&gt;0,SUMIFS(速報_原データ!$C$5:$C$200,速報_原データ!$A$5:$A$200,$A31,速報_原データ!$B$5:$B$200,B$3)/100,IF(COUNTIFS(速報_原データ!$A$5:$A$200,EDATE($A31,12),速報_原データ!$B$5:$B$200,B$3)&gt;0,SUMIFS(速報_原データ!$C$5:$C$200,速報_原データ!$A$5:$A$200,EDATE($A31,12),速報_原データ!$B$5:$B$200,B$3)/100/(1+SUMIFS(速報_原データ!$D$5:$D$200,速報_原データ!$A$5:$A$200,EDATE($A31,12),速報_原データ!$B$5:$B$200,B$3)/100),IF(COUNTIFS(速報_原データ!$I$6:$I$9,EDATE($A31,12),速報_原データ!$J$6:$J$9,B$3)&gt;0,B43/(1+SUMIFS(速報_原データ!$K$6:$K$9,速報_原データ!$I$6:$I$9,EDATE($A31,12),速報_原データ!$J$6:$J$9,B$3)/100),AVERAGE(B30,B32))))</f>
        <v>3877.8</v>
      </c>
      <c r="C31" s="18" t="n">
        <f aca="false">IF(COUNTIFS(速報_原データ!$A$5:$A$200,$A31,速報_原データ!$B$5:$B$200,C$3)&gt;0,SUMIFS(速報_原データ!$C$5:$C$200,速報_原データ!$A$5:$A$200,$A31,速報_原データ!$B$5:$B$200,C$3)/100,IF(COUNTIFS(速報_原データ!$A$5:$A$200,EDATE($A31,12),速報_原データ!$B$5:$B$200,C$3)&gt;0,SUMIFS(速報_原データ!$C$5:$C$200,速報_原データ!$A$5:$A$200,EDATE($A31,12),速報_原データ!$B$5:$B$200,C$3)/100/(1+SUMIFS(速報_原データ!$D$5:$D$200,速報_原データ!$A$5:$A$200,EDATE($A31,12),速報_原データ!$B$5:$B$200,C$3)/100),IF(COUNTIFS(速報_原データ!$I$6:$I$9,EDATE($A31,12),速報_原データ!$J$6:$J$9,C$3)&gt;0,C43/(1+SUMIFS(速報_原データ!$K$6:$K$9,速報_原データ!$I$6:$I$9,EDATE($A31,12),速報_原データ!$J$6:$J$9,C$3)/100),AVERAGE(C30,C32))))</f>
        <v>3461.53</v>
      </c>
      <c r="D31" s="18" t="n">
        <f aca="false">IF(COUNTIFS(速報_原データ!$A$5:$A$200,$A31,速報_原データ!$B$5:$B$200,D$3)&gt;0,SUMIFS(速報_原データ!$C$5:$C$200,速報_原データ!$A$5:$A$200,$A31,速報_原データ!$B$5:$B$200,D$3)/100,IF(COUNTIFS(速報_原データ!$A$5:$A$200,EDATE($A31,12),速報_原データ!$B$5:$B$200,D$3)&gt;0,SUMIFS(速報_原データ!$C$5:$C$200,速報_原データ!$A$5:$A$200,EDATE($A31,12),速報_原データ!$B$5:$B$200,D$3)/100/(1+SUMIFS(速報_原データ!$D$5:$D$200,速報_原データ!$A$5:$A$200,EDATE($A31,12),速報_原データ!$B$5:$B$200,D$3)/100),IF(COUNTIFS(速報_原データ!$I$6:$I$9,EDATE($A31,12),速報_原データ!$J$6:$J$9,D$3)&gt;0,D43/(1+SUMIFS(速報_原データ!$K$6:$K$9,速報_原データ!$I$6:$I$9,EDATE($A31,12),速報_原データ!$J$6:$J$9,D$3)/100),AVERAGE(D30,D32))))</f>
        <v>1749.84</v>
      </c>
      <c r="E31" s="18" t="n">
        <f aca="false">IF(COUNTIFS(速報_原データ!$A$5:$A$200,$A31,速報_原データ!$B$5:$B$200,E$3)&gt;0,SUMIFS(速報_原データ!$C$5:$C$200,速報_原データ!$A$5:$A$200,$A31,速報_原データ!$B$5:$B$200,E$3)/100,IF(COUNTIFS(速報_原データ!$A$5:$A$200,EDATE($A31,12),速報_原データ!$B$5:$B$200,E$3)&gt;0,SUMIFS(速報_原データ!$C$5:$C$200,速報_原データ!$A$5:$A$200,EDATE($A31,12),速報_原データ!$B$5:$B$200,E$3)/100/(1+SUMIFS(速報_原データ!$D$5:$D$200,速報_原データ!$A$5:$A$200,EDATE($A31,12),速報_原データ!$B$5:$B$200,E$3)/100),IF(COUNTIFS(速報_原データ!$I$6:$I$9,EDATE($A31,12),速報_原データ!$J$6:$J$9,E$3)&gt;0,E43/(1+SUMIFS(速報_原データ!$K$6:$K$9,速報_原データ!$I$6:$I$9,EDATE($A31,12),速報_原データ!$J$6:$J$9,E$3)/100),AVERAGE(E30,E32))))</f>
        <v>633.85</v>
      </c>
      <c r="F31" s="18" t="n">
        <f aca="false">IF(COUNTIFS(速報_原データ!$A$5:$A$200,$A31,速報_原データ!$B$5:$B$200,F$3)&gt;0,SUMIFS(速報_原データ!$C$5:$C$200,速報_原データ!$A$5:$A$200,$A31,速報_原データ!$B$5:$B$200,F$3)/100,IF(COUNTIFS(速報_原データ!$A$5:$A$200,EDATE($A31,12),速報_原データ!$B$5:$B$200,F$3)&gt;0,SUMIFS(速報_原データ!$C$5:$C$200,速報_原データ!$A$5:$A$200,EDATE($A31,12),速報_原データ!$B$5:$B$200,F$3)/100/(1+SUMIFS(速報_原データ!$D$5:$D$200,速報_原データ!$A$5:$A$200,EDATE($A31,12),速報_原データ!$B$5:$B$200,F$3)/100),IF(COUNTIFS(速報_原データ!$I$6:$I$9,EDATE($A31,12),速報_原データ!$J$6:$J$9,F$3)&gt;0,F43/(1+SUMIFS(速報_原データ!$K$6:$K$9,速報_原データ!$I$6:$I$9,EDATE($A31,12),速報_原データ!$J$6:$J$9,F$3)/100),AVERAGE(F30,F32))))</f>
        <v>356.05</v>
      </c>
      <c r="G31" s="18" t="n">
        <f aca="false">IF(COUNTIFS(速報_原データ!$A$5:$A$200,$A31,速報_原データ!$B$5:$B$200,G$3)&gt;0,SUMIFS(速報_原データ!$C$5:$C$200,速報_原データ!$A$5:$A$200,$A31,速報_原データ!$B$5:$B$200,G$3)/100,IF(COUNTIFS(速報_原データ!$A$5:$A$200,EDATE($A31,12),速報_原データ!$B$5:$B$200,G$3)&gt;0,SUMIFS(速報_原データ!$C$5:$C$200,速報_原データ!$A$5:$A$200,EDATE($A31,12),速報_原データ!$B$5:$B$200,G$3)/100/(1+SUMIFS(速報_原データ!$D$5:$D$200,速報_原データ!$A$5:$A$200,EDATE($A31,12),速報_原データ!$B$5:$B$200,G$3)/100),IF(COUNTIFS(速報_原データ!$I$6:$I$9,EDATE($A31,12),速報_原データ!$J$6:$J$9,G$3)&gt;0,G43/(1+SUMIFS(速報_原データ!$K$6:$K$9,速報_原データ!$I$6:$I$9,EDATE($A31,12),速報_原データ!$J$6:$J$9,G$3)/100),AVERAGE(G30,G32))))</f>
        <v>43.8</v>
      </c>
      <c r="H31" s="18" t="n">
        <f aca="false">IF(COUNTIFS(速報_原データ!$A$5:$A$200,$A31,速報_原データ!$B$5:$B$200,H$3)&gt;0,SUMIFS(速報_原データ!$C$5:$C$200,速報_原データ!$A$5:$A$200,$A31,速報_原データ!$B$5:$B$200,H$3)/100,IF(COUNTIFS(速報_原データ!$A$5:$A$200,EDATE($A31,12),速報_原データ!$B$5:$B$200,H$3)&gt;0,SUMIFS(速報_原データ!$C$5:$C$200,速報_原データ!$A$5:$A$200,EDATE($A31,12),速報_原データ!$B$5:$B$200,H$3)/100/(1+SUMIFS(速報_原データ!$D$5:$D$200,速報_原データ!$A$5:$A$200,EDATE($A31,12),速報_原データ!$B$5:$B$200,H$3)/100),IF(COUNTIFS(速報_原データ!$I$6:$I$9,EDATE($A31,12),速報_原データ!$J$6:$J$9,H$3)&gt;0,H43/(1+SUMIFS(速報_原データ!$K$6:$K$9,速報_原データ!$I$6:$I$9,EDATE($A31,12),速報_原データ!$J$6:$J$9,H$3)/100),AVERAGE(H30,H32))))</f>
        <v>161.53</v>
      </c>
      <c r="I31" s="18" t="n">
        <f aca="false">B31-D31</f>
        <v>2127.96</v>
      </c>
      <c r="J31" s="18" t="n">
        <f aca="false">C31-D31-E31-H31</f>
        <v>916.31</v>
      </c>
      <c r="K31" s="2" t="s">
        <v>237</v>
      </c>
    </row>
    <row r="32" customFormat="false" ht="15" hidden="false" customHeight="false" outlineLevel="0" collapsed="false">
      <c r="A32" s="12" t="n">
        <v>45839</v>
      </c>
      <c r="B32" s="18" t="n">
        <f aca="false">IF(COUNTIFS(速報_原データ!$A$5:$A$200,$A32,速報_原データ!$B$5:$B$200,B$3)&gt;0,SUMIFS(速報_原データ!$C$5:$C$200,速報_原データ!$A$5:$A$200,$A32,速報_原データ!$B$5:$B$200,B$3)/100,IF(COUNTIFS(速報_原データ!$A$5:$A$200,EDATE($A32,12),速報_原データ!$B$5:$B$200,B$3)&gt;0,SUMIFS(速報_原データ!$C$5:$C$200,速報_原データ!$A$5:$A$200,EDATE($A32,12),速報_原データ!$B$5:$B$200,B$3)/100/(1+SUMIFS(速報_原データ!$D$5:$D$200,速報_原データ!$A$5:$A$200,EDATE($A32,12),速報_原データ!$B$5:$B$200,B$3)/100),IF(COUNTIFS(速報_原データ!$I$6:$I$9,EDATE($A32,12),速報_原データ!$J$6:$J$9,B$3)&gt;0,B44/(1+SUMIFS(速報_原データ!$K$6:$K$9,速報_原データ!$I$6:$I$9,EDATE($A32,12),速報_原データ!$J$6:$J$9,B$3)/100),AVERAGE(B31,B33))))</f>
        <v>3509.43</v>
      </c>
      <c r="C32" s="18" t="n">
        <f aca="false">IF(COUNTIFS(速報_原データ!$A$5:$A$200,$A32,速報_原データ!$B$5:$B$200,C$3)&gt;0,SUMIFS(速報_原データ!$C$5:$C$200,速報_原データ!$A$5:$A$200,$A32,速報_原データ!$B$5:$B$200,C$3)/100,IF(COUNTIFS(速報_原データ!$A$5:$A$200,EDATE($A32,12),速報_原データ!$B$5:$B$200,C$3)&gt;0,SUMIFS(速報_原データ!$C$5:$C$200,速報_原データ!$A$5:$A$200,EDATE($A32,12),速報_原データ!$B$5:$B$200,C$3)/100/(1+SUMIFS(速報_原データ!$D$5:$D$200,速報_原データ!$A$5:$A$200,EDATE($A32,12),速報_原データ!$B$5:$B$200,C$3)/100),IF(COUNTIFS(速報_原データ!$I$6:$I$9,EDATE($A32,12),速報_原データ!$J$6:$J$9,C$3)&gt;0,C44/(1+SUMIFS(速報_原データ!$K$6:$K$9,速報_原データ!$I$6:$I$9,EDATE($A32,12),速報_原データ!$J$6:$J$9,C$3)/100),AVERAGE(C31,C33))))</f>
        <v>3132.78</v>
      </c>
      <c r="D32" s="18" t="n">
        <f aca="false">IF(COUNTIFS(速報_原データ!$A$5:$A$200,$A32,速報_原データ!$B$5:$B$200,D$3)&gt;0,SUMIFS(速報_原データ!$C$5:$C$200,速報_原データ!$A$5:$A$200,$A32,速報_原データ!$B$5:$B$200,D$3)/100,IF(COUNTIFS(速報_原データ!$A$5:$A$200,EDATE($A32,12),速報_原データ!$B$5:$B$200,D$3)&gt;0,SUMIFS(速報_原データ!$C$5:$C$200,速報_原データ!$A$5:$A$200,EDATE($A32,12),速報_原データ!$B$5:$B$200,D$3)/100/(1+SUMIFS(速報_原データ!$D$5:$D$200,速報_原データ!$A$5:$A$200,EDATE($A32,12),速報_原データ!$B$5:$B$200,D$3)/100),IF(COUNTIFS(速報_原データ!$I$6:$I$9,EDATE($A32,12),速報_原データ!$J$6:$J$9,D$3)&gt;0,D44/(1+SUMIFS(速報_原データ!$K$6:$K$9,速報_原データ!$I$6:$I$9,EDATE($A32,12),速報_原データ!$J$6:$J$9,D$3)/100),AVERAGE(D31,D33))))</f>
        <v>1564.05</v>
      </c>
      <c r="E32" s="18" t="n">
        <f aca="false">IF(COUNTIFS(速報_原データ!$A$5:$A$200,$A32,速報_原データ!$B$5:$B$200,E$3)&gt;0,SUMIFS(速報_原データ!$C$5:$C$200,速報_原データ!$A$5:$A$200,$A32,速報_原データ!$B$5:$B$200,E$3)/100,IF(COUNTIFS(速報_原データ!$A$5:$A$200,EDATE($A32,12),速報_原データ!$B$5:$B$200,E$3)&gt;0,SUMIFS(速報_原データ!$C$5:$C$200,速報_原データ!$A$5:$A$200,EDATE($A32,12),速報_原データ!$B$5:$B$200,E$3)/100/(1+SUMIFS(速報_原データ!$D$5:$D$200,速報_原データ!$A$5:$A$200,EDATE($A32,12),速報_原データ!$B$5:$B$200,E$3)/100),IF(COUNTIFS(速報_原データ!$I$6:$I$9,EDATE($A32,12),速報_原データ!$J$6:$J$9,E$3)&gt;0,E44/(1+SUMIFS(速報_原データ!$K$6:$K$9,速報_原データ!$I$6:$I$9,EDATE($A32,12),速報_原データ!$J$6:$J$9,E$3)/100),AVERAGE(E31,E33))))</f>
        <v>423.6</v>
      </c>
      <c r="F32" s="18" t="n">
        <f aca="false">IF(COUNTIFS(速報_原データ!$A$5:$A$200,$A32,速報_原データ!$B$5:$B$200,F$3)&gt;0,SUMIFS(速報_原データ!$C$5:$C$200,速報_原データ!$A$5:$A$200,$A32,速報_原データ!$B$5:$B$200,F$3)/100,IF(COUNTIFS(速報_原データ!$A$5:$A$200,EDATE($A32,12),速報_原データ!$B$5:$B$200,F$3)&gt;0,SUMIFS(速報_原データ!$C$5:$C$200,速報_原データ!$A$5:$A$200,EDATE($A32,12),速報_原データ!$B$5:$B$200,F$3)/100/(1+SUMIFS(速報_原データ!$D$5:$D$200,速報_原データ!$A$5:$A$200,EDATE($A32,12),速報_原データ!$B$5:$B$200,F$3)/100),IF(COUNTIFS(速報_原データ!$I$6:$I$9,EDATE($A32,12),速報_原データ!$J$6:$J$9,F$3)&gt;0,F44/(1+SUMIFS(速報_原データ!$K$6:$K$9,速報_原データ!$I$6:$I$9,EDATE($A32,12),速報_原データ!$J$6:$J$9,F$3)/100),AVERAGE(F31,F33))))</f>
        <v>302.09</v>
      </c>
      <c r="G32" s="18" t="n">
        <f aca="false">IF(COUNTIFS(速報_原データ!$A$5:$A$200,$A32,速報_原データ!$B$5:$B$200,G$3)&gt;0,SUMIFS(速報_原データ!$C$5:$C$200,速報_原データ!$A$5:$A$200,$A32,速報_原データ!$B$5:$B$200,G$3)/100,IF(COUNTIFS(速報_原データ!$A$5:$A$200,EDATE($A32,12),速報_原データ!$B$5:$B$200,G$3)&gt;0,SUMIFS(速報_原データ!$C$5:$C$200,速報_原データ!$A$5:$A$200,EDATE($A32,12),速報_原データ!$B$5:$B$200,G$3)/100/(1+SUMIFS(速報_原データ!$D$5:$D$200,速報_原データ!$A$5:$A$200,EDATE($A32,12),速報_原データ!$B$5:$B$200,G$3)/100),IF(COUNTIFS(速報_原データ!$I$6:$I$9,EDATE($A32,12),速報_原データ!$J$6:$J$9,G$3)&gt;0,G44/(1+SUMIFS(速報_原データ!$K$6:$K$9,速報_原データ!$I$6:$I$9,EDATE($A32,12),速報_原データ!$J$6:$J$9,G$3)/100),AVERAGE(G31,G33))))</f>
        <v>59.04</v>
      </c>
      <c r="H32" s="18" t="n">
        <f aca="false">IF(COUNTIFS(速報_原データ!$A$5:$A$200,$A32,速報_原データ!$B$5:$B$200,H$3)&gt;0,SUMIFS(速報_原データ!$C$5:$C$200,速報_原データ!$A$5:$A$200,$A32,速報_原データ!$B$5:$B$200,H$3)/100,IF(COUNTIFS(速報_原データ!$A$5:$A$200,EDATE($A32,12),速報_原データ!$B$5:$B$200,H$3)&gt;0,SUMIFS(速報_原データ!$C$5:$C$200,速報_原データ!$A$5:$A$200,EDATE($A32,12),速報_原データ!$B$5:$B$200,H$3)/100/(1+SUMIFS(速報_原データ!$D$5:$D$200,速報_原データ!$A$5:$A$200,EDATE($A32,12),速報_原データ!$B$5:$B$200,H$3)/100),IF(COUNTIFS(速報_原データ!$I$6:$I$9,EDATE($A32,12),速報_原データ!$J$6:$J$9,H$3)&gt;0,H44/(1+SUMIFS(速報_原データ!$K$6:$K$9,速報_原データ!$I$6:$I$9,EDATE($A32,12),速報_原データ!$J$6:$J$9,H$3)/100),AVERAGE(H31,H33))))</f>
        <v>267.87</v>
      </c>
      <c r="I32" s="18" t="n">
        <f aca="false">B32-D32</f>
        <v>1945.38</v>
      </c>
      <c r="J32" s="18" t="n">
        <f aca="false">C32-D32-E32-H32</f>
        <v>877.26</v>
      </c>
      <c r="K32" s="2" t="s">
        <v>237</v>
      </c>
    </row>
    <row r="33" customFormat="false" ht="15" hidden="false" customHeight="false" outlineLevel="0" collapsed="false">
      <c r="A33" s="12" t="n">
        <v>45870</v>
      </c>
      <c r="B33" s="18" t="n">
        <f aca="false">IF(COUNTIFS(速報_原データ!$A$5:$A$200,$A33,速報_原データ!$B$5:$B$200,B$3)&gt;0,SUMIFS(速報_原データ!$C$5:$C$200,速報_原データ!$A$5:$A$200,$A33,速報_原データ!$B$5:$B$200,B$3)/100,IF(COUNTIFS(速報_原データ!$A$5:$A$200,EDATE($A33,12),速報_原データ!$B$5:$B$200,B$3)&gt;0,SUMIFS(速報_原データ!$C$5:$C$200,速報_原データ!$A$5:$A$200,EDATE($A33,12),速報_原データ!$B$5:$B$200,B$3)/100/(1+SUMIFS(速報_原データ!$D$5:$D$200,速報_原データ!$A$5:$A$200,EDATE($A33,12),速報_原データ!$B$5:$B$200,B$3)/100),IF(COUNTIFS(速報_原データ!$I$6:$I$9,EDATE($A33,12),速報_原データ!$J$6:$J$9,B$3)&gt;0,B45/(1+SUMIFS(速報_原データ!$K$6:$K$9,速報_原データ!$I$6:$I$9,EDATE($A33,12),速報_原データ!$J$6:$J$9,B$3)/100),AVERAGE(B32,B34))))</f>
        <v>3494.46</v>
      </c>
      <c r="C33" s="18" t="n">
        <f aca="false">IF(COUNTIFS(速報_原データ!$A$5:$A$200,$A33,速報_原データ!$B$5:$B$200,C$3)&gt;0,SUMIFS(速報_原データ!$C$5:$C$200,速報_原データ!$A$5:$A$200,$A33,速報_原データ!$B$5:$B$200,C$3)/100,IF(COUNTIFS(速報_原データ!$A$5:$A$200,EDATE($A33,12),速報_原データ!$B$5:$B$200,C$3)&gt;0,SUMIFS(速報_原データ!$C$5:$C$200,速報_原データ!$A$5:$A$200,EDATE($A33,12),速報_原データ!$B$5:$B$200,C$3)/100/(1+SUMIFS(速報_原データ!$D$5:$D$200,速報_原データ!$A$5:$A$200,EDATE($A33,12),速報_原データ!$B$5:$B$200,C$3)/100),IF(COUNTIFS(速報_原データ!$I$6:$I$9,EDATE($A33,12),速報_原データ!$J$6:$J$9,C$3)&gt;0,C45/(1+SUMIFS(速報_原データ!$K$6:$K$9,速報_原データ!$I$6:$I$9,EDATE($A33,12),速報_原データ!$J$6:$J$9,C$3)/100),AVERAGE(C32,C34))))</f>
        <v>3201.82</v>
      </c>
      <c r="D33" s="18" t="n">
        <f aca="false">IF(COUNTIFS(速報_原データ!$A$5:$A$200,$A33,速報_原データ!$B$5:$B$200,D$3)&gt;0,SUMIFS(速報_原データ!$C$5:$C$200,速報_原データ!$A$5:$A$200,$A33,速報_原データ!$B$5:$B$200,D$3)/100,IF(COUNTIFS(速報_原データ!$A$5:$A$200,EDATE($A33,12),速報_原データ!$B$5:$B$200,D$3)&gt;0,SUMIFS(速報_原データ!$C$5:$C$200,速報_原データ!$A$5:$A$200,EDATE($A33,12),速報_原データ!$B$5:$B$200,D$3)/100/(1+SUMIFS(速報_原データ!$D$5:$D$200,速報_原データ!$A$5:$A$200,EDATE($A33,12),速報_原データ!$B$5:$B$200,D$3)/100),IF(COUNTIFS(速報_原データ!$I$6:$I$9,EDATE($A33,12),速報_原データ!$J$6:$J$9,D$3)&gt;0,D45/(1+SUMIFS(速報_原データ!$K$6:$K$9,速報_原データ!$I$6:$I$9,EDATE($A33,12),速報_原データ!$J$6:$J$9,D$3)/100),AVERAGE(D32,D34))))</f>
        <v>1674.9</v>
      </c>
      <c r="E33" s="18" t="n">
        <f aca="false">IF(COUNTIFS(速報_原データ!$A$5:$A$200,$A33,速報_原データ!$B$5:$B$200,E$3)&gt;0,SUMIFS(速報_原データ!$C$5:$C$200,速報_原データ!$A$5:$A$200,$A33,速報_原データ!$B$5:$B$200,E$3)/100,IF(COUNTIFS(速報_原データ!$A$5:$A$200,EDATE($A33,12),速報_原データ!$B$5:$B$200,E$3)&gt;0,SUMIFS(速報_原データ!$C$5:$C$200,速報_原データ!$A$5:$A$200,EDATE($A33,12),速報_原データ!$B$5:$B$200,E$3)/100/(1+SUMIFS(速報_原データ!$D$5:$D$200,速報_原データ!$A$5:$A$200,EDATE($A33,12),速報_原データ!$B$5:$B$200,E$3)/100),IF(COUNTIFS(速報_原データ!$I$6:$I$9,EDATE($A33,12),速報_原データ!$J$6:$J$9,E$3)&gt;0,E45/(1+SUMIFS(速報_原データ!$K$6:$K$9,速報_原データ!$I$6:$I$9,EDATE($A33,12),速報_原データ!$J$6:$J$9,E$3)/100),AVERAGE(E32,E34))))</f>
        <v>499.97</v>
      </c>
      <c r="F33" s="18" t="n">
        <f aca="false">IF(COUNTIFS(速報_原データ!$A$5:$A$200,$A33,速報_原データ!$B$5:$B$200,F$3)&gt;0,SUMIFS(速報_原データ!$C$5:$C$200,速報_原データ!$A$5:$A$200,$A33,速報_原データ!$B$5:$B$200,F$3)/100,IF(COUNTIFS(速報_原データ!$A$5:$A$200,EDATE($A33,12),速報_原データ!$B$5:$B$200,F$3)&gt;0,SUMIFS(速報_原データ!$C$5:$C$200,速報_原データ!$A$5:$A$200,EDATE($A33,12),速報_原データ!$B$5:$B$200,F$3)/100/(1+SUMIFS(速報_原データ!$D$5:$D$200,速報_原データ!$A$5:$A$200,EDATE($A33,12),速報_原データ!$B$5:$B$200,F$3)/100),IF(COUNTIFS(速報_原データ!$I$6:$I$9,EDATE($A33,12),速報_原データ!$J$6:$J$9,F$3)&gt;0,F45/(1+SUMIFS(速報_原データ!$K$6:$K$9,速報_原データ!$I$6:$I$9,EDATE($A33,12),速報_原データ!$J$6:$J$9,F$3)/100),AVERAGE(F32,F34))))</f>
        <v>228.16</v>
      </c>
      <c r="G33" s="18" t="n">
        <f aca="false">IF(COUNTIFS(速報_原データ!$A$5:$A$200,$A33,速報_原データ!$B$5:$B$200,G$3)&gt;0,SUMIFS(速報_原データ!$C$5:$C$200,速報_原データ!$A$5:$A$200,$A33,速報_原データ!$B$5:$B$200,G$3)/100,IF(COUNTIFS(速報_原データ!$A$5:$A$200,EDATE($A33,12),速報_原データ!$B$5:$B$200,G$3)&gt;0,SUMIFS(速報_原データ!$C$5:$C$200,速報_原データ!$A$5:$A$200,EDATE($A33,12),速報_原データ!$B$5:$B$200,G$3)/100/(1+SUMIFS(速報_原データ!$D$5:$D$200,速報_原データ!$A$5:$A$200,EDATE($A33,12),速報_原データ!$B$5:$B$200,G$3)/100),IF(COUNTIFS(速報_原データ!$I$6:$I$9,EDATE($A33,12),速報_原データ!$J$6:$J$9,G$3)&gt;0,G45/(1+SUMIFS(速報_原データ!$K$6:$K$9,速報_原データ!$I$6:$I$9,EDATE($A33,12),速報_原データ!$J$6:$J$9,G$3)/100),AVERAGE(G32,G34))))</f>
        <v>55.37</v>
      </c>
      <c r="H33" s="18" t="n">
        <f aca="false">IF(COUNTIFS(速報_原データ!$A$5:$A$200,$A33,速報_原データ!$B$5:$B$200,H$3)&gt;0,SUMIFS(速報_原データ!$C$5:$C$200,速報_原データ!$A$5:$A$200,$A33,速報_原データ!$B$5:$B$200,H$3)/100,IF(COUNTIFS(速報_原データ!$A$5:$A$200,EDATE($A33,12),速報_原データ!$B$5:$B$200,H$3)&gt;0,SUMIFS(速報_原データ!$C$5:$C$200,速報_原データ!$A$5:$A$200,EDATE($A33,12),速報_原データ!$B$5:$B$200,H$3)/100/(1+SUMIFS(速報_原データ!$D$5:$D$200,速報_原データ!$A$5:$A$200,EDATE($A33,12),速報_原データ!$B$5:$B$200,H$3)/100),IF(COUNTIFS(速報_原データ!$I$6:$I$9,EDATE($A33,12),速報_原データ!$J$6:$J$9,H$3)&gt;0,H45/(1+SUMIFS(速報_原データ!$K$6:$K$9,速報_原データ!$I$6:$I$9,EDATE($A33,12),速報_原データ!$J$6:$J$9,H$3)/100),AVERAGE(H32,H34))))</f>
        <v>197.95</v>
      </c>
      <c r="I33" s="18" t="n">
        <f aca="false">B33-D33</f>
        <v>1819.56</v>
      </c>
      <c r="J33" s="18" t="n">
        <f aca="false">C33-D33-E33-H33</f>
        <v>829</v>
      </c>
      <c r="K33" s="2" t="s">
        <v>237</v>
      </c>
    </row>
    <row r="34" customFormat="false" ht="15" hidden="false" customHeight="false" outlineLevel="0" collapsed="false">
      <c r="A34" s="12" t="n">
        <v>45901</v>
      </c>
      <c r="B34" s="18" t="n">
        <f aca="false">IF(COUNTIFS(速報_原データ!$A$5:$A$200,$A34,速報_原データ!$B$5:$B$200,B$3)&gt;0,SUMIFS(速報_原データ!$C$5:$C$200,速報_原データ!$A$5:$A$200,$A34,速報_原データ!$B$5:$B$200,B$3)/100,IF(COUNTIFS(速報_原データ!$A$5:$A$200,EDATE($A34,12),速報_原データ!$B$5:$B$200,B$3)&gt;0,SUMIFS(速報_原データ!$C$5:$C$200,速報_原データ!$A$5:$A$200,EDATE($A34,12),速報_原データ!$B$5:$B$200,B$3)/100/(1+SUMIFS(速報_原データ!$D$5:$D$200,速報_原データ!$A$5:$A$200,EDATE($A34,12),速報_原データ!$B$5:$B$200,B$3)/100),IF(COUNTIFS(速報_原データ!$I$6:$I$9,EDATE($A34,12),速報_原データ!$J$6:$J$9,B$3)&gt;0,B46/(1+SUMIFS(速報_原データ!$K$6:$K$9,速報_原データ!$I$6:$I$9,EDATE($A34,12),速報_原データ!$J$6:$J$9,B$3)/100),AVERAGE(B33,B35))))</f>
        <v>3844.11</v>
      </c>
      <c r="C34" s="18" t="n">
        <f aca="false">IF(COUNTIFS(速報_原データ!$A$5:$A$200,$A34,速報_原データ!$B$5:$B$200,C$3)&gt;0,SUMIFS(速報_原データ!$C$5:$C$200,速報_原データ!$A$5:$A$200,$A34,速報_原データ!$B$5:$B$200,C$3)/100,IF(COUNTIFS(速報_原データ!$A$5:$A$200,EDATE($A34,12),速報_原データ!$B$5:$B$200,C$3)&gt;0,SUMIFS(速報_原データ!$C$5:$C$200,速報_原データ!$A$5:$A$200,EDATE($A34,12),速報_原データ!$B$5:$B$200,C$3)/100/(1+SUMIFS(速報_原データ!$D$5:$D$200,速報_原データ!$A$5:$A$200,EDATE($A34,12),速報_原データ!$B$5:$B$200,C$3)/100),IF(COUNTIFS(速報_原データ!$I$6:$I$9,EDATE($A34,12),速報_原データ!$J$6:$J$9,C$3)&gt;0,C46/(1+SUMIFS(速報_原データ!$K$6:$K$9,速報_原データ!$I$6:$I$9,EDATE($A34,12),速報_原データ!$J$6:$J$9,C$3)/100),AVERAGE(C33,C35))))</f>
        <v>3422.97</v>
      </c>
      <c r="D34" s="18" t="n">
        <f aca="false">IF(COUNTIFS(速報_原データ!$A$5:$A$200,$A34,速報_原データ!$B$5:$B$200,D$3)&gt;0,SUMIFS(速報_原データ!$C$5:$C$200,速報_原データ!$A$5:$A$200,$A34,速報_原データ!$B$5:$B$200,D$3)/100,IF(COUNTIFS(速報_原データ!$A$5:$A$200,EDATE($A34,12),速報_原データ!$B$5:$B$200,D$3)&gt;0,SUMIFS(速報_原データ!$C$5:$C$200,速報_原データ!$A$5:$A$200,EDATE($A34,12),速報_原データ!$B$5:$B$200,D$3)/100/(1+SUMIFS(速報_原データ!$D$5:$D$200,速報_原データ!$A$5:$A$200,EDATE($A34,12),速報_原データ!$B$5:$B$200,D$3)/100),IF(COUNTIFS(速報_原データ!$I$6:$I$9,EDATE($A34,12),速報_原データ!$J$6:$J$9,D$3)&gt;0,D46/(1+SUMIFS(速報_原データ!$K$6:$K$9,速報_原データ!$I$6:$I$9,EDATE($A34,12),速報_原データ!$J$6:$J$9,D$3)/100),AVERAGE(D33,D35))))</f>
        <v>1970.06</v>
      </c>
      <c r="E34" s="18" t="n">
        <f aca="false">IF(COUNTIFS(速報_原データ!$A$5:$A$200,$A34,速報_原データ!$B$5:$B$200,E$3)&gt;0,SUMIFS(速報_原データ!$C$5:$C$200,速報_原データ!$A$5:$A$200,$A34,速報_原データ!$B$5:$B$200,E$3)/100,IF(COUNTIFS(速報_原データ!$A$5:$A$200,EDATE($A34,12),速報_原データ!$B$5:$B$200,E$3)&gt;0,SUMIFS(速報_原データ!$C$5:$C$200,速報_原データ!$A$5:$A$200,EDATE($A34,12),速報_原データ!$B$5:$B$200,E$3)/100/(1+SUMIFS(速報_原データ!$D$5:$D$200,速報_原データ!$A$5:$A$200,EDATE($A34,12),速報_原データ!$B$5:$B$200,E$3)/100),IF(COUNTIFS(速報_原データ!$I$6:$I$9,EDATE($A34,12),速報_原データ!$J$6:$J$9,E$3)&gt;0,E46/(1+SUMIFS(速報_原データ!$K$6:$K$9,速報_原データ!$I$6:$I$9,EDATE($A34,12),速報_原データ!$J$6:$J$9,E$3)/100),AVERAGE(E33,E35))))</f>
        <v>533.01</v>
      </c>
      <c r="F34" s="18" t="n">
        <f aca="false">IF(COUNTIFS(速報_原データ!$A$5:$A$200,$A34,速報_原データ!$B$5:$B$200,F$3)&gt;0,SUMIFS(速報_原データ!$C$5:$C$200,速報_原データ!$A$5:$A$200,$A34,速報_原データ!$B$5:$B$200,F$3)/100,IF(COUNTIFS(速報_原データ!$A$5:$A$200,EDATE($A34,12),速報_原データ!$B$5:$B$200,F$3)&gt;0,SUMIFS(速報_原データ!$C$5:$C$200,速報_原データ!$A$5:$A$200,EDATE($A34,12),速報_原データ!$B$5:$B$200,F$3)/100/(1+SUMIFS(速報_原データ!$D$5:$D$200,速報_原データ!$A$5:$A$200,EDATE($A34,12),速報_原データ!$B$5:$B$200,F$3)/100),IF(COUNTIFS(速報_原データ!$I$6:$I$9,EDATE($A34,12),速報_原データ!$J$6:$J$9,F$3)&gt;0,F46/(1+SUMIFS(速報_原データ!$K$6:$K$9,速報_原データ!$I$6:$I$9,EDATE($A34,12),速報_原データ!$J$6:$J$9,F$3)/100),AVERAGE(F33,F35))))</f>
        <v>317.31</v>
      </c>
      <c r="G34" s="18" t="n">
        <f aca="false">IF(COUNTIFS(速報_原データ!$A$5:$A$200,$A34,速報_原データ!$B$5:$B$200,G$3)&gt;0,SUMIFS(速報_原データ!$C$5:$C$200,速報_原データ!$A$5:$A$200,$A34,速報_原データ!$B$5:$B$200,G$3)/100,IF(COUNTIFS(速報_原データ!$A$5:$A$200,EDATE($A34,12),速報_原データ!$B$5:$B$200,G$3)&gt;0,SUMIFS(速報_原データ!$C$5:$C$200,速報_原データ!$A$5:$A$200,EDATE($A34,12),速報_原データ!$B$5:$B$200,G$3)/100/(1+SUMIFS(速報_原データ!$D$5:$D$200,速報_原データ!$A$5:$A$200,EDATE($A34,12),速報_原データ!$B$5:$B$200,G$3)/100),IF(COUNTIFS(速報_原データ!$I$6:$I$9,EDATE($A34,12),速報_原データ!$J$6:$J$9,G$3)&gt;0,G46/(1+SUMIFS(速報_原データ!$K$6:$K$9,速報_原データ!$I$6:$I$9,EDATE($A34,12),速報_原データ!$J$6:$J$9,G$3)/100),AVERAGE(G33,G35))))</f>
        <v>90.97</v>
      </c>
      <c r="H34" s="18" t="n">
        <f aca="false">IF(COUNTIFS(速報_原データ!$A$5:$A$200,$A34,速報_原データ!$B$5:$B$200,H$3)&gt;0,SUMIFS(速報_原データ!$C$5:$C$200,速報_原データ!$A$5:$A$200,$A34,速報_原データ!$B$5:$B$200,H$3)/100,IF(COUNTIFS(速報_原データ!$A$5:$A$200,EDATE($A34,12),速報_原データ!$B$5:$B$200,H$3)&gt;0,SUMIFS(速報_原データ!$C$5:$C$200,速報_原データ!$A$5:$A$200,EDATE($A34,12),速報_原データ!$B$5:$B$200,H$3)/100/(1+SUMIFS(速報_原データ!$D$5:$D$200,速報_原データ!$A$5:$A$200,EDATE($A34,12),速報_原データ!$B$5:$B$200,H$3)/100),IF(COUNTIFS(速報_原データ!$I$6:$I$9,EDATE($A34,12),速報_原データ!$J$6:$J$9,H$3)&gt;0,H46/(1+SUMIFS(速報_原データ!$K$6:$K$9,速報_原データ!$I$6:$I$9,EDATE($A34,12),速報_原データ!$J$6:$J$9,H$3)/100),AVERAGE(H33,H35))))</f>
        <v>198.43</v>
      </c>
      <c r="I34" s="18" t="n">
        <f aca="false">B34-D34</f>
        <v>1874.05</v>
      </c>
      <c r="J34" s="18" t="n">
        <f aca="false">C34-D34-E34-H34</f>
        <v>721.47</v>
      </c>
      <c r="K34" s="2" t="s">
        <v>237</v>
      </c>
    </row>
    <row r="35" customFormat="false" ht="15" hidden="false" customHeight="false" outlineLevel="0" collapsed="false">
      <c r="A35" s="12" t="n">
        <v>45931</v>
      </c>
      <c r="B35" s="18" t="n">
        <f aca="false">IF(COUNTIFS(速報_原データ!$A$5:$A$200,$A35,速報_原データ!$B$5:$B$200,B$3)&gt;0,SUMIFS(速報_原データ!$C$5:$C$200,速報_原データ!$A$5:$A$200,$A35,速報_原データ!$B$5:$B$200,B$3)/100,IF(COUNTIFS(速報_原データ!$A$5:$A$200,EDATE($A35,12),速報_原データ!$B$5:$B$200,B$3)&gt;0,SUMIFS(速報_原データ!$C$5:$C$200,速報_原データ!$A$5:$A$200,EDATE($A35,12),速報_原データ!$B$5:$B$200,B$3)/100/(1+SUMIFS(速報_原データ!$D$5:$D$200,速報_原データ!$A$5:$A$200,EDATE($A35,12),速報_原データ!$B$5:$B$200,B$3)/100),IF(COUNTIFS(速報_原データ!$I$6:$I$9,EDATE($A35,12),速報_原データ!$J$6:$J$9,B$3)&gt;0,B47/(1+SUMIFS(速報_原データ!$K$6:$K$9,速報_原データ!$I$6:$I$9,EDATE($A35,12),速報_原データ!$J$6:$J$9,B$3)/100),AVERAGE(B34,B36))))</f>
        <v>3635.38</v>
      </c>
      <c r="C35" s="18" t="n">
        <f aca="false">IF(COUNTIFS(速報_原データ!$A$5:$A$200,$A35,速報_原データ!$B$5:$B$200,C$3)&gt;0,SUMIFS(速報_原データ!$C$5:$C$200,速報_原データ!$A$5:$A$200,$A35,速報_原データ!$B$5:$B$200,C$3)/100,IF(COUNTIFS(速報_原データ!$A$5:$A$200,EDATE($A35,12),速報_原データ!$B$5:$B$200,C$3)&gt;0,SUMIFS(速報_原データ!$C$5:$C$200,速報_原データ!$A$5:$A$200,EDATE($A35,12),速報_原データ!$B$5:$B$200,C$3)/100/(1+SUMIFS(速報_原データ!$D$5:$D$200,速報_原データ!$A$5:$A$200,EDATE($A35,12),速報_原データ!$B$5:$B$200,C$3)/100),IF(COUNTIFS(速報_原データ!$I$6:$I$9,EDATE($A35,12),速報_原データ!$J$6:$J$9,C$3)&gt;0,C47/(1+SUMIFS(速報_原データ!$K$6:$K$9,速報_原データ!$I$6:$I$9,EDATE($A35,12),速報_原データ!$J$6:$J$9,C$3)/100),AVERAGE(C34,C36))))</f>
        <v>3230.23</v>
      </c>
      <c r="D35" s="18" t="n">
        <f aca="false">IF(COUNTIFS(速報_原データ!$A$5:$A$200,$A35,速報_原データ!$B$5:$B$200,D$3)&gt;0,SUMIFS(速報_原データ!$C$5:$C$200,速報_原データ!$A$5:$A$200,$A35,速報_原データ!$B$5:$B$200,D$3)/100,IF(COUNTIFS(速報_原データ!$A$5:$A$200,EDATE($A35,12),速報_原データ!$B$5:$B$200,D$3)&gt;0,SUMIFS(速報_原データ!$C$5:$C$200,速報_原データ!$A$5:$A$200,EDATE($A35,12),速報_原データ!$B$5:$B$200,D$3)/100/(1+SUMIFS(速報_原データ!$D$5:$D$200,速報_原データ!$A$5:$A$200,EDATE($A35,12),速報_原データ!$B$5:$B$200,D$3)/100),IF(COUNTIFS(速報_原データ!$I$6:$I$9,EDATE($A35,12),速報_原データ!$J$6:$J$9,D$3)&gt;0,D47/(1+SUMIFS(速報_原データ!$K$6:$K$9,速報_原データ!$I$6:$I$9,EDATE($A35,12),速報_原データ!$J$6:$J$9,D$3)/100),AVERAGE(D34,D36))))</f>
        <v>1492.05</v>
      </c>
      <c r="E35" s="18" t="n">
        <f aca="false">IF(COUNTIFS(速報_原データ!$A$5:$A$200,$A35,速報_原データ!$B$5:$B$200,E$3)&gt;0,SUMIFS(速報_原データ!$C$5:$C$200,速報_原データ!$A$5:$A$200,$A35,速報_原データ!$B$5:$B$200,E$3)/100,IF(COUNTIFS(速報_原データ!$A$5:$A$200,EDATE($A35,12),速報_原データ!$B$5:$B$200,E$3)&gt;0,SUMIFS(速報_原データ!$C$5:$C$200,速報_原データ!$A$5:$A$200,EDATE($A35,12),速報_原データ!$B$5:$B$200,E$3)/100/(1+SUMIFS(速報_原データ!$D$5:$D$200,速報_原データ!$A$5:$A$200,EDATE($A35,12),速報_原データ!$B$5:$B$200,E$3)/100),IF(COUNTIFS(速報_原データ!$I$6:$I$9,EDATE($A35,12),速報_原データ!$J$6:$J$9,E$3)&gt;0,E47/(1+SUMIFS(速報_原データ!$K$6:$K$9,速報_原データ!$I$6:$I$9,EDATE($A35,12),速報_原データ!$J$6:$J$9,E$3)/100),AVERAGE(E34,E36))))</f>
        <v>554.28</v>
      </c>
      <c r="F35" s="18" t="n">
        <f aca="false">IF(COUNTIFS(速報_原データ!$A$5:$A$200,$A35,速報_原データ!$B$5:$B$200,F$3)&gt;0,SUMIFS(速報_原データ!$C$5:$C$200,速報_原データ!$A$5:$A$200,$A35,速報_原データ!$B$5:$B$200,F$3)/100,IF(COUNTIFS(速報_原データ!$A$5:$A$200,EDATE($A35,12),速報_原データ!$B$5:$B$200,F$3)&gt;0,SUMIFS(速報_原データ!$C$5:$C$200,速報_原データ!$A$5:$A$200,EDATE($A35,12),速報_原データ!$B$5:$B$200,F$3)/100/(1+SUMIFS(速報_原データ!$D$5:$D$200,速報_原データ!$A$5:$A$200,EDATE($A35,12),速報_原データ!$B$5:$B$200,F$3)/100),IF(COUNTIFS(速報_原データ!$I$6:$I$9,EDATE($A35,12),速報_原データ!$J$6:$J$9,F$3)&gt;0,F47/(1+SUMIFS(速報_原データ!$K$6:$K$9,速報_原データ!$I$6:$I$9,EDATE($A35,12),速報_原データ!$J$6:$J$9,F$3)/100),AVERAGE(F34,F36))))</f>
        <v>290.31</v>
      </c>
      <c r="G35" s="18" t="n">
        <f aca="false">IF(COUNTIFS(速報_原データ!$A$5:$A$200,$A35,速報_原データ!$B$5:$B$200,G$3)&gt;0,SUMIFS(速報_原データ!$C$5:$C$200,速報_原データ!$A$5:$A$200,$A35,速報_原データ!$B$5:$B$200,G$3)/100,IF(COUNTIFS(速報_原データ!$A$5:$A$200,EDATE($A35,12),速報_原データ!$B$5:$B$200,G$3)&gt;0,SUMIFS(速報_原データ!$C$5:$C$200,速報_原データ!$A$5:$A$200,EDATE($A35,12),速報_原データ!$B$5:$B$200,G$3)/100/(1+SUMIFS(速報_原データ!$D$5:$D$200,速報_原データ!$A$5:$A$200,EDATE($A35,12),速報_原データ!$B$5:$B$200,G$3)/100),IF(COUNTIFS(速報_原データ!$I$6:$I$9,EDATE($A35,12),速報_原データ!$J$6:$J$9,G$3)&gt;0,G47/(1+SUMIFS(速報_原データ!$K$6:$K$9,速報_原データ!$I$6:$I$9,EDATE($A35,12),速報_原データ!$J$6:$J$9,G$3)/100),AVERAGE(G34,G36))))</f>
        <v>95.13</v>
      </c>
      <c r="H35" s="18" t="n">
        <f aca="false">IF(COUNTIFS(速報_原データ!$A$5:$A$200,$A35,速報_原データ!$B$5:$B$200,H$3)&gt;0,SUMIFS(速報_原データ!$C$5:$C$200,速報_原データ!$A$5:$A$200,$A35,速報_原データ!$B$5:$B$200,H$3)/100,IF(COUNTIFS(速報_原データ!$A$5:$A$200,EDATE($A35,12),速報_原データ!$B$5:$B$200,H$3)&gt;0,SUMIFS(速報_原データ!$C$5:$C$200,速報_原データ!$A$5:$A$200,EDATE($A35,12),速報_原データ!$B$5:$B$200,H$3)/100/(1+SUMIFS(速報_原データ!$D$5:$D$200,速報_原データ!$A$5:$A$200,EDATE($A35,12),速報_原データ!$B$5:$B$200,H$3)/100),IF(COUNTIFS(速報_原データ!$I$6:$I$9,EDATE($A35,12),速報_原データ!$J$6:$J$9,H$3)&gt;0,H47/(1+SUMIFS(速報_原データ!$K$6:$K$9,速報_原データ!$I$6:$I$9,EDATE($A35,12),速報_原データ!$J$6:$J$9,H$3)/100),AVERAGE(H34,H36))))</f>
        <v>340.77</v>
      </c>
      <c r="I35" s="18" t="n">
        <f aca="false">B35-D35</f>
        <v>2143.33</v>
      </c>
      <c r="J35" s="18" t="n">
        <f aca="false">C35-D35-E35-H35</f>
        <v>843.13</v>
      </c>
      <c r="K35" s="2" t="s">
        <v>237</v>
      </c>
    </row>
    <row r="36" customFormat="false" ht="15" hidden="false" customHeight="false" outlineLevel="0" collapsed="false">
      <c r="A36" s="12" t="n">
        <v>45962</v>
      </c>
      <c r="B36" s="18" t="n">
        <f aca="false">IF(COUNTIFS(速報_原データ!$A$5:$A$200,$A36,速報_原データ!$B$5:$B$200,B$3)&gt;0,SUMIFS(速報_原データ!$C$5:$C$200,速報_原データ!$A$5:$A$200,$A36,速報_原データ!$B$5:$B$200,B$3)/100,IF(COUNTIFS(速報_原データ!$A$5:$A$200,EDATE($A36,12),速報_原データ!$B$5:$B$200,B$3)&gt;0,SUMIFS(速報_原データ!$C$5:$C$200,速報_原データ!$A$5:$A$200,EDATE($A36,12),速報_原データ!$B$5:$B$200,B$3)/100/(1+SUMIFS(速報_原データ!$D$5:$D$200,速報_原データ!$A$5:$A$200,EDATE($A36,12),速報_原データ!$B$5:$B$200,B$3)/100),IF(COUNTIFS(速報_原データ!$I$6:$I$9,EDATE($A36,12),速報_原データ!$J$6:$J$9,B$3)&gt;0,B48/(1+SUMIFS(速報_原データ!$K$6:$K$9,速報_原データ!$I$6:$I$9,EDATE($A36,12),速報_原データ!$J$6:$J$9,B$3)/100),AVERAGE(B35,B37))))</f>
        <v>3792.23</v>
      </c>
      <c r="C36" s="18" t="n">
        <f aca="false">IF(COUNTIFS(速報_原データ!$A$5:$A$200,$A36,速報_原データ!$B$5:$B$200,C$3)&gt;0,SUMIFS(速報_原データ!$C$5:$C$200,速報_原データ!$A$5:$A$200,$A36,速報_原データ!$B$5:$B$200,C$3)/100,IF(COUNTIFS(速報_原データ!$A$5:$A$200,EDATE($A36,12),速報_原データ!$B$5:$B$200,C$3)&gt;0,SUMIFS(速報_原データ!$C$5:$C$200,速報_原データ!$A$5:$A$200,EDATE($A36,12),速報_原データ!$B$5:$B$200,C$3)/100/(1+SUMIFS(速報_原データ!$D$5:$D$200,速報_原データ!$A$5:$A$200,EDATE($A36,12),速報_原データ!$B$5:$B$200,C$3)/100),IF(COUNTIFS(速報_原データ!$I$6:$I$9,EDATE($A36,12),速報_原データ!$J$6:$J$9,C$3)&gt;0,C48/(1+SUMIFS(速報_原データ!$K$6:$K$9,速報_原データ!$I$6:$I$9,EDATE($A36,12),速報_原データ!$J$6:$J$9,C$3)/100),AVERAGE(C35,C37))))</f>
        <v>3384.07</v>
      </c>
      <c r="D36" s="18" t="n">
        <f aca="false">IF(COUNTIFS(速報_原データ!$A$5:$A$200,$A36,速報_原データ!$B$5:$B$200,D$3)&gt;0,SUMIFS(速報_原データ!$C$5:$C$200,速報_原データ!$A$5:$A$200,$A36,速報_原データ!$B$5:$B$200,D$3)/100,IF(COUNTIFS(速報_原データ!$A$5:$A$200,EDATE($A36,12),速報_原データ!$B$5:$B$200,D$3)&gt;0,SUMIFS(速報_原データ!$C$5:$C$200,速報_原データ!$A$5:$A$200,EDATE($A36,12),速報_原データ!$B$5:$B$200,D$3)/100/(1+SUMIFS(速報_原データ!$D$5:$D$200,速報_原データ!$A$5:$A$200,EDATE($A36,12),速報_原データ!$B$5:$B$200,D$3)/100),IF(COUNTIFS(速報_原データ!$I$6:$I$9,EDATE($A36,12),速報_原データ!$J$6:$J$9,D$3)&gt;0,D48/(1+SUMIFS(速報_原データ!$K$6:$K$9,速報_原データ!$I$6:$I$9,EDATE($A36,12),速報_原データ!$J$6:$J$9,D$3)/100),AVERAGE(D35,D37))))</f>
        <v>1398.74</v>
      </c>
      <c r="E36" s="18" t="n">
        <f aca="false">IF(COUNTIFS(速報_原データ!$A$5:$A$200,$A36,速報_原データ!$B$5:$B$200,E$3)&gt;0,SUMIFS(速報_原データ!$C$5:$C$200,速報_原データ!$A$5:$A$200,$A36,速報_原データ!$B$5:$B$200,E$3)/100,IF(COUNTIFS(速報_原データ!$A$5:$A$200,EDATE($A36,12),速報_原データ!$B$5:$B$200,E$3)&gt;0,SUMIFS(速報_原データ!$C$5:$C$200,速報_原データ!$A$5:$A$200,EDATE($A36,12),速報_原データ!$B$5:$B$200,E$3)/100/(1+SUMIFS(速報_原データ!$D$5:$D$200,速報_原データ!$A$5:$A$200,EDATE($A36,12),速報_原データ!$B$5:$B$200,E$3)/100),IF(COUNTIFS(速報_原データ!$I$6:$I$9,EDATE($A36,12),速報_原データ!$J$6:$J$9,E$3)&gt;0,E48/(1+SUMIFS(速報_原データ!$K$6:$K$9,速報_原データ!$I$6:$I$9,EDATE($A36,12),速報_原データ!$J$6:$J$9,E$3)/100),AVERAGE(E35,E37))))</f>
        <v>617.66</v>
      </c>
      <c r="F36" s="18" t="n">
        <f aca="false">IF(COUNTIFS(速報_原データ!$A$5:$A$200,$A36,速報_原データ!$B$5:$B$200,F$3)&gt;0,SUMIFS(速報_原データ!$C$5:$C$200,速報_原データ!$A$5:$A$200,$A36,速報_原データ!$B$5:$B$200,F$3)/100,IF(COUNTIFS(速報_原データ!$A$5:$A$200,EDATE($A36,12),速報_原データ!$B$5:$B$200,F$3)&gt;0,SUMIFS(速報_原データ!$C$5:$C$200,速報_原データ!$A$5:$A$200,EDATE($A36,12),速報_原データ!$B$5:$B$200,F$3)/100/(1+SUMIFS(速報_原データ!$D$5:$D$200,速報_原データ!$A$5:$A$200,EDATE($A36,12),速報_原データ!$B$5:$B$200,F$3)/100),IF(COUNTIFS(速報_原データ!$I$6:$I$9,EDATE($A36,12),速報_原データ!$J$6:$J$9,F$3)&gt;0,F48/(1+SUMIFS(速報_原データ!$K$6:$K$9,速報_原データ!$I$6:$I$9,EDATE($A36,12),速報_原データ!$J$6:$J$9,F$3)/100),AVERAGE(F35,F37))))</f>
        <v>300.23</v>
      </c>
      <c r="G36" s="18" t="n">
        <f aca="false">IF(COUNTIFS(速報_原データ!$A$5:$A$200,$A36,速報_原データ!$B$5:$B$200,G$3)&gt;0,SUMIFS(速報_原データ!$C$5:$C$200,速報_原データ!$A$5:$A$200,$A36,速報_原データ!$B$5:$B$200,G$3)/100,IF(COUNTIFS(速報_原データ!$A$5:$A$200,EDATE($A36,12),速報_原データ!$B$5:$B$200,G$3)&gt;0,SUMIFS(速報_原データ!$C$5:$C$200,速報_原データ!$A$5:$A$200,EDATE($A36,12),速報_原データ!$B$5:$B$200,G$3)/100/(1+SUMIFS(速報_原データ!$D$5:$D$200,速報_原データ!$A$5:$A$200,EDATE($A36,12),速報_原データ!$B$5:$B$200,G$3)/100),IF(COUNTIFS(速報_原データ!$I$6:$I$9,EDATE($A36,12),速報_原データ!$J$6:$J$9,G$3)&gt;0,G48/(1+SUMIFS(速報_原データ!$K$6:$K$9,速報_原データ!$I$6:$I$9,EDATE($A36,12),速報_原データ!$J$6:$J$9,G$3)/100),AVERAGE(G35,G37))))</f>
        <v>92.04</v>
      </c>
      <c r="H36" s="18" t="n">
        <f aca="false">IF(COUNTIFS(速報_原データ!$A$5:$A$200,$A36,速報_原データ!$B$5:$B$200,H$3)&gt;0,SUMIFS(速報_原データ!$C$5:$C$200,速報_原データ!$A$5:$A$200,$A36,速報_原データ!$B$5:$B$200,H$3)/100,IF(COUNTIFS(速報_原データ!$A$5:$A$200,EDATE($A36,12),速報_原データ!$B$5:$B$200,H$3)&gt;0,SUMIFS(速報_原データ!$C$5:$C$200,速報_原データ!$A$5:$A$200,EDATE($A36,12),速報_原データ!$B$5:$B$200,H$3)/100/(1+SUMIFS(速報_原データ!$D$5:$D$200,速報_原データ!$A$5:$A$200,EDATE($A36,12),速報_原データ!$B$5:$B$200,H$3)/100),IF(COUNTIFS(速報_原データ!$I$6:$I$9,EDATE($A36,12),速報_原データ!$J$6:$J$9,H$3)&gt;0,H48/(1+SUMIFS(速報_原データ!$K$6:$K$9,速報_原データ!$I$6:$I$9,EDATE($A36,12),速報_原データ!$J$6:$J$9,H$3)/100),AVERAGE(H35,H37))))</f>
        <v>394.54</v>
      </c>
      <c r="I36" s="18" t="n">
        <f aca="false">B36-D36</f>
        <v>2393.49</v>
      </c>
      <c r="J36" s="18" t="n">
        <f aca="false">C36-D36-E36-H36</f>
        <v>973.13</v>
      </c>
      <c r="K36" s="2" t="s">
        <v>237</v>
      </c>
    </row>
    <row r="37" customFormat="false" ht="15" hidden="false" customHeight="false" outlineLevel="0" collapsed="false">
      <c r="A37" s="12" t="n">
        <v>45992</v>
      </c>
      <c r="B37" s="18" t="n">
        <f aca="false">IF(COUNTIFS(速報_原データ!$A$5:$A$200,$A37,速報_原データ!$B$5:$B$200,B$3)&gt;0,SUMIFS(速報_原データ!$C$5:$C$200,速報_原データ!$A$5:$A$200,$A37,速報_原データ!$B$5:$B$200,B$3)/100,IF(COUNTIFS(速報_原データ!$A$5:$A$200,EDATE($A37,12),速報_原データ!$B$5:$B$200,B$3)&gt;0,SUMIFS(速報_原データ!$C$5:$C$200,速報_原データ!$A$5:$A$200,EDATE($A37,12),速報_原データ!$B$5:$B$200,B$3)/100/(1+SUMIFS(速報_原データ!$D$5:$D$200,速報_原データ!$A$5:$A$200,EDATE($A37,12),速報_原データ!$B$5:$B$200,B$3)/100),IF(COUNTIFS(速報_原データ!$I$6:$I$9,EDATE($A37,12),速報_原データ!$J$6:$J$9,B$3)&gt;0,B49/(1+SUMIFS(速報_原データ!$K$6:$K$9,速報_原データ!$I$6:$I$9,EDATE($A37,12),速報_原データ!$J$6:$J$9,B$3)/100),AVERAGE(B36,B38))))</f>
        <v>4436.83</v>
      </c>
      <c r="C37" s="18" t="n">
        <f aca="false">IF(COUNTIFS(速報_原データ!$A$5:$A$200,$A37,速報_原データ!$B$5:$B$200,C$3)&gt;0,SUMIFS(速報_原データ!$C$5:$C$200,速報_原データ!$A$5:$A$200,$A37,速報_原データ!$B$5:$B$200,C$3)/100,IF(COUNTIFS(速報_原データ!$A$5:$A$200,EDATE($A37,12),速報_原データ!$B$5:$B$200,C$3)&gt;0,SUMIFS(速報_原データ!$C$5:$C$200,速報_原データ!$A$5:$A$200,EDATE($A37,12),速報_原データ!$B$5:$B$200,C$3)/100/(1+SUMIFS(速報_原データ!$D$5:$D$200,速報_原データ!$A$5:$A$200,EDATE($A37,12),速報_原データ!$B$5:$B$200,C$3)/100),IF(COUNTIFS(速報_原データ!$I$6:$I$9,EDATE($A37,12),速報_原データ!$J$6:$J$9,C$3)&gt;0,C49/(1+SUMIFS(速報_原データ!$K$6:$K$9,速報_原データ!$I$6:$I$9,EDATE($A37,12),速報_原データ!$J$6:$J$9,C$3)/100),AVERAGE(C36,C38))))</f>
        <v>4054.79</v>
      </c>
      <c r="D37" s="18" t="n">
        <f aca="false">IF(COUNTIFS(速報_原データ!$A$5:$A$200,$A37,速報_原データ!$B$5:$B$200,D$3)&gt;0,SUMIFS(速報_原データ!$C$5:$C$200,速報_原データ!$A$5:$A$200,$A37,速報_原データ!$B$5:$B$200,D$3)/100,IF(COUNTIFS(速報_原データ!$A$5:$A$200,EDATE($A37,12),速報_原データ!$B$5:$B$200,D$3)&gt;0,SUMIFS(速報_原データ!$C$5:$C$200,速報_原データ!$A$5:$A$200,EDATE($A37,12),速報_原データ!$B$5:$B$200,D$3)/100/(1+SUMIFS(速報_原データ!$D$5:$D$200,速報_原データ!$A$5:$A$200,EDATE($A37,12),速報_原データ!$B$5:$B$200,D$3)/100),IF(COUNTIFS(速報_原データ!$I$6:$I$9,EDATE($A37,12),速報_原データ!$J$6:$J$9,D$3)&gt;0,D49/(1+SUMIFS(速報_原データ!$K$6:$K$9,速報_原データ!$I$6:$I$9,EDATE($A37,12),速報_原データ!$J$6:$J$9,D$3)/100),AVERAGE(D36,D38))))</f>
        <v>1749.22</v>
      </c>
      <c r="E37" s="18" t="n">
        <f aca="false">IF(COUNTIFS(速報_原データ!$A$5:$A$200,$A37,速報_原データ!$B$5:$B$200,E$3)&gt;0,SUMIFS(速報_原データ!$C$5:$C$200,速報_原データ!$A$5:$A$200,$A37,速報_原データ!$B$5:$B$200,E$3)/100,IF(COUNTIFS(速報_原データ!$A$5:$A$200,EDATE($A37,12),速報_原データ!$B$5:$B$200,E$3)&gt;0,SUMIFS(速報_原データ!$C$5:$C$200,速報_原データ!$A$5:$A$200,EDATE($A37,12),速報_原データ!$B$5:$B$200,E$3)/100/(1+SUMIFS(速報_原データ!$D$5:$D$200,速報_原データ!$A$5:$A$200,EDATE($A37,12),速報_原データ!$B$5:$B$200,E$3)/100),IF(COUNTIFS(速報_原データ!$I$6:$I$9,EDATE($A37,12),速報_原データ!$J$6:$J$9,E$3)&gt;0,E49/(1+SUMIFS(速報_原データ!$K$6:$K$9,速報_原データ!$I$6:$I$9,EDATE($A37,12),速報_原データ!$J$6:$J$9,E$3)/100),AVERAGE(E36,E38))))</f>
        <v>759.36</v>
      </c>
      <c r="F37" s="18" t="n">
        <f aca="false">IF(COUNTIFS(速報_原データ!$A$5:$A$200,$A37,速報_原データ!$B$5:$B$200,F$3)&gt;0,SUMIFS(速報_原データ!$C$5:$C$200,速報_原データ!$A$5:$A$200,$A37,速報_原データ!$B$5:$B$200,F$3)/100,IF(COUNTIFS(速報_原データ!$A$5:$A$200,EDATE($A37,12),速報_原データ!$B$5:$B$200,F$3)&gt;0,SUMIFS(速報_原データ!$C$5:$C$200,速報_原データ!$A$5:$A$200,EDATE($A37,12),速報_原データ!$B$5:$B$200,F$3)/100/(1+SUMIFS(速報_原データ!$D$5:$D$200,速報_原データ!$A$5:$A$200,EDATE($A37,12),速報_原データ!$B$5:$B$200,F$3)/100),IF(COUNTIFS(速報_原データ!$I$6:$I$9,EDATE($A37,12),速報_原データ!$J$6:$J$9,F$3)&gt;0,F49/(1+SUMIFS(速報_原データ!$K$6:$K$9,速報_原データ!$I$6:$I$9,EDATE($A37,12),速報_原データ!$J$6:$J$9,F$3)/100),AVERAGE(F36,F38))))</f>
        <v>295.1</v>
      </c>
      <c r="G37" s="18" t="n">
        <f aca="false">IF(COUNTIFS(速報_原データ!$A$5:$A$200,$A37,速報_原データ!$B$5:$B$200,G$3)&gt;0,SUMIFS(速報_原データ!$C$5:$C$200,速報_原データ!$A$5:$A$200,$A37,速報_原データ!$B$5:$B$200,G$3)/100,IF(COUNTIFS(速報_原データ!$A$5:$A$200,EDATE($A37,12),速報_原データ!$B$5:$B$200,G$3)&gt;0,SUMIFS(速報_原データ!$C$5:$C$200,速報_原データ!$A$5:$A$200,EDATE($A37,12),速報_原データ!$B$5:$B$200,G$3)/100/(1+SUMIFS(速報_原データ!$D$5:$D$200,速報_原データ!$A$5:$A$200,EDATE($A37,12),速報_原データ!$B$5:$B$200,G$3)/100),IF(COUNTIFS(速報_原データ!$I$6:$I$9,EDATE($A37,12),速報_原データ!$J$6:$J$9,G$3)&gt;0,G49/(1+SUMIFS(速報_原データ!$K$6:$K$9,速報_原データ!$I$6:$I$9,EDATE($A37,12),速報_原データ!$J$6:$J$9,G$3)/100),AVERAGE(G36,G38))))</f>
        <v>76.51</v>
      </c>
      <c r="H37" s="18" t="n">
        <f aca="false">IF(COUNTIFS(速報_原データ!$A$5:$A$200,$A37,速報_原データ!$B$5:$B$200,H$3)&gt;0,SUMIFS(速報_原データ!$C$5:$C$200,速報_原データ!$A$5:$A$200,$A37,速報_原データ!$B$5:$B$200,H$3)/100,IF(COUNTIFS(速報_原データ!$A$5:$A$200,EDATE($A37,12),速報_原データ!$B$5:$B$200,H$3)&gt;0,SUMIFS(速報_原データ!$C$5:$C$200,速報_原データ!$A$5:$A$200,EDATE($A37,12),速報_原データ!$B$5:$B$200,H$3)/100/(1+SUMIFS(速報_原データ!$D$5:$D$200,速報_原データ!$A$5:$A$200,EDATE($A37,12),速報_原データ!$B$5:$B$200,H$3)/100),IF(COUNTIFS(速報_原データ!$I$6:$I$9,EDATE($A37,12),速報_原データ!$J$6:$J$9,H$3)&gt;0,H49/(1+SUMIFS(速報_原データ!$K$6:$K$9,速報_原データ!$I$6:$I$9,EDATE($A37,12),速報_原データ!$J$6:$J$9,H$3)/100),AVERAGE(H36,H38))))</f>
        <v>466.97</v>
      </c>
      <c r="I37" s="18" t="n">
        <f aca="false">B37-D37</f>
        <v>2687.61</v>
      </c>
      <c r="J37" s="18" t="n">
        <f aca="false">C37-D37-E37-H37</f>
        <v>1079.24</v>
      </c>
      <c r="K37" s="2" t="s">
        <v>237</v>
      </c>
    </row>
    <row r="38" customFormat="false" ht="15" hidden="false" customHeight="false" outlineLevel="0" collapsed="false">
      <c r="A38" s="12" t="n">
        <v>46023</v>
      </c>
      <c r="B38" s="18" t="n">
        <f aca="false">IF(COUNTIFS(速報_原データ!$A$5:$A$200,$A38,速報_原データ!$B$5:$B$200,B$3)&gt;0,SUMIFS(速報_原データ!$C$5:$C$200,速報_原データ!$A$5:$A$200,$A38,速報_原データ!$B$5:$B$200,B$3)/100,IF(COUNTIFS(速報_原データ!$A$5:$A$200,EDATE($A38,12),速報_原データ!$B$5:$B$200,B$3)&gt;0,SUMIFS(速報_原データ!$C$5:$C$200,速報_原データ!$A$5:$A$200,EDATE($A38,12),速報_原データ!$B$5:$B$200,B$3)/100/(1+SUMIFS(速報_原データ!$D$5:$D$200,速報_原データ!$A$5:$A$200,EDATE($A38,12),速報_原データ!$B$5:$B$200,B$3)/100),IF(COUNTIFS(速報_原データ!$I$6:$I$9,EDATE($A38,12),速報_原データ!$J$6:$J$9,B$3)&gt;0,B50/(1+SUMIFS(速報_原データ!$K$6:$K$9,速報_原データ!$I$6:$I$9,EDATE($A38,12),速報_原データ!$J$6:$J$9,B$3)/100),AVERAGE(B37,B39))))</f>
        <v>3156.67</v>
      </c>
      <c r="C38" s="18" t="n">
        <f aca="false">IF(COUNTIFS(速報_原データ!$A$5:$A$200,$A38,速報_原データ!$B$5:$B$200,C$3)&gt;0,SUMIFS(速報_原データ!$C$5:$C$200,速報_原データ!$A$5:$A$200,$A38,速報_原データ!$B$5:$B$200,C$3)/100,IF(COUNTIFS(速報_原データ!$A$5:$A$200,EDATE($A38,12),速報_原データ!$B$5:$B$200,C$3)&gt;0,SUMIFS(速報_原データ!$C$5:$C$200,速報_原データ!$A$5:$A$200,EDATE($A38,12),速報_原データ!$B$5:$B$200,C$3)/100/(1+SUMIFS(速報_原データ!$D$5:$D$200,速報_原データ!$A$5:$A$200,EDATE($A38,12),速報_原データ!$B$5:$B$200,C$3)/100),IF(COUNTIFS(速報_原データ!$I$6:$I$9,EDATE($A38,12),速報_原データ!$J$6:$J$9,C$3)&gt;0,C50/(1+SUMIFS(速報_原データ!$K$6:$K$9,速報_原データ!$I$6:$I$9,EDATE($A38,12),速報_原データ!$J$6:$J$9,C$3)/100),AVERAGE(C37,C39))))</f>
        <v>2784.65</v>
      </c>
      <c r="D38" s="18" t="n">
        <f aca="false">IF(COUNTIFS(速報_原データ!$A$5:$A$200,$A38,速報_原データ!$B$5:$B$200,D$3)&gt;0,SUMIFS(速報_原データ!$C$5:$C$200,速報_原データ!$A$5:$A$200,$A38,速報_原データ!$B$5:$B$200,D$3)/100,IF(COUNTIFS(速報_原データ!$A$5:$A$200,EDATE($A38,12),速報_原データ!$B$5:$B$200,D$3)&gt;0,SUMIFS(速報_原データ!$C$5:$C$200,速報_原データ!$A$5:$A$200,EDATE($A38,12),速報_原データ!$B$5:$B$200,D$3)/100/(1+SUMIFS(速報_原データ!$D$5:$D$200,速報_原データ!$A$5:$A$200,EDATE($A38,12),速報_原データ!$B$5:$B$200,D$3)/100),IF(COUNTIFS(速報_原データ!$I$6:$I$9,EDATE($A38,12),速報_原データ!$J$6:$J$9,D$3)&gt;0,D50/(1+SUMIFS(速報_原データ!$K$6:$K$9,速報_原データ!$I$6:$I$9,EDATE($A38,12),速報_原データ!$J$6:$J$9,D$3)/100),AVERAGE(D37,D39))))</f>
        <v>1014.49</v>
      </c>
      <c r="E38" s="18" t="n">
        <f aca="false">IF(COUNTIFS(速報_原データ!$A$5:$A$200,$A38,速報_原データ!$B$5:$B$200,E$3)&gt;0,SUMIFS(速報_原データ!$C$5:$C$200,速報_原データ!$A$5:$A$200,$A38,速報_原データ!$B$5:$B$200,E$3)/100,IF(COUNTIFS(速報_原データ!$A$5:$A$200,EDATE($A38,12),速報_原データ!$B$5:$B$200,E$3)&gt;0,SUMIFS(速報_原データ!$C$5:$C$200,速報_原データ!$A$5:$A$200,EDATE($A38,12),速報_原データ!$B$5:$B$200,E$3)/100/(1+SUMIFS(速報_原データ!$D$5:$D$200,速報_原データ!$A$5:$A$200,EDATE($A38,12),速報_原データ!$B$5:$B$200,E$3)/100),IF(COUNTIFS(速報_原データ!$I$6:$I$9,EDATE($A38,12),速報_原データ!$J$6:$J$9,E$3)&gt;0,E50/(1+SUMIFS(速報_原データ!$K$6:$K$9,速報_原データ!$I$6:$I$9,EDATE($A38,12),速報_原データ!$J$6:$J$9,E$3)/100),AVERAGE(E37,E39))))</f>
        <v>717.17</v>
      </c>
      <c r="F38" s="18" t="n">
        <f aca="false">IF(COUNTIFS(速報_原データ!$A$5:$A$200,$A38,速報_原データ!$B$5:$B$200,F$3)&gt;0,SUMIFS(速報_原データ!$C$5:$C$200,速報_原データ!$A$5:$A$200,$A38,速報_原データ!$B$5:$B$200,F$3)/100,IF(COUNTIFS(速報_原データ!$A$5:$A$200,EDATE($A38,12),速報_原データ!$B$5:$B$200,F$3)&gt;0,SUMIFS(速報_原データ!$C$5:$C$200,速報_原データ!$A$5:$A$200,EDATE($A38,12),速報_原データ!$B$5:$B$200,F$3)/100/(1+SUMIFS(速報_原データ!$D$5:$D$200,速報_原データ!$A$5:$A$200,EDATE($A38,12),速報_原データ!$B$5:$B$200,F$3)/100),IF(COUNTIFS(速報_原データ!$I$6:$I$9,EDATE($A38,12),速報_原データ!$J$6:$J$9,F$3)&gt;0,F50/(1+SUMIFS(速報_原データ!$K$6:$K$9,速報_原データ!$I$6:$I$9,EDATE($A38,12),速報_原データ!$J$6:$J$9,F$3)/100),AVERAGE(F37,F39))))</f>
        <v>265.04</v>
      </c>
      <c r="G38" s="18" t="n">
        <f aca="false">IF(COUNTIFS(速報_原データ!$A$5:$A$200,$A38,速報_原データ!$B$5:$B$200,G$3)&gt;0,SUMIFS(速報_原データ!$C$5:$C$200,速報_原データ!$A$5:$A$200,$A38,速報_原データ!$B$5:$B$200,G$3)/100,IF(COUNTIFS(速報_原データ!$A$5:$A$200,EDATE($A38,12),速報_原データ!$B$5:$B$200,G$3)&gt;0,SUMIFS(速報_原データ!$C$5:$C$200,速報_原データ!$A$5:$A$200,EDATE($A38,12),速報_原データ!$B$5:$B$200,G$3)/100/(1+SUMIFS(速報_原データ!$D$5:$D$200,速報_原データ!$A$5:$A$200,EDATE($A38,12),速報_原データ!$B$5:$B$200,G$3)/100),IF(COUNTIFS(速報_原データ!$I$6:$I$9,EDATE($A38,12),速報_原データ!$J$6:$J$9,G$3)&gt;0,G50/(1+SUMIFS(速報_原データ!$K$6:$K$9,速報_原データ!$I$6:$I$9,EDATE($A38,12),速報_原データ!$J$6:$J$9,G$3)/100),AVERAGE(G37,G39))))</f>
        <v>88.23</v>
      </c>
      <c r="H38" s="18" t="n">
        <f aca="false">IF(COUNTIFS(速報_原データ!$A$5:$A$200,$A38,速報_原データ!$B$5:$B$200,H$3)&gt;0,SUMIFS(速報_原データ!$C$5:$C$200,速報_原データ!$A$5:$A$200,$A38,速報_原データ!$B$5:$B$200,H$3)/100,IF(COUNTIFS(速報_原データ!$A$5:$A$200,EDATE($A38,12),速報_原データ!$B$5:$B$200,H$3)&gt;0,SUMIFS(速報_原データ!$C$5:$C$200,速報_原データ!$A$5:$A$200,EDATE($A38,12),速報_原データ!$B$5:$B$200,H$3)/100/(1+SUMIFS(速報_原データ!$D$5:$D$200,速報_原データ!$A$5:$A$200,EDATE($A38,12),速報_原データ!$B$5:$B$200,H$3)/100),IF(COUNTIFS(速報_原データ!$I$6:$I$9,EDATE($A38,12),速報_原データ!$J$6:$J$9,H$3)&gt;0,H50/(1+SUMIFS(速報_原データ!$K$6:$K$9,速報_原データ!$I$6:$I$9,EDATE($A38,12),速報_原データ!$J$6:$J$9,H$3)/100),AVERAGE(H37,H39))))</f>
        <v>262.03</v>
      </c>
      <c r="I38" s="18" t="n">
        <f aca="false">B38-D38</f>
        <v>2142.18</v>
      </c>
      <c r="J38" s="18" t="n">
        <f aca="false">C38-D38-E38-H38</f>
        <v>790.96</v>
      </c>
      <c r="K38" s="2" t="s">
        <v>237</v>
      </c>
    </row>
    <row r="39" customFormat="false" ht="15" hidden="false" customHeight="false" outlineLevel="0" collapsed="false">
      <c r="A39" s="12" t="n">
        <v>46054</v>
      </c>
      <c r="B39" s="18" t="n">
        <f aca="false">IF(COUNTIFS(速報_原データ!$A$5:$A$200,$A39,速報_原データ!$B$5:$B$200,B$3)&gt;0,SUMIFS(速報_原データ!$C$5:$C$200,速報_原データ!$A$5:$A$200,$A39,速報_原データ!$B$5:$B$200,B$3)/100,IF(COUNTIFS(速報_原データ!$A$5:$A$200,EDATE($A39,12),速報_原データ!$B$5:$B$200,B$3)&gt;0,SUMIFS(速報_原データ!$C$5:$C$200,速報_原データ!$A$5:$A$200,EDATE($A39,12),速報_原データ!$B$5:$B$200,B$3)/100/(1+SUMIFS(速報_原データ!$D$5:$D$200,速報_原データ!$A$5:$A$200,EDATE($A39,12),速報_原データ!$B$5:$B$200,B$3)/100),IF(COUNTIFS(速報_原データ!$I$6:$I$9,EDATE($A39,12),速報_原データ!$J$6:$J$9,B$3)&gt;0,B51/(1+SUMIFS(速報_原データ!$K$6:$K$9,速報_原データ!$I$6:$I$9,EDATE($A39,12),速報_原データ!$J$6:$J$9,B$3)/100),AVERAGE(B38,B40))))</f>
        <v>3290.89</v>
      </c>
      <c r="C39" s="18" t="n">
        <f aca="false">IF(COUNTIFS(速報_原データ!$A$5:$A$200,$A39,速報_原データ!$B$5:$B$200,C$3)&gt;0,SUMIFS(速報_原データ!$C$5:$C$200,速報_原データ!$A$5:$A$200,$A39,速報_原データ!$B$5:$B$200,C$3)/100,IF(COUNTIFS(速報_原データ!$A$5:$A$200,EDATE($A39,12),速報_原データ!$B$5:$B$200,C$3)&gt;0,SUMIFS(速報_原データ!$C$5:$C$200,速報_原データ!$A$5:$A$200,EDATE($A39,12),速報_原データ!$B$5:$B$200,C$3)/100/(1+SUMIFS(速報_原データ!$D$5:$D$200,速報_原データ!$A$5:$A$200,EDATE($A39,12),速報_原データ!$B$5:$B$200,C$3)/100),IF(COUNTIFS(速報_原データ!$I$6:$I$9,EDATE($A39,12),速報_原データ!$J$6:$J$9,C$3)&gt;0,C51/(1+SUMIFS(速報_原データ!$K$6:$K$9,速報_原データ!$I$6:$I$9,EDATE($A39,12),速報_原データ!$J$6:$J$9,C$3)/100),AVERAGE(C38,C40))))</f>
        <v>2770.16</v>
      </c>
      <c r="D39" s="18" t="n">
        <f aca="false">IF(COUNTIFS(速報_原データ!$A$5:$A$200,$A39,速報_原データ!$B$5:$B$200,D$3)&gt;0,SUMIFS(速報_原データ!$C$5:$C$200,速報_原データ!$A$5:$A$200,$A39,速報_原データ!$B$5:$B$200,D$3)/100,IF(COUNTIFS(速報_原データ!$A$5:$A$200,EDATE($A39,12),速報_原データ!$B$5:$B$200,D$3)&gt;0,SUMIFS(速報_原データ!$C$5:$C$200,速報_原データ!$A$5:$A$200,EDATE($A39,12),速報_原データ!$B$5:$B$200,D$3)/100/(1+SUMIFS(速報_原データ!$D$5:$D$200,速報_原データ!$A$5:$A$200,EDATE($A39,12),速報_原データ!$B$5:$B$200,D$3)/100),IF(COUNTIFS(速報_原データ!$I$6:$I$9,EDATE($A39,12),速報_原データ!$J$6:$J$9,D$3)&gt;0,D51/(1+SUMIFS(速報_原データ!$K$6:$K$9,速報_原データ!$I$6:$I$9,EDATE($A39,12),速報_原データ!$J$6:$J$9,D$3)/100),AVERAGE(D38,D40))))</f>
        <v>976.21</v>
      </c>
      <c r="E39" s="18" t="n">
        <f aca="false">IF(COUNTIFS(速報_原データ!$A$5:$A$200,$A39,速報_原データ!$B$5:$B$200,E$3)&gt;0,SUMIFS(速報_原データ!$C$5:$C$200,速報_原データ!$A$5:$A$200,$A39,速報_原データ!$B$5:$B$200,E$3)/100,IF(COUNTIFS(速報_原データ!$A$5:$A$200,EDATE($A39,12),速報_原データ!$B$5:$B$200,E$3)&gt;0,SUMIFS(速報_原データ!$C$5:$C$200,速報_原データ!$A$5:$A$200,EDATE($A39,12),速報_原データ!$B$5:$B$200,E$3)/100/(1+SUMIFS(速報_原データ!$D$5:$D$200,速報_原データ!$A$5:$A$200,EDATE($A39,12),速報_原データ!$B$5:$B$200,E$3)/100),IF(COUNTIFS(速報_原データ!$I$6:$I$9,EDATE($A39,12),速報_原データ!$J$6:$J$9,E$3)&gt;0,E51/(1+SUMIFS(速報_原データ!$K$6:$K$9,速報_原データ!$I$6:$I$9,EDATE($A39,12),速報_原データ!$J$6:$J$9,E$3)/100),AVERAGE(E38,E40))))</f>
        <v>676.3</v>
      </c>
      <c r="F39" s="18" t="n">
        <f aca="false">IF(COUNTIFS(速報_原データ!$A$5:$A$200,$A39,速報_原データ!$B$5:$B$200,F$3)&gt;0,SUMIFS(速報_原データ!$C$5:$C$200,速報_原データ!$A$5:$A$200,$A39,速報_原データ!$B$5:$B$200,F$3)/100,IF(COUNTIFS(速報_原データ!$A$5:$A$200,EDATE($A39,12),速報_原データ!$B$5:$B$200,F$3)&gt;0,SUMIFS(速報_原データ!$C$5:$C$200,速報_原データ!$A$5:$A$200,EDATE($A39,12),速報_原データ!$B$5:$B$200,F$3)/100/(1+SUMIFS(速報_原データ!$D$5:$D$200,速報_原データ!$A$5:$A$200,EDATE($A39,12),速報_原データ!$B$5:$B$200,F$3)/100),IF(COUNTIFS(速報_原データ!$I$6:$I$9,EDATE($A39,12),速報_原データ!$J$6:$J$9,F$3)&gt;0,F51/(1+SUMIFS(速報_原データ!$K$6:$K$9,速報_原データ!$I$6:$I$9,EDATE($A39,12),速報_原データ!$J$6:$J$9,F$3)/100),AVERAGE(F38,F40))))</f>
        <v>391.91</v>
      </c>
      <c r="G39" s="18" t="n">
        <f aca="false">IF(COUNTIFS(速報_原データ!$A$5:$A$200,$A39,速報_原データ!$B$5:$B$200,G$3)&gt;0,SUMIFS(速報_原データ!$C$5:$C$200,速報_原データ!$A$5:$A$200,$A39,速報_原データ!$B$5:$B$200,G$3)/100,IF(COUNTIFS(速報_原データ!$A$5:$A$200,EDATE($A39,12),速報_原データ!$B$5:$B$200,G$3)&gt;0,SUMIFS(速報_原データ!$C$5:$C$200,速報_原データ!$A$5:$A$200,EDATE($A39,12),速報_原データ!$B$5:$B$200,G$3)/100/(1+SUMIFS(速報_原データ!$D$5:$D$200,速報_原データ!$A$5:$A$200,EDATE($A39,12),速報_原データ!$B$5:$B$200,G$3)/100),IF(COUNTIFS(速報_原データ!$I$6:$I$9,EDATE($A39,12),速報_原データ!$J$6:$J$9,G$3)&gt;0,G51/(1+SUMIFS(速報_原データ!$K$6:$K$9,速報_原データ!$I$6:$I$9,EDATE($A39,12),速報_原データ!$J$6:$J$9,G$3)/100),AVERAGE(G38,G40))))</f>
        <v>116.42</v>
      </c>
      <c r="H39" s="18" t="n">
        <f aca="false">IF(COUNTIFS(速報_原データ!$A$5:$A$200,$A39,速報_原データ!$B$5:$B$200,H$3)&gt;0,SUMIFS(速報_原データ!$C$5:$C$200,速報_原データ!$A$5:$A$200,$A39,速報_原データ!$B$5:$B$200,H$3)/100,IF(COUNTIFS(速報_原データ!$A$5:$A$200,EDATE($A39,12),速報_原データ!$B$5:$B$200,H$3)&gt;0,SUMIFS(速報_原データ!$C$5:$C$200,速報_原データ!$A$5:$A$200,EDATE($A39,12),速報_原データ!$B$5:$B$200,H$3)/100/(1+SUMIFS(速報_原データ!$D$5:$D$200,速報_原データ!$A$5:$A$200,EDATE($A39,12),速報_原データ!$B$5:$B$200,H$3)/100),IF(COUNTIFS(速報_原データ!$I$6:$I$9,EDATE($A39,12),速報_原データ!$J$6:$J$9,H$3)&gt;0,H51/(1+SUMIFS(速報_原データ!$K$6:$K$9,速報_原データ!$I$6:$I$9,EDATE($A39,12),速報_原データ!$J$6:$J$9,H$3)/100),AVERAGE(H38,H40))))</f>
        <v>249.79</v>
      </c>
      <c r="I39" s="18" t="n">
        <f aca="false">B39-D39</f>
        <v>2314.68</v>
      </c>
      <c r="J39" s="18" t="n">
        <f aca="false">C39-D39-E39-H39</f>
        <v>867.86</v>
      </c>
      <c r="K39" s="2" t="s">
        <v>237</v>
      </c>
    </row>
    <row r="40" customFormat="false" ht="15" hidden="false" customHeight="false" outlineLevel="0" collapsed="false">
      <c r="A40" s="12" t="n">
        <v>46082</v>
      </c>
      <c r="B40" s="18" t="n">
        <f aca="false">IF(COUNTIFS(速報_原データ!$A$5:$A$200,$A40,速報_原データ!$B$5:$B$200,B$3)&gt;0,SUMIFS(速報_原データ!$C$5:$C$200,速報_原データ!$A$5:$A$200,$A40,速報_原データ!$B$5:$B$200,B$3)/100,IF(COUNTIFS(速報_原データ!$A$5:$A$200,EDATE($A40,12),速報_原データ!$B$5:$B$200,B$3)&gt;0,SUMIFS(速報_原データ!$C$5:$C$200,速報_原データ!$A$5:$A$200,EDATE($A40,12),速報_原データ!$B$5:$B$200,B$3)/100/(1+SUMIFS(速報_原データ!$D$5:$D$200,速報_原データ!$A$5:$A$200,EDATE($A40,12),速報_原データ!$B$5:$B$200,B$3)/100),IF(COUNTIFS(速報_原データ!$I$6:$I$9,EDATE($A40,12),速報_原データ!$J$6:$J$9,B$3)&gt;0,B52/(1+SUMIFS(速報_原データ!$K$6:$K$9,速報_原データ!$I$6:$I$9,EDATE($A40,12),速報_原データ!$J$6:$J$9,B$3)/100),AVERAGE(B39,B41))))</f>
        <v>5259.89</v>
      </c>
      <c r="C40" s="18" t="n">
        <f aca="false">IF(COUNTIFS(速報_原データ!$A$5:$A$200,$A40,速報_原データ!$B$5:$B$200,C$3)&gt;0,SUMIFS(速報_原データ!$C$5:$C$200,速報_原データ!$A$5:$A$200,$A40,速報_原データ!$B$5:$B$200,C$3)/100,IF(COUNTIFS(速報_原データ!$A$5:$A$200,EDATE($A40,12),速報_原データ!$B$5:$B$200,C$3)&gt;0,SUMIFS(速報_原データ!$C$5:$C$200,速報_原データ!$A$5:$A$200,EDATE($A40,12),速報_原データ!$B$5:$B$200,C$3)/100/(1+SUMIFS(速報_原データ!$D$5:$D$200,速報_原データ!$A$5:$A$200,EDATE($A40,12),速報_原データ!$B$5:$B$200,C$3)/100),IF(COUNTIFS(速報_原データ!$I$6:$I$9,EDATE($A40,12),速報_原データ!$J$6:$J$9,C$3)&gt;0,C52/(1+SUMIFS(速報_原データ!$K$6:$K$9,速報_原データ!$I$6:$I$9,EDATE($A40,12),速報_原データ!$J$6:$J$9,C$3)/100),AVERAGE(C39,C41))))</f>
        <v>4667.93</v>
      </c>
      <c r="D40" s="18" t="n">
        <f aca="false">IF(COUNTIFS(速報_原データ!$A$5:$A$200,$A40,速報_原データ!$B$5:$B$200,D$3)&gt;0,SUMIFS(速報_原データ!$C$5:$C$200,速報_原データ!$A$5:$A$200,$A40,速報_原データ!$B$5:$B$200,D$3)/100,IF(COUNTIFS(速報_原データ!$A$5:$A$200,EDATE($A40,12),速報_原データ!$B$5:$B$200,D$3)&gt;0,SUMIFS(速報_原データ!$C$5:$C$200,速報_原データ!$A$5:$A$200,EDATE($A40,12),速報_原データ!$B$5:$B$200,D$3)/100/(1+SUMIFS(速報_原データ!$D$5:$D$200,速報_原データ!$A$5:$A$200,EDATE($A40,12),速報_原データ!$B$5:$B$200,D$3)/100),IF(COUNTIFS(速報_原データ!$I$6:$I$9,EDATE($A40,12),速報_原データ!$J$6:$J$9,D$3)&gt;0,D52/(1+SUMIFS(速報_原データ!$K$6:$K$9,速報_原データ!$I$6:$I$9,EDATE($A40,12),速報_原データ!$J$6:$J$9,D$3)/100),AVERAGE(D39,D41))))</f>
        <v>2058.93</v>
      </c>
      <c r="E40" s="18" t="n">
        <f aca="false">IF(COUNTIFS(速報_原データ!$A$5:$A$200,$A40,速報_原データ!$B$5:$B$200,E$3)&gt;0,SUMIFS(速報_原データ!$C$5:$C$200,速報_原データ!$A$5:$A$200,$A40,速報_原データ!$B$5:$B$200,E$3)/100,IF(COUNTIFS(速報_原データ!$A$5:$A$200,EDATE($A40,12),速報_原データ!$B$5:$B$200,E$3)&gt;0,SUMIFS(速報_原データ!$C$5:$C$200,速報_原データ!$A$5:$A$200,EDATE($A40,12),速報_原データ!$B$5:$B$200,E$3)/100/(1+SUMIFS(速報_原データ!$D$5:$D$200,速報_原データ!$A$5:$A$200,EDATE($A40,12),速報_原データ!$B$5:$B$200,E$3)/100),IF(COUNTIFS(速報_原データ!$I$6:$I$9,EDATE($A40,12),速報_原データ!$J$6:$J$9,E$3)&gt;0,E52/(1+SUMIFS(速報_原データ!$K$6:$K$9,速報_原データ!$I$6:$I$9,EDATE($A40,12),速報_原データ!$J$6:$J$9,E$3)/100),AVERAGE(E39,E41))))</f>
        <v>972.42</v>
      </c>
      <c r="F40" s="18" t="n">
        <f aca="false">IF(COUNTIFS(速報_原データ!$A$5:$A$200,$A40,速報_原データ!$B$5:$B$200,F$3)&gt;0,SUMIFS(速報_原データ!$C$5:$C$200,速報_原データ!$A$5:$A$200,$A40,速報_原データ!$B$5:$B$200,F$3)/100,IF(COUNTIFS(速報_原データ!$A$5:$A$200,EDATE($A40,12),速報_原データ!$B$5:$B$200,F$3)&gt;0,SUMIFS(速報_原データ!$C$5:$C$200,速報_原データ!$A$5:$A$200,EDATE($A40,12),速報_原データ!$B$5:$B$200,F$3)/100/(1+SUMIFS(速報_原データ!$D$5:$D$200,速報_原データ!$A$5:$A$200,EDATE($A40,12),速報_原データ!$B$5:$B$200,F$3)/100),IF(COUNTIFS(速報_原データ!$I$6:$I$9,EDATE($A40,12),速報_原データ!$J$6:$J$9,F$3)&gt;0,F52/(1+SUMIFS(速報_原データ!$K$6:$K$9,速報_原データ!$I$6:$I$9,EDATE($A40,12),速報_原データ!$J$6:$J$9,F$3)/100),AVERAGE(F39,F41))))</f>
        <v>396.75</v>
      </c>
      <c r="G40" s="18" t="n">
        <f aca="false">IF(COUNTIFS(速報_原データ!$A$5:$A$200,$A40,速報_原データ!$B$5:$B$200,G$3)&gt;0,SUMIFS(速報_原データ!$C$5:$C$200,速報_原データ!$A$5:$A$200,$A40,速報_原データ!$B$5:$B$200,G$3)/100,IF(COUNTIFS(速報_原データ!$A$5:$A$200,EDATE($A40,12),速報_原データ!$B$5:$B$200,G$3)&gt;0,SUMIFS(速報_原データ!$C$5:$C$200,速報_原データ!$A$5:$A$200,EDATE($A40,12),速報_原データ!$B$5:$B$200,G$3)/100/(1+SUMIFS(速報_原データ!$D$5:$D$200,速報_原データ!$A$5:$A$200,EDATE($A40,12),速報_原データ!$B$5:$B$200,G$3)/100),IF(COUNTIFS(速報_原データ!$I$6:$I$9,EDATE($A40,12),速報_原データ!$J$6:$J$9,G$3)&gt;0,G52/(1+SUMIFS(速報_原データ!$K$6:$K$9,速報_原データ!$I$6:$I$9,EDATE($A40,12),速報_原データ!$J$6:$J$9,G$3)/100),AVERAGE(G39,G41))))</f>
        <v>180.02</v>
      </c>
      <c r="H40" s="18" t="n">
        <f aca="false">IF(COUNTIFS(速報_原データ!$A$5:$A$200,$A40,速報_原データ!$B$5:$B$200,H$3)&gt;0,SUMIFS(速報_原データ!$C$5:$C$200,速報_原データ!$A$5:$A$200,$A40,速報_原データ!$B$5:$B$200,H$3)/100,IF(COUNTIFS(速報_原データ!$A$5:$A$200,EDATE($A40,12),速報_原データ!$B$5:$B$200,H$3)&gt;0,SUMIFS(速報_原データ!$C$5:$C$200,速報_原データ!$A$5:$A$200,EDATE($A40,12),速報_原データ!$B$5:$B$200,H$3)/100/(1+SUMIFS(速報_原データ!$D$5:$D$200,速報_原データ!$A$5:$A$200,EDATE($A40,12),速報_原データ!$B$5:$B$200,H$3)/100),IF(COUNTIFS(速報_原データ!$I$6:$I$9,EDATE($A40,12),速報_原データ!$J$6:$J$9,H$3)&gt;0,H52/(1+SUMIFS(速報_原データ!$K$6:$K$9,速報_原データ!$I$6:$I$9,EDATE($A40,12),速報_原データ!$J$6:$J$9,H$3)/100),AVERAGE(H39,H41))))</f>
        <v>278.41</v>
      </c>
      <c r="I40" s="18" t="n">
        <f aca="false">B40-D40</f>
        <v>3200.96</v>
      </c>
      <c r="J40" s="18" t="n">
        <f aca="false">C40-D40-E40-H40</f>
        <v>1358.17</v>
      </c>
      <c r="K40" s="2" t="s">
        <v>237</v>
      </c>
    </row>
    <row r="41" customFormat="false" ht="15" hidden="false" customHeight="false" outlineLevel="0" collapsed="false">
      <c r="A41" s="12" t="n">
        <v>46113</v>
      </c>
      <c r="B41" s="18" t="n">
        <f aca="false">IF(COUNTIFS(速報_原データ!$A$5:$A$200,$A41,速報_原データ!$B$5:$B$200,B$3)&gt;0,SUMIFS(速報_原データ!$C$5:$C$200,速報_原データ!$A$5:$A$200,$A41,速報_原データ!$B$5:$B$200,B$3)/100,IF(COUNTIFS(速報_原データ!$A$5:$A$200,EDATE($A41,12),速報_原データ!$B$5:$B$200,B$3)&gt;0,SUMIFS(速報_原データ!$C$5:$C$200,速報_原データ!$A$5:$A$200,EDATE($A41,12),速報_原データ!$B$5:$B$200,B$3)/100/(1+SUMIFS(速報_原データ!$D$5:$D$200,速報_原データ!$A$5:$A$200,EDATE($A41,12),速報_原データ!$B$5:$B$200,B$3)/100),IF(COUNTIFS(速報_原データ!$I$6:$I$9,EDATE($A41,12),速報_原データ!$J$6:$J$9,B$3)&gt;0,B53/(1+SUMIFS(速報_原データ!$K$6:$K$9,速報_原データ!$I$6:$I$9,EDATE($A41,12),速報_原データ!$J$6:$J$9,B$3)/100),AVERAGE(B40,B42))))</f>
        <v>3932.13</v>
      </c>
      <c r="C41" s="18" t="n">
        <f aca="false">IF(COUNTIFS(速報_原データ!$A$5:$A$200,$A41,速報_原データ!$B$5:$B$200,C$3)&gt;0,SUMIFS(速報_原データ!$C$5:$C$200,速報_原データ!$A$5:$A$200,$A41,速報_原データ!$B$5:$B$200,C$3)/100,IF(COUNTIFS(速報_原データ!$A$5:$A$200,EDATE($A41,12),速報_原データ!$B$5:$B$200,C$3)&gt;0,SUMIFS(速報_原データ!$C$5:$C$200,速報_原データ!$A$5:$A$200,EDATE($A41,12),速報_原データ!$B$5:$B$200,C$3)/100/(1+SUMIFS(速報_原データ!$D$5:$D$200,速報_原データ!$A$5:$A$200,EDATE($A41,12),速報_原データ!$B$5:$B$200,C$3)/100),IF(COUNTIFS(速報_原データ!$I$6:$I$9,EDATE($A41,12),速報_原データ!$J$6:$J$9,C$3)&gt;0,C53/(1+SUMIFS(速報_原データ!$K$6:$K$9,速報_原データ!$I$6:$I$9,EDATE($A41,12),速報_原データ!$J$6:$J$9,C$3)/100),AVERAGE(C40,C42))))</f>
        <v>3249.45</v>
      </c>
      <c r="D41" s="18" t="n">
        <f aca="false">IF(COUNTIFS(速報_原データ!$A$5:$A$200,$A41,速報_原データ!$B$5:$B$200,D$3)&gt;0,SUMIFS(速報_原データ!$C$5:$C$200,速報_原データ!$A$5:$A$200,$A41,速報_原データ!$B$5:$B$200,D$3)/100,IF(COUNTIFS(速報_原データ!$A$5:$A$200,EDATE($A41,12),速報_原データ!$B$5:$B$200,D$3)&gt;0,SUMIFS(速報_原データ!$C$5:$C$200,速報_原データ!$A$5:$A$200,EDATE($A41,12),速報_原データ!$B$5:$B$200,D$3)/100/(1+SUMIFS(速報_原データ!$D$5:$D$200,速報_原データ!$A$5:$A$200,EDATE($A41,12),速報_原データ!$B$5:$B$200,D$3)/100),IF(COUNTIFS(速報_原データ!$I$6:$I$9,EDATE($A41,12),速報_原データ!$J$6:$J$9,D$3)&gt;0,D53/(1+SUMIFS(速報_原データ!$K$6:$K$9,速報_原データ!$I$6:$I$9,EDATE($A41,12),速報_原データ!$J$6:$J$9,D$3)/100),AVERAGE(D40,D42))))</f>
        <v>1117.99</v>
      </c>
      <c r="E41" s="18" t="n">
        <f aca="false">IF(COUNTIFS(速報_原データ!$A$5:$A$200,$A41,速報_原データ!$B$5:$B$200,E$3)&gt;0,SUMIFS(速報_原データ!$C$5:$C$200,速報_原データ!$A$5:$A$200,$A41,速報_原データ!$B$5:$B$200,E$3)/100,IF(COUNTIFS(速報_原データ!$A$5:$A$200,EDATE($A41,12),速報_原データ!$B$5:$B$200,E$3)&gt;0,SUMIFS(速報_原データ!$C$5:$C$200,速報_原データ!$A$5:$A$200,EDATE($A41,12),速報_原データ!$B$5:$B$200,E$3)/100/(1+SUMIFS(速報_原データ!$D$5:$D$200,速報_原データ!$A$5:$A$200,EDATE($A41,12),速報_原データ!$B$5:$B$200,E$3)/100),IF(COUNTIFS(速報_原データ!$I$6:$I$9,EDATE($A41,12),速報_原データ!$J$6:$J$9,E$3)&gt;0,E53/(1+SUMIFS(速報_原データ!$K$6:$K$9,速報_原データ!$I$6:$I$9,EDATE($A41,12),速報_原データ!$J$6:$J$9,E$3)/100),AVERAGE(E40,E42))))</f>
        <v>791.61</v>
      </c>
      <c r="F41" s="18" t="n">
        <f aca="false">IF(COUNTIFS(速報_原データ!$A$5:$A$200,$A41,速報_原データ!$B$5:$B$200,F$3)&gt;0,SUMIFS(速報_原データ!$C$5:$C$200,速報_原データ!$A$5:$A$200,$A41,速報_原データ!$B$5:$B$200,F$3)/100,IF(COUNTIFS(速報_原データ!$A$5:$A$200,EDATE($A41,12),速報_原データ!$B$5:$B$200,F$3)&gt;0,SUMIFS(速報_原データ!$C$5:$C$200,速報_原データ!$A$5:$A$200,EDATE($A41,12),速報_原データ!$B$5:$B$200,F$3)/100/(1+SUMIFS(速報_原データ!$D$5:$D$200,速報_原データ!$A$5:$A$200,EDATE($A41,12),速報_原データ!$B$5:$B$200,F$3)/100),IF(COUNTIFS(速報_原データ!$I$6:$I$9,EDATE($A41,12),速報_原データ!$J$6:$J$9,F$3)&gt;0,F53/(1+SUMIFS(速報_原データ!$K$6:$K$9,速報_原データ!$I$6:$I$9,EDATE($A41,12),速報_原データ!$J$6:$J$9,F$3)/100),AVERAGE(F40,F42))))</f>
        <v>575.81</v>
      </c>
      <c r="G41" s="18" t="n">
        <f aca="false">IF(COUNTIFS(速報_原データ!$A$5:$A$200,$A41,速報_原データ!$B$5:$B$200,G$3)&gt;0,SUMIFS(速報_原データ!$C$5:$C$200,速報_原データ!$A$5:$A$200,$A41,速報_原データ!$B$5:$B$200,G$3)/100,IF(COUNTIFS(速報_原データ!$A$5:$A$200,EDATE($A41,12),速報_原データ!$B$5:$B$200,G$3)&gt;0,SUMIFS(速報_原データ!$C$5:$C$200,速報_原データ!$A$5:$A$200,EDATE($A41,12),速報_原データ!$B$5:$B$200,G$3)/100/(1+SUMIFS(速報_原データ!$D$5:$D$200,速報_原データ!$A$5:$A$200,EDATE($A41,12),速報_原データ!$B$5:$B$200,G$3)/100),IF(COUNTIFS(速報_原データ!$I$6:$I$9,EDATE($A41,12),速報_原データ!$J$6:$J$9,G$3)&gt;0,G53/(1+SUMIFS(速報_原データ!$K$6:$K$9,速報_原データ!$I$6:$I$9,EDATE($A41,12),速報_原データ!$J$6:$J$9,G$3)/100),AVERAGE(G40,G42))))</f>
        <v>101.42</v>
      </c>
      <c r="H41" s="18" t="n">
        <f aca="false">IF(COUNTIFS(速報_原データ!$A$5:$A$200,$A41,速報_原データ!$B$5:$B$200,H$3)&gt;0,SUMIFS(速報_原データ!$C$5:$C$200,速報_原データ!$A$5:$A$200,$A41,速報_原データ!$B$5:$B$200,H$3)/100,IF(COUNTIFS(速報_原データ!$A$5:$A$200,EDATE($A41,12),速報_原データ!$B$5:$B$200,H$3)&gt;0,SUMIFS(速報_原データ!$C$5:$C$200,速報_原データ!$A$5:$A$200,EDATE($A41,12),速報_原データ!$B$5:$B$200,H$3)/100/(1+SUMIFS(速報_原データ!$D$5:$D$200,速報_原データ!$A$5:$A$200,EDATE($A41,12),速報_原データ!$B$5:$B$200,H$3)/100),IF(COUNTIFS(速報_原データ!$I$6:$I$9,EDATE($A41,12),速報_原データ!$J$6:$J$9,H$3)&gt;0,H53/(1+SUMIFS(速報_原データ!$K$6:$K$9,速報_原データ!$I$6:$I$9,EDATE($A41,12),速報_原データ!$J$6:$J$9,H$3)/100),AVERAGE(H40,H42))))</f>
        <v>298.64</v>
      </c>
      <c r="I41" s="18" t="n">
        <f aca="false">B41-D41</f>
        <v>2814.14</v>
      </c>
      <c r="J41" s="18" t="n">
        <f aca="false">C41-D41-E41-H41</f>
        <v>1041.21</v>
      </c>
      <c r="K41" s="2" t="s">
        <v>237</v>
      </c>
    </row>
    <row r="42" customFormat="false" ht="15" hidden="false" customHeight="false" outlineLevel="0" collapsed="false">
      <c r="A42" s="12" t="n">
        <v>46143</v>
      </c>
      <c r="B42" s="18" t="n">
        <f aca="false">IF(COUNTIFS(速報_原データ!$A$5:$A$200,$A42,速報_原データ!$B$5:$B$200,B$3)&gt;0,SUMIFS(速報_原データ!$C$5:$C$200,速報_原データ!$A$5:$A$200,$A42,速報_原データ!$B$5:$B$200,B$3)/100,IF(COUNTIFS(速報_原データ!$A$5:$A$200,EDATE($A42,12),速報_原データ!$B$5:$B$200,B$3)&gt;0,SUMIFS(速報_原データ!$C$5:$C$200,速報_原データ!$A$5:$A$200,EDATE($A42,12),速報_原データ!$B$5:$B$200,B$3)/100/(1+SUMIFS(速報_原データ!$D$5:$D$200,速報_原データ!$A$5:$A$200,EDATE($A42,12),速報_原データ!$B$5:$B$200,B$3)/100),IF(COUNTIFS(速報_原データ!$I$6:$I$9,EDATE($A42,12),速報_原データ!$J$6:$J$9,B$3)&gt;0,B54/(1+SUMIFS(速報_原データ!$K$6:$K$9,速報_原データ!$I$6:$I$9,EDATE($A42,12),速報_原データ!$J$6:$J$9,B$3)/100),AVERAGE(B41,B43))))</f>
        <v>3657.86</v>
      </c>
      <c r="C42" s="18" t="n">
        <f aca="false">IF(COUNTIFS(速報_原データ!$A$5:$A$200,$A42,速報_原データ!$B$5:$B$200,C$3)&gt;0,SUMIFS(速報_原データ!$C$5:$C$200,速報_原データ!$A$5:$A$200,$A42,速報_原データ!$B$5:$B$200,C$3)/100,IF(COUNTIFS(速報_原データ!$A$5:$A$200,EDATE($A42,12),速報_原データ!$B$5:$B$200,C$3)&gt;0,SUMIFS(速報_原データ!$C$5:$C$200,速報_原データ!$A$5:$A$200,EDATE($A42,12),速報_原データ!$B$5:$B$200,C$3)/100/(1+SUMIFS(速報_原データ!$D$5:$D$200,速報_原データ!$A$5:$A$200,EDATE($A42,12),速報_原データ!$B$5:$B$200,C$3)/100),IF(COUNTIFS(速報_原データ!$I$6:$I$9,EDATE($A42,12),速報_原データ!$J$6:$J$9,C$3)&gt;0,C54/(1+SUMIFS(速報_原データ!$K$6:$K$9,速報_原データ!$I$6:$I$9,EDATE($A42,12),速報_原データ!$J$6:$J$9,C$3)/100),AVERAGE(C41,C43))))</f>
        <v>3170.76</v>
      </c>
      <c r="D42" s="18" t="n">
        <f aca="false">IF(COUNTIFS(速報_原データ!$A$5:$A$200,$A42,速報_原データ!$B$5:$B$200,D$3)&gt;0,SUMIFS(速報_原データ!$C$5:$C$200,速報_原データ!$A$5:$A$200,$A42,速報_原データ!$B$5:$B$200,D$3)/100,IF(COUNTIFS(速報_原データ!$A$5:$A$200,EDATE($A42,12),速報_原データ!$B$5:$B$200,D$3)&gt;0,SUMIFS(速報_原データ!$C$5:$C$200,速報_原データ!$A$5:$A$200,EDATE($A42,12),速報_原データ!$B$5:$B$200,D$3)/100/(1+SUMIFS(速報_原データ!$D$5:$D$200,速報_原データ!$A$5:$A$200,EDATE($A42,12),速報_原データ!$B$5:$B$200,D$3)/100),IF(COUNTIFS(速報_原データ!$I$6:$I$9,EDATE($A42,12),速報_原データ!$J$6:$J$9,D$3)&gt;0,D54/(1+SUMIFS(速報_原データ!$K$6:$K$9,速報_原データ!$I$6:$I$9,EDATE($A42,12),速報_原データ!$J$6:$J$9,D$3)/100),AVERAGE(D41,D43))))</f>
        <v>1107.74</v>
      </c>
      <c r="E42" s="18" t="n">
        <f aca="false">IF(COUNTIFS(速報_原データ!$A$5:$A$200,$A42,速報_原データ!$B$5:$B$200,E$3)&gt;0,SUMIFS(速報_原データ!$C$5:$C$200,速報_原データ!$A$5:$A$200,$A42,速報_原データ!$B$5:$B$200,E$3)/100,IF(COUNTIFS(速報_原データ!$A$5:$A$200,EDATE($A42,12),速報_原データ!$B$5:$B$200,E$3)&gt;0,SUMIFS(速報_原データ!$C$5:$C$200,速報_原データ!$A$5:$A$200,EDATE($A42,12),速報_原データ!$B$5:$B$200,E$3)/100/(1+SUMIFS(速報_原データ!$D$5:$D$200,速報_原データ!$A$5:$A$200,EDATE($A42,12),速報_原データ!$B$5:$B$200,E$3)/100),IF(COUNTIFS(速報_原データ!$I$6:$I$9,EDATE($A42,12),速報_原データ!$J$6:$J$9,E$3)&gt;0,E54/(1+SUMIFS(速報_原データ!$K$6:$K$9,速報_原データ!$I$6:$I$9,EDATE($A42,12),速報_原データ!$J$6:$J$9,E$3)/100),AVERAGE(E41,E43))))</f>
        <v>705.49</v>
      </c>
      <c r="F42" s="18" t="n">
        <f aca="false">IF(COUNTIFS(速報_原データ!$A$5:$A$200,$A42,速報_原データ!$B$5:$B$200,F$3)&gt;0,SUMIFS(速報_原データ!$C$5:$C$200,速報_原データ!$A$5:$A$200,$A42,速報_原データ!$B$5:$B$200,F$3)/100,IF(COUNTIFS(速報_原データ!$A$5:$A$200,EDATE($A42,12),速報_原データ!$B$5:$B$200,F$3)&gt;0,SUMIFS(速報_原データ!$C$5:$C$200,速報_原データ!$A$5:$A$200,EDATE($A42,12),速報_原データ!$B$5:$B$200,F$3)/100/(1+SUMIFS(速報_原データ!$D$5:$D$200,速報_原データ!$A$5:$A$200,EDATE($A42,12),速報_原データ!$B$5:$B$200,F$3)/100),IF(COUNTIFS(速報_原データ!$I$6:$I$9,EDATE($A42,12),速報_原データ!$J$6:$J$9,F$3)&gt;0,F54/(1+SUMIFS(速報_原データ!$K$6:$K$9,速報_原データ!$I$6:$I$9,EDATE($A42,12),速報_原データ!$J$6:$J$9,F$3)/100),AVERAGE(F41,F43))))</f>
        <v>368.4</v>
      </c>
      <c r="G42" s="18" t="n">
        <f aca="false">IF(COUNTIFS(速報_原データ!$A$5:$A$200,$A42,速報_原データ!$B$5:$B$200,G$3)&gt;0,SUMIFS(速報_原データ!$C$5:$C$200,速報_原データ!$A$5:$A$200,$A42,速報_原データ!$B$5:$B$200,G$3)/100,IF(COUNTIFS(速報_原データ!$A$5:$A$200,EDATE($A42,12),速報_原データ!$B$5:$B$200,G$3)&gt;0,SUMIFS(速報_原データ!$C$5:$C$200,速報_原データ!$A$5:$A$200,EDATE($A42,12),速報_原データ!$B$5:$B$200,G$3)/100/(1+SUMIFS(速報_原データ!$D$5:$D$200,速報_原データ!$A$5:$A$200,EDATE($A42,12),速報_原データ!$B$5:$B$200,G$3)/100),IF(COUNTIFS(速報_原データ!$I$6:$I$9,EDATE($A42,12),速報_原データ!$J$6:$J$9,G$3)&gt;0,G54/(1+SUMIFS(速報_原データ!$K$6:$K$9,速報_原データ!$I$6:$I$9,EDATE($A42,12),速報_原データ!$J$6:$J$9,G$3)/100),AVERAGE(G41,G43))))</f>
        <v>111.38</v>
      </c>
      <c r="H42" s="18" t="n">
        <f aca="false">IF(COUNTIFS(速報_原データ!$A$5:$A$200,$A42,速報_原データ!$B$5:$B$200,H$3)&gt;0,SUMIFS(速報_原データ!$C$5:$C$200,速報_原データ!$A$5:$A$200,$A42,速報_原データ!$B$5:$B$200,H$3)/100,IF(COUNTIFS(速報_原データ!$A$5:$A$200,EDATE($A42,12),速報_原データ!$B$5:$B$200,H$3)&gt;0,SUMIFS(速報_原データ!$C$5:$C$200,速報_原データ!$A$5:$A$200,EDATE($A42,12),速報_原データ!$B$5:$B$200,H$3)/100/(1+SUMIFS(速報_原データ!$D$5:$D$200,速報_原データ!$A$5:$A$200,EDATE($A42,12),速報_原データ!$B$5:$B$200,H$3)/100),IF(COUNTIFS(速報_原データ!$I$6:$I$9,EDATE($A42,12),速報_原データ!$J$6:$J$9,H$3)&gt;0,H54/(1+SUMIFS(速報_原データ!$K$6:$K$9,速報_原データ!$I$6:$I$9,EDATE($A42,12),速報_原データ!$J$6:$J$9,H$3)/100),AVERAGE(H41,H43))))</f>
        <v>210.38</v>
      </c>
      <c r="I42" s="18" t="n">
        <f aca="false">B42-D42</f>
        <v>2550.12</v>
      </c>
      <c r="J42" s="18" t="n">
        <f aca="false">C42-D42-E42-H42</f>
        <v>1147.15</v>
      </c>
      <c r="K42" s="2" t="s">
        <v>237</v>
      </c>
    </row>
    <row r="43" customFormat="false" ht="15" hidden="false" customHeight="false" outlineLevel="0" collapsed="false">
      <c r="A43" s="12" t="n">
        <v>46174</v>
      </c>
      <c r="B43" s="18" t="n">
        <f aca="false">IF(COUNTIFS(速報_原データ!$A$5:$A$200,$A43,速報_原データ!$B$5:$B$200,B$3)&gt;0,SUMIFS(速報_原データ!$C$5:$C$200,速報_原データ!$A$5:$A$200,$A43,速報_原データ!$B$5:$B$200,B$3)/100,IF(COUNTIFS(速報_原データ!$A$5:$A$200,EDATE($A43,12),速報_原データ!$B$5:$B$200,B$3)&gt;0,SUMIFS(速報_原データ!$C$5:$C$200,速報_原データ!$A$5:$A$200,EDATE($A43,12),速報_原データ!$B$5:$B$200,B$3)/100/(1+SUMIFS(速報_原データ!$D$5:$D$200,速報_原データ!$A$5:$A$200,EDATE($A43,12),速報_原データ!$B$5:$B$200,B$3)/100),IF(COUNTIFS(速報_原データ!$I$6:$I$9,EDATE($A43,12),速報_原データ!$J$6:$J$9,B$3)&gt;0,B55/(1+SUMIFS(速報_原データ!$K$6:$K$9,速報_原データ!$I$6:$I$9,EDATE($A43,12),速報_原データ!$J$6:$J$9,B$3)/100),AVERAGE(B42,B44))))</f>
        <v>4601.42</v>
      </c>
      <c r="C43" s="18" t="n">
        <f aca="false">IF(COUNTIFS(速報_原データ!$A$5:$A$200,$A43,速報_原データ!$B$5:$B$200,C$3)&gt;0,SUMIFS(速報_原データ!$C$5:$C$200,速報_原データ!$A$5:$A$200,$A43,速報_原データ!$B$5:$B$200,C$3)/100,IF(COUNTIFS(速報_原データ!$A$5:$A$200,EDATE($A43,12),速報_原データ!$B$5:$B$200,C$3)&gt;0,SUMIFS(速報_原データ!$C$5:$C$200,速報_原データ!$A$5:$A$200,EDATE($A43,12),速報_原データ!$B$5:$B$200,C$3)/100/(1+SUMIFS(速報_原データ!$D$5:$D$200,速報_原データ!$A$5:$A$200,EDATE($A43,12),速報_原データ!$B$5:$B$200,C$3)/100),IF(COUNTIFS(速報_原データ!$I$6:$I$9,EDATE($A43,12),速報_原データ!$J$6:$J$9,C$3)&gt;0,C55/(1+SUMIFS(速報_原データ!$K$6:$K$9,速報_原データ!$I$6:$I$9,EDATE($A43,12),速報_原データ!$J$6:$J$9,C$3)/100),AVERAGE(C42,C44))))</f>
        <v>4034.3</v>
      </c>
      <c r="D43" s="18" t="n">
        <f aca="false">IF(COUNTIFS(速報_原データ!$A$5:$A$200,$A43,速報_原データ!$B$5:$B$200,D$3)&gt;0,SUMIFS(速報_原データ!$C$5:$C$200,速報_原データ!$A$5:$A$200,$A43,速報_原データ!$B$5:$B$200,D$3)/100,IF(COUNTIFS(速報_原データ!$A$5:$A$200,EDATE($A43,12),速報_原データ!$B$5:$B$200,D$3)&gt;0,SUMIFS(速報_原データ!$C$5:$C$200,速報_原データ!$A$5:$A$200,EDATE($A43,12),速報_原データ!$B$5:$B$200,D$3)/100/(1+SUMIFS(速報_原データ!$D$5:$D$200,速報_原データ!$A$5:$A$200,EDATE($A43,12),速報_原データ!$B$5:$B$200,D$3)/100),IF(COUNTIFS(速報_原データ!$I$6:$I$9,EDATE($A43,12),速報_原データ!$J$6:$J$9,D$3)&gt;0,D55/(1+SUMIFS(速報_原データ!$K$6:$K$9,速報_原データ!$I$6:$I$9,EDATE($A43,12),速報_原データ!$J$6:$J$9,D$3)/100),AVERAGE(D42,D44))))</f>
        <v>1570.63</v>
      </c>
      <c r="E43" s="18" t="n">
        <f aca="false">IF(COUNTIFS(速報_原データ!$A$5:$A$200,$A43,速報_原データ!$B$5:$B$200,E$3)&gt;0,SUMIFS(速報_原データ!$C$5:$C$200,速報_原データ!$A$5:$A$200,$A43,速報_原データ!$B$5:$B$200,E$3)/100,IF(COUNTIFS(速報_原データ!$A$5:$A$200,EDATE($A43,12),速報_原データ!$B$5:$B$200,E$3)&gt;0,SUMIFS(速報_原データ!$C$5:$C$200,速報_原データ!$A$5:$A$200,EDATE($A43,12),速報_原データ!$B$5:$B$200,E$3)/100/(1+SUMIFS(速報_原データ!$D$5:$D$200,速報_原データ!$A$5:$A$200,EDATE($A43,12),速報_原データ!$B$5:$B$200,E$3)/100),IF(COUNTIFS(速報_原データ!$I$6:$I$9,EDATE($A43,12),速報_原データ!$J$6:$J$9,E$3)&gt;0,E55/(1+SUMIFS(速報_原データ!$K$6:$K$9,速報_原データ!$I$6:$I$9,EDATE($A43,12),速報_原データ!$J$6:$J$9,E$3)/100),AVERAGE(E42,E44))))</f>
        <v>862.49</v>
      </c>
      <c r="F43" s="18" t="n">
        <f aca="false">IF(COUNTIFS(速報_原データ!$A$5:$A$200,$A43,速報_原データ!$B$5:$B$200,F$3)&gt;0,SUMIFS(速報_原データ!$C$5:$C$200,速報_原データ!$A$5:$A$200,$A43,速報_原データ!$B$5:$B$200,F$3)/100,IF(COUNTIFS(速報_原データ!$A$5:$A$200,EDATE($A43,12),速報_原データ!$B$5:$B$200,F$3)&gt;0,SUMIFS(速報_原データ!$C$5:$C$200,速報_原データ!$A$5:$A$200,EDATE($A43,12),速報_原データ!$B$5:$B$200,F$3)/100/(1+SUMIFS(速報_原データ!$D$5:$D$200,速報_原データ!$A$5:$A$200,EDATE($A43,12),速報_原データ!$B$5:$B$200,F$3)/100),IF(COUNTIFS(速報_原データ!$I$6:$I$9,EDATE($A43,12),速報_原データ!$J$6:$J$9,F$3)&gt;0,F55/(1+SUMIFS(速報_原データ!$K$6:$K$9,速報_原データ!$I$6:$I$9,EDATE($A43,12),速報_原データ!$J$6:$J$9,F$3)/100),AVERAGE(F42,F44))))</f>
        <v>407.06</v>
      </c>
      <c r="G43" s="18" t="n">
        <f aca="false">IF(COUNTIFS(速報_原データ!$A$5:$A$200,$A43,速報_原データ!$B$5:$B$200,G$3)&gt;0,SUMIFS(速報_原データ!$C$5:$C$200,速報_原データ!$A$5:$A$200,$A43,速報_原データ!$B$5:$B$200,G$3)/100,IF(COUNTIFS(速報_原データ!$A$5:$A$200,EDATE($A43,12),速報_原データ!$B$5:$B$200,G$3)&gt;0,SUMIFS(速報_原データ!$C$5:$C$200,速報_原データ!$A$5:$A$200,EDATE($A43,12),速報_原データ!$B$5:$B$200,G$3)/100/(1+SUMIFS(速報_原データ!$D$5:$D$200,速報_原データ!$A$5:$A$200,EDATE($A43,12),速報_原データ!$B$5:$B$200,G$3)/100),IF(COUNTIFS(速報_原データ!$I$6:$I$9,EDATE($A43,12),速報_原データ!$J$6:$J$9,G$3)&gt;0,G55/(1+SUMIFS(速報_原データ!$K$6:$K$9,速報_原データ!$I$6:$I$9,EDATE($A43,12),速報_原データ!$J$6:$J$9,G$3)/100),AVERAGE(G42,G44))))</f>
        <v>127.88</v>
      </c>
      <c r="H43" s="18" t="n">
        <f aca="false">IF(COUNTIFS(速報_原データ!$A$5:$A$200,$A43,速報_原データ!$B$5:$B$200,H$3)&gt;0,SUMIFS(速報_原データ!$C$5:$C$200,速報_原データ!$A$5:$A$200,$A43,速報_原データ!$B$5:$B$200,H$3)/100,IF(COUNTIFS(速報_原データ!$A$5:$A$200,EDATE($A43,12),速報_原データ!$B$5:$B$200,H$3)&gt;0,SUMIFS(速報_原データ!$C$5:$C$200,速報_原データ!$A$5:$A$200,EDATE($A43,12),速報_原データ!$B$5:$B$200,H$3)/100/(1+SUMIFS(速報_原データ!$D$5:$D$200,速報_原データ!$A$5:$A$200,EDATE($A43,12),速報_原データ!$B$5:$B$200,H$3)/100),IF(COUNTIFS(速報_原データ!$I$6:$I$9,EDATE($A43,12),速報_原データ!$J$6:$J$9,H$3)&gt;0,H55/(1+SUMIFS(速報_原データ!$K$6:$K$9,速報_原データ!$I$6:$I$9,EDATE($A43,12),速報_原データ!$J$6:$J$9,H$3)/100),AVERAGE(H42,H44))))</f>
        <v>261.62</v>
      </c>
      <c r="I43" s="18" t="n">
        <f aca="false">B43-D43</f>
        <v>3030.79</v>
      </c>
      <c r="J43" s="18" t="n">
        <f aca="false">C43-D43-E43-H43</f>
        <v>1339.56</v>
      </c>
      <c r="K43" s="2" t="s">
        <v>237</v>
      </c>
    </row>
    <row r="44" customFormat="false" ht="15" hidden="false" customHeight="false" outlineLevel="0" collapsed="false">
      <c r="A44" s="12" t="n">
        <v>46204</v>
      </c>
      <c r="B44" s="18" t="n">
        <f aca="false">IF(COUNTIFS(速報_原データ!$A$5:$A$200,$A44,速報_原データ!$B$5:$B$200,B$3)&gt;0,SUMIFS(速報_原データ!$C$5:$C$200,速報_原データ!$A$5:$A$200,$A44,速報_原データ!$B$5:$B$200,B$3)/100,IF(COUNTIFS(速報_原データ!$A$5:$A$200,EDATE($A44,12),速報_原データ!$B$5:$B$200,B$3)&gt;0,SUMIFS(速報_原データ!$C$5:$C$200,速報_原データ!$A$5:$A$200,EDATE($A44,12),速報_原データ!$B$5:$B$200,B$3)/100/(1+SUMIFS(速報_原データ!$D$5:$D$200,速報_原データ!$A$5:$A$200,EDATE($A44,12),速報_原データ!$B$5:$B$200,B$3)/100),IF(COUNTIFS(速報_原データ!$I$6:$I$9,EDATE($A44,12),速報_原データ!$J$6:$J$9,B$3)&gt;0,B56/(1+SUMIFS(速報_原データ!$K$6:$K$9,速報_原データ!$I$6:$I$9,EDATE($A44,12),速報_原データ!$J$6:$J$9,B$3)/100),AVERAGE(B43,B45))))</f>
        <v>4944.37</v>
      </c>
      <c r="C44" s="18" t="n">
        <f aca="false">IF(COUNTIFS(速報_原データ!$A$5:$A$200,$A44,速報_原データ!$B$5:$B$200,C$3)&gt;0,SUMIFS(速報_原データ!$C$5:$C$200,速報_原データ!$A$5:$A$200,$A44,速報_原データ!$B$5:$B$200,C$3)/100,IF(COUNTIFS(速報_原データ!$A$5:$A$200,EDATE($A44,12),速報_原データ!$B$5:$B$200,C$3)&gt;0,SUMIFS(速報_原データ!$C$5:$C$200,速報_原データ!$A$5:$A$200,EDATE($A44,12),速報_原データ!$B$5:$B$200,C$3)/100/(1+SUMIFS(速報_原データ!$D$5:$D$200,速報_原データ!$A$5:$A$200,EDATE($A44,12),速報_原データ!$B$5:$B$200,C$3)/100),IF(COUNTIFS(速報_原データ!$I$6:$I$9,EDATE($A44,12),速報_原データ!$J$6:$J$9,C$3)&gt;0,C56/(1+SUMIFS(速報_原データ!$K$6:$K$9,速報_原データ!$I$6:$I$9,EDATE($A44,12),速報_原データ!$J$6:$J$9,C$3)/100),AVERAGE(C43,C45))))</f>
        <v>4361.97</v>
      </c>
      <c r="D44" s="18" t="n">
        <f aca="false">IF(COUNTIFS(速報_原データ!$A$5:$A$200,$A44,速報_原データ!$B$5:$B$200,D$3)&gt;0,SUMIFS(速報_原データ!$C$5:$C$200,速報_原データ!$A$5:$A$200,$A44,速報_原データ!$B$5:$B$200,D$3)/100,IF(COUNTIFS(速報_原データ!$A$5:$A$200,EDATE($A44,12),速報_原データ!$B$5:$B$200,D$3)&gt;0,SUMIFS(速報_原データ!$C$5:$C$200,速報_原データ!$A$5:$A$200,EDATE($A44,12),速報_原データ!$B$5:$B$200,D$3)/100/(1+SUMIFS(速報_原データ!$D$5:$D$200,速報_原データ!$A$5:$A$200,EDATE($A44,12),速報_原データ!$B$5:$B$200,D$3)/100),IF(COUNTIFS(速報_原データ!$I$6:$I$9,EDATE($A44,12),速報_原データ!$J$6:$J$9,D$3)&gt;0,D56/(1+SUMIFS(速報_原データ!$K$6:$K$9,速報_原データ!$I$6:$I$9,EDATE($A44,12),速報_原データ!$J$6:$J$9,D$3)/100),AVERAGE(D43,D45))))</f>
        <v>2073.46</v>
      </c>
      <c r="E44" s="18" t="n">
        <f aca="false">IF(COUNTIFS(速報_原データ!$A$5:$A$200,$A44,速報_原データ!$B$5:$B$200,E$3)&gt;0,SUMIFS(速報_原データ!$C$5:$C$200,速報_原データ!$A$5:$A$200,$A44,速報_原データ!$B$5:$B$200,E$3)/100,IF(COUNTIFS(速報_原データ!$A$5:$A$200,EDATE($A44,12),速報_原データ!$B$5:$B$200,E$3)&gt;0,SUMIFS(速報_原データ!$C$5:$C$200,速報_原データ!$A$5:$A$200,EDATE($A44,12),速報_原データ!$B$5:$B$200,E$3)/100/(1+SUMIFS(速報_原データ!$D$5:$D$200,速報_原データ!$A$5:$A$200,EDATE($A44,12),速報_原データ!$B$5:$B$200,E$3)/100),IF(COUNTIFS(速報_原データ!$I$6:$I$9,EDATE($A44,12),速報_原データ!$J$6:$J$9,E$3)&gt;0,E56/(1+SUMIFS(速報_原データ!$K$6:$K$9,速報_原データ!$I$6:$I$9,EDATE($A44,12),速報_原データ!$J$6:$J$9,E$3)/100),AVERAGE(E43,E45))))</f>
        <v>749.13</v>
      </c>
      <c r="F44" s="18" t="n">
        <f aca="false">IF(COUNTIFS(速報_原データ!$A$5:$A$200,$A44,速報_原データ!$B$5:$B$200,F$3)&gt;0,SUMIFS(速報_原データ!$C$5:$C$200,速報_原データ!$A$5:$A$200,$A44,速報_原データ!$B$5:$B$200,F$3)/100,IF(COUNTIFS(速報_原データ!$A$5:$A$200,EDATE($A44,12),速報_原データ!$B$5:$B$200,F$3)&gt;0,SUMIFS(速報_原データ!$C$5:$C$200,速報_原データ!$A$5:$A$200,EDATE($A44,12),速報_原データ!$B$5:$B$200,F$3)/100/(1+SUMIFS(速報_原データ!$D$5:$D$200,速報_原データ!$A$5:$A$200,EDATE($A44,12),速報_原データ!$B$5:$B$200,F$3)/100),IF(COUNTIFS(速報_原データ!$I$6:$I$9,EDATE($A44,12),速報_原データ!$J$6:$J$9,F$3)&gt;0,F56/(1+SUMIFS(速報_原データ!$K$6:$K$9,速報_原データ!$I$6:$I$9,EDATE($A44,12),速報_原データ!$J$6:$J$9,F$3)/100),AVERAGE(F43,F45))))</f>
        <v>404.19</v>
      </c>
      <c r="G44" s="18" t="n">
        <f aca="false">IF(COUNTIFS(速報_原データ!$A$5:$A$200,$A44,速報_原データ!$B$5:$B$200,G$3)&gt;0,SUMIFS(速報_原データ!$C$5:$C$200,速報_原データ!$A$5:$A$200,$A44,速報_原データ!$B$5:$B$200,G$3)/100,IF(COUNTIFS(速報_原データ!$A$5:$A$200,EDATE($A44,12),速報_原データ!$B$5:$B$200,G$3)&gt;0,SUMIFS(速報_原データ!$C$5:$C$200,速報_原データ!$A$5:$A$200,EDATE($A44,12),速報_原データ!$B$5:$B$200,G$3)/100/(1+SUMIFS(速報_原データ!$D$5:$D$200,速報_原データ!$A$5:$A$200,EDATE($A44,12),速報_原データ!$B$5:$B$200,G$3)/100),IF(COUNTIFS(速報_原データ!$I$6:$I$9,EDATE($A44,12),速報_原データ!$J$6:$J$9,G$3)&gt;0,G56/(1+SUMIFS(速報_原データ!$K$6:$K$9,速報_原データ!$I$6:$I$9,EDATE($A44,12),速報_原データ!$J$6:$J$9,G$3)/100),AVERAGE(G43,G45))))</f>
        <v>162.74</v>
      </c>
      <c r="H44" s="18" t="n">
        <f aca="false">IF(COUNTIFS(速報_原データ!$A$5:$A$200,$A44,速報_原データ!$B$5:$B$200,H$3)&gt;0,SUMIFS(速報_原データ!$C$5:$C$200,速報_原データ!$A$5:$A$200,$A44,速報_原データ!$B$5:$B$200,H$3)/100,IF(COUNTIFS(速報_原データ!$A$5:$A$200,EDATE($A44,12),速報_原データ!$B$5:$B$200,H$3)&gt;0,SUMIFS(速報_原データ!$C$5:$C$200,速報_原データ!$A$5:$A$200,EDATE($A44,12),速報_原データ!$B$5:$B$200,H$3)/100/(1+SUMIFS(速報_原データ!$D$5:$D$200,速報_原データ!$A$5:$A$200,EDATE($A44,12),速報_原データ!$B$5:$B$200,H$3)/100),IF(COUNTIFS(速報_原データ!$I$6:$I$9,EDATE($A44,12),速報_原データ!$J$6:$J$9,H$3)&gt;0,H56/(1+SUMIFS(速報_原データ!$K$6:$K$9,速報_原データ!$I$6:$I$9,EDATE($A44,12),速報_原データ!$J$6:$J$9,H$3)/100),AVERAGE(H43,H45))))</f>
        <v>357.45</v>
      </c>
      <c r="I44" s="18" t="n">
        <f aca="false">B44-D44</f>
        <v>2870.91</v>
      </c>
      <c r="J44" s="18" t="n">
        <f aca="false">C44-D44-E44-H44</f>
        <v>1181.93</v>
      </c>
      <c r="K44" s="2" t="s">
        <v>237</v>
      </c>
    </row>
    <row r="45" customFormat="false" ht="15" hidden="false" customHeight="false" outlineLevel="0" collapsed="false">
      <c r="A45" s="12" t="n">
        <v>46235</v>
      </c>
      <c r="B45" s="18" t="n">
        <f aca="false">IF(COUNTIFS(速報_原データ!$A$5:$A$200,$A45,速報_原データ!$B$5:$B$200,B$3)&gt;0,SUMIFS(速報_原データ!$C$5:$C$200,速報_原データ!$A$5:$A$200,$A45,速報_原データ!$B$5:$B$200,B$3)/100,IF(COUNTIFS(速報_原データ!$A$5:$A$200,EDATE($A45,12),速報_原データ!$B$5:$B$200,B$3)&gt;0,SUMIFS(速報_原データ!$C$5:$C$200,速報_原データ!$A$5:$A$200,EDATE($A45,12),速報_原データ!$B$5:$B$200,B$3)/100/(1+SUMIFS(速報_原データ!$D$5:$D$200,速報_原データ!$A$5:$A$200,EDATE($A45,12),速報_原データ!$B$5:$B$200,B$3)/100),IF(COUNTIFS(速報_原データ!$I$6:$I$9,EDATE($A45,12),速報_原データ!$J$6:$J$9,B$3)&gt;0,B57/(1+SUMIFS(速報_原データ!$K$6:$K$9,速報_原データ!$I$6:$I$9,EDATE($A45,12),速報_原データ!$J$6:$J$9,B$3)/100),AVERAGE(B44,B46))))</f>
        <v>4897.64</v>
      </c>
      <c r="C45" s="18" t="n">
        <f aca="false">IF(COUNTIFS(速報_原データ!$A$5:$A$200,$A45,速報_原データ!$B$5:$B$200,C$3)&gt;0,SUMIFS(速報_原データ!$C$5:$C$200,速報_原データ!$A$5:$A$200,$A45,速報_原データ!$B$5:$B$200,C$3)/100,IF(COUNTIFS(速報_原データ!$A$5:$A$200,EDATE($A45,12),速報_原データ!$B$5:$B$200,C$3)&gt;0,SUMIFS(速報_原データ!$C$5:$C$200,速報_原データ!$A$5:$A$200,EDATE($A45,12),速報_原データ!$B$5:$B$200,C$3)/100/(1+SUMIFS(速報_原データ!$D$5:$D$200,速報_原データ!$A$5:$A$200,EDATE($A45,12),速報_原データ!$B$5:$B$200,C$3)/100),IF(COUNTIFS(速報_原データ!$I$6:$I$9,EDATE($A45,12),速報_原データ!$J$6:$J$9,C$3)&gt;0,C57/(1+SUMIFS(速報_原データ!$K$6:$K$9,速報_原データ!$I$6:$I$9,EDATE($A45,12),速報_原データ!$J$6:$J$9,C$3)/100),AVERAGE(C44,C46))))</f>
        <v>4241.08</v>
      </c>
      <c r="D45" s="18" t="n">
        <f aca="false">IF(COUNTIFS(速報_原データ!$A$5:$A$200,$A45,速報_原データ!$B$5:$B$200,D$3)&gt;0,SUMIFS(速報_原データ!$C$5:$C$200,速報_原データ!$A$5:$A$200,$A45,速報_原データ!$B$5:$B$200,D$3)/100,IF(COUNTIFS(速報_原データ!$A$5:$A$200,EDATE($A45,12),速報_原データ!$B$5:$B$200,D$3)&gt;0,SUMIFS(速報_原データ!$C$5:$C$200,速報_原データ!$A$5:$A$200,EDATE($A45,12),速報_原データ!$B$5:$B$200,D$3)/100/(1+SUMIFS(速報_原データ!$D$5:$D$200,速報_原データ!$A$5:$A$200,EDATE($A45,12),速報_原データ!$B$5:$B$200,D$3)/100),IF(COUNTIFS(速報_原データ!$I$6:$I$9,EDATE($A45,12),速報_原データ!$J$6:$J$9,D$3)&gt;0,D57/(1+SUMIFS(速報_原データ!$K$6:$K$9,速報_原データ!$I$6:$I$9,EDATE($A45,12),速報_原データ!$J$6:$J$9,D$3)/100),AVERAGE(D44,D46))))</f>
        <v>1947.91</v>
      </c>
      <c r="E45" s="18" t="n">
        <f aca="false">IF(COUNTIFS(速報_原データ!$A$5:$A$200,$A45,速報_原データ!$B$5:$B$200,E$3)&gt;0,SUMIFS(速報_原データ!$C$5:$C$200,速報_原データ!$A$5:$A$200,$A45,速報_原データ!$B$5:$B$200,E$3)/100,IF(COUNTIFS(速報_原データ!$A$5:$A$200,EDATE($A45,12),速報_原データ!$B$5:$B$200,E$3)&gt;0,SUMIFS(速報_原データ!$C$5:$C$200,速報_原データ!$A$5:$A$200,EDATE($A45,12),速報_原データ!$B$5:$B$200,E$3)/100/(1+SUMIFS(速報_原データ!$D$5:$D$200,速報_原データ!$A$5:$A$200,EDATE($A45,12),速報_原データ!$B$5:$B$200,E$3)/100),IF(COUNTIFS(速報_原データ!$I$6:$I$9,EDATE($A45,12),速報_原データ!$J$6:$J$9,E$3)&gt;0,E57/(1+SUMIFS(速報_原データ!$K$6:$K$9,速報_原データ!$I$6:$I$9,EDATE($A45,12),速報_原データ!$J$6:$J$9,E$3)/100),AVERAGE(E44,E46))))</f>
        <v>850.51</v>
      </c>
      <c r="F45" s="18" t="n">
        <f aca="false">IF(COUNTIFS(速報_原データ!$A$5:$A$200,$A45,速報_原データ!$B$5:$B$200,F$3)&gt;0,SUMIFS(速報_原データ!$C$5:$C$200,速報_原データ!$A$5:$A$200,$A45,速報_原データ!$B$5:$B$200,F$3)/100,IF(COUNTIFS(速報_原データ!$A$5:$A$200,EDATE($A45,12),速報_原データ!$B$5:$B$200,F$3)&gt;0,SUMIFS(速報_原データ!$C$5:$C$200,速報_原データ!$A$5:$A$200,EDATE($A45,12),速報_原データ!$B$5:$B$200,F$3)/100/(1+SUMIFS(速報_原データ!$D$5:$D$200,速報_原データ!$A$5:$A$200,EDATE($A45,12),速報_原データ!$B$5:$B$200,F$3)/100),IF(COUNTIFS(速報_原データ!$I$6:$I$9,EDATE($A45,12),速報_原データ!$J$6:$J$9,F$3)&gt;0,F57/(1+SUMIFS(速報_原データ!$K$6:$K$9,速報_原データ!$I$6:$I$9,EDATE($A45,12),速報_原データ!$J$6:$J$9,F$3)/100),AVERAGE(F44,F46))))</f>
        <v>484.94</v>
      </c>
      <c r="G45" s="18" t="n">
        <f aca="false">IF(COUNTIFS(速報_原データ!$A$5:$A$200,$A45,速報_原データ!$B$5:$B$200,G$3)&gt;0,SUMIFS(速報_原データ!$C$5:$C$200,速報_原データ!$A$5:$A$200,$A45,速報_原データ!$B$5:$B$200,G$3)/100,IF(COUNTIFS(速報_原データ!$A$5:$A$200,EDATE($A45,12),速報_原データ!$B$5:$B$200,G$3)&gt;0,SUMIFS(速報_原データ!$C$5:$C$200,速報_原データ!$A$5:$A$200,EDATE($A45,12),速報_原データ!$B$5:$B$200,G$3)/100/(1+SUMIFS(速報_原データ!$D$5:$D$200,速報_原データ!$A$5:$A$200,EDATE($A45,12),速報_原データ!$B$5:$B$200,G$3)/100),IF(COUNTIFS(速報_原データ!$I$6:$I$9,EDATE($A45,12),速報_原データ!$J$6:$J$9,G$3)&gt;0,G57/(1+SUMIFS(速報_原データ!$K$6:$K$9,速報_原データ!$I$6:$I$9,EDATE($A45,12),速報_原データ!$J$6:$J$9,G$3)/100),AVERAGE(G44,G46))))</f>
        <v>135.5</v>
      </c>
      <c r="H45" s="18" t="n">
        <f aca="false">IF(COUNTIFS(速報_原データ!$A$5:$A$200,$A45,速報_原データ!$B$5:$B$200,H$3)&gt;0,SUMIFS(速報_原データ!$C$5:$C$200,速報_原データ!$A$5:$A$200,$A45,速報_原データ!$B$5:$B$200,H$3)/100,IF(COUNTIFS(速報_原データ!$A$5:$A$200,EDATE($A45,12),速報_原データ!$B$5:$B$200,H$3)&gt;0,SUMIFS(速報_原データ!$C$5:$C$200,速報_原データ!$A$5:$A$200,EDATE($A45,12),速報_原データ!$B$5:$B$200,H$3)/100/(1+SUMIFS(速報_原データ!$D$5:$D$200,速報_原データ!$A$5:$A$200,EDATE($A45,12),速報_原データ!$B$5:$B$200,H$3)/100),IF(COUNTIFS(速報_原データ!$I$6:$I$9,EDATE($A45,12),速報_原データ!$J$6:$J$9,H$3)&gt;0,H57/(1+SUMIFS(速報_原データ!$K$6:$K$9,速報_原データ!$I$6:$I$9,EDATE($A45,12),速報_原データ!$J$6:$J$9,H$3)/100),AVERAGE(H44,H46))))</f>
        <v>356.47</v>
      </c>
      <c r="I45" s="18" t="n">
        <f aca="false">B45-D45</f>
        <v>2949.73</v>
      </c>
      <c r="J45" s="18" t="n">
        <f aca="false">C45-D45-E45-H45</f>
        <v>1086.19</v>
      </c>
      <c r="K45" s="2" t="s">
        <v>237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9"/>
    <col collapsed="false" customWidth="true" hidden="false" outlineLevel="0" max="4" min="4" style="0" width="10"/>
    <col collapsed="false" customWidth="true" hidden="false" outlineLevel="0" max="5" min="5" style="0" width="12"/>
    <col collapsed="false" customWidth="true" hidden="false" outlineLevel="0" max="6" min="6" style="0" width="13"/>
    <col collapsed="false" customWidth="true" hidden="false" outlineLevel="0" max="7" min="7" style="0" width="11"/>
    <col collapsed="false" customWidth="true" hidden="false" outlineLevel="0" max="9" min="8" style="0" width="12"/>
  </cols>
  <sheetData>
    <row r="1" customFormat="false" ht="19.4" hidden="false" customHeight="false" outlineLevel="0" collapsed="false">
      <c r="A1" s="19" t="s">
        <v>238</v>
      </c>
    </row>
    <row r="2" customFormat="false" ht="15" hidden="false" customHeight="false" outlineLevel="0" collapsed="false">
      <c r="A2" s="2" t="s">
        <v>239</v>
      </c>
    </row>
    <row r="4" customFormat="false" ht="29.85" hidden="false" customHeight="false" outlineLevel="0" collapsed="false">
      <c r="A4" s="10" t="s">
        <v>240</v>
      </c>
      <c r="B4" s="10" t="s">
        <v>241</v>
      </c>
      <c r="C4" s="10" t="s">
        <v>242</v>
      </c>
      <c r="D4" s="10" t="s">
        <v>243</v>
      </c>
      <c r="E4" s="10" t="s">
        <v>244</v>
      </c>
      <c r="F4" s="10" t="s">
        <v>245</v>
      </c>
      <c r="G4" s="10" t="s">
        <v>246</v>
      </c>
      <c r="H4" s="10" t="s">
        <v>247</v>
      </c>
      <c r="I4" s="10" t="s">
        <v>248</v>
      </c>
    </row>
    <row r="5" customFormat="false" ht="15" hidden="false" customHeight="false" outlineLevel="0" collapsed="false">
      <c r="A5" s="20" t="s">
        <v>249</v>
      </c>
      <c r="B5" s="20" t="s">
        <v>250</v>
      </c>
      <c r="C5" s="12" t="n">
        <v>45078</v>
      </c>
      <c r="D5" s="14" t="n">
        <v>327</v>
      </c>
      <c r="E5" s="14" t="n">
        <v>185</v>
      </c>
      <c r="F5" s="14" t="n">
        <v>142</v>
      </c>
      <c r="G5" s="21" t="n">
        <v>0.29</v>
      </c>
      <c r="H5" s="18" t="n">
        <f aca="false">D5*G5</f>
        <v>94.83</v>
      </c>
      <c r="I5" s="18" t="n">
        <f aca="false">D5-H5</f>
        <v>232.17</v>
      </c>
    </row>
    <row r="6" customFormat="false" ht="15" hidden="false" customHeight="false" outlineLevel="0" collapsed="false">
      <c r="A6" s="20" t="s">
        <v>251</v>
      </c>
      <c r="B6" s="20" t="s">
        <v>252</v>
      </c>
      <c r="C6" s="12" t="n">
        <v>45170</v>
      </c>
      <c r="D6" s="14" t="n">
        <v>450</v>
      </c>
      <c r="E6" s="14" t="n">
        <v>262</v>
      </c>
      <c r="F6" s="14" t="n">
        <v>188</v>
      </c>
      <c r="G6" s="21" t="n">
        <v>0.49</v>
      </c>
      <c r="H6" s="18" t="n">
        <f aca="false">D6*G6</f>
        <v>220.5</v>
      </c>
      <c r="I6" s="18" t="n">
        <f aca="false">D6-H6</f>
        <v>229.5</v>
      </c>
    </row>
    <row r="7" customFormat="false" ht="15" hidden="false" customHeight="false" outlineLevel="0" collapsed="false">
      <c r="A7" s="20" t="s">
        <v>253</v>
      </c>
      <c r="B7" s="20" t="s">
        <v>254</v>
      </c>
      <c r="C7" s="12" t="n">
        <v>45261</v>
      </c>
      <c r="D7" s="14" t="n">
        <v>540</v>
      </c>
      <c r="E7" s="14" t="n">
        <v>375</v>
      </c>
      <c r="F7" s="14" t="n">
        <v>164</v>
      </c>
      <c r="G7" s="21" t="n">
        <v>0.45</v>
      </c>
      <c r="H7" s="18" t="n">
        <f aca="false">D7*G7</f>
        <v>243</v>
      </c>
      <c r="I7" s="18" t="n">
        <f aca="false">D7-H7</f>
        <v>297</v>
      </c>
    </row>
    <row r="8" customFormat="false" ht="15" hidden="false" customHeight="false" outlineLevel="0" collapsed="false">
      <c r="A8" s="20" t="s">
        <v>255</v>
      </c>
      <c r="B8" s="20" t="s">
        <v>256</v>
      </c>
      <c r="C8" s="12" t="n">
        <v>45352</v>
      </c>
      <c r="D8" s="14" t="n">
        <v>492</v>
      </c>
      <c r="E8" s="14" t="n">
        <v>361</v>
      </c>
      <c r="F8" s="14" t="n">
        <v>131</v>
      </c>
      <c r="G8" s="21" t="n">
        <v>0.5</v>
      </c>
      <c r="H8" s="18" t="n">
        <f aca="false">D8*G8</f>
        <v>246</v>
      </c>
      <c r="I8" s="18" t="n">
        <f aca="false">D8-H8</f>
        <v>246</v>
      </c>
    </row>
    <row r="9" customFormat="false" ht="15" hidden="false" customHeight="false" outlineLevel="0" collapsed="false">
      <c r="A9" s="20" t="s">
        <v>257</v>
      </c>
      <c r="B9" s="20" t="s">
        <v>258</v>
      </c>
      <c r="C9" s="12" t="n">
        <v>45444</v>
      </c>
      <c r="D9" s="14" t="n">
        <v>652</v>
      </c>
      <c r="E9" s="14" t="n">
        <v>439</v>
      </c>
      <c r="F9" s="14" t="n">
        <v>214</v>
      </c>
      <c r="G9" s="21" t="n">
        <v>0.5</v>
      </c>
      <c r="H9" s="18" t="n">
        <f aca="false">D9*G9</f>
        <v>326</v>
      </c>
      <c r="I9" s="18" t="n">
        <f aca="false">D9-H9</f>
        <v>326</v>
      </c>
    </row>
    <row r="10" customFormat="false" ht="15" hidden="false" customHeight="false" outlineLevel="0" collapsed="false">
      <c r="A10" s="20" t="s">
        <v>259</v>
      </c>
      <c r="B10" s="20" t="s">
        <v>260</v>
      </c>
      <c r="C10" s="12" t="n">
        <v>45536</v>
      </c>
      <c r="D10" s="14" t="n">
        <v>493</v>
      </c>
      <c r="E10" s="14" t="n">
        <v>315</v>
      </c>
      <c r="F10" s="14" t="n">
        <v>179</v>
      </c>
      <c r="G10" s="21" t="n">
        <v>0.44</v>
      </c>
      <c r="H10" s="18" t="n">
        <f aca="false">D10*G10</f>
        <v>216.92</v>
      </c>
      <c r="I10" s="18" t="n">
        <f aca="false">D10-H10</f>
        <v>276.08</v>
      </c>
    </row>
    <row r="11" customFormat="false" ht="15" hidden="false" customHeight="false" outlineLevel="0" collapsed="false">
      <c r="A11" s="20" t="s">
        <v>261</v>
      </c>
      <c r="B11" s="20" t="s">
        <v>262</v>
      </c>
      <c r="C11" s="12" t="n">
        <v>45627</v>
      </c>
      <c r="D11" s="14" t="n">
        <v>601</v>
      </c>
      <c r="E11" s="14" t="n">
        <v>420</v>
      </c>
      <c r="F11" s="14" t="n">
        <v>182</v>
      </c>
      <c r="G11" s="21" t="n">
        <v>0.4</v>
      </c>
      <c r="H11" s="18" t="n">
        <f aca="false">D11*G11</f>
        <v>240.4</v>
      </c>
      <c r="I11" s="18" t="n">
        <f aca="false">D11-H11</f>
        <v>360.6</v>
      </c>
    </row>
    <row r="12" customFormat="false" ht="15" hidden="false" customHeight="false" outlineLevel="0" collapsed="false">
      <c r="A12" s="20" t="s">
        <v>263</v>
      </c>
      <c r="B12" s="20" t="s">
        <v>264</v>
      </c>
      <c r="C12" s="12" t="n">
        <v>45717</v>
      </c>
      <c r="D12" s="14" t="n">
        <v>643</v>
      </c>
      <c r="E12" s="14" t="n">
        <v>470</v>
      </c>
      <c r="F12" s="14" t="n">
        <v>173</v>
      </c>
      <c r="G12" s="21" t="n">
        <v>0.41</v>
      </c>
      <c r="H12" s="18" t="n">
        <f aca="false">D12*G12</f>
        <v>263.63</v>
      </c>
      <c r="I12" s="18" t="n">
        <f aca="false">D12-H12</f>
        <v>379.37</v>
      </c>
    </row>
    <row r="13" customFormat="false" ht="15" hidden="false" customHeight="false" outlineLevel="0" collapsed="false">
      <c r="A13" s="20" t="s">
        <v>265</v>
      </c>
      <c r="B13" s="20" t="s">
        <v>266</v>
      </c>
      <c r="C13" s="12" t="n">
        <v>45809</v>
      </c>
      <c r="D13" s="14" t="n">
        <v>518</v>
      </c>
      <c r="E13" s="14" t="n">
        <v>317</v>
      </c>
      <c r="F13" s="14" t="n">
        <v>201</v>
      </c>
      <c r="G13" s="21" t="n">
        <v>0.38</v>
      </c>
      <c r="H13" s="18" t="n">
        <f aca="false">D13*G13</f>
        <v>196.84</v>
      </c>
      <c r="I13" s="18" t="n">
        <f aca="false">D13-H13</f>
        <v>321.16</v>
      </c>
    </row>
    <row r="14" customFormat="false" ht="15" hidden="false" customHeight="false" outlineLevel="0" collapsed="false">
      <c r="A14" s="20" t="s">
        <v>267</v>
      </c>
      <c r="B14" s="20" t="s">
        <v>268</v>
      </c>
      <c r="C14" s="12" t="n">
        <v>45901</v>
      </c>
      <c r="D14" s="14" t="n">
        <v>654</v>
      </c>
      <c r="E14" s="14" t="n">
        <v>416</v>
      </c>
      <c r="F14" s="14" t="n">
        <v>239</v>
      </c>
      <c r="G14" s="21" t="n">
        <v>0.44</v>
      </c>
      <c r="H14" s="18" t="n">
        <f aca="false">D14*G14</f>
        <v>287.76</v>
      </c>
      <c r="I14" s="18" t="n">
        <f aca="false">D14-H14</f>
        <v>366.24</v>
      </c>
    </row>
    <row r="15" customFormat="false" ht="15" hidden="false" customHeight="false" outlineLevel="0" collapsed="false">
      <c r="A15" s="20" t="s">
        <v>269</v>
      </c>
      <c r="B15" s="20" t="s">
        <v>270</v>
      </c>
      <c r="C15" s="12" t="n">
        <v>45992</v>
      </c>
      <c r="D15" s="14" t="n">
        <v>559</v>
      </c>
      <c r="E15" s="14" t="n">
        <v>313</v>
      </c>
      <c r="F15" s="14" t="n">
        <v>246</v>
      </c>
      <c r="G15" s="21" t="n">
        <v>0.31</v>
      </c>
      <c r="H15" s="18" t="n">
        <f aca="false">D15*G15</f>
        <v>173.29</v>
      </c>
      <c r="I15" s="18" t="n">
        <f aca="false">D15-H15</f>
        <v>385.71</v>
      </c>
    </row>
    <row r="16" customFormat="false" ht="15" hidden="false" customHeight="false" outlineLevel="0" collapsed="false">
      <c r="A16" s="20" t="s">
        <v>271</v>
      </c>
      <c r="B16" s="20" t="s">
        <v>272</v>
      </c>
      <c r="C16" s="12" t="n">
        <v>46082</v>
      </c>
      <c r="D16" s="14" t="n">
        <v>620</v>
      </c>
      <c r="E16" s="14" t="n">
        <v>355</v>
      </c>
      <c r="F16" s="14" t="n">
        <v>266</v>
      </c>
      <c r="G16" s="21" t="n">
        <v>0.26</v>
      </c>
      <c r="H16" s="18" t="n">
        <f aca="false">D16*G16</f>
        <v>161.2</v>
      </c>
      <c r="I16" s="18" t="n">
        <f aca="false">D16-H16</f>
        <v>458.8</v>
      </c>
    </row>
    <row r="17" customFormat="false" ht="15" hidden="false" customHeight="false" outlineLevel="0" collapsed="false">
      <c r="A17" s="20" t="s">
        <v>273</v>
      </c>
      <c r="B17" s="20" t="s">
        <v>274</v>
      </c>
      <c r="C17" s="12" t="n">
        <v>46174</v>
      </c>
      <c r="D17" s="14" t="n">
        <v>754</v>
      </c>
      <c r="G17" s="21" t="n">
        <v>0.25</v>
      </c>
      <c r="H17" s="18" t="n">
        <f aca="false">D17*G17</f>
        <v>188.5</v>
      </c>
      <c r="I17" s="18" t="n">
        <f aca="false">D17-H17</f>
        <v>565.5</v>
      </c>
    </row>
    <row r="19" customFormat="false" ht="15" hidden="false" customHeight="false" outlineLevel="0" collapsed="false">
      <c r="A19" s="2" t="s">
        <v>275</v>
      </c>
    </row>
    <row r="20" customFormat="false" ht="15" hidden="false" customHeight="false" outlineLevel="0" collapsed="false">
      <c r="A20" s="2" t="s">
        <v>276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0"/>
    <col collapsed="false" customWidth="true" hidden="false" outlineLevel="0" max="7" min="4" style="0" width="9"/>
    <col collapsed="false" customWidth="true" hidden="false" outlineLevel="0" max="8" min="8" style="0" width="10"/>
    <col collapsed="false" customWidth="true" hidden="false" outlineLevel="0" max="12" min="9" style="0" width="9"/>
    <col collapsed="false" customWidth="true" hidden="false" outlineLevel="0" max="13" min="13" style="0" width="10"/>
  </cols>
  <sheetData>
    <row r="1" customFormat="false" ht="19.4" hidden="false" customHeight="false" outlineLevel="0" collapsed="false">
      <c r="A1" s="1" t="s">
        <v>277</v>
      </c>
    </row>
    <row r="2" customFormat="false" ht="15" hidden="false" customHeight="false" outlineLevel="0" collapsed="false">
      <c r="A2" s="16" t="s">
        <v>278</v>
      </c>
    </row>
    <row r="3" customFormat="false" ht="15" hidden="false" customHeight="false" outlineLevel="0" collapsed="false">
      <c r="D3" s="11" t="s">
        <v>279</v>
      </c>
      <c r="E3" s="22" t="n">
        <v>0</v>
      </c>
      <c r="F3" s="2" t="s">
        <v>280</v>
      </c>
      <c r="I3" s="11" t="s">
        <v>279</v>
      </c>
      <c r="J3" s="22" t="n">
        <v>1</v>
      </c>
      <c r="K3" s="2" t="s">
        <v>281</v>
      </c>
    </row>
    <row r="4" customFormat="false" ht="15" hidden="false" customHeight="false" outlineLevel="0" collapsed="false">
      <c r="A4" s="10" t="s">
        <v>240</v>
      </c>
      <c r="B4" s="10" t="s">
        <v>242</v>
      </c>
      <c r="C4" s="10" t="s">
        <v>243</v>
      </c>
      <c r="D4" s="10" t="s">
        <v>227</v>
      </c>
      <c r="E4" s="10" t="s">
        <v>229</v>
      </c>
      <c r="F4" s="10" t="s">
        <v>232</v>
      </c>
      <c r="G4" s="10" t="s">
        <v>230</v>
      </c>
      <c r="H4" s="10" t="s">
        <v>282</v>
      </c>
      <c r="I4" s="10" t="s">
        <v>227</v>
      </c>
      <c r="J4" s="10" t="s">
        <v>229</v>
      </c>
      <c r="K4" s="10" t="s">
        <v>232</v>
      </c>
      <c r="L4" s="10" t="s">
        <v>230</v>
      </c>
      <c r="M4" s="10" t="s">
        <v>282</v>
      </c>
    </row>
    <row r="6" customFormat="false" ht="15" hidden="false" customHeight="false" outlineLevel="0" collapsed="false">
      <c r="A6" s="20" t="s">
        <v>249</v>
      </c>
      <c r="B6" s="23" t="n">
        <f aca="false">KOKUSAI_四半期!C5</f>
        <v>45078</v>
      </c>
      <c r="C6" s="24" t="n">
        <f aca="false">KOKUSAI_四半期!D5</f>
        <v>327</v>
      </c>
      <c r="D6" s="24" t="n">
        <f aca="false">IF(COUNTIFS(貿易_月次!$A$5:$A$45,"&gt;="&amp;EDATE($B6,-2-$E$3),貿易_月次!$A$5:$A$45,"&lt;="&amp;EDATE($B6,-$E$3))=3,SUMIFS(貿易_月次!$B$5:$B$45,貿易_月次!$A$5:$A$45,"&gt;="&amp;EDATE($B6,-2-$E$3),貿易_月次!$A$5:$A$45,"&lt;="&amp;EDATE($B6,-$E$3)),"")</f>
        <v>8184.93948526176</v>
      </c>
      <c r="E6" s="24" t="n">
        <f aca="false">IF(COUNTIFS(貿易_月次!$A$5:$A$45,"&gt;="&amp;EDATE($B6,-2-$E$3),貿易_月次!$A$5:$A$45,"&lt;="&amp;EDATE($B6,-$E$3))=3,SUMIFS(貿易_月次!$D$5:$D$45,貿易_月次!$A$5:$A$45,"&gt;="&amp;EDATE($B6,-2-$E$3),貿易_月次!$A$5:$A$45,"&lt;="&amp;EDATE($B6,-$E$3)),"")</f>
        <v>3087.34015983322</v>
      </c>
      <c r="F6" s="24" t="n">
        <f aca="false">IF(COUNTIFS(貿易_月次!$A$5:$A$45,"&gt;="&amp;EDATE($B6,-2-$E$3),貿易_月次!$A$5:$A$45,"&lt;="&amp;EDATE($B6,-$E$3))=3,SUMIFS(貿易_月次!$I$5:$I$45,貿易_月次!$A$5:$A$45,"&gt;="&amp;EDATE($B6,-2-$E$3),貿易_月次!$A$5:$A$45,"&lt;="&amp;EDATE($B6,-$E$3)),"")</f>
        <v>5097.59932542854</v>
      </c>
      <c r="G6" s="24" t="n">
        <f aca="false">IF(COUNTIFS(貿易_月次!$A$5:$A$45,"&gt;="&amp;EDATE($B6,-2-$E$3),貿易_月次!$A$5:$A$45,"&lt;="&amp;EDATE($B6,-$E$3))=3,SUMIFS(貿易_月次!$E$5:$E$45,貿易_月次!$A$5:$A$45,"&gt;="&amp;EDATE($B6,-2-$E$3),貿易_月次!$A$5:$A$45,"&lt;="&amp;EDATE($B6,-$E$3)),"")</f>
        <v>1436.59912885744</v>
      </c>
      <c r="H6" s="25" t="n">
        <f aca="false">IF(AND(ISNUMBER(C6),ISNUMBER(D6)),C6/D6,"")</f>
        <v>0.0399514254917601</v>
      </c>
      <c r="I6" s="24" t="str">
        <f aca="false">IF(COUNTIFS(貿易_月次!$A$5:$A$45,"&gt;="&amp;EDATE($B6,-2-$J$3),貿易_月次!$A$5:$A$45,"&lt;="&amp;EDATE($B6,-$J$3))=3,SUMIFS(貿易_月次!$B$5:$B$45,貿易_月次!$A$5:$A$45,"&gt;="&amp;EDATE($B6,-2-$J$3),貿易_月次!$A$5:$A$45,"&lt;="&amp;EDATE($B6,-$J$3)),"")</f>
        <v/>
      </c>
      <c r="J6" s="24" t="str">
        <f aca="false">IF(COUNTIFS(貿易_月次!$A$5:$A$45,"&gt;="&amp;EDATE($B6,-2-$J$3),貿易_月次!$A$5:$A$45,"&lt;="&amp;EDATE($B6,-$J$3))=3,SUMIFS(貿易_月次!$D$5:$D$45,貿易_月次!$A$5:$A$45,"&gt;="&amp;EDATE($B6,-2-$J$3),貿易_月次!$A$5:$A$45,"&lt;="&amp;EDATE($B6,-$J$3)),"")</f>
        <v/>
      </c>
      <c r="K6" s="24" t="str">
        <f aca="false">IF(COUNTIFS(貿易_月次!$A$5:$A$45,"&gt;="&amp;EDATE($B6,-2-$J$3),貿易_月次!$A$5:$A$45,"&lt;="&amp;EDATE($B6,-$J$3))=3,SUMIFS(貿易_月次!$I$5:$I$45,貿易_月次!$A$5:$A$45,"&gt;="&amp;EDATE($B6,-2-$J$3),貿易_月次!$A$5:$A$45,"&lt;="&amp;EDATE($B6,-$J$3)),"")</f>
        <v/>
      </c>
      <c r="L6" s="24" t="str">
        <f aca="false">IF(COUNTIFS(貿易_月次!$A$5:$A$45,"&gt;="&amp;EDATE($B6,-2-$J$3),貿易_月次!$A$5:$A$45,"&lt;="&amp;EDATE($B6,-$J$3))=3,SUMIFS(貿易_月次!$E$5:$E$45,貿易_月次!$A$5:$A$45,"&gt;="&amp;EDATE($B6,-2-$J$3),貿易_月次!$A$5:$A$45,"&lt;="&amp;EDATE($B6,-$J$3)),"")</f>
        <v/>
      </c>
      <c r="M6" s="25" t="str">
        <f aca="false">IF(AND(ISNUMBER(C6),ISNUMBER(I6)),C6/I6,"")</f>
        <v/>
      </c>
    </row>
    <row r="7" customFormat="false" ht="15" hidden="false" customHeight="false" outlineLevel="0" collapsed="false">
      <c r="A7" s="20" t="s">
        <v>251</v>
      </c>
      <c r="B7" s="23" t="n">
        <f aca="false">KOKUSAI_四半期!C6</f>
        <v>45170</v>
      </c>
      <c r="C7" s="24" t="n">
        <f aca="false">KOKUSAI_四半期!D6</f>
        <v>450</v>
      </c>
      <c r="D7" s="24" t="n">
        <f aca="false">IF(COUNTIFS(貿易_月次!$A$5:$A$45,"&gt;="&amp;EDATE($B7,-2-$E$3),貿易_月次!$A$5:$A$45,"&lt;="&amp;EDATE($B7,-$E$3))=3,SUMIFS(貿易_月次!$B$5:$B$45,貿易_月次!$A$5:$A$45,"&gt;="&amp;EDATE($B7,-2-$E$3),貿易_月次!$A$5:$A$45,"&lt;="&amp;EDATE($B7,-$E$3)),"")</f>
        <v>8236.84108130101</v>
      </c>
      <c r="E7" s="24" t="n">
        <f aca="false">IF(COUNTIFS(貿易_月次!$A$5:$A$45,"&gt;="&amp;EDATE($B7,-2-$E$3),貿易_月次!$A$5:$A$45,"&lt;="&amp;EDATE($B7,-$E$3))=3,SUMIFS(貿易_月次!$D$5:$D$45,貿易_月次!$A$5:$A$45,"&gt;="&amp;EDATE($B7,-2-$E$3),貿易_月次!$A$5:$A$45,"&lt;="&amp;EDATE($B7,-$E$3)),"")</f>
        <v>4185.41359211522</v>
      </c>
      <c r="F7" s="24" t="n">
        <f aca="false">IF(COUNTIFS(貿易_月次!$A$5:$A$45,"&gt;="&amp;EDATE($B7,-2-$E$3),貿易_月次!$A$5:$A$45,"&lt;="&amp;EDATE($B7,-$E$3))=3,SUMIFS(貿易_月次!$I$5:$I$45,貿易_月次!$A$5:$A$45,"&gt;="&amp;EDATE($B7,-2-$E$3),貿易_月次!$A$5:$A$45,"&lt;="&amp;EDATE($B7,-$E$3)),"")</f>
        <v>4051.42748918579</v>
      </c>
      <c r="G7" s="24" t="n">
        <f aca="false">IF(COUNTIFS(貿易_月次!$A$5:$A$45,"&gt;="&amp;EDATE($B7,-2-$E$3),貿易_月次!$A$5:$A$45,"&lt;="&amp;EDATE($B7,-$E$3))=3,SUMIFS(貿易_月次!$E$5:$E$45,貿易_月次!$A$5:$A$45,"&gt;="&amp;EDATE($B7,-2-$E$3),貿易_月次!$A$5:$A$45,"&lt;="&amp;EDATE($B7,-$E$3)),"")</f>
        <v>1177.51283793335</v>
      </c>
      <c r="H7" s="25" t="n">
        <f aca="false">IF(AND(ISNUMBER(C7),ISNUMBER(D7)),C7/D7,"")</f>
        <v>0.0546325946510701</v>
      </c>
      <c r="I7" s="24" t="n">
        <f aca="false">IF(COUNTIFS(貿易_月次!$A$5:$A$45,"&gt;="&amp;EDATE($B7,-2-$J$3),貿易_月次!$A$5:$A$45,"&lt;="&amp;EDATE($B7,-$J$3))=3,SUMIFS(貿易_月次!$B$5:$B$45,貿易_月次!$A$5:$A$45,"&gt;="&amp;EDATE($B7,-2-$J$3),貿易_月次!$A$5:$A$45,"&lt;="&amp;EDATE($B7,-$J$3)),"")</f>
        <v>7973.41924705734</v>
      </c>
      <c r="J7" s="24" t="n">
        <f aca="false">IF(COUNTIFS(貿易_月次!$A$5:$A$45,"&gt;="&amp;EDATE($B7,-2-$J$3),貿易_月次!$A$5:$A$45,"&lt;="&amp;EDATE($B7,-$J$3))=3,SUMIFS(貿易_月次!$D$5:$D$45,貿易_月次!$A$5:$A$45,"&gt;="&amp;EDATE($B7,-2-$J$3),貿易_月次!$A$5:$A$45,"&lt;="&amp;EDATE($B7,-$J$3)),"")</f>
        <v>3822.5960809161</v>
      </c>
      <c r="K7" s="24" t="n">
        <f aca="false">IF(COUNTIFS(貿易_月次!$A$5:$A$45,"&gt;="&amp;EDATE($B7,-2-$J$3),貿易_月次!$A$5:$A$45,"&lt;="&amp;EDATE($B7,-$J$3))=3,SUMIFS(貿易_月次!$I$5:$I$45,貿易_月次!$A$5:$A$45,"&gt;="&amp;EDATE($B7,-2-$J$3),貿易_月次!$A$5:$A$45,"&lt;="&amp;EDATE($B7,-$J$3)),"")</f>
        <v>4150.82316614124</v>
      </c>
      <c r="L7" s="24" t="n">
        <f aca="false">IF(COUNTIFS(貿易_月次!$A$5:$A$45,"&gt;="&amp;EDATE($B7,-2-$J$3),貿易_月次!$A$5:$A$45,"&lt;="&amp;EDATE($B7,-$J$3))=3,SUMIFS(貿易_月次!$E$5:$E$45,貿易_月次!$A$5:$A$45,"&gt;="&amp;EDATE($B7,-2-$J$3),貿易_月次!$A$5:$A$45,"&lt;="&amp;EDATE($B7,-$J$3)),"")</f>
        <v>1236.13410277131</v>
      </c>
      <c r="M7" s="25" t="n">
        <f aca="false">IF(AND(ISNUMBER(C7),ISNUMBER(I7)),C7/I7,"")</f>
        <v>0.0564375189685499</v>
      </c>
    </row>
    <row r="8" customFormat="false" ht="15" hidden="false" customHeight="false" outlineLevel="0" collapsed="false">
      <c r="A8" s="20" t="s">
        <v>253</v>
      </c>
      <c r="B8" s="23" t="n">
        <f aca="false">KOKUSAI_四半期!C7</f>
        <v>45261</v>
      </c>
      <c r="C8" s="24" t="n">
        <f aca="false">KOKUSAI_四半期!D7</f>
        <v>540</v>
      </c>
      <c r="D8" s="24" t="n">
        <f aca="false">IF(COUNTIFS(貿易_月次!$A$5:$A$45,"&gt;="&amp;EDATE($B8,-2-$E$3),貿易_月次!$A$5:$A$45,"&lt;="&amp;EDATE($B8,-$E$3))=3,SUMIFS(貿易_月次!$B$5:$B$45,貿易_月次!$A$5:$A$45,"&gt;="&amp;EDATE($B8,-2-$E$3),貿易_月次!$A$5:$A$45,"&lt;="&amp;EDATE($B8,-$E$3)),"")</f>
        <v>9763.32064690062</v>
      </c>
      <c r="E8" s="24" t="n">
        <f aca="false">IF(COUNTIFS(貿易_月次!$A$5:$A$45,"&gt;="&amp;EDATE($B8,-2-$E$3),貿易_月次!$A$5:$A$45,"&lt;="&amp;EDATE($B8,-$E$3))=3,SUMIFS(貿易_月次!$D$5:$D$45,貿易_月次!$A$5:$A$45,"&gt;="&amp;EDATE($B8,-2-$E$3),貿易_月次!$A$5:$A$45,"&lt;="&amp;EDATE($B8,-$E$3)),"")</f>
        <v>5178.95181851938</v>
      </c>
      <c r="F8" s="24" t="n">
        <f aca="false">IF(COUNTIFS(貿易_月次!$A$5:$A$45,"&gt;="&amp;EDATE($B8,-2-$E$3),貿易_月次!$A$5:$A$45,"&lt;="&amp;EDATE($B8,-$E$3))=3,SUMIFS(貿易_月次!$I$5:$I$45,貿易_月次!$A$5:$A$45,"&gt;="&amp;EDATE($B8,-2-$E$3),貿易_月次!$A$5:$A$45,"&lt;="&amp;EDATE($B8,-$E$3)),"")</f>
        <v>4584.36882838124</v>
      </c>
      <c r="G8" s="24" t="n">
        <f aca="false">IF(COUNTIFS(貿易_月次!$A$5:$A$45,"&gt;="&amp;EDATE($B8,-2-$E$3),貿易_月次!$A$5:$A$45,"&lt;="&amp;EDATE($B8,-$E$3))=3,SUMIFS(貿易_月次!$E$5:$E$45,貿易_月次!$A$5:$A$45,"&gt;="&amp;EDATE($B8,-2-$E$3),貿易_月次!$A$5:$A$45,"&lt;="&amp;EDATE($B8,-$E$3)),"")</f>
        <v>1149.28969085975</v>
      </c>
      <c r="H8" s="25" t="n">
        <f aca="false">IF(AND(ISNUMBER(C8),ISNUMBER(D8)),C8/D8,"")</f>
        <v>0.0553090510421189</v>
      </c>
      <c r="I8" s="24" t="n">
        <f aca="false">IF(COUNTIFS(貿易_月次!$A$5:$A$45,"&gt;="&amp;EDATE($B8,-2-$J$3),貿易_月次!$A$5:$A$45,"&lt;="&amp;EDATE($B8,-$J$3))=3,SUMIFS(貿易_月次!$B$5:$B$45,貿易_月次!$A$5:$A$45,"&gt;="&amp;EDATE($B8,-2-$J$3),貿易_月次!$A$5:$A$45,"&lt;="&amp;EDATE($B8,-$J$3)),"")</f>
        <v>8835.76805461984</v>
      </c>
      <c r="J8" s="24" t="n">
        <f aca="false">IF(COUNTIFS(貿易_月次!$A$5:$A$45,"&gt;="&amp;EDATE($B8,-2-$J$3),貿易_月次!$A$5:$A$45,"&lt;="&amp;EDATE($B8,-$J$3))=3,SUMIFS(貿易_月次!$D$5:$D$45,貿易_月次!$A$5:$A$45,"&gt;="&amp;EDATE($B8,-2-$J$3),貿易_月次!$A$5:$A$45,"&lt;="&amp;EDATE($B8,-$J$3)),"")</f>
        <v>4621.50379992838</v>
      </c>
      <c r="K8" s="24" t="n">
        <f aca="false">IF(COUNTIFS(貿易_月次!$A$5:$A$45,"&gt;="&amp;EDATE($B8,-2-$J$3),貿易_月次!$A$5:$A$45,"&lt;="&amp;EDATE($B8,-$J$3))=3,SUMIFS(貿易_月次!$I$5:$I$45,貿易_月次!$A$5:$A$45,"&gt;="&amp;EDATE($B8,-2-$J$3),貿易_月次!$A$5:$A$45,"&lt;="&amp;EDATE($B8,-$J$3)),"")</f>
        <v>4214.26425469145</v>
      </c>
      <c r="L8" s="24" t="n">
        <f aca="false">IF(COUNTIFS(貿易_月次!$A$5:$A$45,"&gt;="&amp;EDATE($B8,-2-$J$3),貿易_月次!$A$5:$A$45,"&lt;="&amp;EDATE($B8,-$J$3))=3,SUMIFS(貿易_月次!$E$5:$E$45,貿易_月次!$A$5:$A$45,"&gt;="&amp;EDATE($B8,-2-$J$3),貿易_月次!$A$5:$A$45,"&lt;="&amp;EDATE($B8,-$J$3)),"")</f>
        <v>1018.92724308336</v>
      </c>
      <c r="M8" s="25" t="n">
        <f aca="false">IF(AND(ISNUMBER(C8),ISNUMBER(I8)),C8/I8,"")</f>
        <v>0.0611152303525733</v>
      </c>
    </row>
    <row r="9" customFormat="false" ht="15" hidden="false" customHeight="false" outlineLevel="0" collapsed="false">
      <c r="A9" s="20" t="s">
        <v>255</v>
      </c>
      <c r="B9" s="23" t="n">
        <f aca="false">KOKUSAI_四半期!C8</f>
        <v>45352</v>
      </c>
      <c r="C9" s="24" t="n">
        <f aca="false">KOKUSAI_四半期!D8</f>
        <v>492</v>
      </c>
      <c r="D9" s="24" t="n">
        <f aca="false">IF(COUNTIFS(貿易_月次!$A$5:$A$45,"&gt;="&amp;EDATE($B9,-2-$E$3),貿易_月次!$A$5:$A$45,"&lt;="&amp;EDATE($B9,-$E$3))=3,SUMIFS(貿易_月次!$B$5:$B$45,貿易_月次!$A$5:$A$45,"&gt;="&amp;EDATE($B9,-2-$E$3),貿易_月次!$A$5:$A$45,"&lt;="&amp;EDATE($B9,-$E$3)),"")</f>
        <v>10364.9367260465</v>
      </c>
      <c r="E9" s="24" t="n">
        <f aca="false">IF(COUNTIFS(貿易_月次!$A$5:$A$45,"&gt;="&amp;EDATE($B9,-2-$E$3),貿易_月次!$A$5:$A$45,"&lt;="&amp;EDATE($B9,-$E$3))=3,SUMIFS(貿易_月次!$D$5:$D$45,貿易_月次!$A$5:$A$45,"&gt;="&amp;EDATE($B9,-2-$E$3),貿易_月次!$A$5:$A$45,"&lt;="&amp;EDATE($B9,-$E$3)),"")</f>
        <v>5212.60184326134</v>
      </c>
      <c r="F9" s="24" t="n">
        <f aca="false">IF(COUNTIFS(貿易_月次!$A$5:$A$45,"&gt;="&amp;EDATE($B9,-2-$E$3),貿易_月次!$A$5:$A$45,"&lt;="&amp;EDATE($B9,-$E$3))=3,SUMIFS(貿易_月次!$I$5:$I$45,貿易_月次!$A$5:$A$45,"&gt;="&amp;EDATE($B9,-2-$E$3),貿易_月次!$A$5:$A$45,"&lt;="&amp;EDATE($B9,-$E$3)),"")</f>
        <v>5152.33488278517</v>
      </c>
      <c r="G9" s="24" t="n">
        <f aca="false">IF(COUNTIFS(貿易_月次!$A$5:$A$45,"&gt;="&amp;EDATE($B9,-2-$E$3),貿易_月次!$A$5:$A$45,"&lt;="&amp;EDATE($B9,-$E$3))=3,SUMIFS(貿易_月次!$E$5:$E$45,貿易_月次!$A$5:$A$45,"&gt;="&amp;EDATE($B9,-2-$E$3),貿易_月次!$A$5:$A$45,"&lt;="&amp;EDATE($B9,-$E$3)),"")</f>
        <v>1689.62123283792</v>
      </c>
      <c r="H9" s="25" t="n">
        <f aca="false">IF(AND(ISNUMBER(C9),ISNUMBER(D9)),C9/D9,"")</f>
        <v>0.0474677282653961</v>
      </c>
      <c r="I9" s="24" t="n">
        <f aca="false">IF(COUNTIFS(貿易_月次!$A$5:$A$45,"&gt;="&amp;EDATE($B9,-2-$J$3),貿易_月次!$A$5:$A$45,"&lt;="&amp;EDATE($B9,-$J$3))=3,SUMIFS(貿易_月次!$B$5:$B$45,貿易_月次!$A$5:$A$45,"&gt;="&amp;EDATE($B9,-2-$J$3),貿易_月次!$A$5:$A$45,"&lt;="&amp;EDATE($B9,-$J$3)),"")</f>
        <v>10086.7980157277</v>
      </c>
      <c r="J9" s="24" t="n">
        <f aca="false">IF(COUNTIFS(貿易_月次!$A$5:$A$45,"&gt;="&amp;EDATE($B9,-2-$J$3),貿易_月次!$A$5:$A$45,"&lt;="&amp;EDATE($B9,-$J$3))=3,SUMIFS(貿易_月次!$D$5:$D$45,貿易_月次!$A$5:$A$45,"&gt;="&amp;EDATE($B9,-2-$J$3),貿易_月次!$A$5:$A$45,"&lt;="&amp;EDATE($B9,-$J$3)),"")</f>
        <v>5120.98353968991</v>
      </c>
      <c r="K9" s="24" t="n">
        <f aca="false">IF(COUNTIFS(貿易_月次!$A$5:$A$45,"&gt;="&amp;EDATE($B9,-2-$J$3),貿易_月次!$A$5:$A$45,"&lt;="&amp;EDATE($B9,-$J$3))=3,SUMIFS(貿易_月次!$I$5:$I$45,貿易_月次!$A$5:$A$45,"&gt;="&amp;EDATE($B9,-2-$J$3),貿易_月次!$A$5:$A$45,"&lt;="&amp;EDATE($B9,-$J$3)),"")</f>
        <v>4965.81447603782</v>
      </c>
      <c r="L9" s="24" t="n">
        <f aca="false">IF(COUNTIFS(貿易_月次!$A$5:$A$45,"&gt;="&amp;EDATE($B9,-2-$J$3),貿易_月次!$A$5:$A$45,"&lt;="&amp;EDATE($B9,-$J$3))=3,SUMIFS(貿易_月次!$E$5:$E$45,貿易_月次!$A$5:$A$45,"&gt;="&amp;EDATE($B9,-2-$J$3),貿易_月次!$A$5:$A$45,"&lt;="&amp;EDATE($B9,-$J$3)),"")</f>
        <v>1663.12325653153</v>
      </c>
      <c r="M9" s="25" t="n">
        <f aca="false">IF(AND(ISNUMBER(C9),ISNUMBER(I9)),C9/I9,"")</f>
        <v>0.0487766285428591</v>
      </c>
    </row>
    <row r="10" customFormat="false" ht="15" hidden="false" customHeight="false" outlineLevel="0" collapsed="false">
      <c r="A10" s="20" t="s">
        <v>257</v>
      </c>
      <c r="B10" s="23" t="n">
        <f aca="false">KOKUSAI_四半期!C9</f>
        <v>45444</v>
      </c>
      <c r="C10" s="24" t="n">
        <f aca="false">KOKUSAI_四半期!D9</f>
        <v>652</v>
      </c>
      <c r="D10" s="24" t="n">
        <f aca="false">IF(COUNTIFS(貿易_月次!$A$5:$A$45,"&gt;="&amp;EDATE($B10,-2-$E$3),貿易_月次!$A$5:$A$45,"&lt;="&amp;EDATE($B10,-$E$3))=3,SUMIFS(貿易_月次!$B$5:$B$45,貿易_月次!$A$5:$A$45,"&gt;="&amp;EDATE($B10,-2-$E$3),貿易_月次!$A$5:$A$45,"&lt;="&amp;EDATE($B10,-$E$3)),"")</f>
        <v>11188.0977915377</v>
      </c>
      <c r="E10" s="24" t="n">
        <f aca="false">IF(COUNTIFS(貿易_月次!$A$5:$A$45,"&gt;="&amp;EDATE($B10,-2-$E$3),貿易_月次!$A$5:$A$45,"&lt;="&amp;EDATE($B10,-$E$3))=3,SUMIFS(貿易_月次!$D$5:$D$45,貿易_月次!$A$5:$A$45,"&gt;="&amp;EDATE($B10,-2-$E$3),貿易_月次!$A$5:$A$45,"&lt;="&amp;EDATE($B10,-$E$3)),"")</f>
        <v>5699.07215836526</v>
      </c>
      <c r="F10" s="24" t="n">
        <f aca="false">IF(COUNTIFS(貿易_月次!$A$5:$A$45,"&gt;="&amp;EDATE($B10,-2-$E$3),貿易_月次!$A$5:$A$45,"&lt;="&amp;EDATE($B10,-$E$3))=3,SUMIFS(貿易_月次!$I$5:$I$45,貿易_月次!$A$5:$A$45,"&gt;="&amp;EDATE($B10,-2-$E$3),貿易_月次!$A$5:$A$45,"&lt;="&amp;EDATE($B10,-$E$3)),"")</f>
        <v>5489.02563317241</v>
      </c>
      <c r="G10" s="24" t="n">
        <f aca="false">IF(COUNTIFS(貿易_月次!$A$5:$A$45,"&gt;="&amp;EDATE($B10,-2-$E$3),貿易_月次!$A$5:$A$45,"&lt;="&amp;EDATE($B10,-$E$3))=3,SUMIFS(貿易_月次!$E$5:$E$45,貿易_月次!$A$5:$A$45,"&gt;="&amp;EDATE($B10,-2-$E$3),貿易_月次!$A$5:$A$45,"&lt;="&amp;EDATE($B10,-$E$3)),"")</f>
        <v>1384.35230118443</v>
      </c>
      <c r="H10" s="25" t="n">
        <f aca="false">IF(AND(ISNUMBER(C10),ISNUMBER(D10)),C10/D10,"")</f>
        <v>0.0582762156845959</v>
      </c>
      <c r="I10" s="24" t="n">
        <f aca="false">IF(COUNTIFS(貿易_月次!$A$5:$A$45,"&gt;="&amp;EDATE($B10,-2-$J$3),貿易_月次!$A$5:$A$45,"&lt;="&amp;EDATE($B10,-$J$3))=3,SUMIFS(貿易_月次!$B$5:$B$45,貿易_月次!$A$5:$A$45,"&gt;="&amp;EDATE($B10,-2-$J$3),貿易_月次!$A$5:$A$45,"&lt;="&amp;EDATE($B10,-$J$3)),"")</f>
        <v>11565.6524512235</v>
      </c>
      <c r="J10" s="24" t="n">
        <f aca="false">IF(COUNTIFS(貿易_月次!$A$5:$A$45,"&gt;="&amp;EDATE($B10,-2-$J$3),貿易_月次!$A$5:$A$45,"&lt;="&amp;EDATE($B10,-$J$3))=3,SUMIFS(貿易_月次!$D$5:$D$45,貿易_月次!$A$5:$A$45,"&gt;="&amp;EDATE($B10,-2-$J$3),貿易_月次!$A$5:$A$45,"&lt;="&amp;EDATE($B10,-$J$3)),"")</f>
        <v>6089.00224765098</v>
      </c>
      <c r="K10" s="24" t="n">
        <f aca="false">IF(COUNTIFS(貿易_月次!$A$5:$A$45,"&gt;="&amp;EDATE($B10,-2-$J$3),貿易_月次!$A$5:$A$45,"&lt;="&amp;EDATE($B10,-$J$3))=3,SUMIFS(貿易_月次!$I$5:$I$45,貿易_月次!$A$5:$A$45,"&gt;="&amp;EDATE($B10,-2-$J$3),貿易_月次!$A$5:$A$45,"&lt;="&amp;EDATE($B10,-$J$3)),"")</f>
        <v>5476.65020357256</v>
      </c>
      <c r="L10" s="24" t="n">
        <f aca="false">IF(COUNTIFS(貿易_月次!$A$5:$A$45,"&gt;="&amp;EDATE($B10,-2-$J$3),貿易_月次!$A$5:$A$45,"&lt;="&amp;EDATE($B10,-$J$3))=3,SUMIFS(貿易_月次!$E$5:$E$45,貿易_月次!$A$5:$A$45,"&gt;="&amp;EDATE($B10,-2-$J$3),貿易_月次!$A$5:$A$45,"&lt;="&amp;EDATE($B10,-$J$3)),"")</f>
        <v>1444.20369091253</v>
      </c>
      <c r="M10" s="25" t="n">
        <f aca="false">IF(AND(ISNUMBER(C10),ISNUMBER(I10)),C10/I10,"")</f>
        <v>0.0563738191813835</v>
      </c>
    </row>
    <row r="11" customFormat="false" ht="15" hidden="false" customHeight="false" outlineLevel="0" collapsed="false">
      <c r="A11" s="20" t="s">
        <v>259</v>
      </c>
      <c r="B11" s="23" t="n">
        <f aca="false">KOKUSAI_四半期!C10</f>
        <v>45536</v>
      </c>
      <c r="C11" s="24" t="n">
        <f aca="false">KOKUSAI_四半期!D10</f>
        <v>493</v>
      </c>
      <c r="D11" s="24" t="n">
        <f aca="false">IF(COUNTIFS(貿易_月次!$A$5:$A$45,"&gt;="&amp;EDATE($B11,-2-$E$3),貿易_月次!$A$5:$A$45,"&lt;="&amp;EDATE($B11,-$E$3))=3,SUMIFS(貿易_月次!$B$5:$B$45,貿易_月次!$A$5:$A$45,"&gt;="&amp;EDATE($B11,-2-$E$3),貿易_月次!$A$5:$A$45,"&lt;="&amp;EDATE($B11,-$E$3)),"")</f>
        <v>11084.95</v>
      </c>
      <c r="E11" s="24" t="n">
        <f aca="false">IF(COUNTIFS(貿易_月次!$A$5:$A$45,"&gt;="&amp;EDATE($B11,-2-$E$3),貿易_月次!$A$5:$A$45,"&lt;="&amp;EDATE($B11,-$E$3))=3,SUMIFS(貿易_月次!$D$5:$D$45,貿易_月次!$A$5:$A$45,"&gt;="&amp;EDATE($B11,-2-$E$3),貿易_月次!$A$5:$A$45,"&lt;="&amp;EDATE($B11,-$E$3)),"")</f>
        <v>5384.56</v>
      </c>
      <c r="F11" s="24" t="n">
        <f aca="false">IF(COUNTIFS(貿易_月次!$A$5:$A$45,"&gt;="&amp;EDATE($B11,-2-$E$3),貿易_月次!$A$5:$A$45,"&lt;="&amp;EDATE($B11,-$E$3))=3,SUMIFS(貿易_月次!$I$5:$I$45,貿易_月次!$A$5:$A$45,"&gt;="&amp;EDATE($B11,-2-$E$3),貿易_月次!$A$5:$A$45,"&lt;="&amp;EDATE($B11,-$E$3)),"")</f>
        <v>5700.39</v>
      </c>
      <c r="G11" s="24" t="n">
        <f aca="false">IF(COUNTIFS(貿易_月次!$A$5:$A$45,"&gt;="&amp;EDATE($B11,-2-$E$3),貿易_月次!$A$5:$A$45,"&lt;="&amp;EDATE($B11,-$E$3))=3,SUMIFS(貿易_月次!$E$5:$E$45,貿易_月次!$A$5:$A$45,"&gt;="&amp;EDATE($B11,-2-$E$3),貿易_月次!$A$5:$A$45,"&lt;="&amp;EDATE($B11,-$E$3)),"")</f>
        <v>1441.57</v>
      </c>
      <c r="H11" s="25" t="n">
        <f aca="false">IF(AND(ISNUMBER(C11),ISNUMBER(D11)),C11/D11,"")</f>
        <v>0.0444747157181584</v>
      </c>
      <c r="I11" s="24" t="n">
        <f aca="false">IF(COUNTIFS(貿易_月次!$A$5:$A$45,"&gt;="&amp;EDATE($B11,-2-$J$3),貿易_月次!$A$5:$A$45,"&lt;="&amp;EDATE($B11,-$J$3))=3,SUMIFS(貿易_月次!$B$5:$B$45,貿易_月次!$A$5:$A$45,"&gt;="&amp;EDATE($B11,-2-$J$3),貿易_月次!$A$5:$A$45,"&lt;="&amp;EDATE($B11,-$J$3)),"")</f>
        <v>11086.34</v>
      </c>
      <c r="J11" s="24" t="n">
        <f aca="false">IF(COUNTIFS(貿易_月次!$A$5:$A$45,"&gt;="&amp;EDATE($B11,-2-$J$3),貿易_月次!$A$5:$A$45,"&lt;="&amp;EDATE($B11,-$J$3))=3,SUMIFS(貿易_月次!$D$5:$D$45,貿易_月次!$A$5:$A$45,"&gt;="&amp;EDATE($B11,-2-$J$3),貿易_月次!$A$5:$A$45,"&lt;="&amp;EDATE($B11,-$J$3)),"")</f>
        <v>5363.69</v>
      </c>
      <c r="K11" s="24" t="n">
        <f aca="false">IF(COUNTIFS(貿易_月次!$A$5:$A$45,"&gt;="&amp;EDATE($B11,-2-$J$3),貿易_月次!$A$5:$A$45,"&lt;="&amp;EDATE($B11,-$J$3))=3,SUMIFS(貿易_月次!$I$5:$I$45,貿易_月次!$A$5:$A$45,"&gt;="&amp;EDATE($B11,-2-$J$3),貿易_月次!$A$5:$A$45,"&lt;="&amp;EDATE($B11,-$J$3)),"")</f>
        <v>5722.65</v>
      </c>
      <c r="L11" s="24" t="n">
        <f aca="false">IF(COUNTIFS(貿易_月次!$A$5:$A$45,"&gt;="&amp;EDATE($B11,-2-$J$3),貿易_月次!$A$5:$A$45,"&lt;="&amp;EDATE($B11,-$J$3))=3,SUMIFS(貿易_月次!$E$5:$E$45,貿易_月次!$A$5:$A$45,"&gt;="&amp;EDATE($B11,-2-$J$3),貿易_月次!$A$5:$A$45,"&lt;="&amp;EDATE($B11,-$J$3)),"")</f>
        <v>1504.2</v>
      </c>
      <c r="M11" s="25" t="n">
        <f aca="false">IF(AND(ISNUMBER(C11),ISNUMBER(I11)),C11/I11,"")</f>
        <v>0.0444691394996004</v>
      </c>
    </row>
    <row r="12" customFormat="false" ht="15" hidden="false" customHeight="false" outlineLevel="0" collapsed="false">
      <c r="A12" s="20" t="s">
        <v>261</v>
      </c>
      <c r="B12" s="23" t="n">
        <f aca="false">KOKUSAI_四半期!C11</f>
        <v>45627</v>
      </c>
      <c r="C12" s="24" t="n">
        <f aca="false">KOKUSAI_四半期!D11</f>
        <v>601</v>
      </c>
      <c r="D12" s="24" t="n">
        <f aca="false">IF(COUNTIFS(貿易_月次!$A$5:$A$45,"&gt;="&amp;EDATE($B12,-2-$E$3),貿易_月次!$A$5:$A$45,"&lt;="&amp;EDATE($B12,-$E$3))=3,SUMIFS(貿易_月次!$B$5:$B$45,貿易_月次!$A$5:$A$45,"&gt;="&amp;EDATE($B12,-2-$E$3),貿易_月次!$A$5:$A$45,"&lt;="&amp;EDATE($B12,-$E$3)),"")</f>
        <v>12322.19</v>
      </c>
      <c r="E12" s="24" t="n">
        <f aca="false">IF(COUNTIFS(貿易_月次!$A$5:$A$45,"&gt;="&amp;EDATE($B12,-2-$E$3),貿易_月次!$A$5:$A$45,"&lt;="&amp;EDATE($B12,-$E$3))=3,SUMIFS(貿易_月次!$D$5:$D$45,貿易_月次!$A$5:$A$45,"&gt;="&amp;EDATE($B12,-2-$E$3),貿易_月次!$A$5:$A$45,"&lt;="&amp;EDATE($B12,-$E$3)),"")</f>
        <v>5474.59</v>
      </c>
      <c r="F12" s="24" t="n">
        <f aca="false">IF(COUNTIFS(貿易_月次!$A$5:$A$45,"&gt;="&amp;EDATE($B12,-2-$E$3),貿易_月次!$A$5:$A$45,"&lt;="&amp;EDATE($B12,-$E$3))=3,SUMIFS(貿易_月次!$I$5:$I$45,貿易_月次!$A$5:$A$45,"&gt;="&amp;EDATE($B12,-2-$E$3),貿易_月次!$A$5:$A$45,"&lt;="&amp;EDATE($B12,-$E$3)),"")</f>
        <v>6847.6</v>
      </c>
      <c r="G12" s="24" t="n">
        <f aca="false">IF(COUNTIFS(貿易_月次!$A$5:$A$45,"&gt;="&amp;EDATE($B12,-2-$E$3),貿易_月次!$A$5:$A$45,"&lt;="&amp;EDATE($B12,-$E$3))=3,SUMIFS(貿易_月次!$E$5:$E$45,貿易_月次!$A$5:$A$45,"&gt;="&amp;EDATE($B12,-2-$E$3),貿易_月次!$A$5:$A$45,"&lt;="&amp;EDATE($B12,-$E$3)),"")</f>
        <v>1880.28</v>
      </c>
      <c r="H12" s="25" t="n">
        <f aca="false">IF(AND(ISNUMBER(C12),ISNUMBER(D12)),C12/D12,"")</f>
        <v>0.0487737975148898</v>
      </c>
      <c r="I12" s="24" t="n">
        <f aca="false">IF(COUNTIFS(貿易_月次!$A$5:$A$45,"&gt;="&amp;EDATE($B12,-2-$J$3),貿易_月次!$A$5:$A$45,"&lt;="&amp;EDATE($B12,-$J$3))=3,SUMIFS(貿易_月次!$B$5:$B$45,貿易_月次!$A$5:$A$45,"&gt;="&amp;EDATE($B12,-2-$J$3),貿易_月次!$A$5:$A$45,"&lt;="&amp;EDATE($B12,-$J$3)),"")</f>
        <v>11789.85</v>
      </c>
      <c r="J12" s="24" t="n">
        <f aca="false">IF(COUNTIFS(貿易_月次!$A$5:$A$45,"&gt;="&amp;EDATE($B12,-2-$J$3),貿易_月次!$A$5:$A$45,"&lt;="&amp;EDATE($B12,-$J$3))=3,SUMIFS(貿易_月次!$D$5:$D$45,貿易_月次!$A$5:$A$45,"&gt;="&amp;EDATE($B12,-2-$J$3),貿易_月次!$A$5:$A$45,"&lt;="&amp;EDATE($B12,-$J$3)),"")</f>
        <v>5428.46</v>
      </c>
      <c r="K12" s="24" t="n">
        <f aca="false">IF(COUNTIFS(貿易_月次!$A$5:$A$45,"&gt;="&amp;EDATE($B12,-2-$J$3),貿易_月次!$A$5:$A$45,"&lt;="&amp;EDATE($B12,-$J$3))=3,SUMIFS(貿易_月次!$I$5:$I$45,貿易_月次!$A$5:$A$45,"&gt;="&amp;EDATE($B12,-2-$J$3),貿易_月次!$A$5:$A$45,"&lt;="&amp;EDATE($B12,-$J$3)),"")</f>
        <v>6361.39</v>
      </c>
      <c r="L12" s="24" t="n">
        <f aca="false">IF(COUNTIFS(貿易_月次!$A$5:$A$45,"&gt;="&amp;EDATE($B12,-2-$J$3),貿易_月次!$A$5:$A$45,"&lt;="&amp;EDATE($B12,-$J$3))=3,SUMIFS(貿易_月次!$E$5:$E$45,貿易_月次!$A$5:$A$45,"&gt;="&amp;EDATE($B12,-2-$J$3),貿易_月次!$A$5:$A$45,"&lt;="&amp;EDATE($B12,-$J$3)),"")</f>
        <v>1664.89</v>
      </c>
      <c r="M12" s="25" t="n">
        <f aca="false">IF(AND(ISNUMBER(C12),ISNUMBER(I12)),C12/I12,"")</f>
        <v>0.0509760514340725</v>
      </c>
    </row>
    <row r="13" customFormat="false" ht="15" hidden="false" customHeight="false" outlineLevel="0" collapsed="false">
      <c r="A13" s="20" t="s">
        <v>263</v>
      </c>
      <c r="B13" s="23" t="n">
        <f aca="false">KOKUSAI_四半期!C12</f>
        <v>45717</v>
      </c>
      <c r="C13" s="24" t="n">
        <f aca="false">KOKUSAI_四半期!D12</f>
        <v>643</v>
      </c>
      <c r="D13" s="24" t="n">
        <f aca="false">IF(COUNTIFS(貿易_月次!$A$5:$A$45,"&gt;="&amp;EDATE($B13,-2-$E$3),貿易_月次!$A$5:$A$45,"&lt;="&amp;EDATE($B13,-$E$3))=3,SUMIFS(貿易_月次!$B$5:$B$45,貿易_月次!$A$5:$A$45,"&gt;="&amp;EDATE($B13,-2-$E$3),貿易_月次!$A$5:$A$45,"&lt;="&amp;EDATE($B13,-$E$3)),"")</f>
        <v>11830.92</v>
      </c>
      <c r="E13" s="24" t="n">
        <f aca="false">IF(COUNTIFS(貿易_月次!$A$5:$A$45,"&gt;="&amp;EDATE($B13,-2-$E$3),貿易_月次!$A$5:$A$45,"&lt;="&amp;EDATE($B13,-$E$3))=3,SUMIFS(貿易_月次!$D$5:$D$45,貿易_月次!$A$5:$A$45,"&gt;="&amp;EDATE($B13,-2-$E$3),貿易_月次!$A$5:$A$45,"&lt;="&amp;EDATE($B13,-$E$3)),"")</f>
        <v>4516.59</v>
      </c>
      <c r="F13" s="24" t="n">
        <f aca="false">IF(COUNTIFS(貿易_月次!$A$5:$A$45,"&gt;="&amp;EDATE($B13,-2-$E$3),貿易_月次!$A$5:$A$45,"&lt;="&amp;EDATE($B13,-$E$3))=3,SUMIFS(貿易_月次!$I$5:$I$45,貿易_月次!$A$5:$A$45,"&gt;="&amp;EDATE($B13,-2-$E$3),貿易_月次!$A$5:$A$45,"&lt;="&amp;EDATE($B13,-$E$3)),"")</f>
        <v>7314.33</v>
      </c>
      <c r="G13" s="24" t="n">
        <f aca="false">IF(COUNTIFS(貿易_月次!$A$5:$A$45,"&gt;="&amp;EDATE($B13,-2-$E$3),貿易_月次!$A$5:$A$45,"&lt;="&amp;EDATE($B13,-$E$3))=3,SUMIFS(貿易_月次!$E$5:$E$45,貿易_月次!$A$5:$A$45,"&gt;="&amp;EDATE($B13,-2-$E$3),貿易_月次!$A$5:$A$45,"&lt;="&amp;EDATE($B13,-$E$3)),"")</f>
        <v>2230.5</v>
      </c>
      <c r="H13" s="25" t="n">
        <f aca="false">IF(AND(ISNUMBER(C13),ISNUMBER(D13)),C13/D13,"")</f>
        <v>0.0543491123260068</v>
      </c>
      <c r="I13" s="24" t="n">
        <f aca="false">IF(COUNTIFS(貿易_月次!$A$5:$A$45,"&gt;="&amp;EDATE($B13,-2-$J$3),貿易_月次!$A$5:$A$45,"&lt;="&amp;EDATE($B13,-$J$3))=3,SUMIFS(貿易_月次!$B$5:$B$45,貿易_月次!$A$5:$A$45,"&gt;="&amp;EDATE($B13,-2-$J$3),貿易_月次!$A$5:$A$45,"&lt;="&amp;EDATE($B13,-$J$3)),"")</f>
        <v>11349.33</v>
      </c>
      <c r="J13" s="24" t="n">
        <f aca="false">IF(COUNTIFS(貿易_月次!$A$5:$A$45,"&gt;="&amp;EDATE($B13,-2-$J$3),貿易_月次!$A$5:$A$45,"&lt;="&amp;EDATE($B13,-$J$3))=3,SUMIFS(貿易_月次!$D$5:$D$45,貿易_月次!$A$5:$A$45,"&gt;="&amp;EDATE($B13,-2-$J$3),貿易_月次!$A$5:$A$45,"&lt;="&amp;EDATE($B13,-$J$3)),"")</f>
        <v>4434.5</v>
      </c>
      <c r="K13" s="24" t="n">
        <f aca="false">IF(COUNTIFS(貿易_月次!$A$5:$A$45,"&gt;="&amp;EDATE($B13,-2-$J$3),貿易_月次!$A$5:$A$45,"&lt;="&amp;EDATE($B13,-$J$3))=3,SUMIFS(貿易_月次!$I$5:$I$45,貿易_月次!$A$5:$A$45,"&gt;="&amp;EDATE($B13,-2-$J$3),貿易_月次!$A$5:$A$45,"&lt;="&amp;EDATE($B13,-$J$3)),"")</f>
        <v>6914.83</v>
      </c>
      <c r="L13" s="24" t="n">
        <f aca="false">IF(COUNTIFS(貿易_月次!$A$5:$A$45,"&gt;="&amp;EDATE($B13,-2-$J$3),貿易_月次!$A$5:$A$45,"&lt;="&amp;EDATE($B13,-$J$3))=3,SUMIFS(貿易_月次!$E$5:$E$45,貿易_月次!$A$5:$A$45,"&gt;="&amp;EDATE($B13,-2-$J$3),貿易_月次!$A$5:$A$45,"&lt;="&amp;EDATE($B13,-$J$3)),"")</f>
        <v>1928.22</v>
      </c>
      <c r="M13" s="25" t="n">
        <f aca="false">IF(AND(ISNUMBER(C13),ISNUMBER(I13)),C13/I13,"")</f>
        <v>0.0566553267902158</v>
      </c>
    </row>
    <row r="14" customFormat="false" ht="15" hidden="false" customHeight="false" outlineLevel="0" collapsed="false">
      <c r="A14" s="20" t="s">
        <v>265</v>
      </c>
      <c r="B14" s="23" t="n">
        <f aca="false">KOKUSAI_四半期!C13</f>
        <v>45809</v>
      </c>
      <c r="C14" s="24" t="n">
        <f aca="false">KOKUSAI_四半期!D13</f>
        <v>518</v>
      </c>
      <c r="D14" s="24" t="n">
        <f aca="false">IF(COUNTIFS(貿易_月次!$A$5:$A$45,"&gt;="&amp;EDATE($B14,-2-$E$3),貿易_月次!$A$5:$A$45,"&lt;="&amp;EDATE($B14,-$E$3))=3,SUMIFS(貿易_月次!$B$5:$B$45,貿易_月次!$A$5:$A$45,"&gt;="&amp;EDATE($B14,-2-$E$3),貿易_月次!$A$5:$A$45,"&lt;="&amp;EDATE($B14,-$E$3)),"")</f>
        <v>10932.96</v>
      </c>
      <c r="E14" s="24" t="n">
        <f aca="false">IF(COUNTIFS(貿易_月次!$A$5:$A$45,"&gt;="&amp;EDATE($B14,-2-$E$3),貿易_月次!$A$5:$A$45,"&lt;="&amp;EDATE($B14,-$E$3))=3,SUMIFS(貿易_月次!$D$5:$D$45,貿易_月次!$A$5:$A$45,"&gt;="&amp;EDATE($B14,-2-$E$3),貿易_月次!$A$5:$A$45,"&lt;="&amp;EDATE($B14,-$E$3)),"")</f>
        <v>4741.76</v>
      </c>
      <c r="F14" s="24" t="n">
        <f aca="false">IF(COUNTIFS(貿易_月次!$A$5:$A$45,"&gt;="&amp;EDATE($B14,-2-$E$3),貿易_月次!$A$5:$A$45,"&lt;="&amp;EDATE($B14,-$E$3))=3,SUMIFS(貿易_月次!$I$5:$I$45,貿易_月次!$A$5:$A$45,"&gt;="&amp;EDATE($B14,-2-$E$3),貿易_月次!$A$5:$A$45,"&lt;="&amp;EDATE($B14,-$E$3)),"")</f>
        <v>6191.2</v>
      </c>
      <c r="G14" s="24" t="n">
        <f aca="false">IF(COUNTIFS(貿易_月次!$A$5:$A$45,"&gt;="&amp;EDATE($B14,-2-$E$3),貿易_月次!$A$5:$A$45,"&lt;="&amp;EDATE($B14,-$E$3))=3,SUMIFS(貿易_月次!$E$5:$E$45,貿易_月次!$A$5:$A$45,"&gt;="&amp;EDATE($B14,-2-$E$3),貿易_月次!$A$5:$A$45,"&lt;="&amp;EDATE($B14,-$E$3)),"")</f>
        <v>1532.19</v>
      </c>
      <c r="H14" s="25" t="n">
        <f aca="false">IF(AND(ISNUMBER(C14),ISNUMBER(D14)),C14/D14,"")</f>
        <v>0.0473796666227627</v>
      </c>
      <c r="I14" s="24" t="n">
        <f aca="false">IF(COUNTIFS(貿易_月次!$A$5:$A$45,"&gt;="&amp;EDATE($B14,-2-$J$3),貿易_月次!$A$5:$A$45,"&lt;="&amp;EDATE($B14,-$J$3))=3,SUMIFS(貿易_月次!$B$5:$B$45,貿易_月次!$A$5:$A$45,"&gt;="&amp;EDATE($B14,-2-$J$3),貿易_月次!$A$5:$A$45,"&lt;="&amp;EDATE($B14,-$J$3)),"")</f>
        <v>12039.36</v>
      </c>
      <c r="J14" s="24" t="n">
        <f aca="false">IF(COUNTIFS(貿易_月次!$A$5:$A$45,"&gt;="&amp;EDATE($B14,-2-$J$3),貿易_月次!$A$5:$A$45,"&lt;="&amp;EDATE($B14,-$J$3))=3,SUMIFS(貿易_月次!$D$5:$D$45,貿易_月次!$A$5:$A$45,"&gt;="&amp;EDATE($B14,-2-$J$3),貿易_月次!$A$5:$A$45,"&lt;="&amp;EDATE($B14,-$J$3)),"")</f>
        <v>5066.85</v>
      </c>
      <c r="K14" s="24" t="n">
        <f aca="false">IF(COUNTIFS(貿易_月次!$A$5:$A$45,"&gt;="&amp;EDATE($B14,-2-$J$3),貿易_月次!$A$5:$A$45,"&lt;="&amp;EDATE($B14,-$J$3))=3,SUMIFS(貿易_月次!$I$5:$I$45,貿易_月次!$A$5:$A$45,"&gt;="&amp;EDATE($B14,-2-$J$3),貿易_月次!$A$5:$A$45,"&lt;="&amp;EDATE($B14,-$J$3)),"")</f>
        <v>6972.51</v>
      </c>
      <c r="L14" s="24" t="n">
        <f aca="false">IF(COUNTIFS(貿易_月次!$A$5:$A$45,"&gt;="&amp;EDATE($B14,-2-$J$3),貿易_月次!$A$5:$A$45,"&lt;="&amp;EDATE($B14,-$J$3))=3,SUMIFS(貿易_月次!$E$5:$E$45,貿易_月次!$A$5:$A$45,"&gt;="&amp;EDATE($B14,-2-$J$3),貿易_月次!$A$5:$A$45,"&lt;="&amp;EDATE($B14,-$J$3)),"")</f>
        <v>1896.87</v>
      </c>
      <c r="M14" s="25" t="n">
        <f aca="false">IF(AND(ISNUMBER(C14),ISNUMBER(I14)),C14/I14,"")</f>
        <v>0.0430255428860006</v>
      </c>
    </row>
    <row r="15" customFormat="false" ht="15" hidden="false" customHeight="false" outlineLevel="0" collapsed="false">
      <c r="A15" s="20" t="s">
        <v>267</v>
      </c>
      <c r="B15" s="23" t="n">
        <f aca="false">KOKUSAI_四半期!C14</f>
        <v>45901</v>
      </c>
      <c r="C15" s="24" t="n">
        <f aca="false">KOKUSAI_四半期!D14</f>
        <v>654</v>
      </c>
      <c r="D15" s="24" t="n">
        <f aca="false">IF(COUNTIFS(貿易_月次!$A$5:$A$45,"&gt;="&amp;EDATE($B15,-2-$E$3),貿易_月次!$A$5:$A$45,"&lt;="&amp;EDATE($B15,-$E$3))=3,SUMIFS(貿易_月次!$B$5:$B$45,貿易_月次!$A$5:$A$45,"&gt;="&amp;EDATE($B15,-2-$E$3),貿易_月次!$A$5:$A$45,"&lt;="&amp;EDATE($B15,-$E$3)),"")</f>
        <v>10848</v>
      </c>
      <c r="E15" s="24" t="n">
        <f aca="false">IF(COUNTIFS(貿易_月次!$A$5:$A$45,"&gt;="&amp;EDATE($B15,-2-$E$3),貿易_月次!$A$5:$A$45,"&lt;="&amp;EDATE($B15,-$E$3))=3,SUMIFS(貿易_月次!$D$5:$D$45,貿易_月次!$A$5:$A$45,"&gt;="&amp;EDATE($B15,-2-$E$3),貿易_月次!$A$5:$A$45,"&lt;="&amp;EDATE($B15,-$E$3)),"")</f>
        <v>5209.01</v>
      </c>
      <c r="F15" s="24" t="n">
        <f aca="false">IF(COUNTIFS(貿易_月次!$A$5:$A$45,"&gt;="&amp;EDATE($B15,-2-$E$3),貿易_月次!$A$5:$A$45,"&lt;="&amp;EDATE($B15,-$E$3))=3,SUMIFS(貿易_月次!$I$5:$I$45,貿易_月次!$A$5:$A$45,"&gt;="&amp;EDATE($B15,-2-$E$3),貿易_月次!$A$5:$A$45,"&lt;="&amp;EDATE($B15,-$E$3)),"")</f>
        <v>5638.99</v>
      </c>
      <c r="G15" s="24" t="n">
        <f aca="false">IF(COUNTIFS(貿易_月次!$A$5:$A$45,"&gt;="&amp;EDATE($B15,-2-$E$3),貿易_月次!$A$5:$A$45,"&lt;="&amp;EDATE($B15,-$E$3))=3,SUMIFS(貿易_月次!$E$5:$E$45,貿易_月次!$A$5:$A$45,"&gt;="&amp;EDATE($B15,-2-$E$3),貿易_月次!$A$5:$A$45,"&lt;="&amp;EDATE($B15,-$E$3)),"")</f>
        <v>1456.58</v>
      </c>
      <c r="H15" s="25" t="n">
        <f aca="false">IF(AND(ISNUMBER(C15),ISNUMBER(D15)),C15/D15,"")</f>
        <v>0.060287610619469</v>
      </c>
      <c r="I15" s="24" t="n">
        <f aca="false">IF(COUNTIFS(貿易_月次!$A$5:$A$45,"&gt;="&amp;EDATE($B15,-2-$J$3),貿易_月次!$A$5:$A$45,"&lt;="&amp;EDATE($B15,-$J$3))=3,SUMIFS(貿易_月次!$B$5:$B$45,貿易_月次!$A$5:$A$45,"&gt;="&amp;EDATE($B15,-2-$J$3),貿易_月次!$A$5:$A$45,"&lt;="&amp;EDATE($B15,-$J$3)),"")</f>
        <v>10881.69</v>
      </c>
      <c r="J15" s="24" t="n">
        <f aca="false">IF(COUNTIFS(貿易_月次!$A$5:$A$45,"&gt;="&amp;EDATE($B15,-2-$J$3),貿易_月次!$A$5:$A$45,"&lt;="&amp;EDATE($B15,-$J$3))=3,SUMIFS(貿易_月次!$D$5:$D$45,貿易_月次!$A$5:$A$45,"&gt;="&amp;EDATE($B15,-2-$J$3),貿易_月次!$A$5:$A$45,"&lt;="&amp;EDATE($B15,-$J$3)),"")</f>
        <v>4988.79</v>
      </c>
      <c r="K15" s="24" t="n">
        <f aca="false">IF(COUNTIFS(貿易_月次!$A$5:$A$45,"&gt;="&amp;EDATE($B15,-2-$J$3),貿易_月次!$A$5:$A$45,"&lt;="&amp;EDATE($B15,-$J$3))=3,SUMIFS(貿易_月次!$I$5:$I$45,貿易_月次!$A$5:$A$45,"&gt;="&amp;EDATE($B15,-2-$J$3),貿易_月次!$A$5:$A$45,"&lt;="&amp;EDATE($B15,-$J$3)),"")</f>
        <v>5892.9</v>
      </c>
      <c r="L15" s="24" t="n">
        <f aca="false">IF(COUNTIFS(貿易_月次!$A$5:$A$45,"&gt;="&amp;EDATE($B15,-2-$J$3),貿易_月次!$A$5:$A$45,"&lt;="&amp;EDATE($B15,-$J$3))=3,SUMIFS(貿易_月次!$E$5:$E$45,貿易_月次!$A$5:$A$45,"&gt;="&amp;EDATE($B15,-2-$J$3),貿易_月次!$A$5:$A$45,"&lt;="&amp;EDATE($B15,-$J$3)),"")</f>
        <v>1557.42</v>
      </c>
      <c r="M15" s="25" t="n">
        <f aca="false">IF(AND(ISNUMBER(C15),ISNUMBER(I15)),C15/I15,"")</f>
        <v>0.0601009585827201</v>
      </c>
    </row>
    <row r="16" customFormat="false" ht="15" hidden="false" customHeight="false" outlineLevel="0" collapsed="false">
      <c r="A16" s="20" t="s">
        <v>269</v>
      </c>
      <c r="B16" s="23" t="n">
        <f aca="false">KOKUSAI_四半期!C15</f>
        <v>45992</v>
      </c>
      <c r="C16" s="24" t="n">
        <f aca="false">KOKUSAI_四半期!D15</f>
        <v>559</v>
      </c>
      <c r="D16" s="24" t="n">
        <f aca="false">IF(COUNTIFS(貿易_月次!$A$5:$A$45,"&gt;="&amp;EDATE($B16,-2-$E$3),貿易_月次!$A$5:$A$45,"&lt;="&amp;EDATE($B16,-$E$3))=3,SUMIFS(貿易_月次!$B$5:$B$45,貿易_月次!$A$5:$A$45,"&gt;="&amp;EDATE($B16,-2-$E$3),貿易_月次!$A$5:$A$45,"&lt;="&amp;EDATE($B16,-$E$3)),"")</f>
        <v>11864.44</v>
      </c>
      <c r="E16" s="24" t="n">
        <f aca="false">IF(COUNTIFS(貿易_月次!$A$5:$A$45,"&gt;="&amp;EDATE($B16,-2-$E$3),貿易_月次!$A$5:$A$45,"&lt;="&amp;EDATE($B16,-$E$3))=3,SUMIFS(貿易_月次!$D$5:$D$45,貿易_月次!$A$5:$A$45,"&gt;="&amp;EDATE($B16,-2-$E$3),貿易_月次!$A$5:$A$45,"&lt;="&amp;EDATE($B16,-$E$3)),"")</f>
        <v>4640.01</v>
      </c>
      <c r="F16" s="24" t="n">
        <f aca="false">IF(COUNTIFS(貿易_月次!$A$5:$A$45,"&gt;="&amp;EDATE($B16,-2-$E$3),貿易_月次!$A$5:$A$45,"&lt;="&amp;EDATE($B16,-$E$3))=3,SUMIFS(貿易_月次!$I$5:$I$45,貿易_月次!$A$5:$A$45,"&gt;="&amp;EDATE($B16,-2-$E$3),貿易_月次!$A$5:$A$45,"&lt;="&amp;EDATE($B16,-$E$3)),"")</f>
        <v>7224.43</v>
      </c>
      <c r="G16" s="24" t="n">
        <f aca="false">IF(COUNTIFS(貿易_月次!$A$5:$A$45,"&gt;="&amp;EDATE($B16,-2-$E$3),貿易_月次!$A$5:$A$45,"&lt;="&amp;EDATE($B16,-$E$3))=3,SUMIFS(貿易_月次!$E$5:$E$45,貿易_月次!$A$5:$A$45,"&gt;="&amp;EDATE($B16,-2-$E$3),貿易_月次!$A$5:$A$45,"&lt;="&amp;EDATE($B16,-$E$3)),"")</f>
        <v>1931.3</v>
      </c>
      <c r="H16" s="25" t="n">
        <f aca="false">IF(AND(ISNUMBER(C16),ISNUMBER(D16)),C16/D16,"")</f>
        <v>0.0471155823620837</v>
      </c>
      <c r="I16" s="24" t="n">
        <f aca="false">IF(COUNTIFS(貿易_月次!$A$5:$A$45,"&gt;="&amp;EDATE($B16,-2-$J$3),貿易_月次!$A$5:$A$45,"&lt;="&amp;EDATE($B16,-$J$3))=3,SUMIFS(貿易_月次!$B$5:$B$45,貿易_月次!$A$5:$A$45,"&gt;="&amp;EDATE($B16,-2-$J$3),貿易_月次!$A$5:$A$45,"&lt;="&amp;EDATE($B16,-$J$3)),"")</f>
        <v>11271.72</v>
      </c>
      <c r="J16" s="24" t="n">
        <f aca="false">IF(COUNTIFS(貿易_月次!$A$5:$A$45,"&gt;="&amp;EDATE($B16,-2-$J$3),貿易_月次!$A$5:$A$45,"&lt;="&amp;EDATE($B16,-$J$3))=3,SUMIFS(貿易_月次!$D$5:$D$45,貿易_月次!$A$5:$A$45,"&gt;="&amp;EDATE($B16,-2-$J$3),貿易_月次!$A$5:$A$45,"&lt;="&amp;EDATE($B16,-$J$3)),"")</f>
        <v>4860.85</v>
      </c>
      <c r="K16" s="24" t="n">
        <f aca="false">IF(COUNTIFS(貿易_月次!$A$5:$A$45,"&gt;="&amp;EDATE($B16,-2-$J$3),貿易_月次!$A$5:$A$45,"&lt;="&amp;EDATE($B16,-$J$3))=3,SUMIFS(貿易_月次!$I$5:$I$45,貿易_月次!$A$5:$A$45,"&gt;="&amp;EDATE($B16,-2-$J$3),貿易_月次!$A$5:$A$45,"&lt;="&amp;EDATE($B16,-$J$3)),"")</f>
        <v>6410.87</v>
      </c>
      <c r="L16" s="24" t="n">
        <f aca="false">IF(COUNTIFS(貿易_月次!$A$5:$A$45,"&gt;="&amp;EDATE($B16,-2-$J$3),貿易_月次!$A$5:$A$45,"&lt;="&amp;EDATE($B16,-$J$3))=3,SUMIFS(貿易_月次!$E$5:$E$45,貿易_月次!$A$5:$A$45,"&gt;="&amp;EDATE($B16,-2-$J$3),貿易_月次!$A$5:$A$45,"&lt;="&amp;EDATE($B16,-$J$3)),"")</f>
        <v>1704.95</v>
      </c>
      <c r="M16" s="25" t="n">
        <f aca="false">IF(AND(ISNUMBER(C16),ISNUMBER(I16)),C16/I16,"")</f>
        <v>0.0495931410645403</v>
      </c>
    </row>
    <row r="17" customFormat="false" ht="15" hidden="false" customHeight="false" outlineLevel="0" collapsed="false">
      <c r="A17" s="20" t="s">
        <v>271</v>
      </c>
      <c r="B17" s="23" t="n">
        <f aca="false">KOKUSAI_四半期!C16</f>
        <v>46082</v>
      </c>
      <c r="C17" s="24" t="n">
        <f aca="false">KOKUSAI_四半期!D16</f>
        <v>620</v>
      </c>
      <c r="D17" s="24" t="n">
        <f aca="false">IF(COUNTIFS(貿易_月次!$A$5:$A$45,"&gt;="&amp;EDATE($B17,-2-$E$3),貿易_月次!$A$5:$A$45,"&lt;="&amp;EDATE($B17,-$E$3))=3,SUMIFS(貿易_月次!$B$5:$B$45,貿易_月次!$A$5:$A$45,"&gt;="&amp;EDATE($B17,-2-$E$3),貿易_月次!$A$5:$A$45,"&lt;="&amp;EDATE($B17,-$E$3)),"")</f>
        <v>11707.45</v>
      </c>
      <c r="E17" s="24" t="n">
        <f aca="false">IF(COUNTIFS(貿易_月次!$A$5:$A$45,"&gt;="&amp;EDATE($B17,-2-$E$3),貿易_月次!$A$5:$A$45,"&lt;="&amp;EDATE($B17,-$E$3))=3,SUMIFS(貿易_月次!$D$5:$D$45,貿易_月次!$A$5:$A$45,"&gt;="&amp;EDATE($B17,-2-$E$3),貿易_月次!$A$5:$A$45,"&lt;="&amp;EDATE($B17,-$E$3)),"")</f>
        <v>4049.63</v>
      </c>
      <c r="F17" s="24" t="n">
        <f aca="false">IF(COUNTIFS(貿易_月次!$A$5:$A$45,"&gt;="&amp;EDATE($B17,-2-$E$3),貿易_月次!$A$5:$A$45,"&lt;="&amp;EDATE($B17,-$E$3))=3,SUMIFS(貿易_月次!$I$5:$I$45,貿易_月次!$A$5:$A$45,"&gt;="&amp;EDATE($B17,-2-$E$3),貿易_月次!$A$5:$A$45,"&lt;="&amp;EDATE($B17,-$E$3)),"")</f>
        <v>7657.82</v>
      </c>
      <c r="G17" s="24" t="n">
        <f aca="false">IF(COUNTIFS(貿易_月次!$A$5:$A$45,"&gt;="&amp;EDATE($B17,-2-$E$3),貿易_月次!$A$5:$A$45,"&lt;="&amp;EDATE($B17,-$E$3))=3,SUMIFS(貿易_月次!$E$5:$E$45,貿易_月次!$A$5:$A$45,"&gt;="&amp;EDATE($B17,-2-$E$3),貿易_月次!$A$5:$A$45,"&lt;="&amp;EDATE($B17,-$E$3)),"")</f>
        <v>2365.89</v>
      </c>
      <c r="H17" s="25" t="n">
        <f aca="false">IF(AND(ISNUMBER(C17),ISNUMBER(D17)),C17/D17,"")</f>
        <v>0.0529577320424174</v>
      </c>
      <c r="I17" s="24" t="n">
        <f aca="false">IF(COUNTIFS(貿易_月次!$A$5:$A$45,"&gt;="&amp;EDATE($B17,-2-$J$3),貿易_月次!$A$5:$A$45,"&lt;="&amp;EDATE($B17,-$J$3))=3,SUMIFS(貿易_月次!$B$5:$B$45,貿易_月次!$A$5:$A$45,"&gt;="&amp;EDATE($B17,-2-$J$3),貿易_月次!$A$5:$A$45,"&lt;="&amp;EDATE($B17,-$J$3)),"")</f>
        <v>10884.39</v>
      </c>
      <c r="J17" s="24" t="n">
        <f aca="false">IF(COUNTIFS(貿易_月次!$A$5:$A$45,"&gt;="&amp;EDATE($B17,-2-$J$3),貿易_月次!$A$5:$A$45,"&lt;="&amp;EDATE($B17,-$J$3))=3,SUMIFS(貿易_月次!$D$5:$D$45,貿易_月次!$A$5:$A$45,"&gt;="&amp;EDATE($B17,-2-$J$3),貿易_月次!$A$5:$A$45,"&lt;="&amp;EDATE($B17,-$J$3)),"")</f>
        <v>3739.92</v>
      </c>
      <c r="K17" s="24" t="n">
        <f aca="false">IF(COUNTIFS(貿易_月次!$A$5:$A$45,"&gt;="&amp;EDATE($B17,-2-$J$3),貿易_月次!$A$5:$A$45,"&lt;="&amp;EDATE($B17,-$J$3))=3,SUMIFS(貿易_月次!$I$5:$I$45,貿易_月次!$A$5:$A$45,"&gt;="&amp;EDATE($B17,-2-$J$3),貿易_月次!$A$5:$A$45,"&lt;="&amp;EDATE($B17,-$J$3)),"")</f>
        <v>7144.47</v>
      </c>
      <c r="L17" s="24" t="n">
        <f aca="false">IF(COUNTIFS(貿易_月次!$A$5:$A$45,"&gt;="&amp;EDATE($B17,-2-$J$3),貿易_月次!$A$5:$A$45,"&lt;="&amp;EDATE($B17,-$J$3))=3,SUMIFS(貿易_月次!$E$5:$E$45,貿易_月次!$A$5:$A$45,"&gt;="&amp;EDATE($B17,-2-$J$3),貿易_月次!$A$5:$A$45,"&lt;="&amp;EDATE($B17,-$J$3)),"")</f>
        <v>2152.83</v>
      </c>
      <c r="M17" s="25" t="n">
        <f aca="false">IF(AND(ISNUMBER(C17),ISNUMBER(I17)),C17/I17,"")</f>
        <v>0.056962310244304</v>
      </c>
    </row>
    <row r="18" customFormat="false" ht="15" hidden="false" customHeight="false" outlineLevel="0" collapsed="false">
      <c r="A18" s="20" t="s">
        <v>273</v>
      </c>
      <c r="B18" s="23" t="n">
        <f aca="false">KOKUSAI_四半期!C17</f>
        <v>46174</v>
      </c>
      <c r="C18" s="24" t="n">
        <f aca="false">KOKUSAI_四半期!D17</f>
        <v>754</v>
      </c>
      <c r="D18" s="24" t="n">
        <f aca="false">IF(COUNTIFS(貿易_月次!$A$5:$A$45,"&gt;="&amp;EDATE($B18,-2-$E$3),貿易_月次!$A$5:$A$45,"&lt;="&amp;EDATE($B18,-$E$3))=3,SUMIFS(貿易_月次!$B$5:$B$45,貿易_月次!$A$5:$A$45,"&gt;="&amp;EDATE($B18,-2-$E$3),貿易_月次!$A$5:$A$45,"&lt;="&amp;EDATE($B18,-$E$3)),"")</f>
        <v>12191.41</v>
      </c>
      <c r="E18" s="24" t="n">
        <f aca="false">IF(COUNTIFS(貿易_月次!$A$5:$A$45,"&gt;="&amp;EDATE($B18,-2-$E$3),貿易_月次!$A$5:$A$45,"&lt;="&amp;EDATE($B18,-$E$3))=3,SUMIFS(貿易_月次!$D$5:$D$45,貿易_月次!$A$5:$A$45,"&gt;="&amp;EDATE($B18,-2-$E$3),貿易_月次!$A$5:$A$45,"&lt;="&amp;EDATE($B18,-$E$3)),"")</f>
        <v>3796.36</v>
      </c>
      <c r="F18" s="24" t="n">
        <f aca="false">IF(COUNTIFS(貿易_月次!$A$5:$A$45,"&gt;="&amp;EDATE($B18,-2-$E$3),貿易_月次!$A$5:$A$45,"&lt;="&amp;EDATE($B18,-$E$3))=3,SUMIFS(貿易_月次!$I$5:$I$45,貿易_月次!$A$5:$A$45,"&gt;="&amp;EDATE($B18,-2-$E$3),貿易_月次!$A$5:$A$45,"&lt;="&amp;EDATE($B18,-$E$3)),"")</f>
        <v>8395.05</v>
      </c>
      <c r="G18" s="24" t="n">
        <f aca="false">IF(COUNTIFS(貿易_月次!$A$5:$A$45,"&gt;="&amp;EDATE($B18,-2-$E$3),貿易_月次!$A$5:$A$45,"&lt;="&amp;EDATE($B18,-$E$3))=3,SUMIFS(貿易_月次!$E$5:$E$45,貿易_月次!$A$5:$A$45,"&gt;="&amp;EDATE($B18,-2-$E$3),貿易_月次!$A$5:$A$45,"&lt;="&amp;EDATE($B18,-$E$3)),"")</f>
        <v>2359.59</v>
      </c>
      <c r="H18" s="25" t="n">
        <f aca="false">IF(AND(ISNUMBER(C18),ISNUMBER(D18)),C18/D18,"")</f>
        <v>0.0618468249365742</v>
      </c>
      <c r="I18" s="24" t="n">
        <f aca="false">IF(COUNTIFS(貿易_月次!$A$5:$A$45,"&gt;="&amp;EDATE($B18,-2-$J$3),貿易_月次!$A$5:$A$45,"&lt;="&amp;EDATE($B18,-$J$3))=3,SUMIFS(貿易_月次!$B$5:$B$45,貿易_月次!$A$5:$A$45,"&gt;="&amp;EDATE($B18,-2-$J$3),貿易_月次!$A$5:$A$45,"&lt;="&amp;EDATE($B18,-$J$3)),"")</f>
        <v>12849.88</v>
      </c>
      <c r="J18" s="24" t="n">
        <f aca="false">IF(COUNTIFS(貿易_月次!$A$5:$A$45,"&gt;="&amp;EDATE($B18,-2-$J$3),貿易_月次!$A$5:$A$45,"&lt;="&amp;EDATE($B18,-$J$3))=3,SUMIFS(貿易_月次!$D$5:$D$45,貿易_月次!$A$5:$A$45,"&gt;="&amp;EDATE($B18,-2-$J$3),貿易_月次!$A$5:$A$45,"&lt;="&amp;EDATE($B18,-$J$3)),"")</f>
        <v>4284.66</v>
      </c>
      <c r="K18" s="24" t="n">
        <f aca="false">IF(COUNTIFS(貿易_月次!$A$5:$A$45,"&gt;="&amp;EDATE($B18,-2-$J$3),貿易_月次!$A$5:$A$45,"&lt;="&amp;EDATE($B18,-$J$3))=3,SUMIFS(貿易_月次!$I$5:$I$45,貿易_月次!$A$5:$A$45,"&gt;="&amp;EDATE($B18,-2-$J$3),貿易_月次!$A$5:$A$45,"&lt;="&amp;EDATE($B18,-$J$3)),"")</f>
        <v>8565.22</v>
      </c>
      <c r="L18" s="24" t="n">
        <f aca="false">IF(COUNTIFS(貿易_月次!$A$5:$A$45,"&gt;="&amp;EDATE($B18,-2-$J$3),貿易_月次!$A$5:$A$45,"&lt;="&amp;EDATE($B18,-$J$3))=3,SUMIFS(貿易_月次!$E$5:$E$45,貿易_月次!$A$5:$A$45,"&gt;="&amp;EDATE($B18,-2-$J$3),貿易_月次!$A$5:$A$45,"&lt;="&amp;EDATE($B18,-$J$3)),"")</f>
        <v>2469.52</v>
      </c>
      <c r="M18" s="25" t="n">
        <f aca="false">IF(AND(ISNUMBER(C18),ISNUMBER(I18)),C18/I18,"")</f>
        <v>0.0586775907634935</v>
      </c>
    </row>
    <row r="19" customFormat="false" ht="15" hidden="false" customHeight="false" outlineLevel="0" collapsed="false">
      <c r="A19" s="20" t="s">
        <v>283</v>
      </c>
      <c r="B19" s="12" t="n">
        <v>46266</v>
      </c>
      <c r="D19" s="24" t="str">
        <f aca="false">IF(COUNTIFS(貿易_月次!$A$5:$A$45,"&gt;="&amp;EDATE($B19,-2-$E$3),貿易_月次!$A$5:$A$45,"&lt;="&amp;EDATE($B19,-$E$3))=3,SUMIFS(貿易_月次!$B$5:$B$45,貿易_月次!$A$5:$A$45,"&gt;="&amp;EDATE($B19,-2-$E$3),貿易_月次!$A$5:$A$45,"&lt;="&amp;EDATE($B19,-$E$3)),"")</f>
        <v/>
      </c>
      <c r="E19" s="24" t="str">
        <f aca="false">IF(COUNTIFS(貿易_月次!$A$5:$A$45,"&gt;="&amp;EDATE($B19,-2-$E$3),貿易_月次!$A$5:$A$45,"&lt;="&amp;EDATE($B19,-$E$3))=3,SUMIFS(貿易_月次!$D$5:$D$45,貿易_月次!$A$5:$A$45,"&gt;="&amp;EDATE($B19,-2-$E$3),貿易_月次!$A$5:$A$45,"&lt;="&amp;EDATE($B19,-$E$3)),"")</f>
        <v/>
      </c>
      <c r="F19" s="24" t="str">
        <f aca="false">IF(COUNTIFS(貿易_月次!$A$5:$A$45,"&gt;="&amp;EDATE($B19,-2-$E$3),貿易_月次!$A$5:$A$45,"&lt;="&amp;EDATE($B19,-$E$3))=3,SUMIFS(貿易_月次!$I$5:$I$45,貿易_月次!$A$5:$A$45,"&gt;="&amp;EDATE($B19,-2-$E$3),貿易_月次!$A$5:$A$45,"&lt;="&amp;EDATE($B19,-$E$3)),"")</f>
        <v/>
      </c>
      <c r="G19" s="24" t="str">
        <f aca="false">IF(COUNTIFS(貿易_月次!$A$5:$A$45,"&gt;="&amp;EDATE($B19,-2-$E$3),貿易_月次!$A$5:$A$45,"&lt;="&amp;EDATE($B19,-$E$3))=3,SUMIFS(貿易_月次!$E$5:$E$45,貿易_月次!$A$5:$A$45,"&gt;="&amp;EDATE($B19,-2-$E$3),貿易_月次!$A$5:$A$45,"&lt;="&amp;EDATE($B19,-$E$3)),"")</f>
        <v/>
      </c>
      <c r="I19" s="24" t="n">
        <f aca="false">IF(COUNTIFS(貿易_月次!$A$5:$A$45,"&gt;="&amp;EDATE($B19,-2-$J$3),貿易_月次!$A$5:$A$45,"&lt;="&amp;EDATE($B19,-$J$3))=3,SUMIFS(貿易_月次!$B$5:$B$45,貿易_月次!$A$5:$A$45,"&gt;="&amp;EDATE($B19,-2-$J$3),貿易_月次!$A$5:$A$45,"&lt;="&amp;EDATE($B19,-$J$3)),"")</f>
        <v>14443.43</v>
      </c>
      <c r="J19" s="24" t="n">
        <f aca="false">IF(COUNTIFS(貿易_月次!$A$5:$A$45,"&gt;="&amp;EDATE($B19,-2-$J$3),貿易_月次!$A$5:$A$45,"&lt;="&amp;EDATE($B19,-$J$3))=3,SUMIFS(貿易_月次!$D$5:$D$45,貿易_月次!$A$5:$A$45,"&gt;="&amp;EDATE($B19,-2-$J$3),貿易_月次!$A$5:$A$45,"&lt;="&amp;EDATE($B19,-$J$3)),"")</f>
        <v>5592</v>
      </c>
      <c r="K19" s="24" t="n">
        <f aca="false">IF(COUNTIFS(貿易_月次!$A$5:$A$45,"&gt;="&amp;EDATE($B19,-2-$J$3),貿易_月次!$A$5:$A$45,"&lt;="&amp;EDATE($B19,-$J$3))=3,SUMIFS(貿易_月次!$I$5:$I$45,貿易_月次!$A$5:$A$45,"&gt;="&amp;EDATE($B19,-2-$J$3),貿易_月次!$A$5:$A$45,"&lt;="&amp;EDATE($B19,-$J$3)),"")</f>
        <v>8851.43</v>
      </c>
      <c r="L19" s="24" t="n">
        <f aca="false">IF(COUNTIFS(貿易_月次!$A$5:$A$45,"&gt;="&amp;EDATE($B19,-2-$J$3),貿易_月次!$A$5:$A$45,"&lt;="&amp;EDATE($B19,-$J$3))=3,SUMIFS(貿易_月次!$E$5:$E$45,貿易_月次!$A$5:$A$45,"&gt;="&amp;EDATE($B19,-2-$J$3),貿易_月次!$A$5:$A$45,"&lt;="&amp;EDATE($B19,-$J$3)),"")</f>
        <v>2462.13</v>
      </c>
    </row>
    <row r="21" customFormat="false" ht="15" hidden="false" customHeight="false" outlineLevel="0" collapsed="false">
      <c r="A21" s="2" t="s">
        <v>284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11"/>
    <col collapsed="false" customWidth="true" hidden="false" outlineLevel="0" max="5" min="4" style="0" width="10"/>
    <col collapsed="false" customWidth="true" hidden="false" outlineLevel="0" max="6" min="6" style="0" width="16"/>
    <col collapsed="false" customWidth="true" hidden="false" outlineLevel="0" max="7" min="7" style="0" width="14"/>
    <col collapsed="false" customWidth="true" hidden="false" outlineLevel="0" max="8" min="8" style="0" width="16"/>
  </cols>
  <sheetData>
    <row r="1" customFormat="false" ht="19.4" hidden="false" customHeight="false" outlineLevel="0" collapsed="false">
      <c r="A1" s="1" t="s">
        <v>285</v>
      </c>
    </row>
    <row r="2" customFormat="false" ht="15" hidden="false" customHeight="false" outlineLevel="0" collapsed="false">
      <c r="A2" s="2" t="s">
        <v>286</v>
      </c>
    </row>
    <row r="4" customFormat="false" ht="15" hidden="false" customHeight="false" outlineLevel="0" collapsed="false">
      <c r="A4" s="26" t="s">
        <v>287</v>
      </c>
    </row>
    <row r="5" customFormat="false" ht="15" hidden="false" customHeight="false" outlineLevel="0" collapsed="false">
      <c r="A5" s="27" t="s">
        <v>288</v>
      </c>
      <c r="C5" s="28"/>
    </row>
    <row r="6" customFormat="false" ht="15" hidden="false" customHeight="false" outlineLevel="0" collapsed="false">
      <c r="A6" s="27" t="s">
        <v>289</v>
      </c>
      <c r="C6" s="29"/>
    </row>
    <row r="7" customFormat="false" ht="15" hidden="false" customHeight="false" outlineLevel="0" collapsed="false">
      <c r="A7" s="20" t="s">
        <v>290</v>
      </c>
      <c r="C7" s="30"/>
    </row>
    <row r="9" customFormat="false" ht="15" hidden="false" customHeight="false" outlineLevel="0" collapsed="false">
      <c r="A9" s="26" t="s">
        <v>291</v>
      </c>
    </row>
    <row r="10" customFormat="false" ht="30" hidden="false" customHeight="true" outlineLevel="0" collapsed="false">
      <c r="A10" s="10" t="s">
        <v>240</v>
      </c>
      <c r="B10" s="10" t="s">
        <v>292</v>
      </c>
      <c r="C10" s="10" t="s">
        <v>293</v>
      </c>
      <c r="D10" s="10" t="s">
        <v>294</v>
      </c>
      <c r="E10" s="10" t="s">
        <v>295</v>
      </c>
      <c r="F10" s="10" t="s">
        <v>296</v>
      </c>
      <c r="G10" s="10" t="s">
        <v>297</v>
      </c>
      <c r="H10" s="10" t="s">
        <v>298</v>
      </c>
    </row>
    <row r="11" customFormat="false" ht="15" hidden="false" customHeight="false" outlineLevel="0" collapsed="false">
      <c r="A11" s="31" t="str">
        <f aca="false">四半期集計!A7</f>
        <v>24/3期 2Q</v>
      </c>
      <c r="B11" s="24" t="n">
        <f aca="false">四半期集計!C7</f>
        <v>450</v>
      </c>
      <c r="C11" s="24" t="n">
        <f aca="false">四半期集計!D7</f>
        <v>8236.84108130101</v>
      </c>
      <c r="D11" s="32"/>
      <c r="E11" s="33"/>
      <c r="F11" s="32"/>
      <c r="G11" s="33"/>
      <c r="H11" s="33"/>
    </row>
    <row r="12" customFormat="false" ht="15" hidden="false" customHeight="false" outlineLevel="0" collapsed="false">
      <c r="A12" s="31" t="str">
        <f aca="false">四半期集計!A8</f>
        <v>24/3期 3Q</v>
      </c>
      <c r="B12" s="24" t="n">
        <f aca="false">四半期集計!C8</f>
        <v>540</v>
      </c>
      <c r="C12" s="24" t="n">
        <f aca="false">四半期集計!D8</f>
        <v>9763.32064690062</v>
      </c>
      <c r="D12" s="32"/>
      <c r="E12" s="33"/>
      <c r="F12" s="32"/>
      <c r="G12" s="33"/>
      <c r="H12" s="33"/>
    </row>
    <row r="13" customFormat="false" ht="15" hidden="false" customHeight="false" outlineLevel="0" collapsed="false">
      <c r="A13" s="31" t="str">
        <f aca="false">四半期集計!A9</f>
        <v>24/3期 4Q</v>
      </c>
      <c r="B13" s="24" t="n">
        <f aca="false">四半期集計!C9</f>
        <v>492</v>
      </c>
      <c r="C13" s="24" t="n">
        <f aca="false">四半期集計!D9</f>
        <v>10364.9367260465</v>
      </c>
      <c r="D13" s="32"/>
      <c r="E13" s="33"/>
      <c r="F13" s="32"/>
      <c r="G13" s="33"/>
      <c r="H13" s="33"/>
    </row>
    <row r="14" customFormat="false" ht="15" hidden="false" customHeight="false" outlineLevel="0" collapsed="false">
      <c r="A14" s="31" t="str">
        <f aca="false">四半期集計!A10</f>
        <v>25/3期 1Q</v>
      </c>
      <c r="B14" s="24" t="n">
        <f aca="false">四半期集計!C10</f>
        <v>652</v>
      </c>
      <c r="C14" s="24" t="n">
        <f aca="false">四半期集計!D10</f>
        <v>11188.0977915377</v>
      </c>
      <c r="D14" s="32"/>
      <c r="E14" s="33"/>
      <c r="F14" s="32"/>
      <c r="G14" s="33"/>
      <c r="H14" s="33"/>
    </row>
    <row r="15" customFormat="false" ht="15" hidden="false" customHeight="false" outlineLevel="0" collapsed="false">
      <c r="A15" s="31" t="str">
        <f aca="false">四半期集計!A11</f>
        <v>25/3期 2Q</v>
      </c>
      <c r="B15" s="24" t="n">
        <f aca="false">四半期集計!C11</f>
        <v>493</v>
      </c>
      <c r="C15" s="24" t="n">
        <f aca="false">四半期集計!D11</f>
        <v>11084.95</v>
      </c>
      <c r="D15" s="32"/>
      <c r="E15" s="33"/>
      <c r="F15" s="32"/>
      <c r="G15" s="33"/>
      <c r="H15" s="33"/>
    </row>
    <row r="16" customFormat="false" ht="15" hidden="false" customHeight="false" outlineLevel="0" collapsed="false">
      <c r="A16" s="31" t="str">
        <f aca="false">四半期集計!A12</f>
        <v>25/3期 3Q</v>
      </c>
      <c r="B16" s="24" t="n">
        <f aca="false">四半期集計!C12</f>
        <v>601</v>
      </c>
      <c r="C16" s="24" t="n">
        <f aca="false">四半期集計!D12</f>
        <v>12322.19</v>
      </c>
      <c r="D16" s="32"/>
      <c r="E16" s="33"/>
      <c r="F16" s="32"/>
      <c r="G16" s="33"/>
      <c r="H16" s="33"/>
    </row>
    <row r="17" customFormat="false" ht="15" hidden="false" customHeight="false" outlineLevel="0" collapsed="false">
      <c r="A17" s="31" t="str">
        <f aca="false">四半期集計!A13</f>
        <v>25/3期 4Q</v>
      </c>
      <c r="B17" s="24" t="n">
        <f aca="false">四半期集計!C13</f>
        <v>643</v>
      </c>
      <c r="C17" s="24" t="n">
        <f aca="false">四半期集計!D13</f>
        <v>11830.92</v>
      </c>
      <c r="D17" s="32"/>
      <c r="E17" s="33"/>
      <c r="F17" s="32"/>
      <c r="G17" s="33"/>
      <c r="H17" s="33"/>
    </row>
    <row r="18" customFormat="false" ht="15" hidden="false" customHeight="false" outlineLevel="0" collapsed="false">
      <c r="A18" s="31" t="str">
        <f aca="false">四半期集計!A14</f>
        <v>26/3期 1Q</v>
      </c>
      <c r="B18" s="24" t="n">
        <f aca="false">四半期集計!C14</f>
        <v>518</v>
      </c>
      <c r="C18" s="24" t="n">
        <f aca="false">四半期集計!D14</f>
        <v>10932.96</v>
      </c>
      <c r="D18" s="32"/>
      <c r="E18" s="33"/>
      <c r="F18" s="32"/>
      <c r="G18" s="33"/>
      <c r="H18" s="33"/>
    </row>
    <row r="19" customFormat="false" ht="15" hidden="false" customHeight="false" outlineLevel="0" collapsed="false">
      <c r="A19" s="31" t="str">
        <f aca="false">四半期集計!A15</f>
        <v>26/3期 2Q</v>
      </c>
      <c r="B19" s="24" t="n">
        <f aca="false">四半期集計!C15</f>
        <v>654</v>
      </c>
      <c r="C19" s="24" t="n">
        <f aca="false">四半期集計!D15</f>
        <v>10848</v>
      </c>
      <c r="D19" s="32"/>
      <c r="E19" s="33"/>
      <c r="F19" s="32"/>
      <c r="G19" s="33"/>
      <c r="H19" s="33"/>
    </row>
    <row r="20" customFormat="false" ht="15" hidden="false" customHeight="false" outlineLevel="0" collapsed="false">
      <c r="A20" s="31" t="str">
        <f aca="false">四半期集計!A16</f>
        <v>26/3期 3Q</v>
      </c>
      <c r="B20" s="24" t="n">
        <f aca="false">四半期集計!C16</f>
        <v>559</v>
      </c>
      <c r="C20" s="24" t="n">
        <f aca="false">四半期集計!D16</f>
        <v>11864.44</v>
      </c>
      <c r="D20" s="32"/>
      <c r="E20" s="33"/>
      <c r="F20" s="32"/>
      <c r="G20" s="33"/>
      <c r="H20" s="33"/>
    </row>
    <row r="21" customFormat="false" ht="15" hidden="false" customHeight="false" outlineLevel="0" collapsed="false">
      <c r="A21" s="31" t="str">
        <f aca="false">四半期集計!A17</f>
        <v>26/3期 4Q</v>
      </c>
      <c r="B21" s="24" t="n">
        <f aca="false">四半期集計!C17</f>
        <v>620</v>
      </c>
      <c r="C21" s="24" t="n">
        <f aca="false">四半期集計!D17</f>
        <v>11707.45</v>
      </c>
      <c r="D21" s="32"/>
      <c r="E21" s="33"/>
      <c r="F21" s="32"/>
      <c r="G21" s="33"/>
      <c r="H21" s="33"/>
    </row>
    <row r="22" customFormat="false" ht="15" hidden="false" customHeight="false" outlineLevel="0" collapsed="false">
      <c r="A22" s="31" t="str">
        <f aca="false">四半期集計!A18</f>
        <v>27/3期 1Q</v>
      </c>
      <c r="B22" s="24" t="n">
        <f aca="false">四半期集計!C18</f>
        <v>754</v>
      </c>
      <c r="C22" s="24" t="n">
        <f aca="false">四半期集計!D18</f>
        <v>12191.41</v>
      </c>
      <c r="D22" s="32"/>
      <c r="E22" s="33"/>
      <c r="F22" s="32"/>
      <c r="G22" s="33"/>
      <c r="H22" s="33"/>
    </row>
    <row r="24" customFormat="false" ht="15" hidden="false" customHeight="false" outlineLevel="0" collapsed="false">
      <c r="A24" s="26" t="s">
        <v>299</v>
      </c>
    </row>
    <row r="25" customFormat="false" ht="15" hidden="false" customHeight="false" outlineLevel="0" collapsed="false">
      <c r="A25" s="27" t="s">
        <v>300</v>
      </c>
      <c r="C25" s="29"/>
    </row>
    <row r="26" customFormat="false" ht="15" hidden="false" customHeight="false" outlineLevel="0" collapsed="false">
      <c r="A26" s="27" t="s">
        <v>301</v>
      </c>
      <c r="C26" s="29"/>
    </row>
    <row r="27" customFormat="false" ht="15" hidden="false" customHeight="false" outlineLevel="0" collapsed="false">
      <c r="A27" s="27" t="s">
        <v>297</v>
      </c>
      <c r="C27" s="29"/>
    </row>
    <row r="28" customFormat="false" ht="15" hidden="false" customHeight="false" outlineLevel="0" collapsed="false">
      <c r="A28" s="27" t="s">
        <v>302</v>
      </c>
      <c r="C28" s="3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4"/>
    <col collapsed="false" customWidth="true" hidden="false" outlineLevel="0" max="3" min="3" style="0" width="12"/>
    <col collapsed="false" customWidth="true" hidden="false" outlineLevel="0" max="4" min="4" style="0" width="10"/>
  </cols>
  <sheetData>
    <row r="1" customFormat="false" ht="19.4" hidden="false" customHeight="false" outlineLevel="0" collapsed="false">
      <c r="A1" s="19" t="s">
        <v>303</v>
      </c>
    </row>
    <row r="2" customFormat="false" ht="15" hidden="false" customHeight="false" outlineLevel="0" collapsed="false">
      <c r="A2" s="16" t="s">
        <v>304</v>
      </c>
    </row>
    <row r="4" customFormat="false" ht="15" hidden="false" customHeight="false" outlineLevel="0" collapsed="false">
      <c r="A4" s="11" t="s">
        <v>305</v>
      </c>
    </row>
    <row r="5" customFormat="false" ht="15" hidden="false" customHeight="false" outlineLevel="0" collapsed="false">
      <c r="A5" s="20" t="s">
        <v>306</v>
      </c>
      <c r="C5" s="24" t="n">
        <f aca="false">貿易_月次!B44</f>
        <v>4944.37</v>
      </c>
    </row>
    <row r="6" customFormat="false" ht="15" hidden="false" customHeight="false" outlineLevel="0" collapsed="false">
      <c r="A6" s="20" t="s">
        <v>307</v>
      </c>
      <c r="C6" s="24" t="n">
        <f aca="false">貿易_月次!B45</f>
        <v>4897.64</v>
      </c>
    </row>
    <row r="7" customFormat="false" ht="15" hidden="false" customHeight="false" outlineLevel="0" collapsed="false">
      <c r="A7" s="20" t="s">
        <v>308</v>
      </c>
      <c r="C7" s="35" t="n">
        <v>1.15</v>
      </c>
    </row>
    <row r="8" customFormat="false" ht="15" hidden="false" customHeight="false" outlineLevel="0" collapsed="false">
      <c r="A8" s="20" t="s">
        <v>309</v>
      </c>
      <c r="C8" s="32"/>
    </row>
    <row r="9" customFormat="false" ht="15" hidden="false" customHeight="false" outlineLevel="0" collapsed="false">
      <c r="A9" s="20" t="s">
        <v>310</v>
      </c>
      <c r="C9" s="32"/>
    </row>
    <row r="11" customFormat="false" ht="15" hidden="false" customHeight="false" outlineLevel="0" collapsed="false">
      <c r="A11" s="26" t="s">
        <v>311</v>
      </c>
    </row>
    <row r="12" customFormat="false" ht="15" hidden="false" customHeight="false" outlineLevel="0" collapsed="false">
      <c r="A12" s="27" t="s">
        <v>312</v>
      </c>
      <c r="C12" s="32"/>
    </row>
    <row r="13" customFormat="false" ht="15" hidden="false" customHeight="false" outlineLevel="0" collapsed="false">
      <c r="A13" s="27" t="s">
        <v>313</v>
      </c>
      <c r="C13" s="32"/>
    </row>
    <row r="14" customFormat="false" ht="15" hidden="false" customHeight="false" outlineLevel="0" collapsed="false">
      <c r="A14" s="27" t="s">
        <v>314</v>
      </c>
      <c r="C14" s="32"/>
    </row>
    <row r="15" customFormat="false" ht="15" hidden="false" customHeight="false" outlineLevel="0" collapsed="false">
      <c r="A15" s="27" t="s">
        <v>315</v>
      </c>
      <c r="C15" s="32"/>
    </row>
    <row r="17" customFormat="false" ht="15" hidden="false" customHeight="false" outlineLevel="0" collapsed="false">
      <c r="A17" s="26" t="s">
        <v>316</v>
      </c>
    </row>
    <row r="18" customFormat="false" ht="15" hidden="false" customHeight="false" outlineLevel="0" collapsed="false">
      <c r="A18" s="27" t="s">
        <v>317</v>
      </c>
      <c r="C18" s="14" t="n">
        <v>1610</v>
      </c>
    </row>
    <row r="19" customFormat="false" ht="15" hidden="false" customHeight="false" outlineLevel="0" collapsed="false">
      <c r="A19" s="20" t="s">
        <v>318</v>
      </c>
      <c r="C19" s="24" t="n">
        <f aca="false">KOKUSAI_四半期!D17</f>
        <v>754</v>
      </c>
    </row>
    <row r="20" customFormat="false" ht="15" hidden="false" customHeight="false" outlineLevel="0" collapsed="false">
      <c r="A20" s="27" t="s">
        <v>319</v>
      </c>
      <c r="C20" s="32"/>
    </row>
    <row r="21" customFormat="false" ht="15" hidden="false" customHeight="false" outlineLevel="0" collapsed="false">
      <c r="A21" s="27" t="s">
        <v>320</v>
      </c>
      <c r="C21" s="33"/>
    </row>
    <row r="23" customFormat="false" ht="15" hidden="false" customHeight="false" outlineLevel="0" collapsed="false">
      <c r="A23" s="26" t="s">
        <v>321</v>
      </c>
    </row>
    <row r="24" customFormat="false" ht="15" hidden="false" customHeight="false" outlineLevel="0" collapsed="false">
      <c r="A24" s="27" t="s">
        <v>322</v>
      </c>
      <c r="C24" s="32"/>
    </row>
    <row r="25" customFormat="false" ht="15" hidden="false" customHeight="false" outlineLevel="0" collapsed="false">
      <c r="A25" s="27" t="s">
        <v>323</v>
      </c>
      <c r="C25" s="32"/>
    </row>
    <row r="26" customFormat="false" ht="15" hidden="false" customHeight="false" outlineLevel="0" collapsed="false">
      <c r="A26" s="20" t="s">
        <v>324</v>
      </c>
      <c r="C26" s="24" t="n">
        <f aca="false">貿易_月次!B34</f>
        <v>3844.11</v>
      </c>
    </row>
    <row r="27" customFormat="false" ht="15" hidden="false" customHeight="false" outlineLevel="0" collapsed="false">
      <c r="A27" s="27" t="s">
        <v>325</v>
      </c>
      <c r="C27" s="34"/>
    </row>
    <row r="28" customFormat="false" ht="15" hidden="false" customHeight="false" outlineLevel="0" collapsed="false">
      <c r="A28" s="27" t="s">
        <v>326</v>
      </c>
      <c r="C28" s="34"/>
      <c r="D28" s="3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1"/>
    <col collapsed="false" customWidth="true" hidden="false" outlineLevel="0" max="3" min="3" style="0" width="10"/>
    <col collapsed="false" customWidth="true" hidden="false" outlineLevel="0" max="5" min="4" style="0" width="12"/>
    <col collapsed="false" customWidth="true" hidden="false" outlineLevel="0" max="6" min="6" style="0" width="11"/>
    <col collapsed="false" customWidth="true" hidden="false" outlineLevel="0" max="7" min="7" style="0" width="12"/>
    <col collapsed="false" customWidth="true" hidden="false" outlineLevel="0" max="8" min="8" style="0" width="10"/>
    <col collapsed="false" customWidth="true" hidden="false" outlineLevel="0" max="9" min="9" style="0" width="13"/>
    <col collapsed="false" customWidth="true" hidden="false" outlineLevel="0" max="10" min="10" style="0" width="10"/>
  </cols>
  <sheetData>
    <row r="1" customFormat="false" ht="15" hidden="false" customHeight="false" outlineLevel="0" collapsed="false">
      <c r="A1" s="1" t="s">
        <v>327</v>
      </c>
    </row>
    <row r="2" customFormat="false" ht="15" hidden="false" customHeight="false" outlineLevel="0" collapsed="false">
      <c r="A2" s="2" t="s">
        <v>328</v>
      </c>
    </row>
    <row r="4" customFormat="false" ht="15" hidden="false" customHeight="false" outlineLevel="0" collapsed="false">
      <c r="A4" s="10" t="s">
        <v>329</v>
      </c>
      <c r="B4" s="10" t="s">
        <v>330</v>
      </c>
      <c r="C4" s="10" t="s">
        <v>331</v>
      </c>
      <c r="D4" s="17" t="s">
        <v>332</v>
      </c>
    </row>
    <row r="5" customFormat="false" ht="15" hidden="false" customHeight="false" outlineLevel="0" collapsed="false">
      <c r="A5" s="27" t="s">
        <v>333</v>
      </c>
      <c r="B5" s="28"/>
      <c r="C5" s="29"/>
      <c r="D5" s="30"/>
    </row>
    <row r="6" customFormat="false" ht="15" hidden="false" customHeight="false" outlineLevel="0" collapsed="false">
      <c r="A6" s="27" t="s">
        <v>334</v>
      </c>
      <c r="B6" s="28"/>
      <c r="C6" s="29"/>
      <c r="D6" s="30"/>
    </row>
    <row r="11" customFormat="false" ht="30" hidden="false" customHeight="true" outlineLevel="0" collapsed="false">
      <c r="A11" s="10" t="s">
        <v>240</v>
      </c>
      <c r="B11" s="10" t="s">
        <v>247</v>
      </c>
      <c r="C11" s="10" t="s">
        <v>335</v>
      </c>
      <c r="D11" s="10" t="s">
        <v>141</v>
      </c>
      <c r="E11" s="10" t="s">
        <v>248</v>
      </c>
      <c r="F11" s="10" t="s">
        <v>336</v>
      </c>
      <c r="G11" s="10" t="s">
        <v>146</v>
      </c>
      <c r="H11" s="10" t="s">
        <v>337</v>
      </c>
      <c r="I11" s="10" t="s">
        <v>338</v>
      </c>
      <c r="J11" s="10" t="s">
        <v>339</v>
      </c>
    </row>
    <row r="12" customFormat="false" ht="15" hidden="false" customHeight="false" outlineLevel="0" collapsed="false">
      <c r="A12" s="31" t="str">
        <f aca="false">四半期集計!A7</f>
        <v>24/3期 2Q</v>
      </c>
      <c r="B12" s="24" t="n">
        <f aca="false">KOKUSAI_四半期!H6</f>
        <v>220.5</v>
      </c>
      <c r="C12" s="24" t="n">
        <f aca="false">四半期集計!E7</f>
        <v>4185.41359211522</v>
      </c>
      <c r="D12" s="32"/>
      <c r="E12" s="24" t="n">
        <f aca="false">KOKUSAI_四半期!I6</f>
        <v>229.5</v>
      </c>
      <c r="F12" s="24" t="n">
        <f aca="false">四半期集計!F7</f>
        <v>4051.42748918579</v>
      </c>
      <c r="G12" s="32"/>
      <c r="H12" s="24" t="n">
        <f aca="false">KOKUSAI_四半期!D6</f>
        <v>450</v>
      </c>
      <c r="I12" s="32"/>
      <c r="J12" s="33"/>
    </row>
    <row r="13" customFormat="false" ht="15" hidden="false" customHeight="false" outlineLevel="0" collapsed="false">
      <c r="A13" s="31" t="str">
        <f aca="false">四半期集計!A8</f>
        <v>24/3期 3Q</v>
      </c>
      <c r="B13" s="24" t="n">
        <f aca="false">KOKUSAI_四半期!H7</f>
        <v>243</v>
      </c>
      <c r="C13" s="24" t="n">
        <f aca="false">四半期集計!E8</f>
        <v>5178.95181851938</v>
      </c>
      <c r="D13" s="32"/>
      <c r="E13" s="24" t="n">
        <f aca="false">KOKUSAI_四半期!I7</f>
        <v>297</v>
      </c>
      <c r="F13" s="24" t="n">
        <f aca="false">四半期集計!F8</f>
        <v>4584.36882838124</v>
      </c>
      <c r="G13" s="32"/>
      <c r="H13" s="24" t="n">
        <f aca="false">KOKUSAI_四半期!D7</f>
        <v>540</v>
      </c>
      <c r="I13" s="32"/>
      <c r="J13" s="33"/>
    </row>
    <row r="14" customFormat="false" ht="15" hidden="false" customHeight="false" outlineLevel="0" collapsed="false">
      <c r="A14" s="31" t="str">
        <f aca="false">四半期集計!A9</f>
        <v>24/3期 4Q</v>
      </c>
      <c r="B14" s="24" t="n">
        <f aca="false">KOKUSAI_四半期!H8</f>
        <v>246</v>
      </c>
      <c r="C14" s="24" t="n">
        <f aca="false">四半期集計!E9</f>
        <v>5212.60184326134</v>
      </c>
      <c r="D14" s="32"/>
      <c r="E14" s="24" t="n">
        <f aca="false">KOKUSAI_四半期!I8</f>
        <v>246</v>
      </c>
      <c r="F14" s="24" t="n">
        <f aca="false">四半期集計!F9</f>
        <v>5152.33488278517</v>
      </c>
      <c r="G14" s="32"/>
      <c r="H14" s="24" t="n">
        <f aca="false">KOKUSAI_四半期!D8</f>
        <v>492</v>
      </c>
      <c r="I14" s="32"/>
      <c r="J14" s="33"/>
    </row>
    <row r="15" customFormat="false" ht="15" hidden="false" customHeight="false" outlineLevel="0" collapsed="false">
      <c r="A15" s="31" t="str">
        <f aca="false">四半期集計!A10</f>
        <v>25/3期 1Q</v>
      </c>
      <c r="B15" s="24" t="n">
        <f aca="false">KOKUSAI_四半期!H9</f>
        <v>326</v>
      </c>
      <c r="C15" s="24" t="n">
        <f aca="false">四半期集計!E10</f>
        <v>5699.07215836526</v>
      </c>
      <c r="D15" s="32"/>
      <c r="E15" s="24" t="n">
        <f aca="false">KOKUSAI_四半期!I9</f>
        <v>326</v>
      </c>
      <c r="F15" s="24" t="n">
        <f aca="false">四半期集計!F10</f>
        <v>5489.02563317241</v>
      </c>
      <c r="G15" s="32"/>
      <c r="H15" s="24" t="n">
        <f aca="false">KOKUSAI_四半期!D9</f>
        <v>652</v>
      </c>
      <c r="I15" s="32"/>
      <c r="J15" s="33"/>
    </row>
    <row r="16" customFormat="false" ht="15" hidden="false" customHeight="false" outlineLevel="0" collapsed="false">
      <c r="A16" s="31" t="str">
        <f aca="false">四半期集計!A11</f>
        <v>25/3期 2Q</v>
      </c>
      <c r="B16" s="24" t="n">
        <f aca="false">KOKUSAI_四半期!H10</f>
        <v>216.92</v>
      </c>
      <c r="C16" s="24" t="n">
        <f aca="false">四半期集計!E11</f>
        <v>5384.56</v>
      </c>
      <c r="D16" s="32"/>
      <c r="E16" s="24" t="n">
        <f aca="false">KOKUSAI_四半期!I10</f>
        <v>276.08</v>
      </c>
      <c r="F16" s="24" t="n">
        <f aca="false">四半期集計!F11</f>
        <v>5700.39</v>
      </c>
      <c r="G16" s="32"/>
      <c r="H16" s="24" t="n">
        <f aca="false">KOKUSAI_四半期!D10</f>
        <v>493</v>
      </c>
      <c r="I16" s="32"/>
      <c r="J16" s="33"/>
    </row>
    <row r="17" customFormat="false" ht="15" hidden="false" customHeight="false" outlineLevel="0" collapsed="false">
      <c r="A17" s="31" t="str">
        <f aca="false">四半期集計!A12</f>
        <v>25/3期 3Q</v>
      </c>
      <c r="B17" s="24" t="n">
        <f aca="false">KOKUSAI_四半期!H11</f>
        <v>240.4</v>
      </c>
      <c r="C17" s="24" t="n">
        <f aca="false">四半期集計!E12</f>
        <v>5474.59</v>
      </c>
      <c r="D17" s="32"/>
      <c r="E17" s="24" t="n">
        <f aca="false">KOKUSAI_四半期!I11</f>
        <v>360.6</v>
      </c>
      <c r="F17" s="24" t="n">
        <f aca="false">四半期集計!F12</f>
        <v>6847.6</v>
      </c>
      <c r="G17" s="32"/>
      <c r="H17" s="24" t="n">
        <f aca="false">KOKUSAI_四半期!D11</f>
        <v>601</v>
      </c>
      <c r="I17" s="32"/>
      <c r="J17" s="33"/>
    </row>
    <row r="18" customFormat="false" ht="15" hidden="false" customHeight="false" outlineLevel="0" collapsed="false">
      <c r="A18" s="31" t="str">
        <f aca="false">四半期集計!A13</f>
        <v>25/3期 4Q</v>
      </c>
      <c r="B18" s="24" t="n">
        <f aca="false">KOKUSAI_四半期!H12</f>
        <v>263.63</v>
      </c>
      <c r="C18" s="24" t="n">
        <f aca="false">四半期集計!E13</f>
        <v>4516.59</v>
      </c>
      <c r="D18" s="32"/>
      <c r="E18" s="24" t="n">
        <f aca="false">KOKUSAI_四半期!I12</f>
        <v>379.37</v>
      </c>
      <c r="F18" s="24" t="n">
        <f aca="false">四半期集計!F13</f>
        <v>7314.33</v>
      </c>
      <c r="G18" s="32"/>
      <c r="H18" s="24" t="n">
        <f aca="false">KOKUSAI_四半期!D12</f>
        <v>643</v>
      </c>
      <c r="I18" s="32"/>
      <c r="J18" s="33"/>
    </row>
    <row r="19" customFormat="false" ht="15" hidden="false" customHeight="false" outlineLevel="0" collapsed="false">
      <c r="A19" s="31" t="str">
        <f aca="false">四半期集計!A14</f>
        <v>26/3期 1Q</v>
      </c>
      <c r="B19" s="24" t="n">
        <f aca="false">KOKUSAI_四半期!H13</f>
        <v>196.84</v>
      </c>
      <c r="C19" s="24" t="n">
        <f aca="false">四半期集計!E14</f>
        <v>4741.76</v>
      </c>
      <c r="D19" s="32"/>
      <c r="E19" s="24" t="n">
        <f aca="false">KOKUSAI_四半期!I13</f>
        <v>321.16</v>
      </c>
      <c r="F19" s="24" t="n">
        <f aca="false">四半期集計!F14</f>
        <v>6191.2</v>
      </c>
      <c r="G19" s="32"/>
      <c r="H19" s="24" t="n">
        <f aca="false">KOKUSAI_四半期!D13</f>
        <v>518</v>
      </c>
      <c r="I19" s="32"/>
      <c r="J19" s="33"/>
    </row>
    <row r="20" customFormat="false" ht="15" hidden="false" customHeight="false" outlineLevel="0" collapsed="false">
      <c r="A20" s="31" t="str">
        <f aca="false">四半期集計!A15</f>
        <v>26/3期 2Q</v>
      </c>
      <c r="B20" s="24" t="n">
        <f aca="false">KOKUSAI_四半期!H14</f>
        <v>287.76</v>
      </c>
      <c r="C20" s="24" t="n">
        <f aca="false">四半期集計!E15</f>
        <v>5209.01</v>
      </c>
      <c r="D20" s="32"/>
      <c r="E20" s="24" t="n">
        <f aca="false">KOKUSAI_四半期!I14</f>
        <v>366.24</v>
      </c>
      <c r="F20" s="24" t="n">
        <f aca="false">四半期集計!F15</f>
        <v>5638.99</v>
      </c>
      <c r="G20" s="32"/>
      <c r="H20" s="24" t="n">
        <f aca="false">KOKUSAI_四半期!D14</f>
        <v>654</v>
      </c>
      <c r="I20" s="32"/>
      <c r="J20" s="33"/>
    </row>
    <row r="21" customFormat="false" ht="15" hidden="false" customHeight="false" outlineLevel="0" collapsed="false">
      <c r="A21" s="31" t="str">
        <f aca="false">四半期集計!A16</f>
        <v>26/3期 3Q</v>
      </c>
      <c r="B21" s="24" t="n">
        <f aca="false">KOKUSAI_四半期!H15</f>
        <v>173.29</v>
      </c>
      <c r="C21" s="24" t="n">
        <f aca="false">四半期集計!E16</f>
        <v>4640.01</v>
      </c>
      <c r="D21" s="32"/>
      <c r="E21" s="24" t="n">
        <f aca="false">KOKUSAI_四半期!I15</f>
        <v>385.71</v>
      </c>
      <c r="F21" s="24" t="n">
        <f aca="false">四半期集計!F16</f>
        <v>7224.43</v>
      </c>
      <c r="G21" s="32"/>
      <c r="H21" s="24" t="n">
        <f aca="false">KOKUSAI_四半期!D15</f>
        <v>559</v>
      </c>
      <c r="I21" s="32"/>
      <c r="J21" s="33"/>
    </row>
    <row r="22" customFormat="false" ht="15" hidden="false" customHeight="false" outlineLevel="0" collapsed="false">
      <c r="A22" s="31" t="str">
        <f aca="false">四半期集計!A17</f>
        <v>26/3期 4Q</v>
      </c>
      <c r="B22" s="24" t="n">
        <f aca="false">KOKUSAI_四半期!H16</f>
        <v>161.2</v>
      </c>
      <c r="C22" s="24" t="n">
        <f aca="false">四半期集計!E17</f>
        <v>4049.63</v>
      </c>
      <c r="D22" s="32"/>
      <c r="E22" s="24" t="n">
        <f aca="false">KOKUSAI_四半期!I16</f>
        <v>458.8</v>
      </c>
      <c r="F22" s="24" t="n">
        <f aca="false">四半期集計!F17</f>
        <v>7657.82</v>
      </c>
      <c r="G22" s="32"/>
      <c r="H22" s="24" t="n">
        <f aca="false">KOKUSAI_四半期!D16</f>
        <v>620</v>
      </c>
      <c r="I22" s="32"/>
      <c r="J22" s="33"/>
    </row>
    <row r="23" customFormat="false" ht="15" hidden="false" customHeight="false" outlineLevel="0" collapsed="false">
      <c r="A23" s="31" t="str">
        <f aca="false">四半期集計!A18</f>
        <v>27/3期 1Q</v>
      </c>
      <c r="B23" s="24" t="n">
        <f aca="false">KOKUSAI_四半期!H17</f>
        <v>188.5</v>
      </c>
      <c r="C23" s="24" t="n">
        <f aca="false">四半期集計!E18</f>
        <v>3796.36</v>
      </c>
      <c r="D23" s="32"/>
      <c r="E23" s="24" t="n">
        <f aca="false">KOKUSAI_四半期!I17</f>
        <v>565.5</v>
      </c>
      <c r="F23" s="24" t="n">
        <f aca="false">四半期集計!F18</f>
        <v>8395.05</v>
      </c>
      <c r="G23" s="32"/>
      <c r="H23" s="24" t="n">
        <f aca="false">KOKUSAI_四半期!D17</f>
        <v>754</v>
      </c>
      <c r="I23" s="32"/>
      <c r="J23" s="33"/>
    </row>
    <row r="25" customFormat="false" ht="15" hidden="false" customHeight="false" outlineLevel="0" collapsed="false">
      <c r="A25" s="27" t="s">
        <v>340</v>
      </c>
      <c r="D25" s="29"/>
    </row>
    <row r="26" customFormat="false" ht="15" hidden="false" customHeight="false" outlineLevel="0" collapsed="false">
      <c r="A26" s="27" t="s">
        <v>341</v>
      </c>
      <c r="D26" s="36" t="n">
        <f aca="false">回帰!C25</f>
        <v>0</v>
      </c>
    </row>
    <row r="28" customFormat="false" ht="15" hidden="false" customHeight="false" outlineLevel="0" collapsed="false">
      <c r="A28" s="11" t="s">
        <v>342</v>
      </c>
    </row>
    <row r="29" customFormat="false" ht="15" hidden="false" customHeight="false" outlineLevel="0" collapsed="false">
      <c r="A29" s="17"/>
      <c r="B29" s="17" t="s">
        <v>343</v>
      </c>
      <c r="C29" s="17" t="s">
        <v>344</v>
      </c>
      <c r="D29" s="17" t="s">
        <v>345</v>
      </c>
      <c r="E29" s="17" t="s">
        <v>346</v>
      </c>
      <c r="F29" s="10" t="s">
        <v>294</v>
      </c>
    </row>
    <row r="30" customFormat="false" ht="15" hidden="false" customHeight="false" outlineLevel="0" collapsed="false">
      <c r="A30" s="27" t="s">
        <v>347</v>
      </c>
      <c r="B30" s="24" t="n">
        <f aca="false">貿易_月次!D44</f>
        <v>2073.46</v>
      </c>
      <c r="C30" s="24" t="n">
        <f aca="false">貿易_月次!D45</f>
        <v>1947.91</v>
      </c>
      <c r="D30" s="32"/>
      <c r="E30" s="32"/>
      <c r="F30" s="32"/>
    </row>
    <row r="31" customFormat="false" ht="15" hidden="false" customHeight="false" outlineLevel="0" collapsed="false">
      <c r="A31" s="27" t="s">
        <v>348</v>
      </c>
      <c r="B31" s="24" t="n">
        <f aca="false">貿易_月次!I44</f>
        <v>2870.91</v>
      </c>
      <c r="C31" s="24" t="n">
        <f aca="false">貿易_月次!I45</f>
        <v>2949.73</v>
      </c>
      <c r="D31" s="32"/>
      <c r="E31" s="32"/>
      <c r="F31" s="32"/>
    </row>
    <row r="32" customFormat="false" ht="15" hidden="false" customHeight="false" outlineLevel="0" collapsed="false">
      <c r="A32" s="27" t="s">
        <v>338</v>
      </c>
      <c r="F32" s="3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349</v>
      </c>
    </row>
    <row r="3" customFormat="false" ht="15" hidden="false" customHeight="false" outlineLevel="0" collapsed="false">
      <c r="A3" s="26" t="s">
        <v>350</v>
      </c>
    </row>
    <row r="4" customFormat="false" ht="15" hidden="false" customHeight="false" outlineLevel="0" collapsed="false">
      <c r="A4" s="27" t="s">
        <v>351</v>
      </c>
    </row>
    <row r="5" customFormat="false" ht="15" hidden="false" customHeight="false" outlineLevel="0" collapsed="false">
      <c r="A5" s="27" t="s">
        <v>352</v>
      </c>
    </row>
    <row r="6" customFormat="false" ht="15" hidden="false" customHeight="false" outlineLevel="0" collapsed="false">
      <c r="A6" s="20" t="s">
        <v>353</v>
      </c>
    </row>
    <row r="7" customFormat="false" ht="15" hidden="false" customHeight="false" outlineLevel="0" collapsed="false">
      <c r="A7" s="20" t="s">
        <v>354</v>
      </c>
    </row>
    <row r="8" customFormat="false" ht="15" hidden="false" customHeight="false" outlineLevel="0" collapsed="false">
      <c r="A8" s="20" t="s">
        <v>355</v>
      </c>
    </row>
    <row r="9" customFormat="false" ht="15" hidden="false" customHeight="false" outlineLevel="0" collapsed="false">
      <c r="A9" s="20" t="s">
        <v>356</v>
      </c>
    </row>
    <row r="10" customFormat="false" ht="15" hidden="false" customHeight="false" outlineLevel="0" collapsed="false">
      <c r="A10" s="20"/>
    </row>
    <row r="11" customFormat="false" ht="15" hidden="false" customHeight="false" outlineLevel="0" collapsed="false">
      <c r="A11" s="26" t="s">
        <v>357</v>
      </c>
    </row>
    <row r="12" customFormat="false" ht="15" hidden="false" customHeight="false" outlineLevel="0" collapsed="false">
      <c r="A12" s="20" t="s">
        <v>358</v>
      </c>
    </row>
    <row r="13" customFormat="false" ht="15" hidden="false" customHeight="false" outlineLevel="0" collapsed="false">
      <c r="A13" s="20" t="s">
        <v>359</v>
      </c>
    </row>
    <row r="14" customFormat="false" ht="15" hidden="false" customHeight="false" outlineLevel="0" collapsed="false">
      <c r="A14" s="20" t="s">
        <v>360</v>
      </c>
    </row>
    <row r="15" customFormat="false" ht="15" hidden="false" customHeight="false" outlineLevel="0" collapsed="false">
      <c r="A15" s="20" t="s">
        <v>361</v>
      </c>
    </row>
    <row r="16" customFormat="false" ht="15" hidden="false" customHeight="false" outlineLevel="0" collapsed="false">
      <c r="A16" s="20" t="s">
        <v>362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2026-09-28T05:38:24Z</dcterms:created>
  <dc:creator>openpyxl</dc:creator>
  <dc:description/>
  <dc:language>en-US</dc:language>
  <cp:lastModifiedBy/>
  <dcterms:modified xsi:type="dcterms:W3CDTF">2026-09-28T14:38:26Z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