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前提" sheetId="1" state="visible" r:id="rId3"/>
    <sheet name="2_企業価値" sheetId="2" state="visible" r:id="rId4"/>
    <sheet name="3_SOTP逆算" sheetId="3" state="visible" r:id="rId5"/>
    <sheet name="4_逆DCF" sheetId="4" state="visible" r:id="rId6"/>
    <sheet name="5_目標株価" sheetId="5" state="visible" r:id="rId7"/>
    <sheet name="6_感応度" sheetId="6" state="visible" r:id="rId8"/>
    <sheet name="7_検証条件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<sst xmlns="http://schemas.openxmlformats.org/spreadsheetml/2006/main" count="193" uniqueCount="180">
  <si>
    <r>
      <rPr>
        <b val="true"/>
        <sz val="13"/>
        <rFont val="Arial"/>
        <family val="0"/>
        <charset val="1"/>
      </rPr>
      <t xml:space="preserve">SpaceX (SPCX) </t>
    </r>
    <r>
      <rPr>
        <b val="true"/>
        <sz val="13"/>
        <rFont val="Noto Sans CJK SC"/>
        <family val="2"/>
      </rPr>
      <t xml:space="preserve">バリュエーション・モデル</t>
    </r>
  </si>
  <si>
    <r>
      <rPr>
        <i val="true"/>
        <sz val="9"/>
        <color rgb="FF595959"/>
        <rFont val="Noto Sans CJK SC"/>
        <family val="2"/>
      </rPr>
      <t xml:space="preserve">青字・黄色セル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入力値（書き換え可）　／　黒字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計算式</t>
    </r>
  </si>
  <si>
    <r>
      <rPr>
        <i val="true"/>
        <sz val="9"/>
        <color rgb="FF595959"/>
        <rFont val="Noto Sans CJK SC"/>
        <family val="2"/>
      </rPr>
      <t xml:space="preserve">単位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十億ドル（株価・株数を除く）　出典</t>
    </r>
    <r>
      <rPr>
        <i val="true"/>
        <sz val="9"/>
        <color rgb="FF595959"/>
        <rFont val="Arial"/>
        <family val="0"/>
        <charset val="1"/>
      </rPr>
      <t xml:space="preserve">: SpaceX 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Q2</t>
    </r>
    <r>
      <rPr>
        <i val="true"/>
        <sz val="9"/>
        <color rgb="FF595959"/>
        <rFont val="Noto Sans CJK SC"/>
        <family val="2"/>
      </rPr>
      <t xml:space="preserve">決算 </t>
    </r>
    <r>
      <rPr>
        <i val="true"/>
        <sz val="9"/>
        <color rgb="FF595959"/>
        <rFont val="Arial"/>
        <family val="0"/>
        <charset val="1"/>
      </rPr>
      <t xml:space="preserve">(2026/8/4)</t>
    </r>
  </si>
  <si>
    <t xml:space="preserve">■ 株価・株式数</t>
  </si>
  <si>
    <r>
      <rPr>
        <sz val="10"/>
        <rFont val="Noto Sans CJK SC"/>
        <family val="2"/>
      </rPr>
      <t xml:space="preserve">株価 </t>
    </r>
    <r>
      <rPr>
        <sz val="10"/>
        <rFont val="Arial"/>
        <family val="0"/>
        <charset val="1"/>
      </rPr>
      <t xml:space="preserve">($)</t>
    </r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</si>
  <si>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月時点。需給要因を含む</t>
    </r>
  </si>
  <si>
    <r>
      <rPr>
        <sz val="10"/>
        <rFont val="Arial"/>
        <family val="0"/>
        <charset val="1"/>
      </rPr>
      <t xml:space="preserve">Class A </t>
    </r>
    <r>
      <rPr>
        <sz val="10"/>
        <rFont val="Noto Sans CJK SC"/>
        <family val="2"/>
      </rPr>
      <t xml:space="preserve">株式数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百万株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</si>
  <si>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貸借対照表 </t>
    </r>
    <r>
      <rPr>
        <i val="true"/>
        <sz val="9"/>
        <color rgb="FF595959"/>
        <rFont val="Arial"/>
        <family val="0"/>
        <charset val="1"/>
      </rPr>
      <t xml:space="preserve">2026/6/30</t>
    </r>
  </si>
  <si>
    <r>
      <rPr>
        <sz val="10"/>
        <rFont val="Arial"/>
        <family val="0"/>
        <charset val="1"/>
      </rPr>
      <t xml:space="preserve">Class B </t>
    </r>
    <r>
      <rPr>
        <sz val="10"/>
        <rFont val="Noto Sans CJK SC"/>
        <family val="2"/>
      </rPr>
      <t xml:space="preserve">株式数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百万株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</si>
  <si>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Cursor</t>
    </r>
    <r>
      <rPr>
        <sz val="10"/>
        <rFont val="Noto Sans CJK SC"/>
        <family val="2"/>
      </rPr>
      <t xml:space="preserve">買収の新規発行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百万株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</si>
  <si>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2026/8/14 </t>
    </r>
    <r>
      <rPr>
        <i val="true"/>
        <sz val="9"/>
        <color rgb="FF595959"/>
        <rFont val="Noto Sans CJK SC"/>
        <family val="2"/>
      </rPr>
      <t xml:space="preserve">完了 約</t>
    </r>
    <r>
      <rPr>
        <i val="true"/>
        <sz val="9"/>
        <color rgb="FF595959"/>
        <rFont val="Arial"/>
        <family val="0"/>
        <charset val="1"/>
      </rPr>
      <t xml:space="preserve">600</t>
    </r>
    <r>
      <rPr>
        <i val="true"/>
        <sz val="9"/>
        <color rgb="FF595959"/>
        <rFont val="Noto Sans CJK SC"/>
        <family val="2"/>
      </rPr>
      <t xml:space="preserve">億ドル分</t>
    </r>
  </si>
  <si>
    <r>
      <rPr>
        <b val="true"/>
        <sz val="10"/>
        <rFont val="Noto Sans CJK SC"/>
        <family val="2"/>
      </rPr>
      <t xml:space="preserve">発行済株式数 合計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百万株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</si>
  <si>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■ 貸借対照表 </t>
    </r>
    <r>
      <rPr>
        <b val="true"/>
        <sz val="10"/>
        <rFont val="Arial"/>
        <family val="0"/>
        <charset val="1"/>
      </rPr>
      <t xml:space="preserve">(2026/6/30)</t>
    </r>
  </si>
  <si>
    <t xml:space="preserve">現金及び現金同等物</t>
  </si>
  <si>
    <t xml:space="preserve">貸借対照表</t>
  </si>
  <si>
    <t xml:space="preserve">有価証券</t>
  </si>
  <si>
    <r>
      <rPr>
        <sz val="10"/>
        <rFont val="Noto Sans CJK SC"/>
        <family val="2"/>
      </rPr>
      <t xml:space="preserve">有利子負債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短期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</si>
  <si>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うち関連当事者 </t>
    </r>
    <r>
      <rPr>
        <i val="true"/>
        <sz val="9"/>
        <color rgb="FF595959"/>
        <rFont val="Arial"/>
        <family val="0"/>
        <charset val="1"/>
      </rPr>
      <t xml:space="preserve">2.039</t>
    </r>
  </si>
  <si>
    <r>
      <rPr>
        <sz val="10"/>
        <rFont val="Noto Sans CJK SC"/>
        <family val="2"/>
      </rPr>
      <t xml:space="preserve">有利子負債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長期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</si>
  <si>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うち関連当事者 </t>
    </r>
    <r>
      <rPr>
        <i val="true"/>
        <sz val="9"/>
        <color rgb="FF595959"/>
        <rFont val="Arial"/>
        <family val="0"/>
        <charset val="1"/>
      </rPr>
      <t xml:space="preserve">11.290</t>
    </r>
  </si>
  <si>
    <t xml:space="preserve">ネットキャッシュ</t>
  </si>
  <si>
    <r>
      <rPr>
        <b val="true"/>
        <sz val="10"/>
        <rFont val="Arial"/>
        <family val="0"/>
        <charset val="1"/>
      </rPr>
      <t xml:space="preserve">■ Q2 2026 </t>
    </r>
    <r>
      <rPr>
        <b val="true"/>
        <sz val="10"/>
        <rFont val="Noto Sans CJK SC"/>
        <family val="2"/>
      </rPr>
      <t xml:space="preserve">実績（部門別）</t>
    </r>
  </si>
  <si>
    <t xml:space="preserve">項目</t>
  </si>
  <si>
    <t xml:space="preserve">金額</t>
  </si>
  <si>
    <t xml:space="preserve">年換算</t>
  </si>
  <si>
    <r>
      <rPr>
        <sz val="10"/>
        <rFont val="Arial"/>
        <family val="0"/>
        <charset val="1"/>
      </rPr>
      <t xml:space="preserve">Space </t>
    </r>
    <r>
      <rPr>
        <sz val="10"/>
        <rFont val="Noto Sans CJK SC"/>
        <family val="2"/>
      </rPr>
      <t xml:space="preserve">売上</t>
    </r>
  </si>
  <si>
    <r>
      <rPr>
        <i val="true"/>
        <sz val="9"/>
        <color rgb="FF595959"/>
        <rFont val="Noto Sans CJK SC"/>
        <family val="2"/>
      </rPr>
      <t xml:space="preserve">出典</t>
    </r>
    <r>
      <rPr>
        <i val="true"/>
        <sz val="9"/>
        <color rgb="FF595959"/>
        <rFont val="Arial"/>
        <family val="0"/>
        <charset val="1"/>
      </rPr>
      <t xml:space="preserve">: 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Q2</t>
    </r>
    <r>
      <rPr>
        <i val="true"/>
        <sz val="9"/>
        <color rgb="FF595959"/>
        <rFont val="Noto Sans CJK SC"/>
        <family val="2"/>
      </rPr>
      <t xml:space="preserve">決算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ページ セグメント表</t>
    </r>
  </si>
  <si>
    <r>
      <rPr>
        <sz val="10"/>
        <rFont val="Arial"/>
        <family val="0"/>
        <charset val="1"/>
      </rPr>
      <t xml:space="preserve">Connectivity </t>
    </r>
    <r>
      <rPr>
        <sz val="10"/>
        <rFont val="Noto Sans CJK SC"/>
        <family val="2"/>
      </rPr>
      <t xml:space="preserve">売上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</si>
  <si>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売上</t>
    </r>
  </si>
  <si>
    <r>
      <rPr>
        <sz val="10"/>
        <rFont val="Arial"/>
        <family val="0"/>
        <charset val="1"/>
      </rPr>
      <t xml:space="preserve">Space </t>
    </r>
    <r>
      <rPr>
        <sz val="10"/>
        <rFont val="Noto Sans CJK SC"/>
        <family val="2"/>
      </rPr>
      <t xml:space="preserve">調整後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</si>
  <si>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Connectivity </t>
    </r>
    <r>
      <rPr>
        <sz val="10"/>
        <rFont val="Noto Sans CJK SC"/>
        <family val="2"/>
      </rPr>
      <t xml:space="preserve">調整後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</si>
  <si>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調整後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</si>
  <si>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Space </t>
    </r>
    <r>
      <rPr>
        <sz val="10"/>
        <rFont val="Noto Sans CJK SC"/>
        <family val="2"/>
      </rPr>
      <t xml:space="preserve">設備投資</t>
    </r>
  </si>
  <si>
    <r>
      <rPr>
        <sz val="10"/>
        <rFont val="Arial"/>
        <family val="0"/>
        <charset val="1"/>
      </rPr>
      <t xml:space="preserve">Connectivity </t>
    </r>
    <r>
      <rPr>
        <sz val="10"/>
        <rFont val="Noto Sans CJK SC"/>
        <family val="2"/>
      </rPr>
      <t xml:space="preserve">設備投資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</si>
  <si>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設備投資</t>
    </r>
  </si>
  <si>
    <t xml:space="preserve">■ その他</t>
  </si>
  <si>
    <r>
      <rPr>
        <sz val="10"/>
        <rFont val="Arial"/>
        <family val="0"/>
        <charset val="1"/>
      </rPr>
      <t xml:space="preserve">Starlink </t>
    </r>
    <r>
      <rPr>
        <sz val="10"/>
        <rFont val="Noto Sans CJK SC"/>
        <family val="2"/>
      </rPr>
      <t xml:space="preserve">契約者数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百万人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</si>
  <si>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Q2</t>
    </r>
    <r>
      <rPr>
        <i val="true"/>
        <sz val="9"/>
        <color rgb="FF595959"/>
        <rFont val="Noto Sans CJK SC"/>
        <family val="2"/>
      </rPr>
      <t xml:space="preserve">末</t>
    </r>
  </si>
  <si>
    <r>
      <rPr>
        <sz val="10"/>
        <rFont val="Arial"/>
        <family val="0"/>
        <charset val="1"/>
      </rPr>
      <t xml:space="preserve">Starlink ARPU ($/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</si>
  <si>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四半期連続で横ばい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</si>
  <si>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計算能力 </t>
    </r>
    <r>
      <rPr>
        <sz val="10"/>
        <rFont val="Arial"/>
        <family val="0"/>
        <charset val="1"/>
      </rPr>
      <t xml:space="preserve">(GW)</t>
    </r>
  </si>
  <si>
    <r>
      <rPr>
        <i val="true"/>
        <sz val="9"/>
        <color rgb="FF595959"/>
        <rFont val="Arial"/>
        <family val="0"/>
        <charset val="1"/>
      </rPr>
      <t xml:space="preserve">Q1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Arial"/>
        <family val="0"/>
        <charset val="1"/>
      </rPr>
      <t xml:space="preserve">1.0GW</t>
    </r>
    <r>
      <rPr>
        <i val="true"/>
        <sz val="9"/>
        <color rgb="FF595959"/>
        <rFont val="Noto Sans CJK SC"/>
        <family val="2"/>
      </rPr>
      <t xml:space="preserve">から拡大</t>
    </r>
  </si>
  <si>
    <r>
      <rPr>
        <sz val="10"/>
        <rFont val="Noto Sans CJK SC"/>
        <family val="2"/>
      </rPr>
      <t xml:space="preserve">受注残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バックログ</t>
    </r>
    <r>
      <rPr>
        <sz val="10"/>
        <rFont val="Arial"/>
        <family val="0"/>
        <charset val="1"/>
      </rPr>
      <t xml:space="preserve">)</t>
    </r>
  </si>
  <si>
    <t xml:space="preserve">全社</t>
  </si>
  <si>
    <t xml:space="preserve">クラウド契約 受注額</t>
  </si>
  <si>
    <r>
      <rPr>
        <i val="true"/>
        <sz val="9"/>
        <color rgb="FF595959"/>
        <rFont val="Noto Sans CJK SC"/>
        <family val="2"/>
      </rPr>
      <t xml:space="preserve">うち</t>
    </r>
    <r>
      <rPr>
        <i val="true"/>
        <sz val="9"/>
        <color rgb="FF595959"/>
        <rFont val="Arial"/>
        <family val="0"/>
        <charset val="1"/>
      </rPr>
      <t xml:space="preserve">Q2</t>
    </r>
    <r>
      <rPr>
        <i val="true"/>
        <sz val="9"/>
        <color rgb="FF595959"/>
        <rFont val="Noto Sans CJK SC"/>
        <family val="2"/>
      </rPr>
      <t xml:space="preserve">に</t>
    </r>
    <r>
      <rPr>
        <i val="true"/>
        <sz val="9"/>
        <color rgb="FF595959"/>
        <rFont val="Arial"/>
        <family val="0"/>
        <charset val="1"/>
      </rPr>
      <t xml:space="preserve">1.6</t>
    </r>
    <r>
      <rPr>
        <i val="true"/>
        <sz val="9"/>
        <color rgb="FF595959"/>
        <rFont val="Noto Sans CJK SC"/>
        <family val="2"/>
      </rPr>
      <t xml:space="preserve">十億ドルを認識</t>
    </r>
  </si>
  <si>
    <r>
      <rPr>
        <b val="true"/>
        <sz val="13"/>
        <rFont val="Noto Sans CJK SC"/>
        <family val="2"/>
      </rPr>
      <t xml:space="preserve">企業価値 </t>
    </r>
    <r>
      <rPr>
        <b val="true"/>
        <sz val="13"/>
        <rFont val="Arial"/>
        <family val="0"/>
        <charset val="1"/>
      </rPr>
      <t xml:space="preserve">(EV) </t>
    </r>
    <r>
      <rPr>
        <b val="true"/>
        <sz val="13"/>
        <rFont val="Noto Sans CJK SC"/>
        <family val="2"/>
      </rPr>
      <t xml:space="preserve">の算出</t>
    </r>
  </si>
  <si>
    <r>
      <rPr>
        <sz val="10"/>
        <rFont val="Noto Sans CJK SC"/>
        <family val="2"/>
      </rPr>
      <t xml:space="preserve">発行済株式数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百万株</t>
    </r>
    <r>
      <rPr>
        <sz val="10"/>
        <rFont val="Arial"/>
        <family val="0"/>
        <charset val="1"/>
      </rPr>
      <t xml:space="preserve">)</t>
    </r>
  </si>
  <si>
    <t xml:space="preserve">時価総額</t>
  </si>
  <si>
    <t xml:space="preserve">＋ 有利子負債</t>
  </si>
  <si>
    <t xml:space="preserve">− 現金・有価証券</t>
  </si>
  <si>
    <r>
      <rPr>
        <b val="true"/>
        <sz val="10"/>
        <rFont val="Noto Sans CJK SC"/>
        <family val="2"/>
      </rPr>
      <t xml:space="preserve">企業価値 </t>
    </r>
    <r>
      <rPr>
        <b val="true"/>
        <sz val="10"/>
        <rFont val="Arial"/>
        <family val="0"/>
        <charset val="1"/>
      </rPr>
      <t xml:space="preserve">(EV)</t>
    </r>
  </si>
  <si>
    <t xml:space="preserve">会社を借金ごと買い、手元現金を回収した場合の実質支払額</t>
  </si>
  <si>
    <t xml:space="preserve">■ 参考指標</t>
  </si>
  <si>
    <r>
      <rPr>
        <sz val="10"/>
        <rFont val="Noto Sans CJK SC"/>
        <family val="2"/>
      </rPr>
      <t xml:space="preserve">売上 </t>
    </r>
    <r>
      <rPr>
        <sz val="10"/>
        <rFont val="Arial"/>
        <family val="0"/>
        <charset val="1"/>
      </rPr>
      <t xml:space="preserve">(Q2</t>
    </r>
    <r>
      <rPr>
        <sz val="10"/>
        <rFont val="Noto Sans CJK SC"/>
        <family val="2"/>
      </rPr>
      <t xml:space="preserve">年換算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</si>
  <si>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EV / </t>
    </r>
    <r>
      <rPr>
        <sz val="10"/>
        <rFont val="Noto Sans CJK SC"/>
        <family val="2"/>
      </rPr>
      <t xml:space="preserve">売上</t>
    </r>
  </si>
  <si>
    <r>
      <rPr>
        <sz val="10"/>
        <rFont val="Noto Sans CJK SC"/>
        <family val="2"/>
      </rPr>
      <t xml:space="preserve">調整後</t>
    </r>
    <r>
      <rPr>
        <sz val="10"/>
        <rFont val="Arial"/>
        <family val="0"/>
        <charset val="1"/>
      </rPr>
      <t xml:space="preserve">EBITDA (Q2</t>
    </r>
    <r>
      <rPr>
        <sz val="10"/>
        <rFont val="Noto Sans CJK SC"/>
        <family val="2"/>
      </rPr>
      <t xml:space="preserve">年換算</t>
    </r>
    <r>
      <rPr>
        <sz val="10"/>
        <rFont val="Arial"/>
        <family val="0"/>
        <charset val="1"/>
      </rPr>
      <t xml:space="preserve">)</t>
    </r>
  </si>
  <si>
    <t xml:space="preserve">EV / EBITDA</t>
  </si>
  <si>
    <r>
      <rPr>
        <sz val="10"/>
        <rFont val="Noto Sans CJK SC"/>
        <family val="2"/>
      </rPr>
      <t xml:space="preserve">フリーキャッシュフロー </t>
    </r>
    <r>
      <rPr>
        <sz val="10"/>
        <rFont val="Arial"/>
        <family val="0"/>
        <charset val="1"/>
      </rPr>
      <t xml:space="preserve">(Q2</t>
    </r>
    <r>
      <rPr>
        <sz val="10"/>
        <rFont val="Noto Sans CJK SC"/>
        <family val="2"/>
      </rPr>
      <t xml:space="preserve">年換算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</si>
  <si>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EBITDA − </t>
    </r>
    <r>
      <rPr>
        <i val="true"/>
        <sz val="9"/>
        <color rgb="FF595959"/>
        <rFont val="Noto Sans CJK SC"/>
        <family val="2"/>
      </rPr>
      <t xml:space="preserve">設備投資。大幅なマイナスがこの会社の最大の論点</t>
    </r>
  </si>
  <si>
    <r>
      <rPr>
        <b val="true"/>
        <sz val="13"/>
        <rFont val="Arial"/>
        <family val="0"/>
        <charset val="1"/>
      </rPr>
      <t xml:space="preserve">SOTP</t>
    </r>
    <r>
      <rPr>
        <b val="true"/>
        <sz val="13"/>
        <rFont val="Noto Sans CJK SC"/>
        <family val="2"/>
      </rPr>
      <t xml:space="preserve">逆算 — </t>
    </r>
    <r>
      <rPr>
        <b val="true"/>
        <sz val="13"/>
        <rFont val="Arial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部門にいくら付いているか</t>
    </r>
  </si>
  <si>
    <r>
      <rPr>
        <i val="true"/>
        <sz val="9"/>
        <color rgb="FF595959"/>
        <rFont val="Noto Sans CJK SC"/>
        <family val="2"/>
      </rPr>
      <t xml:space="preserve">説明できる部門を引き算し、残余を</t>
    </r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</rPr>
      <t xml:space="preserve">部門への評価とみなす。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ケースで幅を確認する</t>
    </r>
  </si>
  <si>
    <t xml:space="preserve">弱気</t>
  </si>
  <si>
    <t xml:space="preserve">基本</t>
  </si>
  <si>
    <t xml:space="preserve">強気</t>
  </si>
  <si>
    <t xml:space="preserve">■ Starlink (Connectivity)</t>
  </si>
  <si>
    <r>
      <rPr>
        <sz val="10"/>
        <rFont val="Arial"/>
        <family val="0"/>
        <charset val="1"/>
      </rPr>
      <t xml:space="preserve">NTM</t>
    </r>
    <r>
      <rPr>
        <sz val="10"/>
        <rFont val="Noto Sans CJK SC"/>
        <family val="2"/>
      </rPr>
      <t xml:space="preserve">売上</t>
    </r>
  </si>
  <si>
    <r>
      <rPr>
        <i val="true"/>
        <sz val="9"/>
        <color rgb="FF595959"/>
        <rFont val="Noto Sans CJK SC"/>
        <family val="2"/>
      </rPr>
      <t xml:space="preserve">今後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ヶ月。</t>
    </r>
    <r>
      <rPr>
        <i val="true"/>
        <sz val="9"/>
        <color rgb="FF595959"/>
        <rFont val="Arial"/>
        <family val="0"/>
        <charset val="1"/>
      </rPr>
      <t xml:space="preserve">Q2</t>
    </r>
    <r>
      <rPr>
        <i val="true"/>
        <sz val="9"/>
        <color rgb="FF595959"/>
        <rFont val="Noto Sans CJK SC"/>
        <family val="2"/>
      </rPr>
      <t xml:space="preserve">年換算</t>
    </r>
    <r>
      <rPr>
        <i val="true"/>
        <sz val="9"/>
        <color rgb="FF595959"/>
        <rFont val="Arial"/>
        <family val="0"/>
        <charset val="1"/>
      </rPr>
      <t xml:space="preserve">17.2</t>
    </r>
    <r>
      <rPr>
        <i val="true"/>
        <sz val="9"/>
        <color rgb="FF595959"/>
        <rFont val="Noto Sans CJK SC"/>
        <family val="2"/>
      </rPr>
      <t xml:space="preserve">から個人</t>
    </r>
    <r>
      <rPr>
        <i val="true"/>
        <sz val="9"/>
        <color rgb="FF595959"/>
        <rFont val="Arial"/>
        <family val="0"/>
        <charset val="1"/>
      </rPr>
      <t xml:space="preserve">+44%/</t>
    </r>
    <r>
      <rPr>
        <i val="true"/>
        <sz val="9"/>
        <color rgb="FF595959"/>
        <rFont val="Noto Sans CJK SC"/>
        <family val="2"/>
      </rPr>
      <t xml:space="preserve">法人</t>
    </r>
    <r>
      <rPr>
        <i val="true"/>
        <sz val="9"/>
        <color rgb="FF595959"/>
        <rFont val="Arial"/>
        <family val="0"/>
        <charset val="1"/>
      </rPr>
      <t xml:space="preserve">+108%</t>
    </r>
    <r>
      <rPr>
        <i val="true"/>
        <sz val="9"/>
        <color rgb="FF595959"/>
        <rFont val="Noto Sans CJK SC"/>
        <family val="2"/>
      </rPr>
      <t xml:space="preserve">を減速させて置く</t>
    </r>
  </si>
  <si>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利益率</t>
    </r>
  </si>
  <si>
    <r>
      <rPr>
        <i val="true"/>
        <sz val="9"/>
        <color rgb="FF595959"/>
        <rFont val="Arial"/>
        <family val="0"/>
        <charset val="1"/>
      </rPr>
      <t xml:space="preserve">Q2</t>
    </r>
    <r>
      <rPr>
        <i val="true"/>
        <sz val="9"/>
        <color rgb="FF595959"/>
        <rFont val="Noto Sans CJK SC"/>
        <family val="2"/>
      </rPr>
      <t xml:space="preserve">実績 </t>
    </r>
    <r>
      <rPr>
        <i val="true"/>
        <sz val="9"/>
        <color rgb="FF595959"/>
        <rFont val="Arial"/>
        <family val="0"/>
        <charset val="1"/>
      </rPr>
      <t xml:space="preserve">60.5%</t>
    </r>
  </si>
  <si>
    <t xml:space="preserve">NTM EBITDA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</si>
  <si>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倍率</t>
    </r>
  </si>
  <si>
    <r>
      <rPr>
        <i val="true"/>
        <sz val="9"/>
        <color rgb="FF595959"/>
        <rFont val="Noto Sans CJK SC"/>
        <family val="2"/>
      </rPr>
      <t xml:space="preserve">通信インフラの標準は</t>
    </r>
    <r>
      <rPr>
        <i val="true"/>
        <sz val="9"/>
        <color rgb="FF595959"/>
        <rFont val="Arial"/>
        <family val="0"/>
        <charset val="1"/>
      </rPr>
      <t xml:space="preserve">6-8</t>
    </r>
    <r>
      <rPr>
        <i val="true"/>
        <sz val="9"/>
        <color rgb="FF595959"/>
        <rFont val="Noto Sans CJK SC"/>
        <family val="2"/>
      </rPr>
      <t xml:space="preserve">倍。成長</t>
    </r>
    <r>
      <rPr>
        <i val="true"/>
        <sz val="9"/>
        <color rgb="FF595959"/>
        <rFont val="Arial"/>
        <family val="0"/>
        <charset val="1"/>
      </rPr>
      <t xml:space="preserve">50%</t>
    </r>
    <r>
      <rPr>
        <i val="true"/>
        <sz val="9"/>
        <color rgb="FF595959"/>
        <rFont val="Noto Sans CJK SC"/>
        <family val="2"/>
      </rPr>
      <t xml:space="preserve">・利益率</t>
    </r>
    <r>
      <rPr>
        <i val="true"/>
        <sz val="9"/>
        <color rgb="FF595959"/>
        <rFont val="Arial"/>
        <family val="0"/>
        <charset val="1"/>
      </rPr>
      <t xml:space="preserve">60%</t>
    </r>
    <r>
      <rPr>
        <i val="true"/>
        <sz val="9"/>
        <color rgb="FF595959"/>
        <rFont val="Noto Sans CJK SC"/>
        <family val="2"/>
      </rPr>
      <t xml:space="preserve">を反映して上乗せ</t>
    </r>
  </si>
  <si>
    <r>
      <rPr>
        <b val="true"/>
        <sz val="10"/>
        <rFont val="Arial"/>
        <family val="0"/>
        <charset val="1"/>
      </rPr>
      <t xml:space="preserve">Starlink </t>
    </r>
    <r>
      <rPr>
        <b val="true"/>
        <sz val="10"/>
        <rFont val="Noto Sans CJK SC"/>
        <family val="2"/>
      </rPr>
      <t xml:space="preserve">評価額</t>
    </r>
  </si>
  <si>
    <r>
      <rPr>
        <b val="true"/>
        <sz val="10"/>
        <rFont val="Noto Sans CJK SC"/>
        <family val="2"/>
      </rPr>
      <t xml:space="preserve">■ 打上げ </t>
    </r>
    <r>
      <rPr>
        <b val="true"/>
        <sz val="10"/>
        <rFont val="Arial"/>
        <family val="0"/>
        <charset val="1"/>
      </rPr>
      <t xml:space="preserve">(Space)</t>
    </r>
  </si>
  <si>
    <t xml:space="preserve">評価額</t>
  </si>
  <si>
    <r>
      <rPr>
        <i val="true"/>
        <sz val="9"/>
        <color rgb="FF595959"/>
        <rFont val="Noto Sans CJK SC"/>
        <family val="2"/>
      </rPr>
      <t xml:space="preserve">赤字のため倍率が使えず直接入力。強気</t>
    </r>
    <r>
      <rPr>
        <i val="true"/>
        <sz val="9"/>
        <color rgb="FF595959"/>
        <rFont val="Arial"/>
        <family val="0"/>
        <charset val="1"/>
      </rPr>
      <t xml:space="preserve">=Starship</t>
    </r>
    <r>
      <rPr>
        <i val="true"/>
        <sz val="9"/>
        <color rgb="FF595959"/>
        <rFont val="Noto Sans CJK SC"/>
        <family val="2"/>
      </rPr>
      <t xml:space="preserve">再使用成立</t>
    </r>
  </si>
  <si>
    <t xml:space="preserve">■ 逆算</t>
  </si>
  <si>
    <r>
      <rPr>
        <sz val="10"/>
        <rFont val="Noto Sans CJK SC"/>
        <family val="2"/>
      </rPr>
      <t xml:space="preserve">企業価値 </t>
    </r>
    <r>
      <rPr>
        <sz val="10"/>
        <rFont val="Arial"/>
        <family val="0"/>
        <charset val="1"/>
      </rPr>
      <t xml:space="preserve">(EV)</t>
    </r>
  </si>
  <si>
    <t xml:space="preserve">− Starlink</t>
  </si>
  <si>
    <t xml:space="preserve">− 打上げ</t>
  </si>
  <si>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部門への残余</t>
    </r>
  </si>
  <si>
    <t xml:space="preserve">★ この幅が狭ければ「残りかす」ではなく実体のある数字と言える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</si>
  <si>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部門 </t>
    </r>
    <r>
      <rPr>
        <sz val="10"/>
        <rFont val="Arial"/>
        <family val="0"/>
        <charset val="1"/>
      </rPr>
      <t xml:space="preserve">EV/</t>
    </r>
    <r>
      <rPr>
        <sz val="10"/>
        <rFont val="Noto Sans CJK SC"/>
        <family val="2"/>
      </rPr>
      <t xml:space="preserve">売上</t>
    </r>
  </si>
  <si>
    <r>
      <rPr>
        <b val="true"/>
        <sz val="10"/>
        <rFont val="Noto Sans CJK SC"/>
        <family val="2"/>
      </rPr>
      <t xml:space="preserve">残余の幅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強気ケース − 弱気ケース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</si>
  <si>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幅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残余中心値</t>
    </r>
  </si>
  <si>
    <r>
      <rPr>
        <i val="true"/>
        <sz val="9"/>
        <color rgb="FF595959"/>
        <rFont val="Arial"/>
        <family val="0"/>
        <charset val="1"/>
      </rPr>
      <t xml:space="preserve">30%</t>
    </r>
    <r>
      <rPr>
        <i val="true"/>
        <sz val="9"/>
        <color rgb="FF595959"/>
        <rFont val="Noto Sans CJK SC"/>
        <family val="2"/>
      </rPr>
      <t xml:space="preserve">以下なら残余は頑健と判断してよい</t>
    </r>
  </si>
  <si>
    <r>
      <rPr>
        <b val="true"/>
        <sz val="13"/>
        <rFont val="Noto Sans CJK SC"/>
        <family val="2"/>
      </rPr>
      <t xml:space="preserve">逆</t>
    </r>
    <r>
      <rPr>
        <b val="true"/>
        <sz val="13"/>
        <rFont val="Arial"/>
        <family val="0"/>
        <charset val="1"/>
      </rPr>
      <t xml:space="preserve">DCF — </t>
    </r>
    <r>
      <rPr>
        <b val="true"/>
        <sz val="13"/>
        <rFont val="Noto Sans CJK SC"/>
        <family val="2"/>
      </rPr>
      <t xml:space="preserve">株価が要求する成長率</t>
    </r>
  </si>
  <si>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</rPr>
      <t xml:space="preserve">部門の残余を正当化するために必要な将来売上を逆算する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</si>
  <si>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部門への残余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基本ケース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</si>
  <si>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部門 現在売上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年換算</t>
    </r>
    <r>
      <rPr>
        <sz val="10"/>
        <rFont val="Arial"/>
        <family val="0"/>
        <charset val="1"/>
      </rPr>
      <t xml:space="preserve">)</t>
    </r>
  </si>
  <si>
    <t xml:space="preserve">予測年数</t>
  </si>
  <si>
    <r>
      <rPr>
        <i val="true"/>
        <sz val="9"/>
        <color rgb="FF595959"/>
        <rFont val="Arial"/>
        <family val="0"/>
        <charset val="1"/>
      </rPr>
      <t xml:space="preserve">2031</t>
    </r>
    <r>
      <rPr>
        <i val="true"/>
        <sz val="9"/>
        <color rgb="FF595959"/>
        <rFont val="Noto Sans CJK SC"/>
        <family val="2"/>
      </rPr>
      <t xml:space="preserve">年まで</t>
    </r>
  </si>
  <si>
    <r>
      <rPr>
        <b val="true"/>
        <sz val="10"/>
        <rFont val="Noto Sans CJK SC"/>
        <family val="2"/>
      </rPr>
      <t xml:space="preserve">■ 必要な</t>
    </r>
    <r>
      <rPr>
        <b val="true"/>
        <sz val="10"/>
        <rFont val="Arial"/>
        <family val="0"/>
        <charset val="1"/>
      </rPr>
      <t xml:space="preserve">2031</t>
    </r>
    <r>
      <rPr>
        <b val="true"/>
        <sz val="10"/>
        <rFont val="Noto Sans CJK SC"/>
        <family val="2"/>
      </rPr>
      <t xml:space="preserve">年売上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十億ドル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</si>
  <si>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割引率 ＼ 出口</t>
    </r>
    <r>
      <rPr>
        <b val="true"/>
        <sz val="10"/>
        <rFont val="Arial"/>
        <family val="0"/>
        <charset val="1"/>
      </rPr>
      <t xml:space="preserve">EV/</t>
    </r>
    <r>
      <rPr>
        <b val="true"/>
        <sz val="10"/>
        <rFont val="Noto Sans CJK SC"/>
        <family val="2"/>
      </rPr>
      <t xml:space="preserve">売上</t>
    </r>
  </si>
  <si>
    <t xml:space="preserve">残余を将来価値に割り戻し、出口倍率で割って必要売上を出す</t>
  </si>
  <si>
    <r>
      <rPr>
        <b val="true"/>
        <sz val="10"/>
        <rFont val="Noto Sans CJK SC"/>
        <family val="2"/>
      </rPr>
      <t xml:space="preserve">■ 必要な年率成長率 </t>
    </r>
    <r>
      <rPr>
        <b val="true"/>
        <sz val="10"/>
        <rFont val="Arial"/>
        <family val="0"/>
        <charset val="1"/>
      </rPr>
      <t xml:space="preserve">(CAGR)</t>
    </r>
  </si>
  <si>
    <r>
      <rPr>
        <i val="true"/>
        <sz val="9"/>
        <color rgb="FF595959"/>
        <rFont val="Arial"/>
        <family val="0"/>
        <charset val="1"/>
      </rPr>
      <t xml:space="preserve">★ 9</t>
    </r>
    <r>
      <rPr>
        <i val="true"/>
        <sz val="9"/>
        <color rgb="FF595959"/>
        <rFont val="Noto Sans CJK SC"/>
        <family val="2"/>
      </rPr>
      <t xml:space="preserve">通りすべてで高水準なら、前提の問題ではなく株価の問題</t>
    </r>
  </si>
  <si>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年後の目標株価 — 感応度表</t>
    </r>
  </si>
  <si>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</rPr>
      <t xml:space="preserve">部門の「売上」と「倍率」の組み合わせで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株価値を出す</t>
    </r>
  </si>
  <si>
    <r>
      <rPr>
        <sz val="10"/>
        <rFont val="Arial"/>
        <family val="0"/>
        <charset val="1"/>
      </rPr>
      <t xml:space="preserve">Starlink </t>
    </r>
    <r>
      <rPr>
        <sz val="10"/>
        <rFont val="Noto Sans CJK SC"/>
        <family val="2"/>
      </rPr>
      <t xml:space="preserve">評価額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基本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</si>
  <si>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打上げ 評価額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基本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</si>
  <si>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年後のネットキャッシュ</t>
    </r>
  </si>
  <si>
    <r>
      <rPr>
        <i val="true"/>
        <sz val="9"/>
        <color rgb="FF595959"/>
        <rFont val="Noto Sans CJK SC"/>
        <family val="2"/>
      </rPr>
      <t xml:space="preserve">現在</t>
    </r>
    <r>
      <rPr>
        <i val="true"/>
        <sz val="9"/>
        <color rgb="FF595959"/>
        <rFont val="Arial"/>
        <family val="0"/>
        <charset val="1"/>
      </rPr>
      <t xml:space="preserve">606</t>
    </r>
    <r>
      <rPr>
        <i val="true"/>
        <sz val="9"/>
        <color rgb="FF595959"/>
        <rFont val="Noto Sans CJK SC"/>
        <family val="2"/>
      </rPr>
      <t xml:space="preserve">億ドル。今の</t>
    </r>
    <r>
      <rPr>
        <i val="true"/>
        <sz val="9"/>
        <color rgb="FF595959"/>
        <rFont val="Arial"/>
        <family val="0"/>
        <charset val="1"/>
      </rPr>
      <t xml:space="preserve">FCF</t>
    </r>
    <r>
      <rPr>
        <i val="true"/>
        <sz val="9"/>
        <color rgb="FF595959"/>
        <rFont val="Noto Sans CJK SC"/>
        <family val="2"/>
      </rPr>
      <t xml:space="preserve">ペースで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年後にほぼゼロと想定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</si>
  <si>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年後の株式数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百万株</t>
    </r>
    <r>
      <rPr>
        <sz val="10"/>
        <rFont val="Arial"/>
        <family val="0"/>
        <charset val="1"/>
      </rPr>
      <t xml:space="preserve">)</t>
    </r>
  </si>
  <si>
    <t xml:space="preserve">株式報酬による希薄化を織り込む</t>
  </si>
  <si>
    <r>
      <rPr>
        <b val="true"/>
        <sz val="10"/>
        <rFont val="Arial"/>
        <family val="0"/>
        <charset val="1"/>
      </rPr>
      <t xml:space="preserve">■ 1</t>
    </r>
    <r>
      <rPr>
        <b val="true"/>
        <sz val="10"/>
        <rFont val="Noto Sans CJK SC"/>
        <family val="2"/>
      </rPr>
      <t xml:space="preserve">株価値 </t>
    </r>
    <r>
      <rPr>
        <b val="true"/>
        <sz val="10"/>
        <rFont val="Arial"/>
        <family val="0"/>
        <charset val="1"/>
      </rPr>
      <t xml:space="preserve">($)</t>
    </r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</si>
  <si>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売上</t>
    </r>
    <r>
      <rPr>
        <b val="true"/>
        <sz val="10"/>
        <rFont val="Arial"/>
        <family val="0"/>
        <charset val="1"/>
      </rPr>
      <t xml:space="preserve">(NTM) </t>
    </r>
    <r>
      <rPr>
        <b val="true"/>
        <sz val="10"/>
        <rFont val="Noto Sans CJK SC"/>
        <family val="2"/>
      </rPr>
      <t xml:space="preserve">＼ 倍率</t>
    </r>
  </si>
  <si>
    <r>
      <rPr>
        <i val="true"/>
        <sz val="9"/>
        <color rgb="FF595959"/>
        <rFont val="Noto Sans CJK SC"/>
        <family val="2"/>
      </rPr>
      <t xml:space="preserve">弱気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一回性で頭打ち／基本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減速しつつ成長／強気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契約積み増し</t>
    </r>
  </si>
  <si>
    <r>
      <rPr>
        <sz val="10"/>
        <rFont val="Noto Sans CJK SC"/>
        <family val="2"/>
      </rPr>
      <t xml:space="preserve">現在値 </t>
    </r>
    <r>
      <rPr>
        <sz val="10"/>
        <rFont val="Arial"/>
        <family val="0"/>
        <charset val="1"/>
      </rPr>
      <t xml:space="preserve">($)</t>
    </r>
  </si>
  <si>
    <t xml:space="preserve">現在値を維持するのに必要な倍率</t>
  </si>
  <si>
    <t xml:space="preserve">★ 基本ケースの売上でこの倍率を維持できるかが論点</t>
  </si>
  <si>
    <t xml:space="preserve">感応度分析 — どの変数が株価を動かすか</t>
  </si>
  <si>
    <r>
      <rPr>
        <i val="true"/>
        <sz val="9"/>
        <color rgb="FF595959"/>
        <rFont val="Noto Sans CJK SC"/>
        <family val="2"/>
      </rPr>
      <t xml:space="preserve">各変数を単独で動かしたときの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株価値への影響。これがドライバー特定の根拠になる</t>
    </r>
  </si>
  <si>
    <r>
      <rPr>
        <b val="true"/>
        <sz val="10"/>
        <rFont val="Noto Sans CJK SC"/>
        <family val="2"/>
      </rPr>
      <t xml:space="preserve">基準ケースの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株価値</t>
    </r>
  </si>
  <si>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</rPr>
      <t xml:space="preserve">売上</t>
    </r>
    <r>
      <rPr>
        <i val="true"/>
        <sz val="9"/>
        <color rgb="FF595959"/>
        <rFont val="Arial"/>
        <family val="0"/>
        <charset val="1"/>
      </rPr>
      <t xml:space="preserve">14.4 × </t>
    </r>
    <r>
      <rPr>
        <i val="true"/>
        <sz val="9"/>
        <color rgb="FF595959"/>
        <rFont val="Noto Sans CJK SC"/>
        <family val="2"/>
      </rPr>
      <t xml:space="preserve">倍率</t>
    </r>
    <r>
      <rPr>
        <i val="true"/>
        <sz val="9"/>
        <color rgb="FF595959"/>
        <rFont val="Arial"/>
        <family val="0"/>
        <charset val="1"/>
      </rPr>
      <t xml:space="preserve">80</t>
    </r>
    <r>
      <rPr>
        <i val="true"/>
        <sz val="9"/>
        <color rgb="FF595959"/>
        <rFont val="Noto Sans CJK SC"/>
        <family val="2"/>
      </rPr>
      <t xml:space="preserve">倍</t>
    </r>
  </si>
  <si>
    <t xml:space="preserve">変数</t>
  </si>
  <si>
    <t xml:space="preserve">変更後の値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</si>
  <si>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株価値</t>
    </r>
  </si>
  <si>
    <t xml:space="preserve">影響額</t>
  </si>
  <si>
    <t xml:space="preserve">感応度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</si>
  <si>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倍率 </t>
    </r>
    <r>
      <rPr>
        <sz val="10"/>
        <rFont val="Arial"/>
        <family val="0"/>
        <charset val="1"/>
      </rPr>
      <t xml:space="preserve">80x → 60x</t>
    </r>
  </si>
  <si>
    <t xml:space="preserve">60x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</si>
  <si>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売上 </t>
    </r>
    <r>
      <rPr>
        <sz val="10"/>
        <rFont val="Arial"/>
        <family val="0"/>
        <charset val="1"/>
      </rPr>
      <t xml:space="preserve">14.4 → 10.0</t>
    </r>
  </si>
  <si>
    <t xml:space="preserve">$10.0</t>
  </si>
  <si>
    <r>
      <rPr>
        <sz val="10"/>
        <rFont val="Arial"/>
        <family val="0"/>
        <charset val="1"/>
      </rPr>
      <t xml:space="preserve">Starlink</t>
    </r>
    <r>
      <rPr>
        <sz val="10"/>
        <rFont val="Noto Sans CJK SC"/>
        <family val="2"/>
      </rPr>
      <t xml:space="preserve">倍率 </t>
    </r>
    <r>
      <rPr>
        <sz val="10"/>
        <rFont val="Arial"/>
        <family val="0"/>
        <charset val="1"/>
      </rPr>
      <t xml:space="preserve">18x → 12x</t>
    </r>
  </si>
  <si>
    <t xml:space="preserve">12x</t>
  </si>
  <si>
    <r>
      <rPr>
        <sz val="10"/>
        <rFont val="Arial"/>
        <family val="0"/>
        <charset val="1"/>
      </rPr>
      <t xml:space="preserve">Starlink</t>
    </r>
    <r>
      <rPr>
        <sz val="10"/>
        <rFont val="Noto Sans CJK SC"/>
        <family val="2"/>
      </rPr>
      <t xml:space="preserve">売上 </t>
    </r>
    <r>
      <rPr>
        <sz val="10"/>
        <rFont val="Arial"/>
        <family val="0"/>
        <charset val="1"/>
      </rPr>
      <t xml:space="preserve">22 → 19</t>
    </r>
  </si>
  <si>
    <t xml:space="preserve">$19.0</t>
  </si>
  <si>
    <r>
      <rPr>
        <sz val="10"/>
        <rFont val="Noto Sans CJK SC"/>
        <family val="2"/>
      </rPr>
      <t xml:space="preserve">打上げ </t>
    </r>
    <r>
      <rPr>
        <sz val="10"/>
        <rFont val="Arial"/>
        <family val="0"/>
        <charset val="1"/>
      </rPr>
      <t xml:space="preserve">30 → 0</t>
    </r>
  </si>
  <si>
    <t xml:space="preserve">$0</t>
  </si>
  <si>
    <r>
      <rPr>
        <sz val="10"/>
        <rFont val="Noto Sans CJK SC"/>
        <family val="2"/>
      </rPr>
      <t xml:space="preserve">ネットキャッシュ </t>
    </r>
    <r>
      <rPr>
        <sz val="10"/>
        <rFont val="Arial"/>
        <family val="0"/>
        <charset val="1"/>
      </rPr>
      <t xml:space="preserve">0 → -20</t>
    </r>
  </si>
  <si>
    <t xml:space="preserve">-$20</t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</si>
  <si>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部門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変数の影響合計</t>
    </r>
  </si>
  <si>
    <r>
      <rPr>
        <b val="true"/>
        <sz val="10"/>
        <rFont val="Noto Sans CJK SC"/>
        <family val="2"/>
      </rPr>
      <t xml:space="preserve">その他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変数の影響合計</t>
    </r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</si>
  <si>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部門が占める割合</t>
    </r>
  </si>
  <si>
    <r>
      <rPr>
        <i val="true"/>
        <sz val="9"/>
        <color rgb="FF595959"/>
        <rFont val="Noto Sans CJK SC"/>
        <family val="2"/>
      </rPr>
      <t xml:space="preserve">★ ここが高いほど「</t>
    </r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</rPr>
      <t xml:space="preserve">がキードライバー」と定量的に言える</t>
    </r>
  </si>
  <si>
    <t xml:space="preserve">【読み方】</t>
  </si>
  <si>
    <t xml:space="preserve">・影響額の大きい変数がキードライバー。主観ではなく計算で決まる</t>
  </si>
  <si>
    <r>
      <rPr>
        <i val="true"/>
        <sz val="9"/>
        <color rgb="FF595959"/>
        <rFont val="Noto Sans CJK SC"/>
        <family val="2"/>
      </rPr>
      <t xml:space="preserve">・</t>
    </r>
    <r>
      <rPr>
        <i val="true"/>
        <sz val="9"/>
        <color rgb="FF595959"/>
        <rFont val="Arial"/>
        <family val="0"/>
        <charset val="1"/>
      </rPr>
      <t xml:space="preserve">Starlink</t>
    </r>
    <r>
      <rPr>
        <i val="true"/>
        <sz val="9"/>
        <color rgb="FF595959"/>
        <rFont val="Noto Sans CJK SC"/>
        <family val="2"/>
      </rPr>
      <t xml:space="preserve">は事業として重要でも、株価への感応度は小さい</t>
    </r>
  </si>
  <si>
    <r>
      <rPr>
        <i val="true"/>
        <sz val="9"/>
        <color rgb="FF595959"/>
        <rFont val="Noto Sans CJK SC"/>
        <family val="2"/>
      </rPr>
      <t xml:space="preserve">・</t>
    </r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Noto Sans CJK SC"/>
        <family val="2"/>
      </rPr>
      <t xml:space="preserve">倍率は会社が制御できない変数（市場の空気で決まる）</t>
    </r>
  </si>
  <si>
    <t xml:space="preserve">検証条件 — 仮説の白黒をつける指標</t>
  </si>
  <si>
    <t xml:space="preserve">分析の前に判定基準を決めておく。後から都合よく解釈するのを防ぐため</t>
  </si>
  <si>
    <t xml:space="preserve">時期</t>
  </si>
  <si>
    <t xml:space="preserve">指標</t>
  </si>
  <si>
    <t xml:space="preserve">閾値</t>
  </si>
  <si>
    <t xml:space="preserve">判定</t>
  </si>
  <si>
    <t xml:space="preserve">2026/11/3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</si>
  <si>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部門 四半期売上</t>
    </r>
  </si>
  <si>
    <r>
      <rPr>
        <sz val="10"/>
        <rFont val="Arial"/>
        <family val="0"/>
        <charset val="1"/>
      </rPr>
      <t xml:space="preserve">$2.56B </t>
    </r>
    <r>
      <rPr>
        <sz val="10"/>
        <rFont val="Noto Sans CJK SC"/>
        <family val="2"/>
      </rPr>
      <t xml:space="preserve">未満</t>
    </r>
  </si>
  <si>
    <t xml:space="preserve">弱気シナリオ確定。一回性だった</t>
  </si>
  <si>
    <t xml:space="preserve">$3.0-3.5B</t>
  </si>
  <si>
    <t xml:space="preserve">基本シナリオ通り</t>
  </si>
  <si>
    <r>
      <rPr>
        <sz val="10"/>
        <rFont val="Arial"/>
        <family val="0"/>
        <charset val="1"/>
      </rPr>
      <t xml:space="preserve">$4.5B </t>
    </r>
    <r>
      <rPr>
        <sz val="10"/>
        <rFont val="Noto Sans CJK SC"/>
        <family val="2"/>
      </rPr>
      <t xml:space="preserve">超</t>
    </r>
  </si>
  <si>
    <t xml:space="preserve">モデルが低すぎる。全面見直し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</si>
  <si>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部門 設備投資</t>
    </r>
  </si>
  <si>
    <r>
      <rPr>
        <sz val="10"/>
        <rFont val="Arial"/>
        <family val="0"/>
        <charset val="1"/>
      </rPr>
      <t xml:space="preserve">$15.8B </t>
    </r>
    <r>
      <rPr>
        <sz val="10"/>
        <rFont val="Noto Sans CJK SC"/>
        <family val="2"/>
      </rPr>
      <t xml:space="preserve">未満</t>
    </r>
  </si>
  <si>
    <r>
      <rPr>
        <sz val="10"/>
        <rFont val="Noto Sans CJK SC"/>
        <family val="2"/>
      </rPr>
      <t xml:space="preserve">ピーク到達。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改善の道筋</t>
    </r>
  </si>
  <si>
    <t xml:space="preserve">新規クラウド契約</t>
  </si>
  <si>
    <t xml:space="preserve">公表あり</t>
  </si>
  <si>
    <t xml:space="preserve">倍率維持の根拠。強気へ</t>
  </si>
  <si>
    <t xml:space="preserve">手元資金</t>
  </si>
  <si>
    <r>
      <rPr>
        <sz val="10"/>
        <rFont val="Arial"/>
        <family val="0"/>
        <charset val="1"/>
      </rPr>
      <t xml:space="preserve">$85B </t>
    </r>
    <r>
      <rPr>
        <sz val="10"/>
        <rFont val="Noto Sans CJK SC"/>
        <family val="2"/>
      </rPr>
      <t xml:space="preserve">未満</t>
    </r>
  </si>
  <si>
    <t xml:space="preserve">燃焼加速</t>
  </si>
  <si>
    <t xml:space="preserve">2026/9/9</t>
  </si>
  <si>
    <t xml:space="preserve">ロックアップ解除</t>
  </si>
  <si>
    <r>
      <rPr>
        <sz val="10"/>
        <rFont val="Noto Sans CJK SC"/>
        <family val="2"/>
      </rPr>
      <t xml:space="preserve">最大</t>
    </r>
    <r>
      <rPr>
        <sz val="10"/>
        <rFont val="Arial"/>
        <family val="0"/>
        <charset val="1"/>
      </rPr>
      <t xml:space="preserve">3.19</t>
    </r>
    <r>
      <rPr>
        <sz val="10"/>
        <rFont val="Noto Sans CJK SC"/>
        <family val="2"/>
      </rPr>
      <t xml:space="preserve">億株</t>
    </r>
  </si>
  <si>
    <t xml:space="preserve">需給の重し</t>
  </si>
  <si>
    <t xml:space="preserve">2026/12/8</t>
  </si>
  <si>
    <t xml:space="preserve">最大規模</t>
  </si>
  <si>
    <t xml:space="preserve">最終関門</t>
  </si>
  <si>
    <t xml:space="preserve">2027/6</t>
  </si>
  <si>
    <r>
      <rPr>
        <sz val="10"/>
        <rFont val="Arial"/>
        <family val="0"/>
        <charset val="1"/>
      </rPr>
      <t xml:space="preserve">S&amp;P500</t>
    </r>
    <r>
      <rPr>
        <sz val="10"/>
        <rFont val="Noto Sans CJK SC"/>
        <family val="2"/>
      </rPr>
      <t xml:space="preserve">採用</t>
    </r>
  </si>
  <si>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黒字が前提</t>
    </r>
  </si>
  <si>
    <r>
      <rPr>
        <sz val="10"/>
        <rFont val="Noto Sans CJK SC"/>
        <family val="2"/>
      </rPr>
      <t xml:space="preserve">実現なら約</t>
    </r>
    <r>
      <rPr>
        <sz val="10"/>
        <rFont val="Arial"/>
        <family val="0"/>
        <charset val="1"/>
      </rPr>
      <t xml:space="preserve">$14B</t>
    </r>
    <r>
      <rPr>
        <sz val="10"/>
        <rFont val="Noto Sans CJK SC"/>
        <family val="2"/>
      </rPr>
      <t xml:space="preserve">の資金流入</t>
    </r>
  </si>
  <si>
    <t xml:space="preserve">【出典】</t>
  </si>
  <si>
    <r>
      <rPr>
        <i val="true"/>
        <sz val="9"/>
        <color rgb="FF595959"/>
        <rFont val="Noto Sans CJK SC"/>
        <family val="2"/>
      </rPr>
      <t xml:space="preserve">財務数値</t>
    </r>
    <r>
      <rPr>
        <i val="true"/>
        <sz val="9"/>
        <color rgb="FF595959"/>
        <rFont val="Arial"/>
        <family val="0"/>
        <charset val="1"/>
      </rPr>
      <t xml:space="preserve">: SpaceX 2026</t>
    </r>
    <r>
      <rPr>
        <i val="true"/>
        <sz val="9"/>
        <color rgb="FF595959"/>
        <rFont val="Noto Sans CJK SC"/>
        <family val="2"/>
      </rPr>
      <t xml:space="preserve">年第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四半期決算 </t>
    </r>
    <r>
      <rPr>
        <i val="true"/>
        <sz val="9"/>
        <color rgb="FF595959"/>
        <rFont val="Arial"/>
        <family val="0"/>
        <charset val="1"/>
      </rPr>
      <t xml:space="preserve">(2026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月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日発表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</si>
  <si>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株価・時価総額</t>
    </r>
    <r>
      <rPr>
        <i val="true"/>
        <sz val="9"/>
        <color rgb="FF595959"/>
        <rFont val="Arial"/>
        <family val="0"/>
        <charset val="1"/>
      </rPr>
      <t xml:space="preserve">: 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月時点の市場データ</t>
    </r>
  </si>
  <si>
    <r>
      <rPr>
        <i val="true"/>
        <sz val="9"/>
        <color rgb="FF595959"/>
        <rFont val="Noto Sans CJK SC"/>
        <family val="2"/>
      </rPr>
      <t xml:space="preserve">その他の前提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ユーザーとの議論に基づく分析上の仮定</t>
    </r>
  </si>
  <si>
    <t xml:space="preserve">※ 本モデルは分析の枠組みであり、投資助言ではありません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</si>
</sst>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"/>
    <numFmt numFmtId="167" formatCode="\$#,##0.0;&quot;($&quot;#,##0.0\);\-"/>
    <numFmt numFmtId="168" formatCode="#,##0.0"/>
    <numFmt numFmtId="169" formatCode="\$#,##0"/>
    <numFmt numFmtId="170" formatCode="\$#,##0;&quot;($&quot;#,##0\);\-"/>
    <numFmt numFmtId="171" formatCode="0.0\x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4" t="s">
        <v>4</v>
      </c>
      <c r="C6" s="5" t="n">
        <v>134</v>
      </c>
      <c r="E6" s="6" t="s">
        <v>5</v>
      </c>
    </row>
    <row r="7" customFormat="false" ht="15" hidden="false" customHeight="false" outlineLevel="0" collapsed="false">
      <c r="B7" s="7" t="s">
        <v>6</v>
      </c>
      <c r="C7" s="8" t="n">
        <v>7607</v>
      </c>
      <c r="E7" s="2" t="s">
        <v>7</v>
      </c>
    </row>
    <row r="8" customFormat="false" ht="15" hidden="false" customHeight="false" outlineLevel="0" collapsed="false">
      <c r="B8" s="7" t="s">
        <v>8</v>
      </c>
      <c r="C8" s="8" t="n">
        <v>5569</v>
      </c>
      <c r="E8" s="2" t="s">
        <v>7</v>
      </c>
    </row>
    <row r="9" customFormat="false" ht="15" hidden="false" customHeight="false" outlineLevel="0" collapsed="false">
      <c r="B9" s="7" t="s">
        <v>9</v>
      </c>
      <c r="C9" s="8" t="n">
        <v>389</v>
      </c>
      <c r="E9" s="6" t="s">
        <v>10</v>
      </c>
    </row>
    <row r="10" customFormat="false" ht="15" hidden="false" customHeight="false" outlineLevel="0" collapsed="false">
      <c r="B10" s="3" t="s">
        <v>11</v>
      </c>
      <c r="C10" s="9" t="n">
        <f aca="false">C7+C8+C9</f>
        <v>13565</v>
      </c>
    </row>
    <row r="12" customFormat="false" ht="15" hidden="false" customHeight="false" outlineLevel="0" collapsed="false">
      <c r="B12" s="3" t="s">
        <v>12</v>
      </c>
    </row>
    <row r="13" customFormat="false" ht="15" hidden="false" customHeight="false" outlineLevel="0" collapsed="false">
      <c r="B13" s="4" t="s">
        <v>13</v>
      </c>
      <c r="C13" s="10" t="n">
        <v>93.522</v>
      </c>
      <c r="E13" s="2" t="s">
        <v>14</v>
      </c>
    </row>
    <row r="14" customFormat="false" ht="15" hidden="false" customHeight="false" outlineLevel="0" collapsed="false">
      <c r="B14" s="4" t="s">
        <v>15</v>
      </c>
      <c r="C14" s="10" t="n">
        <v>6.487</v>
      </c>
      <c r="E14" s="2" t="s">
        <v>14</v>
      </c>
    </row>
    <row r="15" customFormat="false" ht="15" hidden="false" customHeight="false" outlineLevel="0" collapsed="false">
      <c r="B15" s="4" t="s">
        <v>16</v>
      </c>
      <c r="C15" s="10" t="n">
        <v>2.525</v>
      </c>
      <c r="E15" s="2" t="s">
        <v>17</v>
      </c>
    </row>
    <row r="16" customFormat="false" ht="15" hidden="false" customHeight="false" outlineLevel="0" collapsed="false">
      <c r="B16" s="4" t="s">
        <v>18</v>
      </c>
      <c r="C16" s="10" t="n">
        <v>36.839</v>
      </c>
      <c r="E16" s="2" t="s">
        <v>19</v>
      </c>
    </row>
    <row r="17" customFormat="false" ht="15" hidden="false" customHeight="false" outlineLevel="0" collapsed="false">
      <c r="B17" s="3" t="s">
        <v>20</v>
      </c>
      <c r="C17" s="11" t="n">
        <f aca="false">C13+C14-C15-C16</f>
        <v>60.645</v>
      </c>
    </row>
    <row r="19" customFormat="false" ht="15" hidden="false" customHeight="false" outlineLevel="0" collapsed="false">
      <c r="B19" s="12" t="s">
        <v>21</v>
      </c>
    </row>
    <row r="20" customFormat="false" ht="15" hidden="false" customHeight="false" outlineLevel="0" collapsed="false">
      <c r="B20" s="13" t="s">
        <v>22</v>
      </c>
      <c r="C20" s="13" t="s">
        <v>23</v>
      </c>
      <c r="D20" s="13" t="s">
        <v>24</v>
      </c>
    </row>
    <row r="21" customFormat="false" ht="15" hidden="false" customHeight="false" outlineLevel="0" collapsed="false">
      <c r="B21" s="7" t="s">
        <v>25</v>
      </c>
      <c r="C21" s="10" t="n">
        <v>0.962</v>
      </c>
      <c r="D21" s="14" t="n">
        <f aca="false">C21*4</f>
        <v>3.848</v>
      </c>
      <c r="E21" s="2" t="s">
        <v>26</v>
      </c>
    </row>
    <row r="22" customFormat="false" ht="15" hidden="false" customHeight="false" outlineLevel="0" collapsed="false">
      <c r="B22" s="7" t="s">
        <v>27</v>
      </c>
      <c r="C22" s="10" t="n">
        <v>4.291</v>
      </c>
      <c r="D22" s="14" t="n">
        <f aca="false">C22*4</f>
        <v>17.164</v>
      </c>
    </row>
    <row r="23" customFormat="false" ht="15" hidden="false" customHeight="false" outlineLevel="0" collapsed="false">
      <c r="B23" s="7" t="s">
        <v>28</v>
      </c>
      <c r="C23" s="10" t="n">
        <v>2.561</v>
      </c>
      <c r="D23" s="14" t="n">
        <f aca="false">C23*4</f>
        <v>10.244</v>
      </c>
    </row>
    <row r="24" customFormat="false" ht="15" hidden="false" customHeight="false" outlineLevel="0" collapsed="false">
      <c r="B24" s="7" t="s">
        <v>29</v>
      </c>
      <c r="C24" s="10" t="n">
        <v>-0.205</v>
      </c>
      <c r="D24" s="14" t="n">
        <f aca="false">C24*4</f>
        <v>-0.82</v>
      </c>
    </row>
    <row r="25" customFormat="false" ht="15" hidden="false" customHeight="false" outlineLevel="0" collapsed="false">
      <c r="B25" s="7" t="s">
        <v>30</v>
      </c>
      <c r="C25" s="10" t="n">
        <v>2.597</v>
      </c>
      <c r="D25" s="14" t="n">
        <f aca="false">C25*4</f>
        <v>10.388</v>
      </c>
    </row>
    <row r="26" customFormat="false" ht="15" hidden="false" customHeight="false" outlineLevel="0" collapsed="false">
      <c r="B26" s="7" t="s">
        <v>31</v>
      </c>
      <c r="C26" s="10" t="n">
        <v>1.146</v>
      </c>
      <c r="D26" s="14" t="n">
        <f aca="false">C26*4</f>
        <v>4.584</v>
      </c>
    </row>
    <row r="27" customFormat="false" ht="15" hidden="false" customHeight="false" outlineLevel="0" collapsed="false">
      <c r="B27" s="7" t="s">
        <v>32</v>
      </c>
      <c r="C27" s="10" t="n">
        <v>1.174</v>
      </c>
      <c r="D27" s="14" t="n">
        <f aca="false">C27*4</f>
        <v>4.696</v>
      </c>
    </row>
    <row r="28" customFormat="false" ht="15" hidden="false" customHeight="false" outlineLevel="0" collapsed="false">
      <c r="B28" s="7" t="s">
        <v>33</v>
      </c>
      <c r="C28" s="10" t="n">
        <v>1.367</v>
      </c>
      <c r="D28" s="14" t="n">
        <f aca="false">C28*4</f>
        <v>5.468</v>
      </c>
    </row>
    <row r="29" customFormat="false" ht="15" hidden="false" customHeight="false" outlineLevel="0" collapsed="false">
      <c r="B29" s="7" t="s">
        <v>34</v>
      </c>
      <c r="C29" s="10" t="n">
        <v>15.828</v>
      </c>
      <c r="D29" s="14" t="n">
        <f aca="false">C29*4</f>
        <v>63.312</v>
      </c>
    </row>
    <row r="31" customFormat="false" ht="15" hidden="false" customHeight="false" outlineLevel="0" collapsed="false">
      <c r="B31" s="3" t="s">
        <v>35</v>
      </c>
    </row>
    <row r="32" customFormat="false" ht="15" hidden="false" customHeight="false" outlineLevel="0" collapsed="false">
      <c r="B32" s="7" t="s">
        <v>36</v>
      </c>
      <c r="C32" s="15" t="n">
        <v>12</v>
      </c>
      <c r="E32" s="6" t="s">
        <v>37</v>
      </c>
    </row>
    <row r="33" customFormat="false" ht="15" hidden="false" customHeight="false" outlineLevel="0" collapsed="false">
      <c r="B33" s="7" t="s">
        <v>38</v>
      </c>
      <c r="C33" s="16" t="n">
        <v>66</v>
      </c>
      <c r="E33" s="6" t="s">
        <v>39</v>
      </c>
    </row>
    <row r="34" customFormat="false" ht="15" hidden="false" customHeight="false" outlineLevel="0" collapsed="false">
      <c r="B34" s="7" t="s">
        <v>40</v>
      </c>
      <c r="C34" s="15" t="n">
        <v>1.4</v>
      </c>
      <c r="E34" s="6" t="s">
        <v>41</v>
      </c>
    </row>
    <row r="35" customFormat="false" ht="15" hidden="false" customHeight="false" outlineLevel="0" collapsed="false">
      <c r="B35" s="4" t="s">
        <v>42</v>
      </c>
      <c r="C35" s="10" t="n">
        <v>47.5</v>
      </c>
      <c r="E35" s="2" t="s">
        <v>43</v>
      </c>
    </row>
    <row r="36" customFormat="false" ht="15" hidden="false" customHeight="false" outlineLevel="0" collapsed="false">
      <c r="B36" s="4" t="s">
        <v>44</v>
      </c>
      <c r="C36" s="10" t="n">
        <v>14.1</v>
      </c>
      <c r="E36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5" style="0" width="50"/>
  </cols>
  <sheetData>
    <row r="1" customFormat="false" ht="20.1" hidden="false" customHeight="false" outlineLevel="0" collapsed="false">
      <c r="B1" s="17" t="s">
        <v>46</v>
      </c>
    </row>
    <row r="3" customFormat="false" ht="15" hidden="false" customHeight="false" outlineLevel="0" collapsed="false">
      <c r="B3" s="4" t="s">
        <v>4</v>
      </c>
      <c r="C3" s="18" t="n">
        <f aca="false">1_前提!C6</f>
        <v>134</v>
      </c>
    </row>
    <row r="4" customFormat="false" ht="15" hidden="false" customHeight="false" outlineLevel="0" collapsed="false">
      <c r="B4" s="4" t="s">
        <v>47</v>
      </c>
      <c r="C4" s="19" t="n">
        <f aca="false">1_前提!$C$10</f>
        <v>13565</v>
      </c>
    </row>
    <row r="5" customFormat="false" ht="15" hidden="false" customHeight="false" outlineLevel="0" collapsed="false">
      <c r="B5" s="3" t="s">
        <v>48</v>
      </c>
      <c r="C5" s="20" t="n">
        <f aca="false">C3*C4/1000</f>
        <v>1817.71</v>
      </c>
    </row>
    <row r="6" customFormat="false" ht="15" hidden="false" customHeight="false" outlineLevel="0" collapsed="false">
      <c r="B6" s="4" t="s">
        <v>49</v>
      </c>
      <c r="C6" s="21" t="n">
        <f aca="false">1_前提!C15+1_前提!C16</f>
        <v>39.364</v>
      </c>
    </row>
    <row r="7" customFormat="false" ht="15" hidden="false" customHeight="false" outlineLevel="0" collapsed="false">
      <c r="B7" s="4" t="s">
        <v>50</v>
      </c>
      <c r="C7" s="21" t="n">
        <f aca="false">-(1_前提!C13+1_前提!C14)</f>
        <v>-100.009</v>
      </c>
    </row>
    <row r="8" customFormat="false" ht="15" hidden="false" customHeight="false" outlineLevel="0" collapsed="false">
      <c r="B8" s="3" t="s">
        <v>51</v>
      </c>
      <c r="C8" s="22" t="n">
        <f aca="false">C5+C6+C7</f>
        <v>1757.065</v>
      </c>
      <c r="E8" s="2" t="s">
        <v>52</v>
      </c>
    </row>
    <row r="10" customFormat="false" ht="15" hidden="false" customHeight="false" outlineLevel="0" collapsed="false">
      <c r="B10" s="3" t="s">
        <v>53</v>
      </c>
    </row>
    <row r="11" customFormat="false" ht="15" hidden="false" customHeight="false" outlineLevel="0" collapsed="false">
      <c r="B11" s="4" t="s">
        <v>54</v>
      </c>
      <c r="C11" s="21" t="n">
        <f aca="false">(1_前提!C21+1_前提!C22+1_前提!C23)*4</f>
        <v>31.256</v>
      </c>
    </row>
    <row r="12" customFormat="false" ht="15" hidden="false" customHeight="false" outlineLevel="0" collapsed="false">
      <c r="B12" s="7" t="s">
        <v>55</v>
      </c>
      <c r="C12" s="23" t="n">
        <f aca="false">C8/C11</f>
        <v>56.2152866649603</v>
      </c>
    </row>
    <row r="13" customFormat="false" ht="15" hidden="false" customHeight="false" outlineLevel="0" collapsed="false">
      <c r="B13" s="4" t="s">
        <v>56</v>
      </c>
      <c r="C13" s="21" t="n">
        <f aca="false">(1_前提!C24+1_前提!C25+1_前提!C26)*4</f>
        <v>14.152</v>
      </c>
    </row>
    <row r="14" customFormat="false" ht="15" hidden="false" customHeight="false" outlineLevel="0" collapsed="false">
      <c r="B14" s="7" t="s">
        <v>57</v>
      </c>
      <c r="C14" s="23" t="n">
        <f aca="false">C8/C13</f>
        <v>124.156656302996</v>
      </c>
    </row>
    <row r="15" customFormat="false" ht="15" hidden="false" customHeight="false" outlineLevel="0" collapsed="false">
      <c r="B15" s="4" t="s">
        <v>58</v>
      </c>
      <c r="C15" s="24" t="n">
        <f aca="false">(1_前提!C24+1_前提!C25+1_前提!C26-1_前提!C27-1_前提!C28-1_前提!C29)*4</f>
        <v>-59.324</v>
      </c>
      <c r="E15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7" min="7" style="0" width="46"/>
  </cols>
  <sheetData>
    <row r="1" customFormat="false" ht="20.1" hidden="false" customHeight="false" outlineLevel="0" collapsed="false">
      <c r="B1" s="1" t="s">
        <v>60</v>
      </c>
    </row>
    <row r="2" customFormat="false" ht="15" hidden="false" customHeight="false" outlineLevel="0" collapsed="false">
      <c r="B2" s="2" t="s">
        <v>61</v>
      </c>
    </row>
    <row r="4" customFormat="false" ht="15" hidden="false" customHeight="false" outlineLevel="0" collapsed="false">
      <c r="B4" s="13" t="s">
        <v>22</v>
      </c>
      <c r="C4" s="13" t="s">
        <v>62</v>
      </c>
      <c r="D4" s="13" t="s">
        <v>63</v>
      </c>
      <c r="E4" s="13" t="s">
        <v>64</v>
      </c>
    </row>
    <row r="5" customFormat="false" ht="15" hidden="false" customHeight="false" outlineLevel="0" collapsed="false">
      <c r="B5" s="12" t="s">
        <v>65</v>
      </c>
    </row>
    <row r="6" customFormat="false" ht="15" hidden="false" customHeight="false" outlineLevel="0" collapsed="false">
      <c r="B6" s="7" t="s">
        <v>66</v>
      </c>
      <c r="C6" s="10" t="n">
        <v>20</v>
      </c>
      <c r="D6" s="10" t="n">
        <v>22</v>
      </c>
      <c r="E6" s="10" t="n">
        <v>25</v>
      </c>
      <c r="G6" s="2" t="s">
        <v>67</v>
      </c>
    </row>
    <row r="7" customFormat="false" ht="15" hidden="false" customHeight="false" outlineLevel="0" collapsed="false">
      <c r="B7" s="7" t="s">
        <v>68</v>
      </c>
      <c r="C7" s="25" t="n">
        <v>0.575</v>
      </c>
      <c r="D7" s="25" t="n">
        <v>0.605</v>
      </c>
      <c r="E7" s="25" t="n">
        <v>0.625</v>
      </c>
      <c r="G7" s="6" t="s">
        <v>69</v>
      </c>
    </row>
    <row r="8" customFormat="false" ht="15" hidden="false" customHeight="false" outlineLevel="0" collapsed="false">
      <c r="B8" s="7" t="s">
        <v>70</v>
      </c>
      <c r="C8" s="14" t="n">
        <f aca="false">C6*C7</f>
        <v>11.5</v>
      </c>
      <c r="D8" s="14" t="n">
        <f aca="false">D6*D7</f>
        <v>13.31</v>
      </c>
      <c r="E8" s="14" t="n">
        <f aca="false">E6*E7</f>
        <v>15.625</v>
      </c>
    </row>
    <row r="9" customFormat="false" ht="15" hidden="false" customHeight="false" outlineLevel="0" collapsed="false">
      <c r="B9" s="7" t="s">
        <v>71</v>
      </c>
      <c r="C9" s="26" t="n">
        <v>12</v>
      </c>
      <c r="D9" s="26" t="n">
        <v>18</v>
      </c>
      <c r="E9" s="26" t="n">
        <v>28</v>
      </c>
      <c r="G9" s="2" t="s">
        <v>72</v>
      </c>
    </row>
    <row r="10" customFormat="false" ht="15" hidden="false" customHeight="false" outlineLevel="0" collapsed="false">
      <c r="B10" s="12" t="s">
        <v>73</v>
      </c>
      <c r="C10" s="22" t="n">
        <f aca="false">C8*C9</f>
        <v>138</v>
      </c>
      <c r="D10" s="22" t="n">
        <f aca="false">D8*D9</f>
        <v>239.58</v>
      </c>
      <c r="E10" s="22" t="n">
        <f aca="false">E8*E9</f>
        <v>437.5</v>
      </c>
    </row>
    <row r="12" customFormat="false" ht="15" hidden="false" customHeight="false" outlineLevel="0" collapsed="false">
      <c r="B12" s="3" t="s">
        <v>74</v>
      </c>
    </row>
    <row r="13" customFormat="false" ht="15" hidden="false" customHeight="false" outlineLevel="0" collapsed="false">
      <c r="B13" s="4" t="s">
        <v>75</v>
      </c>
      <c r="C13" s="27" t="n">
        <v>-20</v>
      </c>
      <c r="D13" s="27" t="n">
        <v>30</v>
      </c>
      <c r="E13" s="27" t="n">
        <v>100</v>
      </c>
      <c r="G13" s="2" t="s">
        <v>76</v>
      </c>
    </row>
    <row r="15" customFormat="false" ht="15" hidden="false" customHeight="false" outlineLevel="0" collapsed="false">
      <c r="B15" s="3" t="s">
        <v>77</v>
      </c>
    </row>
    <row r="16" customFormat="false" ht="15" hidden="false" customHeight="false" outlineLevel="0" collapsed="false">
      <c r="B16" s="4" t="s">
        <v>78</v>
      </c>
      <c r="C16" s="21" t="n">
        <f aca="false">2_企業価値!$C$8</f>
        <v>1757.065</v>
      </c>
      <c r="D16" s="21" t="n">
        <f aca="false">2_企業価値!$C$8</f>
        <v>1757.065</v>
      </c>
      <c r="E16" s="21" t="n">
        <f aca="false">2_企業価値!$C$8</f>
        <v>1757.065</v>
      </c>
    </row>
    <row r="17" customFormat="false" ht="15" hidden="false" customHeight="false" outlineLevel="0" collapsed="false">
      <c r="B17" s="7" t="s">
        <v>79</v>
      </c>
      <c r="C17" s="24" t="n">
        <f aca="false">-C10</f>
        <v>-138</v>
      </c>
      <c r="D17" s="24" t="n">
        <f aca="false">-D10</f>
        <v>-239.58</v>
      </c>
      <c r="E17" s="24" t="n">
        <f aca="false">-E10</f>
        <v>-437.5</v>
      </c>
    </row>
    <row r="18" customFormat="false" ht="15" hidden="false" customHeight="false" outlineLevel="0" collapsed="false">
      <c r="B18" s="4" t="s">
        <v>80</v>
      </c>
      <c r="C18" s="24" t="n">
        <f aca="false">-C13</f>
        <v>20</v>
      </c>
      <c r="D18" s="24" t="n">
        <f aca="false">-D13</f>
        <v>-30</v>
      </c>
      <c r="E18" s="24" t="n">
        <f aca="false">-E13</f>
        <v>-100</v>
      </c>
    </row>
    <row r="19" customFormat="false" ht="15" hidden="false" customHeight="false" outlineLevel="0" collapsed="false">
      <c r="B19" s="3" t="s">
        <v>81</v>
      </c>
      <c r="C19" s="28" t="n">
        <f aca="false">C16+C17+C18</f>
        <v>1639.065</v>
      </c>
      <c r="D19" s="28" t="n">
        <f aca="false">D16+D17+D18</f>
        <v>1487.485</v>
      </c>
      <c r="E19" s="28" t="n">
        <f aca="false">E16+E17+E18</f>
        <v>1219.565</v>
      </c>
      <c r="G19" s="2" t="s">
        <v>82</v>
      </c>
    </row>
    <row r="20" customFormat="false" ht="15" hidden="false" customHeight="false" outlineLevel="0" collapsed="false">
      <c r="B20" s="7" t="s">
        <v>83</v>
      </c>
      <c r="C20" s="23" t="n">
        <f aca="false">C19/1_前提!$D$23</f>
        <v>160.002440452948</v>
      </c>
      <c r="D20" s="23" t="n">
        <f aca="false">D19/1_前提!$D$23</f>
        <v>145.205486138227</v>
      </c>
      <c r="E20" s="23" t="n">
        <f aca="false">E19/1_前提!$D$23</f>
        <v>119.051639984381</v>
      </c>
    </row>
    <row r="22" customFormat="false" ht="15" hidden="false" customHeight="false" outlineLevel="0" collapsed="false">
      <c r="B22" s="3" t="s">
        <v>84</v>
      </c>
      <c r="C22" s="20" t="n">
        <f aca="false">C19-E19</f>
        <v>419.5</v>
      </c>
    </row>
    <row r="23" customFormat="false" ht="15" hidden="false" customHeight="false" outlineLevel="0" collapsed="false">
      <c r="B23" s="3" t="s">
        <v>85</v>
      </c>
      <c r="C23" s="29" t="n">
        <f aca="false">(C19-E19)/D19</f>
        <v>0.282019650618326</v>
      </c>
      <c r="G23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3"/>
    <col collapsed="false" customWidth="true" hidden="false" outlineLevel="0" max="8" min="8" style="0" width="44"/>
  </cols>
  <sheetData>
    <row r="1" customFormat="false" ht="20.1" hidden="false" customHeight="false" outlineLevel="0" collapsed="false">
      <c r="B1" s="17" t="s">
        <v>87</v>
      </c>
    </row>
    <row r="2" customFormat="false" ht="15" hidden="false" customHeight="false" outlineLevel="0" collapsed="false">
      <c r="B2" s="6" t="s">
        <v>88</v>
      </c>
    </row>
    <row r="4" customFormat="false" ht="15" hidden="false" customHeight="false" outlineLevel="0" collapsed="false">
      <c r="B4" s="7" t="s">
        <v>89</v>
      </c>
      <c r="C4" s="21" t="n">
        <f aca="false">3_SOTP逆算!D19</f>
        <v>1487.485</v>
      </c>
    </row>
    <row r="5" customFormat="false" ht="15" hidden="false" customHeight="false" outlineLevel="0" collapsed="false">
      <c r="B5" s="7" t="s">
        <v>90</v>
      </c>
      <c r="C5" s="30" t="n">
        <f aca="false">1_前提!$D$23</f>
        <v>10.244</v>
      </c>
    </row>
    <row r="6" customFormat="false" ht="15" hidden="false" customHeight="false" outlineLevel="0" collapsed="false">
      <c r="B6" s="4" t="s">
        <v>91</v>
      </c>
      <c r="C6" s="8" t="n">
        <v>5</v>
      </c>
      <c r="H6" s="6" t="s">
        <v>92</v>
      </c>
    </row>
    <row r="8" customFormat="false" ht="15" hidden="false" customHeight="false" outlineLevel="0" collapsed="false">
      <c r="B8" s="3" t="s">
        <v>93</v>
      </c>
    </row>
    <row r="9" customFormat="false" ht="15" hidden="false" customHeight="false" outlineLevel="0" collapsed="false">
      <c r="B9" s="3" t="s">
        <v>94</v>
      </c>
      <c r="C9" s="31" t="n">
        <v>5</v>
      </c>
      <c r="D9" s="31" t="n">
        <v>8</v>
      </c>
      <c r="E9" s="31" t="n">
        <v>12</v>
      </c>
    </row>
    <row r="10" customFormat="false" ht="15" hidden="false" customHeight="false" outlineLevel="0" collapsed="false">
      <c r="B10" s="25" t="n">
        <v>0.1</v>
      </c>
      <c r="C10" s="24" t="n">
        <f aca="false">4_逆DCF!$C$4*(1+$B10)^4_逆DCF!$C$6/C$9</f>
        <v>479.12189347</v>
      </c>
      <c r="D10" s="24" t="n">
        <f aca="false">4_逆DCF!$C$4*(1+$B10)^4_逆DCF!$C$6/D$9</f>
        <v>299.45118341875</v>
      </c>
      <c r="E10" s="24" t="n">
        <f aca="false">4_逆DCF!$C$4*(1+$B10)^4_逆DCF!$C$6/E$9</f>
        <v>199.634122279167</v>
      </c>
      <c r="H10" s="2" t="s">
        <v>95</v>
      </c>
    </row>
    <row r="11" customFormat="false" ht="15" hidden="false" customHeight="false" outlineLevel="0" collapsed="false">
      <c r="B11" s="25" t="n">
        <v>0.12</v>
      </c>
      <c r="C11" s="24" t="n">
        <f aca="false">4_逆DCF!$C$4*(1+$B11)^4_逆DCF!$C$6/C$9</f>
        <v>524.291363726951</v>
      </c>
      <c r="D11" s="24" t="n">
        <f aca="false">4_逆DCF!$C$4*(1+$B11)^4_逆DCF!$C$6/D$9</f>
        <v>327.682102329344</v>
      </c>
      <c r="E11" s="24" t="n">
        <f aca="false">4_逆DCF!$C$4*(1+$B11)^4_逆DCF!$C$6/E$9</f>
        <v>218.454734886229</v>
      </c>
    </row>
    <row r="12" customFormat="false" ht="15" hidden="false" customHeight="false" outlineLevel="0" collapsed="false">
      <c r="B12" s="25" t="n">
        <v>0.15</v>
      </c>
      <c r="C12" s="24" t="n">
        <f aca="false">4_逆DCF!$C$4*(1+$B12)^4_逆DCF!$C$6/C$9</f>
        <v>598.372729209687</v>
      </c>
      <c r="D12" s="24" t="n">
        <f aca="false">4_逆DCF!$C$4*(1+$B12)^4_逆DCF!$C$6/D$9</f>
        <v>373.982955756055</v>
      </c>
      <c r="E12" s="24" t="n">
        <f aca="false">4_逆DCF!$C$4*(1+$B12)^4_逆DCF!$C$6/E$9</f>
        <v>249.321970504036</v>
      </c>
    </row>
    <row r="14" customFormat="false" ht="15" hidden="false" customHeight="false" outlineLevel="0" collapsed="false">
      <c r="B14" s="3" t="s">
        <v>96</v>
      </c>
    </row>
    <row r="15" customFormat="false" ht="15" hidden="false" customHeight="false" outlineLevel="0" collapsed="false">
      <c r="B15" s="3" t="s">
        <v>94</v>
      </c>
      <c r="C15" s="32" t="n">
        <v>5</v>
      </c>
      <c r="D15" s="32" t="n">
        <v>8</v>
      </c>
      <c r="E15" s="32" t="n">
        <v>12</v>
      </c>
    </row>
    <row r="16" customFormat="false" ht="15" hidden="false" customHeight="false" outlineLevel="0" collapsed="false">
      <c r="B16" s="33" t="n">
        <v>0.1</v>
      </c>
      <c r="C16" s="34" t="n">
        <f aca="false">(C10/4_逆DCF!$C$5)^(1/4_逆DCF!$C$6)-1</f>
        <v>1.15772100478075</v>
      </c>
      <c r="D16" s="34" t="n">
        <f aca="false">(D10/4_逆DCF!$C$5)^(1/4_逆DCF!$C$6)-1</f>
        <v>0.964134810710654</v>
      </c>
      <c r="E16" s="34" t="n">
        <f aca="false">(E10/4_逆DCF!$C$5)^(1/4_逆DCF!$C$6)-1</f>
        <v>0.81114424817296</v>
      </c>
      <c r="H16" s="6" t="s">
        <v>97</v>
      </c>
    </row>
    <row r="17" customFormat="false" ht="15" hidden="false" customHeight="false" outlineLevel="0" collapsed="false">
      <c r="B17" s="33" t="n">
        <v>0.12</v>
      </c>
      <c r="C17" s="34" t="n">
        <f aca="false">(C11/4_逆DCF!$C$5)^(1/4_逆DCF!$C$6)-1</f>
        <v>1.19695229577677</v>
      </c>
      <c r="D17" s="34" t="n">
        <f aca="false">(D11/4_逆DCF!$C$5)^(1/4_逆DCF!$C$6)-1</f>
        <v>0.999846352723575</v>
      </c>
      <c r="E17" s="34" t="n">
        <f aca="false">(E11/4_逆DCF!$C$5)^(1/4_逆DCF!$C$6)-1</f>
        <v>0.844074143594286</v>
      </c>
    </row>
    <row r="18" customFormat="false" ht="15" hidden="false" customHeight="false" outlineLevel="0" collapsed="false">
      <c r="B18" s="33" t="n">
        <v>0.15</v>
      </c>
      <c r="C18" s="34" t="n">
        <f aca="false">(C12/4_逆DCF!$C$5)^(1/4_逆DCF!$C$6)-1</f>
        <v>1.25579923227079</v>
      </c>
      <c r="D18" s="34" t="n">
        <f aca="false">(D12/4_逆DCF!$C$5)^(1/4_逆DCF!$C$6)-1</f>
        <v>1.05341366574296</v>
      </c>
      <c r="E18" s="34" t="n">
        <f aca="false">(E12/4_逆DCF!$C$5)^(1/4_逆DCF!$C$6)-1</f>
        <v>0.893468986726276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3"/>
    <col collapsed="false" customWidth="true" hidden="false" outlineLevel="0" max="8" min="8" style="0" width="44"/>
  </cols>
  <sheetData>
    <row r="1" customFormat="false" ht="20.1" hidden="false" customHeight="false" outlineLevel="0" collapsed="false">
      <c r="B1" s="1" t="s">
        <v>98</v>
      </c>
    </row>
    <row r="2" customFormat="false" ht="15" hidden="false" customHeight="false" outlineLevel="0" collapsed="false">
      <c r="B2" s="6" t="s">
        <v>99</v>
      </c>
    </row>
    <row r="4" customFormat="false" ht="15" hidden="false" customHeight="false" outlineLevel="0" collapsed="false">
      <c r="B4" s="7" t="s">
        <v>100</v>
      </c>
      <c r="C4" s="21" t="n">
        <f aca="false">3_SOTP逆算!D10</f>
        <v>239.58</v>
      </c>
    </row>
    <row r="5" customFormat="false" ht="15" hidden="false" customHeight="false" outlineLevel="0" collapsed="false">
      <c r="B5" s="4" t="s">
        <v>101</v>
      </c>
      <c r="C5" s="21" t="n">
        <f aca="false">3_SOTP逆算!D13</f>
        <v>30</v>
      </c>
    </row>
    <row r="6" customFormat="false" ht="15" hidden="false" customHeight="false" outlineLevel="0" collapsed="false">
      <c r="B6" s="7" t="s">
        <v>102</v>
      </c>
      <c r="C6" s="27" t="n">
        <v>0</v>
      </c>
      <c r="H6" s="2" t="s">
        <v>103</v>
      </c>
    </row>
    <row r="7" customFormat="false" ht="15" hidden="false" customHeight="false" outlineLevel="0" collapsed="false">
      <c r="B7" s="7" t="s">
        <v>104</v>
      </c>
      <c r="C7" s="8" t="n">
        <v>13700</v>
      </c>
      <c r="H7" s="2" t="s">
        <v>105</v>
      </c>
    </row>
    <row r="9" customFormat="false" ht="15" hidden="false" customHeight="false" outlineLevel="0" collapsed="false">
      <c r="B9" s="12" t="s">
        <v>106</v>
      </c>
    </row>
    <row r="10" customFormat="false" ht="15" hidden="false" customHeight="false" outlineLevel="0" collapsed="false">
      <c r="B10" s="12" t="s">
        <v>107</v>
      </c>
      <c r="C10" s="31" t="n">
        <v>60</v>
      </c>
      <c r="D10" s="31" t="n">
        <v>80</v>
      </c>
      <c r="E10" s="31" t="n">
        <v>100</v>
      </c>
      <c r="F10" s="31" t="n">
        <v>142</v>
      </c>
    </row>
    <row r="11" customFormat="false" ht="15" hidden="false" customHeight="false" outlineLevel="0" collapsed="false">
      <c r="B11" s="10" t="n">
        <v>7.2</v>
      </c>
      <c r="C11" s="35" t="n">
        <f aca="false">($B11*C$10+5_目標株価!$C$4+5_目標株価!$C$5+5_目標株価!$C$6)*1000/5_目標株価!$C$7</f>
        <v>51.2102189781022</v>
      </c>
      <c r="D11" s="35" t="n">
        <f aca="false">($B11*D$10+5_目標株価!$C$4+5_目標株価!$C$5+5_目標株価!$C$6)*1000/5_目標株価!$C$7</f>
        <v>61.7211678832117</v>
      </c>
      <c r="E11" s="35" t="n">
        <f aca="false">($B11*E$10+5_目標株価!$C$4+5_目標株価!$C$5+5_目標株価!$C$6)*1000/5_目標株価!$C$7</f>
        <v>72.2321167883212</v>
      </c>
      <c r="F11" s="35" t="n">
        <f aca="false">($B11*F$10+5_目標株価!$C$4+5_目標株価!$C$5+5_目標株価!$C$6)*1000/5_目標株価!$C$7</f>
        <v>94.3051094890511</v>
      </c>
      <c r="H11" s="2" t="s">
        <v>108</v>
      </c>
    </row>
    <row r="12" customFormat="false" ht="15" hidden="false" customHeight="false" outlineLevel="0" collapsed="false">
      <c r="B12" s="10" t="n">
        <v>14.4</v>
      </c>
      <c r="C12" s="35" t="n">
        <f aca="false">($B12*C$10+5_目標株価!$C$4+5_目標株価!$C$5+5_目標株価!$C$6)*1000/5_目標株価!$C$7</f>
        <v>82.7430656934307</v>
      </c>
      <c r="D12" s="35" t="n">
        <f aca="false">($B12*D$10+5_目標株価!$C$4+5_目標株価!$C$5+5_目標株価!$C$6)*1000/5_目標株価!$C$7</f>
        <v>103.76496350365</v>
      </c>
      <c r="E12" s="35" t="n">
        <f aca="false">($B12*E$10+5_目標株価!$C$4+5_目標株価!$C$5+5_目標株価!$C$6)*1000/5_目標株価!$C$7</f>
        <v>124.786861313869</v>
      </c>
      <c r="F12" s="35" t="n">
        <f aca="false">($B12*F$10+5_目標株価!$C$4+5_目標株価!$C$5+5_目標株価!$C$6)*1000/5_目標株価!$C$7</f>
        <v>168.932846715328</v>
      </c>
    </row>
    <row r="13" customFormat="false" ht="15" hidden="false" customHeight="false" outlineLevel="0" collapsed="false">
      <c r="B13" s="10" t="n">
        <v>20.6</v>
      </c>
      <c r="C13" s="35" t="n">
        <f aca="false">($B13*C$10+5_目標株価!$C$4+5_目標株価!$C$5+5_目標株価!$C$6)*1000/5_目標株価!$C$7</f>
        <v>109.896350364964</v>
      </c>
      <c r="D13" s="35" t="n">
        <f aca="false">($B13*D$10+5_目標株価!$C$4+5_目標株価!$C$5+5_目標株価!$C$6)*1000/5_目標株価!$C$7</f>
        <v>139.969343065693</v>
      </c>
      <c r="E13" s="35" t="n">
        <f aca="false">($B13*E$10+5_目標株価!$C$4+5_目標株価!$C$5+5_目標株価!$C$6)*1000/5_目標株価!$C$7</f>
        <v>170.042335766423</v>
      </c>
      <c r="F13" s="35" t="n">
        <f aca="false">($B13*F$10+5_目標株価!$C$4+5_目標株価!$C$5+5_目標株価!$C$6)*1000/5_目標株価!$C$7</f>
        <v>233.195620437956</v>
      </c>
    </row>
    <row r="15" customFormat="false" ht="15" hidden="false" customHeight="false" outlineLevel="0" collapsed="false">
      <c r="B15" s="4" t="s">
        <v>109</v>
      </c>
      <c r="C15" s="36" t="n">
        <f aca="false">1_前提!C6</f>
        <v>134</v>
      </c>
    </row>
    <row r="16" customFormat="false" ht="15" hidden="false" customHeight="false" outlineLevel="0" collapsed="false">
      <c r="B16" s="3" t="s">
        <v>110</v>
      </c>
      <c r="C16" s="37" t="n">
        <f aca="false">(C15*5_目標株価!$C$7/1000-5_目標株価!$C$4-5_目標株価!$C$5-5_目標株価!$C$6)/B12</f>
        <v>108.765277777778</v>
      </c>
      <c r="H16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8" style="0" width="40"/>
  </cols>
  <sheetData>
    <row r="1" customFormat="false" ht="16.15" hidden="false" customHeight="false" outlineLevel="0" collapsed="false">
      <c r="B1" s="17" t="s">
        <v>112</v>
      </c>
    </row>
    <row r="2" customFormat="false" ht="15" hidden="false" customHeight="false" outlineLevel="0" collapsed="false">
      <c r="B2" s="2" t="s">
        <v>113</v>
      </c>
    </row>
    <row r="4" customFormat="false" ht="15" hidden="false" customHeight="false" outlineLevel="0" collapsed="false">
      <c r="B4" s="3" t="s">
        <v>114</v>
      </c>
      <c r="C4" s="36" t="n">
        <f aca="false">5_目標株価!D12</f>
        <v>103.76496350365</v>
      </c>
      <c r="H4" s="6" t="s">
        <v>115</v>
      </c>
    </row>
    <row r="6" customFormat="false" ht="17.15" hidden="false" customHeight="false" outlineLevel="0" collapsed="false">
      <c r="B6" s="13" t="s">
        <v>116</v>
      </c>
      <c r="C6" s="13" t="s">
        <v>117</v>
      </c>
      <c r="D6" s="38" t="s">
        <v>118</v>
      </c>
      <c r="E6" s="13" t="s">
        <v>119</v>
      </c>
      <c r="F6" s="13" t="s">
        <v>120</v>
      </c>
    </row>
    <row r="7" customFormat="false" ht="15" hidden="false" customHeight="false" outlineLevel="0" collapsed="false">
      <c r="B7" s="39" t="s">
        <v>121</v>
      </c>
      <c r="C7" s="40" t="s">
        <v>122</v>
      </c>
      <c r="D7" s="35" t="n">
        <f aca="false">(14.4*60+5_目標株価!$C$4+5_目標株価!$C$5+5_目標株価!$C$6)*1000/5_目標株価!$C$7</f>
        <v>82.7430656934307</v>
      </c>
      <c r="E7" s="24" t="n">
        <f aca="false">D7-6_感応度!$C$4</f>
        <v>-21.021897810219</v>
      </c>
      <c r="F7" s="41" t="str">
        <f aca="false">IF(ABS(E7)&gt;20,"★★★",IF(ABS(E7)&gt;10,"★★","★"))</f>
        <v>★★★</v>
      </c>
    </row>
    <row r="8" customFormat="false" ht="15" hidden="false" customHeight="false" outlineLevel="0" collapsed="false">
      <c r="B8" s="39" t="s">
        <v>123</v>
      </c>
      <c r="C8" s="40" t="s">
        <v>124</v>
      </c>
      <c r="D8" s="35" t="n">
        <f aca="false">(10*80+5_目標株価!$C$4+5_目標株価!$C$5+5_目標株価!$C$6)*1000/5_目標株価!$C$7</f>
        <v>78.0715328467153</v>
      </c>
      <c r="E8" s="24" t="n">
        <f aca="false">D8-6_感応度!$C$4</f>
        <v>-25.6934306569343</v>
      </c>
      <c r="F8" s="41" t="str">
        <f aca="false">IF(ABS(E8)&gt;20,"★★★",IF(ABS(E8)&gt;10,"★★","★"))</f>
        <v>★★★</v>
      </c>
    </row>
    <row r="9" customFormat="false" ht="15" hidden="false" customHeight="false" outlineLevel="0" collapsed="false">
      <c r="B9" s="39" t="s">
        <v>125</v>
      </c>
      <c r="C9" s="40" t="s">
        <v>126</v>
      </c>
      <c r="D9" s="35" t="n">
        <f aca="false">(14.4*80+3_SOTP逆算!C10+5_目標株価!$C$5+5_目標株価!$C$6)*1000/5_目標株価!$C$7</f>
        <v>96.3503649635037</v>
      </c>
      <c r="E9" s="24" t="n">
        <f aca="false">D9-6_感応度!$C$4</f>
        <v>-7.41459854014599</v>
      </c>
      <c r="F9" s="41" t="str">
        <f aca="false">IF(ABS(E9)&gt;20,"★★★",IF(ABS(E9)&gt;10,"★★","★"))</f>
        <v>★</v>
      </c>
    </row>
    <row r="10" customFormat="false" ht="15" hidden="false" customHeight="false" outlineLevel="0" collapsed="false">
      <c r="B10" s="39" t="s">
        <v>127</v>
      </c>
      <c r="C10" s="40" t="s">
        <v>128</v>
      </c>
      <c r="D10" s="35" t="n">
        <f aca="false">(14.4*80+19*0.605*18+5_目標株価!$C$5+5_目標株価!$C$6)*1000/5_目標株価!$C$7</f>
        <v>101.380291970803</v>
      </c>
      <c r="E10" s="24" t="n">
        <f aca="false">D10-6_感応度!$C$4</f>
        <v>-2.38467153284672</v>
      </c>
      <c r="F10" s="41" t="str">
        <f aca="false">IF(ABS(E10)&gt;20,"★★★",IF(ABS(E10)&gt;10,"★★","★"))</f>
        <v>★</v>
      </c>
    </row>
    <row r="11" customFormat="false" ht="15" hidden="false" customHeight="false" outlineLevel="0" collapsed="false">
      <c r="B11" s="42" t="s">
        <v>129</v>
      </c>
      <c r="C11" s="40" t="s">
        <v>130</v>
      </c>
      <c r="D11" s="35" t="n">
        <f aca="false">(14.4*80+5_目標株価!$C$4+0+5_目標株価!$C$6)*1000/5_目標株価!$C$7</f>
        <v>101.575182481752</v>
      </c>
      <c r="E11" s="24" t="n">
        <f aca="false">D11-6_感応度!$C$4</f>
        <v>-2.18978102189782</v>
      </c>
      <c r="F11" s="41" t="str">
        <f aca="false">IF(ABS(E11)&gt;20,"★★★",IF(ABS(E11)&gt;10,"★★","★"))</f>
        <v>★</v>
      </c>
    </row>
    <row r="12" customFormat="false" ht="15" hidden="false" customHeight="false" outlineLevel="0" collapsed="false">
      <c r="B12" s="42" t="s">
        <v>131</v>
      </c>
      <c r="C12" s="40" t="s">
        <v>132</v>
      </c>
      <c r="D12" s="35" t="n">
        <f aca="false">(14.4*80+5_目標株価!$C$4+5_目標株価!$C$5-20)*1000/5_目標株価!$C$7</f>
        <v>102.305109489051</v>
      </c>
      <c r="E12" s="24" t="n">
        <f aca="false">D12-6_感応度!$C$4</f>
        <v>-1.45985401459855</v>
      </c>
      <c r="F12" s="41" t="str">
        <f aca="false">IF(ABS(E12)&gt;20,"★★★",IF(ABS(E12)&gt;10,"★★","★"))</f>
        <v>★</v>
      </c>
    </row>
    <row r="14" customFormat="false" ht="15" hidden="false" customHeight="false" outlineLevel="0" collapsed="false">
      <c r="B14" s="12" t="s">
        <v>133</v>
      </c>
      <c r="C14" s="43" t="n">
        <f aca="false">ABS(E7)+ABS(E8)</f>
        <v>46.7153284671533</v>
      </c>
    </row>
    <row r="15" customFormat="false" ht="15" hidden="false" customHeight="false" outlineLevel="0" collapsed="false">
      <c r="B15" s="3" t="s">
        <v>134</v>
      </c>
      <c r="C15" s="43" t="n">
        <f aca="false">ABS(E9)+ABS(E10)+ABS(E11)+ABS(E12)</f>
        <v>13.4489051094891</v>
      </c>
    </row>
    <row r="16" customFormat="false" ht="15" hidden="false" customHeight="false" outlineLevel="0" collapsed="false">
      <c r="B16" s="12" t="s">
        <v>135</v>
      </c>
      <c r="C16" s="44" t="n">
        <f aca="false">C14/(C14+C15)</f>
        <v>0.776463451622687</v>
      </c>
      <c r="H16" s="2" t="s">
        <v>136</v>
      </c>
    </row>
    <row r="18" customFormat="false" ht="15" hidden="false" customHeight="false" outlineLevel="0" collapsed="false">
      <c r="B18" s="3" t="s">
        <v>137</v>
      </c>
    </row>
    <row r="19" customFormat="false" ht="15" hidden="false" customHeight="false" outlineLevel="0" collapsed="false">
      <c r="B19" s="2" t="s">
        <v>138</v>
      </c>
    </row>
    <row r="20" customFormat="false" ht="15" hidden="false" customHeight="false" outlineLevel="0" collapsed="false">
      <c r="B20" s="2" t="s">
        <v>139</v>
      </c>
    </row>
    <row r="21" customFormat="false" ht="15" hidden="false" customHeight="false" outlineLevel="0" collapsed="false">
      <c r="B21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42"/>
  </cols>
  <sheetData>
    <row r="1" customFormat="false" ht="16.15" hidden="false" customHeight="false" outlineLevel="0" collapsed="false">
      <c r="B1" s="17" t="s">
        <v>141</v>
      </c>
    </row>
    <row r="2" customFormat="false" ht="15" hidden="false" customHeight="false" outlineLevel="0" collapsed="false">
      <c r="B2" s="2" t="s">
        <v>142</v>
      </c>
    </row>
    <row r="4" customFormat="false" ht="15" hidden="false" customHeight="false" outlineLevel="0" collapsed="false">
      <c r="B4" s="13" t="s">
        <v>143</v>
      </c>
      <c r="C4" s="13" t="s">
        <v>144</v>
      </c>
      <c r="D4" s="13" t="s">
        <v>145</v>
      </c>
      <c r="E4" s="13" t="s">
        <v>146</v>
      </c>
    </row>
    <row r="5" customFormat="false" ht="15" hidden="false" customHeight="false" outlineLevel="0" collapsed="false">
      <c r="B5" s="45" t="s">
        <v>147</v>
      </c>
      <c r="C5" s="45" t="s">
        <v>148</v>
      </c>
      <c r="D5" s="45" t="s">
        <v>149</v>
      </c>
      <c r="E5" s="46" t="s">
        <v>150</v>
      </c>
    </row>
    <row r="6" customFormat="false" ht="15" hidden="false" customHeight="false" outlineLevel="0" collapsed="false">
      <c r="B6" s="45" t="s">
        <v>147</v>
      </c>
      <c r="C6" s="45" t="s">
        <v>148</v>
      </c>
      <c r="D6" s="45" t="s">
        <v>151</v>
      </c>
      <c r="E6" s="46" t="s">
        <v>152</v>
      </c>
    </row>
    <row r="7" customFormat="false" ht="15" hidden="false" customHeight="false" outlineLevel="0" collapsed="false">
      <c r="B7" s="45" t="s">
        <v>147</v>
      </c>
      <c r="C7" s="45" t="s">
        <v>148</v>
      </c>
      <c r="D7" s="45" t="s">
        <v>153</v>
      </c>
      <c r="E7" s="46" t="s">
        <v>154</v>
      </c>
    </row>
    <row r="8" customFormat="false" ht="15" hidden="false" customHeight="false" outlineLevel="0" collapsed="false">
      <c r="B8" s="45" t="s">
        <v>147</v>
      </c>
      <c r="C8" s="45" t="s">
        <v>155</v>
      </c>
      <c r="D8" s="45" t="s">
        <v>156</v>
      </c>
      <c r="E8" s="46" t="s">
        <v>157</v>
      </c>
    </row>
    <row r="9" customFormat="false" ht="15" hidden="false" customHeight="false" outlineLevel="0" collapsed="false">
      <c r="B9" s="45" t="s">
        <v>147</v>
      </c>
      <c r="C9" s="46" t="s">
        <v>158</v>
      </c>
      <c r="D9" s="46" t="s">
        <v>159</v>
      </c>
      <c r="E9" s="46" t="s">
        <v>160</v>
      </c>
    </row>
    <row r="10" customFormat="false" ht="15" hidden="false" customHeight="false" outlineLevel="0" collapsed="false">
      <c r="B10" s="45" t="s">
        <v>147</v>
      </c>
      <c r="C10" s="46" t="s">
        <v>161</v>
      </c>
      <c r="D10" s="45" t="s">
        <v>162</v>
      </c>
      <c r="E10" s="46" t="s">
        <v>163</v>
      </c>
    </row>
    <row r="11" customFormat="false" ht="15" hidden="false" customHeight="false" outlineLevel="0" collapsed="false">
      <c r="B11" s="45" t="s">
        <v>164</v>
      </c>
      <c r="C11" s="46" t="s">
        <v>165</v>
      </c>
      <c r="D11" s="46" t="s">
        <v>166</v>
      </c>
      <c r="E11" s="46" t="s">
        <v>167</v>
      </c>
    </row>
    <row r="12" customFormat="false" ht="15" hidden="false" customHeight="false" outlineLevel="0" collapsed="false">
      <c r="B12" s="45" t="s">
        <v>168</v>
      </c>
      <c r="C12" s="46" t="s">
        <v>165</v>
      </c>
      <c r="D12" s="46" t="s">
        <v>169</v>
      </c>
      <c r="E12" s="46" t="s">
        <v>170</v>
      </c>
    </row>
    <row r="13" customFormat="false" ht="15" hidden="false" customHeight="false" outlineLevel="0" collapsed="false">
      <c r="B13" s="45" t="s">
        <v>171</v>
      </c>
      <c r="C13" s="45" t="s">
        <v>172</v>
      </c>
      <c r="D13" s="45" t="s">
        <v>173</v>
      </c>
      <c r="E13" s="46" t="s">
        <v>174</v>
      </c>
    </row>
    <row r="15" customFormat="false" ht="15" hidden="false" customHeight="false" outlineLevel="0" collapsed="false">
      <c r="B15" s="3" t="s">
        <v>175</v>
      </c>
    </row>
    <row r="16" customFormat="false" ht="15" hidden="false" customHeight="false" outlineLevel="0" collapsed="false">
      <c r="B16" s="2" t="s">
        <v>176</v>
      </c>
    </row>
    <row r="17" customFormat="false" ht="15" hidden="false" customHeight="false" outlineLevel="0" collapsed="false">
      <c r="B17" s="2" t="s">
        <v>177</v>
      </c>
    </row>
    <row r="18" customFormat="false" ht="15" hidden="false" customHeight="false" outlineLevel="0" collapsed="false">
      <c r="B18" s="2" t="s">
        <v>178</v>
      </c>
    </row>
    <row r="19" customFormat="false" ht="15" hidden="false" customHeight="false" outlineLevel="0" collapsed="false">
      <c r="B19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2026-08-28T01:38:16Z</dcterms:created>
  <dc:creator>openpyxl</dc:creator>
  <dc:description/>
  <dc:language>en-US</dc:language>
  <cp:lastModifiedBy/>
  <dcterms:modified xsi:type="dcterms:W3CDTF">2026-08-28T01:38:16Z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