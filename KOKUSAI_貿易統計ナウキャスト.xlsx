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comments5.xml" ContentType="application/vnd.openxmlformats-officedocument.spreadsheetml.comments+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まとめ" sheetId="1" state="visible" r:id="rId3"/>
    <sheet name="速報_原データ" sheetId="2" state="visible" r:id="rId4"/>
    <sheet name="貿易_月次" sheetId="3" state="visible" r:id="rId5"/>
    <sheet name="KOKUSAI_四半期" sheetId="4" state="visible" r:id="rId6"/>
    <sheet name="四半期集計" sheetId="5" state="visible" r:id="rId7"/>
    <sheet name="回帰" sheetId="6" state="visible" r:id="rId8"/>
    <sheet name="ナウキャスト" sheetId="7" state="visible" r:id="rId9"/>
    <sheet name="出所・注記" sheetId="8" state="visible" r:id="rId10"/>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G4" authorId="0">
      <text>
        <r>
          <rPr>
            <sz val="10"/>
            <rFont val="Noto Sans CJK SC"/>
            <family val="2"/>
          </rPr>
          <t xml:space="preserve">会社開示の「中国地場向け」比率。比率の母数（全社か装置か）は要確認。</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3" authorId="0">
      <text>
        <r>
          <rPr>
            <sz val="10"/>
            <rFont val="Noto Sans CJK SC"/>
            <family val="2"/>
          </rPr>
          <t xml:space="preserve">ナウキャスト表は</t>
        </r>
        <r>
          <rPr>
            <sz val="10"/>
            <rFont val="Arial"/>
            <family val="2"/>
          </rPr>
          <t xml:space="preserve">k=0</t>
        </r>
        <r>
          <rPr>
            <sz val="10"/>
            <rFont val="Noto Sans CJK SC"/>
            <family val="2"/>
          </rPr>
          <t xml:space="preserve">（</t>
        </r>
        <r>
          <rPr>
            <sz val="10"/>
            <rFont val="Arial"/>
            <family val="2"/>
          </rPr>
          <t xml:space="preserve">9</t>
        </r>
        <r>
          <rPr>
            <sz val="10"/>
            <rFont val="Noto Sans CJK SC"/>
            <family val="2"/>
          </rPr>
          <t xml:space="preserve">月は推計）と</t>
        </r>
        <r>
          <rPr>
            <sz val="10"/>
            <rFont val="Arial"/>
            <family val="2"/>
          </rPr>
          <t xml:space="preserve">k=1</t>
        </r>
        <r>
          <rPr>
            <sz val="10"/>
            <rFont val="Noto Sans CJK SC"/>
            <family val="2"/>
          </rPr>
          <t xml:space="preserve">（</t>
        </r>
        <r>
          <rPr>
            <sz val="10"/>
            <rFont val="Arial"/>
            <family val="2"/>
          </rPr>
          <t xml:space="preserve">6-8</t>
        </r>
        <r>
          <rPr>
            <sz val="10"/>
            <rFont val="Noto Sans CJK SC"/>
            <family val="2"/>
          </rPr>
          <t xml:space="preserve">月実績）を前提に作られている。</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30" authorId="0">
      <text>
        <r>
          <rPr>
            <sz val="10"/>
            <rFont val="Noto Sans CJK SC"/>
            <family val="2"/>
          </rPr>
          <t xml:space="preserve">会社の修正後上期計画。出所：</t>
        </r>
        <r>
          <rPr>
            <sz val="10"/>
            <rFont val="Arial"/>
            <family val="2"/>
          </rPr>
          <t xml:space="preserve">Yahoo!</t>
        </r>
        <r>
          <rPr>
            <sz val="10"/>
            <rFont val="Noto Sans CJK SC"/>
            <family val="2"/>
          </rPr>
          <t xml:space="preserve">ファイナンス決算情報（</t>
        </r>
        <r>
          <rPr>
            <sz val="10"/>
            <rFont val="Arial"/>
            <family val="2"/>
          </rPr>
          <t xml:space="preserve">2026</t>
        </r>
        <r>
          <rPr>
            <sz val="10"/>
            <rFont val="Noto Sans CJK SC"/>
            <family val="2"/>
          </rPr>
          <t xml:space="preserve">年</t>
        </r>
        <r>
          <rPr>
            <sz val="10"/>
            <rFont val="Arial"/>
            <family val="2"/>
          </rPr>
          <t xml:space="preserve">8</t>
        </r>
        <r>
          <rPr>
            <sz val="10"/>
            <rFont val="Noto Sans CJK SC"/>
            <family val="2"/>
          </rPr>
          <t xml:space="preserve">月の</t>
        </r>
        <r>
          <rPr>
            <sz val="10"/>
            <rFont val="Arial"/>
            <family val="2"/>
          </rPr>
          <t xml:space="preserve">1Q</t>
        </r>
        <r>
          <rPr>
            <sz val="10"/>
            <rFont val="Noto Sans CJK SC"/>
            <family val="2"/>
          </rPr>
          <t xml:space="preserve">決算発表時）。</t>
        </r>
      </text>
    </comment>
  </commentList>
</comments>
</file>

<file path=xl/sharedStrings.xml><?xml version="1.0" encoding="utf-8"?>
<sst xmlns="http://schemas.openxmlformats.org/spreadsheetml/2006/main" count="726" uniqueCount="231">
  <si>
    <r>
      <rPr>
        <b val="true"/>
        <sz val="12"/>
        <rFont val="Arial"/>
        <family val="0"/>
        <charset val="1"/>
      </rPr>
      <t xml:space="preserve">KOKUSAI ELECTRIC</t>
    </r>
    <r>
      <rPr>
        <b val="true"/>
        <sz val="12"/>
        <rFont val="Noto Sans CJK SC"/>
        <family val="2"/>
      </rPr>
      <t xml:space="preserve">（</t>
    </r>
    <r>
      <rPr>
        <b val="true"/>
        <sz val="12"/>
        <rFont val="Arial"/>
        <family val="0"/>
        <charset val="1"/>
      </rPr>
      <t xml:space="preserve">6525</t>
    </r>
    <r>
      <rPr>
        <b val="true"/>
        <sz val="12"/>
        <rFont val="Noto Sans CJK SC"/>
        <family val="2"/>
      </rPr>
      <t xml:space="preserve">）：貿易統計による</t>
    </r>
    <r>
      <rPr>
        <b val="true"/>
        <sz val="12"/>
        <rFont val="Arial"/>
        <family val="0"/>
        <charset val="1"/>
      </rPr>
      <t xml:space="preserve">27/3</t>
    </r>
    <r>
      <rPr>
        <b val="true"/>
        <sz val="12"/>
        <rFont val="Noto Sans CJK SC"/>
        <family val="2"/>
      </rPr>
      <t xml:space="preserve">期</t>
    </r>
    <r>
      <rPr>
        <b val="true"/>
        <sz val="12"/>
        <rFont val="Arial"/>
        <family val="0"/>
        <charset val="1"/>
      </rPr>
      <t xml:space="preserve">2Q</t>
    </r>
    <r>
      <rPr>
        <b val="true"/>
        <sz val="12"/>
        <rFont val="Noto Sans CJK SC"/>
        <family val="2"/>
      </rPr>
      <t xml:space="preserve">売上のナウキャスト</t>
    </r>
  </si>
  <si>
    <r>
      <rPr>
        <sz val="9"/>
        <color rgb="FF555555"/>
        <rFont val="Noto Sans CJK SC"/>
        <family val="2"/>
      </rPr>
      <t xml:space="preserve">単位：億円。数値はすべて他シートへのリンク（緑字）。作成日 </t>
    </r>
    <r>
      <rPr>
        <sz val="9"/>
        <color rgb="FF555555"/>
        <rFont val="Arial"/>
        <family val="0"/>
        <charset val="1"/>
      </rPr>
      <t xml:space="preserve">2026-09-28</t>
    </r>
    <r>
      <rPr>
        <sz val="9"/>
        <color rgb="FF555555"/>
        <rFont val="Noto Sans CJK SC"/>
        <family val="2"/>
      </rPr>
      <t xml:space="preserve">、貿易統計は</t>
    </r>
    <r>
      <rPr>
        <sz val="9"/>
        <color rgb="FF555555"/>
        <rFont val="Arial"/>
        <family val="0"/>
        <charset val="1"/>
      </rPr>
      <t xml:space="preserve">2026</t>
    </r>
    <r>
      <rPr>
        <sz val="9"/>
        <color rgb="FF555555"/>
        <rFont val="Noto Sans CJK SC"/>
        <family val="2"/>
      </rPr>
      <t xml:space="preserve">年</t>
    </r>
    <r>
      <rPr>
        <sz val="9"/>
        <color rgb="FF555555"/>
        <rFont val="Arial"/>
        <family val="0"/>
        <charset val="1"/>
      </rPr>
      <t xml:space="preserve">8</t>
    </r>
    <r>
      <rPr>
        <sz val="9"/>
        <color rgb="FF555555"/>
        <rFont val="Noto Sans CJK SC"/>
        <family val="2"/>
      </rPr>
      <t xml:space="preserve">月分速報まで。</t>
    </r>
  </si>
  <si>
    <t xml:space="preserve">項目</t>
  </si>
  <si>
    <t xml:space="preserve">値</t>
  </si>
  <si>
    <r>
      <rPr>
        <sz val="10"/>
        <color rgb="FF000000"/>
        <rFont val="Noto Sans CJK SC"/>
        <family val="2"/>
      </rPr>
      <t xml:space="preserve">構造モデル </t>
    </r>
    <r>
      <rPr>
        <sz val="10"/>
        <color rgb="FF000000"/>
        <rFont val="Arial"/>
        <family val="0"/>
        <charset val="1"/>
      </rPr>
      <t xml:space="preserve">k=0</t>
    </r>
    <r>
      <rPr>
        <sz val="10"/>
        <color rgb="FF000000"/>
        <rFont val="Noto Sans CJK SC"/>
        <family val="2"/>
      </rPr>
      <t xml:space="preserve">（基準）</t>
    </r>
  </si>
  <si>
    <r>
      <rPr>
        <sz val="10"/>
        <color rgb="FF000000"/>
        <rFont val="Noto Sans CJK SC"/>
        <family val="2"/>
      </rPr>
      <t xml:space="preserve">構造モデル </t>
    </r>
    <r>
      <rPr>
        <sz val="10"/>
        <color rgb="FF000000"/>
        <rFont val="Arial"/>
        <family val="0"/>
        <charset val="1"/>
      </rPr>
      <t xml:space="preserve">k=0</t>
    </r>
    <r>
      <rPr>
        <sz val="10"/>
        <color rgb="FF000000"/>
        <rFont val="Noto Sans CJK SC"/>
        <family val="2"/>
      </rPr>
      <t xml:space="preserve">（低〜高）</t>
    </r>
  </si>
  <si>
    <r>
      <rPr>
        <sz val="10"/>
        <color rgb="FF000000"/>
        <rFont val="Noto Sans CJK SC"/>
        <family val="2"/>
      </rPr>
      <t xml:space="preserve">構造モデル </t>
    </r>
    <r>
      <rPr>
        <sz val="10"/>
        <color rgb="FF000000"/>
        <rFont val="Arial"/>
        <family val="0"/>
        <charset val="1"/>
      </rPr>
      <t xml:space="preserve">k=1</t>
    </r>
    <r>
      <rPr>
        <sz val="10"/>
        <color rgb="FF000000"/>
        <rFont val="Noto Sans CJK SC"/>
        <family val="2"/>
      </rPr>
      <t xml:space="preserve">（</t>
    </r>
    <r>
      <rPr>
        <sz val="10"/>
        <color rgb="FF000000"/>
        <rFont val="Arial"/>
        <family val="0"/>
        <charset val="1"/>
      </rPr>
      <t xml:space="preserve">6-8</t>
    </r>
    <r>
      <rPr>
        <sz val="10"/>
        <color rgb="FF000000"/>
        <rFont val="Noto Sans CJK SC"/>
        <family val="2"/>
      </rPr>
      <t xml:space="preserve">月実績のみ）</t>
    </r>
  </si>
  <si>
    <r>
      <rPr>
        <sz val="10"/>
        <color rgb="FF000000"/>
        <rFont val="Noto Sans CJK SC"/>
        <family val="2"/>
      </rPr>
      <t xml:space="preserve">単一モデル </t>
    </r>
    <r>
      <rPr>
        <sz val="10"/>
        <color rgb="FF000000"/>
        <rFont val="Arial"/>
        <family val="0"/>
        <charset val="1"/>
      </rPr>
      <t xml:space="preserve">k=0</t>
    </r>
    <r>
      <rPr>
        <sz val="10"/>
        <color rgb="FF000000"/>
        <rFont val="Noto Sans CJK SC"/>
        <family val="2"/>
      </rPr>
      <t xml:space="preserve">（基準）／</t>
    </r>
    <r>
      <rPr>
        <sz val="10"/>
        <color rgb="FF000000"/>
        <rFont val="Arial"/>
        <family val="0"/>
        <charset val="1"/>
      </rPr>
      <t xml:space="preserve">k=1</t>
    </r>
  </si>
  <si>
    <r>
      <rPr>
        <sz val="10"/>
        <color rgb="FF000000"/>
        <rFont val="Noto Sans CJK SC"/>
        <family val="2"/>
      </rPr>
      <t xml:space="preserve">予測誤差の目安（構造 </t>
    </r>
    <r>
      <rPr>
        <sz val="10"/>
        <color rgb="FF000000"/>
        <rFont val="Arial"/>
        <family val="0"/>
        <charset val="1"/>
      </rPr>
      <t xml:space="preserve">k=0 </t>
    </r>
    <r>
      <rPr>
        <sz val="10"/>
        <color rgb="FF000000"/>
        <rFont val="Noto Sans CJK SC"/>
        <family val="2"/>
      </rPr>
      <t xml:space="preserve">の</t>
    </r>
    <r>
      <rPr>
        <sz val="10"/>
        <color rgb="FF000000"/>
        <rFont val="Arial"/>
        <family val="0"/>
        <charset val="1"/>
      </rPr>
      <t xml:space="preserve">LOOCV RMSE</t>
    </r>
    <r>
      <rPr>
        <sz val="10"/>
        <color rgb="FF000000"/>
        <rFont val="Noto Sans CJK SC"/>
        <family val="2"/>
      </rPr>
      <t xml:space="preserve">）</t>
    </r>
  </si>
  <si>
    <r>
      <rPr>
        <sz val="10"/>
        <color rgb="FF000000"/>
        <rFont val="Noto Sans CJK SC"/>
        <family val="2"/>
      </rPr>
      <t xml:space="preserve">会社計画が示す</t>
    </r>
    <r>
      <rPr>
        <sz val="10"/>
        <color rgb="FF000000"/>
        <rFont val="Arial"/>
        <family val="0"/>
        <charset val="1"/>
      </rPr>
      <t xml:space="preserve">2Q</t>
    </r>
    <r>
      <rPr>
        <sz val="10"/>
        <color rgb="FF000000"/>
        <rFont val="Noto Sans CJK SC"/>
        <family val="2"/>
      </rPr>
      <t xml:space="preserve">売上</t>
    </r>
  </si>
  <si>
    <r>
      <rPr>
        <sz val="10"/>
        <color rgb="FF000000"/>
        <rFont val="Noto Sans CJK SC"/>
        <family val="2"/>
      </rPr>
      <t xml:space="preserve">計画達成に必要な</t>
    </r>
    <r>
      <rPr>
        <sz val="10"/>
        <color rgb="FF000000"/>
        <rFont val="Arial"/>
        <family val="0"/>
        <charset val="1"/>
      </rPr>
      <t xml:space="preserve">9</t>
    </r>
    <r>
      <rPr>
        <sz val="10"/>
        <color rgb="FF000000"/>
        <rFont val="Noto Sans CJK SC"/>
        <family val="2"/>
      </rPr>
      <t xml:space="preserve">月輸出の前年比（</t>
    </r>
    <r>
      <rPr>
        <sz val="10"/>
        <color rgb="FF000000"/>
        <rFont val="Arial"/>
        <family val="0"/>
        <charset val="1"/>
      </rPr>
      <t xml:space="preserve">7-8</t>
    </r>
    <r>
      <rPr>
        <sz val="10"/>
        <color rgb="FF000000"/>
        <rFont val="Noto Sans CJK SC"/>
        <family val="2"/>
      </rPr>
      <t xml:space="preserve">月は約＋</t>
    </r>
    <r>
      <rPr>
        <sz val="10"/>
        <color rgb="FF000000"/>
        <rFont val="Arial"/>
        <family val="0"/>
        <charset val="1"/>
      </rPr>
      <t xml:space="preserve">40</t>
    </r>
    <r>
      <rPr>
        <sz val="10"/>
        <color rgb="FF000000"/>
        <rFont val="Noto Sans CJK SC"/>
        <family val="2"/>
      </rPr>
      <t xml:space="preserve">％）</t>
    </r>
  </si>
  <si>
    <t xml:space="preserve">計画が示す実質シェア（過去の最大値）</t>
  </si>
  <si>
    <r>
      <rPr>
        <b val="true"/>
        <sz val="10"/>
        <rFont val="Noto Sans CJK SC"/>
        <family val="2"/>
      </rPr>
      <t xml:space="preserve">モデル精度（</t>
    </r>
    <r>
      <rPr>
        <b val="true"/>
        <sz val="10"/>
        <rFont val="Arial"/>
        <family val="0"/>
        <charset val="1"/>
      </rPr>
      <t xml:space="preserve">12</t>
    </r>
    <r>
      <rPr>
        <b val="true"/>
        <sz val="10"/>
        <rFont val="Noto Sans CJK SC"/>
        <family val="2"/>
      </rPr>
      <t xml:space="preserve">四半期、</t>
    </r>
    <r>
      <rPr>
        <b val="true"/>
        <sz val="10"/>
        <rFont val="Arial"/>
        <family val="0"/>
        <charset val="1"/>
      </rPr>
      <t xml:space="preserve">leave-one-out</t>
    </r>
    <r>
      <rPr>
        <b val="true"/>
        <sz val="10"/>
        <rFont val="Noto Sans CJK SC"/>
        <family val="2"/>
      </rPr>
      <t xml:space="preserve">）</t>
    </r>
  </si>
  <si>
    <t xml:space="preserve">モデル</t>
  </si>
  <si>
    <t xml:space="preserve">R²</t>
  </si>
  <si>
    <t xml:space="preserve">LOOCV RMSE</t>
  </si>
  <si>
    <r>
      <rPr>
        <sz val="10"/>
        <color rgb="FF000000"/>
        <rFont val="Noto Sans CJK SC"/>
        <family val="2"/>
      </rPr>
      <t xml:space="preserve">単一 </t>
    </r>
    <r>
      <rPr>
        <sz val="10"/>
        <color rgb="FF000000"/>
        <rFont val="Arial"/>
        <family val="0"/>
        <charset val="1"/>
      </rPr>
      <t xml:space="preserve">k=0</t>
    </r>
  </si>
  <si>
    <r>
      <rPr>
        <sz val="10"/>
        <color rgb="FF000000"/>
        <rFont val="Noto Sans CJK SC"/>
        <family val="2"/>
      </rPr>
      <t xml:space="preserve">構造 </t>
    </r>
    <r>
      <rPr>
        <sz val="10"/>
        <color rgb="FF000000"/>
        <rFont val="Arial"/>
        <family val="0"/>
        <charset val="1"/>
      </rPr>
      <t xml:space="preserve">k=0</t>
    </r>
  </si>
  <si>
    <r>
      <rPr>
        <sz val="10"/>
        <color rgb="FF000000"/>
        <rFont val="Noto Sans CJK SC"/>
        <family val="2"/>
      </rPr>
      <t xml:space="preserve">単一 </t>
    </r>
    <r>
      <rPr>
        <sz val="10"/>
        <color rgb="FF000000"/>
        <rFont val="Arial"/>
        <family val="0"/>
        <charset val="1"/>
      </rPr>
      <t xml:space="preserve">k=1</t>
    </r>
  </si>
  <si>
    <r>
      <rPr>
        <sz val="10"/>
        <color rgb="FF000000"/>
        <rFont val="Noto Sans CJK SC"/>
        <family val="2"/>
      </rPr>
      <t xml:space="preserve">構造 </t>
    </r>
    <r>
      <rPr>
        <sz val="10"/>
        <color rgb="FF000000"/>
        <rFont val="Arial"/>
        <family val="0"/>
        <charset val="1"/>
      </rPr>
      <t xml:space="preserve">k=1</t>
    </r>
  </si>
  <si>
    <t xml:space="preserve">ランダムウォーク</t>
  </si>
  <si>
    <r>
      <rPr>
        <sz val="10"/>
        <color rgb="FF000000"/>
        <rFont val="Noto Sans CJK SC"/>
        <family val="2"/>
      </rPr>
      <t xml:space="preserve">うちグローバル売上</t>
    </r>
    <r>
      <rPr>
        <sz val="10"/>
        <color rgb="FF000000"/>
        <rFont val="Arial"/>
        <family val="0"/>
        <charset val="1"/>
      </rPr>
      <t xml:space="preserve">×</t>
    </r>
    <r>
      <rPr>
        <sz val="10"/>
        <color rgb="FF000000"/>
        <rFont val="Noto Sans CJK SC"/>
        <family val="2"/>
      </rPr>
      <t xml:space="preserve">中国以外（</t>
    </r>
    <r>
      <rPr>
        <sz val="10"/>
        <color rgb="FF000000"/>
        <rFont val="Arial"/>
        <family val="0"/>
        <charset val="1"/>
      </rPr>
      <t xml:space="preserve">k=0</t>
    </r>
    <r>
      <rPr>
        <sz val="10"/>
        <color rgb="FF000000"/>
        <rFont val="Noto Sans CJK SC"/>
        <family val="2"/>
      </rPr>
      <t xml:space="preserve">）</t>
    </r>
  </si>
  <si>
    <t xml:space="preserve">所見</t>
  </si>
  <si>
    <r>
      <rPr>
        <sz val="10"/>
        <color rgb="FF000000"/>
        <rFont val="Noto Sans CJK SC"/>
        <family val="2"/>
      </rPr>
      <t xml:space="preserve">・</t>
    </r>
    <r>
      <rPr>
        <sz val="10"/>
        <color rgb="FF000000"/>
        <rFont val="Arial"/>
        <family val="0"/>
        <charset val="1"/>
      </rPr>
      <t xml:space="preserve">7-8</t>
    </r>
    <r>
      <rPr>
        <sz val="10"/>
        <color rgb="FF000000"/>
        <rFont val="Noto Sans CJK SC"/>
        <family val="2"/>
      </rPr>
      <t xml:space="preserve">月の輸出（前年比＋</t>
    </r>
    <r>
      <rPr>
        <sz val="10"/>
        <color rgb="FF000000"/>
        <rFont val="Arial"/>
        <family val="0"/>
        <charset val="1"/>
      </rPr>
      <t xml:space="preserve">40</t>
    </r>
    <r>
      <rPr>
        <sz val="10"/>
        <color rgb="FF000000"/>
        <rFont val="Noto Sans CJK SC"/>
        <family val="2"/>
      </rPr>
      <t xml:space="preserve">％）を売上に換算すると、</t>
    </r>
    <r>
      <rPr>
        <sz val="10"/>
        <color rgb="FF000000"/>
        <rFont val="Arial"/>
        <family val="0"/>
        <charset val="1"/>
      </rPr>
      <t xml:space="preserve">2Q</t>
    </r>
    <r>
      <rPr>
        <sz val="10"/>
        <color rgb="FF000000"/>
        <rFont val="Noto Sans CJK SC"/>
        <family val="2"/>
      </rPr>
      <t xml:space="preserve">は構造モデルで約</t>
    </r>
    <r>
      <rPr>
        <sz val="10"/>
        <color rgb="FF000000"/>
        <rFont val="Arial"/>
        <family val="0"/>
        <charset val="1"/>
      </rPr>
      <t xml:space="preserve">790</t>
    </r>
    <r>
      <rPr>
        <sz val="10"/>
        <color rgb="FF000000"/>
        <rFont val="Noto Sans CJK SC"/>
        <family val="2"/>
      </rPr>
      <t xml:space="preserve">〜</t>
    </r>
    <r>
      <rPr>
        <sz val="10"/>
        <color rgb="FF000000"/>
        <rFont val="Arial"/>
        <family val="0"/>
        <charset val="1"/>
      </rPr>
      <t xml:space="preserve">870</t>
    </r>
    <r>
      <rPr>
        <sz val="10"/>
        <color rgb="FF000000"/>
        <rFont val="Noto Sans CJK SC"/>
        <family val="2"/>
      </rPr>
      <t xml:space="preserve">億円（基準</t>
    </r>
    <r>
      <rPr>
        <sz val="10"/>
        <color rgb="FF000000"/>
        <rFont val="Arial"/>
        <family val="0"/>
        <charset val="1"/>
      </rPr>
      <t xml:space="preserve">846</t>
    </r>
    <r>
      <rPr>
        <sz val="10"/>
        <color rgb="FF000000"/>
        <rFont val="Noto Sans CJK SC"/>
        <family val="2"/>
      </rPr>
      <t xml:space="preserve">億円）、単一モデルで約</t>
    </r>
    <r>
      <rPr>
        <sz val="10"/>
        <color rgb="FF000000"/>
        <rFont val="Arial"/>
        <family val="0"/>
        <charset val="1"/>
      </rPr>
      <t xml:space="preserve">740</t>
    </r>
    <r>
      <rPr>
        <sz val="10"/>
        <color rgb="FF000000"/>
        <rFont val="Noto Sans CJK SC"/>
        <family val="2"/>
      </rPr>
      <t xml:space="preserve">〜</t>
    </r>
    <r>
      <rPr>
        <sz val="10"/>
        <color rgb="FF000000"/>
        <rFont val="Arial"/>
        <family val="0"/>
        <charset val="1"/>
      </rPr>
      <t xml:space="preserve">830</t>
    </r>
    <r>
      <rPr>
        <sz val="10"/>
        <color rgb="FF000000"/>
        <rFont val="Noto Sans CJK SC"/>
        <family val="2"/>
      </rPr>
      <t xml:space="preserve">億円であり、計画</t>
    </r>
    <r>
      <rPr>
        <sz val="10"/>
        <color rgb="FF000000"/>
        <rFont val="Arial"/>
        <family val="0"/>
        <charset val="1"/>
      </rPr>
      <t xml:space="preserve">856</t>
    </r>
    <r>
      <rPr>
        <sz val="10"/>
        <color rgb="FF000000"/>
        <rFont val="Noto Sans CJK SC"/>
        <family val="2"/>
      </rPr>
      <t xml:space="preserve">億円と同水準かやや下である。</t>
    </r>
  </si>
  <si>
    <r>
      <rPr>
        <sz val="10"/>
        <color rgb="FF000000"/>
        <rFont val="Noto Sans CJK SC"/>
        <family val="2"/>
      </rPr>
      <t xml:space="preserve">・計画達成には、</t>
    </r>
    <r>
      <rPr>
        <sz val="10"/>
        <color rgb="FF000000"/>
        <rFont val="Arial"/>
        <family val="0"/>
        <charset val="1"/>
      </rPr>
      <t xml:space="preserve">9</t>
    </r>
    <r>
      <rPr>
        <sz val="10"/>
        <color rgb="FF000000"/>
        <rFont val="Noto Sans CJK SC"/>
        <family val="2"/>
      </rPr>
      <t xml:space="preserve">月の輸出が前年比＋</t>
    </r>
    <r>
      <rPr>
        <sz val="10"/>
        <color rgb="FF000000"/>
        <rFont val="Arial"/>
        <family val="0"/>
        <charset val="1"/>
      </rPr>
      <t xml:space="preserve">50</t>
    </r>
    <r>
      <rPr>
        <sz val="10"/>
        <color rgb="FF000000"/>
        <rFont val="Noto Sans CJK SC"/>
        <family val="2"/>
      </rPr>
      <t xml:space="preserve">％程度まで加速するか、</t>
    </r>
    <r>
      <rPr>
        <sz val="10"/>
        <color rgb="FF000000"/>
        <rFont val="Arial"/>
        <family val="0"/>
        <charset val="1"/>
      </rPr>
      <t xml:space="preserve">KOKUSAI</t>
    </r>
    <r>
      <rPr>
        <sz val="10"/>
        <color rgb="FF000000"/>
        <rFont val="Noto Sans CJK SC"/>
        <family val="2"/>
      </rPr>
      <t xml:space="preserve">のシェアが過去最高圏に留まる必要がある。</t>
    </r>
  </si>
  <si>
    <r>
      <rPr>
        <sz val="10"/>
        <color rgb="FF000000"/>
        <rFont val="Noto Sans CJK SC"/>
        <family val="2"/>
      </rPr>
      <t xml:space="preserve">・差は予測誤差（</t>
    </r>
    <r>
      <rPr>
        <sz val="10"/>
        <color rgb="FF000000"/>
        <rFont val="Arial"/>
        <family val="0"/>
        <charset val="1"/>
      </rPr>
      <t xml:space="preserve">±70</t>
    </r>
    <r>
      <rPr>
        <sz val="10"/>
        <color rgb="FF000000"/>
        <rFont val="Noto Sans CJK SC"/>
        <family val="2"/>
      </rPr>
      <t xml:space="preserve">〜</t>
    </r>
    <r>
      <rPr>
        <sz val="10"/>
        <color rgb="FF000000"/>
        <rFont val="Arial"/>
        <family val="0"/>
        <charset val="1"/>
      </rPr>
      <t xml:space="preserve">80</t>
    </r>
    <r>
      <rPr>
        <sz val="10"/>
        <color rgb="FF000000"/>
        <rFont val="Noto Sans CJK SC"/>
        <family val="2"/>
      </rPr>
      <t xml:space="preserve">億円）の範囲内であり、方向感の確認に留まる。</t>
    </r>
    <r>
      <rPr>
        <sz val="10"/>
        <color rgb="FF000000"/>
        <rFont val="Arial"/>
        <family val="0"/>
        <charset val="1"/>
      </rPr>
      <t xml:space="preserve">9</t>
    </r>
    <r>
      <rPr>
        <sz val="10"/>
        <color rgb="FF000000"/>
        <rFont val="Noto Sans CJK SC"/>
        <family val="2"/>
      </rPr>
      <t xml:space="preserve">月速報（</t>
    </r>
    <r>
      <rPr>
        <sz val="10"/>
        <color rgb="FF000000"/>
        <rFont val="Arial"/>
        <family val="0"/>
        <charset val="1"/>
      </rPr>
      <t xml:space="preserve">10/21</t>
    </r>
    <r>
      <rPr>
        <sz val="10"/>
        <color rgb="FF000000"/>
        <rFont val="Noto Sans CJK SC"/>
        <family val="2"/>
      </rPr>
      <t xml:space="preserve">）で再計算すれば決算前に精度が上がる。</t>
    </r>
  </si>
  <si>
    <r>
      <rPr>
        <sz val="10"/>
        <color rgb="FF000000"/>
        <rFont val="Noto Sans CJK SC"/>
        <family val="2"/>
      </rPr>
      <t xml:space="preserve">・グローバル売上と中国以外向け輸出は</t>
    </r>
    <r>
      <rPr>
        <sz val="10"/>
        <color rgb="FF000000"/>
        <rFont val="Arial"/>
        <family val="0"/>
        <charset val="1"/>
      </rPr>
      <t xml:space="preserve">R²0.8</t>
    </r>
    <r>
      <rPr>
        <sz val="10"/>
        <color rgb="FF000000"/>
        <rFont val="Noto Sans CJK SC"/>
        <family val="2"/>
      </rPr>
      <t xml:space="preserve">と強く連動する。一方、中国地場売上と対中輸出の連動は弱く、全社の精度を押し下げている。</t>
    </r>
  </si>
  <si>
    <r>
      <rPr>
        <sz val="10"/>
        <color rgb="FF000000"/>
        <rFont val="Noto Sans CJK SC"/>
        <family val="2"/>
      </rPr>
      <t xml:space="preserve">・富山（伏木税関支署管内）の半導体等製造装置輸出は年</t>
    </r>
    <r>
      <rPr>
        <sz val="10"/>
        <color rgb="FF000000"/>
        <rFont val="Arial"/>
        <family val="0"/>
        <charset val="1"/>
      </rPr>
      <t xml:space="preserve">23</t>
    </r>
    <r>
      <rPr>
        <sz val="10"/>
        <color rgb="FF000000"/>
        <rFont val="Noto Sans CJK SC"/>
        <family val="2"/>
      </rPr>
      <t xml:space="preserve">億円規模に過ぎず、税関別データから工場を特定する方法は</t>
    </r>
    <r>
      <rPr>
        <sz val="10"/>
        <color rgb="FF000000"/>
        <rFont val="Arial"/>
        <family val="0"/>
        <charset val="1"/>
      </rPr>
      <t xml:space="preserve">KOKUSAI</t>
    </r>
    <r>
      <rPr>
        <sz val="10"/>
        <color rgb="FF000000"/>
        <rFont val="Noto Sans CJK SC"/>
        <family val="2"/>
      </rPr>
      <t xml:space="preserve">では機能しなかった。</t>
    </r>
  </si>
  <si>
    <t xml:space="preserve">財務省 貿易統計 月次速報：概況品「半導体等製造装置」の地域別輸出（原データ）</t>
  </si>
  <si>
    <r>
      <rPr>
        <sz val="9"/>
        <color rgb="FF555555"/>
        <rFont val="Noto Sans CJK SC"/>
        <family val="2"/>
      </rPr>
      <t xml:space="preserve">青字＝各月の速報</t>
    </r>
    <r>
      <rPr>
        <sz val="9"/>
        <color rgb="FF555555"/>
        <rFont val="Arial"/>
        <family val="0"/>
        <charset val="1"/>
      </rPr>
      <t xml:space="preserve">PDF</t>
    </r>
    <r>
      <rPr>
        <sz val="9"/>
        <color rgb="FF555555"/>
        <rFont val="Noto Sans CJK SC"/>
        <family val="2"/>
      </rPr>
      <t xml:space="preserve">から転記した値。価額は百万円、前年同月比は％（例：</t>
    </r>
    <r>
      <rPr>
        <sz val="9"/>
        <color rgb="FF555555"/>
        <rFont val="Arial"/>
        <family val="0"/>
        <charset val="1"/>
      </rPr>
      <t xml:space="preserve">40.1</t>
    </r>
    <r>
      <rPr>
        <sz val="9"/>
        <color rgb="FF555555"/>
        <rFont val="Noto Sans CJK SC"/>
        <family val="2"/>
      </rPr>
      <t xml:space="preserve">＝＋</t>
    </r>
    <r>
      <rPr>
        <sz val="9"/>
        <color rgb="FF555555"/>
        <rFont val="Arial"/>
        <family val="0"/>
        <charset val="1"/>
      </rPr>
      <t xml:space="preserve">40.1</t>
    </r>
    <r>
      <rPr>
        <sz val="9"/>
        <color rgb="FF555555"/>
        <rFont val="Noto Sans CJK SC"/>
        <family val="2"/>
      </rPr>
      <t xml:space="preserve">％）。</t>
    </r>
  </si>
  <si>
    <t xml:space="preserve">月</t>
  </si>
  <si>
    <t xml:space="preserve">地域</t>
  </si>
  <si>
    <t xml:space="preserve">価額（百万円）</t>
  </si>
  <si>
    <t xml:space="preserve">前年同月比（％）</t>
  </si>
  <si>
    <t xml:space="preserve">数量（トン）</t>
  </si>
  <si>
    <t xml:space="preserve">数量前年比（％）</t>
  </si>
  <si>
    <r>
      <rPr>
        <b val="true"/>
        <sz val="10"/>
        <rFont val="Noto Sans CJK SC"/>
        <family val="2"/>
      </rPr>
      <t xml:space="preserve">出所</t>
    </r>
    <r>
      <rPr>
        <b val="true"/>
        <sz val="10"/>
        <rFont val="Arial"/>
        <family val="0"/>
        <charset val="1"/>
      </rPr>
      <t xml:space="preserve">PDF</t>
    </r>
  </si>
  <si>
    <r>
      <rPr>
        <b val="true"/>
        <sz val="10"/>
        <rFont val="Arial"/>
        <family val="0"/>
        <charset val="1"/>
      </rPr>
      <t xml:space="preserve">2024</t>
    </r>
    <r>
      <rPr>
        <b val="true"/>
        <sz val="10"/>
        <rFont val="Noto Sans CJK SC"/>
        <family val="2"/>
      </rPr>
      <t xml:space="preserve">年</t>
    </r>
    <r>
      <rPr>
        <b val="true"/>
        <sz val="10"/>
        <rFont val="Arial"/>
        <family val="0"/>
        <charset val="1"/>
      </rPr>
      <t xml:space="preserve">5</t>
    </r>
    <r>
      <rPr>
        <b val="true"/>
        <sz val="10"/>
        <rFont val="Noto Sans CJK SC"/>
        <family val="2"/>
      </rPr>
      <t xml:space="preserve">月の前年同月比（概要</t>
    </r>
    <r>
      <rPr>
        <b val="true"/>
        <sz val="10"/>
        <rFont val="Arial"/>
        <family val="0"/>
        <charset val="1"/>
      </rPr>
      <t xml:space="preserve">PDF</t>
    </r>
    <r>
      <rPr>
        <b val="true"/>
        <sz val="10"/>
        <rFont val="Noto Sans CJK SC"/>
        <family val="2"/>
      </rPr>
      <t xml:space="preserve">より）</t>
    </r>
  </si>
  <si>
    <t xml:space="preserve">ASEAN</t>
  </si>
  <si>
    <t xml:space="preserve">https://www.customs.go.jp/toukei/shinbun/trade-st/2024/2024044.pdf</t>
  </si>
  <si>
    <t xml:space="preserve">Asia</t>
  </si>
  <si>
    <t xml:space="preserve">World</t>
  </si>
  <si>
    <t xml:space="preserve">China</t>
  </si>
  <si>
    <t xml:space="preserve">EU</t>
  </si>
  <si>
    <t xml:space="preserve">Korea</t>
  </si>
  <si>
    <t xml:space="preserve">US</t>
  </si>
  <si>
    <r>
      <rPr>
        <sz val="9"/>
        <color rgb="FF555555"/>
        <rFont val="Noto Sans CJK SC"/>
        <family val="2"/>
      </rPr>
      <t xml:space="preserve">出所</t>
    </r>
    <r>
      <rPr>
        <sz val="9"/>
        <color rgb="FF555555"/>
        <rFont val="Arial"/>
        <family val="0"/>
        <charset val="1"/>
      </rPr>
      <t xml:space="preserve">: https://www.customs.go.jp/toukei/shinbun/trade-st/gaiyo2024_05.pdf</t>
    </r>
  </si>
  <si>
    <t xml:space="preserve">https://www.customs.go.jp/toukei/shinbun/trade-st/2024/2024064.pdf</t>
  </si>
  <si>
    <t xml:space="preserve">https://www.customs.go.jp/toukei/shinbun/trade-st/2024/2024074.pdf</t>
  </si>
  <si>
    <t xml:space="preserve">https://www.customs.go.jp/toukei/shinbun/trade-st/2024/2024084.pdf</t>
  </si>
  <si>
    <t xml:space="preserve">https://www.customs.go.jp/toukei/shinbun/trade-st/2024/2024094.pdf</t>
  </si>
  <si>
    <t xml:space="preserve">https://www.customs.go.jp/toukei/shinbun/trade-st/2024/2024104.pdf</t>
  </si>
  <si>
    <t xml:space="preserve">https://www.customs.go.jp/toukei/shinbun/trade-st/2024/2024114.pdf</t>
  </si>
  <si>
    <t xml:space="preserve">https://www.customs.go.jp/toukei/shinbun/trade-st/2024/2024124.pdf</t>
  </si>
  <si>
    <t xml:space="preserve">https://www.customs.go.jp/toukei/shinbun/trade-st/2025/2025014.pdf</t>
  </si>
  <si>
    <t xml:space="preserve">https://www.customs.go.jp/toukei/shinbun/trade-st/2025/2025024.pdf</t>
  </si>
  <si>
    <t xml:space="preserve">https://www.customs.go.jp/toukei/shinbun/trade-st/2025/2025034.pdf</t>
  </si>
  <si>
    <t xml:space="preserve">https://www.customs.go.jp/toukei/shinbun/trade-st/2025/2025044.pdf</t>
  </si>
  <si>
    <t xml:space="preserve">https://www.customs.go.jp/toukei/shinbun/trade-st/2025/2025054.pdf</t>
  </si>
  <si>
    <t xml:space="preserve">https://www.customs.go.jp/toukei/shinbun/trade-st/2025/2025064.pdf</t>
  </si>
  <si>
    <t xml:space="preserve">https://www.customs.go.jp/toukei/shinbun/trade-st/2025/2025074.pdf</t>
  </si>
  <si>
    <t xml:space="preserve">https://www.customs.go.jp/toukei/shinbun/trade-st/2025/2025084.pdf</t>
  </si>
  <si>
    <t xml:space="preserve">https://www.customs.go.jp/toukei/shinbun/trade-st/2025/2025094.pdf</t>
  </si>
  <si>
    <t xml:space="preserve">https://www.customs.go.jp/toukei/shinbun/trade-st/2025/2025104.pdf</t>
  </si>
  <si>
    <t xml:space="preserve">https://www.customs.go.jp/toukei/shinbun/trade-st/2025/2025114.pdf</t>
  </si>
  <si>
    <t xml:space="preserve">https://www.customs.go.jp/toukei/shinbun/trade-st/2025/2025124.pdf</t>
  </si>
  <si>
    <t xml:space="preserve">https://www.customs.go.jp/toukei/shinbun/trade-st/2026/2026014.pdf</t>
  </si>
  <si>
    <t xml:space="preserve">https://www.customs.go.jp/toukei/shinbun/trade-st/2026/2026024.pdf</t>
  </si>
  <si>
    <t xml:space="preserve">https://www.customs.go.jp/toukei/shinbun/trade-st/2026/2026034.pdf</t>
  </si>
  <si>
    <t xml:space="preserve">https://www.customs.go.jp/toukei/shinbun/trade-st/2026/2026044.pdf</t>
  </si>
  <si>
    <t xml:space="preserve">https://www.customs.go.jp/toukei/shinbun/trade-st/2026/2026054.pdf</t>
  </si>
  <si>
    <t xml:space="preserve">https://www.customs.go.jp/toukei/shinbun/trade-st/2026/2026064.pdf</t>
  </si>
  <si>
    <t xml:space="preserve">https://www.customs.go.jp/toukei/shinbun/trade-st/2026/2026074.pdf</t>
  </si>
  <si>
    <t xml:space="preserve">https://www.customs.go.jp/toukei/shinbun/trade-st/2026/2026084.pdf</t>
  </si>
  <si>
    <t xml:space="preserve">半導体等製造装置の輸出（億円）— 月次パネル</t>
  </si>
  <si>
    <r>
      <rPr>
        <sz val="9"/>
        <color rgb="FF555555"/>
        <rFont val="Noto Sans CJK SC"/>
        <family val="2"/>
      </rPr>
      <t xml:space="preserve">当月の速報値を優先。無い月は翌年同月の速報値</t>
    </r>
    <r>
      <rPr>
        <sz val="9"/>
        <color rgb="FF555555"/>
        <rFont val="Arial"/>
        <family val="0"/>
        <charset val="1"/>
      </rPr>
      <t xml:space="preserve">÷(1</t>
    </r>
    <r>
      <rPr>
        <sz val="9"/>
        <color rgb="FF555555"/>
        <rFont val="Noto Sans CJK SC"/>
        <family val="2"/>
      </rPr>
      <t xml:space="preserve">＋前年同月比</t>
    </r>
    <r>
      <rPr>
        <sz val="9"/>
        <color rgb="FF555555"/>
        <rFont val="Arial"/>
        <family val="0"/>
        <charset val="1"/>
      </rPr>
      <t xml:space="preserve">)</t>
    </r>
    <r>
      <rPr>
        <sz val="9"/>
        <color rgb="FF555555"/>
        <rFont val="Noto Sans CJK SC"/>
        <family val="2"/>
      </rPr>
      <t xml:space="preserve">で逆算。</t>
    </r>
    <r>
      <rPr>
        <sz val="9"/>
        <color rgb="FF555555"/>
        <rFont val="Arial"/>
        <family val="0"/>
        <charset val="1"/>
      </rPr>
      <t xml:space="preserve">2023</t>
    </r>
    <r>
      <rPr>
        <sz val="9"/>
        <color rgb="FF555555"/>
        <rFont val="Noto Sans CJK SC"/>
        <family val="2"/>
      </rPr>
      <t xml:space="preserve">年</t>
    </r>
    <r>
      <rPr>
        <sz val="9"/>
        <color rgb="FF555555"/>
        <rFont val="Arial"/>
        <family val="0"/>
        <charset val="1"/>
      </rPr>
      <t xml:space="preserve">5</t>
    </r>
    <r>
      <rPr>
        <sz val="9"/>
        <color rgb="FF555555"/>
        <rFont val="Noto Sans CJK SC"/>
        <family val="2"/>
      </rPr>
      <t xml:space="preserve">月は</t>
    </r>
    <r>
      <rPr>
        <sz val="9"/>
        <color rgb="FF555555"/>
        <rFont val="Arial"/>
        <family val="0"/>
        <charset val="1"/>
      </rPr>
      <t xml:space="preserve">2</t>
    </r>
    <r>
      <rPr>
        <sz val="9"/>
        <color rgb="FF555555"/>
        <rFont val="Noto Sans CJK SC"/>
        <family val="2"/>
      </rPr>
      <t xml:space="preserve">段逆算、韓国・</t>
    </r>
    <r>
      <rPr>
        <sz val="9"/>
        <color rgb="FF555555"/>
        <rFont val="Arial"/>
        <family val="0"/>
        <charset val="1"/>
      </rPr>
      <t xml:space="preserve">ASEAN</t>
    </r>
    <r>
      <rPr>
        <sz val="9"/>
        <color rgb="FF555555"/>
        <rFont val="Noto Sans CJK SC"/>
        <family val="2"/>
      </rPr>
      <t xml:space="preserve">・</t>
    </r>
    <r>
      <rPr>
        <sz val="9"/>
        <color rgb="FF555555"/>
        <rFont val="Arial"/>
        <family val="0"/>
        <charset val="1"/>
      </rPr>
      <t xml:space="preserve">EU</t>
    </r>
    <r>
      <rPr>
        <sz val="9"/>
        <color rgb="FF555555"/>
        <rFont val="Noto Sans CJK SC"/>
        <family val="2"/>
      </rPr>
      <t xml:space="preserve">の同月は前後月の平均で補間。</t>
    </r>
  </si>
  <si>
    <t xml:space="preserve">世界</t>
  </si>
  <si>
    <t xml:space="preserve">アジア</t>
  </si>
  <si>
    <t xml:space="preserve">中国</t>
  </si>
  <si>
    <t xml:space="preserve">韓国</t>
  </si>
  <si>
    <t xml:space="preserve">米国</t>
  </si>
  <si>
    <t xml:space="preserve">中国以外</t>
  </si>
  <si>
    <t xml:space="preserve">アジア残差（台湾等）</t>
  </si>
  <si>
    <t xml:space="preserve">値の出所</t>
  </si>
  <si>
    <t xml:space="preserve">翌年同月速報の前年比から逆算</t>
  </si>
  <si>
    <r>
      <rPr>
        <sz val="9"/>
        <color rgb="FF555555"/>
        <rFont val="Arial"/>
        <family val="0"/>
        <charset val="1"/>
      </rPr>
      <t xml:space="preserve">2</t>
    </r>
    <r>
      <rPr>
        <sz val="9"/>
        <color rgb="FF555555"/>
        <rFont val="Noto Sans CJK SC"/>
        <family val="2"/>
      </rPr>
      <t xml:space="preserve">段逆算（韓国・</t>
    </r>
    <r>
      <rPr>
        <sz val="9"/>
        <color rgb="FF555555"/>
        <rFont val="Arial"/>
        <family val="0"/>
        <charset val="1"/>
      </rPr>
      <t xml:space="preserve">ASEAN</t>
    </r>
    <r>
      <rPr>
        <sz val="9"/>
        <color rgb="FF555555"/>
        <rFont val="Noto Sans CJK SC"/>
        <family val="2"/>
      </rPr>
      <t xml:space="preserve">・</t>
    </r>
    <r>
      <rPr>
        <sz val="9"/>
        <color rgb="FF555555"/>
        <rFont val="Arial"/>
        <family val="0"/>
        <charset val="1"/>
      </rPr>
      <t xml:space="preserve">EU</t>
    </r>
    <r>
      <rPr>
        <sz val="9"/>
        <color rgb="FF555555"/>
        <rFont val="Noto Sans CJK SC"/>
        <family val="2"/>
      </rPr>
      <t xml:space="preserve">は補間）</t>
    </r>
  </si>
  <si>
    <t xml:space="preserve">当月速報</t>
  </si>
  <si>
    <r>
      <rPr>
        <b val="true"/>
        <sz val="12"/>
        <rFont val="Arial"/>
        <family val="0"/>
        <charset val="1"/>
      </rPr>
      <t xml:space="preserve">KOKUSAI ELECTRIC</t>
    </r>
    <r>
      <rPr>
        <b val="true"/>
        <sz val="12"/>
        <rFont val="Noto Sans CJK SC"/>
        <family val="2"/>
      </rPr>
      <t xml:space="preserve">（</t>
    </r>
    <r>
      <rPr>
        <b val="true"/>
        <sz val="12"/>
        <rFont val="Arial"/>
        <family val="0"/>
        <charset val="1"/>
      </rPr>
      <t xml:space="preserve">6525</t>
    </r>
    <r>
      <rPr>
        <b val="true"/>
        <sz val="12"/>
        <rFont val="Noto Sans CJK SC"/>
        <family val="2"/>
      </rPr>
      <t xml:space="preserve">）四半期売上収益（億円）</t>
    </r>
  </si>
  <si>
    <r>
      <rPr>
        <sz val="9"/>
        <color rgb="FF555555"/>
        <rFont val="Noto Sans CJK SC"/>
        <family val="2"/>
      </rPr>
      <t xml:space="preserve">青字＝決算説明資料からの転記。</t>
    </r>
    <r>
      <rPr>
        <sz val="9"/>
        <color rgb="FF555555"/>
        <rFont val="Arial"/>
        <family val="0"/>
        <charset val="1"/>
      </rPr>
      <t xml:space="preserve">27/3</t>
    </r>
    <r>
      <rPr>
        <sz val="9"/>
        <color rgb="FF555555"/>
        <rFont val="Noto Sans CJK SC"/>
        <family val="2"/>
      </rPr>
      <t xml:space="preserve">期から装置・サービスの区分基準が変更されたため、</t>
    </r>
    <r>
      <rPr>
        <sz val="9"/>
        <color rgb="FF555555"/>
        <rFont val="Arial"/>
        <family val="0"/>
        <charset val="1"/>
      </rPr>
      <t xml:space="preserve">1Q</t>
    </r>
    <r>
      <rPr>
        <sz val="9"/>
        <color rgb="FF555555"/>
        <rFont val="Noto Sans CJK SC"/>
        <family val="2"/>
      </rPr>
      <t xml:space="preserve">の内訳は空欄。</t>
    </r>
  </si>
  <si>
    <t xml:space="preserve">四半期</t>
  </si>
  <si>
    <t xml:space="preserve">期間</t>
  </si>
  <si>
    <t xml:space="preserve">期末月</t>
  </si>
  <si>
    <t xml:space="preserve">売上収益</t>
  </si>
  <si>
    <t xml:space="preserve">装置（旧基準）</t>
  </si>
  <si>
    <t xml:space="preserve">サービス（旧基準）</t>
  </si>
  <si>
    <t xml:space="preserve">中国地場比率</t>
  </si>
  <si>
    <t xml:space="preserve">中国地場売上</t>
  </si>
  <si>
    <t xml:space="preserve">グローバル売上</t>
  </si>
  <si>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</si>
  <si>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</si>
  <si>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</si>
  <si>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</si>
  <si>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</si>
  <si>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</si>
  <si>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</si>
  <si>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</si>
  <si>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</si>
  <si>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</si>
  <si>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</si>
  <si>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</si>
  <si>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</si>
  <si>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</si>
  <si>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</si>
  <si>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</si>
  <si>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</si>
  <si>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</si>
  <si>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</si>
  <si>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</si>
  <si>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</si>
  <si>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</si>
  <si>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</si>
  <si>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</si>
  <si>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27/3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</si>
  <si>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</si>
  <si>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9"/>
        <color rgb="FF555555"/>
        <rFont val="Noto Sans CJK SC"/>
        <family val="2"/>
      </rPr>
      <t xml:space="preserve">出所</t>
    </r>
    <r>
      <rPr>
        <sz val="9"/>
        <color rgb="FF555555"/>
        <rFont val="Arial"/>
        <family val="0"/>
        <charset val="1"/>
      </rPr>
      <t xml:space="preserve">: 24/3</t>
    </r>
    <r>
      <rPr>
        <sz val="9"/>
        <color rgb="FF555555"/>
        <rFont val="Noto Sans CJK SC"/>
        <family val="2"/>
      </rPr>
      <t xml:space="preserve">期〜</t>
    </r>
    <r>
      <rPr>
        <sz val="9"/>
        <color rgb="FF555555"/>
        <rFont val="Arial"/>
        <family val="0"/>
        <charset val="1"/>
      </rPr>
      <t xml:space="preserve">25/3</t>
    </r>
    <r>
      <rPr>
        <sz val="9"/>
        <color rgb="FF555555"/>
        <rFont val="Noto Sans CJK SC"/>
        <family val="2"/>
      </rPr>
      <t xml:space="preserve">期は</t>
    </r>
    <r>
      <rPr>
        <sz val="9"/>
        <color rgb="FF555555"/>
        <rFont val="Arial"/>
        <family val="0"/>
        <charset val="1"/>
      </rPr>
      <t xml:space="preserve">25/3</t>
    </r>
    <r>
      <rPr>
        <sz val="9"/>
        <color rgb="FF555555"/>
        <rFont val="Noto Sans CJK SC"/>
        <family val="2"/>
      </rPr>
      <t xml:space="preserve">期決算説明資料、</t>
    </r>
    <r>
      <rPr>
        <sz val="9"/>
        <color rgb="FF555555"/>
        <rFont val="Arial"/>
        <family val="0"/>
        <charset val="1"/>
      </rPr>
      <t xml:space="preserve">26/3</t>
    </r>
    <r>
      <rPr>
        <sz val="9"/>
        <color rgb="FF555555"/>
        <rFont val="Noto Sans CJK SC"/>
        <family val="2"/>
      </rPr>
      <t xml:space="preserve">期は</t>
    </r>
    <r>
      <rPr>
        <sz val="9"/>
        <color rgb="FF555555"/>
        <rFont val="Arial"/>
        <family val="0"/>
        <charset val="1"/>
      </rPr>
      <t xml:space="preserve">26/3</t>
    </r>
    <r>
      <rPr>
        <sz val="9"/>
        <color rgb="FF555555"/>
        <rFont val="Noto Sans CJK SC"/>
        <family val="2"/>
      </rPr>
      <t xml:space="preserve">期決算説明資料、</t>
    </r>
    <r>
      <rPr>
        <sz val="9"/>
        <color rgb="FF555555"/>
        <rFont val="Arial"/>
        <family val="0"/>
        <charset val="1"/>
      </rPr>
      <t xml:space="preserve">27/3</t>
    </r>
    <r>
      <rPr>
        <sz val="9"/>
        <color rgb="FF555555"/>
        <rFont val="Noto Sans CJK SC"/>
        <family val="2"/>
      </rPr>
      <t xml:space="preserve">期</t>
    </r>
    <r>
      <rPr>
        <sz val="9"/>
        <color rgb="FF555555"/>
        <rFont val="Arial"/>
        <family val="0"/>
        <charset val="1"/>
      </rPr>
      <t xml:space="preserve">1Q</t>
    </r>
    <r>
      <rPr>
        <sz val="9"/>
        <color rgb="FF555555"/>
        <rFont val="Noto Sans CJK SC"/>
        <family val="2"/>
      </rPr>
      <t xml:space="preserve">は決算報道（売上</t>
    </r>
    <r>
      <rPr>
        <sz val="9"/>
        <color rgb="FF555555"/>
        <rFont val="Arial"/>
        <family val="0"/>
        <charset val="1"/>
      </rPr>
      <t xml:space="preserve">754</t>
    </r>
    <r>
      <rPr>
        <sz val="9"/>
        <color rgb="FF555555"/>
        <rFont val="Noto Sans CJK SC"/>
        <family val="2"/>
      </rPr>
      <t xml:space="preserve">億円、中国地場</t>
    </r>
    <r>
      <rPr>
        <sz val="9"/>
        <color rgb="FF555555"/>
        <rFont val="Arial"/>
        <family val="0"/>
        <charset val="1"/>
      </rPr>
      <t xml:space="preserve">25</t>
    </r>
    <r>
      <rPr>
        <sz val="9"/>
        <color rgb="FF555555"/>
        <rFont val="Noto Sans CJK SC"/>
        <family val="2"/>
      </rPr>
      <t xml:space="preserve">％）。</t>
    </r>
  </si>
  <si>
    <t xml:space="preserve">中国地場比率は会社開示の四半期比率を全社売上に掛けて金額化した近似（比率の母数が装置売上である場合は過大）。</t>
  </si>
  <si>
    <r>
      <rPr>
        <b val="true"/>
        <sz val="12"/>
        <rFont val="Noto Sans CJK SC"/>
        <family val="2"/>
      </rPr>
      <t xml:space="preserve">四半期ごとの輸出額（億円）— 期末月から</t>
    </r>
    <r>
      <rPr>
        <b val="true"/>
        <sz val="12"/>
        <rFont val="Arial"/>
        <family val="0"/>
        <charset val="1"/>
      </rPr>
      <t xml:space="preserve">k</t>
    </r>
    <r>
      <rPr>
        <b val="true"/>
        <sz val="12"/>
        <rFont val="Noto Sans CJK SC"/>
        <family val="2"/>
      </rPr>
      <t xml:space="preserve">か月ずらした</t>
    </r>
    <r>
      <rPr>
        <b val="true"/>
        <sz val="12"/>
        <rFont val="Arial"/>
        <family val="0"/>
        <charset val="1"/>
      </rPr>
      <t xml:space="preserve">3</t>
    </r>
    <r>
      <rPr>
        <b val="true"/>
        <sz val="12"/>
        <rFont val="Noto Sans CJK SC"/>
        <family val="2"/>
      </rPr>
      <t xml:space="preserve">か月合計</t>
    </r>
  </si>
  <si>
    <r>
      <rPr>
        <sz val="9"/>
        <color rgb="FF555555"/>
        <rFont val="Arial"/>
        <family val="0"/>
        <charset val="1"/>
      </rPr>
      <t xml:space="preserve">k</t>
    </r>
    <r>
      <rPr>
        <sz val="9"/>
        <color rgb="FF555555"/>
        <rFont val="Noto Sans CJK SC"/>
        <family val="2"/>
      </rPr>
      <t xml:space="preserve">＝輸出（通関）が売上計上に先行する月数。</t>
    </r>
    <r>
      <rPr>
        <sz val="9"/>
        <color rgb="FF555555"/>
        <rFont val="Arial"/>
        <family val="0"/>
        <charset val="1"/>
      </rPr>
      <t xml:space="preserve">k=1</t>
    </r>
    <r>
      <rPr>
        <sz val="9"/>
        <color rgb="FF555555"/>
        <rFont val="Noto Sans CJK SC"/>
        <family val="2"/>
      </rPr>
      <t xml:space="preserve">なら、</t>
    </r>
    <r>
      <rPr>
        <sz val="9"/>
        <color rgb="FF555555"/>
        <rFont val="Arial"/>
        <family val="0"/>
        <charset val="1"/>
      </rPr>
      <t xml:space="preserve">7-9</t>
    </r>
    <r>
      <rPr>
        <sz val="9"/>
        <color rgb="FF555555"/>
        <rFont val="Noto Sans CJK SC"/>
        <family val="2"/>
      </rPr>
      <t xml:space="preserve">月期に</t>
    </r>
    <r>
      <rPr>
        <sz val="9"/>
        <color rgb="FF555555"/>
        <rFont val="Arial"/>
        <family val="0"/>
        <charset val="1"/>
      </rPr>
      <t xml:space="preserve">6-8</t>
    </r>
    <r>
      <rPr>
        <sz val="9"/>
        <color rgb="FF555555"/>
        <rFont val="Noto Sans CJK SC"/>
        <family val="2"/>
      </rPr>
      <t xml:space="preserve">月の輸出を対応させる。</t>
    </r>
  </si>
  <si>
    <t xml:space="preserve">k =</t>
  </si>
  <si>
    <r>
      <rPr>
        <sz val="9"/>
        <color rgb="FF555555"/>
        <rFont val="Noto Sans CJK SC"/>
        <family val="2"/>
      </rPr>
      <t xml:space="preserve">（</t>
    </r>
    <r>
      <rPr>
        <sz val="9"/>
        <color rgb="FF555555"/>
        <rFont val="Arial"/>
        <family val="0"/>
        <charset val="1"/>
      </rPr>
      <t xml:space="preserve">k=0</t>
    </r>
    <r>
      <rPr>
        <sz val="9"/>
        <color rgb="FF555555"/>
        <rFont val="Noto Sans CJK SC"/>
        <family val="2"/>
      </rPr>
      <t xml:space="preserve">：同じ</t>
    </r>
    <r>
      <rPr>
        <sz val="9"/>
        <color rgb="FF555555"/>
        <rFont val="Arial"/>
        <family val="0"/>
        <charset val="1"/>
      </rPr>
      <t xml:space="preserve">3</t>
    </r>
    <r>
      <rPr>
        <sz val="9"/>
        <color rgb="FF555555"/>
        <rFont val="Noto Sans CJK SC"/>
        <family val="2"/>
      </rPr>
      <t xml:space="preserve">か月）</t>
    </r>
  </si>
  <si>
    <r>
      <rPr>
        <sz val="9"/>
        <color rgb="FF555555"/>
        <rFont val="Noto Sans CJK SC"/>
        <family val="2"/>
      </rPr>
      <t xml:space="preserve">（</t>
    </r>
    <r>
      <rPr>
        <sz val="9"/>
        <color rgb="FF555555"/>
        <rFont val="Arial"/>
        <family val="0"/>
        <charset val="1"/>
      </rPr>
      <t xml:space="preserve">k=1</t>
    </r>
    <r>
      <rPr>
        <sz val="9"/>
        <color rgb="FF555555"/>
        <rFont val="Noto Sans CJK SC"/>
        <family val="2"/>
      </rPr>
      <t xml:space="preserve">：</t>
    </r>
    <r>
      <rPr>
        <sz val="9"/>
        <color rgb="FF555555"/>
        <rFont val="Arial"/>
        <family val="0"/>
        <charset val="1"/>
      </rPr>
      <t xml:space="preserve">1</t>
    </r>
    <r>
      <rPr>
        <sz val="9"/>
        <color rgb="FF555555"/>
        <rFont val="Noto Sans CJK SC"/>
        <family val="2"/>
      </rPr>
      <t xml:space="preserve">か月先行）</t>
    </r>
  </si>
  <si>
    <t xml:space="preserve">実質シェア</t>
  </si>
  <si>
    <r>
      <rPr>
        <sz val="10"/>
        <color rgb="FF000000"/>
        <rFont val="Arial"/>
        <family val="0"/>
        <charset val="1"/>
      </rPr>
      <t xml:space="preserve">27/3</t>
    </r>
    <r>
      <rPr>
        <sz val="10"/>
        <color rgb="FF000000"/>
        <rFont val="Noto Sans CJK SC"/>
        <family val="2"/>
      </rPr>
      <t xml:space="preserve">期 </t>
    </r>
    <r>
      <rPr>
        <sz val="10"/>
        <color rgb="FF000000"/>
        <rFont val="Arial"/>
        <family val="0"/>
        <charset val="1"/>
      </rPr>
      <t xml:space="preserve">2Q</t>
    </r>
  </si>
  <si>
    <r>
      <rPr>
        <sz val="9"/>
        <color rgb="FF555555"/>
        <rFont val="Noto Sans CJK SC"/>
        <family val="2"/>
      </rPr>
      <t xml:space="preserve">実質シェア＝</t>
    </r>
    <r>
      <rPr>
        <sz val="9"/>
        <color rgb="FF555555"/>
        <rFont val="Arial"/>
        <family val="0"/>
        <charset val="1"/>
      </rPr>
      <t xml:space="preserve">KOKUSAI</t>
    </r>
    <r>
      <rPr>
        <sz val="9"/>
        <color rgb="FF555555"/>
        <rFont val="Noto Sans CJK SC"/>
        <family val="2"/>
      </rPr>
      <t xml:space="preserve">売上</t>
    </r>
    <r>
      <rPr>
        <sz val="9"/>
        <color rgb="FF555555"/>
        <rFont val="Arial"/>
        <family val="0"/>
        <charset val="1"/>
      </rPr>
      <t xml:space="preserve">÷</t>
    </r>
    <r>
      <rPr>
        <sz val="9"/>
        <color rgb="FF555555"/>
        <rFont val="Noto Sans CJK SC"/>
        <family val="2"/>
      </rPr>
      <t xml:space="preserve">日本の半導体等製造装置輸出。</t>
    </r>
    <r>
      <rPr>
        <sz val="9"/>
        <color rgb="FF555555"/>
        <rFont val="Arial"/>
        <family val="0"/>
        <charset val="1"/>
      </rPr>
      <t xml:space="preserve">27/3</t>
    </r>
    <r>
      <rPr>
        <sz val="9"/>
        <color rgb="FF555555"/>
        <rFont val="Noto Sans CJK SC"/>
        <family val="2"/>
      </rPr>
      <t xml:space="preserve">期</t>
    </r>
    <r>
      <rPr>
        <sz val="9"/>
        <color rgb="FF555555"/>
        <rFont val="Arial"/>
        <family val="0"/>
        <charset val="1"/>
      </rPr>
      <t xml:space="preserve">2Q</t>
    </r>
    <r>
      <rPr>
        <sz val="9"/>
        <color rgb="FF555555"/>
        <rFont val="Noto Sans CJK SC"/>
        <family val="2"/>
      </rPr>
      <t xml:space="preserve">の</t>
    </r>
    <r>
      <rPr>
        <sz val="9"/>
        <color rgb="FF555555"/>
        <rFont val="Arial"/>
        <family val="0"/>
        <charset val="1"/>
      </rPr>
      <t xml:space="preserve">k=0</t>
    </r>
    <r>
      <rPr>
        <sz val="9"/>
        <color rgb="FF555555"/>
        <rFont val="Noto Sans CJK SC"/>
        <family val="2"/>
      </rPr>
      <t xml:space="preserve">は</t>
    </r>
    <r>
      <rPr>
        <sz val="9"/>
        <color rgb="FF555555"/>
        <rFont val="Arial"/>
        <family val="0"/>
        <charset val="1"/>
      </rPr>
      <t xml:space="preserve">9</t>
    </r>
    <r>
      <rPr>
        <sz val="9"/>
        <color rgb="FF555555"/>
        <rFont val="Noto Sans CJK SC"/>
        <family val="2"/>
      </rPr>
      <t xml:space="preserve">月分が未公表のため空欄（ナウキャストで推計）。</t>
    </r>
  </si>
  <si>
    <r>
      <rPr>
        <b val="true"/>
        <sz val="12"/>
        <rFont val="Noto Sans CJK SC"/>
        <family val="2"/>
      </rPr>
      <t xml:space="preserve">回帰：売上収益と輸出額（サンプル＝</t>
    </r>
    <r>
      <rPr>
        <b val="true"/>
        <sz val="12"/>
        <rFont val="Arial"/>
        <family val="0"/>
        <charset val="1"/>
      </rPr>
      <t xml:space="preserve">24/3</t>
    </r>
    <r>
      <rPr>
        <b val="true"/>
        <sz val="12"/>
        <rFont val="Noto Sans CJK SC"/>
        <family val="2"/>
      </rPr>
      <t xml:space="preserve">期</t>
    </r>
    <r>
      <rPr>
        <b val="true"/>
        <sz val="12"/>
        <rFont val="Arial"/>
        <family val="0"/>
        <charset val="1"/>
      </rPr>
      <t xml:space="preserve">2Q</t>
    </r>
    <r>
      <rPr>
        <b val="true"/>
        <sz val="12"/>
        <rFont val="Noto Sans CJK SC"/>
        <family val="2"/>
      </rPr>
      <t xml:space="preserve">〜</t>
    </r>
    <r>
      <rPr>
        <b val="true"/>
        <sz val="12"/>
        <rFont val="Arial"/>
        <family val="0"/>
        <charset val="1"/>
      </rPr>
      <t xml:space="preserve">27/3</t>
    </r>
    <r>
      <rPr>
        <b val="true"/>
        <sz val="12"/>
        <rFont val="Noto Sans CJK SC"/>
        <family val="2"/>
      </rPr>
      <t xml:space="preserve">期</t>
    </r>
    <r>
      <rPr>
        <b val="true"/>
        <sz val="12"/>
        <rFont val="Arial"/>
        <family val="0"/>
        <charset val="1"/>
      </rPr>
      <t xml:space="preserve">1Q</t>
    </r>
    <r>
      <rPr>
        <b val="true"/>
        <sz val="12"/>
        <rFont val="Noto Sans CJK SC"/>
        <family val="2"/>
      </rPr>
      <t xml:space="preserve">の</t>
    </r>
    <r>
      <rPr>
        <b val="true"/>
        <sz val="12"/>
        <rFont val="Arial"/>
        <family val="0"/>
        <charset val="1"/>
      </rPr>
      <t xml:space="preserve">12</t>
    </r>
    <r>
      <rPr>
        <b val="true"/>
        <sz val="12"/>
        <rFont val="Noto Sans CJK SC"/>
        <family val="2"/>
      </rPr>
      <t xml:space="preserve">四半期）</t>
    </r>
  </si>
  <si>
    <r>
      <rPr>
        <sz val="9"/>
        <color rgb="FF555555"/>
        <rFont val="Noto Sans CJK SC"/>
        <family val="2"/>
      </rPr>
      <t xml:space="preserve">単一モデル：売上＝</t>
    </r>
    <r>
      <rPr>
        <sz val="9"/>
        <color rgb="FF555555"/>
        <rFont val="Arial"/>
        <family val="0"/>
        <charset val="1"/>
      </rPr>
      <t xml:space="preserve">a</t>
    </r>
    <r>
      <rPr>
        <sz val="9"/>
        <color rgb="FF555555"/>
        <rFont val="Noto Sans CJK SC"/>
        <family val="2"/>
      </rPr>
      <t xml:space="preserve">＋</t>
    </r>
    <r>
      <rPr>
        <sz val="9"/>
        <color rgb="FF555555"/>
        <rFont val="Arial"/>
        <family val="0"/>
        <charset val="1"/>
      </rPr>
      <t xml:space="preserve">b×</t>
    </r>
    <r>
      <rPr>
        <sz val="9"/>
        <color rgb="FF555555"/>
        <rFont val="Noto Sans CJK SC"/>
        <family val="2"/>
      </rPr>
      <t xml:space="preserve">世界。構造モデル：中国地場売上＝</t>
    </r>
    <r>
      <rPr>
        <sz val="9"/>
        <color rgb="FF555555"/>
        <rFont val="Arial"/>
        <family val="0"/>
        <charset val="1"/>
      </rPr>
      <t xml:space="preserve">a_c</t>
    </r>
    <r>
      <rPr>
        <sz val="9"/>
        <color rgb="FF555555"/>
        <rFont val="Noto Sans CJK SC"/>
        <family val="2"/>
      </rPr>
      <t xml:space="preserve">＋</t>
    </r>
    <r>
      <rPr>
        <sz val="9"/>
        <color rgb="FF555555"/>
        <rFont val="Arial"/>
        <family val="0"/>
        <charset val="1"/>
      </rPr>
      <t xml:space="preserve">b_c×</t>
    </r>
    <r>
      <rPr>
        <sz val="9"/>
        <color rgb="FF555555"/>
        <rFont val="Noto Sans CJK SC"/>
        <family val="2"/>
      </rPr>
      <t xml:space="preserve">中国、グローバル売上＝</t>
    </r>
    <r>
      <rPr>
        <sz val="9"/>
        <color rgb="FF555555"/>
        <rFont val="Arial"/>
        <family val="0"/>
        <charset val="1"/>
      </rPr>
      <t xml:space="preserve">a_g</t>
    </r>
    <r>
      <rPr>
        <sz val="9"/>
        <color rgb="FF555555"/>
        <rFont val="Noto Sans CJK SC"/>
        <family val="2"/>
      </rPr>
      <t xml:space="preserve">＋</t>
    </r>
    <r>
      <rPr>
        <sz val="9"/>
        <color rgb="FF555555"/>
        <rFont val="Arial"/>
        <family val="0"/>
        <charset val="1"/>
      </rPr>
      <t xml:space="preserve">b_g×</t>
    </r>
    <r>
      <rPr>
        <sz val="9"/>
        <color rgb="FF555555"/>
        <rFont val="Noto Sans CJK SC"/>
        <family val="2"/>
      </rPr>
      <t xml:space="preserve">中国以外、全社＝両者の和。</t>
    </r>
    <r>
      <rPr>
        <sz val="9"/>
        <color rgb="FF555555"/>
        <rFont val="Arial"/>
        <family val="0"/>
        <charset val="1"/>
      </rPr>
      <t xml:space="preserve">LOO</t>
    </r>
    <r>
      <rPr>
        <sz val="9"/>
        <color rgb="FF555555"/>
        <rFont val="Noto Sans CJK SC"/>
        <family val="2"/>
      </rPr>
      <t xml:space="preserve">残差＝残差</t>
    </r>
    <r>
      <rPr>
        <sz val="9"/>
        <color rgb="FF555555"/>
        <rFont val="Arial"/>
        <family val="0"/>
        <charset val="1"/>
      </rPr>
      <t xml:space="preserve">÷(1−h)</t>
    </r>
    <r>
      <rPr>
        <sz val="9"/>
        <color rgb="FF555555"/>
        <rFont val="Noto Sans CJK SC"/>
        <family val="2"/>
      </rPr>
      <t xml:space="preserve">（単回帰の</t>
    </r>
    <r>
      <rPr>
        <sz val="9"/>
        <color rgb="FF555555"/>
        <rFont val="Arial"/>
        <family val="0"/>
        <charset val="1"/>
      </rPr>
      <t xml:space="preserve">leave-one-out</t>
    </r>
    <r>
      <rPr>
        <sz val="9"/>
        <color rgb="FF555555"/>
        <rFont val="Noto Sans CJK SC"/>
        <family val="2"/>
      </rPr>
      <t xml:space="preserve">の厳密式）。</t>
    </r>
  </si>
  <si>
    <r>
      <rPr>
        <b val="true"/>
        <sz val="10"/>
        <rFont val="Arial"/>
        <family val="0"/>
        <charset val="1"/>
      </rPr>
      <t xml:space="preserve">k=0</t>
    </r>
    <r>
      <rPr>
        <b val="true"/>
        <sz val="10"/>
        <rFont val="Noto Sans CJK SC"/>
        <family val="2"/>
      </rPr>
      <t xml:space="preserve">（輸出と売上が同じ</t>
    </r>
    <r>
      <rPr>
        <b val="true"/>
        <sz val="10"/>
        <rFont val="Arial"/>
        <family val="0"/>
        <charset val="1"/>
      </rPr>
      <t xml:space="preserve">3</t>
    </r>
    <r>
      <rPr>
        <b val="true"/>
        <sz val="10"/>
        <rFont val="Noto Sans CJK SC"/>
        <family val="2"/>
      </rPr>
      <t xml:space="preserve">か月）</t>
    </r>
  </si>
  <si>
    <t xml:space="preserve">中国地場</t>
  </si>
  <si>
    <t xml:space="preserve">グローバル</t>
  </si>
  <si>
    <r>
      <rPr>
        <b val="true"/>
        <sz val="10"/>
        <rFont val="Noto Sans CJK SC"/>
        <family val="2"/>
      </rPr>
      <t xml:space="preserve">単一</t>
    </r>
    <r>
      <rPr>
        <b val="true"/>
        <sz val="10"/>
        <rFont val="Arial"/>
        <family val="0"/>
        <charset val="1"/>
      </rPr>
      <t xml:space="preserve">:</t>
    </r>
    <r>
      <rPr>
        <b val="true"/>
        <sz val="10"/>
        <rFont val="Noto Sans CJK SC"/>
        <family val="2"/>
      </rPr>
      <t xml:space="preserve">予測</t>
    </r>
  </si>
  <si>
    <r>
      <rPr>
        <b val="true"/>
        <sz val="10"/>
        <rFont val="Noto Sans CJK SC"/>
        <family val="2"/>
      </rPr>
      <t xml:space="preserve">単一</t>
    </r>
    <r>
      <rPr>
        <b val="true"/>
        <sz val="10"/>
        <rFont val="Arial"/>
        <family val="0"/>
        <charset val="1"/>
      </rPr>
      <t xml:space="preserve">:</t>
    </r>
    <r>
      <rPr>
        <b val="true"/>
        <sz val="10"/>
        <rFont val="Noto Sans CJK SC"/>
        <family val="2"/>
      </rPr>
      <t xml:space="preserve">残差</t>
    </r>
  </si>
  <si>
    <r>
      <rPr>
        <b val="true"/>
        <sz val="10"/>
        <rFont val="Noto Sans CJK SC"/>
        <family val="2"/>
      </rPr>
      <t xml:space="preserve">単一</t>
    </r>
    <r>
      <rPr>
        <b val="true"/>
        <sz val="10"/>
        <rFont val="Arial"/>
        <family val="0"/>
        <charset val="1"/>
      </rPr>
      <t xml:space="preserve">:h</t>
    </r>
  </si>
  <si>
    <r>
      <rPr>
        <b val="true"/>
        <sz val="10"/>
        <rFont val="Noto Sans CJK SC"/>
        <family val="2"/>
      </rPr>
      <t xml:space="preserve">単一</t>
    </r>
    <r>
      <rPr>
        <b val="true"/>
        <sz val="10"/>
        <rFont val="Arial"/>
        <family val="0"/>
        <charset val="1"/>
      </rPr>
      <t xml:space="preserve">:LOO</t>
    </r>
    <r>
      <rPr>
        <b val="true"/>
        <sz val="10"/>
        <rFont val="Noto Sans CJK SC"/>
        <family val="2"/>
      </rPr>
      <t xml:space="preserve">残差</t>
    </r>
  </si>
  <si>
    <r>
      <rPr>
        <b val="true"/>
        <sz val="10"/>
        <rFont val="Noto Sans CJK SC"/>
        <family val="2"/>
      </rPr>
      <t xml:space="preserve">中国地場</t>
    </r>
    <r>
      <rPr>
        <b val="true"/>
        <sz val="10"/>
        <rFont val="Arial"/>
        <family val="0"/>
        <charset val="1"/>
      </rPr>
      <t xml:space="preserve">:</t>
    </r>
    <r>
      <rPr>
        <b val="true"/>
        <sz val="10"/>
        <rFont val="Noto Sans CJK SC"/>
        <family val="2"/>
      </rPr>
      <t xml:space="preserve">予測</t>
    </r>
  </si>
  <si>
    <r>
      <rPr>
        <b val="true"/>
        <sz val="10"/>
        <rFont val="Noto Sans CJK SC"/>
        <family val="2"/>
      </rPr>
      <t xml:space="preserve">中国地場</t>
    </r>
    <r>
      <rPr>
        <b val="true"/>
        <sz val="10"/>
        <rFont val="Arial"/>
        <family val="0"/>
        <charset val="1"/>
      </rPr>
      <t xml:space="preserve">:</t>
    </r>
    <r>
      <rPr>
        <b val="true"/>
        <sz val="10"/>
        <rFont val="Noto Sans CJK SC"/>
        <family val="2"/>
      </rPr>
      <t xml:space="preserve">残差</t>
    </r>
  </si>
  <si>
    <r>
      <rPr>
        <b val="true"/>
        <sz val="10"/>
        <rFont val="Noto Sans CJK SC"/>
        <family val="2"/>
      </rPr>
      <t xml:space="preserve">中国地場</t>
    </r>
    <r>
      <rPr>
        <b val="true"/>
        <sz val="10"/>
        <rFont val="Arial"/>
        <family val="0"/>
        <charset val="1"/>
      </rPr>
      <t xml:space="preserve">:h</t>
    </r>
  </si>
  <si>
    <r>
      <rPr>
        <b val="true"/>
        <sz val="10"/>
        <rFont val="Noto Sans CJK SC"/>
        <family val="2"/>
      </rPr>
      <t xml:space="preserve">グローバル</t>
    </r>
    <r>
      <rPr>
        <b val="true"/>
        <sz val="10"/>
        <rFont val="Arial"/>
        <family val="0"/>
        <charset val="1"/>
      </rPr>
      <t xml:space="preserve">:</t>
    </r>
    <r>
      <rPr>
        <b val="true"/>
        <sz val="10"/>
        <rFont val="Noto Sans CJK SC"/>
        <family val="2"/>
      </rPr>
      <t xml:space="preserve">予測</t>
    </r>
  </si>
  <si>
    <r>
      <rPr>
        <b val="true"/>
        <sz val="10"/>
        <rFont val="Noto Sans CJK SC"/>
        <family val="2"/>
      </rPr>
      <t xml:space="preserve">グローバル</t>
    </r>
    <r>
      <rPr>
        <b val="true"/>
        <sz val="10"/>
        <rFont val="Arial"/>
        <family val="0"/>
        <charset val="1"/>
      </rPr>
      <t xml:space="preserve">:</t>
    </r>
    <r>
      <rPr>
        <b val="true"/>
        <sz val="10"/>
        <rFont val="Noto Sans CJK SC"/>
        <family val="2"/>
      </rPr>
      <t xml:space="preserve">残差</t>
    </r>
  </si>
  <si>
    <r>
      <rPr>
        <b val="true"/>
        <sz val="10"/>
        <rFont val="Noto Sans CJK SC"/>
        <family val="2"/>
      </rPr>
      <t xml:space="preserve">グローバル</t>
    </r>
    <r>
      <rPr>
        <b val="true"/>
        <sz val="10"/>
        <rFont val="Arial"/>
        <family val="0"/>
        <charset val="1"/>
      </rPr>
      <t xml:space="preserve">:h</t>
    </r>
  </si>
  <si>
    <r>
      <rPr>
        <b val="true"/>
        <sz val="10"/>
        <rFont val="Noto Sans CJK SC"/>
        <family val="2"/>
      </rPr>
      <t xml:space="preserve">構造</t>
    </r>
    <r>
      <rPr>
        <b val="true"/>
        <sz val="10"/>
        <rFont val="Arial"/>
        <family val="0"/>
        <charset val="1"/>
      </rPr>
      <t xml:space="preserve">:</t>
    </r>
    <r>
      <rPr>
        <b val="true"/>
        <sz val="10"/>
        <rFont val="Noto Sans CJK SC"/>
        <family val="2"/>
      </rPr>
      <t xml:space="preserve">予測</t>
    </r>
  </si>
  <si>
    <r>
      <rPr>
        <b val="true"/>
        <sz val="10"/>
        <rFont val="Noto Sans CJK SC"/>
        <family val="2"/>
      </rPr>
      <t xml:space="preserve">構造</t>
    </r>
    <r>
      <rPr>
        <b val="true"/>
        <sz val="10"/>
        <rFont val="Arial"/>
        <family val="0"/>
        <charset val="1"/>
      </rPr>
      <t xml:space="preserve">:</t>
    </r>
    <r>
      <rPr>
        <b val="true"/>
        <sz val="10"/>
        <rFont val="Noto Sans CJK SC"/>
        <family val="2"/>
      </rPr>
      <t xml:space="preserve">残差</t>
    </r>
  </si>
  <si>
    <r>
      <rPr>
        <b val="true"/>
        <sz val="10"/>
        <rFont val="Noto Sans CJK SC"/>
        <family val="2"/>
      </rPr>
      <t xml:space="preserve">構造</t>
    </r>
    <r>
      <rPr>
        <b val="true"/>
        <sz val="10"/>
        <rFont val="Arial"/>
        <family val="0"/>
        <charset val="1"/>
      </rPr>
      <t xml:space="preserve">:LOO</t>
    </r>
    <r>
      <rPr>
        <b val="true"/>
        <sz val="10"/>
        <rFont val="Noto Sans CJK SC"/>
        <family val="2"/>
      </rPr>
      <t xml:space="preserve">残差</t>
    </r>
  </si>
  <si>
    <r>
      <rPr>
        <b val="true"/>
        <sz val="10"/>
        <rFont val="Noto Sans CJK SC"/>
        <family val="2"/>
      </rPr>
      <t xml:space="preserve">切片 </t>
    </r>
    <r>
      <rPr>
        <b val="true"/>
        <sz val="10"/>
        <rFont val="Arial"/>
        <family val="0"/>
        <charset val="1"/>
      </rPr>
      <t xml:space="preserve">a</t>
    </r>
  </si>
  <si>
    <r>
      <rPr>
        <b val="true"/>
        <sz val="10"/>
        <rFont val="Noto Sans CJK SC"/>
        <family val="2"/>
      </rPr>
      <t xml:space="preserve">傾き </t>
    </r>
    <r>
      <rPr>
        <b val="true"/>
        <sz val="10"/>
        <rFont val="Arial"/>
        <family val="0"/>
        <charset val="1"/>
      </rPr>
      <t xml:space="preserve">b</t>
    </r>
  </si>
  <si>
    <r>
      <rPr>
        <b val="true"/>
        <sz val="10"/>
        <rFont val="Arial"/>
        <family val="0"/>
        <charset val="1"/>
      </rPr>
      <t xml:space="preserve">LOOCV RMSE</t>
    </r>
    <r>
      <rPr>
        <b val="true"/>
        <sz val="10"/>
        <rFont val="Noto Sans CJK SC"/>
        <family val="2"/>
      </rPr>
      <t xml:space="preserve">（億円）</t>
    </r>
  </si>
  <si>
    <r>
      <rPr>
        <sz val="10"/>
        <color rgb="FF000000"/>
        <rFont val="Noto Sans CJK SC"/>
        <family val="2"/>
      </rPr>
      <t xml:space="preserve">単一：全社</t>
    </r>
    <r>
      <rPr>
        <sz val="10"/>
        <color rgb="FF000000"/>
        <rFont val="Arial"/>
        <family val="0"/>
        <charset val="1"/>
      </rPr>
      <t xml:space="preserve">×</t>
    </r>
    <r>
      <rPr>
        <sz val="10"/>
        <color rgb="FF000000"/>
        <rFont val="Noto Sans CJK SC"/>
        <family val="2"/>
      </rPr>
      <t xml:space="preserve">世界</t>
    </r>
  </si>
  <si>
    <r>
      <rPr>
        <sz val="10"/>
        <color rgb="FF000000"/>
        <rFont val="Noto Sans CJK SC"/>
        <family val="2"/>
      </rPr>
      <t xml:space="preserve">構造：中国地場</t>
    </r>
    <r>
      <rPr>
        <sz val="10"/>
        <color rgb="FF000000"/>
        <rFont val="Arial"/>
        <family val="0"/>
        <charset val="1"/>
      </rPr>
      <t xml:space="preserve">×</t>
    </r>
    <r>
      <rPr>
        <sz val="10"/>
        <color rgb="FF000000"/>
        <rFont val="Noto Sans CJK SC"/>
        <family val="2"/>
      </rPr>
      <t xml:space="preserve">中国</t>
    </r>
  </si>
  <si>
    <r>
      <rPr>
        <sz val="10"/>
        <color rgb="FF000000"/>
        <rFont val="Noto Sans CJK SC"/>
        <family val="2"/>
      </rPr>
      <t xml:space="preserve">構造：グローバル</t>
    </r>
    <r>
      <rPr>
        <sz val="10"/>
        <color rgb="FF000000"/>
        <rFont val="Arial"/>
        <family val="0"/>
        <charset val="1"/>
      </rPr>
      <t xml:space="preserve">×</t>
    </r>
    <r>
      <rPr>
        <sz val="10"/>
        <color rgb="FF000000"/>
        <rFont val="Noto Sans CJK SC"/>
        <family val="2"/>
      </rPr>
      <t xml:space="preserve">中国以外</t>
    </r>
  </si>
  <si>
    <t xml:space="preserve">構造：全社（和）</t>
  </si>
  <si>
    <t xml:space="preserve">比較：ランダムウォーク</t>
  </si>
  <si>
    <r>
      <rPr>
        <b val="true"/>
        <sz val="10"/>
        <rFont val="Arial"/>
        <family val="0"/>
        <charset val="1"/>
      </rPr>
      <t xml:space="preserve">k=1</t>
    </r>
    <r>
      <rPr>
        <b val="true"/>
        <sz val="10"/>
        <rFont val="Noto Sans CJK SC"/>
        <family val="2"/>
      </rPr>
      <t xml:space="preserve">（輸出が</t>
    </r>
    <r>
      <rPr>
        <b val="true"/>
        <sz val="10"/>
        <rFont val="Arial"/>
        <family val="0"/>
        <charset val="1"/>
      </rPr>
      <t xml:space="preserve">1</t>
    </r>
    <r>
      <rPr>
        <b val="true"/>
        <sz val="10"/>
        <rFont val="Noto Sans CJK SC"/>
        <family val="2"/>
      </rPr>
      <t xml:space="preserve">か月先行）</t>
    </r>
  </si>
  <si>
    <r>
      <rPr>
        <b val="true"/>
        <sz val="12"/>
        <rFont val="Arial"/>
        <family val="0"/>
        <charset val="1"/>
      </rPr>
      <t xml:space="preserve">27/3</t>
    </r>
    <r>
      <rPr>
        <b val="true"/>
        <sz val="12"/>
        <rFont val="Noto Sans CJK SC"/>
        <family val="2"/>
      </rPr>
      <t xml:space="preserve">期</t>
    </r>
    <r>
      <rPr>
        <b val="true"/>
        <sz val="12"/>
        <rFont val="Arial"/>
        <family val="0"/>
        <charset val="1"/>
      </rPr>
      <t xml:space="preserve">2Q</t>
    </r>
    <r>
      <rPr>
        <b val="true"/>
        <sz val="12"/>
        <rFont val="Noto Sans CJK SC"/>
        <family val="2"/>
      </rPr>
      <t xml:space="preserve">（</t>
    </r>
    <r>
      <rPr>
        <b val="true"/>
        <sz val="12"/>
        <rFont val="Arial"/>
        <family val="0"/>
        <charset val="1"/>
      </rPr>
      <t xml:space="preserve">2026</t>
    </r>
    <r>
      <rPr>
        <b val="true"/>
        <sz val="12"/>
        <rFont val="Noto Sans CJK SC"/>
        <family val="2"/>
      </rPr>
      <t xml:space="preserve">年</t>
    </r>
    <r>
      <rPr>
        <b val="true"/>
        <sz val="12"/>
        <rFont val="Arial"/>
        <family val="0"/>
        <charset val="1"/>
      </rPr>
      <t xml:space="preserve">7-9</t>
    </r>
    <r>
      <rPr>
        <b val="true"/>
        <sz val="12"/>
        <rFont val="Noto Sans CJK SC"/>
        <family val="2"/>
      </rPr>
      <t xml:space="preserve">月）売上収益のナウキャスト（億円）</t>
    </r>
  </si>
  <si>
    <r>
      <rPr>
        <sz val="9"/>
        <color rgb="FF555555"/>
        <rFont val="Arial"/>
        <family val="0"/>
        <charset val="1"/>
      </rPr>
      <t xml:space="preserve">k=0</t>
    </r>
    <r>
      <rPr>
        <sz val="9"/>
        <color rgb="FF555555"/>
        <rFont val="Noto Sans CJK SC"/>
        <family val="2"/>
      </rPr>
      <t xml:space="preserve">は</t>
    </r>
    <r>
      <rPr>
        <sz val="9"/>
        <color rgb="FF555555"/>
        <rFont val="Arial"/>
        <family val="0"/>
        <charset val="1"/>
      </rPr>
      <t xml:space="preserve">9</t>
    </r>
    <r>
      <rPr>
        <sz val="9"/>
        <color rgb="FF555555"/>
        <rFont val="Noto Sans CJK SC"/>
        <family val="2"/>
      </rPr>
      <t xml:space="preserve">月の輸出を季節比で推計（</t>
    </r>
    <r>
      <rPr>
        <sz val="9"/>
        <color rgb="FF555555"/>
        <rFont val="Arial"/>
        <family val="0"/>
        <charset val="1"/>
      </rPr>
      <t xml:space="preserve">9</t>
    </r>
    <r>
      <rPr>
        <sz val="9"/>
        <color rgb="FF555555"/>
        <rFont val="Noto Sans CJK SC"/>
        <family val="2"/>
      </rPr>
      <t xml:space="preserve">月速報は</t>
    </r>
    <r>
      <rPr>
        <sz val="9"/>
        <color rgb="FF555555"/>
        <rFont val="Arial"/>
        <family val="0"/>
        <charset val="1"/>
      </rPr>
      <t xml:space="preserve">10/21</t>
    </r>
    <r>
      <rPr>
        <sz val="9"/>
        <color rgb="FF555555"/>
        <rFont val="Noto Sans CJK SC"/>
        <family val="2"/>
      </rPr>
      <t xml:space="preserve">公表予定）。</t>
    </r>
    <r>
      <rPr>
        <sz val="9"/>
        <color rgb="FF555555"/>
        <rFont val="Arial"/>
        <family val="0"/>
        <charset val="1"/>
      </rPr>
      <t xml:space="preserve">k=1</t>
    </r>
    <r>
      <rPr>
        <sz val="9"/>
        <color rgb="FF555555"/>
        <rFont val="Noto Sans CJK SC"/>
        <family val="2"/>
      </rPr>
      <t xml:space="preserve">は</t>
    </r>
    <r>
      <rPr>
        <sz val="9"/>
        <color rgb="FF555555"/>
        <rFont val="Arial"/>
        <family val="0"/>
        <charset val="1"/>
      </rPr>
      <t xml:space="preserve">6-8</t>
    </r>
    <r>
      <rPr>
        <sz val="9"/>
        <color rgb="FF555555"/>
        <rFont val="Noto Sans CJK SC"/>
        <family val="2"/>
      </rPr>
      <t xml:space="preserve">月の実績だけで完結する。帯＝予測</t>
    </r>
    <r>
      <rPr>
        <sz val="9"/>
        <color rgb="FF555555"/>
        <rFont val="Arial"/>
        <family val="0"/>
        <charset val="1"/>
      </rPr>
      <t xml:space="preserve">±LOOCV RMSE</t>
    </r>
    <r>
      <rPr>
        <sz val="9"/>
        <color rgb="FF555555"/>
        <rFont val="Noto Sans CJK SC"/>
        <family val="2"/>
      </rPr>
      <t xml:space="preserve">。</t>
    </r>
  </si>
  <si>
    <r>
      <rPr>
        <b val="true"/>
        <sz val="10"/>
        <rFont val="Arial"/>
        <family val="0"/>
        <charset val="1"/>
      </rPr>
      <t xml:space="preserve">① 9</t>
    </r>
    <r>
      <rPr>
        <b val="true"/>
        <sz val="10"/>
        <rFont val="Noto Sans CJK SC"/>
        <family val="2"/>
      </rPr>
      <t xml:space="preserve">月</t>
    </r>
    <r>
      <rPr>
        <b val="true"/>
        <sz val="10"/>
        <rFont val="Arial"/>
        <family val="0"/>
        <charset val="1"/>
      </rPr>
      <t xml:space="preserve">÷7-8</t>
    </r>
    <r>
      <rPr>
        <b val="true"/>
        <sz val="10"/>
        <rFont val="Noto Sans CJK SC"/>
        <family val="2"/>
      </rPr>
      <t xml:space="preserve">月平均（過去の季節比）</t>
    </r>
  </si>
  <si>
    <t xml:space="preserve">年</t>
  </si>
  <si>
    <t xml:space="preserve">2023</t>
  </si>
  <si>
    <t xml:space="preserve">2024</t>
  </si>
  <si>
    <t xml:space="preserve">2025</t>
  </si>
  <si>
    <t xml:space="preserve">平均</t>
  </si>
  <si>
    <t xml:space="preserve">最大</t>
  </si>
  <si>
    <r>
      <rPr>
        <b val="true"/>
        <sz val="10"/>
        <rFont val="Arial"/>
        <family val="0"/>
        <charset val="1"/>
      </rPr>
      <t xml:space="preserve">② 9</t>
    </r>
    <r>
      <rPr>
        <b val="true"/>
        <sz val="10"/>
        <rFont val="Noto Sans CJK SC"/>
        <family val="2"/>
      </rPr>
      <t xml:space="preserve">月の季節比の前提（シナリオ）</t>
    </r>
  </si>
  <si>
    <r>
      <rPr>
        <b val="true"/>
        <sz val="10"/>
        <rFont val="Arial"/>
        <family val="0"/>
        <charset val="1"/>
      </rPr>
      <t xml:space="preserve">2026</t>
    </r>
    <r>
      <rPr>
        <b val="true"/>
        <sz val="10"/>
        <rFont val="Noto Sans CJK SC"/>
        <family val="2"/>
      </rPr>
      <t xml:space="preserve">年</t>
    </r>
    <r>
      <rPr>
        <b val="true"/>
        <sz val="10"/>
        <rFont val="Arial"/>
        <family val="0"/>
        <charset val="1"/>
      </rPr>
      <t xml:space="preserve">7-8</t>
    </r>
    <r>
      <rPr>
        <b val="true"/>
        <sz val="10"/>
        <rFont val="Noto Sans CJK SC"/>
        <family val="2"/>
      </rPr>
      <t xml:space="preserve">月の輸出実績</t>
    </r>
  </si>
  <si>
    <t xml:space="preserve">シナリオ</t>
  </si>
  <si>
    <t xml:space="preserve">説明</t>
  </si>
  <si>
    <t xml:space="preserve">低</t>
  </si>
  <si>
    <r>
      <rPr>
        <sz val="9"/>
        <color rgb="FF555555"/>
        <rFont val="Arial"/>
        <family val="0"/>
        <charset val="1"/>
      </rPr>
      <t xml:space="preserve">9</t>
    </r>
    <r>
      <rPr>
        <sz val="9"/>
        <color rgb="FF555555"/>
        <rFont val="Noto Sans CJK SC"/>
        <family val="2"/>
      </rPr>
      <t xml:space="preserve">月＝</t>
    </r>
    <r>
      <rPr>
        <sz val="9"/>
        <color rgb="FF555555"/>
        <rFont val="Arial"/>
        <family val="0"/>
        <charset val="1"/>
      </rPr>
      <t xml:space="preserve">7-8</t>
    </r>
    <r>
      <rPr>
        <sz val="9"/>
        <color rgb="FF555555"/>
        <rFont val="Noto Sans CJK SC"/>
        <family val="2"/>
      </rPr>
      <t xml:space="preserve">月平均（季節性なし）</t>
    </r>
  </si>
  <si>
    <r>
      <rPr>
        <sz val="10"/>
        <color rgb="FF000000"/>
        <rFont val="Arial"/>
        <family val="0"/>
        <charset val="1"/>
      </rPr>
      <t xml:space="preserve">7</t>
    </r>
    <r>
      <rPr>
        <sz val="10"/>
        <color rgb="FF000000"/>
        <rFont val="Noto Sans CJK SC"/>
        <family val="2"/>
      </rPr>
      <t xml:space="preserve">月</t>
    </r>
  </si>
  <si>
    <t xml:space="preserve">基準</t>
  </si>
  <si>
    <r>
      <rPr>
        <sz val="9"/>
        <color rgb="FF555555"/>
        <rFont val="Noto Sans CJK SC"/>
        <family val="2"/>
      </rPr>
      <t xml:space="preserve">過去</t>
    </r>
    <r>
      <rPr>
        <sz val="9"/>
        <color rgb="FF555555"/>
        <rFont val="Arial"/>
        <family val="0"/>
        <charset val="1"/>
      </rPr>
      <t xml:space="preserve">3</t>
    </r>
    <r>
      <rPr>
        <sz val="9"/>
        <color rgb="FF555555"/>
        <rFont val="Noto Sans CJK SC"/>
        <family val="2"/>
      </rPr>
      <t xml:space="preserve">年平均の季節比</t>
    </r>
  </si>
  <si>
    <r>
      <rPr>
        <sz val="10"/>
        <color rgb="FF000000"/>
        <rFont val="Arial"/>
        <family val="0"/>
        <charset val="1"/>
      </rPr>
      <t xml:space="preserve">8</t>
    </r>
    <r>
      <rPr>
        <sz val="10"/>
        <color rgb="FF000000"/>
        <rFont val="Noto Sans CJK SC"/>
        <family val="2"/>
      </rPr>
      <t xml:space="preserve">月</t>
    </r>
  </si>
  <si>
    <t xml:space="preserve">高</t>
  </si>
  <si>
    <r>
      <rPr>
        <sz val="9"/>
        <color rgb="FF555555"/>
        <rFont val="Noto Sans CJK SC"/>
        <family val="2"/>
      </rPr>
      <t xml:space="preserve">過去</t>
    </r>
    <r>
      <rPr>
        <sz val="9"/>
        <color rgb="FF555555"/>
        <rFont val="Arial"/>
        <family val="0"/>
        <charset val="1"/>
      </rPr>
      <t xml:space="preserve">3</t>
    </r>
    <r>
      <rPr>
        <sz val="9"/>
        <color rgb="FF555555"/>
        <rFont val="Noto Sans CJK SC"/>
        <family val="2"/>
      </rPr>
      <t xml:space="preserve">年の最大の季節比</t>
    </r>
  </si>
  <si>
    <t xml:space="preserve">合計</t>
  </si>
  <si>
    <r>
      <rPr>
        <b val="true"/>
        <sz val="10"/>
        <rFont val="Arial"/>
        <family val="0"/>
        <charset val="1"/>
      </rPr>
      <t xml:space="preserve">③ k=0</t>
    </r>
    <r>
      <rPr>
        <b val="true"/>
        <sz val="10"/>
        <rFont val="Noto Sans CJK SC"/>
        <family val="2"/>
      </rPr>
      <t xml:space="preserve">（</t>
    </r>
    <r>
      <rPr>
        <b val="true"/>
        <sz val="10"/>
        <rFont val="Arial"/>
        <family val="0"/>
        <charset val="1"/>
      </rPr>
      <t xml:space="preserve">7-8</t>
    </r>
    <r>
      <rPr>
        <b val="true"/>
        <sz val="10"/>
        <rFont val="Noto Sans CJK SC"/>
        <family val="2"/>
      </rPr>
      <t xml:space="preserve">月実績＋</t>
    </r>
    <r>
      <rPr>
        <b val="true"/>
        <sz val="10"/>
        <rFont val="Arial"/>
        <family val="0"/>
        <charset val="1"/>
      </rPr>
      <t xml:space="preserve">9</t>
    </r>
    <r>
      <rPr>
        <b val="true"/>
        <sz val="10"/>
        <rFont val="Noto Sans CJK SC"/>
        <family val="2"/>
      </rPr>
      <t xml:space="preserve">月推計）</t>
    </r>
  </si>
  <si>
    <r>
      <rPr>
        <b val="true"/>
        <sz val="10"/>
        <rFont val="Noto Sans CJK SC"/>
        <family val="2"/>
      </rPr>
      <t xml:space="preserve">中国 </t>
    </r>
    <r>
      <rPr>
        <b val="true"/>
        <sz val="10"/>
        <rFont val="Arial"/>
        <family val="0"/>
        <charset val="1"/>
      </rPr>
      <t xml:space="preserve">7-9</t>
    </r>
    <r>
      <rPr>
        <b val="true"/>
        <sz val="10"/>
        <rFont val="Noto Sans CJK SC"/>
        <family val="2"/>
      </rPr>
      <t xml:space="preserve">月</t>
    </r>
  </si>
  <si>
    <r>
      <rPr>
        <b val="true"/>
        <sz val="10"/>
        <rFont val="Noto Sans CJK SC"/>
        <family val="2"/>
      </rPr>
      <t xml:space="preserve">中国以外 </t>
    </r>
    <r>
      <rPr>
        <b val="true"/>
        <sz val="10"/>
        <rFont val="Arial"/>
        <family val="0"/>
        <charset val="1"/>
      </rPr>
      <t xml:space="preserve">7-9</t>
    </r>
    <r>
      <rPr>
        <b val="true"/>
        <sz val="10"/>
        <rFont val="Noto Sans CJK SC"/>
        <family val="2"/>
      </rPr>
      <t xml:space="preserve">月</t>
    </r>
  </si>
  <si>
    <r>
      <rPr>
        <b val="true"/>
        <sz val="10"/>
        <rFont val="Noto Sans CJK SC"/>
        <family val="2"/>
      </rPr>
      <t xml:space="preserve">世界 </t>
    </r>
    <r>
      <rPr>
        <b val="true"/>
        <sz val="10"/>
        <rFont val="Arial"/>
        <family val="0"/>
        <charset val="1"/>
      </rPr>
      <t xml:space="preserve">7-9</t>
    </r>
    <r>
      <rPr>
        <b val="true"/>
        <sz val="10"/>
        <rFont val="Noto Sans CJK SC"/>
        <family val="2"/>
      </rPr>
      <t xml:space="preserve">月</t>
    </r>
  </si>
  <si>
    <r>
      <rPr>
        <b val="true"/>
        <sz val="10"/>
        <rFont val="Noto Sans CJK SC"/>
        <family val="2"/>
      </rPr>
      <t xml:space="preserve">構造</t>
    </r>
    <r>
      <rPr>
        <b val="true"/>
        <sz val="10"/>
        <rFont val="Arial"/>
        <family val="0"/>
        <charset val="1"/>
      </rPr>
      <t xml:space="preserve">:</t>
    </r>
    <r>
      <rPr>
        <b val="true"/>
        <sz val="10"/>
        <rFont val="Noto Sans CJK SC"/>
        <family val="2"/>
      </rPr>
      <t xml:space="preserve">中国地場</t>
    </r>
  </si>
  <si>
    <r>
      <rPr>
        <b val="true"/>
        <sz val="10"/>
        <rFont val="Noto Sans CJK SC"/>
        <family val="2"/>
      </rPr>
      <t xml:space="preserve">構造</t>
    </r>
    <r>
      <rPr>
        <b val="true"/>
        <sz val="10"/>
        <rFont val="Arial"/>
        <family val="0"/>
        <charset val="1"/>
      </rPr>
      <t xml:space="preserve">:</t>
    </r>
    <r>
      <rPr>
        <b val="true"/>
        <sz val="10"/>
        <rFont val="Noto Sans CJK SC"/>
        <family val="2"/>
      </rPr>
      <t xml:space="preserve">グローバル</t>
    </r>
  </si>
  <si>
    <r>
      <rPr>
        <b val="true"/>
        <sz val="10"/>
        <rFont val="Noto Sans CJK SC"/>
        <family val="2"/>
      </rPr>
      <t xml:space="preserve">構造</t>
    </r>
    <r>
      <rPr>
        <b val="true"/>
        <sz val="10"/>
        <rFont val="Arial"/>
        <family val="0"/>
        <charset val="1"/>
      </rPr>
      <t xml:space="preserve">:</t>
    </r>
    <r>
      <rPr>
        <b val="true"/>
        <sz val="10"/>
        <rFont val="Noto Sans CJK SC"/>
        <family val="2"/>
      </rPr>
      <t xml:space="preserve">全社</t>
    </r>
  </si>
  <si>
    <t xml:space="preserve">帯 下限</t>
  </si>
  <si>
    <t xml:space="preserve">帯 上限</t>
  </si>
  <si>
    <r>
      <rPr>
        <b val="true"/>
        <sz val="10"/>
        <rFont val="Noto Sans CJK SC"/>
        <family val="2"/>
      </rPr>
      <t xml:space="preserve">単一</t>
    </r>
    <r>
      <rPr>
        <b val="true"/>
        <sz val="10"/>
        <rFont val="Arial"/>
        <family val="0"/>
        <charset val="1"/>
      </rPr>
      <t xml:space="preserve">:</t>
    </r>
    <r>
      <rPr>
        <b val="true"/>
        <sz val="10"/>
        <rFont val="Noto Sans CJK SC"/>
        <family val="2"/>
      </rPr>
      <t xml:space="preserve">全社</t>
    </r>
  </si>
  <si>
    <r>
      <rPr>
        <b val="true"/>
        <sz val="10"/>
        <rFont val="Arial"/>
        <family val="0"/>
        <charset val="1"/>
      </rPr>
      <t xml:space="preserve">④ k=1</t>
    </r>
    <r>
      <rPr>
        <b val="true"/>
        <sz val="10"/>
        <rFont val="Noto Sans CJK SC"/>
        <family val="2"/>
      </rPr>
      <t xml:space="preserve">（</t>
    </r>
    <r>
      <rPr>
        <b val="true"/>
        <sz val="10"/>
        <rFont val="Arial"/>
        <family val="0"/>
        <charset val="1"/>
      </rPr>
      <t xml:space="preserve">6-8</t>
    </r>
    <r>
      <rPr>
        <b val="true"/>
        <sz val="10"/>
        <rFont val="Noto Sans CJK SC"/>
        <family val="2"/>
      </rPr>
      <t xml:space="preserve">月の実績のみ）</t>
    </r>
  </si>
  <si>
    <r>
      <rPr>
        <b val="true"/>
        <sz val="10"/>
        <rFont val="Noto Sans CJK SC"/>
        <family val="2"/>
      </rPr>
      <t xml:space="preserve">中国 </t>
    </r>
    <r>
      <rPr>
        <b val="true"/>
        <sz val="10"/>
        <rFont val="Arial"/>
        <family val="0"/>
        <charset val="1"/>
      </rPr>
      <t xml:space="preserve">6-8</t>
    </r>
    <r>
      <rPr>
        <b val="true"/>
        <sz val="10"/>
        <rFont val="Noto Sans CJK SC"/>
        <family val="2"/>
      </rPr>
      <t xml:space="preserve">月</t>
    </r>
  </si>
  <si>
    <r>
      <rPr>
        <b val="true"/>
        <sz val="10"/>
        <rFont val="Noto Sans CJK SC"/>
        <family val="2"/>
      </rPr>
      <t xml:space="preserve">中国以外 </t>
    </r>
    <r>
      <rPr>
        <b val="true"/>
        <sz val="10"/>
        <rFont val="Arial"/>
        <family val="0"/>
        <charset val="1"/>
      </rPr>
      <t xml:space="preserve">6-8</t>
    </r>
    <r>
      <rPr>
        <b val="true"/>
        <sz val="10"/>
        <rFont val="Noto Sans CJK SC"/>
        <family val="2"/>
      </rPr>
      <t xml:space="preserve">月</t>
    </r>
  </si>
  <si>
    <r>
      <rPr>
        <b val="true"/>
        <sz val="10"/>
        <rFont val="Noto Sans CJK SC"/>
        <family val="2"/>
      </rPr>
      <t xml:space="preserve">世界 </t>
    </r>
    <r>
      <rPr>
        <b val="true"/>
        <sz val="10"/>
        <rFont val="Arial"/>
        <family val="0"/>
        <charset val="1"/>
      </rPr>
      <t xml:space="preserve">6-8</t>
    </r>
    <r>
      <rPr>
        <b val="true"/>
        <sz val="10"/>
        <rFont val="Noto Sans CJK SC"/>
        <family val="2"/>
      </rPr>
      <t xml:space="preserve">月</t>
    </r>
  </si>
  <si>
    <t xml:space="preserve">実績</t>
  </si>
  <si>
    <t xml:space="preserve">⑤ 会社計画との比較</t>
  </si>
  <si>
    <r>
      <rPr>
        <sz val="10"/>
        <color rgb="FF000000"/>
        <rFont val="Noto Sans CJK SC"/>
        <family val="2"/>
      </rPr>
      <t xml:space="preserve">上期（</t>
    </r>
    <r>
      <rPr>
        <sz val="10"/>
        <color rgb="FF000000"/>
        <rFont val="Arial"/>
        <family val="0"/>
        <charset val="1"/>
      </rPr>
      <t xml:space="preserve">4-9</t>
    </r>
    <r>
      <rPr>
        <sz val="10"/>
        <color rgb="FF000000"/>
        <rFont val="Noto Sans CJK SC"/>
        <family val="2"/>
      </rPr>
      <t xml:space="preserve">月）売上収益計画（修正後）</t>
    </r>
  </si>
  <si>
    <r>
      <rPr>
        <sz val="10"/>
        <color rgb="FF000000"/>
        <rFont val="Arial"/>
        <family val="0"/>
        <charset val="1"/>
      </rPr>
      <t xml:space="preserve">1Q</t>
    </r>
    <r>
      <rPr>
        <sz val="10"/>
        <color rgb="FF000000"/>
        <rFont val="Noto Sans CJK SC"/>
        <family val="2"/>
      </rPr>
      <t xml:space="preserve">実績</t>
    </r>
  </si>
  <si>
    <r>
      <rPr>
        <sz val="10"/>
        <color rgb="FF000000"/>
        <rFont val="Noto Sans CJK SC"/>
        <family val="2"/>
      </rPr>
      <t xml:space="preserve">計画が示す</t>
    </r>
    <r>
      <rPr>
        <sz val="10"/>
        <color rgb="FF000000"/>
        <rFont val="Arial"/>
        <family val="0"/>
        <charset val="1"/>
      </rPr>
      <t xml:space="preserve">2Q</t>
    </r>
    <r>
      <rPr>
        <sz val="10"/>
        <color rgb="FF000000"/>
        <rFont val="Noto Sans CJK SC"/>
        <family val="2"/>
      </rPr>
      <t xml:space="preserve">売上</t>
    </r>
  </si>
  <si>
    <r>
      <rPr>
        <sz val="10"/>
        <color rgb="FF000000"/>
        <rFont val="Noto Sans CJK SC"/>
        <family val="2"/>
      </rPr>
      <t xml:space="preserve">構造モデル </t>
    </r>
    <r>
      <rPr>
        <sz val="10"/>
        <color rgb="FF000000"/>
        <rFont val="Arial"/>
        <family val="0"/>
        <charset val="1"/>
      </rPr>
      <t xml:space="preserve">k=0 </t>
    </r>
    <r>
      <rPr>
        <sz val="10"/>
        <color rgb="FF000000"/>
        <rFont val="Noto Sans CJK SC"/>
        <family val="2"/>
      </rPr>
      <t xml:space="preserve">基準との差（計画−予測）</t>
    </r>
  </si>
  <si>
    <r>
      <rPr>
        <sz val="10"/>
        <color rgb="FF000000"/>
        <rFont val="Noto Sans CJK SC"/>
        <family val="2"/>
      </rPr>
      <t xml:space="preserve">計画が示す実質シェア（</t>
    </r>
    <r>
      <rPr>
        <sz val="10"/>
        <color rgb="FF000000"/>
        <rFont val="Arial"/>
        <family val="0"/>
        <charset val="1"/>
      </rPr>
      <t xml:space="preserve">2Q</t>
    </r>
    <r>
      <rPr>
        <sz val="10"/>
        <color rgb="FF000000"/>
        <rFont val="Noto Sans CJK SC"/>
        <family val="2"/>
      </rPr>
      <t xml:space="preserve">計画</t>
    </r>
    <r>
      <rPr>
        <sz val="10"/>
        <color rgb="FF000000"/>
        <rFont val="Arial"/>
        <family val="0"/>
        <charset val="1"/>
      </rPr>
      <t xml:space="preserve">÷6-8</t>
    </r>
    <r>
      <rPr>
        <sz val="10"/>
        <color rgb="FF000000"/>
        <rFont val="Noto Sans CJK SC"/>
        <family val="2"/>
      </rPr>
      <t xml:space="preserve">月の世界輸出）</t>
    </r>
  </si>
  <si>
    <r>
      <rPr>
        <sz val="10"/>
        <color rgb="FF000000"/>
        <rFont val="Noto Sans CJK SC"/>
        <family val="2"/>
      </rPr>
      <t xml:space="preserve">過去の実質シェア（</t>
    </r>
    <r>
      <rPr>
        <sz val="10"/>
        <color rgb="FF000000"/>
        <rFont val="Arial"/>
        <family val="0"/>
        <charset val="1"/>
      </rPr>
      <t xml:space="preserve">k=1</t>
    </r>
    <r>
      <rPr>
        <sz val="10"/>
        <color rgb="FF000000"/>
        <rFont val="Noto Sans CJK SC"/>
        <family val="2"/>
      </rPr>
      <t xml:space="preserve">）最小／平均／最大</t>
    </r>
  </si>
  <si>
    <r>
      <rPr>
        <b val="true"/>
        <sz val="10"/>
        <rFont val="Noto Sans CJK SC"/>
        <family val="2"/>
      </rPr>
      <t xml:space="preserve">⑥ 計画達成に必要な</t>
    </r>
    <r>
      <rPr>
        <b val="true"/>
        <sz val="10"/>
        <rFont val="Arial"/>
        <family val="0"/>
        <charset val="1"/>
      </rPr>
      <t xml:space="preserve">9</t>
    </r>
    <r>
      <rPr>
        <b val="true"/>
        <sz val="10"/>
        <rFont val="Noto Sans CJK SC"/>
        <family val="2"/>
      </rPr>
      <t xml:space="preserve">月の輸出（構造 </t>
    </r>
    <r>
      <rPr>
        <b val="true"/>
        <sz val="10"/>
        <rFont val="Arial"/>
        <family val="0"/>
        <charset val="1"/>
      </rPr>
      <t xml:space="preserve">k=0</t>
    </r>
    <r>
      <rPr>
        <b val="true"/>
        <sz val="10"/>
        <rFont val="Noto Sans CJK SC"/>
        <family val="2"/>
      </rPr>
      <t xml:space="preserve">、基準シナリオの地域構成を維持）</t>
    </r>
  </si>
  <si>
    <r>
      <rPr>
        <sz val="10"/>
        <color rgb="FF000000"/>
        <rFont val="Noto Sans CJK SC"/>
        <family val="2"/>
      </rPr>
      <t xml:space="preserve">基準シナリオの</t>
    </r>
    <r>
      <rPr>
        <sz val="10"/>
        <color rgb="FF000000"/>
        <rFont val="Arial"/>
        <family val="0"/>
        <charset val="1"/>
      </rPr>
      <t xml:space="preserve">9</t>
    </r>
    <r>
      <rPr>
        <sz val="10"/>
        <color rgb="FF000000"/>
        <rFont val="Noto Sans CJK SC"/>
        <family val="2"/>
      </rPr>
      <t xml:space="preserve">月推計：中国</t>
    </r>
  </si>
  <si>
    <r>
      <rPr>
        <sz val="10"/>
        <color rgb="FF000000"/>
        <rFont val="Noto Sans CJK SC"/>
        <family val="2"/>
      </rPr>
      <t xml:space="preserve">基準シナリオの</t>
    </r>
    <r>
      <rPr>
        <sz val="10"/>
        <color rgb="FF000000"/>
        <rFont val="Arial"/>
        <family val="0"/>
        <charset val="1"/>
      </rPr>
      <t xml:space="preserve">9</t>
    </r>
    <r>
      <rPr>
        <sz val="10"/>
        <color rgb="FF000000"/>
        <rFont val="Noto Sans CJK SC"/>
        <family val="2"/>
      </rPr>
      <t xml:space="preserve">月推計：中国以外</t>
    </r>
  </si>
  <si>
    <r>
      <rPr>
        <sz val="10"/>
        <color rgb="FF000000"/>
        <rFont val="Arial"/>
        <family val="0"/>
        <charset val="1"/>
      </rPr>
      <t xml:space="preserve">9</t>
    </r>
    <r>
      <rPr>
        <sz val="10"/>
        <color rgb="FF000000"/>
        <rFont val="Noto Sans CJK SC"/>
        <family val="2"/>
      </rPr>
      <t xml:space="preserve">月を</t>
    </r>
    <r>
      <rPr>
        <sz val="10"/>
        <color rgb="FF000000"/>
        <rFont val="Arial"/>
        <family val="0"/>
        <charset val="1"/>
      </rPr>
      <t xml:space="preserve">1</t>
    </r>
    <r>
      <rPr>
        <sz val="10"/>
        <color rgb="FF000000"/>
        <rFont val="Noto Sans CJK SC"/>
        <family val="2"/>
      </rPr>
      <t xml:space="preserve">倍にしたときの売上増分</t>
    </r>
  </si>
  <si>
    <t xml:space="preserve">必要な倍率</t>
  </si>
  <si>
    <r>
      <rPr>
        <sz val="10"/>
        <color rgb="FF000000"/>
        <rFont val="Noto Sans CJK SC"/>
        <family val="2"/>
      </rPr>
      <t xml:space="preserve">必要な</t>
    </r>
    <r>
      <rPr>
        <sz val="10"/>
        <color rgb="FF000000"/>
        <rFont val="Arial"/>
        <family val="0"/>
        <charset val="1"/>
      </rPr>
      <t xml:space="preserve">9</t>
    </r>
    <r>
      <rPr>
        <sz val="10"/>
        <color rgb="FF000000"/>
        <rFont val="Noto Sans CJK SC"/>
        <family val="2"/>
      </rPr>
      <t xml:space="preserve">月の世界輸出（億円）</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</si>
  <si>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9</t>
    </r>
    <r>
      <rPr>
        <sz val="10"/>
        <color rgb="FF000000"/>
        <rFont val="Noto Sans CJK SC"/>
        <family val="2"/>
      </rPr>
      <t xml:space="preserve">月の世界輸出（億円）</t>
    </r>
  </si>
  <si>
    <t xml:space="preserve">必要な前年同月比</t>
  </si>
  <si>
    <r>
      <rPr>
        <sz val="10"/>
        <color rgb="FF000000"/>
        <rFont val="Noto Sans CJK SC"/>
        <family val="2"/>
      </rPr>
      <t xml:space="preserve">参考：</t>
    </r>
    <r>
      <rPr>
        <sz val="10"/>
        <color rgb="FF000000"/>
        <rFont val="Arial"/>
        <family val="0"/>
        <charset val="1"/>
      </rPr>
      <t xml:space="preserve">7</t>
    </r>
    <r>
      <rPr>
        <sz val="10"/>
        <color rgb="FF000000"/>
        <rFont val="Noto Sans CJK SC"/>
        <family val="2"/>
      </rPr>
      <t xml:space="preserve">月・</t>
    </r>
    <r>
      <rPr>
        <sz val="10"/>
        <color rgb="FF000000"/>
        <rFont val="Arial"/>
        <family val="0"/>
        <charset val="1"/>
      </rPr>
      <t xml:space="preserve">8</t>
    </r>
    <r>
      <rPr>
        <sz val="10"/>
        <color rgb="FF000000"/>
        <rFont val="Noto Sans CJK SC"/>
        <family val="2"/>
      </rPr>
      <t xml:space="preserve">月の世界輸出の前年同月比</t>
    </r>
  </si>
  <si>
    <t xml:space="preserve">出所・注記</t>
  </si>
  <si>
    <t xml:space="preserve">【出所】</t>
  </si>
  <si>
    <r>
      <rPr>
        <sz val="10"/>
        <color rgb="FF000000"/>
        <rFont val="Noto Sans CJK SC"/>
        <family val="2"/>
      </rPr>
      <t xml:space="preserve">財務省 貿易統計 月次速報</t>
    </r>
    <r>
      <rPr>
        <sz val="10"/>
        <color rgb="FF000000"/>
        <rFont val="Arial"/>
        <family val="0"/>
        <charset val="1"/>
      </rPr>
      <t xml:space="preserve">PDF</t>
    </r>
    <r>
      <rPr>
        <sz val="10"/>
        <color rgb="FF000000"/>
        <rFont val="Noto Sans CJK SC"/>
        <family val="2"/>
      </rPr>
      <t xml:space="preserve">（各月）</t>
    </r>
    <r>
      <rPr>
        <sz val="10"/>
        <color rgb="FF000000"/>
        <rFont val="Arial"/>
        <family val="0"/>
        <charset val="1"/>
      </rPr>
      <t xml:space="preserve">: https://www.customs.go.jp/toukei/shinbun/trade-st/ </t>
    </r>
    <r>
      <rPr>
        <sz val="10"/>
        <color rgb="FF000000"/>
        <rFont val="Noto Sans CJK SC"/>
        <family val="2"/>
      </rPr>
      <t xml:space="preserve">（</t>
    </r>
    <r>
      <rPr>
        <sz val="10"/>
        <color rgb="FF000000"/>
        <rFont val="Arial"/>
        <family val="0"/>
        <charset val="1"/>
      </rPr>
      <t xml:space="preserve">URL</t>
    </r>
    <r>
      <rPr>
        <sz val="10"/>
        <color rgb="FF000000"/>
        <rFont val="Noto Sans CJK SC"/>
        <family val="2"/>
      </rPr>
      <t xml:space="preserve">は速報</t>
    </r>
    <r>
      <rPr>
        <sz val="10"/>
        <color rgb="FF000000"/>
        <rFont val="Arial"/>
        <family val="0"/>
        <charset val="1"/>
      </rPr>
      <t xml:space="preserve">_</t>
    </r>
    <r>
      <rPr>
        <sz val="10"/>
        <color rgb="FF000000"/>
        <rFont val="Noto Sans CJK SC"/>
        <family val="2"/>
      </rPr>
      <t xml:space="preserve">原データの</t>
    </r>
    <r>
      <rPr>
        <sz val="10"/>
        <color rgb="FF000000"/>
        <rFont val="Arial"/>
        <family val="0"/>
        <charset val="1"/>
      </rPr>
      <t xml:space="preserve">G</t>
    </r>
    <r>
      <rPr>
        <sz val="10"/>
        <color rgb="FF000000"/>
        <rFont val="Noto Sans CJK SC"/>
        <family val="2"/>
      </rPr>
      <t xml:space="preserve">列）</t>
    </r>
  </si>
  <si>
    <r>
      <rPr>
        <sz val="10"/>
        <color rgb="FF000000"/>
        <rFont val="Noto Sans CJK SC"/>
        <family val="2"/>
      </rPr>
      <t xml:space="preserve">財務省 貿易統計 </t>
    </r>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5</t>
    </r>
    <r>
      <rPr>
        <sz val="10"/>
        <color rgb="FF000000"/>
        <rFont val="Noto Sans CJK SC"/>
        <family val="2"/>
      </rPr>
      <t xml:space="preserve">月分 概要</t>
    </r>
    <r>
      <rPr>
        <sz val="10"/>
        <color rgb="FF000000"/>
        <rFont val="Arial"/>
        <family val="0"/>
        <charset val="1"/>
      </rPr>
      <t xml:space="preserve">: https://www.customs.go.jp/toukei/shinbun/trade-st/gaiyo2024_05.pdf</t>
    </r>
  </si>
  <si>
    <r>
      <rPr>
        <sz val="10"/>
        <color rgb="FF000000"/>
        <rFont val="Arial"/>
        <family val="0"/>
        <charset val="1"/>
      </rPr>
      <t xml:space="preserve">KOKUSAI ELECTRIC 25/3</t>
    </r>
    <r>
      <rPr>
        <sz val="10"/>
        <color rgb="FF000000"/>
        <rFont val="Noto Sans CJK SC"/>
        <family val="2"/>
      </rPr>
      <t xml:space="preserve">期 決算説明資料</t>
    </r>
    <r>
      <rPr>
        <sz val="10"/>
        <color rgb="FF000000"/>
        <rFont val="Arial"/>
        <family val="0"/>
        <charset val="1"/>
      </rPr>
      <t xml:space="preserve">: https://finance-frontend-pc-dist.west.edge.storage-yahoo.jp/disclosure/20250513/20250513544797.pdf</t>
    </r>
  </si>
  <si>
    <r>
      <rPr>
        <sz val="10"/>
        <color rgb="FF000000"/>
        <rFont val="Arial"/>
        <family val="0"/>
        <charset val="1"/>
      </rPr>
      <t xml:space="preserve">KOKUSAI ELECTRIC 26/3</t>
    </r>
    <r>
      <rPr>
        <sz val="10"/>
        <color rgb="FF000000"/>
        <rFont val="Noto Sans CJK SC"/>
        <family val="2"/>
      </rPr>
      <t xml:space="preserve">期 決算説明資料</t>
    </r>
    <r>
      <rPr>
        <sz val="10"/>
        <color rgb="FF000000"/>
        <rFont val="Arial"/>
        <family val="0"/>
        <charset val="1"/>
      </rPr>
      <t xml:space="preserve">: https://finance.stockweather.co.jp/contents/dispPDF.aspx?disclosure=20260513527733</t>
    </r>
  </si>
  <si>
    <r>
      <rPr>
        <sz val="10"/>
        <color rgb="FF000000"/>
        <rFont val="Arial"/>
        <family val="0"/>
        <charset val="1"/>
      </rPr>
      <t xml:space="preserve">27/3</t>
    </r>
    <r>
      <rPr>
        <sz val="10"/>
        <color rgb="FF000000"/>
        <rFont val="Noto Sans CJK SC"/>
        <family val="2"/>
      </rPr>
      <t xml:space="preserve">期</t>
    </r>
    <r>
      <rPr>
        <sz val="10"/>
        <color rgb="FF000000"/>
        <rFont val="Arial"/>
        <family val="0"/>
        <charset val="1"/>
      </rPr>
      <t xml:space="preserve">1Q</t>
    </r>
    <r>
      <rPr>
        <sz val="10"/>
        <color rgb="FF000000"/>
        <rFont val="Noto Sans CJK SC"/>
        <family val="2"/>
      </rPr>
      <t xml:space="preserve">実績（売上</t>
    </r>
    <r>
      <rPr>
        <sz val="10"/>
        <color rgb="FF000000"/>
        <rFont val="Arial"/>
        <family val="0"/>
        <charset val="1"/>
      </rPr>
      <t xml:space="preserve">754</t>
    </r>
    <r>
      <rPr>
        <sz val="10"/>
        <color rgb="FF000000"/>
        <rFont val="Noto Sans CJK SC"/>
        <family val="2"/>
      </rPr>
      <t xml:space="preserve">億円、中国地場</t>
    </r>
    <r>
      <rPr>
        <sz val="10"/>
        <color rgb="FF000000"/>
        <rFont val="Arial"/>
        <family val="0"/>
        <charset val="1"/>
      </rPr>
      <t xml:space="preserve">25</t>
    </r>
    <r>
      <rPr>
        <sz val="10"/>
        <color rgb="FF000000"/>
        <rFont val="Noto Sans CJK SC"/>
        <family val="2"/>
      </rPr>
      <t xml:space="preserve">％）</t>
    </r>
    <r>
      <rPr>
        <sz val="10"/>
        <color rgb="FF000000"/>
        <rFont val="Arial"/>
        <family val="0"/>
        <charset val="1"/>
      </rPr>
      <t xml:space="preserve">: https://global-net.co.jp/archives/13621</t>
    </r>
  </si>
  <si>
    <r>
      <rPr>
        <sz val="10"/>
        <color rgb="FF000000"/>
        <rFont val="Arial"/>
        <family val="0"/>
        <charset val="1"/>
      </rPr>
      <t xml:space="preserve">27/3</t>
    </r>
    <r>
      <rPr>
        <sz val="10"/>
        <color rgb="FF000000"/>
        <rFont val="Noto Sans CJK SC"/>
        <family val="2"/>
      </rPr>
      <t xml:space="preserve">期上期計画</t>
    </r>
    <r>
      <rPr>
        <sz val="10"/>
        <color rgb="FF000000"/>
        <rFont val="Arial"/>
        <family val="0"/>
        <charset val="1"/>
      </rPr>
      <t xml:space="preserve">1,610</t>
    </r>
    <r>
      <rPr>
        <sz val="10"/>
        <color rgb="FF000000"/>
        <rFont val="Noto Sans CJK SC"/>
        <family val="2"/>
      </rPr>
      <t xml:space="preserve">億円</t>
    </r>
    <r>
      <rPr>
        <sz val="10"/>
        <color rgb="FF000000"/>
        <rFont val="Arial"/>
        <family val="0"/>
        <charset val="1"/>
      </rPr>
      <t xml:space="preserve">: https://finance.yahoo.co.jp/quote/6525.T/financials</t>
    </r>
  </si>
  <si>
    <r>
      <rPr>
        <sz val="10"/>
        <color rgb="FF000000"/>
        <rFont val="Noto Sans CJK SC"/>
        <family val="2"/>
      </rPr>
      <t xml:space="preserve">伏木税関支署 </t>
    </r>
    <r>
      <rPr>
        <sz val="10"/>
        <color rgb="FF000000"/>
        <rFont val="Arial"/>
        <family val="0"/>
        <charset val="1"/>
      </rPr>
      <t xml:space="preserve">2023</t>
    </r>
    <r>
      <rPr>
        <sz val="10"/>
        <color rgb="FF000000"/>
        <rFont val="Noto Sans CJK SC"/>
        <family val="2"/>
      </rPr>
      <t xml:space="preserve">年貿易概況</t>
    </r>
    <r>
      <rPr>
        <sz val="10"/>
        <color rgb="FF000000"/>
        <rFont val="Arial"/>
        <family val="0"/>
        <charset val="1"/>
      </rPr>
      <t xml:space="preserve">: https://www.customs.go.jp/osaka/toukei/shosho/fushiki_2023nen.pdf</t>
    </r>
  </si>
  <si>
    <t xml:space="preserve">【注記】</t>
  </si>
  <si>
    <r>
      <rPr>
        <sz val="10"/>
        <color rgb="FF000000"/>
        <rFont val="Arial"/>
        <family val="0"/>
        <charset val="1"/>
      </rPr>
      <t xml:space="preserve">1. </t>
    </r>
    <r>
      <rPr>
        <sz val="10"/>
        <color rgb="FF000000"/>
        <rFont val="Noto Sans CJK SC"/>
        <family val="2"/>
      </rPr>
      <t xml:space="preserve">概況品「半導体等製造装置」は</t>
    </r>
    <r>
      <rPr>
        <sz val="10"/>
        <color rgb="FF000000"/>
        <rFont val="Arial"/>
        <family val="0"/>
        <charset val="1"/>
      </rPr>
      <t xml:space="preserve">HS8486</t>
    </r>
    <r>
      <rPr>
        <sz val="10"/>
        <color rgb="FF000000"/>
        <rFont val="Noto Sans CJK SC"/>
        <family val="2"/>
      </rPr>
      <t xml:space="preserve">全体（</t>
    </r>
    <r>
      <rPr>
        <sz val="10"/>
        <color rgb="FF000000"/>
        <rFont val="Arial"/>
        <family val="0"/>
        <charset val="1"/>
      </rPr>
      <t xml:space="preserve">FPD</t>
    </r>
    <r>
      <rPr>
        <sz val="10"/>
        <color rgb="FF000000"/>
        <rFont val="Noto Sans CJK SC"/>
        <family val="2"/>
      </rPr>
      <t xml:space="preserve">製造装置・部分品を含む）である。</t>
    </r>
    <r>
      <rPr>
        <sz val="10"/>
        <color rgb="FF000000"/>
        <rFont val="Arial"/>
        <family val="0"/>
        <charset val="1"/>
      </rPr>
      <t xml:space="preserve">KOKUSAI</t>
    </r>
    <r>
      <rPr>
        <sz val="10"/>
        <color rgb="FF000000"/>
        <rFont val="Noto Sans CJK SC"/>
        <family val="2"/>
      </rPr>
      <t xml:space="preserve">固有の品目ではなく、同社は輸出全体の約</t>
    </r>
    <r>
      <rPr>
        <sz val="10"/>
        <color rgb="FF000000"/>
        <rFont val="Arial"/>
        <family val="0"/>
        <charset val="1"/>
      </rPr>
      <t xml:space="preserve">4</t>
    </r>
    <r>
      <rPr>
        <sz val="10"/>
        <color rgb="FF000000"/>
        <rFont val="Noto Sans CJK SC"/>
        <family val="2"/>
      </rPr>
      <t xml:space="preserve">〜</t>
    </r>
    <r>
      <rPr>
        <sz val="10"/>
        <color rgb="FF000000"/>
        <rFont val="Arial"/>
        <family val="0"/>
        <charset val="1"/>
      </rPr>
      <t xml:space="preserve">6</t>
    </r>
    <r>
      <rPr>
        <sz val="10"/>
        <color rgb="FF000000"/>
        <rFont val="Noto Sans CJK SC"/>
        <family val="2"/>
      </rPr>
      <t xml:space="preserve">％にあたる。</t>
    </r>
  </si>
  <si>
    <r>
      <rPr>
        <sz val="10"/>
        <color rgb="FF000000"/>
        <rFont val="Arial"/>
        <family val="0"/>
        <charset val="1"/>
      </rPr>
      <t xml:space="preserve">2. </t>
    </r>
    <r>
      <rPr>
        <sz val="10"/>
        <color rgb="FF000000"/>
        <rFont val="Noto Sans CJK SC"/>
        <family val="2"/>
      </rPr>
      <t xml:space="preserve">速報値を使用している。翌年の前年比から逆算した値と当月速報値の差は、確認できた</t>
    </r>
    <r>
      <rPr>
        <sz val="10"/>
        <color rgb="FF000000"/>
        <rFont val="Arial"/>
        <family val="0"/>
        <charset val="1"/>
      </rPr>
      <t xml:space="preserve">112</t>
    </r>
    <r>
      <rPr>
        <sz val="10"/>
        <color rgb="FF000000"/>
        <rFont val="Noto Sans CJK SC"/>
        <family val="2"/>
      </rPr>
      <t xml:space="preserve">組で最大</t>
    </r>
    <r>
      <rPr>
        <sz val="10"/>
        <color rgb="FF000000"/>
        <rFont val="Arial"/>
        <family val="0"/>
        <charset val="1"/>
      </rPr>
      <t xml:space="preserve">0.7</t>
    </r>
    <r>
      <rPr>
        <sz val="10"/>
        <color rgb="FF000000"/>
        <rFont val="Noto Sans CJK SC"/>
        <family val="2"/>
      </rPr>
      <t xml:space="preserve">％（平均</t>
    </r>
    <r>
      <rPr>
        <sz val="10"/>
        <color rgb="FF000000"/>
        <rFont val="Arial"/>
        <family val="0"/>
        <charset val="1"/>
      </rPr>
      <t xml:space="preserve">0.01</t>
    </r>
    <r>
      <rPr>
        <sz val="10"/>
        <color rgb="FF000000"/>
        <rFont val="Noto Sans CJK SC"/>
        <family val="2"/>
      </rPr>
      <t xml:space="preserve">％）である。</t>
    </r>
  </si>
  <si>
    <r>
      <rPr>
        <sz val="10"/>
        <color rgb="FF000000"/>
        <rFont val="Arial"/>
        <family val="0"/>
        <charset val="1"/>
      </rPr>
      <t xml:space="preserve">3. </t>
    </r>
    <r>
      <rPr>
        <sz val="10"/>
        <color rgb="FF000000"/>
        <rFont val="Noto Sans CJK SC"/>
        <family val="2"/>
      </rPr>
      <t xml:space="preserve">台湾は速報に単独の表がない。アジア残差（アジア−中国−韓国−</t>
    </r>
    <r>
      <rPr>
        <sz val="10"/>
        <color rgb="FF000000"/>
        <rFont val="Arial"/>
        <family val="0"/>
        <charset val="1"/>
      </rPr>
      <t xml:space="preserve">ASEAN</t>
    </r>
    <r>
      <rPr>
        <sz val="10"/>
        <color rgb="FF000000"/>
        <rFont val="Noto Sans CJK SC"/>
        <family val="2"/>
      </rPr>
      <t xml:space="preserve">）が台湾・香港・インド等の合計の代理である。</t>
    </r>
  </si>
  <si>
    <r>
      <rPr>
        <sz val="10"/>
        <color rgb="FF000000"/>
        <rFont val="Arial"/>
        <family val="0"/>
        <charset val="1"/>
      </rPr>
      <t xml:space="preserve">4. </t>
    </r>
    <r>
      <rPr>
        <sz val="10"/>
        <color rgb="FF000000"/>
        <rFont val="Noto Sans CJK SC"/>
        <family val="2"/>
      </rPr>
      <t xml:space="preserve">中国地場売上＝全社売上</t>
    </r>
    <r>
      <rPr>
        <sz val="10"/>
        <color rgb="FF000000"/>
        <rFont val="Arial"/>
        <family val="0"/>
        <charset val="1"/>
      </rPr>
      <t xml:space="preserve">×</t>
    </r>
    <r>
      <rPr>
        <sz val="10"/>
        <color rgb="FF000000"/>
        <rFont val="Noto Sans CJK SC"/>
        <family val="2"/>
      </rPr>
      <t xml:space="preserve">中国地場比率で近似している。比率の母数が装置売上であれば、この分解は歪む。</t>
    </r>
  </si>
  <si>
    <r>
      <rPr>
        <sz val="10"/>
        <color rgb="FF000000"/>
        <rFont val="Arial"/>
        <family val="0"/>
        <charset val="1"/>
      </rPr>
      <t xml:space="preserve">5. 27/3</t>
    </r>
    <r>
      <rPr>
        <sz val="10"/>
        <color rgb="FF000000"/>
        <rFont val="Noto Sans CJK SC"/>
        <family val="2"/>
      </rPr>
      <t xml:space="preserve">期から装置・サービスの区分基準が変わったため、全社売上をモデル化している。</t>
    </r>
  </si>
  <si>
    <r>
      <rPr>
        <sz val="10"/>
        <color rgb="FF000000"/>
        <rFont val="Arial"/>
        <family val="0"/>
        <charset val="1"/>
      </rPr>
      <t xml:space="preserve">6. </t>
    </r>
    <r>
      <rPr>
        <sz val="10"/>
        <color rgb="FF000000"/>
        <rFont val="Noto Sans CJK SC"/>
        <family val="2"/>
      </rPr>
      <t xml:space="preserve">サンプルは</t>
    </r>
    <r>
      <rPr>
        <sz val="10"/>
        <color rgb="FF000000"/>
        <rFont val="Arial"/>
        <family val="0"/>
        <charset val="1"/>
      </rPr>
      <t xml:space="preserve">12</t>
    </r>
    <r>
      <rPr>
        <sz val="10"/>
        <color rgb="FF000000"/>
        <rFont val="Noto Sans CJK SC"/>
        <family val="2"/>
      </rPr>
      <t xml:space="preserve">四半期しかなく、係数は不安定である。予測の帯（</t>
    </r>
    <r>
      <rPr>
        <sz val="10"/>
        <color rgb="FF000000"/>
        <rFont val="Arial"/>
        <family val="0"/>
        <charset val="1"/>
      </rPr>
      <t xml:space="preserve">±LOOCV RMSE</t>
    </r>
    <r>
      <rPr>
        <sz val="10"/>
        <color rgb="FF000000"/>
        <rFont val="Noto Sans CJK SC"/>
        <family val="2"/>
      </rPr>
      <t xml:space="preserve">）は約</t>
    </r>
    <r>
      <rPr>
        <sz val="10"/>
        <color rgb="FF000000"/>
        <rFont val="Arial"/>
        <family val="0"/>
        <charset val="1"/>
      </rPr>
      <t xml:space="preserve">1σ</t>
    </r>
    <r>
      <rPr>
        <sz val="10"/>
        <color rgb="FF000000"/>
        <rFont val="Noto Sans CJK SC"/>
        <family val="2"/>
      </rPr>
      <t xml:space="preserve">に相当する。</t>
    </r>
  </si>
  <si>
    <r>
      <rPr>
        <sz val="10"/>
        <color rgb="FF000000"/>
        <rFont val="Arial"/>
        <family val="0"/>
        <charset val="1"/>
      </rPr>
      <t xml:space="preserve">7. </t>
    </r>
    <r>
      <rPr>
        <sz val="10"/>
        <color rgb="FF000000"/>
        <rFont val="Noto Sans CJK SC"/>
        <family val="2"/>
      </rPr>
      <t xml:space="preserve">国内向け販売（</t>
    </r>
    <r>
      <rPr>
        <sz val="10"/>
        <color rgb="FF000000"/>
        <rFont val="Arial"/>
        <family val="0"/>
        <charset val="1"/>
      </rPr>
      <t xml:space="preserve">JASM</t>
    </r>
    <r>
      <rPr>
        <sz val="10"/>
        <color rgb="FF000000"/>
        <rFont val="Noto Sans CJK SC"/>
        <family val="2"/>
      </rPr>
      <t xml:space="preserve">、</t>
    </r>
    <r>
      <rPr>
        <sz val="10"/>
        <color rgb="FF000000"/>
        <rFont val="Arial"/>
        <family val="0"/>
        <charset val="1"/>
      </rPr>
      <t xml:space="preserve">Rapidus</t>
    </r>
    <r>
      <rPr>
        <sz val="10"/>
        <color rgb="FF000000"/>
        <rFont val="Noto Sans CJK SC"/>
        <family val="2"/>
      </rPr>
      <t xml:space="preserve">等）と海外生産分は輸出統計に現れない。</t>
    </r>
  </si>
</sst>
</file>

<file path=xl/styles.xml><?xml version="1.0" encoding="utf-8"?>
<styleSheet xmlns="http://schemas.openxmlformats.org/spreadsheetml/2006/main">
  <numFmts count="12">
    <numFmt numFmtId="164" formatCode="General"/>
    <numFmt numFmtId="165" formatCode="#,##0"/>
    <numFmt numFmtId="166" formatCode="0.0%"/>
    <numFmt numFmtId="167" formatCode="0.00"/>
    <numFmt numFmtId="168" formatCode="#,##0.0"/>
    <numFmt numFmtId="169" formatCode="yyyy\-mm"/>
    <numFmt numFmtId="170" formatCode="0.0"/>
    <numFmt numFmtId="171" formatCode="0%"/>
    <numFmt numFmtId="172" formatCode="0"/>
    <numFmt numFmtId="173" formatCode="#,##0;\(#,##0\);\-"/>
    <numFmt numFmtId="174" formatCode="0.000"/>
    <numFmt numFmtId="175" formatCode="0.0000"/>
  </numFmts>
  <fonts count="2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2"/>
      <name val="Noto Sans CJK SC"/>
      <family val="2"/>
    </font>
    <font>
      <sz val="9"/>
      <color rgb="FF555555"/>
      <name val="Noto Sans CJK SC"/>
      <family val="2"/>
    </font>
    <font>
      <sz val="9"/>
      <color rgb="FF555555"/>
      <name val="Arial"/>
      <family val="0"/>
      <charset val="1"/>
    </font>
    <font>
      <b val="true"/>
      <sz val="10"/>
      <name val="Noto Sans CJK SC"/>
      <family val="2"/>
    </font>
    <font>
      <sz val="10"/>
      <color rgb="FF000000"/>
      <name val="Noto Sans CJK SC"/>
      <family val="2"/>
    </font>
    <font>
      <sz val="10"/>
      <color rgb="FF000000"/>
      <name val="Arial"/>
      <family val="0"/>
      <charset val="1"/>
    </font>
    <font>
      <sz val="10"/>
      <color rgb="FF008000"/>
      <name val="Arial"/>
      <family val="0"/>
      <charset val="1"/>
    </font>
    <font>
      <b val="true"/>
      <sz val="10"/>
      <name val="Arial"/>
      <family val="0"/>
      <charset val="1"/>
    </font>
    <font>
      <sz val="10"/>
      <color rgb="FF0000FF"/>
      <name val="Arial"/>
      <family val="0"/>
      <charset val="1"/>
    </font>
    <font>
      <sz val="10"/>
      <name val="Noto Sans CJK SC"/>
      <family val="2"/>
    </font>
    <font>
      <sz val="10"/>
      <name val="Arial"/>
      <family val="2"/>
    </font>
    <font>
      <b val="true"/>
      <sz val="18"/>
      <color rgb="FF000000"/>
      <name val="Noto Sans CJK SC"/>
      <family val="2"/>
    </font>
    <font>
      <b val="true"/>
      <sz val="18"/>
      <color rgb="FF000000"/>
      <name val="Calibri"/>
      <family val="2"/>
    </font>
    <font>
      <sz val="10"/>
      <color rgb="FF000000"/>
      <name val="Calibri"/>
      <family val="2"/>
    </font>
    <font>
      <b val="true"/>
      <sz val="10"/>
      <color rgb="FF000000"/>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5"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8B855"/>
      <rgbColor rgb="FFFFCC00"/>
      <rgbColor rgb="FFFF9900"/>
      <rgbColor rgb="FFFF6600"/>
      <rgbColor rgb="FF4A7EBB"/>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売上収益：実績と予測（k=0、億円）</a:t>
            </a:r>
          </a:p>
        </c:rich>
      </c:tx>
      <c:overlay val="0"/>
      <c:spPr>
        <a:noFill/>
        <a:ln w="0">
          <a:noFill/>
        </a:ln>
      </c:spPr>
    </c:title>
    <c:autoTitleDeleted val="0"/>
    <c:plotArea>
      <c:lineChart>
        <c:grouping val="standard"/>
        <c:varyColors val="0"/>
        <c:ser>
          <c:idx val="0"/>
          <c:order val="0"/>
          <c:tx>
            <c:strRef>
              <c:f>回帰!B5</c:f>
              <c:strCache>
                <c:ptCount val="1"/>
                <c:pt idx="0">
                  <c:v>売上収益</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回帰!$A$6:$A$17</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回帰!$B$6:$B$17</c:f>
              <c:numCache>
                <c:formatCode>#,##0</c:formatCode>
                <c:ptCount val="12"/>
                <c:pt idx="0">
                  <c:v>450</c:v>
                </c:pt>
                <c:pt idx="1">
                  <c:v>540</c:v>
                </c:pt>
                <c:pt idx="2">
                  <c:v>492</c:v>
                </c:pt>
                <c:pt idx="3">
                  <c:v>652</c:v>
                </c:pt>
                <c:pt idx="4">
                  <c:v>493</c:v>
                </c:pt>
                <c:pt idx="5">
                  <c:v>601</c:v>
                </c:pt>
                <c:pt idx="6">
                  <c:v>643</c:v>
                </c:pt>
                <c:pt idx="7">
                  <c:v>518</c:v>
                </c:pt>
                <c:pt idx="8">
                  <c:v>654</c:v>
                </c:pt>
                <c:pt idx="9">
                  <c:v>559</c:v>
                </c:pt>
                <c:pt idx="10">
                  <c:v>620</c:v>
                </c:pt>
                <c:pt idx="11">
                  <c:v>754</c:v>
                </c:pt>
              </c:numCache>
            </c:numRef>
          </c:val>
          <c:smooth val="1"/>
        </c:ser>
        <c:ser>
          <c:idx val="1"/>
          <c:order val="1"/>
          <c:tx>
            <c:strRef>
              <c:f>回帰!H5</c:f>
              <c:strCache>
                <c:ptCount val="1"/>
                <c:pt idx="0">
                  <c:v>単一:予測</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回帰!$A$6:$A$17</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回帰!$H$6:$H$17</c:f>
              <c:numCache>
                <c:formatCode>#,##0</c:formatCode>
                <c:ptCount val="12"/>
                <c:pt idx="0">
                  <c:v>437.226724683572</c:v>
                </c:pt>
                <c:pt idx="1">
                  <c:v>516.039496348251</c:v>
                </c:pt>
                <c:pt idx="2">
                  <c:v>547.101183477289</c:v>
                </c:pt>
                <c:pt idx="3">
                  <c:v>589.601329931804</c:v>
                </c:pt>
                <c:pt idx="4">
                  <c:v>584.275766769758</c:v>
                </c:pt>
                <c:pt idx="5">
                  <c:v>648.154979968465</c:v>
                </c:pt>
                <c:pt idx="6">
                  <c:v>622.790506569505</c:v>
                </c:pt>
                <c:pt idx="7">
                  <c:v>576.428460172758</c:v>
                </c:pt>
                <c:pt idx="8">
                  <c:v>572.041940214333</c:v>
                </c:pt>
                <c:pt idx="9">
                  <c:v>624.521158040862</c:v>
                </c:pt>
                <c:pt idx="10">
                  <c:v>616.415699374746</c:v>
                </c:pt>
                <c:pt idx="11">
                  <c:v>641.402754448657</c:v>
                </c:pt>
              </c:numCache>
            </c:numRef>
          </c:val>
          <c:smooth val="1"/>
        </c:ser>
        <c:ser>
          <c:idx val="2"/>
          <c:order val="2"/>
          <c:tx>
            <c:strRef>
              <c:f>回帰!R5</c:f>
              <c:strCache>
                <c:ptCount val="1"/>
                <c:pt idx="0">
                  <c:v>構造:予測</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回帰!$A$6:$A$17</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回帰!$R$6:$R$17</c:f>
              <c:numCache>
                <c:formatCode>#,##0</c:formatCode>
                <c:ptCount val="12"/>
                <c:pt idx="0">
                  <c:v>410.86735712942</c:v>
                </c:pt>
                <c:pt idx="1">
                  <c:v>497.937520629367</c:v>
                </c:pt>
                <c:pt idx="2">
                  <c:v>535.724190839692</c:v>
                </c:pt>
                <c:pt idx="3">
                  <c:v>583.155204959277</c:v>
                </c:pt>
                <c:pt idx="4">
                  <c:v>579.670340788922</c:v>
                </c:pt>
                <c:pt idx="5">
                  <c:v>657.177711060861</c:v>
                </c:pt>
                <c:pt idx="6">
                  <c:v>635.344472120535</c:v>
                </c:pt>
                <c:pt idx="7">
                  <c:v>576.274498259909</c:v>
                </c:pt>
                <c:pt idx="8">
                  <c:v>566.361540578597</c:v>
                </c:pt>
                <c:pt idx="9">
                  <c:v>636.27126200667</c:v>
                </c:pt>
                <c:pt idx="10">
                  <c:v>632.050377453221</c:v>
                </c:pt>
                <c:pt idx="11">
                  <c:v>665.165524173531</c:v>
                </c:pt>
              </c:numCache>
            </c:numRef>
          </c:val>
          <c:smooth val="1"/>
        </c:ser>
        <c:hiLowLines>
          <c:spPr>
            <a:ln w="0">
              <a:noFill/>
            </a:ln>
          </c:spPr>
        </c:hiLowLines>
        <c:marker val="0"/>
        <c:axId val="5743505"/>
        <c:axId val="26533534"/>
      </c:lineChart>
      <c:catAx>
        <c:axId val="57435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533534"/>
        <c:crosses val="autoZero"/>
        <c:auto val="1"/>
        <c:lblAlgn val="ctr"/>
        <c:lblOffset val="100"/>
        <c:noMultiLvlLbl val="0"/>
      </c:catAx>
      <c:valAx>
        <c:axId val="2653353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億円</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4350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43</xdr:row>
      <xdr:rowOff>49320</xdr:rowOff>
    </xdr:from>
    <xdr:to>
      <xdr:col>15</xdr:col>
      <xdr:colOff>543960</xdr:colOff>
      <xdr:row>57</xdr:row>
      <xdr:rowOff>82080</xdr:rowOff>
    </xdr:to>
    <xdr:graphicFrame>
      <xdr:nvGraphicFramePr>
        <xdr:cNvPr id="0" name="Chart 1"/>
        <xdr:cNvGraphicFramePr/>
      </xdr:nvGraphicFramePr>
      <xdr:xfrm>
        <a:off x="4511160" y="933444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
    <col collapsed="false" customWidth="true" hidden="false" outlineLevel="0" max="3" min="3" style="0" width="8"/>
    <col collapsed="false" customWidth="true" hidden="false" outlineLevel="0" max="4" min="4" style="0" width="16"/>
  </cols>
  <sheetData>
    <row r="1" customFormat="false" ht="19.4"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3"/>
      <c r="D4" s="3" t="s">
        <v>3</v>
      </c>
    </row>
    <row r="5" customFormat="false" ht="15" hidden="false" customHeight="false" outlineLevel="0" collapsed="false">
      <c r="A5" s="4" t="s">
        <v>4</v>
      </c>
      <c r="D5" s="5" t="n">
        <f aca="false">ナウキャスト!G22</f>
        <v>845.544969618503</v>
      </c>
    </row>
    <row r="6" customFormat="false" ht="15" hidden="false" customHeight="false" outlineLevel="0" collapsed="false">
      <c r="A6" s="4" t="s">
        <v>5</v>
      </c>
      <c r="D6" s="6" t="str">
        <f aca="false">TEXT(ナウキャスト!G21,"#,##0")&amp;"〜"&amp;TEXT(ナウキャスト!G23,"#,##0")</f>
        <v>806〜868</v>
      </c>
    </row>
    <row r="7" customFormat="false" ht="15" hidden="false" customHeight="false" outlineLevel="0" collapsed="false">
      <c r="A7" s="4" t="s">
        <v>6</v>
      </c>
      <c r="D7" s="5" t="n">
        <f aca="false">ナウキャスト!G27</f>
        <v>792.451181837355</v>
      </c>
    </row>
    <row r="8" customFormat="false" ht="15" hidden="false" customHeight="false" outlineLevel="0" collapsed="false">
      <c r="A8" s="4" t="s">
        <v>7</v>
      </c>
      <c r="D8" s="6" t="str">
        <f aca="false">TEXT(ナウキャスト!J22,"#,##0")&amp;"／"&amp;TEXT(ナウキャスト!J27,"#,##0")</f>
        <v>812／735</v>
      </c>
    </row>
    <row r="9" customFormat="false" ht="15" hidden="false" customHeight="false" outlineLevel="0" collapsed="false">
      <c r="A9" s="4" t="s">
        <v>8</v>
      </c>
      <c r="D9" s="5" t="n">
        <f aca="false">回帰!$F$23</f>
        <v>76.3311083343956</v>
      </c>
    </row>
    <row r="10" customFormat="false" ht="15" hidden="false" customHeight="false" outlineLevel="0" collapsed="false">
      <c r="A10" s="4" t="s">
        <v>9</v>
      </c>
      <c r="D10" s="5" t="n">
        <f aca="false">ナウキャスト!D32</f>
        <v>856</v>
      </c>
    </row>
    <row r="11" customFormat="false" ht="15" hidden="false" customHeight="false" outlineLevel="0" collapsed="false">
      <c r="A11" s="4" t="s">
        <v>10</v>
      </c>
      <c r="D11" s="7" t="n">
        <f aca="false">ナウキャスト!D44</f>
        <v>0.504847621521207</v>
      </c>
    </row>
    <row r="12" customFormat="false" ht="15" hidden="false" customHeight="false" outlineLevel="0" collapsed="false">
      <c r="A12" s="4" t="s">
        <v>11</v>
      </c>
      <c r="D12" s="6" t="str">
        <f aca="false">TEXT(ナウキャスト!D34,"0.0%")&amp;"（"&amp;TEXT(ナウキャスト!F35,"0.0%")&amp;"）"</f>
        <v>5.9%（6.1%）</v>
      </c>
    </row>
    <row r="14" customFormat="false" ht="15" hidden="false" customHeight="false" outlineLevel="0" collapsed="false">
      <c r="A14" s="8" t="s">
        <v>12</v>
      </c>
    </row>
    <row r="15" customFormat="false" ht="15" hidden="false" customHeight="false" outlineLevel="0" collapsed="false">
      <c r="A15" s="3" t="s">
        <v>13</v>
      </c>
      <c r="B15" s="3"/>
      <c r="C15" s="9" t="s">
        <v>14</v>
      </c>
      <c r="D15" s="9" t="s">
        <v>15</v>
      </c>
    </row>
    <row r="16" customFormat="false" ht="15" hidden="false" customHeight="false" outlineLevel="0" collapsed="false">
      <c r="A16" s="4" t="s">
        <v>16</v>
      </c>
      <c r="C16" s="10" t="n">
        <f aca="false">回帰!$E$20</f>
        <v>0.46196352705031</v>
      </c>
      <c r="D16" s="11" t="n">
        <f aca="false">回帰!$F$20</f>
        <v>71.1893844919286</v>
      </c>
    </row>
    <row r="17" customFormat="false" ht="15" hidden="false" customHeight="false" outlineLevel="0" collapsed="false">
      <c r="A17" s="4" t="s">
        <v>17</v>
      </c>
      <c r="C17" s="10" t="n">
        <f aca="false">回帰!$E$23</f>
        <v>0.461762856743951</v>
      </c>
      <c r="D17" s="11" t="n">
        <f aca="false">回帰!$F$23</f>
        <v>76.3311083343956</v>
      </c>
    </row>
    <row r="18" customFormat="false" ht="15" hidden="false" customHeight="false" outlineLevel="0" collapsed="false">
      <c r="A18" s="4" t="s">
        <v>18</v>
      </c>
      <c r="C18" s="10" t="n">
        <f aca="false">回帰!$E$43</f>
        <v>0.443255578363467</v>
      </c>
      <c r="D18" s="11" t="n">
        <f aca="false">回帰!$F$43</f>
        <v>74.53814414249</v>
      </c>
    </row>
    <row r="19" customFormat="false" ht="15" hidden="false" customHeight="false" outlineLevel="0" collapsed="false">
      <c r="A19" s="4" t="s">
        <v>19</v>
      </c>
      <c r="C19" s="10" t="n">
        <f aca="false">回帰!$E$46</f>
        <v>0.429832107345027</v>
      </c>
      <c r="D19" s="11" t="n">
        <f aca="false">回帰!$F$46</f>
        <v>77.6178143783207</v>
      </c>
    </row>
    <row r="20" customFormat="false" ht="15" hidden="false" customHeight="false" outlineLevel="0" collapsed="false">
      <c r="A20" s="4" t="s">
        <v>20</v>
      </c>
      <c r="D20" s="11" t="n">
        <f aca="false">回帰!$F$24</f>
        <v>112.628108876474</v>
      </c>
    </row>
    <row r="21" customFormat="false" ht="15" hidden="false" customHeight="false" outlineLevel="0" collapsed="false">
      <c r="A21" s="4" t="s">
        <v>21</v>
      </c>
      <c r="C21" s="10" t="n">
        <f aca="false">回帰!$E$22</f>
        <v>0.797929478779183</v>
      </c>
    </row>
    <row r="23" customFormat="false" ht="15" hidden="false" customHeight="false" outlineLevel="0" collapsed="false">
      <c r="A23" s="8" t="s">
        <v>22</v>
      </c>
    </row>
    <row r="24" customFormat="false" ht="27" hidden="false" customHeight="true" outlineLevel="0" collapsed="false">
      <c r="A24" s="12" t="s">
        <v>23</v>
      </c>
      <c r="B24" s="12"/>
      <c r="C24" s="12"/>
      <c r="D24" s="12"/>
    </row>
    <row r="25" customFormat="false" ht="27" hidden="false" customHeight="true" outlineLevel="0" collapsed="false">
      <c r="A25" s="12" t="s">
        <v>24</v>
      </c>
      <c r="B25" s="12"/>
      <c r="C25" s="12"/>
      <c r="D25" s="12"/>
    </row>
    <row r="26" customFormat="false" ht="27" hidden="false" customHeight="true" outlineLevel="0" collapsed="false">
      <c r="A26" s="12" t="s">
        <v>25</v>
      </c>
      <c r="B26" s="12"/>
      <c r="C26" s="12"/>
      <c r="D26" s="12"/>
    </row>
    <row r="27" customFormat="false" ht="27" hidden="false" customHeight="true" outlineLevel="0" collapsed="false">
      <c r="A27" s="12" t="s">
        <v>26</v>
      </c>
      <c r="B27" s="12"/>
      <c r="C27" s="12"/>
      <c r="D27" s="12"/>
    </row>
    <row r="28" customFormat="false" ht="27" hidden="false" customHeight="true" outlineLevel="0" collapsed="false">
      <c r="A28" s="12" t="s">
        <v>27</v>
      </c>
      <c r="B28" s="12"/>
      <c r="C28" s="12"/>
      <c r="D28" s="12"/>
    </row>
  </sheetData>
  <mergeCells count="5">
    <mergeCell ref="A24:D24"/>
    <mergeCell ref="A25:D25"/>
    <mergeCell ref="A26:D26"/>
    <mergeCell ref="A27:D27"/>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4" min="3" style="0" width="14"/>
    <col collapsed="false" customWidth="true" hidden="false" outlineLevel="0" max="5" min="5" style="0" width="12"/>
    <col collapsed="false" customWidth="true" hidden="false" outlineLevel="0" max="6" min="6" style="0" width="14"/>
    <col collapsed="false" customWidth="true" hidden="false" outlineLevel="0" max="7" min="7" style="0" width="62"/>
    <col collapsed="false" customWidth="true" hidden="false" outlineLevel="0" max="8" min="8" style="0" width="3"/>
    <col collapsed="false" customWidth="true" hidden="false" outlineLevel="0" max="9" min="9" style="0" width="10"/>
    <col collapsed="false" customWidth="true" hidden="false" outlineLevel="0" max="10" min="10" style="0" width="9"/>
    <col collapsed="false" customWidth="true" hidden="false" outlineLevel="0" max="11" min="11" style="0" width="14"/>
  </cols>
  <sheetData>
    <row r="1" customFormat="false" ht="15" hidden="false" customHeight="false" outlineLevel="0" collapsed="false">
      <c r="A1" s="13" t="s">
        <v>28</v>
      </c>
    </row>
    <row r="2" customFormat="false" ht="15" hidden="false" customHeight="false" outlineLevel="0" collapsed="false">
      <c r="A2" s="2" t="s">
        <v>29</v>
      </c>
    </row>
    <row r="4" customFormat="false" ht="29.85" hidden="false" customHeight="false" outlineLevel="0" collapsed="false">
      <c r="A4" s="3" t="s">
        <v>30</v>
      </c>
      <c r="B4" s="3" t="s">
        <v>31</v>
      </c>
      <c r="C4" s="3" t="s">
        <v>32</v>
      </c>
      <c r="D4" s="3" t="s">
        <v>33</v>
      </c>
      <c r="E4" s="3" t="s">
        <v>34</v>
      </c>
      <c r="F4" s="3" t="s">
        <v>35</v>
      </c>
      <c r="G4" s="3" t="s">
        <v>36</v>
      </c>
      <c r="I4" s="14" t="s">
        <v>37</v>
      </c>
    </row>
    <row r="5" customFormat="false" ht="29.85" hidden="false" customHeight="false" outlineLevel="0" collapsed="false">
      <c r="A5" s="15" t="n">
        <v>45383</v>
      </c>
      <c r="B5" s="16" t="s">
        <v>38</v>
      </c>
      <c r="C5" s="17" t="n">
        <v>17542</v>
      </c>
      <c r="D5" s="18" t="n">
        <v>27.4</v>
      </c>
      <c r="E5" s="17" t="n">
        <v>545</v>
      </c>
      <c r="F5" s="18" t="n">
        <v>-1.2</v>
      </c>
      <c r="G5" s="19" t="s">
        <v>39</v>
      </c>
      <c r="I5" s="3" t="s">
        <v>30</v>
      </c>
      <c r="J5" s="3" t="s">
        <v>31</v>
      </c>
      <c r="K5" s="3" t="s">
        <v>33</v>
      </c>
    </row>
    <row r="6" customFormat="false" ht="15" hidden="false" customHeight="false" outlineLevel="0" collapsed="false">
      <c r="A6" s="15" t="n">
        <v>45383</v>
      </c>
      <c r="B6" s="16" t="s">
        <v>40</v>
      </c>
      <c r="C6" s="17" t="n">
        <v>322037</v>
      </c>
      <c r="D6" s="18" t="n">
        <v>45.2</v>
      </c>
      <c r="E6" s="17" t="n">
        <v>11129</v>
      </c>
      <c r="F6" s="18" t="n">
        <v>43.8</v>
      </c>
      <c r="G6" s="19" t="s">
        <v>39</v>
      </c>
      <c r="I6" s="15" t="n">
        <v>45413</v>
      </c>
      <c r="J6" s="16" t="s">
        <v>41</v>
      </c>
      <c r="K6" s="18" t="n">
        <v>45.9</v>
      </c>
    </row>
    <row r="7" customFormat="false" ht="15" hidden="false" customHeight="false" outlineLevel="0" collapsed="false">
      <c r="A7" s="15" t="n">
        <v>45383</v>
      </c>
      <c r="B7" s="16" t="s">
        <v>42</v>
      </c>
      <c r="C7" s="17" t="n">
        <v>188866</v>
      </c>
      <c r="D7" s="18" t="n">
        <v>95.4</v>
      </c>
      <c r="E7" s="17" t="n">
        <v>6494</v>
      </c>
      <c r="F7" s="18" t="n">
        <v>94.8</v>
      </c>
      <c r="G7" s="19" t="s">
        <v>39</v>
      </c>
      <c r="I7" s="15" t="n">
        <v>45413</v>
      </c>
      <c r="J7" s="16" t="s">
        <v>40</v>
      </c>
      <c r="K7" s="18" t="n">
        <v>56.2</v>
      </c>
    </row>
    <row r="8" customFormat="false" ht="15" hidden="false" customHeight="false" outlineLevel="0" collapsed="false">
      <c r="A8" s="15" t="n">
        <v>45383</v>
      </c>
      <c r="B8" s="16" t="s">
        <v>43</v>
      </c>
      <c r="C8" s="17" t="n">
        <v>12280</v>
      </c>
      <c r="D8" s="18" t="n">
        <v>-44.5</v>
      </c>
      <c r="E8" s="17" t="n">
        <v>395</v>
      </c>
      <c r="F8" s="18" t="n">
        <v>-43.9</v>
      </c>
      <c r="G8" s="19" t="s">
        <v>39</v>
      </c>
      <c r="I8" s="15" t="n">
        <v>45413</v>
      </c>
      <c r="J8" s="16" t="s">
        <v>42</v>
      </c>
      <c r="K8" s="18" t="n">
        <v>130.7</v>
      </c>
    </row>
    <row r="9" customFormat="false" ht="15" hidden="false" customHeight="false" outlineLevel="0" collapsed="false">
      <c r="A9" s="15" t="n">
        <v>45383</v>
      </c>
      <c r="B9" s="16" t="s">
        <v>44</v>
      </c>
      <c r="C9" s="17" t="n">
        <v>45082</v>
      </c>
      <c r="D9" s="18" t="n">
        <v>-0.4</v>
      </c>
      <c r="E9" s="17" t="n">
        <v>1611</v>
      </c>
      <c r="F9" s="18" t="n">
        <v>28.9</v>
      </c>
      <c r="G9" s="19" t="s">
        <v>39</v>
      </c>
      <c r="I9" s="15" t="n">
        <v>45413</v>
      </c>
      <c r="J9" s="16" t="s">
        <v>45</v>
      </c>
      <c r="K9" s="18" t="n">
        <v>137.8</v>
      </c>
    </row>
    <row r="10" customFormat="false" ht="15" hidden="false" customHeight="false" outlineLevel="0" collapsed="false">
      <c r="A10" s="15" t="n">
        <v>45383</v>
      </c>
      <c r="B10" s="16" t="s">
        <v>45</v>
      </c>
      <c r="C10" s="17" t="n">
        <v>42838</v>
      </c>
      <c r="D10" s="18" t="n">
        <v>-16.3</v>
      </c>
      <c r="E10" s="17" t="n">
        <v>1188</v>
      </c>
      <c r="F10" s="18" t="n">
        <v>-24.7</v>
      </c>
      <c r="G10" s="19" t="s">
        <v>39</v>
      </c>
      <c r="I10" s="2" t="s">
        <v>46</v>
      </c>
    </row>
    <row r="11" customFormat="false" ht="15" hidden="false" customHeight="false" outlineLevel="0" collapsed="false">
      <c r="A11" s="15" t="n">
        <v>45383</v>
      </c>
      <c r="B11" s="16" t="s">
        <v>41</v>
      </c>
      <c r="C11" s="17" t="n">
        <v>379038</v>
      </c>
      <c r="D11" s="18" t="n">
        <v>28.2</v>
      </c>
      <c r="E11" s="17" t="n">
        <v>12780</v>
      </c>
      <c r="F11" s="18" t="n">
        <v>27.3</v>
      </c>
      <c r="G11" s="19" t="s">
        <v>39</v>
      </c>
    </row>
    <row r="12" customFormat="false" ht="15" hidden="false" customHeight="false" outlineLevel="0" collapsed="false">
      <c r="A12" s="15" t="n">
        <v>45444</v>
      </c>
      <c r="B12" s="16" t="s">
        <v>38</v>
      </c>
      <c r="C12" s="17" t="n">
        <v>16156</v>
      </c>
      <c r="D12" s="18" t="n">
        <v>13.8</v>
      </c>
      <c r="E12" s="17" t="n">
        <v>426</v>
      </c>
      <c r="F12" s="18" t="n">
        <v>-30</v>
      </c>
      <c r="G12" s="19" t="s">
        <v>47</v>
      </c>
    </row>
    <row r="13" customFormat="false" ht="15" hidden="false" customHeight="false" outlineLevel="0" collapsed="false">
      <c r="A13" s="15" t="n">
        <v>45444</v>
      </c>
      <c r="B13" s="16" t="s">
        <v>40</v>
      </c>
      <c r="C13" s="17" t="n">
        <v>338211</v>
      </c>
      <c r="D13" s="18" t="n">
        <v>42.9</v>
      </c>
      <c r="E13" s="17" t="n">
        <v>11035</v>
      </c>
      <c r="F13" s="18" t="n">
        <v>28.5</v>
      </c>
      <c r="G13" s="19" t="s">
        <v>47</v>
      </c>
    </row>
    <row r="14" customFormat="false" ht="15" hidden="false" customHeight="false" outlineLevel="0" collapsed="false">
      <c r="A14" s="15" t="n">
        <v>45444</v>
      </c>
      <c r="B14" s="16" t="s">
        <v>42</v>
      </c>
      <c r="C14" s="17" t="n">
        <v>192584</v>
      </c>
      <c r="D14" s="18" t="n">
        <v>47.7</v>
      </c>
      <c r="E14" s="17" t="n">
        <v>6249</v>
      </c>
      <c r="F14" s="18" t="n">
        <v>30.5</v>
      </c>
      <c r="G14" s="19" t="s">
        <v>47</v>
      </c>
    </row>
    <row r="15" customFormat="false" ht="15" hidden="false" customHeight="false" outlineLevel="0" collapsed="false">
      <c r="A15" s="15" t="n">
        <v>45444</v>
      </c>
      <c r="B15" s="16" t="s">
        <v>43</v>
      </c>
      <c r="C15" s="17" t="n">
        <v>10419</v>
      </c>
      <c r="D15" s="18" t="n">
        <v>-48.7</v>
      </c>
      <c r="E15" s="17" t="n">
        <v>280</v>
      </c>
      <c r="F15" s="18" t="n">
        <v>-49.7</v>
      </c>
      <c r="G15" s="19" t="s">
        <v>47</v>
      </c>
    </row>
    <row r="16" customFormat="false" ht="15" hidden="false" customHeight="false" outlineLevel="0" collapsed="false">
      <c r="A16" s="15" t="n">
        <v>45444</v>
      </c>
      <c r="B16" s="16" t="s">
        <v>44</v>
      </c>
      <c r="C16" s="17" t="n">
        <v>54349</v>
      </c>
      <c r="D16" s="18" t="n">
        <v>7.6</v>
      </c>
      <c r="E16" s="17" t="n">
        <v>1963</v>
      </c>
      <c r="F16" s="18" t="n">
        <v>42.6</v>
      </c>
      <c r="G16" s="19" t="s">
        <v>47</v>
      </c>
    </row>
    <row r="17" customFormat="false" ht="15" hidden="false" customHeight="false" outlineLevel="0" collapsed="false">
      <c r="A17" s="15" t="n">
        <v>45444</v>
      </c>
      <c r="B17" s="16" t="s">
        <v>45</v>
      </c>
      <c r="C17" s="17" t="n">
        <v>47981</v>
      </c>
      <c r="D17" s="18" t="n">
        <v>58.4</v>
      </c>
      <c r="E17" s="17" t="n">
        <v>1018</v>
      </c>
      <c r="F17" s="18" t="n">
        <v>18.2</v>
      </c>
      <c r="G17" s="19" t="s">
        <v>47</v>
      </c>
    </row>
    <row r="18" customFormat="false" ht="15" hidden="false" customHeight="false" outlineLevel="0" collapsed="false">
      <c r="A18" s="15" t="n">
        <v>45444</v>
      </c>
      <c r="B18" s="16" t="s">
        <v>41</v>
      </c>
      <c r="C18" s="17" t="n">
        <v>397166</v>
      </c>
      <c r="D18" s="18" t="n">
        <v>37.9</v>
      </c>
      <c r="E18" s="17" t="n">
        <v>12343</v>
      </c>
      <c r="F18" s="18" t="n">
        <v>23</v>
      </c>
      <c r="G18" s="19" t="s">
        <v>47</v>
      </c>
    </row>
    <row r="19" customFormat="false" ht="15" hidden="false" customHeight="false" outlineLevel="0" collapsed="false">
      <c r="A19" s="15" t="n">
        <v>45474</v>
      </c>
      <c r="B19" s="16" t="s">
        <v>38</v>
      </c>
      <c r="C19" s="17" t="n">
        <v>19766</v>
      </c>
      <c r="D19" s="18" t="n">
        <v>35.4</v>
      </c>
      <c r="E19" s="17" t="n">
        <v>564</v>
      </c>
      <c r="F19" s="18" t="n">
        <v>-14.4</v>
      </c>
      <c r="G19" s="19" t="s">
        <v>48</v>
      </c>
    </row>
    <row r="20" customFormat="false" ht="15" hidden="false" customHeight="false" outlineLevel="0" collapsed="false">
      <c r="A20" s="15" t="n">
        <v>45474</v>
      </c>
      <c r="B20" s="16" t="s">
        <v>40</v>
      </c>
      <c r="C20" s="17" t="n">
        <v>314213</v>
      </c>
      <c r="D20" s="18" t="n">
        <v>32.6</v>
      </c>
      <c r="E20" s="17" t="n">
        <v>9989</v>
      </c>
      <c r="F20" s="18" t="n">
        <v>-2.3</v>
      </c>
      <c r="G20" s="19" t="s">
        <v>48</v>
      </c>
    </row>
    <row r="21" customFormat="false" ht="15" hidden="false" customHeight="false" outlineLevel="0" collapsed="false">
      <c r="A21" s="15" t="n">
        <v>45474</v>
      </c>
      <c r="B21" s="16" t="s">
        <v>42</v>
      </c>
      <c r="C21" s="17" t="n">
        <v>163858</v>
      </c>
      <c r="D21" s="18" t="n">
        <v>16.6</v>
      </c>
      <c r="E21" s="17" t="n">
        <v>5287</v>
      </c>
      <c r="F21" s="18" t="n">
        <v>-19.1</v>
      </c>
      <c r="G21" s="19" t="s">
        <v>48</v>
      </c>
    </row>
    <row r="22" customFormat="false" ht="15" hidden="false" customHeight="false" outlineLevel="0" collapsed="false">
      <c r="A22" s="15" t="n">
        <v>45474</v>
      </c>
      <c r="B22" s="16" t="s">
        <v>43</v>
      </c>
      <c r="C22" s="17" t="n">
        <v>8783</v>
      </c>
      <c r="D22" s="18" t="n">
        <v>-49.1</v>
      </c>
      <c r="E22" s="17" t="n">
        <v>261</v>
      </c>
      <c r="F22" s="18" t="n">
        <v>-56.9</v>
      </c>
      <c r="G22" s="19" t="s">
        <v>48</v>
      </c>
    </row>
    <row r="23" customFormat="false" ht="15" hidden="false" customHeight="false" outlineLevel="0" collapsed="false">
      <c r="A23" s="15" t="n">
        <v>45474</v>
      </c>
      <c r="B23" s="16" t="s">
        <v>44</v>
      </c>
      <c r="C23" s="17" t="n">
        <v>51193</v>
      </c>
      <c r="D23" s="18" t="n">
        <v>16.2</v>
      </c>
      <c r="E23" s="17" t="n">
        <v>1565</v>
      </c>
      <c r="F23" s="18" t="n">
        <v>-0.5</v>
      </c>
      <c r="G23" s="19" t="s">
        <v>48</v>
      </c>
    </row>
    <row r="24" customFormat="false" ht="15" hidden="false" customHeight="false" outlineLevel="0" collapsed="false">
      <c r="A24" s="15" t="n">
        <v>45474</v>
      </c>
      <c r="B24" s="16" t="s">
        <v>45</v>
      </c>
      <c r="C24" s="17" t="n">
        <v>43964</v>
      </c>
      <c r="D24" s="18" t="n">
        <v>30.8</v>
      </c>
      <c r="E24" s="17" t="n">
        <v>1034</v>
      </c>
      <c r="F24" s="18" t="n">
        <v>16.2</v>
      </c>
      <c r="G24" s="19" t="s">
        <v>48</v>
      </c>
    </row>
    <row r="25" customFormat="false" ht="15" hidden="false" customHeight="false" outlineLevel="0" collapsed="false">
      <c r="A25" s="15" t="n">
        <v>45474</v>
      </c>
      <c r="B25" s="16" t="s">
        <v>41</v>
      </c>
      <c r="C25" s="17" t="n">
        <v>368544</v>
      </c>
      <c r="D25" s="18" t="n">
        <v>27.8</v>
      </c>
      <c r="E25" s="17" t="n">
        <v>11360</v>
      </c>
      <c r="F25" s="18" t="n">
        <v>-3.2</v>
      </c>
      <c r="G25" s="19" t="s">
        <v>48</v>
      </c>
    </row>
    <row r="26" customFormat="false" ht="15" hidden="false" customHeight="false" outlineLevel="0" collapsed="false">
      <c r="A26" s="15" t="n">
        <v>45505</v>
      </c>
      <c r="B26" s="16" t="s">
        <v>38</v>
      </c>
      <c r="C26" s="17" t="n">
        <v>20870</v>
      </c>
      <c r="D26" s="18" t="n">
        <v>49.7</v>
      </c>
      <c r="E26" s="17" t="n">
        <v>474</v>
      </c>
      <c r="F26" s="18" t="n">
        <v>-9.9</v>
      </c>
      <c r="G26" s="19" t="s">
        <v>49</v>
      </c>
    </row>
    <row r="27" customFormat="false" ht="15" hidden="false" customHeight="false" outlineLevel="0" collapsed="false">
      <c r="A27" s="15" t="n">
        <v>45505</v>
      </c>
      <c r="B27" s="16" t="s">
        <v>40</v>
      </c>
      <c r="C27" s="17" t="n">
        <v>293075</v>
      </c>
      <c r="D27" s="18" t="n">
        <v>63.9</v>
      </c>
      <c r="E27" s="17" t="n">
        <v>10153</v>
      </c>
      <c r="F27" s="18" t="n">
        <v>45.1</v>
      </c>
      <c r="G27" s="19" t="s">
        <v>49</v>
      </c>
    </row>
    <row r="28" customFormat="false" ht="15" hidden="false" customHeight="false" outlineLevel="0" collapsed="false">
      <c r="A28" s="15" t="n">
        <v>45505</v>
      </c>
      <c r="B28" s="16" t="s">
        <v>42</v>
      </c>
      <c r="C28" s="17" t="n">
        <v>179927</v>
      </c>
      <c r="D28" s="18" t="n">
        <v>61.6</v>
      </c>
      <c r="E28" s="17" t="n">
        <v>6742</v>
      </c>
      <c r="F28" s="18" t="n">
        <v>41</v>
      </c>
      <c r="G28" s="19" t="s">
        <v>49</v>
      </c>
    </row>
    <row r="29" customFormat="false" ht="15" hidden="false" customHeight="false" outlineLevel="0" collapsed="false">
      <c r="A29" s="15" t="n">
        <v>45505</v>
      </c>
      <c r="B29" s="16" t="s">
        <v>43</v>
      </c>
      <c r="C29" s="17" t="n">
        <v>11618</v>
      </c>
      <c r="D29" s="18" t="n">
        <v>-17</v>
      </c>
      <c r="E29" s="17" t="n">
        <v>255</v>
      </c>
      <c r="F29" s="18" t="n">
        <v>-41</v>
      </c>
      <c r="G29" s="19" t="s">
        <v>49</v>
      </c>
    </row>
    <row r="30" customFormat="false" ht="15" hidden="false" customHeight="false" outlineLevel="0" collapsed="false">
      <c r="A30" s="15" t="n">
        <v>45505</v>
      </c>
      <c r="B30" s="16" t="s">
        <v>44</v>
      </c>
      <c r="C30" s="17" t="n">
        <v>44878</v>
      </c>
      <c r="D30" s="18" t="n">
        <v>54.5</v>
      </c>
      <c r="E30" s="17" t="n">
        <v>1339</v>
      </c>
      <c r="F30" s="18" t="n">
        <v>74.2</v>
      </c>
      <c r="G30" s="19" t="s">
        <v>49</v>
      </c>
    </row>
    <row r="31" customFormat="false" ht="15" hidden="false" customHeight="false" outlineLevel="0" collapsed="false">
      <c r="A31" s="15" t="n">
        <v>45505</v>
      </c>
      <c r="B31" s="16" t="s">
        <v>45</v>
      </c>
      <c r="C31" s="17" t="n">
        <v>37317</v>
      </c>
      <c r="D31" s="18" t="n">
        <v>41.4</v>
      </c>
      <c r="E31" s="17" t="n">
        <v>908</v>
      </c>
      <c r="F31" s="18" t="n">
        <v>55.8</v>
      </c>
      <c r="G31" s="19" t="s">
        <v>49</v>
      </c>
    </row>
    <row r="32" customFormat="false" ht="15" hidden="false" customHeight="false" outlineLevel="0" collapsed="false">
      <c r="A32" s="15" t="n">
        <v>45505</v>
      </c>
      <c r="B32" s="16" t="s">
        <v>41</v>
      </c>
      <c r="C32" s="17" t="n">
        <v>342924</v>
      </c>
      <c r="D32" s="18" t="n">
        <v>55.2</v>
      </c>
      <c r="E32" s="17" t="n">
        <v>11409</v>
      </c>
      <c r="F32" s="18" t="n">
        <v>41.3</v>
      </c>
      <c r="G32" s="19" t="s">
        <v>49</v>
      </c>
    </row>
    <row r="33" customFormat="false" ht="15" hidden="false" customHeight="false" outlineLevel="0" collapsed="false">
      <c r="A33" s="15" t="n">
        <v>45536</v>
      </c>
      <c r="B33" s="16" t="s">
        <v>38</v>
      </c>
      <c r="C33" s="17" t="n">
        <v>27540</v>
      </c>
      <c r="D33" s="18" t="n">
        <v>57.7</v>
      </c>
      <c r="E33" s="17" t="n">
        <v>593</v>
      </c>
      <c r="F33" s="18" t="n">
        <v>-13.7</v>
      </c>
      <c r="G33" s="19" t="s">
        <v>50</v>
      </c>
    </row>
    <row r="34" customFormat="false" ht="15" hidden="false" customHeight="false" outlineLevel="0" collapsed="false">
      <c r="A34" s="15" t="n">
        <v>45536</v>
      </c>
      <c r="B34" s="16" t="s">
        <v>40</v>
      </c>
      <c r="C34" s="17" t="n">
        <v>327248</v>
      </c>
      <c r="D34" s="18" t="n">
        <v>24.2</v>
      </c>
      <c r="E34" s="17" t="n">
        <v>10402</v>
      </c>
      <c r="F34" s="18" t="n">
        <v>13.9</v>
      </c>
      <c r="G34" s="19" t="s">
        <v>50</v>
      </c>
    </row>
    <row r="35" customFormat="false" ht="15" hidden="false" customHeight="false" outlineLevel="0" collapsed="false">
      <c r="A35" s="15" t="n">
        <v>45536</v>
      </c>
      <c r="B35" s="16" t="s">
        <v>42</v>
      </c>
      <c r="C35" s="17" t="n">
        <v>194671</v>
      </c>
      <c r="D35" s="18" t="n">
        <v>16.8</v>
      </c>
      <c r="E35" s="17" t="n">
        <v>6314</v>
      </c>
      <c r="F35" s="18" t="n">
        <v>4.3</v>
      </c>
      <c r="G35" s="19" t="s">
        <v>50</v>
      </c>
    </row>
    <row r="36" customFormat="false" ht="15" hidden="false" customHeight="false" outlineLevel="0" collapsed="false">
      <c r="A36" s="15" t="n">
        <v>45536</v>
      </c>
      <c r="B36" s="16" t="s">
        <v>43</v>
      </c>
      <c r="C36" s="17" t="n">
        <v>10166</v>
      </c>
      <c r="D36" s="18" t="n">
        <v>-39.2</v>
      </c>
      <c r="E36" s="17" t="n">
        <v>288</v>
      </c>
      <c r="F36" s="18" t="n">
        <v>-42.1</v>
      </c>
      <c r="G36" s="19" t="s">
        <v>50</v>
      </c>
    </row>
    <row r="37" customFormat="false" ht="15" hidden="false" customHeight="false" outlineLevel="0" collapsed="false">
      <c r="A37" s="15" t="n">
        <v>45536</v>
      </c>
      <c r="B37" s="16" t="s">
        <v>44</v>
      </c>
      <c r="C37" s="17" t="n">
        <v>48086</v>
      </c>
      <c r="D37" s="18" t="n">
        <v>7.7</v>
      </c>
      <c r="E37" s="17" t="n">
        <v>1595</v>
      </c>
      <c r="F37" s="18" t="n">
        <v>58.8</v>
      </c>
      <c r="G37" s="19" t="s">
        <v>50</v>
      </c>
    </row>
    <row r="38" customFormat="false" ht="15" hidden="false" customHeight="false" outlineLevel="0" collapsed="false">
      <c r="A38" s="15" t="n">
        <v>45536</v>
      </c>
      <c r="B38" s="16" t="s">
        <v>45</v>
      </c>
      <c r="C38" s="17" t="n">
        <v>58420</v>
      </c>
      <c r="D38" s="18" t="n">
        <v>74.5</v>
      </c>
      <c r="E38" s="17" t="n">
        <v>1403</v>
      </c>
      <c r="F38" s="18" t="n">
        <v>59.5</v>
      </c>
      <c r="G38" s="19" t="s">
        <v>50</v>
      </c>
    </row>
    <row r="39" customFormat="false" ht="15" hidden="false" customHeight="false" outlineLevel="0" collapsed="false">
      <c r="A39" s="15" t="n">
        <v>45536</v>
      </c>
      <c r="B39" s="16" t="s">
        <v>41</v>
      </c>
      <c r="C39" s="17" t="n">
        <v>397027</v>
      </c>
      <c r="D39" s="18" t="n">
        <v>26.3</v>
      </c>
      <c r="E39" s="17" t="n">
        <v>12223</v>
      </c>
      <c r="F39" s="18" t="n">
        <v>15.9</v>
      </c>
      <c r="G39" s="19" t="s">
        <v>50</v>
      </c>
    </row>
    <row r="40" customFormat="false" ht="15" hidden="false" customHeight="false" outlineLevel="0" collapsed="false">
      <c r="A40" s="15" t="n">
        <v>45566</v>
      </c>
      <c r="B40" s="16" t="s">
        <v>38</v>
      </c>
      <c r="C40" s="17" t="n">
        <v>31488</v>
      </c>
      <c r="D40" s="18" t="n">
        <v>118.9</v>
      </c>
      <c r="E40" s="17" t="n">
        <v>895</v>
      </c>
      <c r="F40" s="18" t="n">
        <v>58.5</v>
      </c>
      <c r="G40" s="19" t="s">
        <v>51</v>
      </c>
    </row>
    <row r="41" customFormat="false" ht="15" hidden="false" customHeight="false" outlineLevel="0" collapsed="false">
      <c r="A41" s="15" t="n">
        <v>45566</v>
      </c>
      <c r="B41" s="16" t="s">
        <v>40</v>
      </c>
      <c r="C41" s="17" t="n">
        <v>335917</v>
      </c>
      <c r="D41" s="18" t="n">
        <v>53.5</v>
      </c>
      <c r="E41" s="17" t="n">
        <v>11050</v>
      </c>
      <c r="F41" s="18" t="n">
        <v>27.8</v>
      </c>
      <c r="G41" s="19" t="s">
        <v>51</v>
      </c>
    </row>
    <row r="42" customFormat="false" ht="15" hidden="false" customHeight="false" outlineLevel="0" collapsed="false">
      <c r="A42" s="15" t="n">
        <v>45566</v>
      </c>
      <c r="B42" s="16" t="s">
        <v>42</v>
      </c>
      <c r="C42" s="17" t="n">
        <v>184041</v>
      </c>
      <c r="D42" s="18" t="n">
        <v>33.4</v>
      </c>
      <c r="E42" s="17" t="n">
        <v>6213</v>
      </c>
      <c r="F42" s="18" t="n">
        <v>11.6</v>
      </c>
      <c r="G42" s="19" t="s">
        <v>51</v>
      </c>
    </row>
    <row r="43" customFormat="false" ht="15" hidden="false" customHeight="false" outlineLevel="0" collapsed="false">
      <c r="A43" s="15" t="n">
        <v>45566</v>
      </c>
      <c r="B43" s="16" t="s">
        <v>43</v>
      </c>
      <c r="C43" s="17" t="n">
        <v>13181</v>
      </c>
      <c r="D43" s="18" t="n">
        <v>-20.7</v>
      </c>
      <c r="E43" s="17" t="n">
        <v>367</v>
      </c>
      <c r="F43" s="18" t="n">
        <v>-35.7</v>
      </c>
      <c r="G43" s="19" t="s">
        <v>51</v>
      </c>
    </row>
    <row r="44" customFormat="false" ht="15" hidden="false" customHeight="false" outlineLevel="0" collapsed="false">
      <c r="A44" s="15" t="n">
        <v>45566</v>
      </c>
      <c r="B44" s="16" t="s">
        <v>44</v>
      </c>
      <c r="C44" s="17" t="n">
        <v>62755</v>
      </c>
      <c r="D44" s="18" t="n">
        <v>124.6</v>
      </c>
      <c r="E44" s="17" t="n">
        <v>1836</v>
      </c>
      <c r="F44" s="18" t="n">
        <v>94.3</v>
      </c>
      <c r="G44" s="19" t="s">
        <v>51</v>
      </c>
    </row>
    <row r="45" customFormat="false" ht="15" hidden="false" customHeight="false" outlineLevel="0" collapsed="false">
      <c r="A45" s="15" t="n">
        <v>45566</v>
      </c>
      <c r="B45" s="16" t="s">
        <v>45</v>
      </c>
      <c r="C45" s="17" t="n">
        <v>57584</v>
      </c>
      <c r="D45" s="18" t="n">
        <v>15.2</v>
      </c>
      <c r="E45" s="17" t="n">
        <v>1217</v>
      </c>
      <c r="F45" s="18" t="n">
        <v>7.8</v>
      </c>
      <c r="G45" s="19" t="s">
        <v>51</v>
      </c>
    </row>
    <row r="46" customFormat="false" ht="15" hidden="false" customHeight="false" outlineLevel="0" collapsed="false">
      <c r="A46" s="15" t="n">
        <v>45566</v>
      </c>
      <c r="B46" s="16" t="s">
        <v>41</v>
      </c>
      <c r="C46" s="17" t="n">
        <v>407598</v>
      </c>
      <c r="D46" s="18" t="n">
        <v>42.6</v>
      </c>
      <c r="E46" s="17" t="n">
        <v>12677</v>
      </c>
      <c r="F46" s="18" t="n">
        <v>22.4</v>
      </c>
      <c r="G46" s="19" t="s">
        <v>51</v>
      </c>
    </row>
    <row r="47" customFormat="false" ht="15" hidden="false" customHeight="false" outlineLevel="0" collapsed="false">
      <c r="A47" s="15" t="n">
        <v>45597</v>
      </c>
      <c r="B47" s="16" t="s">
        <v>38</v>
      </c>
      <c r="C47" s="17" t="n">
        <v>21186</v>
      </c>
      <c r="D47" s="18" t="n">
        <v>47.5</v>
      </c>
      <c r="E47" s="17" t="n">
        <v>500</v>
      </c>
      <c r="F47" s="18" t="n">
        <v>5.9</v>
      </c>
      <c r="G47" s="19" t="s">
        <v>52</v>
      </c>
    </row>
    <row r="48" customFormat="false" ht="15" hidden="false" customHeight="false" outlineLevel="0" collapsed="false">
      <c r="A48" s="15" t="n">
        <v>45597</v>
      </c>
      <c r="B48" s="16" t="s">
        <v>40</v>
      </c>
      <c r="C48" s="17" t="n">
        <v>322003</v>
      </c>
      <c r="D48" s="18" t="n">
        <v>36.8</v>
      </c>
      <c r="E48" s="17" t="n">
        <v>10225</v>
      </c>
      <c r="F48" s="18" t="n">
        <v>11.5</v>
      </c>
      <c r="G48" s="19" t="s">
        <v>52</v>
      </c>
    </row>
    <row r="49" customFormat="false" ht="15" hidden="false" customHeight="false" outlineLevel="0" collapsed="false">
      <c r="A49" s="15" t="n">
        <v>45597</v>
      </c>
      <c r="B49" s="16" t="s">
        <v>42</v>
      </c>
      <c r="C49" s="17" t="n">
        <v>164134</v>
      </c>
      <c r="D49" s="18" t="n">
        <v>4.2</v>
      </c>
      <c r="E49" s="17" t="n">
        <v>5178</v>
      </c>
      <c r="F49" s="18" t="n">
        <v>-19.7</v>
      </c>
      <c r="G49" s="19" t="s">
        <v>52</v>
      </c>
    </row>
    <row r="50" customFormat="false" ht="15" hidden="false" customHeight="false" outlineLevel="0" collapsed="false">
      <c r="A50" s="15" t="n">
        <v>45597</v>
      </c>
      <c r="B50" s="16" t="s">
        <v>43</v>
      </c>
      <c r="C50" s="17" t="n">
        <v>9276</v>
      </c>
      <c r="D50" s="18" t="n">
        <v>-18.8</v>
      </c>
      <c r="E50" s="17" t="n">
        <v>253</v>
      </c>
      <c r="F50" s="18" t="n">
        <v>-15.4</v>
      </c>
      <c r="G50" s="19" t="s">
        <v>52</v>
      </c>
    </row>
    <row r="51" customFormat="false" ht="15" hidden="false" customHeight="false" outlineLevel="0" collapsed="false">
      <c r="A51" s="15" t="n">
        <v>45597</v>
      </c>
      <c r="B51" s="16" t="s">
        <v>44</v>
      </c>
      <c r="C51" s="17" t="n">
        <v>55648</v>
      </c>
      <c r="D51" s="18" t="n">
        <v>89.9</v>
      </c>
      <c r="E51" s="17" t="n">
        <v>1744</v>
      </c>
      <c r="F51" s="18" t="n">
        <v>91.8</v>
      </c>
      <c r="G51" s="19" t="s">
        <v>52</v>
      </c>
    </row>
    <row r="52" customFormat="false" ht="15" hidden="false" customHeight="false" outlineLevel="0" collapsed="false">
      <c r="A52" s="15" t="n">
        <v>45597</v>
      </c>
      <c r="B52" s="16" t="s">
        <v>45</v>
      </c>
      <c r="C52" s="17" t="n">
        <v>42000</v>
      </c>
      <c r="D52" s="18" t="n">
        <v>17.6</v>
      </c>
      <c r="E52" s="17" t="n">
        <v>1046</v>
      </c>
      <c r="F52" s="18" t="n">
        <v>34.6</v>
      </c>
      <c r="G52" s="19" t="s">
        <v>52</v>
      </c>
    </row>
    <row r="53" customFormat="false" ht="15" hidden="false" customHeight="false" outlineLevel="0" collapsed="false">
      <c r="A53" s="15" t="n">
        <v>45597</v>
      </c>
      <c r="B53" s="16" t="s">
        <v>41</v>
      </c>
      <c r="C53" s="17" t="n">
        <v>374360</v>
      </c>
      <c r="D53" s="18" t="n">
        <v>32.1</v>
      </c>
      <c r="E53" s="17" t="n">
        <v>11560</v>
      </c>
      <c r="F53" s="18" t="n">
        <v>12.5</v>
      </c>
      <c r="G53" s="19" t="s">
        <v>52</v>
      </c>
    </row>
    <row r="54" customFormat="false" ht="15" hidden="false" customHeight="false" outlineLevel="0" collapsed="false">
      <c r="A54" s="15" t="n">
        <v>45627</v>
      </c>
      <c r="B54" s="16" t="s">
        <v>38</v>
      </c>
      <c r="C54" s="17" t="n">
        <v>27080</v>
      </c>
      <c r="D54" s="18" t="n">
        <v>34</v>
      </c>
      <c r="E54" s="17" t="n">
        <v>773</v>
      </c>
      <c r="F54" s="18" t="n">
        <v>23.6</v>
      </c>
      <c r="G54" s="19" t="s">
        <v>53</v>
      </c>
    </row>
    <row r="55" customFormat="false" ht="15" hidden="false" customHeight="false" outlineLevel="0" collapsed="false">
      <c r="A55" s="15" t="n">
        <v>45627</v>
      </c>
      <c r="B55" s="16" t="s">
        <v>40</v>
      </c>
      <c r="C55" s="17" t="n">
        <v>392832</v>
      </c>
      <c r="D55" s="18" t="n">
        <v>11.2</v>
      </c>
      <c r="E55" s="17" t="n">
        <v>11160</v>
      </c>
      <c r="F55" s="18" t="n">
        <v>-7.7</v>
      </c>
      <c r="G55" s="19" t="s">
        <v>53</v>
      </c>
    </row>
    <row r="56" customFormat="false" ht="15" hidden="false" customHeight="false" outlineLevel="0" collapsed="false">
      <c r="A56" s="15" t="n">
        <v>45627</v>
      </c>
      <c r="B56" s="16" t="s">
        <v>42</v>
      </c>
      <c r="C56" s="17" t="n">
        <v>199284</v>
      </c>
      <c r="D56" s="18" t="n">
        <v>-10.4</v>
      </c>
      <c r="E56" s="17" t="n">
        <v>5637</v>
      </c>
      <c r="F56" s="18" t="n">
        <v>-28.2</v>
      </c>
      <c r="G56" s="19" t="s">
        <v>53</v>
      </c>
    </row>
    <row r="57" customFormat="false" ht="15" hidden="false" customHeight="false" outlineLevel="0" collapsed="false">
      <c r="A57" s="15" t="n">
        <v>45627</v>
      </c>
      <c r="B57" s="16" t="s">
        <v>43</v>
      </c>
      <c r="C57" s="17" t="n">
        <v>13060</v>
      </c>
      <c r="D57" s="18" t="n">
        <v>9.5</v>
      </c>
      <c r="E57" s="17" t="n">
        <v>417</v>
      </c>
      <c r="F57" s="18" t="n">
        <v>7.4</v>
      </c>
      <c r="G57" s="19" t="s">
        <v>53</v>
      </c>
    </row>
    <row r="58" customFormat="false" ht="15" hidden="false" customHeight="false" outlineLevel="0" collapsed="false">
      <c r="A58" s="15" t="n">
        <v>45627</v>
      </c>
      <c r="B58" s="16" t="s">
        <v>44</v>
      </c>
      <c r="C58" s="17" t="n">
        <v>69625</v>
      </c>
      <c r="D58" s="18" t="n">
        <v>20.7</v>
      </c>
      <c r="E58" s="17" t="n">
        <v>1785</v>
      </c>
      <c r="F58" s="18" t="n">
        <v>7.8</v>
      </c>
      <c r="G58" s="19" t="s">
        <v>53</v>
      </c>
    </row>
    <row r="59" customFormat="false" ht="15" hidden="false" customHeight="false" outlineLevel="0" collapsed="false">
      <c r="A59" s="15" t="n">
        <v>45627</v>
      </c>
      <c r="B59" s="16" t="s">
        <v>45</v>
      </c>
      <c r="C59" s="17" t="n">
        <v>41659</v>
      </c>
      <c r="D59" s="18" t="n">
        <v>2.2</v>
      </c>
      <c r="E59" s="17" t="n">
        <v>990</v>
      </c>
      <c r="F59" s="18" t="n">
        <v>7.3</v>
      </c>
      <c r="G59" s="19" t="s">
        <v>53</v>
      </c>
    </row>
    <row r="60" customFormat="false" ht="15" hidden="false" customHeight="false" outlineLevel="0" collapsed="false">
      <c r="A60" s="15" t="n">
        <v>45627</v>
      </c>
      <c r="B60" s="16" t="s">
        <v>41</v>
      </c>
      <c r="C60" s="17" t="n">
        <v>450261</v>
      </c>
      <c r="D60" s="18" t="n">
        <v>10.6</v>
      </c>
      <c r="E60" s="17" t="n">
        <v>12644</v>
      </c>
      <c r="F60" s="18" t="n">
        <v>-5.9</v>
      </c>
      <c r="G60" s="19" t="s">
        <v>53</v>
      </c>
    </row>
    <row r="61" customFormat="false" ht="15" hidden="false" customHeight="false" outlineLevel="0" collapsed="false">
      <c r="A61" s="15" t="n">
        <v>45658</v>
      </c>
      <c r="B61" s="16" t="s">
        <v>38</v>
      </c>
      <c r="C61" s="17" t="n">
        <v>19045</v>
      </c>
      <c r="D61" s="18" t="n">
        <v>1.5</v>
      </c>
      <c r="E61" s="17" t="n">
        <v>529</v>
      </c>
      <c r="F61" s="18" t="n">
        <v>-14.8</v>
      </c>
      <c r="G61" s="19" t="s">
        <v>54</v>
      </c>
    </row>
    <row r="62" customFormat="false" ht="15" hidden="false" customHeight="false" outlineLevel="0" collapsed="false">
      <c r="A62" s="15" t="n">
        <v>45658</v>
      </c>
      <c r="B62" s="16" t="s">
        <v>40</v>
      </c>
      <c r="C62" s="17" t="n">
        <v>249060</v>
      </c>
      <c r="D62" s="18" t="n">
        <v>3.2</v>
      </c>
      <c r="E62" s="17" t="n">
        <v>7704</v>
      </c>
      <c r="F62" s="18" t="n">
        <v>-12</v>
      </c>
      <c r="G62" s="19" t="s">
        <v>54</v>
      </c>
    </row>
    <row r="63" customFormat="false" ht="15" hidden="false" customHeight="false" outlineLevel="0" collapsed="false">
      <c r="A63" s="15" t="n">
        <v>45658</v>
      </c>
      <c r="B63" s="16" t="s">
        <v>42</v>
      </c>
      <c r="C63" s="17" t="n">
        <v>98287</v>
      </c>
      <c r="D63" s="18" t="n">
        <v>-20.8</v>
      </c>
      <c r="E63" s="17" t="n">
        <v>3515</v>
      </c>
      <c r="F63" s="18" t="n">
        <v>-32</v>
      </c>
      <c r="G63" s="19" t="s">
        <v>54</v>
      </c>
    </row>
    <row r="64" customFormat="false" ht="15" hidden="false" customHeight="false" outlineLevel="0" collapsed="false">
      <c r="A64" s="15" t="n">
        <v>45658</v>
      </c>
      <c r="B64" s="16" t="s">
        <v>43</v>
      </c>
      <c r="C64" s="17" t="n">
        <v>8960</v>
      </c>
      <c r="D64" s="18" t="n">
        <v>-30.6</v>
      </c>
      <c r="E64" s="17" t="n">
        <v>232</v>
      </c>
      <c r="F64" s="18" t="n">
        <v>-32</v>
      </c>
      <c r="G64" s="19" t="s">
        <v>54</v>
      </c>
    </row>
    <row r="65" customFormat="false" ht="15" hidden="false" customHeight="false" outlineLevel="0" collapsed="false">
      <c r="A65" s="15" t="n">
        <v>45658</v>
      </c>
      <c r="B65" s="16" t="s">
        <v>44</v>
      </c>
      <c r="C65" s="17" t="n">
        <v>50582</v>
      </c>
      <c r="D65" s="18" t="n">
        <v>-15.5</v>
      </c>
      <c r="E65" s="17" t="n">
        <v>1286</v>
      </c>
      <c r="F65" s="18" t="n">
        <v>-21.4</v>
      </c>
      <c r="G65" s="19" t="s">
        <v>54</v>
      </c>
    </row>
    <row r="66" customFormat="false" ht="15" hidden="false" customHeight="false" outlineLevel="0" collapsed="false">
      <c r="A66" s="15" t="n">
        <v>45658</v>
      </c>
      <c r="B66" s="16" t="s">
        <v>45</v>
      </c>
      <c r="C66" s="17" t="n">
        <v>28896</v>
      </c>
      <c r="D66" s="18" t="n">
        <v>-20.2</v>
      </c>
      <c r="E66" s="17" t="n">
        <v>560</v>
      </c>
      <c r="F66" s="18" t="n">
        <v>-39.7</v>
      </c>
      <c r="G66" s="19" t="s">
        <v>54</v>
      </c>
    </row>
    <row r="67" customFormat="false" ht="15" hidden="false" customHeight="false" outlineLevel="0" collapsed="false">
      <c r="A67" s="15" t="n">
        <v>45658</v>
      </c>
      <c r="B67" s="16" t="s">
        <v>41</v>
      </c>
      <c r="C67" s="17" t="n">
        <v>287930</v>
      </c>
      <c r="D67" s="18" t="n">
        <v>-1.1</v>
      </c>
      <c r="E67" s="17" t="n">
        <v>8520</v>
      </c>
      <c r="F67" s="18" t="n">
        <v>-15.2</v>
      </c>
      <c r="G67" s="19" t="s">
        <v>54</v>
      </c>
    </row>
    <row r="68" customFormat="false" ht="15" hidden="false" customHeight="false" outlineLevel="0" collapsed="false">
      <c r="A68" s="15" t="n">
        <v>45689</v>
      </c>
      <c r="B68" s="16" t="s">
        <v>38</v>
      </c>
      <c r="C68" s="17" t="n">
        <v>26523</v>
      </c>
      <c r="D68" s="18" t="n">
        <v>78.3</v>
      </c>
      <c r="E68" s="17" t="n">
        <v>666</v>
      </c>
      <c r="F68" s="18" t="n">
        <v>44.9</v>
      </c>
      <c r="G68" s="19" t="s">
        <v>55</v>
      </c>
    </row>
    <row r="69" customFormat="false" ht="15" hidden="false" customHeight="false" outlineLevel="0" collapsed="false">
      <c r="A69" s="15" t="n">
        <v>45689</v>
      </c>
      <c r="B69" s="16" t="s">
        <v>40</v>
      </c>
      <c r="C69" s="17" t="n">
        <v>355059</v>
      </c>
      <c r="D69" s="18" t="n">
        <v>35.9</v>
      </c>
      <c r="E69" s="17" t="n">
        <v>11185</v>
      </c>
      <c r="F69" s="18" t="n">
        <v>25</v>
      </c>
      <c r="G69" s="19" t="s">
        <v>55</v>
      </c>
    </row>
    <row r="70" customFormat="false" ht="15" hidden="false" customHeight="false" outlineLevel="0" collapsed="false">
      <c r="A70" s="15" t="n">
        <v>45689</v>
      </c>
      <c r="B70" s="16" t="s">
        <v>42</v>
      </c>
      <c r="C70" s="17" t="n">
        <v>145879</v>
      </c>
      <c r="D70" s="18" t="n">
        <v>-11.9</v>
      </c>
      <c r="E70" s="17" t="n">
        <v>5133</v>
      </c>
      <c r="F70" s="18" t="n">
        <v>-8.4</v>
      </c>
      <c r="G70" s="19" t="s">
        <v>55</v>
      </c>
    </row>
    <row r="71" customFormat="false" ht="15" hidden="false" customHeight="false" outlineLevel="0" collapsed="false">
      <c r="A71" s="15" t="n">
        <v>45689</v>
      </c>
      <c r="B71" s="16" t="s">
        <v>43</v>
      </c>
      <c r="C71" s="17" t="n">
        <v>5077</v>
      </c>
      <c r="D71" s="18" t="n">
        <v>-59.9</v>
      </c>
      <c r="E71" s="17" t="n">
        <v>190</v>
      </c>
      <c r="F71" s="18" t="n">
        <v>-58.1</v>
      </c>
      <c r="G71" s="19" t="s">
        <v>55</v>
      </c>
    </row>
    <row r="72" customFormat="false" ht="15" hidden="false" customHeight="false" outlineLevel="0" collapsed="false">
      <c r="A72" s="15" t="n">
        <v>45689</v>
      </c>
      <c r="B72" s="16" t="s">
        <v>44</v>
      </c>
      <c r="C72" s="17" t="n">
        <v>72615</v>
      </c>
      <c r="D72" s="18" t="n">
        <v>48.9</v>
      </c>
      <c r="E72" s="17" t="n">
        <v>1758</v>
      </c>
      <c r="F72" s="18" t="n">
        <v>12.1</v>
      </c>
      <c r="G72" s="19" t="s">
        <v>55</v>
      </c>
    </row>
    <row r="73" customFormat="false" ht="15" hidden="false" customHeight="false" outlineLevel="0" collapsed="false">
      <c r="A73" s="15" t="n">
        <v>45689</v>
      </c>
      <c r="B73" s="16" t="s">
        <v>45</v>
      </c>
      <c r="C73" s="17" t="n">
        <v>35382</v>
      </c>
      <c r="D73" s="18" t="n">
        <v>-1.9</v>
      </c>
      <c r="E73" s="17" t="n">
        <v>716</v>
      </c>
      <c r="F73" s="18" t="n">
        <v>-20.8</v>
      </c>
      <c r="G73" s="19" t="s">
        <v>55</v>
      </c>
    </row>
    <row r="74" customFormat="false" ht="15" hidden="false" customHeight="false" outlineLevel="0" collapsed="false">
      <c r="A74" s="15" t="n">
        <v>45689</v>
      </c>
      <c r="B74" s="16" t="s">
        <v>41</v>
      </c>
      <c r="C74" s="17" t="n">
        <v>396742</v>
      </c>
      <c r="D74" s="18" t="n">
        <v>27.8</v>
      </c>
      <c r="E74" s="17" t="n">
        <v>12137</v>
      </c>
      <c r="F74" s="18" t="n">
        <v>17.6</v>
      </c>
      <c r="G74" s="19" t="s">
        <v>55</v>
      </c>
    </row>
    <row r="75" customFormat="false" ht="15" hidden="false" customHeight="false" outlineLevel="0" collapsed="false">
      <c r="A75" s="15" t="n">
        <v>45717</v>
      </c>
      <c r="B75" s="16" t="s">
        <v>38</v>
      </c>
      <c r="C75" s="17" t="n">
        <v>34086</v>
      </c>
      <c r="D75" s="18" t="n">
        <v>77.6</v>
      </c>
      <c r="E75" s="17" t="n">
        <v>822</v>
      </c>
      <c r="F75" s="18" t="n">
        <v>28.6</v>
      </c>
      <c r="G75" s="19" t="s">
        <v>56</v>
      </c>
    </row>
    <row r="76" customFormat="false" ht="15" hidden="false" customHeight="false" outlineLevel="0" collapsed="false">
      <c r="A76" s="15" t="n">
        <v>45717</v>
      </c>
      <c r="B76" s="16" t="s">
        <v>40</v>
      </c>
      <c r="C76" s="17" t="n">
        <v>451195</v>
      </c>
      <c r="D76" s="18" t="n">
        <v>20.9</v>
      </c>
      <c r="E76" s="17" t="n">
        <v>13319</v>
      </c>
      <c r="F76" s="18" t="n">
        <v>5.3</v>
      </c>
      <c r="G76" s="19" t="s">
        <v>56</v>
      </c>
    </row>
    <row r="77" customFormat="false" ht="15" hidden="false" customHeight="false" outlineLevel="0" collapsed="false">
      <c r="A77" s="15" t="n">
        <v>45717</v>
      </c>
      <c r="B77" s="16" t="s">
        <v>42</v>
      </c>
      <c r="C77" s="17" t="n">
        <v>207493</v>
      </c>
      <c r="D77" s="18" t="n">
        <v>-10.4</v>
      </c>
      <c r="E77" s="17" t="n">
        <v>6775</v>
      </c>
      <c r="F77" s="18" t="n">
        <v>-7.9</v>
      </c>
      <c r="G77" s="19" t="s">
        <v>56</v>
      </c>
    </row>
    <row r="78" customFormat="false" ht="15" hidden="false" customHeight="false" outlineLevel="0" collapsed="false">
      <c r="A78" s="15" t="n">
        <v>45717</v>
      </c>
      <c r="B78" s="16" t="s">
        <v>43</v>
      </c>
      <c r="C78" s="17" t="n">
        <v>9050</v>
      </c>
      <c r="D78" s="18" t="n">
        <v>-37.7</v>
      </c>
      <c r="E78" s="17" t="n">
        <v>297</v>
      </c>
      <c r="F78" s="18" t="n">
        <v>-19.5</v>
      </c>
      <c r="G78" s="19" t="s">
        <v>56</v>
      </c>
    </row>
    <row r="79" customFormat="false" ht="15" hidden="false" customHeight="false" outlineLevel="0" collapsed="false">
      <c r="A79" s="15" t="n">
        <v>45717</v>
      </c>
      <c r="B79" s="16" t="s">
        <v>44</v>
      </c>
      <c r="C79" s="17" t="n">
        <v>99853</v>
      </c>
      <c r="D79" s="18" t="n">
        <v>65.5</v>
      </c>
      <c r="E79" s="17" t="n">
        <v>2349</v>
      </c>
      <c r="F79" s="18" t="n">
        <v>7.5</v>
      </c>
      <c r="G79" s="19" t="s">
        <v>56</v>
      </c>
    </row>
    <row r="80" customFormat="false" ht="15" hidden="false" customHeight="false" outlineLevel="0" collapsed="false">
      <c r="A80" s="15" t="n">
        <v>45717</v>
      </c>
      <c r="B80" s="16" t="s">
        <v>45</v>
      </c>
      <c r="C80" s="17" t="n">
        <v>36234</v>
      </c>
      <c r="D80" s="18" t="n">
        <v>-21.9</v>
      </c>
      <c r="E80" s="17" t="n">
        <v>882</v>
      </c>
      <c r="F80" s="18" t="n">
        <v>-25.1</v>
      </c>
      <c r="G80" s="19" t="s">
        <v>56</v>
      </c>
    </row>
    <row r="81" customFormat="false" ht="15" hidden="false" customHeight="false" outlineLevel="0" collapsed="false">
      <c r="A81" s="15" t="n">
        <v>45717</v>
      </c>
      <c r="B81" s="16" t="s">
        <v>41</v>
      </c>
      <c r="C81" s="17" t="n">
        <v>498420</v>
      </c>
      <c r="D81" s="18" t="n">
        <v>14.6</v>
      </c>
      <c r="E81" s="17" t="n">
        <v>14555</v>
      </c>
      <c r="F81" s="18" t="n">
        <v>2.3</v>
      </c>
      <c r="G81" s="19" t="s">
        <v>56</v>
      </c>
    </row>
    <row r="82" customFormat="false" ht="15" hidden="false" customHeight="false" outlineLevel="0" collapsed="false">
      <c r="A82" s="15" t="n">
        <v>45748</v>
      </c>
      <c r="B82" s="16" t="s">
        <v>38</v>
      </c>
      <c r="C82" s="17" t="n">
        <v>24043</v>
      </c>
      <c r="D82" s="18" t="n">
        <v>37.1</v>
      </c>
      <c r="E82" s="17" t="n">
        <v>584</v>
      </c>
      <c r="F82" s="18" t="n">
        <v>7</v>
      </c>
      <c r="G82" s="19" t="s">
        <v>57</v>
      </c>
    </row>
    <row r="83" customFormat="false" ht="15" hidden="false" customHeight="false" outlineLevel="0" collapsed="false">
      <c r="A83" s="15" t="n">
        <v>45748</v>
      </c>
      <c r="B83" s="16" t="s">
        <v>40</v>
      </c>
      <c r="C83" s="17" t="n">
        <v>328490</v>
      </c>
      <c r="D83" s="18" t="n">
        <v>2</v>
      </c>
      <c r="E83" s="17" t="n">
        <v>11033</v>
      </c>
      <c r="F83" s="18" t="n">
        <v>-0.9</v>
      </c>
      <c r="G83" s="19" t="s">
        <v>57</v>
      </c>
    </row>
    <row r="84" customFormat="false" ht="15" hidden="false" customHeight="false" outlineLevel="0" collapsed="false">
      <c r="A84" s="15" t="n">
        <v>45748</v>
      </c>
      <c r="B84" s="16" t="s">
        <v>42</v>
      </c>
      <c r="C84" s="17" t="n">
        <v>151630</v>
      </c>
      <c r="D84" s="18" t="n">
        <v>-19.7</v>
      </c>
      <c r="E84" s="17" t="n">
        <v>5793</v>
      </c>
      <c r="F84" s="18" t="n">
        <v>-10.8</v>
      </c>
      <c r="G84" s="19" t="s">
        <v>57</v>
      </c>
    </row>
    <row r="85" customFormat="false" ht="15" hidden="false" customHeight="false" outlineLevel="0" collapsed="false">
      <c r="A85" s="15" t="n">
        <v>45748</v>
      </c>
      <c r="B85" s="16" t="s">
        <v>43</v>
      </c>
      <c r="C85" s="17" t="n">
        <v>9782</v>
      </c>
      <c r="D85" s="18" t="n">
        <v>-20.3</v>
      </c>
      <c r="E85" s="17" t="n">
        <v>235</v>
      </c>
      <c r="F85" s="18" t="n">
        <v>-40.6</v>
      </c>
      <c r="G85" s="19" t="s">
        <v>57</v>
      </c>
    </row>
    <row r="86" customFormat="false" ht="15" hidden="false" customHeight="false" outlineLevel="0" collapsed="false">
      <c r="A86" s="15" t="n">
        <v>45748</v>
      </c>
      <c r="B86" s="16" t="s">
        <v>44</v>
      </c>
      <c r="C86" s="17" t="n">
        <v>43731</v>
      </c>
      <c r="D86" s="18" t="n">
        <v>-3</v>
      </c>
      <c r="E86" s="17" t="n">
        <v>1375</v>
      </c>
      <c r="F86" s="18" t="n">
        <v>-14.6</v>
      </c>
      <c r="G86" s="19" t="s">
        <v>57</v>
      </c>
    </row>
    <row r="87" customFormat="false" ht="15" hidden="false" customHeight="false" outlineLevel="0" collapsed="false">
      <c r="A87" s="15" t="n">
        <v>45748</v>
      </c>
      <c r="B87" s="16" t="s">
        <v>45</v>
      </c>
      <c r="C87" s="17" t="n">
        <v>34408</v>
      </c>
      <c r="D87" s="18" t="n">
        <v>-19.7</v>
      </c>
      <c r="E87" s="17" t="n">
        <v>936</v>
      </c>
      <c r="F87" s="18" t="n">
        <v>-21.2</v>
      </c>
      <c r="G87" s="19" t="s">
        <v>57</v>
      </c>
    </row>
    <row r="88" customFormat="false" ht="15" hidden="false" customHeight="false" outlineLevel="0" collapsed="false">
      <c r="A88" s="15" t="n">
        <v>45748</v>
      </c>
      <c r="B88" s="16" t="s">
        <v>41</v>
      </c>
      <c r="C88" s="17" t="n">
        <v>373531</v>
      </c>
      <c r="D88" s="18" t="n">
        <v>-1.5</v>
      </c>
      <c r="E88" s="17" t="n">
        <v>12243</v>
      </c>
      <c r="F88" s="18" t="n">
        <v>-4.2</v>
      </c>
      <c r="G88" s="19" t="s">
        <v>57</v>
      </c>
    </row>
    <row r="89" customFormat="false" ht="15" hidden="false" customHeight="false" outlineLevel="0" collapsed="false">
      <c r="A89" s="15" t="n">
        <v>45778</v>
      </c>
      <c r="B89" s="16" t="s">
        <v>38</v>
      </c>
      <c r="C89" s="17" t="n">
        <v>17187</v>
      </c>
      <c r="D89" s="18" t="n">
        <v>-39.6</v>
      </c>
      <c r="E89" s="17" t="n">
        <v>441</v>
      </c>
      <c r="F89" s="18" t="n">
        <v>-43.6</v>
      </c>
      <c r="G89" s="19" t="s">
        <v>58</v>
      </c>
    </row>
    <row r="90" customFormat="false" ht="15" hidden="false" customHeight="false" outlineLevel="0" collapsed="false">
      <c r="A90" s="15" t="n">
        <v>45778</v>
      </c>
      <c r="B90" s="16" t="s">
        <v>40</v>
      </c>
      <c r="C90" s="17" t="n">
        <v>298142</v>
      </c>
      <c r="D90" s="18" t="n">
        <v>0.6</v>
      </c>
      <c r="E90" s="17" t="n">
        <v>10948</v>
      </c>
      <c r="F90" s="18" t="n">
        <v>11.2</v>
      </c>
      <c r="G90" s="19" t="s">
        <v>58</v>
      </c>
    </row>
    <row r="91" customFormat="false" ht="15" hidden="false" customHeight="false" outlineLevel="0" collapsed="false">
      <c r="A91" s="15" t="n">
        <v>45778</v>
      </c>
      <c r="B91" s="16" t="s">
        <v>42</v>
      </c>
      <c r="C91" s="17" t="n">
        <v>147562</v>
      </c>
      <c r="D91" s="18" t="n">
        <v>-21.7</v>
      </c>
      <c r="E91" s="17" t="n">
        <v>6193</v>
      </c>
      <c r="F91" s="18" t="n">
        <v>6.2</v>
      </c>
      <c r="G91" s="19" t="s">
        <v>58</v>
      </c>
    </row>
    <row r="92" customFormat="false" ht="15" hidden="false" customHeight="false" outlineLevel="0" collapsed="false">
      <c r="A92" s="15" t="n">
        <v>45778</v>
      </c>
      <c r="B92" s="16" t="s">
        <v>43</v>
      </c>
      <c r="C92" s="17" t="n">
        <v>6617</v>
      </c>
      <c r="D92" s="18" t="n">
        <v>11.7</v>
      </c>
      <c r="E92" s="17" t="n">
        <v>194</v>
      </c>
      <c r="F92" s="18" t="n">
        <v>-0.1</v>
      </c>
      <c r="G92" s="19" t="s">
        <v>58</v>
      </c>
    </row>
    <row r="93" customFormat="false" ht="15" hidden="false" customHeight="false" outlineLevel="0" collapsed="false">
      <c r="A93" s="15" t="n">
        <v>45778</v>
      </c>
      <c r="B93" s="16" t="s">
        <v>44</v>
      </c>
      <c r="C93" s="17" t="n">
        <v>46103</v>
      </c>
      <c r="D93" s="18" t="n">
        <v>18.2</v>
      </c>
      <c r="E93" s="17" t="n">
        <v>1458</v>
      </c>
      <c r="F93" s="18" t="n">
        <v>-18.5</v>
      </c>
      <c r="G93" s="19" t="s">
        <v>58</v>
      </c>
    </row>
    <row r="94" customFormat="false" ht="15" hidden="false" customHeight="false" outlineLevel="0" collapsed="false">
      <c r="A94" s="15" t="n">
        <v>45778</v>
      </c>
      <c r="B94" s="16" t="s">
        <v>45</v>
      </c>
      <c r="C94" s="17" t="n">
        <v>26101</v>
      </c>
      <c r="D94" s="18" t="n">
        <v>-33.8</v>
      </c>
      <c r="E94" s="17" t="n">
        <v>574</v>
      </c>
      <c r="F94" s="18" t="n">
        <v>-34.7</v>
      </c>
      <c r="G94" s="19" t="s">
        <v>58</v>
      </c>
    </row>
    <row r="95" customFormat="false" ht="15" hidden="false" customHeight="false" outlineLevel="0" collapsed="false">
      <c r="A95" s="15" t="n">
        <v>45778</v>
      </c>
      <c r="B95" s="16" t="s">
        <v>41</v>
      </c>
      <c r="C95" s="17" t="n">
        <v>331985</v>
      </c>
      <c r="D95" s="18" t="n">
        <v>-3.1</v>
      </c>
      <c r="E95" s="17" t="n">
        <v>11735</v>
      </c>
      <c r="F95" s="18" t="n">
        <v>7.3</v>
      </c>
      <c r="G95" s="19" t="s">
        <v>58</v>
      </c>
    </row>
    <row r="96" customFormat="false" ht="15" hidden="false" customHeight="false" outlineLevel="0" collapsed="false">
      <c r="A96" s="15" t="n">
        <v>45809</v>
      </c>
      <c r="B96" s="16" t="s">
        <v>38</v>
      </c>
      <c r="C96" s="17" t="n">
        <v>16153</v>
      </c>
      <c r="D96" s="18" t="n">
        <v>0</v>
      </c>
      <c r="E96" s="17" t="n">
        <v>361</v>
      </c>
      <c r="F96" s="18" t="n">
        <v>-15.2</v>
      </c>
      <c r="G96" s="19" t="s">
        <v>59</v>
      </c>
    </row>
    <row r="97" customFormat="false" ht="15" hidden="false" customHeight="false" outlineLevel="0" collapsed="false">
      <c r="A97" s="15" t="n">
        <v>45809</v>
      </c>
      <c r="B97" s="16" t="s">
        <v>40</v>
      </c>
      <c r="C97" s="17" t="n">
        <v>346153</v>
      </c>
      <c r="D97" s="18" t="n">
        <v>2.3</v>
      </c>
      <c r="E97" s="17" t="n">
        <v>11068</v>
      </c>
      <c r="F97" s="18" t="n">
        <v>0.3</v>
      </c>
      <c r="G97" s="19" t="s">
        <v>59</v>
      </c>
    </row>
    <row r="98" customFormat="false" ht="15" hidden="false" customHeight="false" outlineLevel="0" collapsed="false">
      <c r="A98" s="15" t="n">
        <v>45809</v>
      </c>
      <c r="B98" s="16" t="s">
        <v>42</v>
      </c>
      <c r="C98" s="17" t="n">
        <v>174984</v>
      </c>
      <c r="D98" s="18" t="n">
        <v>-9.1</v>
      </c>
      <c r="E98" s="17" t="n">
        <v>6187</v>
      </c>
      <c r="F98" s="18" t="n">
        <v>-1</v>
      </c>
      <c r="G98" s="19" t="s">
        <v>59</v>
      </c>
    </row>
    <row r="99" customFormat="false" ht="15" hidden="false" customHeight="false" outlineLevel="0" collapsed="false">
      <c r="A99" s="15" t="n">
        <v>45809</v>
      </c>
      <c r="B99" s="16" t="s">
        <v>43</v>
      </c>
      <c r="C99" s="17" t="n">
        <v>4380</v>
      </c>
      <c r="D99" s="18" t="n">
        <v>-58</v>
      </c>
      <c r="E99" s="17" t="n">
        <v>137</v>
      </c>
      <c r="F99" s="18" t="n">
        <v>-50.9</v>
      </c>
      <c r="G99" s="19" t="s">
        <v>59</v>
      </c>
    </row>
    <row r="100" customFormat="false" ht="15" hidden="false" customHeight="false" outlineLevel="0" collapsed="false">
      <c r="A100" s="15" t="n">
        <v>45809</v>
      </c>
      <c r="B100" s="16" t="s">
        <v>44</v>
      </c>
      <c r="C100" s="17" t="n">
        <v>63385</v>
      </c>
      <c r="D100" s="18" t="n">
        <v>16.6</v>
      </c>
      <c r="E100" s="17" t="n">
        <v>1829</v>
      </c>
      <c r="F100" s="18" t="n">
        <v>-6.8</v>
      </c>
      <c r="G100" s="19" t="s">
        <v>59</v>
      </c>
    </row>
    <row r="101" customFormat="false" ht="15" hidden="false" customHeight="false" outlineLevel="0" collapsed="false">
      <c r="A101" s="15" t="n">
        <v>45809</v>
      </c>
      <c r="B101" s="16" t="s">
        <v>45</v>
      </c>
      <c r="C101" s="17" t="n">
        <v>35605</v>
      </c>
      <c r="D101" s="18" t="n">
        <v>-25.8</v>
      </c>
      <c r="E101" s="17" t="n">
        <v>650</v>
      </c>
      <c r="F101" s="18" t="n">
        <v>-36.1</v>
      </c>
      <c r="G101" s="19" t="s">
        <v>59</v>
      </c>
    </row>
    <row r="102" customFormat="false" ht="15" hidden="false" customHeight="false" outlineLevel="0" collapsed="false">
      <c r="A102" s="15" t="n">
        <v>45809</v>
      </c>
      <c r="B102" s="16" t="s">
        <v>41</v>
      </c>
      <c r="C102" s="17" t="n">
        <v>387780</v>
      </c>
      <c r="D102" s="18" t="n">
        <v>-2.4</v>
      </c>
      <c r="E102" s="17" t="n">
        <v>11894</v>
      </c>
      <c r="F102" s="18" t="n">
        <v>-3.6</v>
      </c>
      <c r="G102" s="19" t="s">
        <v>59</v>
      </c>
    </row>
    <row r="103" customFormat="false" ht="15" hidden="false" customHeight="false" outlineLevel="0" collapsed="false">
      <c r="A103" s="15" t="n">
        <v>45839</v>
      </c>
      <c r="B103" s="16" t="s">
        <v>38</v>
      </c>
      <c r="C103" s="17" t="n">
        <v>26787</v>
      </c>
      <c r="D103" s="18" t="n">
        <v>35.5</v>
      </c>
      <c r="E103" s="17" t="n">
        <v>523</v>
      </c>
      <c r="F103" s="18" t="n">
        <v>-7.3</v>
      </c>
      <c r="G103" s="19" t="s">
        <v>60</v>
      </c>
    </row>
    <row r="104" customFormat="false" ht="15" hidden="false" customHeight="false" outlineLevel="0" collapsed="false">
      <c r="A104" s="15" t="n">
        <v>45839</v>
      </c>
      <c r="B104" s="16" t="s">
        <v>40</v>
      </c>
      <c r="C104" s="17" t="n">
        <v>313278</v>
      </c>
      <c r="D104" s="18" t="n">
        <v>-0.3</v>
      </c>
      <c r="E104" s="17" t="n">
        <v>10397</v>
      </c>
      <c r="F104" s="18" t="n">
        <v>4.1</v>
      </c>
      <c r="G104" s="19" t="s">
        <v>60</v>
      </c>
    </row>
    <row r="105" customFormat="false" ht="15" hidden="false" customHeight="false" outlineLevel="0" collapsed="false">
      <c r="A105" s="15" t="n">
        <v>45839</v>
      </c>
      <c r="B105" s="16" t="s">
        <v>42</v>
      </c>
      <c r="C105" s="17" t="n">
        <v>156405</v>
      </c>
      <c r="D105" s="18" t="n">
        <v>-4.5</v>
      </c>
      <c r="E105" s="17" t="n">
        <v>5637</v>
      </c>
      <c r="F105" s="18" t="n">
        <v>6.6</v>
      </c>
      <c r="G105" s="19" t="s">
        <v>60</v>
      </c>
    </row>
    <row r="106" customFormat="false" ht="15" hidden="false" customHeight="false" outlineLevel="0" collapsed="false">
      <c r="A106" s="15" t="n">
        <v>45839</v>
      </c>
      <c r="B106" s="16" t="s">
        <v>43</v>
      </c>
      <c r="C106" s="17" t="n">
        <v>5904</v>
      </c>
      <c r="D106" s="18" t="n">
        <v>-32.8</v>
      </c>
      <c r="E106" s="17" t="n">
        <v>301</v>
      </c>
      <c r="F106" s="18" t="n">
        <v>15.1</v>
      </c>
      <c r="G106" s="19" t="s">
        <v>60</v>
      </c>
    </row>
    <row r="107" customFormat="false" ht="15" hidden="false" customHeight="false" outlineLevel="0" collapsed="false">
      <c r="A107" s="15" t="n">
        <v>45839</v>
      </c>
      <c r="B107" s="16" t="s">
        <v>44</v>
      </c>
      <c r="C107" s="17" t="n">
        <v>42360</v>
      </c>
      <c r="D107" s="18" t="n">
        <v>-17.3</v>
      </c>
      <c r="E107" s="17" t="n">
        <v>1432</v>
      </c>
      <c r="F107" s="18" t="n">
        <v>-8.5</v>
      </c>
      <c r="G107" s="19" t="s">
        <v>60</v>
      </c>
    </row>
    <row r="108" customFormat="false" ht="15" hidden="false" customHeight="false" outlineLevel="0" collapsed="false">
      <c r="A108" s="15" t="n">
        <v>45839</v>
      </c>
      <c r="B108" s="16" t="s">
        <v>45</v>
      </c>
      <c r="C108" s="17" t="n">
        <v>30209</v>
      </c>
      <c r="D108" s="18" t="n">
        <v>-31.3</v>
      </c>
      <c r="E108" s="17" t="n">
        <v>681</v>
      </c>
      <c r="F108" s="18" t="n">
        <v>-34.1</v>
      </c>
      <c r="G108" s="19" t="s">
        <v>60</v>
      </c>
    </row>
    <row r="109" customFormat="false" ht="15" hidden="false" customHeight="false" outlineLevel="0" collapsed="false">
      <c r="A109" s="15" t="n">
        <v>45839</v>
      </c>
      <c r="B109" s="16" t="s">
        <v>41</v>
      </c>
      <c r="C109" s="17" t="n">
        <v>350943</v>
      </c>
      <c r="D109" s="18" t="n">
        <v>-4.8</v>
      </c>
      <c r="E109" s="17" t="n">
        <v>11423</v>
      </c>
      <c r="F109" s="18" t="n">
        <v>0.6</v>
      </c>
      <c r="G109" s="19" t="s">
        <v>60</v>
      </c>
    </row>
    <row r="110" customFormat="false" ht="15" hidden="false" customHeight="false" outlineLevel="0" collapsed="false">
      <c r="A110" s="15" t="n">
        <v>45870</v>
      </c>
      <c r="B110" s="16" t="s">
        <v>38</v>
      </c>
      <c r="C110" s="17" t="n">
        <v>19795</v>
      </c>
      <c r="D110" s="18" t="n">
        <v>-5.2</v>
      </c>
      <c r="E110" s="17" t="n">
        <v>507</v>
      </c>
      <c r="F110" s="18" t="n">
        <v>6.8</v>
      </c>
      <c r="G110" s="19" t="s">
        <v>61</v>
      </c>
    </row>
    <row r="111" customFormat="false" ht="15" hidden="false" customHeight="false" outlineLevel="0" collapsed="false">
      <c r="A111" s="15" t="n">
        <v>45870</v>
      </c>
      <c r="B111" s="16" t="s">
        <v>40</v>
      </c>
      <c r="C111" s="17" t="n">
        <v>320182</v>
      </c>
      <c r="D111" s="18" t="n">
        <v>9.2</v>
      </c>
      <c r="E111" s="17" t="n">
        <v>10133</v>
      </c>
      <c r="F111" s="18" t="n">
        <v>-0.2</v>
      </c>
      <c r="G111" s="19" t="s">
        <v>61</v>
      </c>
    </row>
    <row r="112" customFormat="false" ht="15" hidden="false" customHeight="false" outlineLevel="0" collapsed="false">
      <c r="A112" s="15" t="n">
        <v>45870</v>
      </c>
      <c r="B112" s="16" t="s">
        <v>42</v>
      </c>
      <c r="C112" s="17" t="n">
        <v>167490</v>
      </c>
      <c r="D112" s="18" t="n">
        <v>-6.9</v>
      </c>
      <c r="E112" s="17" t="n">
        <v>5928</v>
      </c>
      <c r="F112" s="18" t="n">
        <v>-12.1</v>
      </c>
      <c r="G112" s="19" t="s">
        <v>61</v>
      </c>
    </row>
    <row r="113" customFormat="false" ht="15" hidden="false" customHeight="false" outlineLevel="0" collapsed="false">
      <c r="A113" s="15" t="n">
        <v>45870</v>
      </c>
      <c r="B113" s="16" t="s">
        <v>43</v>
      </c>
      <c r="C113" s="17" t="n">
        <v>5537</v>
      </c>
      <c r="D113" s="18" t="n">
        <v>-52.3</v>
      </c>
      <c r="E113" s="17" t="n">
        <v>170</v>
      </c>
      <c r="F113" s="18" t="n">
        <v>-33.3</v>
      </c>
      <c r="G113" s="19" t="s">
        <v>61</v>
      </c>
    </row>
    <row r="114" customFormat="false" ht="15" hidden="false" customHeight="false" outlineLevel="0" collapsed="false">
      <c r="A114" s="15" t="n">
        <v>45870</v>
      </c>
      <c r="B114" s="16" t="s">
        <v>44</v>
      </c>
      <c r="C114" s="17" t="n">
        <v>49997</v>
      </c>
      <c r="D114" s="18" t="n">
        <v>11.4</v>
      </c>
      <c r="E114" s="17" t="n">
        <v>1073</v>
      </c>
      <c r="F114" s="18" t="n">
        <v>-19.9</v>
      </c>
      <c r="G114" s="19" t="s">
        <v>61</v>
      </c>
    </row>
    <row r="115" customFormat="false" ht="15" hidden="false" customHeight="false" outlineLevel="0" collapsed="false">
      <c r="A115" s="15" t="n">
        <v>45870</v>
      </c>
      <c r="B115" s="16" t="s">
        <v>45</v>
      </c>
      <c r="C115" s="17" t="n">
        <v>22816</v>
      </c>
      <c r="D115" s="18" t="n">
        <v>-38.9</v>
      </c>
      <c r="E115" s="17" t="n">
        <v>540</v>
      </c>
      <c r="F115" s="18" t="n">
        <v>-40.6</v>
      </c>
      <c r="G115" s="19" t="s">
        <v>61</v>
      </c>
    </row>
    <row r="116" customFormat="false" ht="15" hidden="false" customHeight="false" outlineLevel="0" collapsed="false">
      <c r="A116" s="15" t="n">
        <v>45870</v>
      </c>
      <c r="B116" s="16" t="s">
        <v>41</v>
      </c>
      <c r="C116" s="17" t="n">
        <v>349446</v>
      </c>
      <c r="D116" s="18" t="n">
        <v>1.9</v>
      </c>
      <c r="E116" s="17" t="n">
        <v>10881</v>
      </c>
      <c r="F116" s="18" t="n">
        <v>-4.6</v>
      </c>
      <c r="G116" s="19" t="s">
        <v>61</v>
      </c>
    </row>
    <row r="117" customFormat="false" ht="15" hidden="false" customHeight="false" outlineLevel="0" collapsed="false">
      <c r="A117" s="15" t="n">
        <v>45901</v>
      </c>
      <c r="B117" s="16" t="s">
        <v>38</v>
      </c>
      <c r="C117" s="17" t="n">
        <v>19843</v>
      </c>
      <c r="D117" s="18" t="n">
        <v>-27.9</v>
      </c>
      <c r="E117" s="17" t="n">
        <v>497</v>
      </c>
      <c r="F117" s="18" t="n">
        <v>-16.1</v>
      </c>
      <c r="G117" s="19" t="s">
        <v>62</v>
      </c>
    </row>
    <row r="118" customFormat="false" ht="15" hidden="false" customHeight="false" outlineLevel="0" collapsed="false">
      <c r="A118" s="15" t="n">
        <v>45901</v>
      </c>
      <c r="B118" s="16" t="s">
        <v>40</v>
      </c>
      <c r="C118" s="17" t="n">
        <v>342297</v>
      </c>
      <c r="D118" s="18" t="n">
        <v>4.6</v>
      </c>
      <c r="E118" s="17" t="n">
        <v>10813</v>
      </c>
      <c r="F118" s="18" t="n">
        <v>4</v>
      </c>
      <c r="G118" s="19" t="s">
        <v>62</v>
      </c>
    </row>
    <row r="119" customFormat="false" ht="15" hidden="false" customHeight="false" outlineLevel="0" collapsed="false">
      <c r="A119" s="15" t="n">
        <v>45901</v>
      </c>
      <c r="B119" s="16" t="s">
        <v>42</v>
      </c>
      <c r="C119" s="17" t="n">
        <v>197006</v>
      </c>
      <c r="D119" s="18" t="n">
        <v>1.2</v>
      </c>
      <c r="E119" s="17" t="n">
        <v>6980</v>
      </c>
      <c r="F119" s="18" t="n">
        <v>10.5</v>
      </c>
      <c r="G119" s="19" t="s">
        <v>62</v>
      </c>
    </row>
    <row r="120" customFormat="false" ht="15" hidden="false" customHeight="false" outlineLevel="0" collapsed="false">
      <c r="A120" s="15" t="n">
        <v>45901</v>
      </c>
      <c r="B120" s="16" t="s">
        <v>43</v>
      </c>
      <c r="C120" s="17" t="n">
        <v>9097</v>
      </c>
      <c r="D120" s="18" t="n">
        <v>-10.5</v>
      </c>
      <c r="E120" s="17" t="n">
        <v>371</v>
      </c>
      <c r="F120" s="18" t="n">
        <v>28.8</v>
      </c>
      <c r="G120" s="19" t="s">
        <v>62</v>
      </c>
    </row>
    <row r="121" customFormat="false" ht="15" hidden="false" customHeight="false" outlineLevel="0" collapsed="false">
      <c r="A121" s="15" t="n">
        <v>45901</v>
      </c>
      <c r="B121" s="16" t="s">
        <v>44</v>
      </c>
      <c r="C121" s="17" t="n">
        <v>53301</v>
      </c>
      <c r="D121" s="18" t="n">
        <v>10.8</v>
      </c>
      <c r="E121" s="17" t="n">
        <v>1214</v>
      </c>
      <c r="F121" s="18" t="n">
        <v>-23.9</v>
      </c>
      <c r="G121" s="19" t="s">
        <v>62</v>
      </c>
    </row>
    <row r="122" customFormat="false" ht="15" hidden="false" customHeight="false" outlineLevel="0" collapsed="false">
      <c r="A122" s="15" t="n">
        <v>45901</v>
      </c>
      <c r="B122" s="16" t="s">
        <v>45</v>
      </c>
      <c r="C122" s="17" t="n">
        <v>31731</v>
      </c>
      <c r="D122" s="18" t="n">
        <v>-45.7</v>
      </c>
      <c r="E122" s="17" t="n">
        <v>816</v>
      </c>
      <c r="F122" s="18" t="n">
        <v>-41.8</v>
      </c>
      <c r="G122" s="19" t="s">
        <v>62</v>
      </c>
    </row>
    <row r="123" customFormat="false" ht="15" hidden="false" customHeight="false" outlineLevel="0" collapsed="false">
      <c r="A123" s="15" t="n">
        <v>45901</v>
      </c>
      <c r="B123" s="16" t="s">
        <v>41</v>
      </c>
      <c r="C123" s="17" t="n">
        <v>384411</v>
      </c>
      <c r="D123" s="18" t="n">
        <v>-3.2</v>
      </c>
      <c r="E123" s="17" t="n">
        <v>12102</v>
      </c>
      <c r="F123" s="18" t="n">
        <v>-1</v>
      </c>
      <c r="G123" s="19" t="s">
        <v>62</v>
      </c>
    </row>
    <row r="124" customFormat="false" ht="15" hidden="false" customHeight="false" outlineLevel="0" collapsed="false">
      <c r="A124" s="15" t="n">
        <v>45931</v>
      </c>
      <c r="B124" s="16" t="s">
        <v>38</v>
      </c>
      <c r="C124" s="17" t="n">
        <v>34077</v>
      </c>
      <c r="D124" s="18" t="n">
        <v>8.2</v>
      </c>
      <c r="E124" s="17" t="n">
        <v>874</v>
      </c>
      <c r="F124" s="18" t="n">
        <v>-2.4</v>
      </c>
      <c r="G124" s="19" t="s">
        <v>63</v>
      </c>
    </row>
    <row r="125" customFormat="false" ht="15" hidden="false" customHeight="false" outlineLevel="0" collapsed="false">
      <c r="A125" s="15" t="n">
        <v>45931</v>
      </c>
      <c r="B125" s="16" t="s">
        <v>40</v>
      </c>
      <c r="C125" s="17" t="n">
        <v>323023</v>
      </c>
      <c r="D125" s="18" t="n">
        <v>-3.8</v>
      </c>
      <c r="E125" s="17" t="n">
        <v>10844</v>
      </c>
      <c r="F125" s="18" t="n">
        <v>-1.9</v>
      </c>
      <c r="G125" s="19" t="s">
        <v>63</v>
      </c>
    </row>
    <row r="126" customFormat="false" ht="15" hidden="false" customHeight="false" outlineLevel="0" collapsed="false">
      <c r="A126" s="15" t="n">
        <v>45931</v>
      </c>
      <c r="B126" s="16" t="s">
        <v>42</v>
      </c>
      <c r="C126" s="17" t="n">
        <v>149205</v>
      </c>
      <c r="D126" s="18" t="n">
        <v>-18.9</v>
      </c>
      <c r="E126" s="17" t="n">
        <v>5786</v>
      </c>
      <c r="F126" s="18" t="n">
        <v>-6.9</v>
      </c>
      <c r="G126" s="19" t="s">
        <v>63</v>
      </c>
    </row>
    <row r="127" customFormat="false" ht="15" hidden="false" customHeight="false" outlineLevel="0" collapsed="false">
      <c r="A127" s="15" t="n">
        <v>45931</v>
      </c>
      <c r="B127" s="16" t="s">
        <v>43</v>
      </c>
      <c r="C127" s="17" t="n">
        <v>9513</v>
      </c>
      <c r="D127" s="18" t="n">
        <v>-27.8</v>
      </c>
      <c r="E127" s="17" t="n">
        <v>356</v>
      </c>
      <c r="F127" s="18" t="n">
        <v>-3.1</v>
      </c>
      <c r="G127" s="19" t="s">
        <v>63</v>
      </c>
    </row>
    <row r="128" customFormat="false" ht="15" hidden="false" customHeight="false" outlineLevel="0" collapsed="false">
      <c r="A128" s="15" t="n">
        <v>45931</v>
      </c>
      <c r="B128" s="16" t="s">
        <v>44</v>
      </c>
      <c r="C128" s="17" t="n">
        <v>55428</v>
      </c>
      <c r="D128" s="18" t="n">
        <v>-11.7</v>
      </c>
      <c r="E128" s="17" t="n">
        <v>1433</v>
      </c>
      <c r="F128" s="18" t="n">
        <v>-21.9</v>
      </c>
      <c r="G128" s="19" t="s">
        <v>63</v>
      </c>
    </row>
    <row r="129" customFormat="false" ht="15" hidden="false" customHeight="false" outlineLevel="0" collapsed="false">
      <c r="A129" s="15" t="n">
        <v>45931</v>
      </c>
      <c r="B129" s="16" t="s">
        <v>45</v>
      </c>
      <c r="C129" s="17" t="n">
        <v>29031</v>
      </c>
      <c r="D129" s="18" t="n">
        <v>-49.6</v>
      </c>
      <c r="E129" s="17" t="n">
        <v>787</v>
      </c>
      <c r="F129" s="18" t="n">
        <v>-35.3</v>
      </c>
      <c r="G129" s="19" t="s">
        <v>63</v>
      </c>
    </row>
    <row r="130" customFormat="false" ht="15" hidden="false" customHeight="false" outlineLevel="0" collapsed="false">
      <c r="A130" s="15" t="n">
        <v>45931</v>
      </c>
      <c r="B130" s="16" t="s">
        <v>41</v>
      </c>
      <c r="C130" s="17" t="n">
        <v>363538</v>
      </c>
      <c r="D130" s="18" t="n">
        <v>-10.8</v>
      </c>
      <c r="E130" s="17" t="n">
        <v>12096</v>
      </c>
      <c r="F130" s="18" t="n">
        <v>-4.6</v>
      </c>
      <c r="G130" s="19" t="s">
        <v>63</v>
      </c>
    </row>
    <row r="131" customFormat="false" ht="15" hidden="false" customHeight="false" outlineLevel="0" collapsed="false">
      <c r="A131" s="15" t="n">
        <v>45962</v>
      </c>
      <c r="B131" s="16" t="s">
        <v>38</v>
      </c>
      <c r="C131" s="17" t="n">
        <v>39454</v>
      </c>
      <c r="D131" s="18" t="n">
        <v>86.2</v>
      </c>
      <c r="E131" s="17" t="n">
        <v>911</v>
      </c>
      <c r="F131" s="18" t="n">
        <v>82.3</v>
      </c>
      <c r="G131" s="19" t="s">
        <v>64</v>
      </c>
    </row>
    <row r="132" customFormat="false" ht="15" hidden="false" customHeight="false" outlineLevel="0" collapsed="false">
      <c r="A132" s="15" t="n">
        <v>45962</v>
      </c>
      <c r="B132" s="16" t="s">
        <v>40</v>
      </c>
      <c r="C132" s="17" t="n">
        <v>338407</v>
      </c>
      <c r="D132" s="18" t="n">
        <v>5.1</v>
      </c>
      <c r="E132" s="17" t="n">
        <v>10451</v>
      </c>
      <c r="F132" s="18" t="n">
        <v>2.2</v>
      </c>
      <c r="G132" s="19" t="s">
        <v>64</v>
      </c>
    </row>
    <row r="133" customFormat="false" ht="15" hidden="false" customHeight="false" outlineLevel="0" collapsed="false">
      <c r="A133" s="15" t="n">
        <v>45962</v>
      </c>
      <c r="B133" s="16" t="s">
        <v>42</v>
      </c>
      <c r="C133" s="17" t="n">
        <v>139874</v>
      </c>
      <c r="D133" s="18" t="n">
        <v>-14.8</v>
      </c>
      <c r="E133" s="17" t="n">
        <v>4959</v>
      </c>
      <c r="F133" s="18" t="n">
        <v>-4.2</v>
      </c>
      <c r="G133" s="19" t="s">
        <v>64</v>
      </c>
    </row>
    <row r="134" customFormat="false" ht="15" hidden="false" customHeight="false" outlineLevel="0" collapsed="false">
      <c r="A134" s="15" t="n">
        <v>45962</v>
      </c>
      <c r="B134" s="16" t="s">
        <v>43</v>
      </c>
      <c r="C134" s="17" t="n">
        <v>9204</v>
      </c>
      <c r="D134" s="18" t="n">
        <v>-0.8</v>
      </c>
      <c r="E134" s="17" t="n">
        <v>360</v>
      </c>
      <c r="F134" s="18" t="n">
        <v>42.2</v>
      </c>
      <c r="G134" s="19" t="s">
        <v>64</v>
      </c>
    </row>
    <row r="135" customFormat="false" ht="15" hidden="false" customHeight="false" outlineLevel="0" collapsed="false">
      <c r="A135" s="15" t="n">
        <v>45962</v>
      </c>
      <c r="B135" s="16" t="s">
        <v>44</v>
      </c>
      <c r="C135" s="17" t="n">
        <v>61766</v>
      </c>
      <c r="D135" s="18" t="n">
        <v>11</v>
      </c>
      <c r="E135" s="17" t="n">
        <v>1639</v>
      </c>
      <c r="F135" s="18" t="n">
        <v>-6.1</v>
      </c>
      <c r="G135" s="19" t="s">
        <v>64</v>
      </c>
    </row>
    <row r="136" customFormat="false" ht="15" hidden="false" customHeight="false" outlineLevel="0" collapsed="false">
      <c r="A136" s="15" t="n">
        <v>45962</v>
      </c>
      <c r="B136" s="16" t="s">
        <v>45</v>
      </c>
      <c r="C136" s="17" t="n">
        <v>30023</v>
      </c>
      <c r="D136" s="18" t="n">
        <v>-28.5</v>
      </c>
      <c r="E136" s="17" t="n">
        <v>827</v>
      </c>
      <c r="F136" s="18" t="n">
        <v>-20.9</v>
      </c>
      <c r="G136" s="19" t="s">
        <v>64</v>
      </c>
    </row>
    <row r="137" customFormat="false" ht="15" hidden="false" customHeight="false" outlineLevel="0" collapsed="false">
      <c r="A137" s="15" t="n">
        <v>45962</v>
      </c>
      <c r="B137" s="16" t="s">
        <v>41</v>
      </c>
      <c r="C137" s="17" t="n">
        <v>379223</v>
      </c>
      <c r="D137" s="18" t="n">
        <v>1.3</v>
      </c>
      <c r="E137" s="17" t="n">
        <v>11713</v>
      </c>
      <c r="F137" s="18" t="n">
        <v>1.3</v>
      </c>
      <c r="G137" s="19" t="s">
        <v>64</v>
      </c>
    </row>
    <row r="138" customFormat="false" ht="15" hidden="false" customHeight="false" outlineLevel="0" collapsed="false">
      <c r="A138" s="15" t="n">
        <v>45992</v>
      </c>
      <c r="B138" s="16" t="s">
        <v>38</v>
      </c>
      <c r="C138" s="17" t="n">
        <v>46697</v>
      </c>
      <c r="D138" s="18" t="n">
        <v>72.4</v>
      </c>
      <c r="E138" s="17" t="n">
        <v>1092</v>
      </c>
      <c r="F138" s="18" t="n">
        <v>41.2</v>
      </c>
      <c r="G138" s="19" t="s">
        <v>65</v>
      </c>
    </row>
    <row r="139" customFormat="false" ht="15" hidden="false" customHeight="false" outlineLevel="0" collapsed="false">
      <c r="A139" s="15" t="n">
        <v>45992</v>
      </c>
      <c r="B139" s="16" t="s">
        <v>40</v>
      </c>
      <c r="C139" s="17" t="n">
        <v>405479</v>
      </c>
      <c r="D139" s="18" t="n">
        <v>3.2</v>
      </c>
      <c r="E139" s="17" t="n">
        <v>12129</v>
      </c>
      <c r="F139" s="18" t="n">
        <v>8.7</v>
      </c>
      <c r="G139" s="19" t="s">
        <v>65</v>
      </c>
    </row>
    <row r="140" customFormat="false" ht="15" hidden="false" customHeight="false" outlineLevel="0" collapsed="false">
      <c r="A140" s="15" t="n">
        <v>45992</v>
      </c>
      <c r="B140" s="16" t="s">
        <v>42</v>
      </c>
      <c r="C140" s="17" t="n">
        <v>174922</v>
      </c>
      <c r="D140" s="18" t="n">
        <v>-12.2</v>
      </c>
      <c r="E140" s="17" t="n">
        <v>5914</v>
      </c>
      <c r="F140" s="18" t="n">
        <v>4.9</v>
      </c>
      <c r="G140" s="19" t="s">
        <v>65</v>
      </c>
    </row>
    <row r="141" customFormat="false" ht="15" hidden="false" customHeight="false" outlineLevel="0" collapsed="false">
      <c r="A141" s="15" t="n">
        <v>45992</v>
      </c>
      <c r="B141" s="16" t="s">
        <v>43</v>
      </c>
      <c r="C141" s="17" t="n">
        <v>7651</v>
      </c>
      <c r="D141" s="18" t="n">
        <v>-41.4</v>
      </c>
      <c r="E141" s="17" t="n">
        <v>328</v>
      </c>
      <c r="F141" s="18" t="n">
        <v>-21.4</v>
      </c>
      <c r="G141" s="19" t="s">
        <v>65</v>
      </c>
    </row>
    <row r="142" customFormat="false" ht="15" hidden="false" customHeight="false" outlineLevel="0" collapsed="false">
      <c r="A142" s="15" t="n">
        <v>45992</v>
      </c>
      <c r="B142" s="16" t="s">
        <v>44</v>
      </c>
      <c r="C142" s="17" t="n">
        <v>75936</v>
      </c>
      <c r="D142" s="18" t="n">
        <v>9.1</v>
      </c>
      <c r="E142" s="17" t="n">
        <v>1703</v>
      </c>
      <c r="F142" s="18" t="n">
        <v>-4.6</v>
      </c>
      <c r="G142" s="19" t="s">
        <v>65</v>
      </c>
    </row>
    <row r="143" customFormat="false" ht="15" hidden="false" customHeight="false" outlineLevel="0" collapsed="false">
      <c r="A143" s="15" t="n">
        <v>45992</v>
      </c>
      <c r="B143" s="16" t="s">
        <v>45</v>
      </c>
      <c r="C143" s="17" t="n">
        <v>29510</v>
      </c>
      <c r="D143" s="18" t="n">
        <v>-29.2</v>
      </c>
      <c r="E143" s="17" t="n">
        <v>807</v>
      </c>
      <c r="F143" s="18" t="n">
        <v>-18.5</v>
      </c>
      <c r="G143" s="19" t="s">
        <v>65</v>
      </c>
    </row>
    <row r="144" customFormat="false" ht="15" hidden="false" customHeight="false" outlineLevel="0" collapsed="false">
      <c r="A144" s="15" t="n">
        <v>45992</v>
      </c>
      <c r="B144" s="16" t="s">
        <v>41</v>
      </c>
      <c r="C144" s="17" t="n">
        <v>443683</v>
      </c>
      <c r="D144" s="18" t="n">
        <v>-1.5</v>
      </c>
      <c r="E144" s="17" t="n">
        <v>13325</v>
      </c>
      <c r="F144" s="18" t="n">
        <v>5.4</v>
      </c>
      <c r="G144" s="19" t="s">
        <v>65</v>
      </c>
    </row>
    <row r="145" customFormat="false" ht="15" hidden="false" customHeight="false" outlineLevel="0" collapsed="false">
      <c r="A145" s="15" t="n">
        <v>46023</v>
      </c>
      <c r="B145" s="16" t="s">
        <v>38</v>
      </c>
      <c r="C145" s="17" t="n">
        <v>26203</v>
      </c>
      <c r="D145" s="18" t="n">
        <v>37.6</v>
      </c>
      <c r="E145" s="17" t="n">
        <v>662</v>
      </c>
      <c r="F145" s="18" t="n">
        <v>25.2</v>
      </c>
      <c r="G145" s="19" t="s">
        <v>66</v>
      </c>
    </row>
    <row r="146" customFormat="false" ht="15" hidden="false" customHeight="false" outlineLevel="0" collapsed="false">
      <c r="A146" s="15" t="n">
        <v>46023</v>
      </c>
      <c r="B146" s="16" t="s">
        <v>40</v>
      </c>
      <c r="C146" s="17" t="n">
        <v>278465</v>
      </c>
      <c r="D146" s="18" t="n">
        <v>11.8</v>
      </c>
      <c r="E146" s="17" t="n">
        <v>8821</v>
      </c>
      <c r="F146" s="18" t="n">
        <v>14.5</v>
      </c>
      <c r="G146" s="19" t="s">
        <v>66</v>
      </c>
    </row>
    <row r="147" customFormat="false" ht="15" hidden="false" customHeight="false" outlineLevel="0" collapsed="false">
      <c r="A147" s="15" t="n">
        <v>46023</v>
      </c>
      <c r="B147" s="16" t="s">
        <v>42</v>
      </c>
      <c r="C147" s="17" t="n">
        <v>101449</v>
      </c>
      <c r="D147" s="18" t="n">
        <v>3.2</v>
      </c>
      <c r="E147" s="17" t="n">
        <v>4543</v>
      </c>
      <c r="F147" s="18" t="n">
        <v>29.2</v>
      </c>
      <c r="G147" s="19" t="s">
        <v>66</v>
      </c>
    </row>
    <row r="148" customFormat="false" ht="15" hidden="false" customHeight="false" outlineLevel="0" collapsed="false">
      <c r="A148" s="15" t="n">
        <v>46023</v>
      </c>
      <c r="B148" s="16" t="s">
        <v>43</v>
      </c>
      <c r="C148" s="17" t="n">
        <v>8823</v>
      </c>
      <c r="D148" s="18" t="n">
        <v>-1.5</v>
      </c>
      <c r="E148" s="17" t="n">
        <v>279</v>
      </c>
      <c r="F148" s="18" t="n">
        <v>20.4</v>
      </c>
      <c r="G148" s="19" t="s">
        <v>66</v>
      </c>
    </row>
    <row r="149" customFormat="false" ht="15" hidden="false" customHeight="false" outlineLevel="0" collapsed="false">
      <c r="A149" s="15" t="n">
        <v>46023</v>
      </c>
      <c r="B149" s="16" t="s">
        <v>44</v>
      </c>
      <c r="C149" s="17" t="n">
        <v>71717</v>
      </c>
      <c r="D149" s="18" t="n">
        <v>41.8</v>
      </c>
      <c r="E149" s="17" t="n">
        <v>1354</v>
      </c>
      <c r="F149" s="18" t="n">
        <v>5.3</v>
      </c>
      <c r="G149" s="19" t="s">
        <v>66</v>
      </c>
    </row>
    <row r="150" customFormat="false" ht="15" hidden="false" customHeight="false" outlineLevel="0" collapsed="false">
      <c r="A150" s="15" t="n">
        <v>46023</v>
      </c>
      <c r="B150" s="16" t="s">
        <v>45</v>
      </c>
      <c r="C150" s="17" t="n">
        <v>26504</v>
      </c>
      <c r="D150" s="18" t="n">
        <v>-8.3</v>
      </c>
      <c r="E150" s="17" t="n">
        <v>608</v>
      </c>
      <c r="F150" s="18" t="n">
        <v>8.5</v>
      </c>
      <c r="G150" s="19" t="s">
        <v>66</v>
      </c>
    </row>
    <row r="151" customFormat="false" ht="15" hidden="false" customHeight="false" outlineLevel="0" collapsed="false">
      <c r="A151" s="15" t="n">
        <v>46023</v>
      </c>
      <c r="B151" s="16" t="s">
        <v>41</v>
      </c>
      <c r="C151" s="17" t="n">
        <v>315667</v>
      </c>
      <c r="D151" s="18" t="n">
        <v>9.6</v>
      </c>
      <c r="E151" s="17" t="n">
        <v>9814</v>
      </c>
      <c r="F151" s="18" t="n">
        <v>15.2</v>
      </c>
      <c r="G151" s="19" t="s">
        <v>66</v>
      </c>
    </row>
    <row r="152" customFormat="false" ht="15" hidden="false" customHeight="false" outlineLevel="0" collapsed="false">
      <c r="A152" s="15" t="n">
        <v>46054</v>
      </c>
      <c r="B152" s="16" t="s">
        <v>38</v>
      </c>
      <c r="C152" s="17" t="n">
        <v>24979</v>
      </c>
      <c r="D152" s="18" t="n">
        <v>-5.8</v>
      </c>
      <c r="E152" s="17" t="n">
        <v>587</v>
      </c>
      <c r="F152" s="18" t="n">
        <v>-11.8</v>
      </c>
      <c r="G152" s="19" t="s">
        <v>67</v>
      </c>
    </row>
    <row r="153" customFormat="false" ht="15" hidden="false" customHeight="false" outlineLevel="0" collapsed="false">
      <c r="A153" s="15" t="n">
        <v>46054</v>
      </c>
      <c r="B153" s="16" t="s">
        <v>40</v>
      </c>
      <c r="C153" s="17" t="n">
        <v>277016</v>
      </c>
      <c r="D153" s="18" t="n">
        <v>-21.9</v>
      </c>
      <c r="E153" s="17" t="n">
        <v>9588</v>
      </c>
      <c r="F153" s="18" t="n">
        <v>-14.2</v>
      </c>
      <c r="G153" s="19" t="s">
        <v>67</v>
      </c>
    </row>
    <row r="154" customFormat="false" ht="15" hidden="false" customHeight="false" outlineLevel="0" collapsed="false">
      <c r="A154" s="15" t="n">
        <v>46054</v>
      </c>
      <c r="B154" s="16" t="s">
        <v>42</v>
      </c>
      <c r="C154" s="17" t="n">
        <v>97621</v>
      </c>
      <c r="D154" s="18" t="n">
        <v>-33.1</v>
      </c>
      <c r="E154" s="17" t="n">
        <v>4451</v>
      </c>
      <c r="F154" s="18" t="n">
        <v>-13.3</v>
      </c>
      <c r="G154" s="19" t="s">
        <v>67</v>
      </c>
    </row>
    <row r="155" customFormat="false" ht="15" hidden="false" customHeight="false" outlineLevel="0" collapsed="false">
      <c r="A155" s="15" t="n">
        <v>46054</v>
      </c>
      <c r="B155" s="16" t="s">
        <v>43</v>
      </c>
      <c r="C155" s="17" t="n">
        <v>11642</v>
      </c>
      <c r="D155" s="18" t="n">
        <v>129.3</v>
      </c>
      <c r="E155" s="17" t="n">
        <v>392</v>
      </c>
      <c r="F155" s="18" t="n">
        <v>106</v>
      </c>
      <c r="G155" s="19" t="s">
        <v>67</v>
      </c>
    </row>
    <row r="156" customFormat="false" ht="15" hidden="false" customHeight="false" outlineLevel="0" collapsed="false">
      <c r="A156" s="15" t="n">
        <v>46054</v>
      </c>
      <c r="B156" s="16" t="s">
        <v>44</v>
      </c>
      <c r="C156" s="17" t="n">
        <v>67630</v>
      </c>
      <c r="D156" s="18" t="n">
        <v>-6.2</v>
      </c>
      <c r="E156" s="17" t="n">
        <v>1830</v>
      </c>
      <c r="F156" s="18" t="n">
        <v>4.7</v>
      </c>
      <c r="G156" s="19" t="s">
        <v>67</v>
      </c>
    </row>
    <row r="157" customFormat="false" ht="15" hidden="false" customHeight="false" outlineLevel="0" collapsed="false">
      <c r="A157" s="15" t="n">
        <v>46054</v>
      </c>
      <c r="B157" s="16" t="s">
        <v>45</v>
      </c>
      <c r="C157" s="17" t="n">
        <v>39191</v>
      </c>
      <c r="D157" s="18" t="n">
        <v>10.8</v>
      </c>
      <c r="E157" s="17" t="n">
        <v>960</v>
      </c>
      <c r="F157" s="18" t="n">
        <v>34</v>
      </c>
      <c r="G157" s="19" t="s">
        <v>67</v>
      </c>
    </row>
    <row r="158" customFormat="false" ht="15" hidden="false" customHeight="false" outlineLevel="0" collapsed="false">
      <c r="A158" s="15" t="n">
        <v>46054</v>
      </c>
      <c r="B158" s="16" t="s">
        <v>41</v>
      </c>
      <c r="C158" s="17" t="n">
        <v>329089</v>
      </c>
      <c r="D158" s="18" t="n">
        <v>-16.9</v>
      </c>
      <c r="E158" s="17" t="n">
        <v>10966</v>
      </c>
      <c r="F158" s="18" t="n">
        <v>-9.6</v>
      </c>
      <c r="G158" s="19" t="s">
        <v>67</v>
      </c>
    </row>
    <row r="159" customFormat="false" ht="15" hidden="false" customHeight="false" outlineLevel="0" collapsed="false">
      <c r="A159" s="15" t="n">
        <v>46082</v>
      </c>
      <c r="B159" s="16" t="s">
        <v>38</v>
      </c>
      <c r="C159" s="17" t="n">
        <v>27841</v>
      </c>
      <c r="D159" s="18" t="n">
        <v>-18.3</v>
      </c>
      <c r="E159" s="17" t="n">
        <v>685</v>
      </c>
      <c r="F159" s="18" t="n">
        <v>-16.6</v>
      </c>
      <c r="G159" s="19" t="s">
        <v>68</v>
      </c>
    </row>
    <row r="160" customFormat="false" ht="15" hidden="false" customHeight="false" outlineLevel="0" collapsed="false">
      <c r="A160" s="15" t="n">
        <v>46082</v>
      </c>
      <c r="B160" s="16" t="s">
        <v>40</v>
      </c>
      <c r="C160" s="17" t="n">
        <v>466793</v>
      </c>
      <c r="D160" s="18" t="n">
        <v>3.5</v>
      </c>
      <c r="E160" s="17" t="n">
        <v>13779</v>
      </c>
      <c r="F160" s="18" t="n">
        <v>3.5</v>
      </c>
      <c r="G160" s="19" t="s">
        <v>68</v>
      </c>
    </row>
    <row r="161" customFormat="false" ht="15" hidden="false" customHeight="false" outlineLevel="0" collapsed="false">
      <c r="A161" s="15" t="n">
        <v>46082</v>
      </c>
      <c r="B161" s="16" t="s">
        <v>42</v>
      </c>
      <c r="C161" s="17" t="n">
        <v>205893</v>
      </c>
      <c r="D161" s="18" t="n">
        <v>-0.8</v>
      </c>
      <c r="E161" s="17" t="n">
        <v>6834</v>
      </c>
      <c r="F161" s="18" t="n">
        <v>0.9</v>
      </c>
      <c r="G161" s="19" t="s">
        <v>68</v>
      </c>
    </row>
    <row r="162" customFormat="false" ht="15" hidden="false" customHeight="false" outlineLevel="0" collapsed="false">
      <c r="A162" s="15" t="n">
        <v>46082</v>
      </c>
      <c r="B162" s="16" t="s">
        <v>43</v>
      </c>
      <c r="C162" s="17" t="n">
        <v>18002</v>
      </c>
      <c r="D162" s="18" t="n">
        <v>98.9</v>
      </c>
      <c r="E162" s="17" t="n">
        <v>527</v>
      </c>
      <c r="F162" s="18" t="n">
        <v>77.5</v>
      </c>
      <c r="G162" s="19" t="s">
        <v>68</v>
      </c>
    </row>
    <row r="163" customFormat="false" ht="15" hidden="false" customHeight="false" outlineLevel="0" collapsed="false">
      <c r="A163" s="15" t="n">
        <v>46082</v>
      </c>
      <c r="B163" s="16" t="s">
        <v>44</v>
      </c>
      <c r="C163" s="17" t="n">
        <v>97242</v>
      </c>
      <c r="D163" s="18" t="n">
        <v>-2.6</v>
      </c>
      <c r="E163" s="17" t="n">
        <v>2077</v>
      </c>
      <c r="F163" s="18" t="n">
        <v>-11.6</v>
      </c>
      <c r="G163" s="19" t="s">
        <v>68</v>
      </c>
    </row>
    <row r="164" customFormat="false" ht="15" hidden="false" customHeight="false" outlineLevel="0" collapsed="false">
      <c r="A164" s="15" t="n">
        <v>46082</v>
      </c>
      <c r="B164" s="16" t="s">
        <v>45</v>
      </c>
      <c r="C164" s="17" t="n">
        <v>39675</v>
      </c>
      <c r="D164" s="18" t="n">
        <v>9.5</v>
      </c>
      <c r="E164" s="17" t="n">
        <v>1152</v>
      </c>
      <c r="F164" s="18" t="n">
        <v>30.6</v>
      </c>
      <c r="G164" s="19" t="s">
        <v>68</v>
      </c>
    </row>
    <row r="165" customFormat="false" ht="15" hidden="false" customHeight="false" outlineLevel="0" collapsed="false">
      <c r="A165" s="15" t="n">
        <v>46082</v>
      </c>
      <c r="B165" s="16" t="s">
        <v>41</v>
      </c>
      <c r="C165" s="17" t="n">
        <v>525989</v>
      </c>
      <c r="D165" s="18" t="n">
        <v>5.5</v>
      </c>
      <c r="E165" s="17" t="n">
        <v>15487</v>
      </c>
      <c r="F165" s="18" t="n">
        <v>6.4</v>
      </c>
      <c r="G165" s="19" t="s">
        <v>68</v>
      </c>
    </row>
    <row r="166" customFormat="false" ht="15" hidden="false" customHeight="false" outlineLevel="0" collapsed="false">
      <c r="A166" s="15" t="n">
        <v>46113</v>
      </c>
      <c r="B166" s="16" t="s">
        <v>38</v>
      </c>
      <c r="C166" s="17" t="n">
        <v>29864</v>
      </c>
      <c r="D166" s="18" t="n">
        <v>24.2</v>
      </c>
      <c r="E166" s="17" t="n">
        <v>711</v>
      </c>
      <c r="F166" s="18" t="n">
        <v>21.8</v>
      </c>
      <c r="G166" s="19" t="s">
        <v>69</v>
      </c>
    </row>
    <row r="167" customFormat="false" ht="15" hidden="false" customHeight="false" outlineLevel="0" collapsed="false">
      <c r="A167" s="15" t="n">
        <v>46113</v>
      </c>
      <c r="B167" s="16" t="s">
        <v>40</v>
      </c>
      <c r="C167" s="17" t="n">
        <v>324945</v>
      </c>
      <c r="D167" s="18" t="n">
        <v>-1.1</v>
      </c>
      <c r="E167" s="17" t="n">
        <v>9851</v>
      </c>
      <c r="F167" s="18" t="n">
        <v>-10.7</v>
      </c>
      <c r="G167" s="19" t="s">
        <v>69</v>
      </c>
    </row>
    <row r="168" customFormat="false" ht="15" hidden="false" customHeight="false" outlineLevel="0" collapsed="false">
      <c r="A168" s="15" t="n">
        <v>46113</v>
      </c>
      <c r="B168" s="16" t="s">
        <v>42</v>
      </c>
      <c r="C168" s="17" t="n">
        <v>111799</v>
      </c>
      <c r="D168" s="18" t="n">
        <v>-26.3</v>
      </c>
      <c r="E168" s="17" t="n">
        <v>4162</v>
      </c>
      <c r="F168" s="18" t="n">
        <v>-28.2</v>
      </c>
      <c r="G168" s="19" t="s">
        <v>69</v>
      </c>
    </row>
    <row r="169" customFormat="false" ht="15" hidden="false" customHeight="false" outlineLevel="0" collapsed="false">
      <c r="A169" s="15" t="n">
        <v>46113</v>
      </c>
      <c r="B169" s="16" t="s">
        <v>43</v>
      </c>
      <c r="C169" s="17" t="n">
        <v>10142</v>
      </c>
      <c r="D169" s="18" t="n">
        <v>3.7</v>
      </c>
      <c r="E169" s="17" t="n">
        <v>380</v>
      </c>
      <c r="F169" s="18" t="n">
        <v>62</v>
      </c>
      <c r="G169" s="19" t="s">
        <v>69</v>
      </c>
    </row>
    <row r="170" customFormat="false" ht="15" hidden="false" customHeight="false" outlineLevel="0" collapsed="false">
      <c r="A170" s="15" t="n">
        <v>46113</v>
      </c>
      <c r="B170" s="16" t="s">
        <v>44</v>
      </c>
      <c r="C170" s="17" t="n">
        <v>79161</v>
      </c>
      <c r="D170" s="18" t="n">
        <v>81</v>
      </c>
      <c r="E170" s="17" t="n">
        <v>1767</v>
      </c>
      <c r="F170" s="18" t="n">
        <v>28.5</v>
      </c>
      <c r="G170" s="19" t="s">
        <v>69</v>
      </c>
    </row>
    <row r="171" customFormat="false" ht="15" hidden="false" customHeight="false" outlineLevel="0" collapsed="false">
      <c r="A171" s="15" t="n">
        <v>46113</v>
      </c>
      <c r="B171" s="16" t="s">
        <v>45</v>
      </c>
      <c r="C171" s="17" t="n">
        <v>57581</v>
      </c>
      <c r="D171" s="18" t="n">
        <v>67.3</v>
      </c>
      <c r="E171" s="17" t="n">
        <v>1624</v>
      </c>
      <c r="F171" s="18" t="n">
        <v>73.6</v>
      </c>
      <c r="G171" s="19" t="s">
        <v>69</v>
      </c>
    </row>
    <row r="172" customFormat="false" ht="15" hidden="false" customHeight="false" outlineLevel="0" collapsed="false">
      <c r="A172" s="15" t="n">
        <v>46113</v>
      </c>
      <c r="B172" s="16" t="s">
        <v>41</v>
      </c>
      <c r="C172" s="17" t="n">
        <v>393213</v>
      </c>
      <c r="D172" s="18" t="n">
        <v>5.3</v>
      </c>
      <c r="E172" s="17" t="n">
        <v>11878</v>
      </c>
      <c r="F172" s="18" t="n">
        <v>-3</v>
      </c>
      <c r="G172" s="19" t="s">
        <v>69</v>
      </c>
    </row>
    <row r="173" customFormat="false" ht="15" hidden="false" customHeight="false" outlineLevel="0" collapsed="false">
      <c r="A173" s="15" t="n">
        <v>46143</v>
      </c>
      <c r="B173" s="16" t="s">
        <v>38</v>
      </c>
      <c r="C173" s="17" t="n">
        <v>21038</v>
      </c>
      <c r="D173" s="18" t="n">
        <v>22.4</v>
      </c>
      <c r="E173" s="17" t="n">
        <v>463</v>
      </c>
      <c r="F173" s="18" t="n">
        <v>5.1</v>
      </c>
      <c r="G173" s="19" t="s">
        <v>70</v>
      </c>
    </row>
    <row r="174" customFormat="false" ht="15" hidden="false" customHeight="false" outlineLevel="0" collapsed="false">
      <c r="A174" s="15" t="n">
        <v>46143</v>
      </c>
      <c r="B174" s="16" t="s">
        <v>40</v>
      </c>
      <c r="C174" s="17" t="n">
        <v>317076</v>
      </c>
      <c r="D174" s="18" t="n">
        <v>6.4</v>
      </c>
      <c r="E174" s="17" t="n">
        <v>10382</v>
      </c>
      <c r="F174" s="18" t="n">
        <v>-5.2</v>
      </c>
      <c r="G174" s="19" t="s">
        <v>70</v>
      </c>
    </row>
    <row r="175" customFormat="false" ht="15" hidden="false" customHeight="false" outlineLevel="0" collapsed="false">
      <c r="A175" s="15" t="n">
        <v>46143</v>
      </c>
      <c r="B175" s="16" t="s">
        <v>42</v>
      </c>
      <c r="C175" s="17" t="n">
        <v>110774</v>
      </c>
      <c r="D175" s="18" t="n">
        <v>-24.9</v>
      </c>
      <c r="E175" s="17" t="n">
        <v>4722</v>
      </c>
      <c r="F175" s="18" t="n">
        <v>-23.7</v>
      </c>
      <c r="G175" s="19" t="s">
        <v>70</v>
      </c>
    </row>
    <row r="176" customFormat="false" ht="15" hidden="false" customHeight="false" outlineLevel="0" collapsed="false">
      <c r="A176" s="15" t="n">
        <v>46143</v>
      </c>
      <c r="B176" s="16" t="s">
        <v>43</v>
      </c>
      <c r="C176" s="17" t="n">
        <v>11138</v>
      </c>
      <c r="D176" s="18" t="n">
        <v>68.3</v>
      </c>
      <c r="E176" s="17" t="n">
        <v>355</v>
      </c>
      <c r="F176" s="18" t="n">
        <v>82.7</v>
      </c>
      <c r="G176" s="19" t="s">
        <v>70</v>
      </c>
    </row>
    <row r="177" customFormat="false" ht="15" hidden="false" customHeight="false" outlineLevel="0" collapsed="false">
      <c r="A177" s="15" t="n">
        <v>46143</v>
      </c>
      <c r="B177" s="16" t="s">
        <v>44</v>
      </c>
      <c r="C177" s="17" t="n">
        <v>70549</v>
      </c>
      <c r="D177" s="18" t="n">
        <v>53</v>
      </c>
      <c r="E177" s="17" t="n">
        <v>1793</v>
      </c>
      <c r="F177" s="18" t="n">
        <v>23</v>
      </c>
      <c r="G177" s="19" t="s">
        <v>70</v>
      </c>
    </row>
    <row r="178" customFormat="false" ht="15" hidden="false" customHeight="false" outlineLevel="0" collapsed="false">
      <c r="A178" s="15" t="n">
        <v>46143</v>
      </c>
      <c r="B178" s="16" t="s">
        <v>45</v>
      </c>
      <c r="C178" s="17" t="n">
        <v>36840</v>
      </c>
      <c r="D178" s="18" t="n">
        <v>41.1</v>
      </c>
      <c r="E178" s="17" t="n">
        <v>919</v>
      </c>
      <c r="F178" s="18" t="n">
        <v>60.1</v>
      </c>
      <c r="G178" s="19" t="s">
        <v>70</v>
      </c>
    </row>
    <row r="179" customFormat="false" ht="15" hidden="false" customHeight="false" outlineLevel="0" collapsed="false">
      <c r="A179" s="15" t="n">
        <v>46143</v>
      </c>
      <c r="B179" s="16" t="s">
        <v>41</v>
      </c>
      <c r="C179" s="17" t="n">
        <v>365786</v>
      </c>
      <c r="D179" s="18" t="n">
        <v>10.2</v>
      </c>
      <c r="E179" s="17" t="n">
        <v>11677</v>
      </c>
      <c r="F179" s="18" t="n">
        <v>-0.5</v>
      </c>
      <c r="G179" s="19" t="s">
        <v>70</v>
      </c>
    </row>
    <row r="180" customFormat="false" ht="15" hidden="false" customHeight="false" outlineLevel="0" collapsed="false">
      <c r="A180" s="15" t="n">
        <v>46174</v>
      </c>
      <c r="B180" s="16" t="s">
        <v>38</v>
      </c>
      <c r="C180" s="17" t="n">
        <v>26162</v>
      </c>
      <c r="D180" s="18" t="n">
        <v>62</v>
      </c>
      <c r="E180" s="17" t="n">
        <v>600</v>
      </c>
      <c r="F180" s="18" t="n">
        <v>66.3</v>
      </c>
      <c r="G180" s="19" t="s">
        <v>71</v>
      </c>
    </row>
    <row r="181" customFormat="false" ht="15" hidden="false" customHeight="false" outlineLevel="0" collapsed="false">
      <c r="A181" s="15" t="n">
        <v>46174</v>
      </c>
      <c r="B181" s="16" t="s">
        <v>40</v>
      </c>
      <c r="C181" s="17" t="n">
        <v>403430</v>
      </c>
      <c r="D181" s="18" t="n">
        <v>16.5</v>
      </c>
      <c r="E181" s="17" t="n">
        <v>12564</v>
      </c>
      <c r="F181" s="18" t="n">
        <v>13.5</v>
      </c>
      <c r="G181" s="19" t="s">
        <v>71</v>
      </c>
    </row>
    <row r="182" customFormat="false" ht="15" hidden="false" customHeight="false" outlineLevel="0" collapsed="false">
      <c r="A182" s="15" t="n">
        <v>46174</v>
      </c>
      <c r="B182" s="16" t="s">
        <v>42</v>
      </c>
      <c r="C182" s="17" t="n">
        <v>157063</v>
      </c>
      <c r="D182" s="18" t="n">
        <v>-10.2</v>
      </c>
      <c r="E182" s="17" t="n">
        <v>6162</v>
      </c>
      <c r="F182" s="18" t="n">
        <v>-0.4</v>
      </c>
      <c r="G182" s="19" t="s">
        <v>71</v>
      </c>
    </row>
    <row r="183" customFormat="false" ht="15" hidden="false" customHeight="false" outlineLevel="0" collapsed="false">
      <c r="A183" s="15" t="n">
        <v>46174</v>
      </c>
      <c r="B183" s="16" t="s">
        <v>43</v>
      </c>
      <c r="C183" s="17" t="n">
        <v>12788</v>
      </c>
      <c r="D183" s="18" t="n">
        <v>192</v>
      </c>
      <c r="E183" s="17" t="n">
        <v>371</v>
      </c>
      <c r="F183" s="18" t="n">
        <v>170.1</v>
      </c>
      <c r="G183" s="19" t="s">
        <v>71</v>
      </c>
    </row>
    <row r="184" customFormat="false" ht="15" hidden="false" customHeight="false" outlineLevel="0" collapsed="false">
      <c r="A184" s="15" t="n">
        <v>46174</v>
      </c>
      <c r="B184" s="16" t="s">
        <v>44</v>
      </c>
      <c r="C184" s="17" t="n">
        <v>86249</v>
      </c>
      <c r="D184" s="18" t="n">
        <v>36.1</v>
      </c>
      <c r="E184" s="17" t="n">
        <v>1994</v>
      </c>
      <c r="F184" s="18" t="n">
        <v>9</v>
      </c>
      <c r="G184" s="19" t="s">
        <v>71</v>
      </c>
    </row>
    <row r="185" customFormat="false" ht="15" hidden="false" customHeight="false" outlineLevel="0" collapsed="false">
      <c r="A185" s="15" t="n">
        <v>46174</v>
      </c>
      <c r="B185" s="16" t="s">
        <v>45</v>
      </c>
      <c r="C185" s="17" t="n">
        <v>40706</v>
      </c>
      <c r="D185" s="18" t="n">
        <v>14.3</v>
      </c>
      <c r="E185" s="17" t="n">
        <v>856</v>
      </c>
      <c r="F185" s="18" t="n">
        <v>31.6</v>
      </c>
      <c r="G185" s="19" t="s">
        <v>71</v>
      </c>
    </row>
    <row r="186" customFormat="false" ht="15" hidden="false" customHeight="false" outlineLevel="0" collapsed="false">
      <c r="A186" s="15" t="n">
        <v>46174</v>
      </c>
      <c r="B186" s="16" t="s">
        <v>41</v>
      </c>
      <c r="C186" s="17" t="n">
        <v>460142</v>
      </c>
      <c r="D186" s="18" t="n">
        <v>18.7</v>
      </c>
      <c r="E186" s="17" t="n">
        <v>13835</v>
      </c>
      <c r="F186" s="18" t="n">
        <v>16.3</v>
      </c>
      <c r="G186" s="19" t="s">
        <v>71</v>
      </c>
    </row>
    <row r="187" customFormat="false" ht="15" hidden="false" customHeight="false" outlineLevel="0" collapsed="false">
      <c r="A187" s="15" t="n">
        <v>46204</v>
      </c>
      <c r="B187" s="16" t="s">
        <v>38</v>
      </c>
      <c r="C187" s="17" t="n">
        <v>35745</v>
      </c>
      <c r="D187" s="18" t="n">
        <v>33.4</v>
      </c>
      <c r="E187" s="17" t="n">
        <v>684</v>
      </c>
      <c r="F187" s="18" t="n">
        <v>30.8</v>
      </c>
      <c r="G187" s="19" t="s">
        <v>72</v>
      </c>
    </row>
    <row r="188" customFormat="false" ht="15" hidden="false" customHeight="false" outlineLevel="0" collapsed="false">
      <c r="A188" s="15" t="n">
        <v>46204</v>
      </c>
      <c r="B188" s="16" t="s">
        <v>40</v>
      </c>
      <c r="C188" s="17" t="n">
        <v>436197</v>
      </c>
      <c r="D188" s="18" t="n">
        <v>39.2</v>
      </c>
      <c r="E188" s="17" t="n">
        <v>14164</v>
      </c>
      <c r="F188" s="18" t="n">
        <v>36.2</v>
      </c>
      <c r="G188" s="19" t="s">
        <v>72</v>
      </c>
    </row>
    <row r="189" customFormat="false" ht="15" hidden="false" customHeight="false" outlineLevel="0" collapsed="false">
      <c r="A189" s="15" t="n">
        <v>46204</v>
      </c>
      <c r="B189" s="16" t="s">
        <v>42</v>
      </c>
      <c r="C189" s="17" t="n">
        <v>207346</v>
      </c>
      <c r="D189" s="18" t="n">
        <v>32.6</v>
      </c>
      <c r="E189" s="17" t="n">
        <v>8268</v>
      </c>
      <c r="F189" s="18" t="n">
        <v>46.7</v>
      </c>
      <c r="G189" s="19" t="s">
        <v>72</v>
      </c>
    </row>
    <row r="190" customFormat="false" ht="15" hidden="false" customHeight="false" outlineLevel="0" collapsed="false">
      <c r="A190" s="15" t="n">
        <v>46204</v>
      </c>
      <c r="B190" s="16" t="s">
        <v>43</v>
      </c>
      <c r="C190" s="17" t="n">
        <v>16274</v>
      </c>
      <c r="D190" s="18" t="n">
        <v>175.6</v>
      </c>
      <c r="E190" s="17" t="n">
        <v>448</v>
      </c>
      <c r="F190" s="18" t="n">
        <v>49.1</v>
      </c>
      <c r="G190" s="19" t="s">
        <v>72</v>
      </c>
    </row>
    <row r="191" customFormat="false" ht="15" hidden="false" customHeight="false" outlineLevel="0" collapsed="false">
      <c r="A191" s="15" t="n">
        <v>46204</v>
      </c>
      <c r="B191" s="16" t="s">
        <v>44</v>
      </c>
      <c r="C191" s="17" t="n">
        <v>74913</v>
      </c>
      <c r="D191" s="18" t="n">
        <v>76.9</v>
      </c>
      <c r="E191" s="17" t="n">
        <v>1805</v>
      </c>
      <c r="F191" s="18" t="n">
        <v>26</v>
      </c>
      <c r="G191" s="19" t="s">
        <v>72</v>
      </c>
    </row>
    <row r="192" customFormat="false" ht="15" hidden="false" customHeight="false" outlineLevel="0" collapsed="false">
      <c r="A192" s="15" t="n">
        <v>46204</v>
      </c>
      <c r="B192" s="16" t="s">
        <v>45</v>
      </c>
      <c r="C192" s="17" t="n">
        <v>40419</v>
      </c>
      <c r="D192" s="18" t="n">
        <v>33.8</v>
      </c>
      <c r="E192" s="17" t="n">
        <v>943</v>
      </c>
      <c r="F192" s="18" t="n">
        <v>38.5</v>
      </c>
      <c r="G192" s="19" t="s">
        <v>72</v>
      </c>
    </row>
    <row r="193" customFormat="false" ht="15" hidden="false" customHeight="false" outlineLevel="0" collapsed="false">
      <c r="A193" s="15" t="n">
        <v>46204</v>
      </c>
      <c r="B193" s="16" t="s">
        <v>41</v>
      </c>
      <c r="C193" s="17" t="n">
        <v>494437</v>
      </c>
      <c r="D193" s="18" t="n">
        <v>40.9</v>
      </c>
      <c r="E193" s="17" t="n">
        <v>15586</v>
      </c>
      <c r="F193" s="18" t="n">
        <v>36.4</v>
      </c>
      <c r="G193" s="19" t="s">
        <v>72</v>
      </c>
    </row>
    <row r="194" customFormat="false" ht="15" hidden="false" customHeight="false" outlineLevel="0" collapsed="false">
      <c r="A194" s="15" t="n">
        <v>46235</v>
      </c>
      <c r="B194" s="16" t="s">
        <v>38</v>
      </c>
      <c r="C194" s="17" t="n">
        <v>35647</v>
      </c>
      <c r="D194" s="18" t="n">
        <v>80.1</v>
      </c>
      <c r="E194" s="17" t="n">
        <v>840</v>
      </c>
      <c r="F194" s="18" t="n">
        <v>65.7</v>
      </c>
      <c r="G194" s="19" t="s">
        <v>73</v>
      </c>
    </row>
    <row r="195" customFormat="false" ht="15" hidden="false" customHeight="false" outlineLevel="0" collapsed="false">
      <c r="A195" s="15" t="n">
        <v>46235</v>
      </c>
      <c r="B195" s="16" t="s">
        <v>40</v>
      </c>
      <c r="C195" s="17" t="n">
        <v>424108</v>
      </c>
      <c r="D195" s="18" t="n">
        <v>32.4</v>
      </c>
      <c r="E195" s="17" t="n">
        <v>13961</v>
      </c>
      <c r="F195" s="18" t="n">
        <v>37.8</v>
      </c>
      <c r="G195" s="19" t="s">
        <v>73</v>
      </c>
    </row>
    <row r="196" customFormat="false" ht="15" hidden="false" customHeight="false" outlineLevel="0" collapsed="false">
      <c r="A196" s="15" t="n">
        <v>46235</v>
      </c>
      <c r="B196" s="16" t="s">
        <v>42</v>
      </c>
      <c r="C196" s="17" t="n">
        <v>194791</v>
      </c>
      <c r="D196" s="18" t="n">
        <v>16.3</v>
      </c>
      <c r="E196" s="17" t="n">
        <v>7755</v>
      </c>
      <c r="F196" s="18" t="n">
        <v>30.8</v>
      </c>
      <c r="G196" s="19" t="s">
        <v>73</v>
      </c>
    </row>
    <row r="197" customFormat="false" ht="15" hidden="false" customHeight="false" outlineLevel="0" collapsed="false">
      <c r="A197" s="15" t="n">
        <v>46235</v>
      </c>
      <c r="B197" s="16" t="s">
        <v>43</v>
      </c>
      <c r="C197" s="17" t="n">
        <v>13550</v>
      </c>
      <c r="D197" s="18" t="n">
        <v>144.7</v>
      </c>
      <c r="E197" s="17" t="n">
        <v>350</v>
      </c>
      <c r="F197" s="18" t="n">
        <v>105.8</v>
      </c>
      <c r="G197" s="19" t="s">
        <v>73</v>
      </c>
    </row>
    <row r="198" customFormat="false" ht="15" hidden="false" customHeight="false" outlineLevel="0" collapsed="false">
      <c r="A198" s="15" t="n">
        <v>46235</v>
      </c>
      <c r="B198" s="16" t="s">
        <v>44</v>
      </c>
      <c r="C198" s="17" t="n">
        <v>85051</v>
      </c>
      <c r="D198" s="18" t="n">
        <v>70.1</v>
      </c>
      <c r="E198" s="17" t="n">
        <v>2185</v>
      </c>
      <c r="F198" s="18" t="n">
        <v>103.6</v>
      </c>
      <c r="G198" s="19" t="s">
        <v>73</v>
      </c>
    </row>
    <row r="199" customFormat="false" ht="15" hidden="false" customHeight="false" outlineLevel="0" collapsed="false">
      <c r="A199" s="15" t="n">
        <v>46235</v>
      </c>
      <c r="B199" s="16" t="s">
        <v>45</v>
      </c>
      <c r="C199" s="17" t="n">
        <v>48494</v>
      </c>
      <c r="D199" s="18" t="n">
        <v>112.5</v>
      </c>
      <c r="E199" s="17" t="n">
        <v>1207</v>
      </c>
      <c r="F199" s="18" t="n">
        <v>123.6</v>
      </c>
      <c r="G199" s="19" t="s">
        <v>73</v>
      </c>
    </row>
    <row r="200" customFormat="false" ht="15" hidden="false" customHeight="false" outlineLevel="0" collapsed="false">
      <c r="A200" s="15" t="n">
        <v>46235</v>
      </c>
      <c r="B200" s="16" t="s">
        <v>41</v>
      </c>
      <c r="C200" s="17" t="n">
        <v>489764</v>
      </c>
      <c r="D200" s="18" t="n">
        <v>40.1</v>
      </c>
      <c r="E200" s="17" t="n">
        <v>15572</v>
      </c>
      <c r="F200" s="18" t="n">
        <v>43.1</v>
      </c>
      <c r="G200" s="19"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9" min="1" style="0" width="10"/>
    <col collapsed="false" customWidth="true" hidden="false" outlineLevel="0" max="10" min="10" style="0" width="14"/>
    <col collapsed="false" customWidth="true" hidden="false" outlineLevel="0" max="11" min="11" style="0" width="30"/>
  </cols>
  <sheetData>
    <row r="1" customFormat="false" ht="15" hidden="false" customHeight="false" outlineLevel="0" collapsed="false">
      <c r="A1" s="13" t="s">
        <v>74</v>
      </c>
    </row>
    <row r="2" customFormat="false" ht="15" hidden="false" customHeight="false" outlineLevel="0" collapsed="false">
      <c r="A2" s="2" t="s">
        <v>75</v>
      </c>
    </row>
    <row r="3" customFormat="false" ht="15" hidden="false" customHeight="false" outlineLevel="0" collapsed="false">
      <c r="B3" s="19" t="s">
        <v>41</v>
      </c>
      <c r="C3" s="19" t="s">
        <v>40</v>
      </c>
      <c r="D3" s="19" t="s">
        <v>42</v>
      </c>
      <c r="E3" s="19" t="s">
        <v>44</v>
      </c>
      <c r="F3" s="19" t="s">
        <v>45</v>
      </c>
      <c r="G3" s="19" t="s">
        <v>43</v>
      </c>
      <c r="H3" s="19" t="s">
        <v>38</v>
      </c>
    </row>
    <row r="4" customFormat="false" ht="29.85" hidden="false" customHeight="false" outlineLevel="0" collapsed="false">
      <c r="A4" s="3" t="s">
        <v>30</v>
      </c>
      <c r="B4" s="3" t="s">
        <v>76</v>
      </c>
      <c r="C4" s="3" t="s">
        <v>77</v>
      </c>
      <c r="D4" s="3" t="s">
        <v>78</v>
      </c>
      <c r="E4" s="3" t="s">
        <v>79</v>
      </c>
      <c r="F4" s="3" t="s">
        <v>80</v>
      </c>
      <c r="G4" s="9" t="s">
        <v>43</v>
      </c>
      <c r="H4" s="9" t="s">
        <v>38</v>
      </c>
      <c r="I4" s="3" t="s">
        <v>81</v>
      </c>
      <c r="J4" s="3" t="s">
        <v>82</v>
      </c>
      <c r="K4" s="3" t="s">
        <v>83</v>
      </c>
    </row>
    <row r="5" customFormat="false" ht="15" hidden="false" customHeight="false" outlineLevel="0" collapsed="false">
      <c r="A5" s="15" t="n">
        <v>45017</v>
      </c>
      <c r="B5" s="20" t="n">
        <f aca="false">IF(COUNTIFS(速報_原データ!$A$5:$A$200,$A5,速報_原データ!$B$5:$B$200,B$3)&gt;0,SUMIFS(速報_原データ!$C$5:$C$200,速報_原データ!$A$5:$A$200,$A5,速報_原データ!$B$5:$B$200,B$3)/100,IF(COUNTIFS(速報_原データ!$A$5:$A$200,EDATE($A5,12),速報_原データ!$B$5:$B$200,B$3)&gt;0,SUMIFS(速報_原データ!$C$5:$C$200,速報_原データ!$A$5:$A$200,EDATE($A5,12),速報_原データ!$B$5:$B$200,B$3)/100/(1+SUMIFS(速報_原データ!$D$5:$D$200,速報_原データ!$A$5:$A$200,EDATE($A5,12),速報_原データ!$B$5:$B$200,B$3)/100),IF(COUNTIFS(速報_原データ!$I$6:$I$9,EDATE($A5,12),速報_原データ!$J$6:$J$9,B$3)&gt;0,B17/(1+SUMIFS(速報_原データ!$K$6:$K$9,速報_原データ!$I$6:$I$9,EDATE($A5,12),速報_原データ!$J$6:$J$9,B$3)/100),AVERAGE(B4,B6))))</f>
        <v>2956.61466458658</v>
      </c>
      <c r="C5" s="20" t="n">
        <f aca="false">IF(COUNTIFS(速報_原データ!$A$5:$A$200,$A5,速報_原データ!$B$5:$B$200,C$3)&gt;0,SUMIFS(速報_原データ!$C$5:$C$200,速報_原データ!$A$5:$A$200,$A5,速報_原データ!$B$5:$B$200,C$3)/100,IF(COUNTIFS(速報_原データ!$A$5:$A$200,EDATE($A5,12),速報_原データ!$B$5:$B$200,C$3)&gt;0,SUMIFS(速報_原データ!$C$5:$C$200,速報_原データ!$A$5:$A$200,EDATE($A5,12),速報_原データ!$B$5:$B$200,C$3)/100/(1+SUMIFS(速報_原データ!$D$5:$D$200,速報_原データ!$A$5:$A$200,EDATE($A5,12),速報_原データ!$B$5:$B$200,C$3)/100),IF(COUNTIFS(速報_原データ!$I$6:$I$9,EDATE($A5,12),速報_原データ!$J$6:$J$9,C$3)&gt;0,C17/(1+SUMIFS(速報_原データ!$K$6:$K$9,速報_原データ!$I$6:$I$9,EDATE($A5,12),速報_原データ!$J$6:$J$9,C$3)/100),AVERAGE(C4,C6))))</f>
        <v>2217.88567493113</v>
      </c>
      <c r="D5" s="20" t="n">
        <f aca="false">IF(COUNTIFS(速報_原データ!$A$5:$A$200,$A5,速報_原データ!$B$5:$B$200,D$3)&gt;0,SUMIFS(速報_原データ!$C$5:$C$200,速報_原データ!$A$5:$A$200,$A5,速報_原データ!$B$5:$B$200,D$3)/100,IF(COUNTIFS(速報_原データ!$A$5:$A$200,EDATE($A5,12),速報_原データ!$B$5:$B$200,D$3)&gt;0,SUMIFS(速報_原データ!$C$5:$C$200,速報_原データ!$A$5:$A$200,EDATE($A5,12),速報_原データ!$B$5:$B$200,D$3)/100/(1+SUMIFS(速報_原データ!$D$5:$D$200,速報_原データ!$A$5:$A$200,EDATE($A5,12),速報_原データ!$B$5:$B$200,D$3)/100),IF(COUNTIFS(速報_原データ!$I$6:$I$9,EDATE($A5,12),速報_原データ!$J$6:$J$9,D$3)&gt;0,D17/(1+SUMIFS(速報_原データ!$K$6:$K$9,速報_原データ!$I$6:$I$9,EDATE($A5,12),速報_原データ!$J$6:$J$9,D$3)/100),AVERAGE(D4,D6))))</f>
        <v>966.560900716479</v>
      </c>
      <c r="E5" s="20" t="n">
        <f aca="false">IF(COUNTIFS(速報_原データ!$A$5:$A$200,$A5,速報_原データ!$B$5:$B$200,E$3)&gt;0,SUMIFS(速報_原データ!$C$5:$C$200,速報_原データ!$A$5:$A$200,$A5,速報_原データ!$B$5:$B$200,E$3)/100,IF(COUNTIFS(速報_原データ!$A$5:$A$200,EDATE($A5,12),速報_原データ!$B$5:$B$200,E$3)&gt;0,SUMIFS(速報_原データ!$C$5:$C$200,速報_原データ!$A$5:$A$200,EDATE($A5,12),速報_原データ!$B$5:$B$200,E$3)/100/(1+SUMIFS(速報_原データ!$D$5:$D$200,速報_原データ!$A$5:$A$200,EDATE($A5,12),速報_原データ!$B$5:$B$200,E$3)/100),IF(COUNTIFS(速報_原データ!$I$6:$I$9,EDATE($A5,12),速報_原データ!$J$6:$J$9,E$3)&gt;0,E17/(1+SUMIFS(速報_原データ!$K$6:$K$9,速報_原データ!$I$6:$I$9,EDATE($A5,12),速報_原データ!$J$6:$J$9,E$3)/100),AVERAGE(E4,E6))))</f>
        <v>452.630522088353</v>
      </c>
      <c r="F5" s="20" t="n">
        <f aca="false">IF(COUNTIFS(速報_原データ!$A$5:$A$200,$A5,速報_原データ!$B$5:$B$200,F$3)&gt;0,SUMIFS(速報_原データ!$C$5:$C$200,速報_原データ!$A$5:$A$200,$A5,速報_原データ!$B$5:$B$200,F$3)/100,IF(COUNTIFS(速報_原データ!$A$5:$A$200,EDATE($A5,12),速報_原データ!$B$5:$B$200,F$3)&gt;0,SUMIFS(速報_原データ!$C$5:$C$200,速報_原データ!$A$5:$A$200,EDATE($A5,12),速報_原データ!$B$5:$B$200,F$3)/100/(1+SUMIFS(速報_原データ!$D$5:$D$200,速報_原データ!$A$5:$A$200,EDATE($A5,12),速報_原データ!$B$5:$B$200,F$3)/100),IF(COUNTIFS(速報_原データ!$I$6:$I$9,EDATE($A5,12),速報_原データ!$J$6:$J$9,F$3)&gt;0,F17/(1+SUMIFS(速報_原データ!$K$6:$K$9,速報_原データ!$I$6:$I$9,EDATE($A5,12),速報_原データ!$J$6:$J$9,F$3)/100),AVERAGE(F4,F6))))</f>
        <v>511.804062126643</v>
      </c>
      <c r="G5" s="20" t="n">
        <f aca="false">IF(COUNTIFS(速報_原データ!$A$5:$A$200,$A5,速報_原データ!$B$5:$B$200,G$3)&gt;0,SUMIFS(速報_原データ!$C$5:$C$200,速報_原データ!$A$5:$A$200,$A5,速報_原データ!$B$5:$B$200,G$3)/100,IF(COUNTIFS(速報_原データ!$A$5:$A$200,EDATE($A5,12),速報_原データ!$B$5:$B$200,G$3)&gt;0,SUMIFS(速報_原データ!$C$5:$C$200,速報_原データ!$A$5:$A$200,EDATE($A5,12),速報_原データ!$B$5:$B$200,G$3)/100/(1+SUMIFS(速報_原データ!$D$5:$D$200,速報_原データ!$A$5:$A$200,EDATE($A5,12),速報_原データ!$B$5:$B$200,G$3)/100),IF(COUNTIFS(速報_原データ!$I$6:$I$9,EDATE($A5,12),速報_原データ!$J$6:$J$9,G$3)&gt;0,G17/(1+SUMIFS(速報_原データ!$K$6:$K$9,速報_原データ!$I$6:$I$9,EDATE($A5,12),速報_原データ!$J$6:$J$9,G$3)/100),AVERAGE(G4,G6))))</f>
        <v>221.261261261261</v>
      </c>
      <c r="H5" s="20" t="n">
        <f aca="false">IF(COUNTIFS(速報_原データ!$A$5:$A$200,$A5,速報_原データ!$B$5:$B$200,H$3)&gt;0,SUMIFS(速報_原データ!$C$5:$C$200,速報_原データ!$A$5:$A$200,$A5,速報_原データ!$B$5:$B$200,H$3)/100,IF(COUNTIFS(速報_原データ!$A$5:$A$200,EDATE($A5,12),速報_原データ!$B$5:$B$200,H$3)&gt;0,SUMIFS(速報_原データ!$C$5:$C$200,速報_原データ!$A$5:$A$200,EDATE($A5,12),速報_原データ!$B$5:$B$200,H$3)/100/(1+SUMIFS(速報_原データ!$D$5:$D$200,速報_原データ!$A$5:$A$200,EDATE($A5,12),速報_原データ!$B$5:$B$200,H$3)/100),IF(COUNTIFS(速報_原データ!$I$6:$I$9,EDATE($A5,12),速報_原データ!$J$6:$J$9,H$3)&gt;0,H17/(1+SUMIFS(速報_原データ!$K$6:$K$9,速報_原データ!$I$6:$I$9,EDATE($A5,12),速報_原データ!$J$6:$J$9,H$3)/100),AVERAGE(H4,H6))))</f>
        <v>137.692307692308</v>
      </c>
      <c r="I5" s="20" t="n">
        <f aca="false">B5-D5</f>
        <v>1990.0537638701</v>
      </c>
      <c r="J5" s="20" t="n">
        <f aca="false">C5-D5-E5-H5</f>
        <v>661.001944433989</v>
      </c>
      <c r="K5" s="2" t="s">
        <v>84</v>
      </c>
    </row>
    <row r="6" customFormat="false" ht="15" hidden="false" customHeight="false" outlineLevel="0" collapsed="false">
      <c r="A6" s="15" t="n">
        <v>45047</v>
      </c>
      <c r="B6" s="20" t="n">
        <f aca="false">IF(COUNTIFS(速報_原データ!$A$5:$A$200,$A6,速報_原データ!$B$5:$B$200,B$3)&gt;0,SUMIFS(速報_原データ!$C$5:$C$200,速報_原データ!$A$5:$A$200,$A6,速報_原データ!$B$5:$B$200,B$3)/100,IF(COUNTIFS(速報_原データ!$A$5:$A$200,EDATE($A6,12),速報_原データ!$B$5:$B$200,B$3)&gt;0,SUMIFS(速報_原データ!$C$5:$C$200,速報_原データ!$A$5:$A$200,EDATE($A6,12),速報_原データ!$B$5:$B$200,B$3)/100/(1+SUMIFS(速報_原データ!$D$5:$D$200,速報_原データ!$A$5:$A$200,EDATE($A6,12),速報_原データ!$B$5:$B$200,B$3)/100),IF(COUNTIFS(速報_原データ!$I$6:$I$9,EDATE($A6,12),速報_原データ!$J$6:$J$9,B$3)&gt;0,B18/(1+SUMIFS(速報_原データ!$K$6:$K$9,速報_原データ!$I$6:$I$9,EDATE($A6,12),速報_原データ!$J$6:$J$9,B$3)/100),AVERAGE(B5,B7))))</f>
        <v>2348.22329783253</v>
      </c>
      <c r="C6" s="20" t="n">
        <f aca="false">IF(COUNTIFS(速報_原データ!$A$5:$A$200,$A6,速報_原データ!$B$5:$B$200,C$3)&gt;0,SUMIFS(速報_原データ!$C$5:$C$200,速報_原データ!$A$5:$A$200,$A6,速報_原データ!$B$5:$B$200,C$3)/100,IF(COUNTIFS(速報_原データ!$A$5:$A$200,EDATE($A6,12),速報_原データ!$B$5:$B$200,C$3)&gt;0,SUMIFS(速報_原データ!$C$5:$C$200,速報_原データ!$A$5:$A$200,EDATE($A6,12),速報_原データ!$B$5:$B$200,C$3)/100/(1+SUMIFS(速報_原データ!$D$5:$D$200,速報_原データ!$A$5:$A$200,EDATE($A6,12),速報_原データ!$B$5:$B$200,C$3)/100),IF(COUNTIFS(速報_原データ!$I$6:$I$9,EDATE($A6,12),速報_原データ!$J$6:$J$9,C$3)&gt;0,C18/(1+SUMIFS(速報_原データ!$K$6:$K$9,速報_原データ!$I$6:$I$9,EDATE($A6,12),速報_原データ!$J$6:$J$9,C$3)/100),AVERAGE(C5,C7))))</f>
        <v>1897.33557680804</v>
      </c>
      <c r="D6" s="20" t="n">
        <f aca="false">IF(COUNTIFS(速報_原データ!$A$5:$A$200,$A6,速報_原データ!$B$5:$B$200,D$3)&gt;0,SUMIFS(速報_原データ!$C$5:$C$200,速報_原データ!$A$5:$A$200,$A6,速報_原データ!$B$5:$B$200,D$3)/100,IF(COUNTIFS(速報_原データ!$A$5:$A$200,EDATE($A6,12),速報_原データ!$B$5:$B$200,D$3)&gt;0,SUMIFS(速報_原データ!$C$5:$C$200,速報_原データ!$A$5:$A$200,EDATE($A6,12),速報_原データ!$B$5:$B$200,D$3)/100/(1+SUMIFS(速報_原データ!$D$5:$D$200,速報_原データ!$A$5:$A$200,EDATE($A6,12),速報_原データ!$B$5:$B$200,D$3)/100),IF(COUNTIFS(速報_原データ!$I$6:$I$9,EDATE($A6,12),速報_原データ!$J$6:$J$9,D$3)&gt;0,D18/(1+SUMIFS(速報_原データ!$K$6:$K$9,速報_原データ!$I$6:$I$9,EDATE($A6,12),速報_原データ!$J$6:$J$9,D$3)/100),AVERAGE(D5,D7))))</f>
        <v>816.893003192571</v>
      </c>
      <c r="E6" s="20" t="n">
        <f aca="false">IF(COUNTIFS(速報_原データ!$A$5:$A$200,$A6,速報_原データ!$B$5:$B$200,E$3)&gt;0,SUMIFS(速報_原データ!$C$5:$C$200,速報_原データ!$A$5:$A$200,$A6,速報_原データ!$B$5:$B$200,E$3)/100,IF(COUNTIFS(速報_原データ!$A$5:$A$200,EDATE($A6,12),速報_原データ!$B$5:$B$200,E$3)&gt;0,SUMIFS(速報_原データ!$C$5:$C$200,速報_原データ!$A$5:$A$200,EDATE($A6,12),速報_原データ!$B$5:$B$200,E$3)/100/(1+SUMIFS(速報_原データ!$D$5:$D$200,速報_原データ!$A$5:$A$200,EDATE($A6,12),速報_原データ!$B$5:$B$200,E$3)/100),IF(COUNTIFS(速報_原データ!$I$6:$I$9,EDATE($A6,12),速報_原データ!$J$6:$J$9,E$3)&gt;0,E18/(1+SUMIFS(速報_原データ!$K$6:$K$9,速報_原データ!$I$6:$I$9,EDATE($A6,12),速報_原データ!$J$6:$J$9,E$3)/100),AVERAGE(E5,E7))))</f>
        <v>478.866376285812</v>
      </c>
      <c r="F6" s="20" t="n">
        <f aca="false">IF(COUNTIFS(速報_原データ!$A$5:$A$200,$A6,速報_原データ!$B$5:$B$200,F$3)&gt;0,SUMIFS(速報_原データ!$C$5:$C$200,速報_原データ!$A$5:$A$200,$A6,速報_原データ!$B$5:$B$200,F$3)/100,IF(COUNTIFS(速報_原データ!$A$5:$A$200,EDATE($A6,12),速報_原データ!$B$5:$B$200,F$3)&gt;0,SUMIFS(速報_原データ!$C$5:$C$200,速報_原データ!$A$5:$A$200,EDATE($A6,12),速報_原データ!$B$5:$B$200,F$3)/100/(1+SUMIFS(速報_原データ!$D$5:$D$200,速報_原データ!$A$5:$A$200,EDATE($A6,12),速報_原データ!$B$5:$B$200,F$3)/100),IF(COUNTIFS(速報_原データ!$I$6:$I$9,EDATE($A6,12),速報_原データ!$J$6:$J$9,F$3)&gt;0,F18/(1+SUMIFS(速報_原データ!$K$6:$K$9,速報_原データ!$I$6:$I$9,EDATE($A6,12),速報_原データ!$J$6:$J$9,F$3)/100),AVERAGE(F5,F7))))</f>
        <v>165.801061594323</v>
      </c>
      <c r="G6" s="20" t="n">
        <f aca="false">IF(COUNTIFS(速報_原データ!$A$5:$A$200,$A6,速報_原データ!$B$5:$B$200,G$3)&gt;0,SUMIFS(速報_原データ!$C$5:$C$200,速報_原データ!$A$5:$A$200,$A6,速報_原データ!$B$5:$B$200,G$3)/100,IF(COUNTIFS(速報_原データ!$A$5:$A$200,EDATE($A6,12),速報_原データ!$B$5:$B$200,G$3)&gt;0,SUMIFS(速報_原データ!$C$5:$C$200,速報_原データ!$A$5:$A$200,EDATE($A6,12),速報_原データ!$B$5:$B$200,G$3)/100/(1+SUMIFS(速報_原データ!$D$5:$D$200,速報_原データ!$A$5:$A$200,EDATE($A6,12),速報_原データ!$B$5:$B$200,G$3)/100),IF(COUNTIFS(速報_原データ!$I$6:$I$9,EDATE($A6,12),速報_原データ!$J$6:$J$9,G$3)&gt;0,G18/(1+SUMIFS(速報_原データ!$K$6:$K$9,速報_原データ!$I$6:$I$9,EDATE($A6,12),速報_原データ!$J$6:$J$9,G$3)/100),AVERAGE(G5,G7))))</f>
        <v>212.18033823297</v>
      </c>
      <c r="H6" s="20" t="n">
        <f aca="false">IF(COUNTIFS(速報_原データ!$A$5:$A$200,$A6,速報_原データ!$B$5:$B$200,H$3)&gt;0,SUMIFS(速報_原データ!$C$5:$C$200,速報_原データ!$A$5:$A$200,$A6,速報_原データ!$B$5:$B$200,H$3)/100,IF(COUNTIFS(速報_原データ!$A$5:$A$200,EDATE($A6,12),速報_原データ!$B$5:$B$200,H$3)&gt;0,SUMIFS(速報_原データ!$C$5:$C$200,速報_原データ!$A$5:$A$200,EDATE($A6,12),速報_原データ!$B$5:$B$200,H$3)/100/(1+SUMIFS(速報_原データ!$D$5:$D$200,速報_原データ!$A$5:$A$200,EDATE($A6,12),速報_原データ!$B$5:$B$200,H$3)/100),IF(COUNTIFS(速報_原データ!$I$6:$I$9,EDATE($A6,12),速報_原データ!$J$6:$J$9,H$3)&gt;0,H18/(1+SUMIFS(速報_原データ!$K$6:$K$9,速報_原データ!$I$6:$I$9,EDATE($A6,12),速報_原データ!$J$6:$J$9,H$3)/100),AVERAGE(H5,H7))))</f>
        <v>139.830336622955</v>
      </c>
      <c r="I6" s="20" t="n">
        <f aca="false">B6-D6</f>
        <v>1531.33029463996</v>
      </c>
      <c r="J6" s="20" t="n">
        <f aca="false">C6-D6-E6-H6</f>
        <v>461.745860706699</v>
      </c>
      <c r="K6" s="19" t="s">
        <v>85</v>
      </c>
    </row>
    <row r="7" customFormat="false" ht="15" hidden="false" customHeight="false" outlineLevel="0" collapsed="false">
      <c r="A7" s="15" t="n">
        <v>45078</v>
      </c>
      <c r="B7" s="20" t="n">
        <f aca="false">IF(COUNTIFS(速報_原データ!$A$5:$A$200,$A7,速報_原データ!$B$5:$B$200,B$3)&gt;0,SUMIFS(速報_原データ!$C$5:$C$200,速報_原データ!$A$5:$A$200,$A7,速報_原データ!$B$5:$B$200,B$3)/100,IF(COUNTIFS(速報_原データ!$A$5:$A$200,EDATE($A7,12),速報_原データ!$B$5:$B$200,B$3)&gt;0,SUMIFS(速報_原データ!$C$5:$C$200,速報_原データ!$A$5:$A$200,EDATE($A7,12),速報_原データ!$B$5:$B$200,B$3)/100/(1+SUMIFS(速報_原データ!$D$5:$D$200,速報_原データ!$A$5:$A$200,EDATE($A7,12),速報_原データ!$B$5:$B$200,B$3)/100),IF(COUNTIFS(速報_原データ!$I$6:$I$9,EDATE($A7,12),速報_原データ!$J$6:$J$9,B$3)&gt;0,B19/(1+SUMIFS(速報_原データ!$K$6:$K$9,速報_原データ!$I$6:$I$9,EDATE($A7,12),速報_原データ!$J$6:$J$9,B$3)/100),AVERAGE(B6,B8))))</f>
        <v>2880.10152284264</v>
      </c>
      <c r="C7" s="20" t="n">
        <f aca="false">IF(COUNTIFS(速報_原データ!$A$5:$A$200,$A7,速報_原データ!$B$5:$B$200,C$3)&gt;0,SUMIFS(速報_原データ!$C$5:$C$200,速報_原データ!$A$5:$A$200,$A7,速報_原データ!$B$5:$B$200,C$3)/100,IF(COUNTIFS(速報_原データ!$A$5:$A$200,EDATE($A7,12),速報_原データ!$B$5:$B$200,C$3)&gt;0,SUMIFS(速報_原データ!$C$5:$C$200,速報_原データ!$A$5:$A$200,EDATE($A7,12),速報_原データ!$B$5:$B$200,C$3)/100/(1+SUMIFS(速報_原データ!$D$5:$D$200,速報_原データ!$A$5:$A$200,EDATE($A7,12),速報_原データ!$B$5:$B$200,C$3)/100),IF(COUNTIFS(速報_原データ!$I$6:$I$9,EDATE($A7,12),速報_原データ!$J$6:$J$9,C$3)&gt;0,C19/(1+SUMIFS(速報_原データ!$K$6:$K$9,速報_原データ!$I$6:$I$9,EDATE($A7,12),速報_原データ!$J$6:$J$9,C$3)/100),AVERAGE(C6,C8))))</f>
        <v>2366.76696990903</v>
      </c>
      <c r="D7" s="20" t="n">
        <f aca="false">IF(COUNTIFS(速報_原データ!$A$5:$A$200,$A7,速報_原データ!$B$5:$B$200,D$3)&gt;0,SUMIFS(速報_原データ!$C$5:$C$200,速報_原データ!$A$5:$A$200,$A7,速報_原データ!$B$5:$B$200,D$3)/100,IF(COUNTIFS(速報_原データ!$A$5:$A$200,EDATE($A7,12),速報_原データ!$B$5:$B$200,D$3)&gt;0,SUMIFS(速報_原データ!$C$5:$C$200,速報_原データ!$A$5:$A$200,EDATE($A7,12),速報_原データ!$B$5:$B$200,D$3)/100/(1+SUMIFS(速報_原データ!$D$5:$D$200,速報_原データ!$A$5:$A$200,EDATE($A7,12),速報_原データ!$B$5:$B$200,D$3)/100),IF(COUNTIFS(速報_原データ!$I$6:$I$9,EDATE($A7,12),速報_原データ!$J$6:$J$9,D$3)&gt;0,D19/(1+SUMIFS(速報_原データ!$K$6:$K$9,速報_原データ!$I$6:$I$9,EDATE($A7,12),速報_原データ!$J$6:$J$9,D$3)/100),AVERAGE(D6,D8))))</f>
        <v>1303.88625592417</v>
      </c>
      <c r="E7" s="20" t="n">
        <f aca="false">IF(COUNTIFS(速報_原データ!$A$5:$A$200,$A7,速報_原データ!$B$5:$B$200,E$3)&gt;0,SUMIFS(速報_原データ!$C$5:$C$200,速報_原データ!$A$5:$A$200,$A7,速報_原データ!$B$5:$B$200,E$3)/100,IF(COUNTIFS(速報_原データ!$A$5:$A$200,EDATE($A7,12),速報_原データ!$B$5:$B$200,E$3)&gt;0,SUMIFS(速報_原データ!$C$5:$C$200,速報_原データ!$A$5:$A$200,EDATE($A7,12),速報_原データ!$B$5:$B$200,E$3)/100/(1+SUMIFS(速報_原データ!$D$5:$D$200,速報_原データ!$A$5:$A$200,EDATE($A7,12),速報_原データ!$B$5:$B$200,E$3)/100),IF(COUNTIFS(速報_原データ!$I$6:$I$9,EDATE($A7,12),速報_原データ!$J$6:$J$9,E$3)&gt;0,E19/(1+SUMIFS(速報_原データ!$K$6:$K$9,速報_原データ!$I$6:$I$9,EDATE($A7,12),速報_原データ!$J$6:$J$9,E$3)/100),AVERAGE(E6,E8))))</f>
        <v>505.102230483271</v>
      </c>
      <c r="F7" s="20" t="n">
        <f aca="false">IF(COUNTIFS(速報_原データ!$A$5:$A$200,$A7,速報_原データ!$B$5:$B$200,F$3)&gt;0,SUMIFS(速報_原データ!$C$5:$C$200,速報_原データ!$A$5:$A$200,$A7,速報_原データ!$B$5:$B$200,F$3)/100,IF(COUNTIFS(速報_原データ!$A$5:$A$200,EDATE($A7,12),速報_原データ!$B$5:$B$200,F$3)&gt;0,SUMIFS(速報_原データ!$C$5:$C$200,速報_原データ!$A$5:$A$200,EDATE($A7,12),速報_原データ!$B$5:$B$200,F$3)/100/(1+SUMIFS(速報_原データ!$D$5:$D$200,速報_原データ!$A$5:$A$200,EDATE($A7,12),速報_原データ!$B$5:$B$200,F$3)/100),IF(COUNTIFS(速報_原データ!$I$6:$I$9,EDATE($A7,12),速報_原データ!$J$6:$J$9,F$3)&gt;0,F19/(1+SUMIFS(速報_原データ!$K$6:$K$9,速報_原データ!$I$6:$I$9,EDATE($A7,12),速報_原データ!$J$6:$J$9,F$3)/100),AVERAGE(F6,F8))))</f>
        <v>302.910353535354</v>
      </c>
      <c r="G7" s="20" t="n">
        <f aca="false">IF(COUNTIFS(速報_原データ!$A$5:$A$200,$A7,速報_原データ!$B$5:$B$200,G$3)&gt;0,SUMIFS(速報_原データ!$C$5:$C$200,速報_原データ!$A$5:$A$200,$A7,速報_原データ!$B$5:$B$200,G$3)/100,IF(COUNTIFS(速報_原データ!$A$5:$A$200,EDATE($A7,12),速報_原データ!$B$5:$B$200,G$3)&gt;0,SUMIFS(速報_原データ!$C$5:$C$200,速報_原データ!$A$5:$A$200,EDATE($A7,12),速報_原データ!$B$5:$B$200,G$3)/100/(1+SUMIFS(速報_原データ!$D$5:$D$200,速報_原データ!$A$5:$A$200,EDATE($A7,12),速報_原データ!$B$5:$B$200,G$3)/100),IF(COUNTIFS(速報_原データ!$I$6:$I$9,EDATE($A7,12),速報_原データ!$J$6:$J$9,G$3)&gt;0,G19/(1+SUMIFS(速報_原データ!$K$6:$K$9,速報_原データ!$I$6:$I$9,EDATE($A7,12),速報_原データ!$J$6:$J$9,G$3)/100),AVERAGE(G6,G8))))</f>
        <v>203.099415204678</v>
      </c>
      <c r="H7" s="20" t="n">
        <f aca="false">IF(COUNTIFS(速報_原データ!$A$5:$A$200,$A7,速報_原データ!$B$5:$B$200,H$3)&gt;0,SUMIFS(速報_原データ!$C$5:$C$200,速報_原データ!$A$5:$A$200,$A7,速報_原データ!$B$5:$B$200,H$3)/100,IF(COUNTIFS(速報_原データ!$A$5:$A$200,EDATE($A7,12),速報_原データ!$B$5:$B$200,H$3)&gt;0,SUMIFS(速報_原データ!$C$5:$C$200,速報_原データ!$A$5:$A$200,EDATE($A7,12),速報_原データ!$B$5:$B$200,H$3)/100/(1+SUMIFS(速報_原データ!$D$5:$D$200,速報_原データ!$A$5:$A$200,EDATE($A7,12),速報_原データ!$B$5:$B$200,H$3)/100),IF(COUNTIFS(速報_原データ!$I$6:$I$9,EDATE($A7,12),速報_原データ!$J$6:$J$9,H$3)&gt;0,H19/(1+SUMIFS(速報_原データ!$K$6:$K$9,速報_原データ!$I$6:$I$9,EDATE($A7,12),速報_原データ!$J$6:$J$9,H$3)/100),AVERAGE(H6,H8))))</f>
        <v>141.968365553603</v>
      </c>
      <c r="I7" s="20" t="n">
        <f aca="false">B7-D7</f>
        <v>1576.21526691847</v>
      </c>
      <c r="J7" s="20" t="n">
        <f aca="false">C7-D7-E7-H7</f>
        <v>415.810117947983</v>
      </c>
      <c r="K7" s="2" t="s">
        <v>84</v>
      </c>
    </row>
    <row r="8" customFormat="false" ht="15" hidden="false" customHeight="false" outlineLevel="0" collapsed="false">
      <c r="A8" s="15" t="n">
        <v>45108</v>
      </c>
      <c r="B8" s="20" t="n">
        <f aca="false">IF(COUNTIFS(速報_原データ!$A$5:$A$200,$A8,速報_原データ!$B$5:$B$200,B$3)&gt;0,SUMIFS(速報_原データ!$C$5:$C$200,速報_原データ!$A$5:$A$200,$A8,速報_原データ!$B$5:$B$200,B$3)/100,IF(COUNTIFS(速報_原データ!$A$5:$A$200,EDATE($A8,12),速報_原データ!$B$5:$B$200,B$3)&gt;0,SUMIFS(速報_原データ!$C$5:$C$200,速報_原データ!$A$5:$A$200,EDATE($A8,12),速報_原データ!$B$5:$B$200,B$3)/100/(1+SUMIFS(速報_原データ!$D$5:$D$200,速報_原データ!$A$5:$A$200,EDATE($A8,12),速報_原データ!$B$5:$B$200,B$3)/100),IF(COUNTIFS(速報_原データ!$I$6:$I$9,EDATE($A8,12),速報_原データ!$J$6:$J$9,B$3)&gt;0,B20/(1+SUMIFS(速報_原データ!$K$6:$K$9,速報_原データ!$I$6:$I$9,EDATE($A8,12),速報_原データ!$J$6:$J$9,B$3)/100),AVERAGE(B7,B9))))</f>
        <v>2883.7558685446</v>
      </c>
      <c r="C8" s="20" t="n">
        <f aca="false">IF(COUNTIFS(速報_原データ!$A$5:$A$200,$A8,速報_原データ!$B$5:$B$200,C$3)&gt;0,SUMIFS(速報_原データ!$C$5:$C$200,速報_原データ!$A$5:$A$200,$A8,速報_原データ!$B$5:$B$200,C$3)/100,IF(COUNTIFS(速報_原データ!$A$5:$A$200,EDATE($A8,12),速報_原データ!$B$5:$B$200,C$3)&gt;0,SUMIFS(速報_原データ!$C$5:$C$200,速報_原データ!$A$5:$A$200,EDATE($A8,12),速報_原データ!$B$5:$B$200,C$3)/100/(1+SUMIFS(速報_原データ!$D$5:$D$200,速報_原データ!$A$5:$A$200,EDATE($A8,12),速報_原データ!$B$5:$B$200,C$3)/100),IF(COUNTIFS(速報_原データ!$I$6:$I$9,EDATE($A8,12),速報_原データ!$J$6:$J$9,C$3)&gt;0,C20/(1+SUMIFS(速報_原データ!$K$6:$K$9,速報_原データ!$I$6:$I$9,EDATE($A8,12),速報_原データ!$J$6:$J$9,C$3)/100),AVERAGE(C7,C9))))</f>
        <v>2369.63046757164</v>
      </c>
      <c r="D8" s="20" t="n">
        <f aca="false">IF(COUNTIFS(速報_原データ!$A$5:$A$200,$A8,速報_原データ!$B$5:$B$200,D$3)&gt;0,SUMIFS(速報_原データ!$C$5:$C$200,速報_原データ!$A$5:$A$200,$A8,速報_原データ!$B$5:$B$200,D$3)/100,IF(COUNTIFS(速報_原データ!$A$5:$A$200,EDATE($A8,12),速報_原データ!$B$5:$B$200,D$3)&gt;0,SUMIFS(速報_原データ!$C$5:$C$200,速報_原データ!$A$5:$A$200,EDATE($A8,12),速報_原データ!$B$5:$B$200,D$3)/100/(1+SUMIFS(速報_原データ!$D$5:$D$200,速報_原データ!$A$5:$A$200,EDATE($A8,12),速報_原データ!$B$5:$B$200,D$3)/100),IF(COUNTIFS(速報_原データ!$I$6:$I$9,EDATE($A8,12),速報_原データ!$J$6:$J$9,D$3)&gt;0,D20/(1+SUMIFS(速報_原データ!$K$6:$K$9,速報_原データ!$I$6:$I$9,EDATE($A8,12),速報_原データ!$J$6:$J$9,D$3)/100),AVERAGE(D7,D9))))</f>
        <v>1405.30017152659</v>
      </c>
      <c r="E8" s="20" t="n">
        <f aca="false">IF(COUNTIFS(速報_原データ!$A$5:$A$200,$A8,速報_原データ!$B$5:$B$200,E$3)&gt;0,SUMIFS(速報_原データ!$C$5:$C$200,速報_原データ!$A$5:$A$200,$A8,速報_原データ!$B$5:$B$200,E$3)/100,IF(COUNTIFS(速報_原データ!$A$5:$A$200,EDATE($A8,12),速報_原データ!$B$5:$B$200,E$3)&gt;0,SUMIFS(速報_原データ!$C$5:$C$200,速報_原データ!$A$5:$A$200,EDATE($A8,12),速報_原データ!$B$5:$B$200,E$3)/100/(1+SUMIFS(速報_原データ!$D$5:$D$200,速報_原データ!$A$5:$A$200,EDATE($A8,12),速報_原データ!$B$5:$B$200,E$3)/100),IF(COUNTIFS(速報_原データ!$I$6:$I$9,EDATE($A8,12),速報_原データ!$J$6:$J$9,E$3)&gt;0,E20/(1+SUMIFS(速報_原データ!$K$6:$K$9,速報_原データ!$I$6:$I$9,EDATE($A8,12),速報_原データ!$J$6:$J$9,E$3)/100),AVERAGE(E7,E9))))</f>
        <v>440.559380378658</v>
      </c>
      <c r="F8" s="20" t="n">
        <f aca="false">IF(COUNTIFS(速報_原データ!$A$5:$A$200,$A8,速報_原データ!$B$5:$B$200,F$3)&gt;0,SUMIFS(速報_原データ!$C$5:$C$200,速報_原データ!$A$5:$A$200,$A8,速報_原データ!$B$5:$B$200,F$3)/100,IF(COUNTIFS(速報_原データ!$A$5:$A$200,EDATE($A8,12),速報_原データ!$B$5:$B$200,F$3)&gt;0,SUMIFS(速報_原データ!$C$5:$C$200,速報_原データ!$A$5:$A$200,EDATE($A8,12),速報_原データ!$B$5:$B$200,F$3)/100/(1+SUMIFS(速報_原データ!$D$5:$D$200,速報_原データ!$A$5:$A$200,EDATE($A8,12),速報_原データ!$B$5:$B$200,F$3)/100),IF(COUNTIFS(速報_原データ!$I$6:$I$9,EDATE($A8,12),速報_原データ!$J$6:$J$9,F$3)&gt;0,F20/(1+SUMIFS(速報_原データ!$K$6:$K$9,速報_原データ!$I$6:$I$9,EDATE($A8,12),速報_原データ!$J$6:$J$9,F$3)/100),AVERAGE(F7,F9))))</f>
        <v>336.11620795107</v>
      </c>
      <c r="G8" s="20" t="n">
        <f aca="false">IF(COUNTIFS(速報_原データ!$A$5:$A$200,$A8,速報_原データ!$B$5:$B$200,G$3)&gt;0,SUMIFS(速報_原データ!$C$5:$C$200,速報_原データ!$A$5:$A$200,$A8,速報_原データ!$B$5:$B$200,G$3)/100,IF(COUNTIFS(速報_原データ!$A$5:$A$200,EDATE($A8,12),速報_原データ!$B$5:$B$200,G$3)&gt;0,SUMIFS(速報_原データ!$C$5:$C$200,速報_原データ!$A$5:$A$200,EDATE($A8,12),速報_原データ!$B$5:$B$200,G$3)/100/(1+SUMIFS(速報_原データ!$D$5:$D$200,速報_原データ!$A$5:$A$200,EDATE($A8,12),速報_原データ!$B$5:$B$200,G$3)/100),IF(COUNTIFS(速報_原データ!$I$6:$I$9,EDATE($A8,12),速報_原データ!$J$6:$J$9,G$3)&gt;0,G20/(1+SUMIFS(速報_原データ!$K$6:$K$9,速報_原データ!$I$6:$I$9,EDATE($A8,12),速報_原データ!$J$6:$J$9,G$3)/100),AVERAGE(G7,G9))))</f>
        <v>172.554027504912</v>
      </c>
      <c r="H8" s="20" t="n">
        <f aca="false">IF(COUNTIFS(速報_原データ!$A$5:$A$200,$A8,速報_原データ!$B$5:$B$200,H$3)&gt;0,SUMIFS(速報_原データ!$C$5:$C$200,速報_原データ!$A$5:$A$200,$A8,速報_原データ!$B$5:$B$200,H$3)/100,IF(COUNTIFS(速報_原データ!$A$5:$A$200,EDATE($A8,12),速報_原データ!$B$5:$B$200,H$3)&gt;0,SUMIFS(速報_原データ!$C$5:$C$200,速報_原データ!$A$5:$A$200,EDATE($A8,12),速報_原データ!$B$5:$B$200,H$3)/100/(1+SUMIFS(速報_原データ!$D$5:$D$200,速報_原データ!$A$5:$A$200,EDATE($A8,12),速報_原データ!$B$5:$B$200,H$3)/100),IF(COUNTIFS(速報_原データ!$I$6:$I$9,EDATE($A8,12),速報_原データ!$J$6:$J$9,H$3)&gt;0,H20/(1+SUMIFS(速報_原データ!$K$6:$K$9,速報_原データ!$I$6:$I$9,EDATE($A8,12),速報_原データ!$J$6:$J$9,H$3)/100),AVERAGE(H7,H9))))</f>
        <v>145.982274741507</v>
      </c>
      <c r="I8" s="20" t="n">
        <f aca="false">B8-D8</f>
        <v>1478.45569701801</v>
      </c>
      <c r="J8" s="20" t="n">
        <f aca="false">C8-D8-E8-H8</f>
        <v>377.788640924893</v>
      </c>
      <c r="K8" s="2" t="s">
        <v>84</v>
      </c>
    </row>
    <row r="9" customFormat="false" ht="15" hidden="false" customHeight="false" outlineLevel="0" collapsed="false">
      <c r="A9" s="15" t="n">
        <v>45139</v>
      </c>
      <c r="B9" s="20" t="n">
        <f aca="false">IF(COUNTIFS(速報_原データ!$A$5:$A$200,$A9,速報_原データ!$B$5:$B$200,B$3)&gt;0,SUMIFS(速報_原データ!$C$5:$C$200,速報_原データ!$A$5:$A$200,$A9,速報_原データ!$B$5:$B$200,B$3)/100,IF(COUNTIFS(速報_原データ!$A$5:$A$200,EDATE($A9,12),速報_原データ!$B$5:$B$200,B$3)&gt;0,SUMIFS(速報_原データ!$C$5:$C$200,速報_原データ!$A$5:$A$200,EDATE($A9,12),速報_原データ!$B$5:$B$200,B$3)/100/(1+SUMIFS(速報_原データ!$D$5:$D$200,速報_原データ!$A$5:$A$200,EDATE($A9,12),速報_原データ!$B$5:$B$200,B$3)/100),IF(COUNTIFS(速報_原データ!$I$6:$I$9,EDATE($A9,12),速報_原データ!$J$6:$J$9,B$3)&gt;0,B21/(1+SUMIFS(速報_原データ!$K$6:$K$9,速報_原データ!$I$6:$I$9,EDATE($A9,12),速報_原データ!$J$6:$J$9,B$3)/100),AVERAGE(B8,B10))))</f>
        <v>2209.5618556701</v>
      </c>
      <c r="C9" s="20" t="n">
        <f aca="false">IF(COUNTIFS(速報_原データ!$A$5:$A$200,$A9,速報_原データ!$B$5:$B$200,C$3)&gt;0,SUMIFS(速報_原データ!$C$5:$C$200,速報_原データ!$A$5:$A$200,$A9,速報_原データ!$B$5:$B$200,C$3)/100,IF(COUNTIFS(速報_原データ!$A$5:$A$200,EDATE($A9,12),速報_原データ!$B$5:$B$200,C$3)&gt;0,SUMIFS(速報_原データ!$C$5:$C$200,速報_原データ!$A$5:$A$200,EDATE($A9,12),速報_原データ!$B$5:$B$200,C$3)/100/(1+SUMIFS(速報_原データ!$D$5:$D$200,速報_原データ!$A$5:$A$200,EDATE($A9,12),速報_原データ!$B$5:$B$200,C$3)/100),IF(COUNTIFS(速報_原データ!$I$6:$I$9,EDATE($A9,12),速報_原データ!$J$6:$J$9,C$3)&gt;0,C21/(1+SUMIFS(速報_原データ!$K$6:$K$9,速報_原データ!$I$6:$I$9,EDATE($A9,12),速報_原データ!$J$6:$J$9,C$3)/100),AVERAGE(C8,C10))))</f>
        <v>1788.13300793167</v>
      </c>
      <c r="D9" s="20" t="n">
        <f aca="false">IF(COUNTIFS(速報_原データ!$A$5:$A$200,$A9,速報_原データ!$B$5:$B$200,D$3)&gt;0,SUMIFS(速報_原データ!$C$5:$C$200,速報_原データ!$A$5:$A$200,$A9,速報_原データ!$B$5:$B$200,D$3)/100,IF(COUNTIFS(速報_原データ!$A$5:$A$200,EDATE($A9,12),速報_原データ!$B$5:$B$200,D$3)&gt;0,SUMIFS(速報_原データ!$C$5:$C$200,速報_原データ!$A$5:$A$200,EDATE($A9,12),速報_原データ!$B$5:$B$200,D$3)/100/(1+SUMIFS(速報_原データ!$D$5:$D$200,速報_原データ!$A$5:$A$200,EDATE($A9,12),速報_原データ!$B$5:$B$200,D$3)/100),IF(COUNTIFS(速報_原データ!$I$6:$I$9,EDATE($A9,12),速報_原データ!$J$6:$J$9,D$3)&gt;0,D21/(1+SUMIFS(速報_原データ!$K$6:$K$9,速報_原データ!$I$6:$I$9,EDATE($A9,12),速報_原データ!$J$6:$J$9,D$3)/100),AVERAGE(D8,D10))))</f>
        <v>1113.40965346535</v>
      </c>
      <c r="E9" s="20" t="n">
        <f aca="false">IF(COUNTIFS(速報_原データ!$A$5:$A$200,$A9,速報_原データ!$B$5:$B$200,E$3)&gt;0,SUMIFS(速報_原データ!$C$5:$C$200,速報_原データ!$A$5:$A$200,$A9,速報_原データ!$B$5:$B$200,E$3)/100,IF(COUNTIFS(速報_原データ!$A$5:$A$200,EDATE($A9,12),速報_原データ!$B$5:$B$200,E$3)&gt;0,SUMIFS(速報_原データ!$C$5:$C$200,速報_原データ!$A$5:$A$200,EDATE($A9,12),速報_原データ!$B$5:$B$200,E$3)/100/(1+SUMIFS(速報_原データ!$D$5:$D$200,速報_原データ!$A$5:$A$200,EDATE($A9,12),速報_原データ!$B$5:$B$200,E$3)/100),IF(COUNTIFS(速報_原データ!$I$6:$I$9,EDATE($A9,12),速報_原データ!$J$6:$J$9,E$3)&gt;0,E21/(1+SUMIFS(速報_原データ!$K$6:$K$9,速報_原データ!$I$6:$I$9,EDATE($A9,12),速報_原データ!$J$6:$J$9,E$3)/100),AVERAGE(E8,E10))))</f>
        <v>290.472491909385</v>
      </c>
      <c r="F9" s="20" t="n">
        <f aca="false">IF(COUNTIFS(速報_原データ!$A$5:$A$200,$A9,速報_原データ!$B$5:$B$200,F$3)&gt;0,SUMIFS(速報_原データ!$C$5:$C$200,速報_原データ!$A$5:$A$200,$A9,速報_原データ!$B$5:$B$200,F$3)/100,IF(COUNTIFS(速報_原データ!$A$5:$A$200,EDATE($A9,12),速報_原データ!$B$5:$B$200,F$3)&gt;0,SUMIFS(速報_原データ!$C$5:$C$200,速報_原データ!$A$5:$A$200,EDATE($A9,12),速報_原データ!$B$5:$B$200,F$3)/100/(1+SUMIFS(速報_原データ!$D$5:$D$200,速報_原データ!$A$5:$A$200,EDATE($A9,12),速報_原データ!$B$5:$B$200,F$3)/100),IF(COUNTIFS(速報_原データ!$I$6:$I$9,EDATE($A9,12),速報_原データ!$J$6:$J$9,F$3)&gt;0,F21/(1+SUMIFS(速報_原データ!$K$6:$K$9,速報_原データ!$I$6:$I$9,EDATE($A9,12),速報_原データ!$J$6:$J$9,F$3)/100),AVERAGE(F8,F10))))</f>
        <v>263.910891089109</v>
      </c>
      <c r="G9" s="20" t="n">
        <f aca="false">IF(COUNTIFS(速報_原データ!$A$5:$A$200,$A9,速報_原データ!$B$5:$B$200,G$3)&gt;0,SUMIFS(速報_原データ!$C$5:$C$200,速報_原データ!$A$5:$A$200,$A9,速報_原データ!$B$5:$B$200,G$3)/100,IF(COUNTIFS(速報_原データ!$A$5:$A$200,EDATE($A9,12),速報_原データ!$B$5:$B$200,G$3)&gt;0,SUMIFS(速報_原データ!$C$5:$C$200,速報_原データ!$A$5:$A$200,EDATE($A9,12),速報_原データ!$B$5:$B$200,G$3)/100/(1+SUMIFS(速報_原データ!$D$5:$D$200,速報_原データ!$A$5:$A$200,EDATE($A9,12),速報_原データ!$B$5:$B$200,G$3)/100),IF(COUNTIFS(速報_原データ!$I$6:$I$9,EDATE($A9,12),速報_原データ!$J$6:$J$9,G$3)&gt;0,G21/(1+SUMIFS(速報_原データ!$K$6:$K$9,速報_原データ!$I$6:$I$9,EDATE($A9,12),速報_原データ!$J$6:$J$9,G$3)/100),AVERAGE(G8,G10))))</f>
        <v>139.975903614458</v>
      </c>
      <c r="H9" s="20" t="n">
        <f aca="false">IF(COUNTIFS(速報_原データ!$A$5:$A$200,$A9,速報_原データ!$B$5:$B$200,H$3)&gt;0,SUMIFS(速報_原データ!$C$5:$C$200,速報_原データ!$A$5:$A$200,$A9,速報_原データ!$B$5:$B$200,H$3)/100,IF(COUNTIFS(速報_原データ!$A$5:$A$200,EDATE($A9,12),速報_原データ!$B$5:$B$200,H$3)&gt;0,SUMIFS(速報_原データ!$C$5:$C$200,速報_原データ!$A$5:$A$200,EDATE($A9,12),速報_原データ!$B$5:$B$200,H$3)/100/(1+SUMIFS(速報_原データ!$D$5:$D$200,速報_原データ!$A$5:$A$200,EDATE($A9,12),速報_原データ!$B$5:$B$200,H$3)/100),IF(COUNTIFS(速報_原データ!$I$6:$I$9,EDATE($A9,12),速報_原データ!$J$6:$J$9,H$3)&gt;0,H21/(1+SUMIFS(速報_原データ!$K$6:$K$9,速報_原データ!$I$6:$I$9,EDATE($A9,12),速報_原データ!$J$6:$J$9,H$3)/100),AVERAGE(H8,H10))))</f>
        <v>139.412157648631</v>
      </c>
      <c r="I9" s="20" t="n">
        <f aca="false">B9-D9</f>
        <v>1096.15220220476</v>
      </c>
      <c r="J9" s="20" t="n">
        <f aca="false">C9-D9-E9-H9</f>
        <v>244.838704908303</v>
      </c>
      <c r="K9" s="2" t="s">
        <v>84</v>
      </c>
    </row>
    <row r="10" customFormat="false" ht="15" hidden="false" customHeight="false" outlineLevel="0" collapsed="false">
      <c r="A10" s="15" t="n">
        <v>45170</v>
      </c>
      <c r="B10" s="20" t="n">
        <f aca="false">IF(COUNTIFS(速報_原データ!$A$5:$A$200,$A10,速報_原データ!$B$5:$B$200,B$3)&gt;0,SUMIFS(速報_原データ!$C$5:$C$200,速報_原データ!$A$5:$A$200,$A10,速報_原データ!$B$5:$B$200,B$3)/100,IF(COUNTIFS(速報_原データ!$A$5:$A$200,EDATE($A10,12),速報_原データ!$B$5:$B$200,B$3)&gt;0,SUMIFS(速報_原データ!$C$5:$C$200,速報_原データ!$A$5:$A$200,EDATE($A10,12),速報_原データ!$B$5:$B$200,B$3)/100/(1+SUMIFS(速報_原データ!$D$5:$D$200,速報_原データ!$A$5:$A$200,EDATE($A10,12),速報_原データ!$B$5:$B$200,B$3)/100),IF(COUNTIFS(速報_原データ!$I$6:$I$9,EDATE($A10,12),速報_原データ!$J$6:$J$9,B$3)&gt;0,B22/(1+SUMIFS(速報_原データ!$K$6:$K$9,速報_原データ!$I$6:$I$9,EDATE($A10,12),速報_原データ!$J$6:$J$9,B$3)/100),AVERAGE(B9,B11))))</f>
        <v>3143.5233570863</v>
      </c>
      <c r="C10" s="20" t="n">
        <f aca="false">IF(COUNTIFS(速報_原データ!$A$5:$A$200,$A10,速報_原データ!$B$5:$B$200,C$3)&gt;0,SUMIFS(速報_原データ!$C$5:$C$200,速報_原データ!$A$5:$A$200,$A10,速報_原データ!$B$5:$B$200,C$3)/100,IF(COUNTIFS(速報_原データ!$A$5:$A$200,EDATE($A10,12),速報_原データ!$B$5:$B$200,C$3)&gt;0,SUMIFS(速報_原データ!$C$5:$C$200,速報_原データ!$A$5:$A$200,EDATE($A10,12),速報_原データ!$B$5:$B$200,C$3)/100/(1+SUMIFS(速報_原データ!$D$5:$D$200,速報_原データ!$A$5:$A$200,EDATE($A10,12),速報_原データ!$B$5:$B$200,C$3)/100),IF(COUNTIFS(速報_原データ!$I$6:$I$9,EDATE($A10,12),速報_原データ!$J$6:$J$9,C$3)&gt;0,C22/(1+SUMIFS(速報_原データ!$K$6:$K$9,速報_原データ!$I$6:$I$9,EDATE($A10,12),速報_原データ!$J$6:$J$9,C$3)/100),AVERAGE(C9,C11))))</f>
        <v>2634.84702093398</v>
      </c>
      <c r="D10" s="20" t="n">
        <f aca="false">IF(COUNTIFS(速報_原データ!$A$5:$A$200,$A10,速報_原データ!$B$5:$B$200,D$3)&gt;0,SUMIFS(速報_原データ!$C$5:$C$200,速報_原データ!$A$5:$A$200,$A10,速報_原データ!$B$5:$B$200,D$3)/100,IF(COUNTIFS(速報_原データ!$A$5:$A$200,EDATE($A10,12),速報_原データ!$B$5:$B$200,D$3)&gt;0,SUMIFS(速報_原データ!$C$5:$C$200,速報_原データ!$A$5:$A$200,EDATE($A10,12),速報_原データ!$B$5:$B$200,D$3)/100/(1+SUMIFS(速報_原データ!$D$5:$D$200,速報_原データ!$A$5:$A$200,EDATE($A10,12),速報_原データ!$B$5:$B$200,D$3)/100),IF(COUNTIFS(速報_原データ!$I$6:$I$9,EDATE($A10,12),速報_原データ!$J$6:$J$9,D$3)&gt;0,D22/(1+SUMIFS(速報_原データ!$K$6:$K$9,速報_原データ!$I$6:$I$9,EDATE($A10,12),速報_原データ!$J$6:$J$9,D$3)/100),AVERAGE(D9,D11))))</f>
        <v>1666.70376712329</v>
      </c>
      <c r="E10" s="20" t="n">
        <f aca="false">IF(COUNTIFS(速報_原データ!$A$5:$A$200,$A10,速報_原データ!$B$5:$B$200,E$3)&gt;0,SUMIFS(速報_原データ!$C$5:$C$200,速報_原データ!$A$5:$A$200,$A10,速報_原データ!$B$5:$B$200,E$3)/100,IF(COUNTIFS(速報_原データ!$A$5:$A$200,EDATE($A10,12),速報_原データ!$B$5:$B$200,E$3)&gt;0,SUMIFS(速報_原データ!$C$5:$C$200,速報_原データ!$A$5:$A$200,EDATE($A10,12),速報_原データ!$B$5:$B$200,E$3)/100/(1+SUMIFS(速報_原データ!$D$5:$D$200,速報_原データ!$A$5:$A$200,EDATE($A10,12),速報_原データ!$B$5:$B$200,E$3)/100),IF(COUNTIFS(速報_原データ!$I$6:$I$9,EDATE($A10,12),速報_原データ!$J$6:$J$9,E$3)&gt;0,E22/(1+SUMIFS(速報_原データ!$K$6:$K$9,速報_原データ!$I$6:$I$9,EDATE($A10,12),速報_原データ!$J$6:$J$9,E$3)/100),AVERAGE(E9,E11))))</f>
        <v>446.480965645311</v>
      </c>
      <c r="F10" s="20" t="n">
        <f aca="false">IF(COUNTIFS(速報_原データ!$A$5:$A$200,$A10,速報_原データ!$B$5:$B$200,F$3)&gt;0,SUMIFS(速報_原データ!$C$5:$C$200,速報_原データ!$A$5:$A$200,$A10,速報_原データ!$B$5:$B$200,F$3)/100,IF(COUNTIFS(速報_原データ!$A$5:$A$200,EDATE($A10,12),速報_原データ!$B$5:$B$200,F$3)&gt;0,SUMIFS(速報_原データ!$C$5:$C$200,速報_原データ!$A$5:$A$200,EDATE($A10,12),速報_原データ!$B$5:$B$200,F$3)/100/(1+SUMIFS(速報_原データ!$D$5:$D$200,速報_原データ!$A$5:$A$200,EDATE($A10,12),速報_原データ!$B$5:$B$200,F$3)/100),IF(COUNTIFS(速報_原データ!$I$6:$I$9,EDATE($A10,12),速報_原データ!$J$6:$J$9,F$3)&gt;0,F22/(1+SUMIFS(速報_原データ!$K$6:$K$9,速報_原データ!$I$6:$I$9,EDATE($A10,12),速報_原データ!$J$6:$J$9,F$3)/100),AVERAGE(F9,F11))))</f>
        <v>334.785100286533</v>
      </c>
      <c r="G10" s="20" t="n">
        <f aca="false">IF(COUNTIFS(速報_原データ!$A$5:$A$200,$A10,速報_原データ!$B$5:$B$200,G$3)&gt;0,SUMIFS(速報_原データ!$C$5:$C$200,速報_原データ!$A$5:$A$200,$A10,速報_原データ!$B$5:$B$200,G$3)/100,IF(COUNTIFS(速報_原データ!$A$5:$A$200,EDATE($A10,12),速報_原データ!$B$5:$B$200,G$3)&gt;0,SUMIFS(速報_原データ!$C$5:$C$200,速報_原データ!$A$5:$A$200,EDATE($A10,12),速報_原データ!$B$5:$B$200,G$3)/100/(1+SUMIFS(速報_原データ!$D$5:$D$200,速報_原データ!$A$5:$A$200,EDATE($A10,12),速報_原データ!$B$5:$B$200,G$3)/100),IF(COUNTIFS(速報_原データ!$I$6:$I$9,EDATE($A10,12),速報_原データ!$J$6:$J$9,G$3)&gt;0,G22/(1+SUMIFS(速報_原データ!$K$6:$K$9,速報_原データ!$I$6:$I$9,EDATE($A10,12),速報_原データ!$J$6:$J$9,G$3)/100),AVERAGE(G9,G11))))</f>
        <v>167.203947368421</v>
      </c>
      <c r="H10" s="20" t="n">
        <f aca="false">IF(COUNTIFS(速報_原データ!$A$5:$A$200,$A10,速報_原データ!$B$5:$B$200,H$3)&gt;0,SUMIFS(速報_原データ!$C$5:$C$200,速報_原データ!$A$5:$A$200,$A10,速報_原データ!$B$5:$B$200,H$3)/100,IF(COUNTIFS(速報_原データ!$A$5:$A$200,EDATE($A10,12),速報_原データ!$B$5:$B$200,H$3)&gt;0,SUMIFS(速報_原データ!$C$5:$C$200,速報_原データ!$A$5:$A$200,EDATE($A10,12),速報_原データ!$B$5:$B$200,H$3)/100/(1+SUMIFS(速報_原データ!$D$5:$D$200,速報_原データ!$A$5:$A$200,EDATE($A10,12),速報_原データ!$B$5:$B$200,H$3)/100),IF(COUNTIFS(速報_原データ!$I$6:$I$9,EDATE($A10,12),速報_原データ!$J$6:$J$9,H$3)&gt;0,H22/(1+SUMIFS(速報_原データ!$K$6:$K$9,速報_原データ!$I$6:$I$9,EDATE($A10,12),速報_原データ!$J$6:$J$9,H$3)/100),AVERAGE(H9,H11))))</f>
        <v>174.635383639822</v>
      </c>
      <c r="I10" s="20" t="n">
        <f aca="false">B10-D10</f>
        <v>1476.81958996302</v>
      </c>
      <c r="J10" s="20" t="n">
        <f aca="false">C10-D10-E10-H10</f>
        <v>347.026904525556</v>
      </c>
      <c r="K10" s="2" t="s">
        <v>84</v>
      </c>
    </row>
    <row r="11" customFormat="false" ht="15" hidden="false" customHeight="false" outlineLevel="0" collapsed="false">
      <c r="A11" s="15" t="n">
        <v>45200</v>
      </c>
      <c r="B11" s="20" t="n">
        <f aca="false">IF(COUNTIFS(速報_原データ!$A$5:$A$200,$A11,速報_原データ!$B$5:$B$200,B$3)&gt;0,SUMIFS(速報_原データ!$C$5:$C$200,速報_原データ!$A$5:$A$200,$A11,速報_原データ!$B$5:$B$200,B$3)/100,IF(COUNTIFS(速報_原データ!$A$5:$A$200,EDATE($A11,12),速報_原データ!$B$5:$B$200,B$3)&gt;0,SUMIFS(速報_原データ!$C$5:$C$200,速報_原データ!$A$5:$A$200,EDATE($A11,12),速報_原データ!$B$5:$B$200,B$3)/100/(1+SUMIFS(速報_原データ!$D$5:$D$200,速報_原データ!$A$5:$A$200,EDATE($A11,12),速報_原データ!$B$5:$B$200,B$3)/100),IF(COUNTIFS(速報_原データ!$I$6:$I$9,EDATE($A11,12),速報_原データ!$J$6:$J$9,B$3)&gt;0,B23/(1+SUMIFS(速報_原データ!$K$6:$K$9,速報_原データ!$I$6:$I$9,EDATE($A11,12),速報_原データ!$J$6:$J$9,B$3)/100),AVERAGE(B10,B12))))</f>
        <v>2858.33099579243</v>
      </c>
      <c r="C11" s="20" t="n">
        <f aca="false">IF(COUNTIFS(速報_原データ!$A$5:$A$200,$A11,速報_原データ!$B$5:$B$200,C$3)&gt;0,SUMIFS(速報_原データ!$C$5:$C$200,速報_原データ!$A$5:$A$200,$A11,速報_原データ!$B$5:$B$200,C$3)/100,IF(COUNTIFS(速報_原データ!$A$5:$A$200,EDATE($A11,12),速報_原データ!$B$5:$B$200,C$3)&gt;0,SUMIFS(速報_原データ!$C$5:$C$200,速報_原データ!$A$5:$A$200,EDATE($A11,12),速報_原データ!$B$5:$B$200,C$3)/100/(1+SUMIFS(速報_原データ!$D$5:$D$200,速報_原データ!$A$5:$A$200,EDATE($A11,12),速報_原データ!$B$5:$B$200,C$3)/100),IF(COUNTIFS(速報_原データ!$I$6:$I$9,EDATE($A11,12),速報_原データ!$J$6:$J$9,C$3)&gt;0,C23/(1+SUMIFS(速報_原データ!$K$6:$K$9,速報_原データ!$I$6:$I$9,EDATE($A11,12),速報_原データ!$J$6:$J$9,C$3)/100),AVERAGE(C10,C12))))</f>
        <v>2188.38436482085</v>
      </c>
      <c r="D11" s="20" t="n">
        <f aca="false">IF(COUNTIFS(速報_原データ!$A$5:$A$200,$A11,速報_原データ!$B$5:$B$200,D$3)&gt;0,SUMIFS(速報_原データ!$C$5:$C$200,速報_原データ!$A$5:$A$200,$A11,速報_原データ!$B$5:$B$200,D$3)/100,IF(COUNTIFS(速報_原データ!$A$5:$A$200,EDATE($A11,12),速報_原データ!$B$5:$B$200,D$3)&gt;0,SUMIFS(速報_原データ!$C$5:$C$200,速報_原データ!$A$5:$A$200,EDATE($A11,12),速報_原データ!$B$5:$B$200,D$3)/100/(1+SUMIFS(速報_原データ!$D$5:$D$200,速報_原データ!$A$5:$A$200,EDATE($A11,12),速報_原データ!$B$5:$B$200,D$3)/100),IF(COUNTIFS(速報_原データ!$I$6:$I$9,EDATE($A11,12),速報_原データ!$J$6:$J$9,D$3)&gt;0,D23/(1+SUMIFS(速報_原データ!$K$6:$K$9,速報_原データ!$I$6:$I$9,EDATE($A11,12),速報_原データ!$J$6:$J$9,D$3)/100),AVERAGE(D10,D12))))</f>
        <v>1379.61769115442</v>
      </c>
      <c r="E11" s="20" t="n">
        <f aca="false">IF(COUNTIFS(速報_原データ!$A$5:$A$200,$A11,速報_原データ!$B$5:$B$200,E$3)&gt;0,SUMIFS(速報_原データ!$C$5:$C$200,速報_原データ!$A$5:$A$200,$A11,速報_原データ!$B$5:$B$200,E$3)/100,IF(COUNTIFS(速報_原データ!$A$5:$A$200,EDATE($A11,12),速報_原データ!$B$5:$B$200,E$3)&gt;0,SUMIFS(速報_原データ!$C$5:$C$200,速報_原データ!$A$5:$A$200,EDATE($A11,12),速報_原データ!$B$5:$B$200,E$3)/100/(1+SUMIFS(速報_原データ!$D$5:$D$200,速報_原データ!$A$5:$A$200,EDATE($A11,12),速報_原データ!$B$5:$B$200,E$3)/100),IF(COUNTIFS(速報_原データ!$I$6:$I$9,EDATE($A11,12),速報_原データ!$J$6:$J$9,E$3)&gt;0,E23/(1+SUMIFS(速報_原データ!$K$6:$K$9,速報_原データ!$I$6:$I$9,EDATE($A11,12),速報_原データ!$J$6:$J$9,E$3)/100),AVERAGE(E10,E12))))</f>
        <v>279.407836153161</v>
      </c>
      <c r="F11" s="20" t="n">
        <f aca="false">IF(COUNTIFS(速報_原データ!$A$5:$A$200,$A11,速報_原データ!$B$5:$B$200,F$3)&gt;0,SUMIFS(速報_原データ!$C$5:$C$200,速報_原データ!$A$5:$A$200,$A11,速報_原データ!$B$5:$B$200,F$3)/100,IF(COUNTIFS(速報_原データ!$A$5:$A$200,EDATE($A11,12),速報_原データ!$B$5:$B$200,F$3)&gt;0,SUMIFS(速報_原データ!$C$5:$C$200,速報_原データ!$A$5:$A$200,EDATE($A11,12),速報_原データ!$B$5:$B$200,F$3)/100/(1+SUMIFS(速報_原データ!$D$5:$D$200,速報_原データ!$A$5:$A$200,EDATE($A11,12),速報_原データ!$B$5:$B$200,F$3)/100),IF(COUNTIFS(速報_原データ!$I$6:$I$9,EDATE($A11,12),速報_原データ!$J$6:$J$9,F$3)&gt;0,F23/(1+SUMIFS(速報_原データ!$K$6:$K$9,速報_原データ!$I$6:$I$9,EDATE($A11,12),速報_原データ!$J$6:$J$9,F$3)/100),AVERAGE(F10,F12))))</f>
        <v>499.861111111111</v>
      </c>
      <c r="G11" s="20" t="n">
        <f aca="false">IF(COUNTIFS(速報_原データ!$A$5:$A$200,$A11,速報_原データ!$B$5:$B$200,G$3)&gt;0,SUMIFS(速報_原データ!$C$5:$C$200,速報_原データ!$A$5:$A$200,$A11,速報_原データ!$B$5:$B$200,G$3)/100,IF(COUNTIFS(速報_原データ!$A$5:$A$200,EDATE($A11,12),速報_原データ!$B$5:$B$200,G$3)&gt;0,SUMIFS(速報_原データ!$C$5:$C$200,速報_原データ!$A$5:$A$200,EDATE($A11,12),速報_原データ!$B$5:$B$200,G$3)/100/(1+SUMIFS(速報_原データ!$D$5:$D$200,速報_原データ!$A$5:$A$200,EDATE($A11,12),速報_原データ!$B$5:$B$200,G$3)/100),IF(COUNTIFS(速報_原データ!$I$6:$I$9,EDATE($A11,12),速報_原データ!$J$6:$J$9,G$3)&gt;0,G23/(1+SUMIFS(速報_原データ!$K$6:$K$9,速報_原データ!$I$6:$I$9,EDATE($A11,12),速報_原データ!$J$6:$J$9,G$3)/100),AVERAGE(G10,G12))))</f>
        <v>166.216897856242</v>
      </c>
      <c r="H11" s="20" t="n">
        <f aca="false">IF(COUNTIFS(速報_原データ!$A$5:$A$200,$A11,速報_原データ!$B$5:$B$200,H$3)&gt;0,SUMIFS(速報_原データ!$C$5:$C$200,速報_原データ!$A$5:$A$200,$A11,速報_原データ!$B$5:$B$200,H$3)/100,IF(COUNTIFS(速報_原データ!$A$5:$A$200,EDATE($A11,12),速報_原データ!$B$5:$B$200,H$3)&gt;0,SUMIFS(速報_原データ!$C$5:$C$200,速報_原データ!$A$5:$A$200,EDATE($A11,12),速報_原データ!$B$5:$B$200,H$3)/100/(1+SUMIFS(速報_原データ!$D$5:$D$200,速報_原データ!$A$5:$A$200,EDATE($A11,12),速報_原データ!$B$5:$B$200,H$3)/100),IF(COUNTIFS(速報_原データ!$I$6:$I$9,EDATE($A11,12),速報_原データ!$J$6:$J$9,H$3)&gt;0,H23/(1+SUMIFS(速報_原データ!$K$6:$K$9,速報_原データ!$I$6:$I$9,EDATE($A11,12),速報_原データ!$J$6:$J$9,H$3)/100),AVERAGE(H10,H12))))</f>
        <v>143.84650525354</v>
      </c>
      <c r="I11" s="20" t="n">
        <f aca="false">B11-D11</f>
        <v>1478.713304638</v>
      </c>
      <c r="J11" s="20" t="n">
        <f aca="false">C11-D11-E11-H11</f>
        <v>385.512332259722</v>
      </c>
      <c r="K11" s="2" t="s">
        <v>84</v>
      </c>
    </row>
    <row r="12" customFormat="false" ht="15" hidden="false" customHeight="false" outlineLevel="0" collapsed="false">
      <c r="A12" s="15" t="n">
        <v>45231</v>
      </c>
      <c r="B12" s="20" t="n">
        <f aca="false">IF(COUNTIFS(速報_原データ!$A$5:$A$200,$A12,速報_原データ!$B$5:$B$200,B$3)&gt;0,SUMIFS(速報_原データ!$C$5:$C$200,速報_原データ!$A$5:$A$200,$A12,速報_原データ!$B$5:$B$200,B$3)/100,IF(COUNTIFS(速報_原データ!$A$5:$A$200,EDATE($A12,12),速報_原データ!$B$5:$B$200,B$3)&gt;0,SUMIFS(速報_原データ!$C$5:$C$200,速報_原データ!$A$5:$A$200,EDATE($A12,12),速報_原データ!$B$5:$B$200,B$3)/100/(1+SUMIFS(速報_原データ!$D$5:$D$200,速報_原データ!$A$5:$A$200,EDATE($A12,12),速報_原データ!$B$5:$B$200,B$3)/100),IF(COUNTIFS(速報_原データ!$I$6:$I$9,EDATE($A12,12),速報_原データ!$J$6:$J$9,B$3)&gt;0,B24/(1+SUMIFS(速報_原データ!$K$6:$K$9,速報_原データ!$I$6:$I$9,EDATE($A12,12),速報_原データ!$J$6:$J$9,B$3)/100),AVERAGE(B11,B13))))</f>
        <v>2833.91370174111</v>
      </c>
      <c r="C12" s="20" t="n">
        <f aca="false">IF(COUNTIFS(速報_原データ!$A$5:$A$200,$A12,速報_原データ!$B$5:$B$200,C$3)&gt;0,SUMIFS(速報_原データ!$C$5:$C$200,速報_原データ!$A$5:$A$200,$A12,速報_原データ!$B$5:$B$200,C$3)/100,IF(COUNTIFS(速報_原データ!$A$5:$A$200,EDATE($A12,12),速報_原データ!$B$5:$B$200,C$3)&gt;0,SUMIFS(速報_原データ!$C$5:$C$200,速報_原データ!$A$5:$A$200,EDATE($A12,12),速報_原データ!$B$5:$B$200,C$3)/100/(1+SUMIFS(速報_原データ!$D$5:$D$200,速報_原データ!$A$5:$A$200,EDATE($A12,12),速報_原データ!$B$5:$B$200,C$3)/100),IF(COUNTIFS(速報_原データ!$I$6:$I$9,EDATE($A12,12),速報_原データ!$J$6:$J$9,C$3)&gt;0,C24/(1+SUMIFS(速報_原データ!$K$6:$K$9,速報_原データ!$I$6:$I$9,EDATE($A12,12),速報_原データ!$J$6:$J$9,C$3)/100),AVERAGE(C11,C13))))</f>
        <v>2353.82309941521</v>
      </c>
      <c r="D12" s="20" t="n">
        <f aca="false">IF(COUNTIFS(速報_原データ!$A$5:$A$200,$A12,速報_原データ!$B$5:$B$200,D$3)&gt;0,SUMIFS(速報_原データ!$C$5:$C$200,速報_原データ!$A$5:$A$200,$A12,速報_原データ!$B$5:$B$200,D$3)/100,IF(COUNTIFS(速報_原データ!$A$5:$A$200,EDATE($A12,12),速報_原データ!$B$5:$B$200,D$3)&gt;0,SUMIFS(速報_原データ!$C$5:$C$200,速報_原データ!$A$5:$A$200,EDATE($A12,12),速報_原データ!$B$5:$B$200,D$3)/100/(1+SUMIFS(速報_原データ!$D$5:$D$200,速報_原データ!$A$5:$A$200,EDATE($A12,12),速報_原データ!$B$5:$B$200,D$3)/100),IF(COUNTIFS(速報_原データ!$I$6:$I$9,EDATE($A12,12),速報_原データ!$J$6:$J$9,D$3)&gt;0,D24/(1+SUMIFS(速報_原データ!$K$6:$K$9,速報_原データ!$I$6:$I$9,EDATE($A12,12),速報_原データ!$J$6:$J$9,D$3)/100),AVERAGE(D11,D13))))</f>
        <v>1575.18234165067</v>
      </c>
      <c r="E12" s="20" t="n">
        <f aca="false">IF(COUNTIFS(速報_原データ!$A$5:$A$200,$A12,速報_原データ!$B$5:$B$200,E$3)&gt;0,SUMIFS(速報_原データ!$C$5:$C$200,速報_原データ!$A$5:$A$200,$A12,速報_原データ!$B$5:$B$200,E$3)/100,IF(COUNTIFS(速報_原データ!$A$5:$A$200,EDATE($A12,12),速報_原データ!$B$5:$B$200,E$3)&gt;0,SUMIFS(速報_原データ!$C$5:$C$200,速報_原データ!$A$5:$A$200,EDATE($A12,12),速報_原データ!$B$5:$B$200,E$3)/100/(1+SUMIFS(速報_原データ!$D$5:$D$200,速報_原データ!$A$5:$A$200,EDATE($A12,12),速報_原データ!$B$5:$B$200,E$3)/100),IF(COUNTIFS(速報_原データ!$I$6:$I$9,EDATE($A12,12),速報_原データ!$J$6:$J$9,E$3)&gt;0,E24/(1+SUMIFS(速報_原データ!$K$6:$K$9,速報_原データ!$I$6:$I$9,EDATE($A12,12),速報_原データ!$J$6:$J$9,E$3)/100),AVERAGE(E11,E13))))</f>
        <v>293.038441284887</v>
      </c>
      <c r="F12" s="20" t="n">
        <f aca="false">IF(COUNTIFS(速報_原データ!$A$5:$A$200,$A12,速報_原データ!$B$5:$B$200,F$3)&gt;0,SUMIFS(速報_原データ!$C$5:$C$200,速報_原データ!$A$5:$A$200,$A12,速報_原データ!$B$5:$B$200,F$3)/100,IF(COUNTIFS(速報_原データ!$A$5:$A$200,EDATE($A12,12),速報_原データ!$B$5:$B$200,F$3)&gt;0,SUMIFS(速報_原データ!$C$5:$C$200,速報_原データ!$A$5:$A$200,EDATE($A12,12),速報_原データ!$B$5:$B$200,F$3)/100/(1+SUMIFS(速報_原データ!$D$5:$D$200,速報_原データ!$A$5:$A$200,EDATE($A12,12),速報_原データ!$B$5:$B$200,F$3)/100),IF(COUNTIFS(速報_原データ!$I$6:$I$9,EDATE($A12,12),速報_原データ!$J$6:$J$9,F$3)&gt;0,F24/(1+SUMIFS(速報_原データ!$K$6:$K$9,速報_原データ!$I$6:$I$9,EDATE($A12,12),速報_原データ!$J$6:$J$9,F$3)/100),AVERAGE(F11,F13))))</f>
        <v>357.142857142857</v>
      </c>
      <c r="G12" s="20" t="n">
        <f aca="false">IF(COUNTIFS(速報_原データ!$A$5:$A$200,$A12,速報_原データ!$B$5:$B$200,G$3)&gt;0,SUMIFS(速報_原データ!$C$5:$C$200,速報_原データ!$A$5:$A$200,$A12,速報_原データ!$B$5:$B$200,G$3)/100,IF(COUNTIFS(速報_原データ!$A$5:$A$200,EDATE($A12,12),速報_原データ!$B$5:$B$200,G$3)&gt;0,SUMIFS(速報_原データ!$C$5:$C$200,速報_原データ!$A$5:$A$200,EDATE($A12,12),速報_原データ!$B$5:$B$200,G$3)/100/(1+SUMIFS(速報_原データ!$D$5:$D$200,速報_原データ!$A$5:$A$200,EDATE($A12,12),速報_原データ!$B$5:$B$200,G$3)/100),IF(COUNTIFS(速報_原データ!$I$6:$I$9,EDATE($A12,12),速報_原データ!$J$6:$J$9,G$3)&gt;0,G24/(1+SUMIFS(速報_原データ!$K$6:$K$9,速報_原データ!$I$6:$I$9,EDATE($A12,12),速報_原データ!$J$6:$J$9,G$3)/100),AVERAGE(G11,G13))))</f>
        <v>114.23645320197</v>
      </c>
      <c r="H12" s="20" t="n">
        <f aca="false">IF(COUNTIFS(速報_原データ!$A$5:$A$200,$A12,速報_原データ!$B$5:$B$200,H$3)&gt;0,SUMIFS(速報_原データ!$C$5:$C$200,速報_原データ!$A$5:$A$200,$A12,速報_原データ!$B$5:$B$200,H$3)/100,IF(COUNTIFS(速報_原データ!$A$5:$A$200,EDATE($A12,12),速報_原データ!$B$5:$B$200,H$3)&gt;0,SUMIFS(速報_原データ!$C$5:$C$200,速報_原データ!$A$5:$A$200,EDATE($A12,12),速報_原データ!$B$5:$B$200,H$3)/100/(1+SUMIFS(速報_原データ!$D$5:$D$200,速報_原データ!$A$5:$A$200,EDATE($A12,12),速報_原データ!$B$5:$B$200,H$3)/100),IF(COUNTIFS(速報_原データ!$I$6:$I$9,EDATE($A12,12),速報_原データ!$J$6:$J$9,H$3)&gt;0,H24/(1+SUMIFS(速報_原データ!$K$6:$K$9,速報_原データ!$I$6:$I$9,EDATE($A12,12),速報_原データ!$J$6:$J$9,H$3)/100),AVERAGE(H11,H13))))</f>
        <v>143.633898305085</v>
      </c>
      <c r="I12" s="20" t="n">
        <f aca="false">B12-D12</f>
        <v>1258.73136009043</v>
      </c>
      <c r="J12" s="20" t="n">
        <f aca="false">C12-D12-E12-H12</f>
        <v>341.968418174562</v>
      </c>
      <c r="K12" s="2" t="s">
        <v>84</v>
      </c>
    </row>
    <row r="13" customFormat="false" ht="15" hidden="false" customHeight="false" outlineLevel="0" collapsed="false">
      <c r="A13" s="15" t="n">
        <v>45261</v>
      </c>
      <c r="B13" s="20" t="n">
        <f aca="false">IF(COUNTIFS(速報_原データ!$A$5:$A$200,$A13,速報_原データ!$B$5:$B$200,B$3)&gt;0,SUMIFS(速報_原データ!$C$5:$C$200,速報_原データ!$A$5:$A$200,$A13,速報_原データ!$B$5:$B$200,B$3)/100,IF(COUNTIFS(速報_原データ!$A$5:$A$200,EDATE($A13,12),速報_原データ!$B$5:$B$200,B$3)&gt;0,SUMIFS(速報_原データ!$C$5:$C$200,速報_原データ!$A$5:$A$200,EDATE($A13,12),速報_原データ!$B$5:$B$200,B$3)/100/(1+SUMIFS(速報_原データ!$D$5:$D$200,速報_原データ!$A$5:$A$200,EDATE($A13,12),速報_原データ!$B$5:$B$200,B$3)/100),IF(COUNTIFS(速報_原データ!$I$6:$I$9,EDATE($A13,12),速報_原データ!$J$6:$J$9,B$3)&gt;0,B25/(1+SUMIFS(速報_原データ!$K$6:$K$9,速報_原データ!$I$6:$I$9,EDATE($A13,12),速報_原データ!$J$6:$J$9,B$3)/100),AVERAGE(B12,B14))))</f>
        <v>4071.07594936709</v>
      </c>
      <c r="C13" s="20" t="n">
        <f aca="false">IF(COUNTIFS(速報_原データ!$A$5:$A$200,$A13,速報_原データ!$B$5:$B$200,C$3)&gt;0,SUMIFS(速報_原データ!$C$5:$C$200,速報_原データ!$A$5:$A$200,$A13,速報_原データ!$B$5:$B$200,C$3)/100,IF(COUNTIFS(速報_原データ!$A$5:$A$200,EDATE($A13,12),速報_原データ!$B$5:$B$200,C$3)&gt;0,SUMIFS(速報_原データ!$C$5:$C$200,速報_原データ!$A$5:$A$200,EDATE($A13,12),速報_原データ!$B$5:$B$200,C$3)/100/(1+SUMIFS(速報_原データ!$D$5:$D$200,速報_原データ!$A$5:$A$200,EDATE($A13,12),速報_原データ!$B$5:$B$200,C$3)/100),IF(COUNTIFS(速報_原データ!$I$6:$I$9,EDATE($A13,12),速報_原データ!$J$6:$J$9,C$3)&gt;0,C25/(1+SUMIFS(速報_原データ!$K$6:$K$9,速報_原データ!$I$6:$I$9,EDATE($A13,12),速報_原データ!$J$6:$J$9,C$3)/100),AVERAGE(C12,C14))))</f>
        <v>3532.6618705036</v>
      </c>
      <c r="D13" s="20" t="n">
        <f aca="false">IF(COUNTIFS(速報_原データ!$A$5:$A$200,$A13,速報_原データ!$B$5:$B$200,D$3)&gt;0,SUMIFS(速報_原データ!$C$5:$C$200,速報_原データ!$A$5:$A$200,$A13,速報_原データ!$B$5:$B$200,D$3)/100,IF(COUNTIFS(速報_原データ!$A$5:$A$200,EDATE($A13,12),速報_原データ!$B$5:$B$200,D$3)&gt;0,SUMIFS(速報_原データ!$C$5:$C$200,速報_原データ!$A$5:$A$200,EDATE($A13,12),速報_原データ!$B$5:$B$200,D$3)/100/(1+SUMIFS(速報_原データ!$D$5:$D$200,速報_原データ!$A$5:$A$200,EDATE($A13,12),速報_原データ!$B$5:$B$200,D$3)/100),IF(COUNTIFS(速報_原データ!$I$6:$I$9,EDATE($A13,12),速報_原データ!$J$6:$J$9,D$3)&gt;0,D25/(1+SUMIFS(速報_原データ!$K$6:$K$9,速報_原データ!$I$6:$I$9,EDATE($A13,12),速報_原データ!$J$6:$J$9,D$3)/100),AVERAGE(D12,D14))))</f>
        <v>2224.15178571429</v>
      </c>
      <c r="E13" s="20" t="n">
        <f aca="false">IF(COUNTIFS(速報_原データ!$A$5:$A$200,$A13,速報_原データ!$B$5:$B$200,E$3)&gt;0,SUMIFS(速報_原データ!$C$5:$C$200,速報_原データ!$A$5:$A$200,$A13,速報_原データ!$B$5:$B$200,E$3)/100,IF(COUNTIFS(速報_原データ!$A$5:$A$200,EDATE($A13,12),速報_原データ!$B$5:$B$200,E$3)&gt;0,SUMIFS(速報_原データ!$C$5:$C$200,速報_原データ!$A$5:$A$200,EDATE($A13,12),速報_原データ!$B$5:$B$200,E$3)/100/(1+SUMIFS(速報_原データ!$D$5:$D$200,速報_原データ!$A$5:$A$200,EDATE($A13,12),速報_原データ!$B$5:$B$200,E$3)/100),IF(COUNTIFS(速報_原データ!$I$6:$I$9,EDATE($A13,12),速報_原データ!$J$6:$J$9,E$3)&gt;0,E25/(1+SUMIFS(速報_原データ!$K$6:$K$9,速報_原データ!$I$6:$I$9,EDATE($A13,12),速報_原データ!$J$6:$J$9,E$3)/100),AVERAGE(E12,E14))))</f>
        <v>576.843413421707</v>
      </c>
      <c r="F13" s="20" t="n">
        <f aca="false">IF(COUNTIFS(速報_原データ!$A$5:$A$200,$A13,速報_原データ!$B$5:$B$200,F$3)&gt;0,SUMIFS(速報_原データ!$C$5:$C$200,速報_原データ!$A$5:$A$200,$A13,速報_原データ!$B$5:$B$200,F$3)/100,IF(COUNTIFS(速報_原データ!$A$5:$A$200,EDATE($A13,12),速報_原データ!$B$5:$B$200,F$3)&gt;0,SUMIFS(速報_原データ!$C$5:$C$200,速報_原データ!$A$5:$A$200,EDATE($A13,12),速報_原データ!$B$5:$B$200,F$3)/100/(1+SUMIFS(速報_原データ!$D$5:$D$200,速報_原データ!$A$5:$A$200,EDATE($A13,12),速報_原データ!$B$5:$B$200,F$3)/100),IF(COUNTIFS(速報_原データ!$I$6:$I$9,EDATE($A13,12),速報_原データ!$J$6:$J$9,F$3)&gt;0,F25/(1+SUMIFS(速報_原データ!$K$6:$K$9,速報_原データ!$I$6:$I$9,EDATE($A13,12),速報_原データ!$J$6:$J$9,F$3)/100),AVERAGE(F12,F14))))</f>
        <v>407.622309197652</v>
      </c>
      <c r="G13" s="20" t="n">
        <f aca="false">IF(COUNTIFS(速報_原データ!$A$5:$A$200,$A13,速報_原データ!$B$5:$B$200,G$3)&gt;0,SUMIFS(速報_原データ!$C$5:$C$200,速報_原データ!$A$5:$A$200,$A13,速報_原データ!$B$5:$B$200,G$3)/100,IF(COUNTIFS(速報_原データ!$A$5:$A$200,EDATE($A13,12),速報_原データ!$B$5:$B$200,G$3)&gt;0,SUMIFS(速報_原データ!$C$5:$C$200,速報_原データ!$A$5:$A$200,EDATE($A13,12),速報_原データ!$B$5:$B$200,G$3)/100/(1+SUMIFS(速報_原データ!$D$5:$D$200,速報_原データ!$A$5:$A$200,EDATE($A13,12),速報_原データ!$B$5:$B$200,G$3)/100),IF(COUNTIFS(速報_原データ!$I$6:$I$9,EDATE($A13,12),速報_原データ!$J$6:$J$9,G$3)&gt;0,G25/(1+SUMIFS(速報_原データ!$K$6:$K$9,速報_原データ!$I$6:$I$9,EDATE($A13,12),速報_原データ!$J$6:$J$9,G$3)/100),AVERAGE(G12,G14))))</f>
        <v>119.269406392694</v>
      </c>
      <c r="H13" s="20" t="n">
        <f aca="false">IF(COUNTIFS(速報_原データ!$A$5:$A$200,$A13,速報_原データ!$B$5:$B$200,H$3)&gt;0,SUMIFS(速報_原データ!$C$5:$C$200,速報_原データ!$A$5:$A$200,$A13,速報_原データ!$B$5:$B$200,H$3)/100,IF(COUNTIFS(速報_原データ!$A$5:$A$200,EDATE($A13,12),速報_原データ!$B$5:$B$200,H$3)&gt;0,SUMIFS(速報_原データ!$C$5:$C$200,速報_原データ!$A$5:$A$200,EDATE($A13,12),速報_原データ!$B$5:$B$200,H$3)/100/(1+SUMIFS(速報_原データ!$D$5:$D$200,速報_原データ!$A$5:$A$200,EDATE($A13,12),速報_原データ!$B$5:$B$200,H$3)/100),IF(COUNTIFS(速報_原データ!$I$6:$I$9,EDATE($A13,12),速報_原データ!$J$6:$J$9,H$3)&gt;0,H25/(1+SUMIFS(速報_原データ!$K$6:$K$9,速報_原データ!$I$6:$I$9,EDATE($A13,12),速報_原データ!$J$6:$J$9,H$3)/100),AVERAGE(H12,H14))))</f>
        <v>202.089552238806</v>
      </c>
      <c r="I13" s="20" t="n">
        <f aca="false">B13-D13</f>
        <v>1846.9241636528</v>
      </c>
      <c r="J13" s="20" t="n">
        <f aca="false">C13-D13-E13-H13</f>
        <v>529.577119128799</v>
      </c>
      <c r="K13" s="2" t="s">
        <v>84</v>
      </c>
    </row>
    <row r="14" customFormat="false" ht="15" hidden="false" customHeight="false" outlineLevel="0" collapsed="false">
      <c r="A14" s="15" t="n">
        <v>45292</v>
      </c>
      <c r="B14" s="20" t="n">
        <f aca="false">IF(COUNTIFS(速報_原データ!$A$5:$A$200,$A14,速報_原データ!$B$5:$B$200,B$3)&gt;0,SUMIFS(速報_原データ!$C$5:$C$200,速報_原データ!$A$5:$A$200,$A14,速報_原データ!$B$5:$B$200,B$3)/100,IF(COUNTIFS(速報_原データ!$A$5:$A$200,EDATE($A14,12),速報_原データ!$B$5:$B$200,B$3)&gt;0,SUMIFS(速報_原データ!$C$5:$C$200,速報_原データ!$A$5:$A$200,EDATE($A14,12),速報_原データ!$B$5:$B$200,B$3)/100/(1+SUMIFS(速報_原データ!$D$5:$D$200,速報_原データ!$A$5:$A$200,EDATE($A14,12),速報_原データ!$B$5:$B$200,B$3)/100),IF(COUNTIFS(速報_原データ!$I$6:$I$9,EDATE($A14,12),速報_原データ!$J$6:$J$9,B$3)&gt;0,B26/(1+SUMIFS(速報_原データ!$K$6:$K$9,速報_原データ!$I$6:$I$9,EDATE($A14,12),速報_原データ!$J$6:$J$9,B$3)/100),AVERAGE(B13,B15))))</f>
        <v>2911.324570273</v>
      </c>
      <c r="C14" s="20" t="n">
        <f aca="false">IF(COUNTIFS(速報_原データ!$A$5:$A$200,$A14,速報_原データ!$B$5:$B$200,C$3)&gt;0,SUMIFS(速報_原データ!$C$5:$C$200,速報_原データ!$A$5:$A$200,$A14,速報_原データ!$B$5:$B$200,C$3)/100,IF(COUNTIFS(速報_原データ!$A$5:$A$200,EDATE($A14,12),速報_原データ!$B$5:$B$200,C$3)&gt;0,SUMIFS(速報_原データ!$C$5:$C$200,速報_原データ!$A$5:$A$200,EDATE($A14,12),速報_原データ!$B$5:$B$200,C$3)/100/(1+SUMIFS(速報_原データ!$D$5:$D$200,速報_原データ!$A$5:$A$200,EDATE($A14,12),速報_原データ!$B$5:$B$200,C$3)/100),IF(COUNTIFS(速報_原データ!$I$6:$I$9,EDATE($A14,12),速報_原データ!$J$6:$J$9,C$3)&gt;0,C26/(1+SUMIFS(速報_原データ!$K$6:$K$9,速報_原データ!$I$6:$I$9,EDATE($A14,12),速報_原データ!$J$6:$J$9,C$3)/100),AVERAGE(C13,C15))))</f>
        <v>2413.37209302326</v>
      </c>
      <c r="D14" s="20" t="n">
        <f aca="false">IF(COUNTIFS(速報_原データ!$A$5:$A$200,$A14,速報_原データ!$B$5:$B$200,D$3)&gt;0,SUMIFS(速報_原データ!$C$5:$C$200,速報_原データ!$A$5:$A$200,$A14,速報_原データ!$B$5:$B$200,D$3)/100,IF(COUNTIFS(速報_原データ!$A$5:$A$200,EDATE($A14,12),速報_原データ!$B$5:$B$200,D$3)&gt;0,SUMIFS(速報_原データ!$C$5:$C$200,速報_原データ!$A$5:$A$200,EDATE($A14,12),速報_原データ!$B$5:$B$200,D$3)/100/(1+SUMIFS(速報_原データ!$D$5:$D$200,速報_原データ!$A$5:$A$200,EDATE($A14,12),速報_原データ!$B$5:$B$200,D$3)/100),IF(COUNTIFS(速報_原データ!$I$6:$I$9,EDATE($A14,12),速報_原データ!$J$6:$J$9,D$3)&gt;0,D26/(1+SUMIFS(速報_原データ!$K$6:$K$9,速報_原データ!$I$6:$I$9,EDATE($A14,12),速報_原データ!$J$6:$J$9,D$3)/100),AVERAGE(D13,D15))))</f>
        <v>1240.99747474747</v>
      </c>
      <c r="E14" s="20" t="n">
        <f aca="false">IF(COUNTIFS(速報_原データ!$A$5:$A$200,$A14,速報_原データ!$B$5:$B$200,E$3)&gt;0,SUMIFS(速報_原データ!$C$5:$C$200,速報_原データ!$A$5:$A$200,$A14,速報_原データ!$B$5:$B$200,E$3)/100,IF(COUNTIFS(速報_原データ!$A$5:$A$200,EDATE($A14,12),速報_原データ!$B$5:$B$200,E$3)&gt;0,SUMIFS(速報_原データ!$C$5:$C$200,速報_原データ!$A$5:$A$200,EDATE($A14,12),速報_原データ!$B$5:$B$200,E$3)/100/(1+SUMIFS(速報_原データ!$D$5:$D$200,速報_原データ!$A$5:$A$200,EDATE($A14,12),速報_原データ!$B$5:$B$200,E$3)/100),IF(COUNTIFS(速報_原データ!$I$6:$I$9,EDATE($A14,12),速報_原データ!$J$6:$J$9,E$3)&gt;0,E26/(1+SUMIFS(速報_原データ!$K$6:$K$9,速報_原データ!$I$6:$I$9,EDATE($A14,12),速報_原データ!$J$6:$J$9,E$3)/100),AVERAGE(E13,E15))))</f>
        <v>598.603550295858</v>
      </c>
      <c r="F14" s="20" t="n">
        <f aca="false">IF(COUNTIFS(速報_原データ!$A$5:$A$200,$A14,速報_原データ!$B$5:$B$200,F$3)&gt;0,SUMIFS(速報_原データ!$C$5:$C$200,速報_原データ!$A$5:$A$200,$A14,速報_原データ!$B$5:$B$200,F$3)/100,IF(COUNTIFS(速報_原データ!$A$5:$A$200,EDATE($A14,12),速報_原データ!$B$5:$B$200,F$3)&gt;0,SUMIFS(速報_原データ!$C$5:$C$200,速報_原データ!$A$5:$A$200,EDATE($A14,12),速報_原データ!$B$5:$B$200,F$3)/100/(1+SUMIFS(速報_原データ!$D$5:$D$200,速報_原データ!$A$5:$A$200,EDATE($A14,12),速報_原データ!$B$5:$B$200,F$3)/100),IF(COUNTIFS(速報_原データ!$I$6:$I$9,EDATE($A14,12),速報_原データ!$J$6:$J$9,F$3)&gt;0,F26/(1+SUMIFS(速報_原データ!$K$6:$K$9,速報_原データ!$I$6:$I$9,EDATE($A14,12),速報_原データ!$J$6:$J$9,F$3)/100),AVERAGE(F13,F15))))</f>
        <v>362.105263157895</v>
      </c>
      <c r="G14" s="20" t="n">
        <f aca="false">IF(COUNTIFS(速報_原データ!$A$5:$A$200,$A14,速報_原データ!$B$5:$B$200,G$3)&gt;0,SUMIFS(速報_原データ!$C$5:$C$200,速報_原データ!$A$5:$A$200,$A14,速報_原データ!$B$5:$B$200,G$3)/100,IF(COUNTIFS(速報_原データ!$A$5:$A$200,EDATE($A14,12),速報_原データ!$B$5:$B$200,G$3)&gt;0,SUMIFS(速報_原データ!$C$5:$C$200,速報_原データ!$A$5:$A$200,EDATE($A14,12),速報_原データ!$B$5:$B$200,G$3)/100/(1+SUMIFS(速報_原データ!$D$5:$D$200,速報_原データ!$A$5:$A$200,EDATE($A14,12),速報_原データ!$B$5:$B$200,G$3)/100),IF(COUNTIFS(速報_原データ!$I$6:$I$9,EDATE($A14,12),速報_原データ!$J$6:$J$9,G$3)&gt;0,G26/(1+SUMIFS(速報_原データ!$K$6:$K$9,速報_原データ!$I$6:$I$9,EDATE($A14,12),速報_原データ!$J$6:$J$9,G$3)/100),AVERAGE(G13,G15))))</f>
        <v>129.106628242075</v>
      </c>
      <c r="H14" s="20" t="n">
        <f aca="false">IF(COUNTIFS(速報_原データ!$A$5:$A$200,$A14,速報_原データ!$B$5:$B$200,H$3)&gt;0,SUMIFS(速報_原データ!$C$5:$C$200,速報_原データ!$A$5:$A$200,$A14,速報_原データ!$B$5:$B$200,H$3)/100,IF(COUNTIFS(速報_原データ!$A$5:$A$200,EDATE($A14,12),速報_原データ!$B$5:$B$200,H$3)&gt;0,SUMIFS(速報_原データ!$C$5:$C$200,速報_原データ!$A$5:$A$200,EDATE($A14,12),速報_原データ!$B$5:$B$200,H$3)/100/(1+SUMIFS(速報_原データ!$D$5:$D$200,速報_原データ!$A$5:$A$200,EDATE($A14,12),速報_原データ!$B$5:$B$200,H$3)/100),IF(COUNTIFS(速報_原データ!$I$6:$I$9,EDATE($A14,12),速報_原データ!$J$6:$J$9,H$3)&gt;0,H26/(1+SUMIFS(速報_原データ!$K$6:$K$9,速報_原データ!$I$6:$I$9,EDATE($A14,12),速報_原データ!$J$6:$J$9,H$3)/100),AVERAGE(H13,H15))))</f>
        <v>187.635467980296</v>
      </c>
      <c r="I14" s="20" t="n">
        <f aca="false">B14-D14</f>
        <v>1670.32709552553</v>
      </c>
      <c r="J14" s="20" t="n">
        <f aca="false">C14-D14-E14-H14</f>
        <v>386.135599999628</v>
      </c>
      <c r="K14" s="2" t="s">
        <v>84</v>
      </c>
    </row>
    <row r="15" customFormat="false" ht="15" hidden="false" customHeight="false" outlineLevel="0" collapsed="false">
      <c r="A15" s="15" t="n">
        <v>45323</v>
      </c>
      <c r="B15" s="20" t="n">
        <f aca="false">IF(COUNTIFS(速報_原データ!$A$5:$A$200,$A15,速報_原データ!$B$5:$B$200,B$3)&gt;0,SUMIFS(速報_原データ!$C$5:$C$200,速報_原データ!$A$5:$A$200,$A15,速報_原データ!$B$5:$B$200,B$3)/100,IF(COUNTIFS(速報_原データ!$A$5:$A$200,EDATE($A15,12),速報_原データ!$B$5:$B$200,B$3)&gt;0,SUMIFS(速報_原データ!$C$5:$C$200,速報_原データ!$A$5:$A$200,EDATE($A15,12),速報_原データ!$B$5:$B$200,B$3)/100/(1+SUMIFS(速報_原データ!$D$5:$D$200,速報_原データ!$A$5:$A$200,EDATE($A15,12),速報_原データ!$B$5:$B$200,B$3)/100),IF(COUNTIFS(速報_原データ!$I$6:$I$9,EDATE($A15,12),速報_原データ!$J$6:$J$9,B$3)&gt;0,B27/(1+SUMIFS(速報_原データ!$K$6:$K$9,速報_原データ!$I$6:$I$9,EDATE($A15,12),速報_原データ!$J$6:$J$9,B$3)/100),AVERAGE(B14,B16))))</f>
        <v>3104.39749608764</v>
      </c>
      <c r="C15" s="20" t="n">
        <f aca="false">IF(COUNTIFS(速報_原データ!$A$5:$A$200,$A15,速報_原データ!$B$5:$B$200,C$3)&gt;0,SUMIFS(速報_原データ!$C$5:$C$200,速報_原データ!$A$5:$A$200,$A15,速報_原データ!$B$5:$B$200,C$3)/100,IF(COUNTIFS(速報_原データ!$A$5:$A$200,EDATE($A15,12),速報_原データ!$B$5:$B$200,C$3)&gt;0,SUMIFS(速報_原データ!$C$5:$C$200,速報_原データ!$A$5:$A$200,EDATE($A15,12),速報_原データ!$B$5:$B$200,C$3)/100/(1+SUMIFS(速報_原データ!$D$5:$D$200,速報_原データ!$A$5:$A$200,EDATE($A15,12),速報_原データ!$B$5:$B$200,C$3)/100),IF(COUNTIFS(速報_原データ!$I$6:$I$9,EDATE($A15,12),速報_原データ!$J$6:$J$9,C$3)&gt;0,C27/(1+SUMIFS(速報_原データ!$K$6:$K$9,速報_原データ!$I$6:$I$9,EDATE($A15,12),速報_原データ!$J$6:$J$9,C$3)/100),AVERAGE(C14,C16))))</f>
        <v>2612.64900662252</v>
      </c>
      <c r="D15" s="20" t="n">
        <f aca="false">IF(COUNTIFS(速報_原データ!$A$5:$A$200,$A15,速報_原データ!$B$5:$B$200,D$3)&gt;0,SUMIFS(速報_原データ!$C$5:$C$200,速報_原データ!$A$5:$A$200,$A15,速報_原データ!$B$5:$B$200,D$3)/100,IF(COUNTIFS(速報_原データ!$A$5:$A$200,EDATE($A15,12),速報_原データ!$B$5:$B$200,D$3)&gt;0,SUMIFS(速報_原データ!$C$5:$C$200,速報_原データ!$A$5:$A$200,EDATE($A15,12),速報_原データ!$B$5:$B$200,D$3)/100/(1+SUMIFS(速報_原データ!$D$5:$D$200,速報_原データ!$A$5:$A$200,EDATE($A15,12),速報_原データ!$B$5:$B$200,D$3)/100),IF(COUNTIFS(速報_原データ!$I$6:$I$9,EDATE($A15,12),速報_原データ!$J$6:$J$9,D$3)&gt;0,D27/(1+SUMIFS(速報_原データ!$K$6:$K$9,速報_原データ!$I$6:$I$9,EDATE($A15,12),速報_原データ!$J$6:$J$9,D$3)/100),AVERAGE(D14,D16))))</f>
        <v>1655.83427922815</v>
      </c>
      <c r="E15" s="20" t="n">
        <f aca="false">IF(COUNTIFS(速報_原データ!$A$5:$A$200,$A15,速報_原データ!$B$5:$B$200,E$3)&gt;0,SUMIFS(速報_原データ!$C$5:$C$200,速報_原データ!$A$5:$A$200,$A15,速報_原データ!$B$5:$B$200,E$3)/100,IF(COUNTIFS(速報_原データ!$A$5:$A$200,EDATE($A15,12),速報_原データ!$B$5:$B$200,E$3)&gt;0,SUMIFS(速報_原データ!$C$5:$C$200,速報_原データ!$A$5:$A$200,EDATE($A15,12),速報_原データ!$B$5:$B$200,E$3)/100/(1+SUMIFS(速報_原データ!$D$5:$D$200,速報_原データ!$A$5:$A$200,EDATE($A15,12),速報_原データ!$B$5:$B$200,E$3)/100),IF(COUNTIFS(速報_原データ!$I$6:$I$9,EDATE($A15,12),速報_原データ!$J$6:$J$9,E$3)&gt;0,E27/(1+SUMIFS(速報_原データ!$K$6:$K$9,速報_原データ!$I$6:$I$9,EDATE($A15,12),速報_原データ!$J$6:$J$9,E$3)/100),AVERAGE(E14,E16))))</f>
        <v>487.676292813969</v>
      </c>
      <c r="F15" s="20" t="n">
        <f aca="false">IF(COUNTIFS(速報_原データ!$A$5:$A$200,$A15,速報_原データ!$B$5:$B$200,F$3)&gt;0,SUMIFS(速報_原データ!$C$5:$C$200,速報_原データ!$A$5:$A$200,$A15,速報_原データ!$B$5:$B$200,F$3)/100,IF(COUNTIFS(速報_原データ!$A$5:$A$200,EDATE($A15,12),速報_原データ!$B$5:$B$200,F$3)&gt;0,SUMIFS(速報_原データ!$C$5:$C$200,速報_原データ!$A$5:$A$200,EDATE($A15,12),速報_原データ!$B$5:$B$200,F$3)/100/(1+SUMIFS(速報_原データ!$D$5:$D$200,速報_原データ!$A$5:$A$200,EDATE($A15,12),速報_原データ!$B$5:$B$200,F$3)/100),IF(COUNTIFS(速報_原データ!$I$6:$I$9,EDATE($A15,12),速報_原データ!$J$6:$J$9,F$3)&gt;0,F27/(1+SUMIFS(速報_原データ!$K$6:$K$9,速報_原データ!$I$6:$I$9,EDATE($A15,12),速報_原データ!$J$6:$J$9,F$3)/100),AVERAGE(F14,F16))))</f>
        <v>360.672782874618</v>
      </c>
      <c r="G15" s="20" t="n">
        <f aca="false">IF(COUNTIFS(速報_原データ!$A$5:$A$200,$A15,速報_原データ!$B$5:$B$200,G$3)&gt;0,SUMIFS(速報_原データ!$C$5:$C$200,速報_原データ!$A$5:$A$200,$A15,速報_原データ!$B$5:$B$200,G$3)/100,IF(COUNTIFS(速報_原データ!$A$5:$A$200,EDATE($A15,12),速報_原データ!$B$5:$B$200,G$3)&gt;0,SUMIFS(速報_原データ!$C$5:$C$200,速報_原データ!$A$5:$A$200,EDATE($A15,12),速報_原データ!$B$5:$B$200,G$3)/100/(1+SUMIFS(速報_原データ!$D$5:$D$200,速報_原データ!$A$5:$A$200,EDATE($A15,12),速報_原データ!$B$5:$B$200,G$3)/100),IF(COUNTIFS(速報_原データ!$I$6:$I$9,EDATE($A15,12),速報_原データ!$J$6:$J$9,G$3)&gt;0,G27/(1+SUMIFS(速報_原データ!$K$6:$K$9,速報_原データ!$I$6:$I$9,EDATE($A15,12),速報_原データ!$J$6:$J$9,G$3)/100),AVERAGE(G14,G16))))</f>
        <v>126.608478802993</v>
      </c>
      <c r="H15" s="20" t="n">
        <f aca="false">IF(COUNTIFS(速報_原データ!$A$5:$A$200,$A15,速報_原データ!$B$5:$B$200,H$3)&gt;0,SUMIFS(速報_原データ!$C$5:$C$200,速報_原データ!$A$5:$A$200,$A15,速報_原データ!$B$5:$B$200,H$3)/100,IF(COUNTIFS(速報_原データ!$A$5:$A$200,EDATE($A15,12),速報_原データ!$B$5:$B$200,H$3)&gt;0,SUMIFS(速報_原データ!$C$5:$C$200,速報_原データ!$A$5:$A$200,EDATE($A15,12),速報_原データ!$B$5:$B$200,H$3)/100/(1+SUMIFS(速報_原データ!$D$5:$D$200,速報_原データ!$A$5:$A$200,EDATE($A15,12),速報_原データ!$B$5:$B$200,H$3)/100),IF(COUNTIFS(速報_原データ!$I$6:$I$9,EDATE($A15,12),速報_原データ!$J$6:$J$9,H$3)&gt;0,H27/(1+SUMIFS(速報_原データ!$K$6:$K$9,速報_原データ!$I$6:$I$9,EDATE($A15,12),速報_原データ!$J$6:$J$9,H$3)/100),AVERAGE(H14,H16))))</f>
        <v>148.754907459338</v>
      </c>
      <c r="I15" s="20" t="n">
        <f aca="false">B15-D15</f>
        <v>1448.56321685949</v>
      </c>
      <c r="J15" s="20" t="n">
        <f aca="false">C15-D15-E15-H15</f>
        <v>320.383527121059</v>
      </c>
      <c r="K15" s="2" t="s">
        <v>84</v>
      </c>
    </row>
    <row r="16" customFormat="false" ht="15" hidden="false" customHeight="false" outlineLevel="0" collapsed="false">
      <c r="A16" s="15" t="n">
        <v>45352</v>
      </c>
      <c r="B16" s="20" t="n">
        <f aca="false">IF(COUNTIFS(速報_原データ!$A$5:$A$200,$A16,速報_原データ!$B$5:$B$200,B$3)&gt;0,SUMIFS(速報_原データ!$C$5:$C$200,速報_原データ!$A$5:$A$200,$A16,速報_原データ!$B$5:$B$200,B$3)/100,IF(COUNTIFS(速報_原データ!$A$5:$A$200,EDATE($A16,12),速報_原データ!$B$5:$B$200,B$3)&gt;0,SUMIFS(速報_原データ!$C$5:$C$200,速報_原データ!$A$5:$A$200,EDATE($A16,12),速報_原データ!$B$5:$B$200,B$3)/100/(1+SUMIFS(速報_原データ!$D$5:$D$200,速報_原データ!$A$5:$A$200,EDATE($A16,12),速報_原データ!$B$5:$B$200,B$3)/100),IF(COUNTIFS(速報_原データ!$I$6:$I$9,EDATE($A16,12),速報_原データ!$J$6:$J$9,B$3)&gt;0,B28/(1+SUMIFS(速報_原データ!$K$6:$K$9,速報_原データ!$I$6:$I$9,EDATE($A16,12),速報_原データ!$J$6:$J$9,B$3)/100),AVERAGE(B15,B17))))</f>
        <v>4349.21465968586</v>
      </c>
      <c r="C16" s="20" t="n">
        <f aca="false">IF(COUNTIFS(速報_原データ!$A$5:$A$200,$A16,速報_原データ!$B$5:$B$200,C$3)&gt;0,SUMIFS(速報_原データ!$C$5:$C$200,速報_原データ!$A$5:$A$200,$A16,速報_原データ!$B$5:$B$200,C$3)/100,IF(COUNTIFS(速報_原データ!$A$5:$A$200,EDATE($A16,12),速報_原データ!$B$5:$B$200,C$3)&gt;0,SUMIFS(速報_原データ!$C$5:$C$200,速報_原データ!$A$5:$A$200,EDATE($A16,12),速報_原データ!$B$5:$B$200,C$3)/100/(1+SUMIFS(速報_原データ!$D$5:$D$200,速報_原データ!$A$5:$A$200,EDATE($A16,12),速報_原データ!$B$5:$B$200,C$3)/100),IF(COUNTIFS(速報_原データ!$I$6:$I$9,EDATE($A16,12),速報_原データ!$J$6:$J$9,C$3)&gt;0,C28/(1+SUMIFS(速報_原データ!$K$6:$K$9,速報_原データ!$I$6:$I$9,EDATE($A16,12),速報_原データ!$J$6:$J$9,C$3)/100),AVERAGE(C15,C17))))</f>
        <v>3731.96856906534</v>
      </c>
      <c r="D16" s="20" t="n">
        <f aca="false">IF(COUNTIFS(速報_原データ!$A$5:$A$200,$A16,速報_原データ!$B$5:$B$200,D$3)&gt;0,SUMIFS(速報_原データ!$C$5:$C$200,速報_原データ!$A$5:$A$200,$A16,速報_原データ!$B$5:$B$200,D$3)/100,IF(COUNTIFS(速報_原データ!$A$5:$A$200,EDATE($A16,12),速報_原データ!$B$5:$B$200,D$3)&gt;0,SUMIFS(速報_原データ!$C$5:$C$200,速報_原データ!$A$5:$A$200,EDATE($A16,12),速報_原データ!$B$5:$B$200,D$3)/100/(1+SUMIFS(速報_原データ!$D$5:$D$200,速報_原データ!$A$5:$A$200,EDATE($A16,12),速報_原データ!$B$5:$B$200,D$3)/100),IF(COUNTIFS(速報_原データ!$I$6:$I$9,EDATE($A16,12),速報_原データ!$J$6:$J$9,D$3)&gt;0,D28/(1+SUMIFS(速報_原データ!$K$6:$K$9,速報_原データ!$I$6:$I$9,EDATE($A16,12),速報_原データ!$J$6:$J$9,D$3)/100),AVERAGE(D15,D17))))</f>
        <v>2315.77008928571</v>
      </c>
      <c r="E16" s="20" t="n">
        <f aca="false">IF(COUNTIFS(速報_原データ!$A$5:$A$200,$A16,速報_原データ!$B$5:$B$200,E$3)&gt;0,SUMIFS(速報_原データ!$C$5:$C$200,速報_原データ!$A$5:$A$200,$A16,速報_原データ!$B$5:$B$200,E$3)/100,IF(COUNTIFS(速報_原データ!$A$5:$A$200,EDATE($A16,12),速報_原データ!$B$5:$B$200,E$3)&gt;0,SUMIFS(速報_原データ!$C$5:$C$200,速報_原データ!$A$5:$A$200,EDATE($A16,12),速報_原データ!$B$5:$B$200,E$3)/100/(1+SUMIFS(速報_原データ!$D$5:$D$200,速報_原データ!$A$5:$A$200,EDATE($A16,12),速報_原データ!$B$5:$B$200,E$3)/100),IF(COUNTIFS(速報_原データ!$I$6:$I$9,EDATE($A16,12),速報_原データ!$J$6:$J$9,E$3)&gt;0,E28/(1+SUMIFS(速報_原データ!$K$6:$K$9,速報_原データ!$I$6:$I$9,EDATE($A16,12),速報_原データ!$J$6:$J$9,E$3)/100),AVERAGE(E15,E17))))</f>
        <v>603.341389728097</v>
      </c>
      <c r="F16" s="20" t="n">
        <f aca="false">IF(COUNTIFS(速報_原データ!$A$5:$A$200,$A16,速報_原データ!$B$5:$B$200,F$3)&gt;0,SUMIFS(速報_原データ!$C$5:$C$200,速報_原データ!$A$5:$A$200,$A16,速報_原データ!$B$5:$B$200,F$3)/100,IF(COUNTIFS(速報_原データ!$A$5:$A$200,EDATE($A16,12),速報_原データ!$B$5:$B$200,F$3)&gt;0,SUMIFS(速報_原データ!$C$5:$C$200,速報_原データ!$A$5:$A$200,EDATE($A16,12),速報_原データ!$B$5:$B$200,F$3)/100/(1+SUMIFS(速報_原データ!$D$5:$D$200,速報_原データ!$A$5:$A$200,EDATE($A16,12),速報_原データ!$B$5:$B$200,F$3)/100),IF(COUNTIFS(速報_原データ!$I$6:$I$9,EDATE($A16,12),速報_原データ!$J$6:$J$9,F$3)&gt;0,F28/(1+SUMIFS(速報_原データ!$K$6:$K$9,速報_原データ!$I$6:$I$9,EDATE($A16,12),速報_原データ!$J$6:$J$9,F$3)/100),AVERAGE(F15,F17))))</f>
        <v>463.943661971831</v>
      </c>
      <c r="G16" s="20" t="n">
        <f aca="false">IF(COUNTIFS(速報_原データ!$A$5:$A$200,$A16,速報_原データ!$B$5:$B$200,G$3)&gt;0,SUMIFS(速報_原データ!$C$5:$C$200,速報_原データ!$A$5:$A$200,$A16,速報_原データ!$B$5:$B$200,G$3)/100,IF(COUNTIFS(速報_原データ!$A$5:$A$200,EDATE($A16,12),速報_原データ!$B$5:$B$200,G$3)&gt;0,SUMIFS(速報_原データ!$C$5:$C$200,速報_原データ!$A$5:$A$200,EDATE($A16,12),速報_原データ!$B$5:$B$200,G$3)/100/(1+SUMIFS(速報_原データ!$D$5:$D$200,速報_原データ!$A$5:$A$200,EDATE($A16,12),速報_原データ!$B$5:$B$200,G$3)/100),IF(COUNTIFS(速報_原データ!$I$6:$I$9,EDATE($A16,12),速報_原データ!$J$6:$J$9,G$3)&gt;0,G28/(1+SUMIFS(速報_原データ!$K$6:$K$9,速報_原データ!$I$6:$I$9,EDATE($A16,12),速報_原データ!$J$6:$J$9,G$3)/100),AVERAGE(G15,G17))))</f>
        <v>145.264847512039</v>
      </c>
      <c r="H16" s="20" t="n">
        <f aca="false">IF(COUNTIFS(速報_原データ!$A$5:$A$200,$A16,速報_原データ!$B$5:$B$200,H$3)&gt;0,SUMIFS(速報_原データ!$C$5:$C$200,速報_原データ!$A$5:$A$200,$A16,速報_原データ!$B$5:$B$200,H$3)/100,IF(COUNTIFS(速報_原データ!$A$5:$A$200,EDATE($A16,12),速報_原データ!$B$5:$B$200,H$3)&gt;0,SUMIFS(速報_原データ!$C$5:$C$200,速報_原データ!$A$5:$A$200,EDATE($A16,12),速報_原データ!$B$5:$B$200,H$3)/100/(1+SUMIFS(速報_原データ!$D$5:$D$200,速報_原データ!$A$5:$A$200,EDATE($A16,12),速報_原データ!$B$5:$B$200,H$3)/100),IF(COUNTIFS(速報_原データ!$I$6:$I$9,EDATE($A16,12),速報_原データ!$J$6:$J$9,H$3)&gt;0,H28/(1+SUMIFS(速報_原データ!$K$6:$K$9,速報_原データ!$I$6:$I$9,EDATE($A16,12),速報_原データ!$J$6:$J$9,H$3)/100),AVERAGE(H15,H17))))</f>
        <v>191.925675675676</v>
      </c>
      <c r="I16" s="20" t="n">
        <f aca="false">B16-D16</f>
        <v>2033.44457040015</v>
      </c>
      <c r="J16" s="20" t="n">
        <f aca="false">C16-D16-E16-H16</f>
        <v>620.931414375856</v>
      </c>
      <c r="K16" s="2" t="s">
        <v>84</v>
      </c>
    </row>
    <row r="17" customFormat="false" ht="15" hidden="false" customHeight="false" outlineLevel="0" collapsed="false">
      <c r="A17" s="15" t="n">
        <v>45383</v>
      </c>
      <c r="B17" s="20" t="n">
        <f aca="false">IF(COUNTIFS(速報_原データ!$A$5:$A$200,$A17,速報_原データ!$B$5:$B$200,B$3)&gt;0,SUMIFS(速報_原データ!$C$5:$C$200,速報_原データ!$A$5:$A$200,$A17,速報_原データ!$B$5:$B$200,B$3)/100,IF(COUNTIFS(速報_原データ!$A$5:$A$200,EDATE($A17,12),速報_原データ!$B$5:$B$200,B$3)&gt;0,SUMIFS(速報_原データ!$C$5:$C$200,速報_原データ!$A$5:$A$200,EDATE($A17,12),速報_原データ!$B$5:$B$200,B$3)/100/(1+SUMIFS(速報_原データ!$D$5:$D$200,速報_原データ!$A$5:$A$200,EDATE($A17,12),速報_原データ!$B$5:$B$200,B$3)/100),IF(COUNTIFS(速報_原データ!$I$6:$I$9,EDATE($A17,12),速報_原データ!$J$6:$J$9,B$3)&gt;0,B29/(1+SUMIFS(速報_原データ!$K$6:$K$9,速報_原データ!$I$6:$I$9,EDATE($A17,12),速報_原データ!$J$6:$J$9,B$3)/100),AVERAGE(B16,B18))))</f>
        <v>3790.38</v>
      </c>
      <c r="C17" s="20" t="n">
        <f aca="false">IF(COUNTIFS(速報_原データ!$A$5:$A$200,$A17,速報_原データ!$B$5:$B$200,C$3)&gt;0,SUMIFS(速報_原データ!$C$5:$C$200,速報_原データ!$A$5:$A$200,$A17,速報_原データ!$B$5:$B$200,C$3)/100,IF(COUNTIFS(速報_原データ!$A$5:$A$200,EDATE($A17,12),速報_原データ!$B$5:$B$200,C$3)&gt;0,SUMIFS(速報_原データ!$C$5:$C$200,速報_原データ!$A$5:$A$200,EDATE($A17,12),速報_原データ!$B$5:$B$200,C$3)/100/(1+SUMIFS(速報_原データ!$D$5:$D$200,速報_原データ!$A$5:$A$200,EDATE($A17,12),速報_原データ!$B$5:$B$200,C$3)/100),IF(COUNTIFS(速報_原データ!$I$6:$I$9,EDATE($A17,12),速報_原データ!$J$6:$J$9,C$3)&gt;0,C29/(1+SUMIFS(速報_原データ!$K$6:$K$9,速報_原データ!$I$6:$I$9,EDATE($A17,12),速報_原データ!$J$6:$J$9,C$3)/100),AVERAGE(C16,C18))))</f>
        <v>3220.37</v>
      </c>
      <c r="D17" s="20" t="n">
        <f aca="false">IF(COUNTIFS(速報_原データ!$A$5:$A$200,$A17,速報_原データ!$B$5:$B$200,D$3)&gt;0,SUMIFS(速報_原データ!$C$5:$C$200,速報_原データ!$A$5:$A$200,$A17,速報_原データ!$B$5:$B$200,D$3)/100,IF(COUNTIFS(速報_原データ!$A$5:$A$200,EDATE($A17,12),速報_原データ!$B$5:$B$200,D$3)&gt;0,SUMIFS(速報_原データ!$C$5:$C$200,速報_原データ!$A$5:$A$200,EDATE($A17,12),速報_原データ!$B$5:$B$200,D$3)/100/(1+SUMIFS(速報_原データ!$D$5:$D$200,速報_原データ!$A$5:$A$200,EDATE($A17,12),速報_原データ!$B$5:$B$200,D$3)/100),IF(COUNTIFS(速報_原データ!$I$6:$I$9,EDATE($A17,12),速報_原データ!$J$6:$J$9,D$3)&gt;0,D29/(1+SUMIFS(速報_原データ!$K$6:$K$9,速報_原データ!$I$6:$I$9,EDATE($A17,12),速報_原データ!$J$6:$J$9,D$3)/100),AVERAGE(D16,D18))))</f>
        <v>1888.66</v>
      </c>
      <c r="E17" s="20" t="n">
        <f aca="false">IF(COUNTIFS(速報_原データ!$A$5:$A$200,$A17,速報_原データ!$B$5:$B$200,E$3)&gt;0,SUMIFS(速報_原データ!$C$5:$C$200,速報_原データ!$A$5:$A$200,$A17,速報_原データ!$B$5:$B$200,E$3)/100,IF(COUNTIFS(速報_原データ!$A$5:$A$200,EDATE($A17,12),速報_原データ!$B$5:$B$200,E$3)&gt;0,SUMIFS(速報_原データ!$C$5:$C$200,速報_原データ!$A$5:$A$200,EDATE($A17,12),速報_原データ!$B$5:$B$200,E$3)/100/(1+SUMIFS(速報_原データ!$D$5:$D$200,速報_原データ!$A$5:$A$200,EDATE($A17,12),速報_原データ!$B$5:$B$200,E$3)/100),IF(COUNTIFS(速報_原データ!$I$6:$I$9,EDATE($A17,12),速報_原データ!$J$6:$J$9,E$3)&gt;0,E29/(1+SUMIFS(速報_原データ!$K$6:$K$9,速報_原データ!$I$6:$I$9,EDATE($A17,12),速報_原データ!$J$6:$J$9,E$3)/100),AVERAGE(E16,E18))))</f>
        <v>450.82</v>
      </c>
      <c r="F17" s="20" t="n">
        <f aca="false">IF(COUNTIFS(速報_原データ!$A$5:$A$200,$A17,速報_原データ!$B$5:$B$200,F$3)&gt;0,SUMIFS(速報_原データ!$C$5:$C$200,速報_原データ!$A$5:$A$200,$A17,速報_原データ!$B$5:$B$200,F$3)/100,IF(COUNTIFS(速報_原データ!$A$5:$A$200,EDATE($A17,12),速報_原データ!$B$5:$B$200,F$3)&gt;0,SUMIFS(速報_原データ!$C$5:$C$200,速報_原データ!$A$5:$A$200,EDATE($A17,12),速報_原データ!$B$5:$B$200,F$3)/100/(1+SUMIFS(速報_原データ!$D$5:$D$200,速報_原データ!$A$5:$A$200,EDATE($A17,12),速報_原データ!$B$5:$B$200,F$3)/100),IF(COUNTIFS(速報_原データ!$I$6:$I$9,EDATE($A17,12),速報_原データ!$J$6:$J$9,F$3)&gt;0,F29/(1+SUMIFS(速報_原データ!$K$6:$K$9,速報_原データ!$I$6:$I$9,EDATE($A17,12),速報_原データ!$J$6:$J$9,F$3)/100),AVERAGE(F16,F18))))</f>
        <v>428.38</v>
      </c>
      <c r="G17" s="20" t="n">
        <f aca="false">IF(COUNTIFS(速報_原データ!$A$5:$A$200,$A17,速報_原データ!$B$5:$B$200,G$3)&gt;0,SUMIFS(速報_原データ!$C$5:$C$200,速報_原データ!$A$5:$A$200,$A17,速報_原データ!$B$5:$B$200,G$3)/100,IF(COUNTIFS(速報_原データ!$A$5:$A$200,EDATE($A17,12),速報_原データ!$B$5:$B$200,G$3)&gt;0,SUMIFS(速報_原データ!$C$5:$C$200,速報_原データ!$A$5:$A$200,EDATE($A17,12),速報_原データ!$B$5:$B$200,G$3)/100/(1+SUMIFS(速報_原データ!$D$5:$D$200,速報_原データ!$A$5:$A$200,EDATE($A17,12),速報_原データ!$B$5:$B$200,G$3)/100),IF(COUNTIFS(速報_原データ!$I$6:$I$9,EDATE($A17,12),速報_原データ!$J$6:$J$9,G$3)&gt;0,G29/(1+SUMIFS(速報_原データ!$K$6:$K$9,速報_原データ!$I$6:$I$9,EDATE($A17,12),速報_原データ!$J$6:$J$9,G$3)/100),AVERAGE(G16,G18))))</f>
        <v>122.8</v>
      </c>
      <c r="H17" s="20" t="n">
        <f aca="false">IF(COUNTIFS(速報_原データ!$A$5:$A$200,$A17,速報_原データ!$B$5:$B$200,H$3)&gt;0,SUMIFS(速報_原データ!$C$5:$C$200,速報_原データ!$A$5:$A$200,$A17,速報_原データ!$B$5:$B$200,H$3)/100,IF(COUNTIFS(速報_原データ!$A$5:$A$200,EDATE($A17,12),速報_原データ!$B$5:$B$200,H$3)&gt;0,SUMIFS(速報_原データ!$C$5:$C$200,速報_原データ!$A$5:$A$200,EDATE($A17,12),速報_原データ!$B$5:$B$200,H$3)/100/(1+SUMIFS(速報_原データ!$D$5:$D$200,速報_原データ!$A$5:$A$200,EDATE($A17,12),速報_原データ!$B$5:$B$200,H$3)/100),IF(COUNTIFS(速報_原データ!$I$6:$I$9,EDATE($A17,12),速報_原データ!$J$6:$J$9,H$3)&gt;0,H29/(1+SUMIFS(速報_原データ!$K$6:$K$9,速報_原データ!$I$6:$I$9,EDATE($A17,12),速報_原データ!$J$6:$J$9,H$3)/100),AVERAGE(H16,H18))))</f>
        <v>175.42</v>
      </c>
      <c r="I17" s="20" t="n">
        <f aca="false">B17-D17</f>
        <v>1901.72</v>
      </c>
      <c r="J17" s="20" t="n">
        <f aca="false">C17-D17-E17-H17</f>
        <v>705.47</v>
      </c>
      <c r="K17" s="2" t="s">
        <v>86</v>
      </c>
    </row>
    <row r="18" customFormat="false" ht="15" hidden="false" customHeight="false" outlineLevel="0" collapsed="false">
      <c r="A18" s="15" t="n">
        <v>45413</v>
      </c>
      <c r="B18" s="20" t="n">
        <f aca="false">IF(COUNTIFS(速報_原データ!$A$5:$A$200,$A18,速報_原データ!$B$5:$B$200,B$3)&gt;0,SUMIFS(速報_原データ!$C$5:$C$200,速報_原データ!$A$5:$A$200,$A18,速報_原データ!$B$5:$B$200,B$3)/100,IF(COUNTIFS(速報_原データ!$A$5:$A$200,EDATE($A18,12),速報_原データ!$B$5:$B$200,B$3)&gt;0,SUMIFS(速報_原データ!$C$5:$C$200,速報_原データ!$A$5:$A$200,EDATE($A18,12),速報_原データ!$B$5:$B$200,B$3)/100/(1+SUMIFS(速報_原データ!$D$5:$D$200,速報_原データ!$A$5:$A$200,EDATE($A18,12),速報_原データ!$B$5:$B$200,B$3)/100),IF(COUNTIFS(速報_原データ!$I$6:$I$9,EDATE($A18,12),速報_原データ!$J$6:$J$9,B$3)&gt;0,B30/(1+SUMIFS(速報_原データ!$K$6:$K$9,速報_原データ!$I$6:$I$9,EDATE($A18,12),速報_原データ!$J$6:$J$9,B$3)/100),AVERAGE(B17,B19))))</f>
        <v>3426.05779153767</v>
      </c>
      <c r="C18" s="20" t="n">
        <f aca="false">IF(COUNTIFS(速報_原データ!$A$5:$A$200,$A18,速報_原データ!$B$5:$B$200,C$3)&gt;0,SUMIFS(速報_原データ!$C$5:$C$200,速報_原データ!$A$5:$A$200,$A18,速報_原データ!$B$5:$B$200,C$3)/100,IF(COUNTIFS(速報_原データ!$A$5:$A$200,EDATE($A18,12),速報_原データ!$B$5:$B$200,C$3)&gt;0,SUMIFS(速報_原データ!$C$5:$C$200,速報_原データ!$A$5:$A$200,EDATE($A18,12),速報_原データ!$B$5:$B$200,C$3)/100/(1+SUMIFS(速報_原データ!$D$5:$D$200,速報_原データ!$A$5:$A$200,EDATE($A18,12),速報_原データ!$B$5:$B$200,C$3)/100),IF(COUNTIFS(速報_原データ!$I$6:$I$9,EDATE($A18,12),速報_原データ!$J$6:$J$9,C$3)&gt;0,C30/(1+SUMIFS(速報_原データ!$K$6:$K$9,速報_原データ!$I$6:$I$9,EDATE($A18,12),速報_原データ!$J$6:$J$9,C$3)/100),AVERAGE(C17,C19))))</f>
        <v>2963.63817097416</v>
      </c>
      <c r="D18" s="20" t="n">
        <f aca="false">IF(COUNTIFS(速報_原データ!$A$5:$A$200,$A18,速報_原データ!$B$5:$B$200,D$3)&gt;0,SUMIFS(速報_原データ!$C$5:$C$200,速報_原データ!$A$5:$A$200,$A18,速報_原データ!$B$5:$B$200,D$3)/100,IF(COUNTIFS(速報_原データ!$A$5:$A$200,EDATE($A18,12),速報_原データ!$B$5:$B$200,D$3)&gt;0,SUMIFS(速報_原データ!$C$5:$C$200,速報_原データ!$A$5:$A$200,EDATE($A18,12),速報_原データ!$B$5:$B$200,D$3)/100/(1+SUMIFS(速報_原データ!$D$5:$D$200,速報_原データ!$A$5:$A$200,EDATE($A18,12),速報_原データ!$B$5:$B$200,D$3)/100),IF(COUNTIFS(速報_原データ!$I$6:$I$9,EDATE($A18,12),速報_原データ!$J$6:$J$9,D$3)&gt;0,D30/(1+SUMIFS(速報_原データ!$K$6:$K$9,速報_原データ!$I$6:$I$9,EDATE($A18,12),速報_原データ!$J$6:$J$9,D$3)/100),AVERAGE(D17,D19))))</f>
        <v>1884.57215836526</v>
      </c>
      <c r="E18" s="20" t="n">
        <f aca="false">IF(COUNTIFS(速報_原データ!$A$5:$A$200,$A18,速報_原データ!$B$5:$B$200,E$3)&gt;0,SUMIFS(速報_原データ!$C$5:$C$200,速報_原データ!$A$5:$A$200,$A18,速報_原データ!$B$5:$B$200,E$3)/100,IF(COUNTIFS(速報_原データ!$A$5:$A$200,EDATE($A18,12),速報_原データ!$B$5:$B$200,E$3)&gt;0,SUMIFS(速報_原データ!$C$5:$C$200,速報_原データ!$A$5:$A$200,EDATE($A18,12),速報_原データ!$B$5:$B$200,E$3)/100/(1+SUMIFS(速報_原データ!$D$5:$D$200,速報_原データ!$A$5:$A$200,EDATE($A18,12),速報_原データ!$B$5:$B$200,E$3)/100),IF(COUNTIFS(速報_原データ!$I$6:$I$9,EDATE($A18,12),速報_原データ!$J$6:$J$9,E$3)&gt;0,E30/(1+SUMIFS(速報_原データ!$K$6:$K$9,速報_原データ!$I$6:$I$9,EDATE($A18,12),速報_原データ!$J$6:$J$9,E$3)/100),AVERAGE(E17,E19))))</f>
        <v>390.042301184433</v>
      </c>
      <c r="F18" s="20" t="n">
        <f aca="false">IF(COUNTIFS(速報_原データ!$A$5:$A$200,$A18,速報_原データ!$B$5:$B$200,F$3)&gt;0,SUMIFS(速報_原データ!$C$5:$C$200,速報_原データ!$A$5:$A$200,$A18,速報_原データ!$B$5:$B$200,F$3)/100,IF(COUNTIFS(速報_原データ!$A$5:$A$200,EDATE($A18,12),速報_原データ!$B$5:$B$200,F$3)&gt;0,SUMIFS(速報_原データ!$C$5:$C$200,速報_原データ!$A$5:$A$200,EDATE($A18,12),速報_原データ!$B$5:$B$200,F$3)/100/(1+SUMIFS(速報_原データ!$D$5:$D$200,速報_原データ!$A$5:$A$200,EDATE($A18,12),速報_原データ!$B$5:$B$200,F$3)/100),IF(COUNTIFS(速報_原データ!$I$6:$I$9,EDATE($A18,12),速報_原データ!$J$6:$J$9,F$3)&gt;0,F30/(1+SUMIFS(速報_原データ!$K$6:$K$9,速報_原データ!$I$6:$I$9,EDATE($A18,12),速報_原データ!$J$6:$J$9,F$3)/100),AVERAGE(F17,F19))))</f>
        <v>394.274924471299</v>
      </c>
      <c r="G18" s="20" t="n">
        <f aca="false">IF(COUNTIFS(速報_原データ!$A$5:$A$200,$A18,速報_原データ!$B$5:$B$200,G$3)&gt;0,SUMIFS(速報_原データ!$C$5:$C$200,速報_原データ!$A$5:$A$200,$A18,速報_原データ!$B$5:$B$200,G$3)/100,IF(COUNTIFS(速報_原データ!$A$5:$A$200,EDATE($A18,12),速報_原データ!$B$5:$B$200,G$3)&gt;0,SUMIFS(速報_原データ!$C$5:$C$200,速報_原データ!$A$5:$A$200,EDATE($A18,12),速報_原データ!$B$5:$B$200,G$3)/100/(1+SUMIFS(速報_原データ!$D$5:$D$200,速報_原データ!$A$5:$A$200,EDATE($A18,12),速報_原データ!$B$5:$B$200,G$3)/100),IF(COUNTIFS(速報_原データ!$I$6:$I$9,EDATE($A18,12),速報_原データ!$J$6:$J$9,G$3)&gt;0,G30/(1+SUMIFS(速報_原データ!$K$6:$K$9,速報_原データ!$I$6:$I$9,EDATE($A18,12),速報_原データ!$J$6:$J$9,G$3)/100),AVERAGE(G17,G19))))</f>
        <v>59.2390331244405</v>
      </c>
      <c r="H18" s="20" t="n">
        <f aca="false">IF(COUNTIFS(速報_原データ!$A$5:$A$200,$A18,速報_原データ!$B$5:$B$200,H$3)&gt;0,SUMIFS(速報_原データ!$C$5:$C$200,速報_原データ!$A$5:$A$200,$A18,速報_原データ!$B$5:$B$200,H$3)/100,IF(COUNTIFS(速報_原データ!$A$5:$A$200,EDATE($A18,12),速報_原データ!$B$5:$B$200,H$3)&gt;0,SUMIFS(速報_原データ!$C$5:$C$200,速報_原データ!$A$5:$A$200,EDATE($A18,12),速報_原データ!$B$5:$B$200,H$3)/100/(1+SUMIFS(速報_原データ!$D$5:$D$200,速報_原データ!$A$5:$A$200,EDATE($A18,12),速報_原データ!$B$5:$B$200,H$3)/100),IF(COUNTIFS(速報_原データ!$I$6:$I$9,EDATE($A18,12),速報_原データ!$J$6:$J$9,H$3)&gt;0,H30/(1+SUMIFS(速報_原データ!$K$6:$K$9,速報_原データ!$I$6:$I$9,EDATE($A18,12),速報_原データ!$J$6:$J$9,H$3)/100),AVERAGE(H17,H19))))</f>
        <v>284.55298013245</v>
      </c>
      <c r="I18" s="20" t="n">
        <f aca="false">B18-D18</f>
        <v>1541.48563317241</v>
      </c>
      <c r="J18" s="20" t="n">
        <f aca="false">C18-D18-E18-H18</f>
        <v>404.47073129201</v>
      </c>
      <c r="K18" s="2" t="s">
        <v>84</v>
      </c>
    </row>
    <row r="19" customFormat="false" ht="15" hidden="false" customHeight="false" outlineLevel="0" collapsed="false">
      <c r="A19" s="15" t="n">
        <v>45444</v>
      </c>
      <c r="B19" s="20" t="n">
        <f aca="false">IF(COUNTIFS(速報_原データ!$A$5:$A$200,$A19,速報_原データ!$B$5:$B$200,B$3)&gt;0,SUMIFS(速報_原データ!$C$5:$C$200,速報_原データ!$A$5:$A$200,$A19,速報_原データ!$B$5:$B$200,B$3)/100,IF(COUNTIFS(速報_原データ!$A$5:$A$200,EDATE($A19,12),速報_原データ!$B$5:$B$200,B$3)&gt;0,SUMIFS(速報_原データ!$C$5:$C$200,速報_原データ!$A$5:$A$200,EDATE($A19,12),速報_原データ!$B$5:$B$200,B$3)/100/(1+SUMIFS(速報_原データ!$D$5:$D$200,速報_原データ!$A$5:$A$200,EDATE($A19,12),速報_原データ!$B$5:$B$200,B$3)/100),IF(COUNTIFS(速報_原データ!$I$6:$I$9,EDATE($A19,12),速報_原データ!$J$6:$J$9,B$3)&gt;0,B31/(1+SUMIFS(速報_原データ!$K$6:$K$9,速報_原データ!$I$6:$I$9,EDATE($A19,12),速報_原データ!$J$6:$J$9,B$3)/100),AVERAGE(B18,B20))))</f>
        <v>3971.66</v>
      </c>
      <c r="C19" s="20" t="n">
        <f aca="false">IF(COUNTIFS(速報_原データ!$A$5:$A$200,$A19,速報_原データ!$B$5:$B$200,C$3)&gt;0,SUMIFS(速報_原データ!$C$5:$C$200,速報_原データ!$A$5:$A$200,$A19,速報_原データ!$B$5:$B$200,C$3)/100,IF(COUNTIFS(速報_原データ!$A$5:$A$200,EDATE($A19,12),速報_原データ!$B$5:$B$200,C$3)&gt;0,SUMIFS(速報_原データ!$C$5:$C$200,速報_原データ!$A$5:$A$200,EDATE($A19,12),速報_原データ!$B$5:$B$200,C$3)/100/(1+SUMIFS(速報_原データ!$D$5:$D$200,速報_原データ!$A$5:$A$200,EDATE($A19,12),速報_原データ!$B$5:$B$200,C$3)/100),IF(COUNTIFS(速報_原データ!$I$6:$I$9,EDATE($A19,12),速報_原データ!$J$6:$J$9,C$3)&gt;0,C31/(1+SUMIFS(速報_原データ!$K$6:$K$9,速報_原データ!$I$6:$I$9,EDATE($A19,12),速報_原データ!$J$6:$J$9,C$3)/100),AVERAGE(C18,C20))))</f>
        <v>3382.11</v>
      </c>
      <c r="D19" s="20" t="n">
        <f aca="false">IF(COUNTIFS(速報_原データ!$A$5:$A$200,$A19,速報_原データ!$B$5:$B$200,D$3)&gt;0,SUMIFS(速報_原データ!$C$5:$C$200,速報_原データ!$A$5:$A$200,$A19,速報_原データ!$B$5:$B$200,D$3)/100,IF(COUNTIFS(速報_原データ!$A$5:$A$200,EDATE($A19,12),速報_原データ!$B$5:$B$200,D$3)&gt;0,SUMIFS(速報_原データ!$C$5:$C$200,速報_原データ!$A$5:$A$200,EDATE($A19,12),速報_原データ!$B$5:$B$200,D$3)/100/(1+SUMIFS(速報_原データ!$D$5:$D$200,速報_原データ!$A$5:$A$200,EDATE($A19,12),速報_原データ!$B$5:$B$200,D$3)/100),IF(COUNTIFS(速報_原データ!$I$6:$I$9,EDATE($A19,12),速報_原データ!$J$6:$J$9,D$3)&gt;0,D31/(1+SUMIFS(速報_原データ!$K$6:$K$9,速報_原データ!$I$6:$I$9,EDATE($A19,12),速報_原データ!$J$6:$J$9,D$3)/100),AVERAGE(D18,D20))))</f>
        <v>1925.84</v>
      </c>
      <c r="E19" s="20" t="n">
        <f aca="false">IF(COUNTIFS(速報_原データ!$A$5:$A$200,$A19,速報_原データ!$B$5:$B$200,E$3)&gt;0,SUMIFS(速報_原データ!$C$5:$C$200,速報_原データ!$A$5:$A$200,$A19,速報_原データ!$B$5:$B$200,E$3)/100,IF(COUNTIFS(速報_原データ!$A$5:$A$200,EDATE($A19,12),速報_原データ!$B$5:$B$200,E$3)&gt;0,SUMIFS(速報_原データ!$C$5:$C$200,速報_原データ!$A$5:$A$200,EDATE($A19,12),速報_原データ!$B$5:$B$200,E$3)/100/(1+SUMIFS(速報_原データ!$D$5:$D$200,速報_原データ!$A$5:$A$200,EDATE($A19,12),速報_原データ!$B$5:$B$200,E$3)/100),IF(COUNTIFS(速報_原データ!$I$6:$I$9,EDATE($A19,12),速報_原データ!$J$6:$J$9,E$3)&gt;0,E31/(1+SUMIFS(速報_原データ!$K$6:$K$9,速報_原データ!$I$6:$I$9,EDATE($A19,12),速報_原データ!$J$6:$J$9,E$3)/100),AVERAGE(E18,E20))))</f>
        <v>543.49</v>
      </c>
      <c r="F19" s="20" t="n">
        <f aca="false">IF(COUNTIFS(速報_原データ!$A$5:$A$200,$A19,速報_原データ!$B$5:$B$200,F$3)&gt;0,SUMIFS(速報_原データ!$C$5:$C$200,速報_原データ!$A$5:$A$200,$A19,速報_原データ!$B$5:$B$200,F$3)/100,IF(COUNTIFS(速報_原データ!$A$5:$A$200,EDATE($A19,12),速報_原データ!$B$5:$B$200,F$3)&gt;0,SUMIFS(速報_原データ!$C$5:$C$200,速報_原データ!$A$5:$A$200,EDATE($A19,12),速報_原データ!$B$5:$B$200,F$3)/100/(1+SUMIFS(速報_原データ!$D$5:$D$200,速報_原データ!$A$5:$A$200,EDATE($A19,12),速報_原データ!$B$5:$B$200,F$3)/100),IF(COUNTIFS(速報_原データ!$I$6:$I$9,EDATE($A19,12),速報_原データ!$J$6:$J$9,F$3)&gt;0,F31/(1+SUMIFS(速報_原データ!$K$6:$K$9,速報_原データ!$I$6:$I$9,EDATE($A19,12),速報_原データ!$J$6:$J$9,F$3)/100),AVERAGE(F18,F20))))</f>
        <v>479.81</v>
      </c>
      <c r="G19" s="20" t="n">
        <f aca="false">IF(COUNTIFS(速報_原データ!$A$5:$A$200,$A19,速報_原データ!$B$5:$B$200,G$3)&gt;0,SUMIFS(速報_原データ!$C$5:$C$200,速報_原データ!$A$5:$A$200,$A19,速報_原データ!$B$5:$B$200,G$3)/100,IF(COUNTIFS(速報_原データ!$A$5:$A$200,EDATE($A19,12),速報_原データ!$B$5:$B$200,G$3)&gt;0,SUMIFS(速報_原データ!$C$5:$C$200,速報_原データ!$A$5:$A$200,EDATE($A19,12),速報_原データ!$B$5:$B$200,G$3)/100/(1+SUMIFS(速報_原データ!$D$5:$D$200,速報_原データ!$A$5:$A$200,EDATE($A19,12),速報_原データ!$B$5:$B$200,G$3)/100),IF(COUNTIFS(速報_原データ!$I$6:$I$9,EDATE($A19,12),速報_原データ!$J$6:$J$9,G$3)&gt;0,G31/(1+SUMIFS(速報_原データ!$K$6:$K$9,速報_原データ!$I$6:$I$9,EDATE($A19,12),速報_原データ!$J$6:$J$9,G$3)/100),AVERAGE(G18,G20))))</f>
        <v>104.19</v>
      </c>
      <c r="H19" s="20" t="n">
        <f aca="false">IF(COUNTIFS(速報_原データ!$A$5:$A$200,$A19,速報_原データ!$B$5:$B$200,H$3)&gt;0,SUMIFS(速報_原データ!$C$5:$C$200,速報_原データ!$A$5:$A$200,$A19,速報_原データ!$B$5:$B$200,H$3)/100,IF(COUNTIFS(速報_原データ!$A$5:$A$200,EDATE($A19,12),速報_原データ!$B$5:$B$200,H$3)&gt;0,SUMIFS(速報_原データ!$C$5:$C$200,速報_原データ!$A$5:$A$200,EDATE($A19,12),速報_原データ!$B$5:$B$200,H$3)/100/(1+SUMIFS(速報_原データ!$D$5:$D$200,速報_原データ!$A$5:$A$200,EDATE($A19,12),速報_原データ!$B$5:$B$200,H$3)/100),IF(COUNTIFS(速報_原データ!$I$6:$I$9,EDATE($A19,12),速報_原データ!$J$6:$J$9,H$3)&gt;0,H31/(1+SUMIFS(速報_原データ!$K$6:$K$9,速報_原データ!$I$6:$I$9,EDATE($A19,12),速報_原データ!$J$6:$J$9,H$3)/100),AVERAGE(H18,H20))))</f>
        <v>161.56</v>
      </c>
      <c r="I19" s="20" t="n">
        <f aca="false">B19-D19</f>
        <v>2045.82</v>
      </c>
      <c r="J19" s="20" t="n">
        <f aca="false">C19-D19-E19-H19</f>
        <v>751.22</v>
      </c>
      <c r="K19" s="2" t="s">
        <v>86</v>
      </c>
    </row>
    <row r="20" customFormat="false" ht="15" hidden="false" customHeight="false" outlineLevel="0" collapsed="false">
      <c r="A20" s="15" t="n">
        <v>45474</v>
      </c>
      <c r="B20" s="20" t="n">
        <f aca="false">IF(COUNTIFS(速報_原データ!$A$5:$A$200,$A20,速報_原データ!$B$5:$B$200,B$3)&gt;0,SUMIFS(速報_原データ!$C$5:$C$200,速報_原データ!$A$5:$A$200,$A20,速報_原データ!$B$5:$B$200,B$3)/100,IF(COUNTIFS(速報_原データ!$A$5:$A$200,EDATE($A20,12),速報_原データ!$B$5:$B$200,B$3)&gt;0,SUMIFS(速報_原データ!$C$5:$C$200,速報_原データ!$A$5:$A$200,EDATE($A20,12),速報_原データ!$B$5:$B$200,B$3)/100/(1+SUMIFS(速報_原データ!$D$5:$D$200,速報_原データ!$A$5:$A$200,EDATE($A20,12),速報_原データ!$B$5:$B$200,B$3)/100),IF(COUNTIFS(速報_原データ!$I$6:$I$9,EDATE($A20,12),速報_原データ!$J$6:$J$9,B$3)&gt;0,B32/(1+SUMIFS(速報_原データ!$K$6:$K$9,速報_原データ!$I$6:$I$9,EDATE($A20,12),速報_原データ!$J$6:$J$9,B$3)/100),AVERAGE(B19,B21))))</f>
        <v>3685.44</v>
      </c>
      <c r="C20" s="20" t="n">
        <f aca="false">IF(COUNTIFS(速報_原データ!$A$5:$A$200,$A20,速報_原データ!$B$5:$B$200,C$3)&gt;0,SUMIFS(速報_原データ!$C$5:$C$200,速報_原データ!$A$5:$A$200,$A20,速報_原データ!$B$5:$B$200,C$3)/100,IF(COUNTIFS(速報_原データ!$A$5:$A$200,EDATE($A20,12),速報_原データ!$B$5:$B$200,C$3)&gt;0,SUMIFS(速報_原データ!$C$5:$C$200,速報_原データ!$A$5:$A$200,EDATE($A20,12),速報_原データ!$B$5:$B$200,C$3)/100/(1+SUMIFS(速報_原データ!$D$5:$D$200,速報_原データ!$A$5:$A$200,EDATE($A20,12),速報_原データ!$B$5:$B$200,C$3)/100),IF(COUNTIFS(速報_原データ!$I$6:$I$9,EDATE($A20,12),速報_原データ!$J$6:$J$9,C$3)&gt;0,C32/(1+SUMIFS(速報_原データ!$K$6:$K$9,速報_原データ!$I$6:$I$9,EDATE($A20,12),速報_原データ!$J$6:$J$9,C$3)/100),AVERAGE(C19,C21))))</f>
        <v>3142.13</v>
      </c>
      <c r="D20" s="20" t="n">
        <f aca="false">IF(COUNTIFS(速報_原データ!$A$5:$A$200,$A20,速報_原データ!$B$5:$B$200,D$3)&gt;0,SUMIFS(速報_原データ!$C$5:$C$200,速報_原データ!$A$5:$A$200,$A20,速報_原データ!$B$5:$B$200,D$3)/100,IF(COUNTIFS(速報_原データ!$A$5:$A$200,EDATE($A20,12),速報_原データ!$B$5:$B$200,D$3)&gt;0,SUMIFS(速報_原データ!$C$5:$C$200,速報_原データ!$A$5:$A$200,EDATE($A20,12),速報_原データ!$B$5:$B$200,D$3)/100/(1+SUMIFS(速報_原データ!$D$5:$D$200,速報_原データ!$A$5:$A$200,EDATE($A20,12),速報_原データ!$B$5:$B$200,D$3)/100),IF(COUNTIFS(速報_原データ!$I$6:$I$9,EDATE($A20,12),速報_原データ!$J$6:$J$9,D$3)&gt;0,D32/(1+SUMIFS(速報_原データ!$K$6:$K$9,速報_原データ!$I$6:$I$9,EDATE($A20,12),速報_原データ!$J$6:$J$9,D$3)/100),AVERAGE(D19,D21))))</f>
        <v>1638.58</v>
      </c>
      <c r="E20" s="20" t="n">
        <f aca="false">IF(COUNTIFS(速報_原データ!$A$5:$A$200,$A20,速報_原データ!$B$5:$B$200,E$3)&gt;0,SUMIFS(速報_原データ!$C$5:$C$200,速報_原データ!$A$5:$A$200,$A20,速報_原データ!$B$5:$B$200,E$3)/100,IF(COUNTIFS(速報_原データ!$A$5:$A$200,EDATE($A20,12),速報_原データ!$B$5:$B$200,E$3)&gt;0,SUMIFS(速報_原データ!$C$5:$C$200,速報_原データ!$A$5:$A$200,EDATE($A20,12),速報_原データ!$B$5:$B$200,E$3)/100/(1+SUMIFS(速報_原データ!$D$5:$D$200,速報_原データ!$A$5:$A$200,EDATE($A20,12),速報_原データ!$B$5:$B$200,E$3)/100),IF(COUNTIFS(速報_原データ!$I$6:$I$9,EDATE($A20,12),速報_原データ!$J$6:$J$9,E$3)&gt;0,E32/(1+SUMIFS(速報_原データ!$K$6:$K$9,速報_原データ!$I$6:$I$9,EDATE($A20,12),速報_原データ!$J$6:$J$9,E$3)/100),AVERAGE(E19,E21))))</f>
        <v>511.93</v>
      </c>
      <c r="F20" s="20" t="n">
        <f aca="false">IF(COUNTIFS(速報_原データ!$A$5:$A$200,$A20,速報_原データ!$B$5:$B$200,F$3)&gt;0,SUMIFS(速報_原データ!$C$5:$C$200,速報_原データ!$A$5:$A$200,$A20,速報_原データ!$B$5:$B$200,F$3)/100,IF(COUNTIFS(速報_原データ!$A$5:$A$200,EDATE($A20,12),速報_原データ!$B$5:$B$200,F$3)&gt;0,SUMIFS(速報_原データ!$C$5:$C$200,速報_原データ!$A$5:$A$200,EDATE($A20,12),速報_原データ!$B$5:$B$200,F$3)/100/(1+SUMIFS(速報_原データ!$D$5:$D$200,速報_原データ!$A$5:$A$200,EDATE($A20,12),速報_原データ!$B$5:$B$200,F$3)/100),IF(COUNTIFS(速報_原データ!$I$6:$I$9,EDATE($A20,12),速報_原データ!$J$6:$J$9,F$3)&gt;0,F32/(1+SUMIFS(速報_原データ!$K$6:$K$9,速報_原データ!$I$6:$I$9,EDATE($A20,12),速報_原データ!$J$6:$J$9,F$3)/100),AVERAGE(F19,F21))))</f>
        <v>439.64</v>
      </c>
      <c r="G20" s="20" t="n">
        <f aca="false">IF(COUNTIFS(速報_原データ!$A$5:$A$200,$A20,速報_原データ!$B$5:$B$200,G$3)&gt;0,SUMIFS(速報_原データ!$C$5:$C$200,速報_原データ!$A$5:$A$200,$A20,速報_原データ!$B$5:$B$200,G$3)/100,IF(COUNTIFS(速報_原データ!$A$5:$A$200,EDATE($A20,12),速報_原データ!$B$5:$B$200,G$3)&gt;0,SUMIFS(速報_原データ!$C$5:$C$200,速報_原データ!$A$5:$A$200,EDATE($A20,12),速報_原データ!$B$5:$B$200,G$3)/100/(1+SUMIFS(速報_原データ!$D$5:$D$200,速報_原データ!$A$5:$A$200,EDATE($A20,12),速報_原データ!$B$5:$B$200,G$3)/100),IF(COUNTIFS(速報_原データ!$I$6:$I$9,EDATE($A20,12),速報_原データ!$J$6:$J$9,G$3)&gt;0,G32/(1+SUMIFS(速報_原データ!$K$6:$K$9,速報_原データ!$I$6:$I$9,EDATE($A20,12),速報_原データ!$J$6:$J$9,G$3)/100),AVERAGE(G19,G21))))</f>
        <v>87.83</v>
      </c>
      <c r="H20" s="20" t="n">
        <f aca="false">IF(COUNTIFS(速報_原データ!$A$5:$A$200,$A20,速報_原データ!$B$5:$B$200,H$3)&gt;0,SUMIFS(速報_原データ!$C$5:$C$200,速報_原データ!$A$5:$A$200,$A20,速報_原データ!$B$5:$B$200,H$3)/100,IF(COUNTIFS(速報_原データ!$A$5:$A$200,EDATE($A20,12),速報_原データ!$B$5:$B$200,H$3)&gt;0,SUMIFS(速報_原データ!$C$5:$C$200,速報_原データ!$A$5:$A$200,EDATE($A20,12),速報_原データ!$B$5:$B$200,H$3)/100/(1+SUMIFS(速報_原データ!$D$5:$D$200,速報_原データ!$A$5:$A$200,EDATE($A20,12),速報_原データ!$B$5:$B$200,H$3)/100),IF(COUNTIFS(速報_原データ!$I$6:$I$9,EDATE($A20,12),速報_原データ!$J$6:$J$9,H$3)&gt;0,H32/(1+SUMIFS(速報_原データ!$K$6:$K$9,速報_原データ!$I$6:$I$9,EDATE($A20,12),速報_原データ!$J$6:$J$9,H$3)/100),AVERAGE(H19,H21))))</f>
        <v>197.66</v>
      </c>
      <c r="I20" s="20" t="n">
        <f aca="false">B20-D20</f>
        <v>2046.86</v>
      </c>
      <c r="J20" s="20" t="n">
        <f aca="false">C20-D20-E20-H20</f>
        <v>793.96</v>
      </c>
      <c r="K20" s="2" t="s">
        <v>86</v>
      </c>
    </row>
    <row r="21" customFormat="false" ht="15" hidden="false" customHeight="false" outlineLevel="0" collapsed="false">
      <c r="A21" s="15" t="n">
        <v>45505</v>
      </c>
      <c r="B21" s="20" t="n">
        <f aca="false">IF(COUNTIFS(速報_原データ!$A$5:$A$200,$A21,速報_原データ!$B$5:$B$200,B$3)&gt;0,SUMIFS(速報_原データ!$C$5:$C$200,速報_原データ!$A$5:$A$200,$A21,速報_原データ!$B$5:$B$200,B$3)/100,IF(COUNTIFS(速報_原データ!$A$5:$A$200,EDATE($A21,12),速報_原データ!$B$5:$B$200,B$3)&gt;0,SUMIFS(速報_原データ!$C$5:$C$200,速報_原データ!$A$5:$A$200,EDATE($A21,12),速報_原データ!$B$5:$B$200,B$3)/100/(1+SUMIFS(速報_原データ!$D$5:$D$200,速報_原データ!$A$5:$A$200,EDATE($A21,12),速報_原データ!$B$5:$B$200,B$3)/100),IF(COUNTIFS(速報_原データ!$I$6:$I$9,EDATE($A21,12),速報_原データ!$J$6:$J$9,B$3)&gt;0,B33/(1+SUMIFS(速報_原データ!$K$6:$K$9,速報_原データ!$I$6:$I$9,EDATE($A21,12),速報_原データ!$J$6:$J$9,B$3)/100),AVERAGE(B20,B22))))</f>
        <v>3429.24</v>
      </c>
      <c r="C21" s="20" t="n">
        <f aca="false">IF(COUNTIFS(速報_原データ!$A$5:$A$200,$A21,速報_原データ!$B$5:$B$200,C$3)&gt;0,SUMIFS(速報_原データ!$C$5:$C$200,速報_原データ!$A$5:$A$200,$A21,速報_原データ!$B$5:$B$200,C$3)/100,IF(COUNTIFS(速報_原データ!$A$5:$A$200,EDATE($A21,12),速報_原データ!$B$5:$B$200,C$3)&gt;0,SUMIFS(速報_原データ!$C$5:$C$200,速報_原データ!$A$5:$A$200,EDATE($A21,12),速報_原データ!$B$5:$B$200,C$3)/100/(1+SUMIFS(速報_原データ!$D$5:$D$200,速報_原データ!$A$5:$A$200,EDATE($A21,12),速報_原データ!$B$5:$B$200,C$3)/100),IF(COUNTIFS(速報_原データ!$I$6:$I$9,EDATE($A21,12),速報_原データ!$J$6:$J$9,C$3)&gt;0,C33/(1+SUMIFS(速報_原データ!$K$6:$K$9,速報_原データ!$I$6:$I$9,EDATE($A21,12),速報_原データ!$J$6:$J$9,C$3)/100),AVERAGE(C20,C22))))</f>
        <v>2930.75</v>
      </c>
      <c r="D21" s="20" t="n">
        <f aca="false">IF(COUNTIFS(速報_原データ!$A$5:$A$200,$A21,速報_原データ!$B$5:$B$200,D$3)&gt;0,SUMIFS(速報_原データ!$C$5:$C$200,速報_原データ!$A$5:$A$200,$A21,速報_原データ!$B$5:$B$200,D$3)/100,IF(COUNTIFS(速報_原データ!$A$5:$A$200,EDATE($A21,12),速報_原データ!$B$5:$B$200,D$3)&gt;0,SUMIFS(速報_原データ!$C$5:$C$200,速報_原データ!$A$5:$A$200,EDATE($A21,12),速報_原データ!$B$5:$B$200,D$3)/100/(1+SUMIFS(速報_原データ!$D$5:$D$200,速報_原データ!$A$5:$A$200,EDATE($A21,12),速報_原データ!$B$5:$B$200,D$3)/100),IF(COUNTIFS(速報_原データ!$I$6:$I$9,EDATE($A21,12),速報_原データ!$J$6:$J$9,D$3)&gt;0,D33/(1+SUMIFS(速報_原データ!$K$6:$K$9,速報_原データ!$I$6:$I$9,EDATE($A21,12),速報_原データ!$J$6:$J$9,D$3)/100),AVERAGE(D20,D22))))</f>
        <v>1799.27</v>
      </c>
      <c r="E21" s="20" t="n">
        <f aca="false">IF(COUNTIFS(速報_原データ!$A$5:$A$200,$A21,速報_原データ!$B$5:$B$200,E$3)&gt;0,SUMIFS(速報_原データ!$C$5:$C$200,速報_原データ!$A$5:$A$200,$A21,速報_原データ!$B$5:$B$200,E$3)/100,IF(COUNTIFS(速報_原データ!$A$5:$A$200,EDATE($A21,12),速報_原データ!$B$5:$B$200,E$3)&gt;0,SUMIFS(速報_原データ!$C$5:$C$200,速報_原データ!$A$5:$A$200,EDATE($A21,12),速報_原データ!$B$5:$B$200,E$3)/100/(1+SUMIFS(速報_原データ!$D$5:$D$200,速報_原データ!$A$5:$A$200,EDATE($A21,12),速報_原データ!$B$5:$B$200,E$3)/100),IF(COUNTIFS(速報_原データ!$I$6:$I$9,EDATE($A21,12),速報_原データ!$J$6:$J$9,E$3)&gt;0,E33/(1+SUMIFS(速報_原データ!$K$6:$K$9,速報_原データ!$I$6:$I$9,EDATE($A21,12),速報_原データ!$J$6:$J$9,E$3)/100),AVERAGE(E20,E22))))</f>
        <v>448.78</v>
      </c>
      <c r="F21" s="20" t="n">
        <f aca="false">IF(COUNTIFS(速報_原データ!$A$5:$A$200,$A21,速報_原データ!$B$5:$B$200,F$3)&gt;0,SUMIFS(速報_原データ!$C$5:$C$200,速報_原データ!$A$5:$A$200,$A21,速報_原データ!$B$5:$B$200,F$3)/100,IF(COUNTIFS(速報_原データ!$A$5:$A$200,EDATE($A21,12),速報_原データ!$B$5:$B$200,F$3)&gt;0,SUMIFS(速報_原データ!$C$5:$C$200,速報_原データ!$A$5:$A$200,EDATE($A21,12),速報_原データ!$B$5:$B$200,F$3)/100/(1+SUMIFS(速報_原データ!$D$5:$D$200,速報_原データ!$A$5:$A$200,EDATE($A21,12),速報_原データ!$B$5:$B$200,F$3)/100),IF(COUNTIFS(速報_原データ!$I$6:$I$9,EDATE($A21,12),速報_原データ!$J$6:$J$9,F$3)&gt;0,F33/(1+SUMIFS(速報_原データ!$K$6:$K$9,速報_原データ!$I$6:$I$9,EDATE($A21,12),速報_原データ!$J$6:$J$9,F$3)/100),AVERAGE(F20,F22))))</f>
        <v>373.17</v>
      </c>
      <c r="G21" s="20" t="n">
        <f aca="false">IF(COUNTIFS(速報_原データ!$A$5:$A$200,$A21,速報_原データ!$B$5:$B$200,G$3)&gt;0,SUMIFS(速報_原データ!$C$5:$C$200,速報_原データ!$A$5:$A$200,$A21,速報_原データ!$B$5:$B$200,G$3)/100,IF(COUNTIFS(速報_原データ!$A$5:$A$200,EDATE($A21,12),速報_原データ!$B$5:$B$200,G$3)&gt;0,SUMIFS(速報_原データ!$C$5:$C$200,速報_原データ!$A$5:$A$200,EDATE($A21,12),速報_原データ!$B$5:$B$200,G$3)/100/(1+SUMIFS(速報_原データ!$D$5:$D$200,速報_原データ!$A$5:$A$200,EDATE($A21,12),速報_原データ!$B$5:$B$200,G$3)/100),IF(COUNTIFS(速報_原データ!$I$6:$I$9,EDATE($A21,12),速報_原データ!$J$6:$J$9,G$3)&gt;0,G33/(1+SUMIFS(速報_原データ!$K$6:$K$9,速報_原データ!$I$6:$I$9,EDATE($A21,12),速報_原データ!$J$6:$J$9,G$3)/100),AVERAGE(G20,G22))))</f>
        <v>116.18</v>
      </c>
      <c r="H21" s="20" t="n">
        <f aca="false">IF(COUNTIFS(速報_原データ!$A$5:$A$200,$A21,速報_原データ!$B$5:$B$200,H$3)&gt;0,SUMIFS(速報_原データ!$C$5:$C$200,速報_原データ!$A$5:$A$200,$A21,速報_原データ!$B$5:$B$200,H$3)/100,IF(COUNTIFS(速報_原データ!$A$5:$A$200,EDATE($A21,12),速報_原データ!$B$5:$B$200,H$3)&gt;0,SUMIFS(速報_原データ!$C$5:$C$200,速報_原データ!$A$5:$A$200,EDATE($A21,12),速報_原データ!$B$5:$B$200,H$3)/100/(1+SUMIFS(速報_原データ!$D$5:$D$200,速報_原データ!$A$5:$A$200,EDATE($A21,12),速報_原データ!$B$5:$B$200,H$3)/100),IF(COUNTIFS(速報_原データ!$I$6:$I$9,EDATE($A21,12),速報_原データ!$J$6:$J$9,H$3)&gt;0,H33/(1+SUMIFS(速報_原データ!$K$6:$K$9,速報_原データ!$I$6:$I$9,EDATE($A21,12),速報_原データ!$J$6:$J$9,H$3)/100),AVERAGE(H20,H22))))</f>
        <v>208.7</v>
      </c>
      <c r="I21" s="20" t="n">
        <f aca="false">B21-D21</f>
        <v>1629.97</v>
      </c>
      <c r="J21" s="20" t="n">
        <f aca="false">C21-D21-E21-H21</f>
        <v>474</v>
      </c>
      <c r="K21" s="2" t="s">
        <v>86</v>
      </c>
    </row>
    <row r="22" customFormat="false" ht="15" hidden="false" customHeight="false" outlineLevel="0" collapsed="false">
      <c r="A22" s="15" t="n">
        <v>45536</v>
      </c>
      <c r="B22" s="20" t="n">
        <f aca="false">IF(COUNTIFS(速報_原データ!$A$5:$A$200,$A22,速報_原データ!$B$5:$B$200,B$3)&gt;0,SUMIFS(速報_原データ!$C$5:$C$200,速報_原データ!$A$5:$A$200,$A22,速報_原データ!$B$5:$B$200,B$3)/100,IF(COUNTIFS(速報_原データ!$A$5:$A$200,EDATE($A22,12),速報_原データ!$B$5:$B$200,B$3)&gt;0,SUMIFS(速報_原データ!$C$5:$C$200,速報_原データ!$A$5:$A$200,EDATE($A22,12),速報_原データ!$B$5:$B$200,B$3)/100/(1+SUMIFS(速報_原データ!$D$5:$D$200,速報_原データ!$A$5:$A$200,EDATE($A22,12),速報_原データ!$B$5:$B$200,B$3)/100),IF(COUNTIFS(速報_原データ!$I$6:$I$9,EDATE($A22,12),速報_原データ!$J$6:$J$9,B$3)&gt;0,B34/(1+SUMIFS(速報_原データ!$K$6:$K$9,速報_原データ!$I$6:$I$9,EDATE($A22,12),速報_原データ!$J$6:$J$9,B$3)/100),AVERAGE(B21,B23))))</f>
        <v>3970.27</v>
      </c>
      <c r="C22" s="20" t="n">
        <f aca="false">IF(COUNTIFS(速報_原データ!$A$5:$A$200,$A22,速報_原データ!$B$5:$B$200,C$3)&gt;0,SUMIFS(速報_原データ!$C$5:$C$200,速報_原データ!$A$5:$A$200,$A22,速報_原データ!$B$5:$B$200,C$3)/100,IF(COUNTIFS(速報_原データ!$A$5:$A$200,EDATE($A22,12),速報_原データ!$B$5:$B$200,C$3)&gt;0,SUMIFS(速報_原データ!$C$5:$C$200,速報_原データ!$A$5:$A$200,EDATE($A22,12),速報_原データ!$B$5:$B$200,C$3)/100/(1+SUMIFS(速報_原データ!$D$5:$D$200,速報_原データ!$A$5:$A$200,EDATE($A22,12),速報_原データ!$B$5:$B$200,C$3)/100),IF(COUNTIFS(速報_原データ!$I$6:$I$9,EDATE($A22,12),速報_原データ!$J$6:$J$9,C$3)&gt;0,C34/(1+SUMIFS(速報_原データ!$K$6:$K$9,速報_原データ!$I$6:$I$9,EDATE($A22,12),速報_原データ!$J$6:$J$9,C$3)/100),AVERAGE(C21,C23))))</f>
        <v>3272.48</v>
      </c>
      <c r="D22" s="20" t="n">
        <f aca="false">IF(COUNTIFS(速報_原データ!$A$5:$A$200,$A22,速報_原データ!$B$5:$B$200,D$3)&gt;0,SUMIFS(速報_原データ!$C$5:$C$200,速報_原データ!$A$5:$A$200,$A22,速報_原データ!$B$5:$B$200,D$3)/100,IF(COUNTIFS(速報_原データ!$A$5:$A$200,EDATE($A22,12),速報_原データ!$B$5:$B$200,D$3)&gt;0,SUMIFS(速報_原データ!$C$5:$C$200,速報_原データ!$A$5:$A$200,EDATE($A22,12),速報_原データ!$B$5:$B$200,D$3)/100/(1+SUMIFS(速報_原データ!$D$5:$D$200,速報_原データ!$A$5:$A$200,EDATE($A22,12),速報_原データ!$B$5:$B$200,D$3)/100),IF(COUNTIFS(速報_原データ!$I$6:$I$9,EDATE($A22,12),速報_原データ!$J$6:$J$9,D$3)&gt;0,D34/(1+SUMIFS(速報_原データ!$K$6:$K$9,速報_原データ!$I$6:$I$9,EDATE($A22,12),速報_原データ!$J$6:$J$9,D$3)/100),AVERAGE(D21,D23))))</f>
        <v>1946.71</v>
      </c>
      <c r="E22" s="20" t="n">
        <f aca="false">IF(COUNTIFS(速報_原データ!$A$5:$A$200,$A22,速報_原データ!$B$5:$B$200,E$3)&gt;0,SUMIFS(速報_原データ!$C$5:$C$200,速報_原データ!$A$5:$A$200,$A22,速報_原データ!$B$5:$B$200,E$3)/100,IF(COUNTIFS(速報_原データ!$A$5:$A$200,EDATE($A22,12),速報_原データ!$B$5:$B$200,E$3)&gt;0,SUMIFS(速報_原データ!$C$5:$C$200,速報_原データ!$A$5:$A$200,EDATE($A22,12),速報_原データ!$B$5:$B$200,E$3)/100/(1+SUMIFS(速報_原データ!$D$5:$D$200,速報_原データ!$A$5:$A$200,EDATE($A22,12),速報_原データ!$B$5:$B$200,E$3)/100),IF(COUNTIFS(速報_原データ!$I$6:$I$9,EDATE($A22,12),速報_原データ!$J$6:$J$9,E$3)&gt;0,E34/(1+SUMIFS(速報_原データ!$K$6:$K$9,速報_原データ!$I$6:$I$9,EDATE($A22,12),速報_原データ!$J$6:$J$9,E$3)/100),AVERAGE(E21,E23))))</f>
        <v>480.86</v>
      </c>
      <c r="F22" s="20" t="n">
        <f aca="false">IF(COUNTIFS(速報_原データ!$A$5:$A$200,$A22,速報_原データ!$B$5:$B$200,F$3)&gt;0,SUMIFS(速報_原データ!$C$5:$C$200,速報_原データ!$A$5:$A$200,$A22,速報_原データ!$B$5:$B$200,F$3)/100,IF(COUNTIFS(速報_原データ!$A$5:$A$200,EDATE($A22,12),速報_原データ!$B$5:$B$200,F$3)&gt;0,SUMIFS(速報_原データ!$C$5:$C$200,速報_原データ!$A$5:$A$200,EDATE($A22,12),速報_原データ!$B$5:$B$200,F$3)/100/(1+SUMIFS(速報_原データ!$D$5:$D$200,速報_原データ!$A$5:$A$200,EDATE($A22,12),速報_原データ!$B$5:$B$200,F$3)/100),IF(COUNTIFS(速報_原データ!$I$6:$I$9,EDATE($A22,12),速報_原データ!$J$6:$J$9,F$3)&gt;0,F34/(1+SUMIFS(速報_原データ!$K$6:$K$9,速報_原データ!$I$6:$I$9,EDATE($A22,12),速報_原データ!$J$6:$J$9,F$3)/100),AVERAGE(F21,F23))))</f>
        <v>584.2</v>
      </c>
      <c r="G22" s="20" t="n">
        <f aca="false">IF(COUNTIFS(速報_原データ!$A$5:$A$200,$A22,速報_原データ!$B$5:$B$200,G$3)&gt;0,SUMIFS(速報_原データ!$C$5:$C$200,速報_原データ!$A$5:$A$200,$A22,速報_原データ!$B$5:$B$200,G$3)/100,IF(COUNTIFS(速報_原データ!$A$5:$A$200,EDATE($A22,12),速報_原データ!$B$5:$B$200,G$3)&gt;0,SUMIFS(速報_原データ!$C$5:$C$200,速報_原データ!$A$5:$A$200,EDATE($A22,12),速報_原データ!$B$5:$B$200,G$3)/100/(1+SUMIFS(速報_原データ!$D$5:$D$200,速報_原データ!$A$5:$A$200,EDATE($A22,12),速報_原データ!$B$5:$B$200,G$3)/100),IF(COUNTIFS(速報_原データ!$I$6:$I$9,EDATE($A22,12),速報_原データ!$J$6:$J$9,G$3)&gt;0,G34/(1+SUMIFS(速報_原データ!$K$6:$K$9,速報_原データ!$I$6:$I$9,EDATE($A22,12),速報_原データ!$J$6:$J$9,G$3)/100),AVERAGE(G21,G23))))</f>
        <v>101.66</v>
      </c>
      <c r="H22" s="20" t="n">
        <f aca="false">IF(COUNTIFS(速報_原データ!$A$5:$A$200,$A22,速報_原データ!$B$5:$B$200,H$3)&gt;0,SUMIFS(速報_原データ!$C$5:$C$200,速報_原データ!$A$5:$A$200,$A22,速報_原データ!$B$5:$B$200,H$3)/100,IF(COUNTIFS(速報_原データ!$A$5:$A$200,EDATE($A22,12),速報_原データ!$B$5:$B$200,H$3)&gt;0,SUMIFS(速報_原データ!$C$5:$C$200,速報_原データ!$A$5:$A$200,EDATE($A22,12),速報_原データ!$B$5:$B$200,H$3)/100/(1+SUMIFS(速報_原データ!$D$5:$D$200,速報_原データ!$A$5:$A$200,EDATE($A22,12),速報_原データ!$B$5:$B$200,H$3)/100),IF(COUNTIFS(速報_原データ!$I$6:$I$9,EDATE($A22,12),速報_原データ!$J$6:$J$9,H$3)&gt;0,H34/(1+SUMIFS(速報_原データ!$K$6:$K$9,速報_原データ!$I$6:$I$9,EDATE($A22,12),速報_原データ!$J$6:$J$9,H$3)/100),AVERAGE(H21,H23))))</f>
        <v>275.4</v>
      </c>
      <c r="I22" s="20" t="n">
        <f aca="false">B22-D22</f>
        <v>2023.56</v>
      </c>
      <c r="J22" s="20" t="n">
        <f aca="false">C22-D22-E22-H22</f>
        <v>569.51</v>
      </c>
      <c r="K22" s="2" t="s">
        <v>86</v>
      </c>
    </row>
    <row r="23" customFormat="false" ht="15" hidden="false" customHeight="false" outlineLevel="0" collapsed="false">
      <c r="A23" s="15" t="n">
        <v>45566</v>
      </c>
      <c r="B23" s="20" t="n">
        <f aca="false">IF(COUNTIFS(速報_原データ!$A$5:$A$200,$A23,速報_原データ!$B$5:$B$200,B$3)&gt;0,SUMIFS(速報_原データ!$C$5:$C$200,速報_原データ!$A$5:$A$200,$A23,速報_原データ!$B$5:$B$200,B$3)/100,IF(COUNTIFS(速報_原データ!$A$5:$A$200,EDATE($A23,12),速報_原データ!$B$5:$B$200,B$3)&gt;0,SUMIFS(速報_原データ!$C$5:$C$200,速報_原データ!$A$5:$A$200,EDATE($A23,12),速報_原データ!$B$5:$B$200,B$3)/100/(1+SUMIFS(速報_原データ!$D$5:$D$200,速報_原データ!$A$5:$A$200,EDATE($A23,12),速報_原データ!$B$5:$B$200,B$3)/100),IF(COUNTIFS(速報_原データ!$I$6:$I$9,EDATE($A23,12),速報_原データ!$J$6:$J$9,B$3)&gt;0,B35/(1+SUMIFS(速報_原データ!$K$6:$K$9,速報_原データ!$I$6:$I$9,EDATE($A23,12),速報_原データ!$J$6:$J$9,B$3)/100),AVERAGE(B22,B24))))</f>
        <v>4075.98</v>
      </c>
      <c r="C23" s="20" t="n">
        <f aca="false">IF(COUNTIFS(速報_原データ!$A$5:$A$200,$A23,速報_原データ!$B$5:$B$200,C$3)&gt;0,SUMIFS(速報_原データ!$C$5:$C$200,速報_原データ!$A$5:$A$200,$A23,速報_原データ!$B$5:$B$200,C$3)/100,IF(COUNTIFS(速報_原データ!$A$5:$A$200,EDATE($A23,12),速報_原データ!$B$5:$B$200,C$3)&gt;0,SUMIFS(速報_原データ!$C$5:$C$200,速報_原データ!$A$5:$A$200,EDATE($A23,12),速報_原データ!$B$5:$B$200,C$3)/100/(1+SUMIFS(速報_原データ!$D$5:$D$200,速報_原データ!$A$5:$A$200,EDATE($A23,12),速報_原データ!$B$5:$B$200,C$3)/100),IF(COUNTIFS(速報_原データ!$I$6:$I$9,EDATE($A23,12),速報_原データ!$J$6:$J$9,C$3)&gt;0,C35/(1+SUMIFS(速報_原データ!$K$6:$K$9,速報_原データ!$I$6:$I$9,EDATE($A23,12),速報_原データ!$J$6:$J$9,C$3)/100),AVERAGE(C22,C24))))</f>
        <v>3359.17</v>
      </c>
      <c r="D23" s="20" t="n">
        <f aca="false">IF(COUNTIFS(速報_原データ!$A$5:$A$200,$A23,速報_原データ!$B$5:$B$200,D$3)&gt;0,SUMIFS(速報_原データ!$C$5:$C$200,速報_原データ!$A$5:$A$200,$A23,速報_原データ!$B$5:$B$200,D$3)/100,IF(COUNTIFS(速報_原データ!$A$5:$A$200,EDATE($A23,12),速報_原データ!$B$5:$B$200,D$3)&gt;0,SUMIFS(速報_原データ!$C$5:$C$200,速報_原データ!$A$5:$A$200,EDATE($A23,12),速報_原データ!$B$5:$B$200,D$3)/100/(1+SUMIFS(速報_原データ!$D$5:$D$200,速報_原データ!$A$5:$A$200,EDATE($A23,12),速報_原データ!$B$5:$B$200,D$3)/100),IF(COUNTIFS(速報_原データ!$I$6:$I$9,EDATE($A23,12),速報_原データ!$J$6:$J$9,D$3)&gt;0,D35/(1+SUMIFS(速報_原データ!$K$6:$K$9,速報_原データ!$I$6:$I$9,EDATE($A23,12),速報_原データ!$J$6:$J$9,D$3)/100),AVERAGE(D22,D24))))</f>
        <v>1840.41</v>
      </c>
      <c r="E23" s="20" t="n">
        <f aca="false">IF(COUNTIFS(速報_原データ!$A$5:$A$200,$A23,速報_原データ!$B$5:$B$200,E$3)&gt;0,SUMIFS(速報_原データ!$C$5:$C$200,速報_原データ!$A$5:$A$200,$A23,速報_原データ!$B$5:$B$200,E$3)/100,IF(COUNTIFS(速報_原データ!$A$5:$A$200,EDATE($A23,12),速報_原データ!$B$5:$B$200,E$3)&gt;0,SUMIFS(速報_原データ!$C$5:$C$200,速報_原データ!$A$5:$A$200,EDATE($A23,12),速報_原データ!$B$5:$B$200,E$3)/100/(1+SUMIFS(速報_原データ!$D$5:$D$200,速報_原データ!$A$5:$A$200,EDATE($A23,12),速報_原データ!$B$5:$B$200,E$3)/100),IF(COUNTIFS(速報_原データ!$I$6:$I$9,EDATE($A23,12),速報_原データ!$J$6:$J$9,E$3)&gt;0,E35/(1+SUMIFS(速報_原データ!$K$6:$K$9,速報_原データ!$I$6:$I$9,EDATE($A23,12),速報_原データ!$J$6:$J$9,E$3)/100),AVERAGE(E22,E24))))</f>
        <v>627.55</v>
      </c>
      <c r="F23" s="20" t="n">
        <f aca="false">IF(COUNTIFS(速報_原データ!$A$5:$A$200,$A23,速報_原データ!$B$5:$B$200,F$3)&gt;0,SUMIFS(速報_原データ!$C$5:$C$200,速報_原データ!$A$5:$A$200,$A23,速報_原データ!$B$5:$B$200,F$3)/100,IF(COUNTIFS(速報_原データ!$A$5:$A$200,EDATE($A23,12),速報_原データ!$B$5:$B$200,F$3)&gt;0,SUMIFS(速報_原データ!$C$5:$C$200,速報_原データ!$A$5:$A$200,EDATE($A23,12),速報_原データ!$B$5:$B$200,F$3)/100/(1+SUMIFS(速報_原データ!$D$5:$D$200,速報_原データ!$A$5:$A$200,EDATE($A23,12),速報_原データ!$B$5:$B$200,F$3)/100),IF(COUNTIFS(速報_原データ!$I$6:$I$9,EDATE($A23,12),速報_原データ!$J$6:$J$9,F$3)&gt;0,F35/(1+SUMIFS(速報_原データ!$K$6:$K$9,速報_原データ!$I$6:$I$9,EDATE($A23,12),速報_原データ!$J$6:$J$9,F$3)/100),AVERAGE(F22,F24))))</f>
        <v>575.84</v>
      </c>
      <c r="G23" s="20" t="n">
        <f aca="false">IF(COUNTIFS(速報_原データ!$A$5:$A$200,$A23,速報_原データ!$B$5:$B$200,G$3)&gt;0,SUMIFS(速報_原データ!$C$5:$C$200,速報_原データ!$A$5:$A$200,$A23,速報_原データ!$B$5:$B$200,G$3)/100,IF(COUNTIFS(速報_原データ!$A$5:$A$200,EDATE($A23,12),速報_原データ!$B$5:$B$200,G$3)&gt;0,SUMIFS(速報_原データ!$C$5:$C$200,速報_原データ!$A$5:$A$200,EDATE($A23,12),速報_原データ!$B$5:$B$200,G$3)/100/(1+SUMIFS(速報_原データ!$D$5:$D$200,速報_原データ!$A$5:$A$200,EDATE($A23,12),速報_原データ!$B$5:$B$200,G$3)/100),IF(COUNTIFS(速報_原データ!$I$6:$I$9,EDATE($A23,12),速報_原データ!$J$6:$J$9,G$3)&gt;0,G35/(1+SUMIFS(速報_原データ!$K$6:$K$9,速報_原データ!$I$6:$I$9,EDATE($A23,12),速報_原データ!$J$6:$J$9,G$3)/100),AVERAGE(G22,G24))))</f>
        <v>131.81</v>
      </c>
      <c r="H23" s="20" t="n">
        <f aca="false">IF(COUNTIFS(速報_原データ!$A$5:$A$200,$A23,速報_原データ!$B$5:$B$200,H$3)&gt;0,SUMIFS(速報_原データ!$C$5:$C$200,速報_原データ!$A$5:$A$200,$A23,速報_原データ!$B$5:$B$200,H$3)/100,IF(COUNTIFS(速報_原データ!$A$5:$A$200,EDATE($A23,12),速報_原データ!$B$5:$B$200,H$3)&gt;0,SUMIFS(速報_原データ!$C$5:$C$200,速報_原データ!$A$5:$A$200,EDATE($A23,12),速報_原データ!$B$5:$B$200,H$3)/100/(1+SUMIFS(速報_原データ!$D$5:$D$200,速報_原データ!$A$5:$A$200,EDATE($A23,12),速報_原データ!$B$5:$B$200,H$3)/100),IF(COUNTIFS(速報_原データ!$I$6:$I$9,EDATE($A23,12),速報_原データ!$J$6:$J$9,H$3)&gt;0,H35/(1+SUMIFS(速報_原データ!$K$6:$K$9,速報_原データ!$I$6:$I$9,EDATE($A23,12),速報_原データ!$J$6:$J$9,H$3)/100),AVERAGE(H22,H24))))</f>
        <v>314.88</v>
      </c>
      <c r="I23" s="20" t="n">
        <f aca="false">B23-D23</f>
        <v>2235.57</v>
      </c>
      <c r="J23" s="20" t="n">
        <f aca="false">C23-D23-E23-H23</f>
        <v>576.33</v>
      </c>
      <c r="K23" s="2" t="s">
        <v>86</v>
      </c>
    </row>
    <row r="24" customFormat="false" ht="15" hidden="false" customHeight="false" outlineLevel="0" collapsed="false">
      <c r="A24" s="15" t="n">
        <v>45597</v>
      </c>
      <c r="B24" s="20" t="n">
        <f aca="false">IF(COUNTIFS(速報_原データ!$A$5:$A$200,$A24,速報_原データ!$B$5:$B$200,B$3)&gt;0,SUMIFS(速報_原データ!$C$5:$C$200,速報_原データ!$A$5:$A$200,$A24,速報_原データ!$B$5:$B$200,B$3)/100,IF(COUNTIFS(速報_原データ!$A$5:$A$200,EDATE($A24,12),速報_原データ!$B$5:$B$200,B$3)&gt;0,SUMIFS(速報_原データ!$C$5:$C$200,速報_原データ!$A$5:$A$200,EDATE($A24,12),速報_原データ!$B$5:$B$200,B$3)/100/(1+SUMIFS(速報_原データ!$D$5:$D$200,速報_原データ!$A$5:$A$200,EDATE($A24,12),速報_原データ!$B$5:$B$200,B$3)/100),IF(COUNTIFS(速報_原データ!$I$6:$I$9,EDATE($A24,12),速報_原データ!$J$6:$J$9,B$3)&gt;0,B36/(1+SUMIFS(速報_原データ!$K$6:$K$9,速報_原データ!$I$6:$I$9,EDATE($A24,12),速報_原データ!$J$6:$J$9,B$3)/100),AVERAGE(B23,B25))))</f>
        <v>3743.6</v>
      </c>
      <c r="C24" s="20" t="n">
        <f aca="false">IF(COUNTIFS(速報_原データ!$A$5:$A$200,$A24,速報_原データ!$B$5:$B$200,C$3)&gt;0,SUMIFS(速報_原データ!$C$5:$C$200,速報_原データ!$A$5:$A$200,$A24,速報_原データ!$B$5:$B$200,C$3)/100,IF(COUNTIFS(速報_原データ!$A$5:$A$200,EDATE($A24,12),速報_原データ!$B$5:$B$200,C$3)&gt;0,SUMIFS(速報_原データ!$C$5:$C$200,速報_原データ!$A$5:$A$200,EDATE($A24,12),速報_原データ!$B$5:$B$200,C$3)/100/(1+SUMIFS(速報_原データ!$D$5:$D$200,速報_原データ!$A$5:$A$200,EDATE($A24,12),速報_原データ!$B$5:$B$200,C$3)/100),IF(COUNTIFS(速報_原データ!$I$6:$I$9,EDATE($A24,12),速報_原データ!$J$6:$J$9,C$3)&gt;0,C36/(1+SUMIFS(速報_原データ!$K$6:$K$9,速報_原データ!$I$6:$I$9,EDATE($A24,12),速報_原データ!$J$6:$J$9,C$3)/100),AVERAGE(C23,C25))))</f>
        <v>3220.03</v>
      </c>
      <c r="D24" s="20" t="n">
        <f aca="false">IF(COUNTIFS(速報_原データ!$A$5:$A$200,$A24,速報_原データ!$B$5:$B$200,D$3)&gt;0,SUMIFS(速報_原データ!$C$5:$C$200,速報_原データ!$A$5:$A$200,$A24,速報_原データ!$B$5:$B$200,D$3)/100,IF(COUNTIFS(速報_原データ!$A$5:$A$200,EDATE($A24,12),速報_原データ!$B$5:$B$200,D$3)&gt;0,SUMIFS(速報_原データ!$C$5:$C$200,速報_原データ!$A$5:$A$200,EDATE($A24,12),速報_原データ!$B$5:$B$200,D$3)/100/(1+SUMIFS(速報_原データ!$D$5:$D$200,速報_原データ!$A$5:$A$200,EDATE($A24,12),速報_原データ!$B$5:$B$200,D$3)/100),IF(COUNTIFS(速報_原データ!$I$6:$I$9,EDATE($A24,12),速報_原データ!$J$6:$J$9,D$3)&gt;0,D36/(1+SUMIFS(速報_原データ!$K$6:$K$9,速報_原データ!$I$6:$I$9,EDATE($A24,12),速報_原データ!$J$6:$J$9,D$3)/100),AVERAGE(D23,D25))))</f>
        <v>1641.34</v>
      </c>
      <c r="E24" s="20" t="n">
        <f aca="false">IF(COUNTIFS(速報_原データ!$A$5:$A$200,$A24,速報_原データ!$B$5:$B$200,E$3)&gt;0,SUMIFS(速報_原データ!$C$5:$C$200,速報_原データ!$A$5:$A$200,$A24,速報_原データ!$B$5:$B$200,E$3)/100,IF(COUNTIFS(速報_原データ!$A$5:$A$200,EDATE($A24,12),速報_原データ!$B$5:$B$200,E$3)&gt;0,SUMIFS(速報_原データ!$C$5:$C$200,速報_原データ!$A$5:$A$200,EDATE($A24,12),速報_原データ!$B$5:$B$200,E$3)/100/(1+SUMIFS(速報_原データ!$D$5:$D$200,速報_原データ!$A$5:$A$200,EDATE($A24,12),速報_原データ!$B$5:$B$200,E$3)/100),IF(COUNTIFS(速報_原データ!$I$6:$I$9,EDATE($A24,12),速報_原データ!$J$6:$J$9,E$3)&gt;0,E36/(1+SUMIFS(速報_原データ!$K$6:$K$9,速報_原データ!$I$6:$I$9,EDATE($A24,12),速報_原データ!$J$6:$J$9,E$3)/100),AVERAGE(E23,E25))))</f>
        <v>556.48</v>
      </c>
      <c r="F24" s="20" t="n">
        <f aca="false">IF(COUNTIFS(速報_原データ!$A$5:$A$200,$A24,速報_原データ!$B$5:$B$200,F$3)&gt;0,SUMIFS(速報_原データ!$C$5:$C$200,速報_原データ!$A$5:$A$200,$A24,速報_原データ!$B$5:$B$200,F$3)/100,IF(COUNTIFS(速報_原データ!$A$5:$A$200,EDATE($A24,12),速報_原データ!$B$5:$B$200,F$3)&gt;0,SUMIFS(速報_原データ!$C$5:$C$200,速報_原データ!$A$5:$A$200,EDATE($A24,12),速報_原データ!$B$5:$B$200,F$3)/100/(1+SUMIFS(速報_原データ!$D$5:$D$200,速報_原データ!$A$5:$A$200,EDATE($A24,12),速報_原データ!$B$5:$B$200,F$3)/100),IF(COUNTIFS(速報_原データ!$I$6:$I$9,EDATE($A24,12),速報_原データ!$J$6:$J$9,F$3)&gt;0,F36/(1+SUMIFS(速報_原データ!$K$6:$K$9,速報_原データ!$I$6:$I$9,EDATE($A24,12),速報_原データ!$J$6:$J$9,F$3)/100),AVERAGE(F23,F25))))</f>
        <v>420</v>
      </c>
      <c r="G24" s="20" t="n">
        <f aca="false">IF(COUNTIFS(速報_原データ!$A$5:$A$200,$A24,速報_原データ!$B$5:$B$200,G$3)&gt;0,SUMIFS(速報_原データ!$C$5:$C$200,速報_原データ!$A$5:$A$200,$A24,速報_原データ!$B$5:$B$200,G$3)/100,IF(COUNTIFS(速報_原データ!$A$5:$A$200,EDATE($A24,12),速報_原データ!$B$5:$B$200,G$3)&gt;0,SUMIFS(速報_原データ!$C$5:$C$200,速報_原データ!$A$5:$A$200,EDATE($A24,12),速報_原データ!$B$5:$B$200,G$3)/100/(1+SUMIFS(速報_原データ!$D$5:$D$200,速報_原データ!$A$5:$A$200,EDATE($A24,12),速報_原データ!$B$5:$B$200,G$3)/100),IF(COUNTIFS(速報_原データ!$I$6:$I$9,EDATE($A24,12),速報_原データ!$J$6:$J$9,G$3)&gt;0,G36/(1+SUMIFS(速報_原データ!$K$6:$K$9,速報_原データ!$I$6:$I$9,EDATE($A24,12),速報_原データ!$J$6:$J$9,G$3)/100),AVERAGE(G23,G25))))</f>
        <v>92.76</v>
      </c>
      <c r="H24" s="20" t="n">
        <f aca="false">IF(COUNTIFS(速報_原データ!$A$5:$A$200,$A24,速報_原データ!$B$5:$B$200,H$3)&gt;0,SUMIFS(速報_原データ!$C$5:$C$200,速報_原データ!$A$5:$A$200,$A24,速報_原データ!$B$5:$B$200,H$3)/100,IF(COUNTIFS(速報_原データ!$A$5:$A$200,EDATE($A24,12),速報_原データ!$B$5:$B$200,H$3)&gt;0,SUMIFS(速報_原データ!$C$5:$C$200,速報_原データ!$A$5:$A$200,EDATE($A24,12),速報_原データ!$B$5:$B$200,H$3)/100/(1+SUMIFS(速報_原データ!$D$5:$D$200,速報_原データ!$A$5:$A$200,EDATE($A24,12),速報_原データ!$B$5:$B$200,H$3)/100),IF(COUNTIFS(速報_原データ!$I$6:$I$9,EDATE($A24,12),速報_原データ!$J$6:$J$9,H$3)&gt;0,H36/(1+SUMIFS(速報_原データ!$K$6:$K$9,速報_原データ!$I$6:$I$9,EDATE($A24,12),速報_原データ!$J$6:$J$9,H$3)/100),AVERAGE(H23,H25))))</f>
        <v>211.86</v>
      </c>
      <c r="I24" s="20" t="n">
        <f aca="false">B24-D24</f>
        <v>2102.26</v>
      </c>
      <c r="J24" s="20" t="n">
        <f aca="false">C24-D24-E24-H24</f>
        <v>810.35</v>
      </c>
      <c r="K24" s="2" t="s">
        <v>86</v>
      </c>
    </row>
    <row r="25" customFormat="false" ht="15" hidden="false" customHeight="false" outlineLevel="0" collapsed="false">
      <c r="A25" s="15" t="n">
        <v>45627</v>
      </c>
      <c r="B25" s="20" t="n">
        <f aca="false">IF(COUNTIFS(速報_原データ!$A$5:$A$200,$A25,速報_原データ!$B$5:$B$200,B$3)&gt;0,SUMIFS(速報_原データ!$C$5:$C$200,速報_原データ!$A$5:$A$200,$A25,速報_原データ!$B$5:$B$200,B$3)/100,IF(COUNTIFS(速報_原データ!$A$5:$A$200,EDATE($A25,12),速報_原データ!$B$5:$B$200,B$3)&gt;0,SUMIFS(速報_原データ!$C$5:$C$200,速報_原データ!$A$5:$A$200,EDATE($A25,12),速報_原データ!$B$5:$B$200,B$3)/100/(1+SUMIFS(速報_原データ!$D$5:$D$200,速報_原データ!$A$5:$A$200,EDATE($A25,12),速報_原データ!$B$5:$B$200,B$3)/100),IF(COUNTIFS(速報_原データ!$I$6:$I$9,EDATE($A25,12),速報_原データ!$J$6:$J$9,B$3)&gt;0,B37/(1+SUMIFS(速報_原データ!$K$6:$K$9,速報_原データ!$I$6:$I$9,EDATE($A25,12),速報_原データ!$J$6:$J$9,B$3)/100),AVERAGE(B24,B26))))</f>
        <v>4502.61</v>
      </c>
      <c r="C25" s="20" t="n">
        <f aca="false">IF(COUNTIFS(速報_原データ!$A$5:$A$200,$A25,速報_原データ!$B$5:$B$200,C$3)&gt;0,SUMIFS(速報_原データ!$C$5:$C$200,速報_原データ!$A$5:$A$200,$A25,速報_原データ!$B$5:$B$200,C$3)/100,IF(COUNTIFS(速報_原データ!$A$5:$A$200,EDATE($A25,12),速報_原データ!$B$5:$B$200,C$3)&gt;0,SUMIFS(速報_原データ!$C$5:$C$200,速報_原データ!$A$5:$A$200,EDATE($A25,12),速報_原データ!$B$5:$B$200,C$3)/100/(1+SUMIFS(速報_原データ!$D$5:$D$200,速報_原データ!$A$5:$A$200,EDATE($A25,12),速報_原データ!$B$5:$B$200,C$3)/100),IF(COUNTIFS(速報_原データ!$I$6:$I$9,EDATE($A25,12),速報_原データ!$J$6:$J$9,C$3)&gt;0,C37/(1+SUMIFS(速報_原データ!$K$6:$K$9,速報_原データ!$I$6:$I$9,EDATE($A25,12),速報_原データ!$J$6:$J$9,C$3)/100),AVERAGE(C24,C26))))</f>
        <v>3928.32</v>
      </c>
      <c r="D25" s="20" t="n">
        <f aca="false">IF(COUNTIFS(速報_原データ!$A$5:$A$200,$A25,速報_原データ!$B$5:$B$200,D$3)&gt;0,SUMIFS(速報_原データ!$C$5:$C$200,速報_原データ!$A$5:$A$200,$A25,速報_原データ!$B$5:$B$200,D$3)/100,IF(COUNTIFS(速報_原データ!$A$5:$A$200,EDATE($A25,12),速報_原データ!$B$5:$B$200,D$3)&gt;0,SUMIFS(速報_原データ!$C$5:$C$200,速報_原データ!$A$5:$A$200,EDATE($A25,12),速報_原データ!$B$5:$B$200,D$3)/100/(1+SUMIFS(速報_原データ!$D$5:$D$200,速報_原データ!$A$5:$A$200,EDATE($A25,12),速報_原データ!$B$5:$B$200,D$3)/100),IF(COUNTIFS(速報_原データ!$I$6:$I$9,EDATE($A25,12),速報_原データ!$J$6:$J$9,D$3)&gt;0,D37/(1+SUMIFS(速報_原データ!$K$6:$K$9,速報_原データ!$I$6:$I$9,EDATE($A25,12),速報_原データ!$J$6:$J$9,D$3)/100),AVERAGE(D24,D26))))</f>
        <v>1992.84</v>
      </c>
      <c r="E25" s="20" t="n">
        <f aca="false">IF(COUNTIFS(速報_原データ!$A$5:$A$200,$A25,速報_原データ!$B$5:$B$200,E$3)&gt;0,SUMIFS(速報_原データ!$C$5:$C$200,速報_原データ!$A$5:$A$200,$A25,速報_原データ!$B$5:$B$200,E$3)/100,IF(COUNTIFS(速報_原データ!$A$5:$A$200,EDATE($A25,12),速報_原データ!$B$5:$B$200,E$3)&gt;0,SUMIFS(速報_原データ!$C$5:$C$200,速報_原データ!$A$5:$A$200,EDATE($A25,12),速報_原データ!$B$5:$B$200,E$3)/100/(1+SUMIFS(速報_原データ!$D$5:$D$200,速報_原データ!$A$5:$A$200,EDATE($A25,12),速報_原データ!$B$5:$B$200,E$3)/100),IF(COUNTIFS(速報_原データ!$I$6:$I$9,EDATE($A25,12),速報_原データ!$J$6:$J$9,E$3)&gt;0,E37/(1+SUMIFS(速報_原データ!$K$6:$K$9,速報_原データ!$I$6:$I$9,EDATE($A25,12),速報_原データ!$J$6:$J$9,E$3)/100),AVERAGE(E24,E26))))</f>
        <v>696.25</v>
      </c>
      <c r="F25" s="20" t="n">
        <f aca="false">IF(COUNTIFS(速報_原データ!$A$5:$A$200,$A25,速報_原データ!$B$5:$B$200,F$3)&gt;0,SUMIFS(速報_原データ!$C$5:$C$200,速報_原データ!$A$5:$A$200,$A25,速報_原データ!$B$5:$B$200,F$3)/100,IF(COUNTIFS(速報_原データ!$A$5:$A$200,EDATE($A25,12),速報_原データ!$B$5:$B$200,F$3)&gt;0,SUMIFS(速報_原データ!$C$5:$C$200,速報_原データ!$A$5:$A$200,EDATE($A25,12),速報_原データ!$B$5:$B$200,F$3)/100/(1+SUMIFS(速報_原データ!$D$5:$D$200,速報_原データ!$A$5:$A$200,EDATE($A25,12),速報_原データ!$B$5:$B$200,F$3)/100),IF(COUNTIFS(速報_原データ!$I$6:$I$9,EDATE($A25,12),速報_原データ!$J$6:$J$9,F$3)&gt;0,F37/(1+SUMIFS(速報_原データ!$K$6:$K$9,速報_原データ!$I$6:$I$9,EDATE($A25,12),速報_原データ!$J$6:$J$9,F$3)/100),AVERAGE(F24,F26))))</f>
        <v>416.59</v>
      </c>
      <c r="G25" s="20" t="n">
        <f aca="false">IF(COUNTIFS(速報_原データ!$A$5:$A$200,$A25,速報_原データ!$B$5:$B$200,G$3)&gt;0,SUMIFS(速報_原データ!$C$5:$C$200,速報_原データ!$A$5:$A$200,$A25,速報_原データ!$B$5:$B$200,G$3)/100,IF(COUNTIFS(速報_原データ!$A$5:$A$200,EDATE($A25,12),速報_原データ!$B$5:$B$200,G$3)&gt;0,SUMIFS(速報_原データ!$C$5:$C$200,速報_原データ!$A$5:$A$200,EDATE($A25,12),速報_原データ!$B$5:$B$200,G$3)/100/(1+SUMIFS(速報_原データ!$D$5:$D$200,速報_原データ!$A$5:$A$200,EDATE($A25,12),速報_原データ!$B$5:$B$200,G$3)/100),IF(COUNTIFS(速報_原データ!$I$6:$I$9,EDATE($A25,12),速報_原データ!$J$6:$J$9,G$3)&gt;0,G37/(1+SUMIFS(速報_原データ!$K$6:$K$9,速報_原データ!$I$6:$I$9,EDATE($A25,12),速報_原データ!$J$6:$J$9,G$3)/100),AVERAGE(G24,G26))))</f>
        <v>130.6</v>
      </c>
      <c r="H25" s="20" t="n">
        <f aca="false">IF(COUNTIFS(速報_原データ!$A$5:$A$200,$A25,速報_原データ!$B$5:$B$200,H$3)&gt;0,SUMIFS(速報_原データ!$C$5:$C$200,速報_原データ!$A$5:$A$200,$A25,速報_原データ!$B$5:$B$200,H$3)/100,IF(COUNTIFS(速報_原データ!$A$5:$A$200,EDATE($A25,12),速報_原データ!$B$5:$B$200,H$3)&gt;0,SUMIFS(速報_原データ!$C$5:$C$200,速報_原データ!$A$5:$A$200,EDATE($A25,12),速報_原データ!$B$5:$B$200,H$3)/100/(1+SUMIFS(速報_原データ!$D$5:$D$200,速報_原データ!$A$5:$A$200,EDATE($A25,12),速報_原データ!$B$5:$B$200,H$3)/100),IF(COUNTIFS(速報_原データ!$I$6:$I$9,EDATE($A25,12),速報_原データ!$J$6:$J$9,H$3)&gt;0,H37/(1+SUMIFS(速報_原データ!$K$6:$K$9,速報_原データ!$I$6:$I$9,EDATE($A25,12),速報_原データ!$J$6:$J$9,H$3)/100),AVERAGE(H24,H26))))</f>
        <v>270.8</v>
      </c>
      <c r="I25" s="20" t="n">
        <f aca="false">B25-D25</f>
        <v>2509.77</v>
      </c>
      <c r="J25" s="20" t="n">
        <f aca="false">C25-D25-E25-H25</f>
        <v>968.43</v>
      </c>
      <c r="K25" s="2" t="s">
        <v>86</v>
      </c>
    </row>
    <row r="26" customFormat="false" ht="15" hidden="false" customHeight="false" outlineLevel="0" collapsed="false">
      <c r="A26" s="15" t="n">
        <v>45658</v>
      </c>
      <c r="B26" s="20" t="n">
        <f aca="false">IF(COUNTIFS(速報_原データ!$A$5:$A$200,$A26,速報_原データ!$B$5:$B$200,B$3)&gt;0,SUMIFS(速報_原データ!$C$5:$C$200,速報_原データ!$A$5:$A$200,$A26,速報_原データ!$B$5:$B$200,B$3)/100,IF(COUNTIFS(速報_原データ!$A$5:$A$200,EDATE($A26,12),速報_原データ!$B$5:$B$200,B$3)&gt;0,SUMIFS(速報_原データ!$C$5:$C$200,速報_原データ!$A$5:$A$200,EDATE($A26,12),速報_原データ!$B$5:$B$200,B$3)/100/(1+SUMIFS(速報_原データ!$D$5:$D$200,速報_原データ!$A$5:$A$200,EDATE($A26,12),速報_原データ!$B$5:$B$200,B$3)/100),IF(COUNTIFS(速報_原データ!$I$6:$I$9,EDATE($A26,12),速報_原データ!$J$6:$J$9,B$3)&gt;0,B38/(1+SUMIFS(速報_原データ!$K$6:$K$9,速報_原データ!$I$6:$I$9,EDATE($A26,12),速報_原データ!$J$6:$J$9,B$3)/100),AVERAGE(B25,B27))))</f>
        <v>2879.3</v>
      </c>
      <c r="C26" s="20" t="n">
        <f aca="false">IF(COUNTIFS(速報_原データ!$A$5:$A$200,$A26,速報_原データ!$B$5:$B$200,C$3)&gt;0,SUMIFS(速報_原データ!$C$5:$C$200,速報_原データ!$A$5:$A$200,$A26,速報_原データ!$B$5:$B$200,C$3)/100,IF(COUNTIFS(速報_原データ!$A$5:$A$200,EDATE($A26,12),速報_原データ!$B$5:$B$200,C$3)&gt;0,SUMIFS(速報_原データ!$C$5:$C$200,速報_原データ!$A$5:$A$200,EDATE($A26,12),速報_原データ!$B$5:$B$200,C$3)/100/(1+SUMIFS(速報_原データ!$D$5:$D$200,速報_原データ!$A$5:$A$200,EDATE($A26,12),速報_原データ!$B$5:$B$200,C$3)/100),IF(COUNTIFS(速報_原データ!$I$6:$I$9,EDATE($A26,12),速報_原データ!$J$6:$J$9,C$3)&gt;0,C38/(1+SUMIFS(速報_原データ!$K$6:$K$9,速報_原データ!$I$6:$I$9,EDATE($A26,12),速報_原データ!$J$6:$J$9,C$3)/100),AVERAGE(C25,C27))))</f>
        <v>2490.6</v>
      </c>
      <c r="D26" s="20" t="n">
        <f aca="false">IF(COUNTIFS(速報_原データ!$A$5:$A$200,$A26,速報_原データ!$B$5:$B$200,D$3)&gt;0,SUMIFS(速報_原データ!$C$5:$C$200,速報_原データ!$A$5:$A$200,$A26,速報_原データ!$B$5:$B$200,D$3)/100,IF(COUNTIFS(速報_原データ!$A$5:$A$200,EDATE($A26,12),速報_原データ!$B$5:$B$200,D$3)&gt;0,SUMIFS(速報_原データ!$C$5:$C$200,速報_原データ!$A$5:$A$200,EDATE($A26,12),速報_原データ!$B$5:$B$200,D$3)/100/(1+SUMIFS(速報_原データ!$D$5:$D$200,速報_原データ!$A$5:$A$200,EDATE($A26,12),速報_原データ!$B$5:$B$200,D$3)/100),IF(COUNTIFS(速報_原データ!$I$6:$I$9,EDATE($A26,12),速報_原データ!$J$6:$J$9,D$3)&gt;0,D38/(1+SUMIFS(速報_原データ!$K$6:$K$9,速報_原データ!$I$6:$I$9,EDATE($A26,12),速報_原データ!$J$6:$J$9,D$3)/100),AVERAGE(D25,D27))))</f>
        <v>982.87</v>
      </c>
      <c r="E26" s="20" t="n">
        <f aca="false">IF(COUNTIFS(速報_原データ!$A$5:$A$200,$A26,速報_原データ!$B$5:$B$200,E$3)&gt;0,SUMIFS(速報_原データ!$C$5:$C$200,速報_原データ!$A$5:$A$200,$A26,速報_原データ!$B$5:$B$200,E$3)/100,IF(COUNTIFS(速報_原データ!$A$5:$A$200,EDATE($A26,12),速報_原データ!$B$5:$B$200,E$3)&gt;0,SUMIFS(速報_原データ!$C$5:$C$200,速報_原データ!$A$5:$A$200,EDATE($A26,12),速報_原データ!$B$5:$B$200,E$3)/100/(1+SUMIFS(速報_原データ!$D$5:$D$200,速報_原データ!$A$5:$A$200,EDATE($A26,12),速報_原データ!$B$5:$B$200,E$3)/100),IF(COUNTIFS(速報_原データ!$I$6:$I$9,EDATE($A26,12),速報_原データ!$J$6:$J$9,E$3)&gt;0,E38/(1+SUMIFS(速報_原データ!$K$6:$K$9,速報_原データ!$I$6:$I$9,EDATE($A26,12),速報_原データ!$J$6:$J$9,E$3)/100),AVERAGE(E25,E27))))</f>
        <v>505.82</v>
      </c>
      <c r="F26" s="20" t="n">
        <f aca="false">IF(COUNTIFS(速報_原データ!$A$5:$A$200,$A26,速報_原データ!$B$5:$B$200,F$3)&gt;0,SUMIFS(速報_原データ!$C$5:$C$200,速報_原データ!$A$5:$A$200,$A26,速報_原データ!$B$5:$B$200,F$3)/100,IF(COUNTIFS(速報_原データ!$A$5:$A$200,EDATE($A26,12),速報_原データ!$B$5:$B$200,F$3)&gt;0,SUMIFS(速報_原データ!$C$5:$C$200,速報_原データ!$A$5:$A$200,EDATE($A26,12),速報_原データ!$B$5:$B$200,F$3)/100/(1+SUMIFS(速報_原データ!$D$5:$D$200,速報_原データ!$A$5:$A$200,EDATE($A26,12),速報_原データ!$B$5:$B$200,F$3)/100),IF(COUNTIFS(速報_原データ!$I$6:$I$9,EDATE($A26,12),速報_原データ!$J$6:$J$9,F$3)&gt;0,F38/(1+SUMIFS(速報_原データ!$K$6:$K$9,速報_原データ!$I$6:$I$9,EDATE($A26,12),速報_原データ!$J$6:$J$9,F$3)/100),AVERAGE(F25,F27))))</f>
        <v>288.96</v>
      </c>
      <c r="G26" s="20" t="n">
        <f aca="false">IF(COUNTIFS(速報_原データ!$A$5:$A$200,$A26,速報_原データ!$B$5:$B$200,G$3)&gt;0,SUMIFS(速報_原データ!$C$5:$C$200,速報_原データ!$A$5:$A$200,$A26,速報_原データ!$B$5:$B$200,G$3)/100,IF(COUNTIFS(速報_原データ!$A$5:$A$200,EDATE($A26,12),速報_原データ!$B$5:$B$200,G$3)&gt;0,SUMIFS(速報_原データ!$C$5:$C$200,速報_原データ!$A$5:$A$200,EDATE($A26,12),速報_原データ!$B$5:$B$200,G$3)/100/(1+SUMIFS(速報_原データ!$D$5:$D$200,速報_原データ!$A$5:$A$200,EDATE($A26,12),速報_原データ!$B$5:$B$200,G$3)/100),IF(COUNTIFS(速報_原データ!$I$6:$I$9,EDATE($A26,12),速報_原データ!$J$6:$J$9,G$3)&gt;0,G38/(1+SUMIFS(速報_原データ!$K$6:$K$9,速報_原データ!$I$6:$I$9,EDATE($A26,12),速報_原データ!$J$6:$J$9,G$3)/100),AVERAGE(G25,G27))))</f>
        <v>89.6</v>
      </c>
      <c r="H26" s="20" t="n">
        <f aca="false">IF(COUNTIFS(速報_原データ!$A$5:$A$200,$A26,速報_原データ!$B$5:$B$200,H$3)&gt;0,SUMIFS(速報_原データ!$C$5:$C$200,速報_原データ!$A$5:$A$200,$A26,速報_原データ!$B$5:$B$200,H$3)/100,IF(COUNTIFS(速報_原データ!$A$5:$A$200,EDATE($A26,12),速報_原データ!$B$5:$B$200,H$3)&gt;0,SUMIFS(速報_原データ!$C$5:$C$200,速報_原データ!$A$5:$A$200,EDATE($A26,12),速報_原データ!$B$5:$B$200,H$3)/100/(1+SUMIFS(速報_原データ!$D$5:$D$200,速報_原データ!$A$5:$A$200,EDATE($A26,12),速報_原データ!$B$5:$B$200,H$3)/100),IF(COUNTIFS(速報_原データ!$I$6:$I$9,EDATE($A26,12),速報_原データ!$J$6:$J$9,H$3)&gt;0,H38/(1+SUMIFS(速報_原データ!$K$6:$K$9,速報_原データ!$I$6:$I$9,EDATE($A26,12),速報_原データ!$J$6:$J$9,H$3)/100),AVERAGE(H25,H27))))</f>
        <v>190.45</v>
      </c>
      <c r="I26" s="20" t="n">
        <f aca="false">B26-D26</f>
        <v>1896.43</v>
      </c>
      <c r="J26" s="20" t="n">
        <f aca="false">C26-D26-E26-H26</f>
        <v>811.46</v>
      </c>
      <c r="K26" s="2" t="s">
        <v>86</v>
      </c>
    </row>
    <row r="27" customFormat="false" ht="15" hidden="false" customHeight="false" outlineLevel="0" collapsed="false">
      <c r="A27" s="15" t="n">
        <v>45689</v>
      </c>
      <c r="B27" s="20" t="n">
        <f aca="false">IF(COUNTIFS(速報_原データ!$A$5:$A$200,$A27,速報_原データ!$B$5:$B$200,B$3)&gt;0,SUMIFS(速報_原データ!$C$5:$C$200,速報_原データ!$A$5:$A$200,$A27,速報_原データ!$B$5:$B$200,B$3)/100,IF(COUNTIFS(速報_原データ!$A$5:$A$200,EDATE($A27,12),速報_原データ!$B$5:$B$200,B$3)&gt;0,SUMIFS(速報_原データ!$C$5:$C$200,速報_原データ!$A$5:$A$200,EDATE($A27,12),速報_原データ!$B$5:$B$200,B$3)/100/(1+SUMIFS(速報_原データ!$D$5:$D$200,速報_原データ!$A$5:$A$200,EDATE($A27,12),速報_原データ!$B$5:$B$200,B$3)/100),IF(COUNTIFS(速報_原データ!$I$6:$I$9,EDATE($A27,12),速報_原データ!$J$6:$J$9,B$3)&gt;0,B39/(1+SUMIFS(速報_原データ!$K$6:$K$9,速報_原データ!$I$6:$I$9,EDATE($A27,12),速報_原データ!$J$6:$J$9,B$3)/100),AVERAGE(B26,B28))))</f>
        <v>3967.42</v>
      </c>
      <c r="C27" s="20" t="n">
        <f aca="false">IF(COUNTIFS(速報_原データ!$A$5:$A$200,$A27,速報_原データ!$B$5:$B$200,C$3)&gt;0,SUMIFS(速報_原データ!$C$5:$C$200,速報_原データ!$A$5:$A$200,$A27,速報_原データ!$B$5:$B$200,C$3)/100,IF(COUNTIFS(速報_原データ!$A$5:$A$200,EDATE($A27,12),速報_原データ!$B$5:$B$200,C$3)&gt;0,SUMIFS(速報_原データ!$C$5:$C$200,速報_原データ!$A$5:$A$200,EDATE($A27,12),速報_原データ!$B$5:$B$200,C$3)/100/(1+SUMIFS(速報_原データ!$D$5:$D$200,速報_原データ!$A$5:$A$200,EDATE($A27,12),速報_原データ!$B$5:$B$200,C$3)/100),IF(COUNTIFS(速報_原データ!$I$6:$I$9,EDATE($A27,12),速報_原データ!$J$6:$J$9,C$3)&gt;0,C39/(1+SUMIFS(速報_原データ!$K$6:$K$9,速報_原データ!$I$6:$I$9,EDATE($A27,12),速報_原データ!$J$6:$J$9,C$3)/100),AVERAGE(C26,C28))))</f>
        <v>3550.59</v>
      </c>
      <c r="D27" s="20" t="n">
        <f aca="false">IF(COUNTIFS(速報_原データ!$A$5:$A$200,$A27,速報_原データ!$B$5:$B$200,D$3)&gt;0,SUMIFS(速報_原データ!$C$5:$C$200,速報_原データ!$A$5:$A$200,$A27,速報_原データ!$B$5:$B$200,D$3)/100,IF(COUNTIFS(速報_原データ!$A$5:$A$200,EDATE($A27,12),速報_原データ!$B$5:$B$200,D$3)&gt;0,SUMIFS(速報_原データ!$C$5:$C$200,速報_原データ!$A$5:$A$200,EDATE($A27,12),速報_原データ!$B$5:$B$200,D$3)/100/(1+SUMIFS(速報_原データ!$D$5:$D$200,速報_原データ!$A$5:$A$200,EDATE($A27,12),速報_原データ!$B$5:$B$200,D$3)/100),IF(COUNTIFS(速報_原データ!$I$6:$I$9,EDATE($A27,12),速報_原データ!$J$6:$J$9,D$3)&gt;0,D39/(1+SUMIFS(速報_原データ!$K$6:$K$9,速報_原データ!$I$6:$I$9,EDATE($A27,12),速報_原データ!$J$6:$J$9,D$3)/100),AVERAGE(D26,D28))))</f>
        <v>1458.79</v>
      </c>
      <c r="E27" s="20" t="n">
        <f aca="false">IF(COUNTIFS(速報_原データ!$A$5:$A$200,$A27,速報_原データ!$B$5:$B$200,E$3)&gt;0,SUMIFS(速報_原データ!$C$5:$C$200,速報_原データ!$A$5:$A$200,$A27,速報_原データ!$B$5:$B$200,E$3)/100,IF(COUNTIFS(速報_原データ!$A$5:$A$200,EDATE($A27,12),速報_原データ!$B$5:$B$200,E$3)&gt;0,SUMIFS(速報_原データ!$C$5:$C$200,速報_原データ!$A$5:$A$200,EDATE($A27,12),速報_原データ!$B$5:$B$200,E$3)/100/(1+SUMIFS(速報_原データ!$D$5:$D$200,速報_原データ!$A$5:$A$200,EDATE($A27,12),速報_原データ!$B$5:$B$200,E$3)/100),IF(COUNTIFS(速報_原データ!$I$6:$I$9,EDATE($A27,12),速報_原データ!$J$6:$J$9,E$3)&gt;0,E39/(1+SUMIFS(速報_原データ!$K$6:$K$9,速報_原データ!$I$6:$I$9,EDATE($A27,12),速報_原データ!$J$6:$J$9,E$3)/100),AVERAGE(E26,E28))))</f>
        <v>726.15</v>
      </c>
      <c r="F27" s="20" t="n">
        <f aca="false">IF(COUNTIFS(速報_原データ!$A$5:$A$200,$A27,速報_原データ!$B$5:$B$200,F$3)&gt;0,SUMIFS(速報_原データ!$C$5:$C$200,速報_原データ!$A$5:$A$200,$A27,速報_原データ!$B$5:$B$200,F$3)/100,IF(COUNTIFS(速報_原データ!$A$5:$A$200,EDATE($A27,12),速報_原データ!$B$5:$B$200,F$3)&gt;0,SUMIFS(速報_原データ!$C$5:$C$200,速報_原データ!$A$5:$A$200,EDATE($A27,12),速報_原データ!$B$5:$B$200,F$3)/100/(1+SUMIFS(速報_原データ!$D$5:$D$200,速報_原データ!$A$5:$A$200,EDATE($A27,12),速報_原データ!$B$5:$B$200,F$3)/100),IF(COUNTIFS(速報_原データ!$I$6:$I$9,EDATE($A27,12),速報_原データ!$J$6:$J$9,F$3)&gt;0,F39/(1+SUMIFS(速報_原データ!$K$6:$K$9,速報_原データ!$I$6:$I$9,EDATE($A27,12),速報_原データ!$J$6:$J$9,F$3)/100),AVERAGE(F26,F28))))</f>
        <v>353.82</v>
      </c>
      <c r="G27" s="20" t="n">
        <f aca="false">IF(COUNTIFS(速報_原データ!$A$5:$A$200,$A27,速報_原データ!$B$5:$B$200,G$3)&gt;0,SUMIFS(速報_原データ!$C$5:$C$200,速報_原データ!$A$5:$A$200,$A27,速報_原データ!$B$5:$B$200,G$3)/100,IF(COUNTIFS(速報_原データ!$A$5:$A$200,EDATE($A27,12),速報_原データ!$B$5:$B$200,G$3)&gt;0,SUMIFS(速報_原データ!$C$5:$C$200,速報_原データ!$A$5:$A$200,EDATE($A27,12),速報_原データ!$B$5:$B$200,G$3)/100/(1+SUMIFS(速報_原データ!$D$5:$D$200,速報_原データ!$A$5:$A$200,EDATE($A27,12),速報_原データ!$B$5:$B$200,G$3)/100),IF(COUNTIFS(速報_原データ!$I$6:$I$9,EDATE($A27,12),速報_原データ!$J$6:$J$9,G$3)&gt;0,G39/(1+SUMIFS(速報_原データ!$K$6:$K$9,速報_原データ!$I$6:$I$9,EDATE($A27,12),速報_原データ!$J$6:$J$9,G$3)/100),AVERAGE(G26,G28))))</f>
        <v>50.77</v>
      </c>
      <c r="H27" s="20" t="n">
        <f aca="false">IF(COUNTIFS(速報_原データ!$A$5:$A$200,$A27,速報_原データ!$B$5:$B$200,H$3)&gt;0,SUMIFS(速報_原データ!$C$5:$C$200,速報_原データ!$A$5:$A$200,$A27,速報_原データ!$B$5:$B$200,H$3)/100,IF(COUNTIFS(速報_原データ!$A$5:$A$200,EDATE($A27,12),速報_原データ!$B$5:$B$200,H$3)&gt;0,SUMIFS(速報_原データ!$C$5:$C$200,速報_原データ!$A$5:$A$200,EDATE($A27,12),速報_原データ!$B$5:$B$200,H$3)/100/(1+SUMIFS(速報_原データ!$D$5:$D$200,速報_原データ!$A$5:$A$200,EDATE($A27,12),速報_原データ!$B$5:$B$200,H$3)/100),IF(COUNTIFS(速報_原データ!$I$6:$I$9,EDATE($A27,12),速報_原データ!$J$6:$J$9,H$3)&gt;0,H39/(1+SUMIFS(速報_原データ!$K$6:$K$9,速報_原データ!$I$6:$I$9,EDATE($A27,12),速報_原データ!$J$6:$J$9,H$3)/100),AVERAGE(H26,H28))))</f>
        <v>265.23</v>
      </c>
      <c r="I27" s="20" t="n">
        <f aca="false">B27-D27</f>
        <v>2508.63</v>
      </c>
      <c r="J27" s="20" t="n">
        <f aca="false">C27-D27-E27-H27</f>
        <v>1100.42</v>
      </c>
      <c r="K27" s="2" t="s">
        <v>86</v>
      </c>
    </row>
    <row r="28" customFormat="false" ht="15" hidden="false" customHeight="false" outlineLevel="0" collapsed="false">
      <c r="A28" s="15" t="n">
        <v>45717</v>
      </c>
      <c r="B28" s="20" t="n">
        <f aca="false">IF(COUNTIFS(速報_原データ!$A$5:$A$200,$A28,速報_原データ!$B$5:$B$200,B$3)&gt;0,SUMIFS(速報_原データ!$C$5:$C$200,速報_原データ!$A$5:$A$200,$A28,速報_原データ!$B$5:$B$200,B$3)/100,IF(COUNTIFS(速報_原データ!$A$5:$A$200,EDATE($A28,12),速報_原データ!$B$5:$B$200,B$3)&gt;0,SUMIFS(速報_原データ!$C$5:$C$200,速報_原データ!$A$5:$A$200,EDATE($A28,12),速報_原データ!$B$5:$B$200,B$3)/100/(1+SUMIFS(速報_原データ!$D$5:$D$200,速報_原データ!$A$5:$A$200,EDATE($A28,12),速報_原データ!$B$5:$B$200,B$3)/100),IF(COUNTIFS(速報_原データ!$I$6:$I$9,EDATE($A28,12),速報_原データ!$J$6:$J$9,B$3)&gt;0,B40/(1+SUMIFS(速報_原データ!$K$6:$K$9,速報_原データ!$I$6:$I$9,EDATE($A28,12),速報_原データ!$J$6:$J$9,B$3)/100),AVERAGE(B27,B29))))</f>
        <v>4984.2</v>
      </c>
      <c r="C28" s="20" t="n">
        <f aca="false">IF(COUNTIFS(速報_原データ!$A$5:$A$200,$A28,速報_原データ!$B$5:$B$200,C$3)&gt;0,SUMIFS(速報_原データ!$C$5:$C$200,速報_原データ!$A$5:$A$200,$A28,速報_原データ!$B$5:$B$200,C$3)/100,IF(COUNTIFS(速報_原データ!$A$5:$A$200,EDATE($A28,12),速報_原データ!$B$5:$B$200,C$3)&gt;0,SUMIFS(速報_原データ!$C$5:$C$200,速報_原データ!$A$5:$A$200,EDATE($A28,12),速報_原データ!$B$5:$B$200,C$3)/100/(1+SUMIFS(速報_原データ!$D$5:$D$200,速報_原データ!$A$5:$A$200,EDATE($A28,12),速報_原データ!$B$5:$B$200,C$3)/100),IF(COUNTIFS(速報_原データ!$I$6:$I$9,EDATE($A28,12),速報_原データ!$J$6:$J$9,C$3)&gt;0,C40/(1+SUMIFS(速報_原データ!$K$6:$K$9,速報_原データ!$I$6:$I$9,EDATE($A28,12),速報_原データ!$J$6:$J$9,C$3)/100),AVERAGE(C27,C29))))</f>
        <v>4511.95</v>
      </c>
      <c r="D28" s="20" t="n">
        <f aca="false">IF(COUNTIFS(速報_原データ!$A$5:$A$200,$A28,速報_原データ!$B$5:$B$200,D$3)&gt;0,SUMIFS(速報_原データ!$C$5:$C$200,速報_原データ!$A$5:$A$200,$A28,速報_原データ!$B$5:$B$200,D$3)/100,IF(COUNTIFS(速報_原データ!$A$5:$A$200,EDATE($A28,12),速報_原データ!$B$5:$B$200,D$3)&gt;0,SUMIFS(速報_原データ!$C$5:$C$200,速報_原データ!$A$5:$A$200,EDATE($A28,12),速報_原データ!$B$5:$B$200,D$3)/100/(1+SUMIFS(速報_原データ!$D$5:$D$200,速報_原データ!$A$5:$A$200,EDATE($A28,12),速報_原データ!$B$5:$B$200,D$3)/100),IF(COUNTIFS(速報_原データ!$I$6:$I$9,EDATE($A28,12),速報_原データ!$J$6:$J$9,D$3)&gt;0,D40/(1+SUMIFS(速報_原データ!$K$6:$K$9,速報_原データ!$I$6:$I$9,EDATE($A28,12),速報_原データ!$J$6:$J$9,D$3)/100),AVERAGE(D27,D29))))</f>
        <v>2074.93</v>
      </c>
      <c r="E28" s="20" t="n">
        <f aca="false">IF(COUNTIFS(速報_原データ!$A$5:$A$200,$A28,速報_原データ!$B$5:$B$200,E$3)&gt;0,SUMIFS(速報_原データ!$C$5:$C$200,速報_原データ!$A$5:$A$200,$A28,速報_原データ!$B$5:$B$200,E$3)/100,IF(COUNTIFS(速報_原データ!$A$5:$A$200,EDATE($A28,12),速報_原データ!$B$5:$B$200,E$3)&gt;0,SUMIFS(速報_原データ!$C$5:$C$200,速報_原データ!$A$5:$A$200,EDATE($A28,12),速報_原データ!$B$5:$B$200,E$3)/100/(1+SUMIFS(速報_原データ!$D$5:$D$200,速報_原データ!$A$5:$A$200,EDATE($A28,12),速報_原データ!$B$5:$B$200,E$3)/100),IF(COUNTIFS(速報_原データ!$I$6:$I$9,EDATE($A28,12),速報_原データ!$J$6:$J$9,E$3)&gt;0,E40/(1+SUMIFS(速報_原データ!$K$6:$K$9,速報_原データ!$I$6:$I$9,EDATE($A28,12),速報_原データ!$J$6:$J$9,E$3)/100),AVERAGE(E27,E29))))</f>
        <v>998.53</v>
      </c>
      <c r="F28" s="20" t="n">
        <f aca="false">IF(COUNTIFS(速報_原データ!$A$5:$A$200,$A28,速報_原データ!$B$5:$B$200,F$3)&gt;0,SUMIFS(速報_原データ!$C$5:$C$200,速報_原データ!$A$5:$A$200,$A28,速報_原データ!$B$5:$B$200,F$3)/100,IF(COUNTIFS(速報_原データ!$A$5:$A$200,EDATE($A28,12),速報_原データ!$B$5:$B$200,F$3)&gt;0,SUMIFS(速報_原データ!$C$5:$C$200,速報_原データ!$A$5:$A$200,EDATE($A28,12),速報_原データ!$B$5:$B$200,F$3)/100/(1+SUMIFS(速報_原データ!$D$5:$D$200,速報_原データ!$A$5:$A$200,EDATE($A28,12),速報_原データ!$B$5:$B$200,F$3)/100),IF(COUNTIFS(速報_原データ!$I$6:$I$9,EDATE($A28,12),速報_原データ!$J$6:$J$9,F$3)&gt;0,F40/(1+SUMIFS(速報_原データ!$K$6:$K$9,速報_原データ!$I$6:$I$9,EDATE($A28,12),速報_原データ!$J$6:$J$9,F$3)/100),AVERAGE(F27,F29))))</f>
        <v>362.34</v>
      </c>
      <c r="G28" s="20" t="n">
        <f aca="false">IF(COUNTIFS(速報_原データ!$A$5:$A$200,$A28,速報_原データ!$B$5:$B$200,G$3)&gt;0,SUMIFS(速報_原データ!$C$5:$C$200,速報_原データ!$A$5:$A$200,$A28,速報_原データ!$B$5:$B$200,G$3)/100,IF(COUNTIFS(速報_原データ!$A$5:$A$200,EDATE($A28,12),速報_原データ!$B$5:$B$200,G$3)&gt;0,SUMIFS(速報_原データ!$C$5:$C$200,速報_原データ!$A$5:$A$200,EDATE($A28,12),速報_原データ!$B$5:$B$200,G$3)/100/(1+SUMIFS(速報_原データ!$D$5:$D$200,速報_原データ!$A$5:$A$200,EDATE($A28,12),速報_原データ!$B$5:$B$200,G$3)/100),IF(COUNTIFS(速報_原データ!$I$6:$I$9,EDATE($A28,12),速報_原データ!$J$6:$J$9,G$3)&gt;0,G40/(1+SUMIFS(速報_原データ!$K$6:$K$9,速報_原データ!$I$6:$I$9,EDATE($A28,12),速報_原データ!$J$6:$J$9,G$3)/100),AVERAGE(G27,G29))))</f>
        <v>90.5</v>
      </c>
      <c r="H28" s="20" t="n">
        <f aca="false">IF(COUNTIFS(速報_原データ!$A$5:$A$200,$A28,速報_原データ!$B$5:$B$200,H$3)&gt;0,SUMIFS(速報_原データ!$C$5:$C$200,速報_原データ!$A$5:$A$200,$A28,速報_原データ!$B$5:$B$200,H$3)/100,IF(COUNTIFS(速報_原データ!$A$5:$A$200,EDATE($A28,12),速報_原データ!$B$5:$B$200,H$3)&gt;0,SUMIFS(速報_原データ!$C$5:$C$200,速報_原データ!$A$5:$A$200,EDATE($A28,12),速報_原データ!$B$5:$B$200,H$3)/100/(1+SUMIFS(速報_原データ!$D$5:$D$200,速報_原データ!$A$5:$A$200,EDATE($A28,12),速報_原データ!$B$5:$B$200,H$3)/100),IF(COUNTIFS(速報_原データ!$I$6:$I$9,EDATE($A28,12),速報_原データ!$J$6:$J$9,H$3)&gt;0,H40/(1+SUMIFS(速報_原データ!$K$6:$K$9,速報_原データ!$I$6:$I$9,EDATE($A28,12),速報_原データ!$J$6:$J$9,H$3)/100),AVERAGE(H27,H29))))</f>
        <v>340.86</v>
      </c>
      <c r="I28" s="20" t="n">
        <f aca="false">B28-D28</f>
        <v>2909.27</v>
      </c>
      <c r="J28" s="20" t="n">
        <f aca="false">C28-D28-E28-H28</f>
        <v>1097.63</v>
      </c>
      <c r="K28" s="2" t="s">
        <v>86</v>
      </c>
    </row>
    <row r="29" customFormat="false" ht="15" hidden="false" customHeight="false" outlineLevel="0" collapsed="false">
      <c r="A29" s="15" t="n">
        <v>45748</v>
      </c>
      <c r="B29" s="20" t="n">
        <f aca="false">IF(COUNTIFS(速報_原データ!$A$5:$A$200,$A29,速報_原データ!$B$5:$B$200,B$3)&gt;0,SUMIFS(速報_原データ!$C$5:$C$200,速報_原データ!$A$5:$A$200,$A29,速報_原データ!$B$5:$B$200,B$3)/100,IF(COUNTIFS(速報_原データ!$A$5:$A$200,EDATE($A29,12),速報_原データ!$B$5:$B$200,B$3)&gt;0,SUMIFS(速報_原データ!$C$5:$C$200,速報_原データ!$A$5:$A$200,EDATE($A29,12),速報_原データ!$B$5:$B$200,B$3)/100/(1+SUMIFS(速報_原データ!$D$5:$D$200,速報_原データ!$A$5:$A$200,EDATE($A29,12),速報_原データ!$B$5:$B$200,B$3)/100),IF(COUNTIFS(速報_原データ!$I$6:$I$9,EDATE($A29,12),速報_原データ!$J$6:$J$9,B$3)&gt;0,B41/(1+SUMIFS(速報_原データ!$K$6:$K$9,速報_原データ!$I$6:$I$9,EDATE($A29,12),速報_原データ!$J$6:$J$9,B$3)/100),AVERAGE(B28,B30))))</f>
        <v>3735.31</v>
      </c>
      <c r="C29" s="20" t="n">
        <f aca="false">IF(COUNTIFS(速報_原データ!$A$5:$A$200,$A29,速報_原データ!$B$5:$B$200,C$3)&gt;0,SUMIFS(速報_原データ!$C$5:$C$200,速報_原データ!$A$5:$A$200,$A29,速報_原データ!$B$5:$B$200,C$3)/100,IF(COUNTIFS(速報_原データ!$A$5:$A$200,EDATE($A29,12),速報_原データ!$B$5:$B$200,C$3)&gt;0,SUMIFS(速報_原データ!$C$5:$C$200,速報_原データ!$A$5:$A$200,EDATE($A29,12),速報_原データ!$B$5:$B$200,C$3)/100/(1+SUMIFS(速報_原データ!$D$5:$D$200,速報_原データ!$A$5:$A$200,EDATE($A29,12),速報_原データ!$B$5:$B$200,C$3)/100),IF(COUNTIFS(速報_原データ!$I$6:$I$9,EDATE($A29,12),速報_原データ!$J$6:$J$9,C$3)&gt;0,C41/(1+SUMIFS(速報_原データ!$K$6:$K$9,速報_原データ!$I$6:$I$9,EDATE($A29,12),速報_原データ!$J$6:$J$9,C$3)/100),AVERAGE(C28,C30))))</f>
        <v>3284.9</v>
      </c>
      <c r="D29" s="20" t="n">
        <f aca="false">IF(COUNTIFS(速報_原データ!$A$5:$A$200,$A29,速報_原データ!$B$5:$B$200,D$3)&gt;0,SUMIFS(速報_原データ!$C$5:$C$200,速報_原データ!$A$5:$A$200,$A29,速報_原データ!$B$5:$B$200,D$3)/100,IF(COUNTIFS(速報_原データ!$A$5:$A$200,EDATE($A29,12),速報_原データ!$B$5:$B$200,D$3)&gt;0,SUMIFS(速報_原データ!$C$5:$C$200,速報_原データ!$A$5:$A$200,EDATE($A29,12),速報_原データ!$B$5:$B$200,D$3)/100/(1+SUMIFS(速報_原データ!$D$5:$D$200,速報_原データ!$A$5:$A$200,EDATE($A29,12),速報_原データ!$B$5:$B$200,D$3)/100),IF(COUNTIFS(速報_原データ!$I$6:$I$9,EDATE($A29,12),速報_原データ!$J$6:$J$9,D$3)&gt;0,D41/(1+SUMIFS(速報_原データ!$K$6:$K$9,速報_原データ!$I$6:$I$9,EDATE($A29,12),速報_原データ!$J$6:$J$9,D$3)/100),AVERAGE(D28,D30))))</f>
        <v>1516.3</v>
      </c>
      <c r="E29" s="20" t="n">
        <f aca="false">IF(COUNTIFS(速報_原データ!$A$5:$A$200,$A29,速報_原データ!$B$5:$B$200,E$3)&gt;0,SUMIFS(速報_原データ!$C$5:$C$200,速報_原データ!$A$5:$A$200,$A29,速報_原データ!$B$5:$B$200,E$3)/100,IF(COUNTIFS(速報_原データ!$A$5:$A$200,EDATE($A29,12),速報_原データ!$B$5:$B$200,E$3)&gt;0,SUMIFS(速報_原データ!$C$5:$C$200,速報_原データ!$A$5:$A$200,EDATE($A29,12),速報_原データ!$B$5:$B$200,E$3)/100/(1+SUMIFS(速報_原データ!$D$5:$D$200,速報_原データ!$A$5:$A$200,EDATE($A29,12),速報_原データ!$B$5:$B$200,E$3)/100),IF(COUNTIFS(速報_原データ!$I$6:$I$9,EDATE($A29,12),速報_原データ!$J$6:$J$9,E$3)&gt;0,E41/(1+SUMIFS(速報_原データ!$K$6:$K$9,速報_原データ!$I$6:$I$9,EDATE($A29,12),速報_原データ!$J$6:$J$9,E$3)/100),AVERAGE(E28,E30))))</f>
        <v>437.31</v>
      </c>
      <c r="F29" s="20" t="n">
        <f aca="false">IF(COUNTIFS(速報_原データ!$A$5:$A$200,$A29,速報_原データ!$B$5:$B$200,F$3)&gt;0,SUMIFS(速報_原データ!$C$5:$C$200,速報_原データ!$A$5:$A$200,$A29,速報_原データ!$B$5:$B$200,F$3)/100,IF(COUNTIFS(速報_原データ!$A$5:$A$200,EDATE($A29,12),速報_原データ!$B$5:$B$200,F$3)&gt;0,SUMIFS(速報_原データ!$C$5:$C$200,速報_原データ!$A$5:$A$200,EDATE($A29,12),速報_原データ!$B$5:$B$200,F$3)/100/(1+SUMIFS(速報_原データ!$D$5:$D$200,速報_原データ!$A$5:$A$200,EDATE($A29,12),速報_原データ!$B$5:$B$200,F$3)/100),IF(COUNTIFS(速報_原データ!$I$6:$I$9,EDATE($A29,12),速報_原データ!$J$6:$J$9,F$3)&gt;0,F41/(1+SUMIFS(速報_原データ!$K$6:$K$9,速報_原データ!$I$6:$I$9,EDATE($A29,12),速報_原データ!$J$6:$J$9,F$3)/100),AVERAGE(F28,F30))))</f>
        <v>344.08</v>
      </c>
      <c r="G29" s="20" t="n">
        <f aca="false">IF(COUNTIFS(速報_原データ!$A$5:$A$200,$A29,速報_原データ!$B$5:$B$200,G$3)&gt;0,SUMIFS(速報_原データ!$C$5:$C$200,速報_原データ!$A$5:$A$200,$A29,速報_原データ!$B$5:$B$200,G$3)/100,IF(COUNTIFS(速報_原データ!$A$5:$A$200,EDATE($A29,12),速報_原データ!$B$5:$B$200,G$3)&gt;0,SUMIFS(速報_原データ!$C$5:$C$200,速報_原データ!$A$5:$A$200,EDATE($A29,12),速報_原データ!$B$5:$B$200,G$3)/100/(1+SUMIFS(速報_原データ!$D$5:$D$200,速報_原データ!$A$5:$A$200,EDATE($A29,12),速報_原データ!$B$5:$B$200,G$3)/100),IF(COUNTIFS(速報_原データ!$I$6:$I$9,EDATE($A29,12),速報_原データ!$J$6:$J$9,G$3)&gt;0,G41/(1+SUMIFS(速報_原データ!$K$6:$K$9,速報_原データ!$I$6:$I$9,EDATE($A29,12),速報_原データ!$J$6:$J$9,G$3)/100),AVERAGE(G28,G30))))</f>
        <v>97.82</v>
      </c>
      <c r="H29" s="20" t="n">
        <f aca="false">IF(COUNTIFS(速報_原データ!$A$5:$A$200,$A29,速報_原データ!$B$5:$B$200,H$3)&gt;0,SUMIFS(速報_原データ!$C$5:$C$200,速報_原データ!$A$5:$A$200,$A29,速報_原データ!$B$5:$B$200,H$3)/100,IF(COUNTIFS(速報_原データ!$A$5:$A$200,EDATE($A29,12),速報_原データ!$B$5:$B$200,H$3)&gt;0,SUMIFS(速報_原データ!$C$5:$C$200,速報_原データ!$A$5:$A$200,EDATE($A29,12),速報_原データ!$B$5:$B$200,H$3)/100/(1+SUMIFS(速報_原データ!$D$5:$D$200,速報_原データ!$A$5:$A$200,EDATE($A29,12),速報_原データ!$B$5:$B$200,H$3)/100),IF(COUNTIFS(速報_原データ!$I$6:$I$9,EDATE($A29,12),速報_原データ!$J$6:$J$9,H$3)&gt;0,H41/(1+SUMIFS(速報_原データ!$K$6:$K$9,速報_原データ!$I$6:$I$9,EDATE($A29,12),速報_原データ!$J$6:$J$9,H$3)/100),AVERAGE(H28,H30))))</f>
        <v>240.43</v>
      </c>
      <c r="I29" s="20" t="n">
        <f aca="false">B29-D29</f>
        <v>2219.01</v>
      </c>
      <c r="J29" s="20" t="n">
        <f aca="false">C29-D29-E29-H29</f>
        <v>1090.86</v>
      </c>
      <c r="K29" s="2" t="s">
        <v>86</v>
      </c>
    </row>
    <row r="30" customFormat="false" ht="15" hidden="false" customHeight="false" outlineLevel="0" collapsed="false">
      <c r="A30" s="15" t="n">
        <v>45778</v>
      </c>
      <c r="B30" s="20" t="n">
        <f aca="false">IF(COUNTIFS(速報_原データ!$A$5:$A$200,$A30,速報_原データ!$B$5:$B$200,B$3)&gt;0,SUMIFS(速報_原データ!$C$5:$C$200,速報_原データ!$A$5:$A$200,$A30,速報_原データ!$B$5:$B$200,B$3)/100,IF(COUNTIFS(速報_原データ!$A$5:$A$200,EDATE($A30,12),速報_原データ!$B$5:$B$200,B$3)&gt;0,SUMIFS(速報_原データ!$C$5:$C$200,速報_原データ!$A$5:$A$200,EDATE($A30,12),速報_原データ!$B$5:$B$200,B$3)/100/(1+SUMIFS(速報_原データ!$D$5:$D$200,速報_原データ!$A$5:$A$200,EDATE($A30,12),速報_原データ!$B$5:$B$200,B$3)/100),IF(COUNTIFS(速報_原データ!$I$6:$I$9,EDATE($A30,12),速報_原データ!$J$6:$J$9,B$3)&gt;0,B42/(1+SUMIFS(速報_原データ!$K$6:$K$9,速報_原データ!$I$6:$I$9,EDATE($A30,12),速報_原データ!$J$6:$J$9,B$3)/100),AVERAGE(B29,B31))))</f>
        <v>3319.85</v>
      </c>
      <c r="C30" s="20" t="n">
        <f aca="false">IF(COUNTIFS(速報_原データ!$A$5:$A$200,$A30,速報_原データ!$B$5:$B$200,C$3)&gt;0,SUMIFS(速報_原データ!$C$5:$C$200,速報_原データ!$A$5:$A$200,$A30,速報_原データ!$B$5:$B$200,C$3)/100,IF(COUNTIFS(速報_原データ!$A$5:$A$200,EDATE($A30,12),速報_原データ!$B$5:$B$200,C$3)&gt;0,SUMIFS(速報_原データ!$C$5:$C$200,速報_原データ!$A$5:$A$200,EDATE($A30,12),速報_原データ!$B$5:$B$200,C$3)/100/(1+SUMIFS(速報_原データ!$D$5:$D$200,速報_原データ!$A$5:$A$200,EDATE($A30,12),速報_原データ!$B$5:$B$200,C$3)/100),IF(COUNTIFS(速報_原データ!$I$6:$I$9,EDATE($A30,12),速報_原データ!$J$6:$J$9,C$3)&gt;0,C42/(1+SUMIFS(速報_原データ!$K$6:$K$9,速報_原データ!$I$6:$I$9,EDATE($A30,12),速報_原データ!$J$6:$J$9,C$3)/100),AVERAGE(C29,C31))))</f>
        <v>2981.42</v>
      </c>
      <c r="D30" s="20" t="n">
        <f aca="false">IF(COUNTIFS(速報_原データ!$A$5:$A$200,$A30,速報_原データ!$B$5:$B$200,D$3)&gt;0,SUMIFS(速報_原データ!$C$5:$C$200,速報_原データ!$A$5:$A$200,$A30,速報_原データ!$B$5:$B$200,D$3)/100,IF(COUNTIFS(速報_原データ!$A$5:$A$200,EDATE($A30,12),速報_原データ!$B$5:$B$200,D$3)&gt;0,SUMIFS(速報_原データ!$C$5:$C$200,速報_原データ!$A$5:$A$200,EDATE($A30,12),速報_原データ!$B$5:$B$200,D$3)/100/(1+SUMIFS(速報_原データ!$D$5:$D$200,速報_原データ!$A$5:$A$200,EDATE($A30,12),速報_原データ!$B$5:$B$200,D$3)/100),IF(COUNTIFS(速報_原データ!$I$6:$I$9,EDATE($A30,12),速報_原データ!$J$6:$J$9,D$3)&gt;0,D42/(1+SUMIFS(速報_原データ!$K$6:$K$9,速報_原データ!$I$6:$I$9,EDATE($A30,12),速報_原データ!$J$6:$J$9,D$3)/100),AVERAGE(D29,D31))))</f>
        <v>1475.62</v>
      </c>
      <c r="E30" s="20" t="n">
        <f aca="false">IF(COUNTIFS(速報_原データ!$A$5:$A$200,$A30,速報_原データ!$B$5:$B$200,E$3)&gt;0,SUMIFS(速報_原データ!$C$5:$C$200,速報_原データ!$A$5:$A$200,$A30,速報_原データ!$B$5:$B$200,E$3)/100,IF(COUNTIFS(速報_原データ!$A$5:$A$200,EDATE($A30,12),速報_原データ!$B$5:$B$200,E$3)&gt;0,SUMIFS(速報_原データ!$C$5:$C$200,速報_原データ!$A$5:$A$200,EDATE($A30,12),速報_原データ!$B$5:$B$200,E$3)/100/(1+SUMIFS(速報_原データ!$D$5:$D$200,速報_原データ!$A$5:$A$200,EDATE($A30,12),速報_原データ!$B$5:$B$200,E$3)/100),IF(COUNTIFS(速報_原データ!$I$6:$I$9,EDATE($A30,12),速報_原データ!$J$6:$J$9,E$3)&gt;0,E42/(1+SUMIFS(速報_原データ!$K$6:$K$9,速報_原データ!$I$6:$I$9,EDATE($A30,12),速報_原データ!$J$6:$J$9,E$3)/100),AVERAGE(E29,E31))))</f>
        <v>461.03</v>
      </c>
      <c r="F30" s="20" t="n">
        <f aca="false">IF(COUNTIFS(速報_原データ!$A$5:$A$200,$A30,速報_原データ!$B$5:$B$200,F$3)&gt;0,SUMIFS(速報_原データ!$C$5:$C$200,速報_原データ!$A$5:$A$200,$A30,速報_原データ!$B$5:$B$200,F$3)/100,IF(COUNTIFS(速報_原データ!$A$5:$A$200,EDATE($A30,12),速報_原データ!$B$5:$B$200,F$3)&gt;0,SUMIFS(速報_原データ!$C$5:$C$200,速報_原データ!$A$5:$A$200,EDATE($A30,12),速報_原データ!$B$5:$B$200,F$3)/100/(1+SUMIFS(速報_原データ!$D$5:$D$200,速報_原データ!$A$5:$A$200,EDATE($A30,12),速報_原データ!$B$5:$B$200,F$3)/100),IF(COUNTIFS(速報_原データ!$I$6:$I$9,EDATE($A30,12),速報_原データ!$J$6:$J$9,F$3)&gt;0,F42/(1+SUMIFS(速報_原データ!$K$6:$K$9,速報_原データ!$I$6:$I$9,EDATE($A30,12),速報_原データ!$J$6:$J$9,F$3)/100),AVERAGE(F29,F31))))</f>
        <v>261.01</v>
      </c>
      <c r="G30" s="20" t="n">
        <f aca="false">IF(COUNTIFS(速報_原データ!$A$5:$A$200,$A30,速報_原データ!$B$5:$B$200,G$3)&gt;0,SUMIFS(速報_原データ!$C$5:$C$200,速報_原データ!$A$5:$A$200,$A30,速報_原データ!$B$5:$B$200,G$3)/100,IF(COUNTIFS(速報_原データ!$A$5:$A$200,EDATE($A30,12),速報_原データ!$B$5:$B$200,G$3)&gt;0,SUMIFS(速報_原データ!$C$5:$C$200,速報_原データ!$A$5:$A$200,EDATE($A30,12),速報_原データ!$B$5:$B$200,G$3)/100/(1+SUMIFS(速報_原データ!$D$5:$D$200,速報_原データ!$A$5:$A$200,EDATE($A30,12),速報_原データ!$B$5:$B$200,G$3)/100),IF(COUNTIFS(速報_原データ!$I$6:$I$9,EDATE($A30,12),速報_原データ!$J$6:$J$9,G$3)&gt;0,G42/(1+SUMIFS(速報_原データ!$K$6:$K$9,速報_原データ!$I$6:$I$9,EDATE($A30,12),速報_原データ!$J$6:$J$9,G$3)/100),AVERAGE(G29,G31))))</f>
        <v>66.17</v>
      </c>
      <c r="H30" s="20" t="n">
        <f aca="false">IF(COUNTIFS(速報_原データ!$A$5:$A$200,$A30,速報_原データ!$B$5:$B$200,H$3)&gt;0,SUMIFS(速報_原データ!$C$5:$C$200,速報_原データ!$A$5:$A$200,$A30,速報_原データ!$B$5:$B$200,H$3)/100,IF(COUNTIFS(速報_原データ!$A$5:$A$200,EDATE($A30,12),速報_原データ!$B$5:$B$200,H$3)&gt;0,SUMIFS(速報_原データ!$C$5:$C$200,速報_原データ!$A$5:$A$200,EDATE($A30,12),速報_原データ!$B$5:$B$200,H$3)/100/(1+SUMIFS(速報_原データ!$D$5:$D$200,速報_原データ!$A$5:$A$200,EDATE($A30,12),速報_原データ!$B$5:$B$200,H$3)/100),IF(COUNTIFS(速報_原データ!$I$6:$I$9,EDATE($A30,12),速報_原データ!$J$6:$J$9,H$3)&gt;0,H42/(1+SUMIFS(速報_原データ!$K$6:$K$9,速報_原データ!$I$6:$I$9,EDATE($A30,12),速報_原データ!$J$6:$J$9,H$3)/100),AVERAGE(H29,H31))))</f>
        <v>171.87</v>
      </c>
      <c r="I30" s="20" t="n">
        <f aca="false">B30-D30</f>
        <v>1844.23</v>
      </c>
      <c r="J30" s="20" t="n">
        <f aca="false">C30-D30-E30-H30</f>
        <v>872.9</v>
      </c>
      <c r="K30" s="2" t="s">
        <v>86</v>
      </c>
    </row>
    <row r="31" customFormat="false" ht="15" hidden="false" customHeight="false" outlineLevel="0" collapsed="false">
      <c r="A31" s="15" t="n">
        <v>45809</v>
      </c>
      <c r="B31" s="20" t="n">
        <f aca="false">IF(COUNTIFS(速報_原データ!$A$5:$A$200,$A31,速報_原データ!$B$5:$B$200,B$3)&gt;0,SUMIFS(速報_原データ!$C$5:$C$200,速報_原データ!$A$5:$A$200,$A31,速報_原データ!$B$5:$B$200,B$3)/100,IF(COUNTIFS(速報_原データ!$A$5:$A$200,EDATE($A31,12),速報_原データ!$B$5:$B$200,B$3)&gt;0,SUMIFS(速報_原データ!$C$5:$C$200,速報_原データ!$A$5:$A$200,EDATE($A31,12),速報_原データ!$B$5:$B$200,B$3)/100/(1+SUMIFS(速報_原データ!$D$5:$D$200,速報_原データ!$A$5:$A$200,EDATE($A31,12),速報_原データ!$B$5:$B$200,B$3)/100),IF(COUNTIFS(速報_原データ!$I$6:$I$9,EDATE($A31,12),速報_原データ!$J$6:$J$9,B$3)&gt;0,B43/(1+SUMIFS(速報_原データ!$K$6:$K$9,速報_原データ!$I$6:$I$9,EDATE($A31,12),速報_原データ!$J$6:$J$9,B$3)/100),AVERAGE(B30,B32))))</f>
        <v>3877.8</v>
      </c>
      <c r="C31" s="20" t="n">
        <f aca="false">IF(COUNTIFS(速報_原データ!$A$5:$A$200,$A31,速報_原データ!$B$5:$B$200,C$3)&gt;0,SUMIFS(速報_原データ!$C$5:$C$200,速報_原データ!$A$5:$A$200,$A31,速報_原データ!$B$5:$B$200,C$3)/100,IF(COUNTIFS(速報_原データ!$A$5:$A$200,EDATE($A31,12),速報_原データ!$B$5:$B$200,C$3)&gt;0,SUMIFS(速報_原データ!$C$5:$C$200,速報_原データ!$A$5:$A$200,EDATE($A31,12),速報_原データ!$B$5:$B$200,C$3)/100/(1+SUMIFS(速報_原データ!$D$5:$D$200,速報_原データ!$A$5:$A$200,EDATE($A31,12),速報_原データ!$B$5:$B$200,C$3)/100),IF(COUNTIFS(速報_原データ!$I$6:$I$9,EDATE($A31,12),速報_原データ!$J$6:$J$9,C$3)&gt;0,C43/(1+SUMIFS(速報_原データ!$K$6:$K$9,速報_原データ!$I$6:$I$9,EDATE($A31,12),速報_原データ!$J$6:$J$9,C$3)/100),AVERAGE(C30,C32))))</f>
        <v>3461.53</v>
      </c>
      <c r="D31" s="20" t="n">
        <f aca="false">IF(COUNTIFS(速報_原データ!$A$5:$A$200,$A31,速報_原データ!$B$5:$B$200,D$3)&gt;0,SUMIFS(速報_原データ!$C$5:$C$200,速報_原データ!$A$5:$A$200,$A31,速報_原データ!$B$5:$B$200,D$3)/100,IF(COUNTIFS(速報_原データ!$A$5:$A$200,EDATE($A31,12),速報_原データ!$B$5:$B$200,D$3)&gt;0,SUMIFS(速報_原データ!$C$5:$C$200,速報_原データ!$A$5:$A$200,EDATE($A31,12),速報_原データ!$B$5:$B$200,D$3)/100/(1+SUMIFS(速報_原データ!$D$5:$D$200,速報_原データ!$A$5:$A$200,EDATE($A31,12),速報_原データ!$B$5:$B$200,D$3)/100),IF(COUNTIFS(速報_原データ!$I$6:$I$9,EDATE($A31,12),速報_原データ!$J$6:$J$9,D$3)&gt;0,D43/(1+SUMIFS(速報_原データ!$K$6:$K$9,速報_原データ!$I$6:$I$9,EDATE($A31,12),速報_原データ!$J$6:$J$9,D$3)/100),AVERAGE(D30,D32))))</f>
        <v>1749.84</v>
      </c>
      <c r="E31" s="20" t="n">
        <f aca="false">IF(COUNTIFS(速報_原データ!$A$5:$A$200,$A31,速報_原データ!$B$5:$B$200,E$3)&gt;0,SUMIFS(速報_原データ!$C$5:$C$200,速報_原データ!$A$5:$A$200,$A31,速報_原データ!$B$5:$B$200,E$3)/100,IF(COUNTIFS(速報_原データ!$A$5:$A$200,EDATE($A31,12),速報_原データ!$B$5:$B$200,E$3)&gt;0,SUMIFS(速報_原データ!$C$5:$C$200,速報_原データ!$A$5:$A$200,EDATE($A31,12),速報_原データ!$B$5:$B$200,E$3)/100/(1+SUMIFS(速報_原データ!$D$5:$D$200,速報_原データ!$A$5:$A$200,EDATE($A31,12),速報_原データ!$B$5:$B$200,E$3)/100),IF(COUNTIFS(速報_原データ!$I$6:$I$9,EDATE($A31,12),速報_原データ!$J$6:$J$9,E$3)&gt;0,E43/(1+SUMIFS(速報_原データ!$K$6:$K$9,速報_原データ!$I$6:$I$9,EDATE($A31,12),速報_原データ!$J$6:$J$9,E$3)/100),AVERAGE(E30,E32))))</f>
        <v>633.85</v>
      </c>
      <c r="F31" s="20" t="n">
        <f aca="false">IF(COUNTIFS(速報_原データ!$A$5:$A$200,$A31,速報_原データ!$B$5:$B$200,F$3)&gt;0,SUMIFS(速報_原データ!$C$5:$C$200,速報_原データ!$A$5:$A$200,$A31,速報_原データ!$B$5:$B$200,F$3)/100,IF(COUNTIFS(速報_原データ!$A$5:$A$200,EDATE($A31,12),速報_原データ!$B$5:$B$200,F$3)&gt;0,SUMIFS(速報_原データ!$C$5:$C$200,速報_原データ!$A$5:$A$200,EDATE($A31,12),速報_原データ!$B$5:$B$200,F$3)/100/(1+SUMIFS(速報_原データ!$D$5:$D$200,速報_原データ!$A$5:$A$200,EDATE($A31,12),速報_原データ!$B$5:$B$200,F$3)/100),IF(COUNTIFS(速報_原データ!$I$6:$I$9,EDATE($A31,12),速報_原データ!$J$6:$J$9,F$3)&gt;0,F43/(1+SUMIFS(速報_原データ!$K$6:$K$9,速報_原データ!$I$6:$I$9,EDATE($A31,12),速報_原データ!$J$6:$J$9,F$3)/100),AVERAGE(F30,F32))))</f>
        <v>356.05</v>
      </c>
      <c r="G31" s="20" t="n">
        <f aca="false">IF(COUNTIFS(速報_原データ!$A$5:$A$200,$A31,速報_原データ!$B$5:$B$200,G$3)&gt;0,SUMIFS(速報_原データ!$C$5:$C$200,速報_原データ!$A$5:$A$200,$A31,速報_原データ!$B$5:$B$200,G$3)/100,IF(COUNTIFS(速報_原データ!$A$5:$A$200,EDATE($A31,12),速報_原データ!$B$5:$B$200,G$3)&gt;0,SUMIFS(速報_原データ!$C$5:$C$200,速報_原データ!$A$5:$A$200,EDATE($A31,12),速報_原データ!$B$5:$B$200,G$3)/100/(1+SUMIFS(速報_原データ!$D$5:$D$200,速報_原データ!$A$5:$A$200,EDATE($A31,12),速報_原データ!$B$5:$B$200,G$3)/100),IF(COUNTIFS(速報_原データ!$I$6:$I$9,EDATE($A31,12),速報_原データ!$J$6:$J$9,G$3)&gt;0,G43/(1+SUMIFS(速報_原データ!$K$6:$K$9,速報_原データ!$I$6:$I$9,EDATE($A31,12),速報_原データ!$J$6:$J$9,G$3)/100),AVERAGE(G30,G32))))</f>
        <v>43.8</v>
      </c>
      <c r="H31" s="20" t="n">
        <f aca="false">IF(COUNTIFS(速報_原データ!$A$5:$A$200,$A31,速報_原データ!$B$5:$B$200,H$3)&gt;0,SUMIFS(速報_原データ!$C$5:$C$200,速報_原データ!$A$5:$A$200,$A31,速報_原データ!$B$5:$B$200,H$3)/100,IF(COUNTIFS(速報_原データ!$A$5:$A$200,EDATE($A31,12),速報_原データ!$B$5:$B$200,H$3)&gt;0,SUMIFS(速報_原データ!$C$5:$C$200,速報_原データ!$A$5:$A$200,EDATE($A31,12),速報_原データ!$B$5:$B$200,H$3)/100/(1+SUMIFS(速報_原データ!$D$5:$D$200,速報_原データ!$A$5:$A$200,EDATE($A31,12),速報_原データ!$B$5:$B$200,H$3)/100),IF(COUNTIFS(速報_原データ!$I$6:$I$9,EDATE($A31,12),速報_原データ!$J$6:$J$9,H$3)&gt;0,H43/(1+SUMIFS(速報_原データ!$K$6:$K$9,速報_原データ!$I$6:$I$9,EDATE($A31,12),速報_原データ!$J$6:$J$9,H$3)/100),AVERAGE(H30,H32))))</f>
        <v>161.53</v>
      </c>
      <c r="I31" s="20" t="n">
        <f aca="false">B31-D31</f>
        <v>2127.96</v>
      </c>
      <c r="J31" s="20" t="n">
        <f aca="false">C31-D31-E31-H31</f>
        <v>916.31</v>
      </c>
      <c r="K31" s="2" t="s">
        <v>86</v>
      </c>
    </row>
    <row r="32" customFormat="false" ht="15" hidden="false" customHeight="false" outlineLevel="0" collapsed="false">
      <c r="A32" s="15" t="n">
        <v>45839</v>
      </c>
      <c r="B32" s="20" t="n">
        <f aca="false">IF(COUNTIFS(速報_原データ!$A$5:$A$200,$A32,速報_原データ!$B$5:$B$200,B$3)&gt;0,SUMIFS(速報_原データ!$C$5:$C$200,速報_原データ!$A$5:$A$200,$A32,速報_原データ!$B$5:$B$200,B$3)/100,IF(COUNTIFS(速報_原データ!$A$5:$A$200,EDATE($A32,12),速報_原データ!$B$5:$B$200,B$3)&gt;0,SUMIFS(速報_原データ!$C$5:$C$200,速報_原データ!$A$5:$A$200,EDATE($A32,12),速報_原データ!$B$5:$B$200,B$3)/100/(1+SUMIFS(速報_原データ!$D$5:$D$200,速報_原データ!$A$5:$A$200,EDATE($A32,12),速報_原データ!$B$5:$B$200,B$3)/100),IF(COUNTIFS(速報_原データ!$I$6:$I$9,EDATE($A32,12),速報_原データ!$J$6:$J$9,B$3)&gt;0,B44/(1+SUMIFS(速報_原データ!$K$6:$K$9,速報_原データ!$I$6:$I$9,EDATE($A32,12),速報_原データ!$J$6:$J$9,B$3)/100),AVERAGE(B31,B33))))</f>
        <v>3509.43</v>
      </c>
      <c r="C32" s="20" t="n">
        <f aca="false">IF(COUNTIFS(速報_原データ!$A$5:$A$200,$A32,速報_原データ!$B$5:$B$200,C$3)&gt;0,SUMIFS(速報_原データ!$C$5:$C$200,速報_原データ!$A$5:$A$200,$A32,速報_原データ!$B$5:$B$200,C$3)/100,IF(COUNTIFS(速報_原データ!$A$5:$A$200,EDATE($A32,12),速報_原データ!$B$5:$B$200,C$3)&gt;0,SUMIFS(速報_原データ!$C$5:$C$200,速報_原データ!$A$5:$A$200,EDATE($A32,12),速報_原データ!$B$5:$B$200,C$3)/100/(1+SUMIFS(速報_原データ!$D$5:$D$200,速報_原データ!$A$5:$A$200,EDATE($A32,12),速報_原データ!$B$5:$B$200,C$3)/100),IF(COUNTIFS(速報_原データ!$I$6:$I$9,EDATE($A32,12),速報_原データ!$J$6:$J$9,C$3)&gt;0,C44/(1+SUMIFS(速報_原データ!$K$6:$K$9,速報_原データ!$I$6:$I$9,EDATE($A32,12),速報_原データ!$J$6:$J$9,C$3)/100),AVERAGE(C31,C33))))</f>
        <v>3132.78</v>
      </c>
      <c r="D32" s="20" t="n">
        <f aca="false">IF(COUNTIFS(速報_原データ!$A$5:$A$200,$A32,速報_原データ!$B$5:$B$200,D$3)&gt;0,SUMIFS(速報_原データ!$C$5:$C$200,速報_原データ!$A$5:$A$200,$A32,速報_原データ!$B$5:$B$200,D$3)/100,IF(COUNTIFS(速報_原データ!$A$5:$A$200,EDATE($A32,12),速報_原データ!$B$5:$B$200,D$3)&gt;0,SUMIFS(速報_原データ!$C$5:$C$200,速報_原データ!$A$5:$A$200,EDATE($A32,12),速報_原データ!$B$5:$B$200,D$3)/100/(1+SUMIFS(速報_原データ!$D$5:$D$200,速報_原データ!$A$5:$A$200,EDATE($A32,12),速報_原データ!$B$5:$B$200,D$3)/100),IF(COUNTIFS(速報_原データ!$I$6:$I$9,EDATE($A32,12),速報_原データ!$J$6:$J$9,D$3)&gt;0,D44/(1+SUMIFS(速報_原データ!$K$6:$K$9,速報_原データ!$I$6:$I$9,EDATE($A32,12),速報_原データ!$J$6:$J$9,D$3)/100),AVERAGE(D31,D33))))</f>
        <v>1564.05</v>
      </c>
      <c r="E32" s="20" t="n">
        <f aca="false">IF(COUNTIFS(速報_原データ!$A$5:$A$200,$A32,速報_原データ!$B$5:$B$200,E$3)&gt;0,SUMIFS(速報_原データ!$C$5:$C$200,速報_原データ!$A$5:$A$200,$A32,速報_原データ!$B$5:$B$200,E$3)/100,IF(COUNTIFS(速報_原データ!$A$5:$A$200,EDATE($A32,12),速報_原データ!$B$5:$B$200,E$3)&gt;0,SUMIFS(速報_原データ!$C$5:$C$200,速報_原データ!$A$5:$A$200,EDATE($A32,12),速報_原データ!$B$5:$B$200,E$3)/100/(1+SUMIFS(速報_原データ!$D$5:$D$200,速報_原データ!$A$5:$A$200,EDATE($A32,12),速報_原データ!$B$5:$B$200,E$3)/100),IF(COUNTIFS(速報_原データ!$I$6:$I$9,EDATE($A32,12),速報_原データ!$J$6:$J$9,E$3)&gt;0,E44/(1+SUMIFS(速報_原データ!$K$6:$K$9,速報_原データ!$I$6:$I$9,EDATE($A32,12),速報_原データ!$J$6:$J$9,E$3)/100),AVERAGE(E31,E33))))</f>
        <v>423.6</v>
      </c>
      <c r="F32" s="20" t="n">
        <f aca="false">IF(COUNTIFS(速報_原データ!$A$5:$A$200,$A32,速報_原データ!$B$5:$B$200,F$3)&gt;0,SUMIFS(速報_原データ!$C$5:$C$200,速報_原データ!$A$5:$A$200,$A32,速報_原データ!$B$5:$B$200,F$3)/100,IF(COUNTIFS(速報_原データ!$A$5:$A$200,EDATE($A32,12),速報_原データ!$B$5:$B$200,F$3)&gt;0,SUMIFS(速報_原データ!$C$5:$C$200,速報_原データ!$A$5:$A$200,EDATE($A32,12),速報_原データ!$B$5:$B$200,F$3)/100/(1+SUMIFS(速報_原データ!$D$5:$D$200,速報_原データ!$A$5:$A$200,EDATE($A32,12),速報_原データ!$B$5:$B$200,F$3)/100),IF(COUNTIFS(速報_原データ!$I$6:$I$9,EDATE($A32,12),速報_原データ!$J$6:$J$9,F$3)&gt;0,F44/(1+SUMIFS(速報_原データ!$K$6:$K$9,速報_原データ!$I$6:$I$9,EDATE($A32,12),速報_原データ!$J$6:$J$9,F$3)/100),AVERAGE(F31,F33))))</f>
        <v>302.09</v>
      </c>
      <c r="G32" s="20" t="n">
        <f aca="false">IF(COUNTIFS(速報_原データ!$A$5:$A$200,$A32,速報_原データ!$B$5:$B$200,G$3)&gt;0,SUMIFS(速報_原データ!$C$5:$C$200,速報_原データ!$A$5:$A$200,$A32,速報_原データ!$B$5:$B$200,G$3)/100,IF(COUNTIFS(速報_原データ!$A$5:$A$200,EDATE($A32,12),速報_原データ!$B$5:$B$200,G$3)&gt;0,SUMIFS(速報_原データ!$C$5:$C$200,速報_原データ!$A$5:$A$200,EDATE($A32,12),速報_原データ!$B$5:$B$200,G$3)/100/(1+SUMIFS(速報_原データ!$D$5:$D$200,速報_原データ!$A$5:$A$200,EDATE($A32,12),速報_原データ!$B$5:$B$200,G$3)/100),IF(COUNTIFS(速報_原データ!$I$6:$I$9,EDATE($A32,12),速報_原データ!$J$6:$J$9,G$3)&gt;0,G44/(1+SUMIFS(速報_原データ!$K$6:$K$9,速報_原データ!$I$6:$I$9,EDATE($A32,12),速報_原データ!$J$6:$J$9,G$3)/100),AVERAGE(G31,G33))))</f>
        <v>59.04</v>
      </c>
      <c r="H32" s="20" t="n">
        <f aca="false">IF(COUNTIFS(速報_原データ!$A$5:$A$200,$A32,速報_原データ!$B$5:$B$200,H$3)&gt;0,SUMIFS(速報_原データ!$C$5:$C$200,速報_原データ!$A$5:$A$200,$A32,速報_原データ!$B$5:$B$200,H$3)/100,IF(COUNTIFS(速報_原データ!$A$5:$A$200,EDATE($A32,12),速報_原データ!$B$5:$B$200,H$3)&gt;0,SUMIFS(速報_原データ!$C$5:$C$200,速報_原データ!$A$5:$A$200,EDATE($A32,12),速報_原データ!$B$5:$B$200,H$3)/100/(1+SUMIFS(速報_原データ!$D$5:$D$200,速報_原データ!$A$5:$A$200,EDATE($A32,12),速報_原データ!$B$5:$B$200,H$3)/100),IF(COUNTIFS(速報_原データ!$I$6:$I$9,EDATE($A32,12),速報_原データ!$J$6:$J$9,H$3)&gt;0,H44/(1+SUMIFS(速報_原データ!$K$6:$K$9,速報_原データ!$I$6:$I$9,EDATE($A32,12),速報_原データ!$J$6:$J$9,H$3)/100),AVERAGE(H31,H33))))</f>
        <v>267.87</v>
      </c>
      <c r="I32" s="20" t="n">
        <f aca="false">B32-D32</f>
        <v>1945.38</v>
      </c>
      <c r="J32" s="20" t="n">
        <f aca="false">C32-D32-E32-H32</f>
        <v>877.26</v>
      </c>
      <c r="K32" s="2" t="s">
        <v>86</v>
      </c>
    </row>
    <row r="33" customFormat="false" ht="15" hidden="false" customHeight="false" outlineLevel="0" collapsed="false">
      <c r="A33" s="15" t="n">
        <v>45870</v>
      </c>
      <c r="B33" s="20" t="n">
        <f aca="false">IF(COUNTIFS(速報_原データ!$A$5:$A$200,$A33,速報_原データ!$B$5:$B$200,B$3)&gt;0,SUMIFS(速報_原データ!$C$5:$C$200,速報_原データ!$A$5:$A$200,$A33,速報_原データ!$B$5:$B$200,B$3)/100,IF(COUNTIFS(速報_原データ!$A$5:$A$200,EDATE($A33,12),速報_原データ!$B$5:$B$200,B$3)&gt;0,SUMIFS(速報_原データ!$C$5:$C$200,速報_原データ!$A$5:$A$200,EDATE($A33,12),速報_原データ!$B$5:$B$200,B$3)/100/(1+SUMIFS(速報_原データ!$D$5:$D$200,速報_原データ!$A$5:$A$200,EDATE($A33,12),速報_原データ!$B$5:$B$200,B$3)/100),IF(COUNTIFS(速報_原データ!$I$6:$I$9,EDATE($A33,12),速報_原データ!$J$6:$J$9,B$3)&gt;0,B45/(1+SUMIFS(速報_原データ!$K$6:$K$9,速報_原データ!$I$6:$I$9,EDATE($A33,12),速報_原データ!$J$6:$J$9,B$3)/100),AVERAGE(B32,B34))))</f>
        <v>3494.46</v>
      </c>
      <c r="C33" s="20" t="n">
        <f aca="false">IF(COUNTIFS(速報_原データ!$A$5:$A$200,$A33,速報_原データ!$B$5:$B$200,C$3)&gt;0,SUMIFS(速報_原データ!$C$5:$C$200,速報_原データ!$A$5:$A$200,$A33,速報_原データ!$B$5:$B$200,C$3)/100,IF(COUNTIFS(速報_原データ!$A$5:$A$200,EDATE($A33,12),速報_原データ!$B$5:$B$200,C$3)&gt;0,SUMIFS(速報_原データ!$C$5:$C$200,速報_原データ!$A$5:$A$200,EDATE($A33,12),速報_原データ!$B$5:$B$200,C$3)/100/(1+SUMIFS(速報_原データ!$D$5:$D$200,速報_原データ!$A$5:$A$200,EDATE($A33,12),速報_原データ!$B$5:$B$200,C$3)/100),IF(COUNTIFS(速報_原データ!$I$6:$I$9,EDATE($A33,12),速報_原データ!$J$6:$J$9,C$3)&gt;0,C45/(1+SUMIFS(速報_原データ!$K$6:$K$9,速報_原データ!$I$6:$I$9,EDATE($A33,12),速報_原データ!$J$6:$J$9,C$3)/100),AVERAGE(C32,C34))))</f>
        <v>3201.82</v>
      </c>
      <c r="D33" s="20" t="n">
        <f aca="false">IF(COUNTIFS(速報_原データ!$A$5:$A$200,$A33,速報_原データ!$B$5:$B$200,D$3)&gt;0,SUMIFS(速報_原データ!$C$5:$C$200,速報_原データ!$A$5:$A$200,$A33,速報_原データ!$B$5:$B$200,D$3)/100,IF(COUNTIFS(速報_原データ!$A$5:$A$200,EDATE($A33,12),速報_原データ!$B$5:$B$200,D$3)&gt;0,SUMIFS(速報_原データ!$C$5:$C$200,速報_原データ!$A$5:$A$200,EDATE($A33,12),速報_原データ!$B$5:$B$200,D$3)/100/(1+SUMIFS(速報_原データ!$D$5:$D$200,速報_原データ!$A$5:$A$200,EDATE($A33,12),速報_原データ!$B$5:$B$200,D$3)/100),IF(COUNTIFS(速報_原データ!$I$6:$I$9,EDATE($A33,12),速報_原データ!$J$6:$J$9,D$3)&gt;0,D45/(1+SUMIFS(速報_原データ!$K$6:$K$9,速報_原データ!$I$6:$I$9,EDATE($A33,12),速報_原データ!$J$6:$J$9,D$3)/100),AVERAGE(D32,D34))))</f>
        <v>1674.9</v>
      </c>
      <c r="E33" s="20" t="n">
        <f aca="false">IF(COUNTIFS(速報_原データ!$A$5:$A$200,$A33,速報_原データ!$B$5:$B$200,E$3)&gt;0,SUMIFS(速報_原データ!$C$5:$C$200,速報_原データ!$A$5:$A$200,$A33,速報_原データ!$B$5:$B$200,E$3)/100,IF(COUNTIFS(速報_原データ!$A$5:$A$200,EDATE($A33,12),速報_原データ!$B$5:$B$200,E$3)&gt;0,SUMIFS(速報_原データ!$C$5:$C$200,速報_原データ!$A$5:$A$200,EDATE($A33,12),速報_原データ!$B$5:$B$200,E$3)/100/(1+SUMIFS(速報_原データ!$D$5:$D$200,速報_原データ!$A$5:$A$200,EDATE($A33,12),速報_原データ!$B$5:$B$200,E$3)/100),IF(COUNTIFS(速報_原データ!$I$6:$I$9,EDATE($A33,12),速報_原データ!$J$6:$J$9,E$3)&gt;0,E45/(1+SUMIFS(速報_原データ!$K$6:$K$9,速報_原データ!$I$6:$I$9,EDATE($A33,12),速報_原データ!$J$6:$J$9,E$3)/100),AVERAGE(E32,E34))))</f>
        <v>499.97</v>
      </c>
      <c r="F33" s="20" t="n">
        <f aca="false">IF(COUNTIFS(速報_原データ!$A$5:$A$200,$A33,速報_原データ!$B$5:$B$200,F$3)&gt;0,SUMIFS(速報_原データ!$C$5:$C$200,速報_原データ!$A$5:$A$200,$A33,速報_原データ!$B$5:$B$200,F$3)/100,IF(COUNTIFS(速報_原データ!$A$5:$A$200,EDATE($A33,12),速報_原データ!$B$5:$B$200,F$3)&gt;0,SUMIFS(速報_原データ!$C$5:$C$200,速報_原データ!$A$5:$A$200,EDATE($A33,12),速報_原データ!$B$5:$B$200,F$3)/100/(1+SUMIFS(速報_原データ!$D$5:$D$200,速報_原データ!$A$5:$A$200,EDATE($A33,12),速報_原データ!$B$5:$B$200,F$3)/100),IF(COUNTIFS(速報_原データ!$I$6:$I$9,EDATE($A33,12),速報_原データ!$J$6:$J$9,F$3)&gt;0,F45/(1+SUMIFS(速報_原データ!$K$6:$K$9,速報_原データ!$I$6:$I$9,EDATE($A33,12),速報_原データ!$J$6:$J$9,F$3)/100),AVERAGE(F32,F34))))</f>
        <v>228.16</v>
      </c>
      <c r="G33" s="20" t="n">
        <f aca="false">IF(COUNTIFS(速報_原データ!$A$5:$A$200,$A33,速報_原データ!$B$5:$B$200,G$3)&gt;0,SUMIFS(速報_原データ!$C$5:$C$200,速報_原データ!$A$5:$A$200,$A33,速報_原データ!$B$5:$B$200,G$3)/100,IF(COUNTIFS(速報_原データ!$A$5:$A$200,EDATE($A33,12),速報_原データ!$B$5:$B$200,G$3)&gt;0,SUMIFS(速報_原データ!$C$5:$C$200,速報_原データ!$A$5:$A$200,EDATE($A33,12),速報_原データ!$B$5:$B$200,G$3)/100/(1+SUMIFS(速報_原データ!$D$5:$D$200,速報_原データ!$A$5:$A$200,EDATE($A33,12),速報_原データ!$B$5:$B$200,G$3)/100),IF(COUNTIFS(速報_原データ!$I$6:$I$9,EDATE($A33,12),速報_原データ!$J$6:$J$9,G$3)&gt;0,G45/(1+SUMIFS(速報_原データ!$K$6:$K$9,速報_原データ!$I$6:$I$9,EDATE($A33,12),速報_原データ!$J$6:$J$9,G$3)/100),AVERAGE(G32,G34))))</f>
        <v>55.37</v>
      </c>
      <c r="H33" s="20" t="n">
        <f aca="false">IF(COUNTIFS(速報_原データ!$A$5:$A$200,$A33,速報_原データ!$B$5:$B$200,H$3)&gt;0,SUMIFS(速報_原データ!$C$5:$C$200,速報_原データ!$A$5:$A$200,$A33,速報_原データ!$B$5:$B$200,H$3)/100,IF(COUNTIFS(速報_原データ!$A$5:$A$200,EDATE($A33,12),速報_原データ!$B$5:$B$200,H$3)&gt;0,SUMIFS(速報_原データ!$C$5:$C$200,速報_原データ!$A$5:$A$200,EDATE($A33,12),速報_原データ!$B$5:$B$200,H$3)/100/(1+SUMIFS(速報_原データ!$D$5:$D$200,速報_原データ!$A$5:$A$200,EDATE($A33,12),速報_原データ!$B$5:$B$200,H$3)/100),IF(COUNTIFS(速報_原データ!$I$6:$I$9,EDATE($A33,12),速報_原データ!$J$6:$J$9,H$3)&gt;0,H45/(1+SUMIFS(速報_原データ!$K$6:$K$9,速報_原データ!$I$6:$I$9,EDATE($A33,12),速報_原データ!$J$6:$J$9,H$3)/100),AVERAGE(H32,H34))))</f>
        <v>197.95</v>
      </c>
      <c r="I33" s="20" t="n">
        <f aca="false">B33-D33</f>
        <v>1819.56</v>
      </c>
      <c r="J33" s="20" t="n">
        <f aca="false">C33-D33-E33-H33</f>
        <v>829</v>
      </c>
      <c r="K33" s="2" t="s">
        <v>86</v>
      </c>
    </row>
    <row r="34" customFormat="false" ht="15" hidden="false" customHeight="false" outlineLevel="0" collapsed="false">
      <c r="A34" s="15" t="n">
        <v>45901</v>
      </c>
      <c r="B34" s="20" t="n">
        <f aca="false">IF(COUNTIFS(速報_原データ!$A$5:$A$200,$A34,速報_原データ!$B$5:$B$200,B$3)&gt;0,SUMIFS(速報_原データ!$C$5:$C$200,速報_原データ!$A$5:$A$200,$A34,速報_原データ!$B$5:$B$200,B$3)/100,IF(COUNTIFS(速報_原データ!$A$5:$A$200,EDATE($A34,12),速報_原データ!$B$5:$B$200,B$3)&gt;0,SUMIFS(速報_原データ!$C$5:$C$200,速報_原データ!$A$5:$A$200,EDATE($A34,12),速報_原データ!$B$5:$B$200,B$3)/100/(1+SUMIFS(速報_原データ!$D$5:$D$200,速報_原データ!$A$5:$A$200,EDATE($A34,12),速報_原データ!$B$5:$B$200,B$3)/100),IF(COUNTIFS(速報_原データ!$I$6:$I$9,EDATE($A34,12),速報_原データ!$J$6:$J$9,B$3)&gt;0,B46/(1+SUMIFS(速報_原データ!$K$6:$K$9,速報_原データ!$I$6:$I$9,EDATE($A34,12),速報_原データ!$J$6:$J$9,B$3)/100),AVERAGE(B33,B35))))</f>
        <v>3844.11</v>
      </c>
      <c r="C34" s="20" t="n">
        <f aca="false">IF(COUNTIFS(速報_原データ!$A$5:$A$200,$A34,速報_原データ!$B$5:$B$200,C$3)&gt;0,SUMIFS(速報_原データ!$C$5:$C$200,速報_原データ!$A$5:$A$200,$A34,速報_原データ!$B$5:$B$200,C$3)/100,IF(COUNTIFS(速報_原データ!$A$5:$A$200,EDATE($A34,12),速報_原データ!$B$5:$B$200,C$3)&gt;0,SUMIFS(速報_原データ!$C$5:$C$200,速報_原データ!$A$5:$A$200,EDATE($A34,12),速報_原データ!$B$5:$B$200,C$3)/100/(1+SUMIFS(速報_原データ!$D$5:$D$200,速報_原データ!$A$5:$A$200,EDATE($A34,12),速報_原データ!$B$5:$B$200,C$3)/100),IF(COUNTIFS(速報_原データ!$I$6:$I$9,EDATE($A34,12),速報_原データ!$J$6:$J$9,C$3)&gt;0,C46/(1+SUMIFS(速報_原データ!$K$6:$K$9,速報_原データ!$I$6:$I$9,EDATE($A34,12),速報_原データ!$J$6:$J$9,C$3)/100),AVERAGE(C33,C35))))</f>
        <v>3422.97</v>
      </c>
      <c r="D34" s="20" t="n">
        <f aca="false">IF(COUNTIFS(速報_原データ!$A$5:$A$200,$A34,速報_原データ!$B$5:$B$200,D$3)&gt;0,SUMIFS(速報_原データ!$C$5:$C$200,速報_原データ!$A$5:$A$200,$A34,速報_原データ!$B$5:$B$200,D$3)/100,IF(COUNTIFS(速報_原データ!$A$5:$A$200,EDATE($A34,12),速報_原データ!$B$5:$B$200,D$3)&gt;0,SUMIFS(速報_原データ!$C$5:$C$200,速報_原データ!$A$5:$A$200,EDATE($A34,12),速報_原データ!$B$5:$B$200,D$3)/100/(1+SUMIFS(速報_原データ!$D$5:$D$200,速報_原データ!$A$5:$A$200,EDATE($A34,12),速報_原データ!$B$5:$B$200,D$3)/100),IF(COUNTIFS(速報_原データ!$I$6:$I$9,EDATE($A34,12),速報_原データ!$J$6:$J$9,D$3)&gt;0,D46/(1+SUMIFS(速報_原データ!$K$6:$K$9,速報_原データ!$I$6:$I$9,EDATE($A34,12),速報_原データ!$J$6:$J$9,D$3)/100),AVERAGE(D33,D35))))</f>
        <v>1970.06</v>
      </c>
      <c r="E34" s="20" t="n">
        <f aca="false">IF(COUNTIFS(速報_原データ!$A$5:$A$200,$A34,速報_原データ!$B$5:$B$200,E$3)&gt;0,SUMIFS(速報_原データ!$C$5:$C$200,速報_原データ!$A$5:$A$200,$A34,速報_原データ!$B$5:$B$200,E$3)/100,IF(COUNTIFS(速報_原データ!$A$5:$A$200,EDATE($A34,12),速報_原データ!$B$5:$B$200,E$3)&gt;0,SUMIFS(速報_原データ!$C$5:$C$200,速報_原データ!$A$5:$A$200,EDATE($A34,12),速報_原データ!$B$5:$B$200,E$3)/100/(1+SUMIFS(速報_原データ!$D$5:$D$200,速報_原データ!$A$5:$A$200,EDATE($A34,12),速報_原データ!$B$5:$B$200,E$3)/100),IF(COUNTIFS(速報_原データ!$I$6:$I$9,EDATE($A34,12),速報_原データ!$J$6:$J$9,E$3)&gt;0,E46/(1+SUMIFS(速報_原データ!$K$6:$K$9,速報_原データ!$I$6:$I$9,EDATE($A34,12),速報_原データ!$J$6:$J$9,E$3)/100),AVERAGE(E33,E35))))</f>
        <v>533.01</v>
      </c>
      <c r="F34" s="20" t="n">
        <f aca="false">IF(COUNTIFS(速報_原データ!$A$5:$A$200,$A34,速報_原データ!$B$5:$B$200,F$3)&gt;0,SUMIFS(速報_原データ!$C$5:$C$200,速報_原データ!$A$5:$A$200,$A34,速報_原データ!$B$5:$B$200,F$3)/100,IF(COUNTIFS(速報_原データ!$A$5:$A$200,EDATE($A34,12),速報_原データ!$B$5:$B$200,F$3)&gt;0,SUMIFS(速報_原データ!$C$5:$C$200,速報_原データ!$A$5:$A$200,EDATE($A34,12),速報_原データ!$B$5:$B$200,F$3)/100/(1+SUMIFS(速報_原データ!$D$5:$D$200,速報_原データ!$A$5:$A$200,EDATE($A34,12),速報_原データ!$B$5:$B$200,F$3)/100),IF(COUNTIFS(速報_原データ!$I$6:$I$9,EDATE($A34,12),速報_原データ!$J$6:$J$9,F$3)&gt;0,F46/(1+SUMIFS(速報_原データ!$K$6:$K$9,速報_原データ!$I$6:$I$9,EDATE($A34,12),速報_原データ!$J$6:$J$9,F$3)/100),AVERAGE(F33,F35))))</f>
        <v>317.31</v>
      </c>
      <c r="G34" s="20" t="n">
        <f aca="false">IF(COUNTIFS(速報_原データ!$A$5:$A$200,$A34,速報_原データ!$B$5:$B$200,G$3)&gt;0,SUMIFS(速報_原データ!$C$5:$C$200,速報_原データ!$A$5:$A$200,$A34,速報_原データ!$B$5:$B$200,G$3)/100,IF(COUNTIFS(速報_原データ!$A$5:$A$200,EDATE($A34,12),速報_原データ!$B$5:$B$200,G$3)&gt;0,SUMIFS(速報_原データ!$C$5:$C$200,速報_原データ!$A$5:$A$200,EDATE($A34,12),速報_原データ!$B$5:$B$200,G$3)/100/(1+SUMIFS(速報_原データ!$D$5:$D$200,速報_原データ!$A$5:$A$200,EDATE($A34,12),速報_原データ!$B$5:$B$200,G$3)/100),IF(COUNTIFS(速報_原データ!$I$6:$I$9,EDATE($A34,12),速報_原データ!$J$6:$J$9,G$3)&gt;0,G46/(1+SUMIFS(速報_原データ!$K$6:$K$9,速報_原データ!$I$6:$I$9,EDATE($A34,12),速報_原データ!$J$6:$J$9,G$3)/100),AVERAGE(G33,G35))))</f>
        <v>90.97</v>
      </c>
      <c r="H34" s="20" t="n">
        <f aca="false">IF(COUNTIFS(速報_原データ!$A$5:$A$200,$A34,速報_原データ!$B$5:$B$200,H$3)&gt;0,SUMIFS(速報_原データ!$C$5:$C$200,速報_原データ!$A$5:$A$200,$A34,速報_原データ!$B$5:$B$200,H$3)/100,IF(COUNTIFS(速報_原データ!$A$5:$A$200,EDATE($A34,12),速報_原データ!$B$5:$B$200,H$3)&gt;0,SUMIFS(速報_原データ!$C$5:$C$200,速報_原データ!$A$5:$A$200,EDATE($A34,12),速報_原データ!$B$5:$B$200,H$3)/100/(1+SUMIFS(速報_原データ!$D$5:$D$200,速報_原データ!$A$5:$A$200,EDATE($A34,12),速報_原データ!$B$5:$B$200,H$3)/100),IF(COUNTIFS(速報_原データ!$I$6:$I$9,EDATE($A34,12),速報_原データ!$J$6:$J$9,H$3)&gt;0,H46/(1+SUMIFS(速報_原データ!$K$6:$K$9,速報_原データ!$I$6:$I$9,EDATE($A34,12),速報_原データ!$J$6:$J$9,H$3)/100),AVERAGE(H33,H35))))</f>
        <v>198.43</v>
      </c>
      <c r="I34" s="20" t="n">
        <f aca="false">B34-D34</f>
        <v>1874.05</v>
      </c>
      <c r="J34" s="20" t="n">
        <f aca="false">C34-D34-E34-H34</f>
        <v>721.47</v>
      </c>
      <c r="K34" s="2" t="s">
        <v>86</v>
      </c>
    </row>
    <row r="35" customFormat="false" ht="15" hidden="false" customHeight="false" outlineLevel="0" collapsed="false">
      <c r="A35" s="15" t="n">
        <v>45931</v>
      </c>
      <c r="B35" s="20" t="n">
        <f aca="false">IF(COUNTIFS(速報_原データ!$A$5:$A$200,$A35,速報_原データ!$B$5:$B$200,B$3)&gt;0,SUMIFS(速報_原データ!$C$5:$C$200,速報_原データ!$A$5:$A$200,$A35,速報_原データ!$B$5:$B$200,B$3)/100,IF(COUNTIFS(速報_原データ!$A$5:$A$200,EDATE($A35,12),速報_原データ!$B$5:$B$200,B$3)&gt;0,SUMIFS(速報_原データ!$C$5:$C$200,速報_原データ!$A$5:$A$200,EDATE($A35,12),速報_原データ!$B$5:$B$200,B$3)/100/(1+SUMIFS(速報_原データ!$D$5:$D$200,速報_原データ!$A$5:$A$200,EDATE($A35,12),速報_原データ!$B$5:$B$200,B$3)/100),IF(COUNTIFS(速報_原データ!$I$6:$I$9,EDATE($A35,12),速報_原データ!$J$6:$J$9,B$3)&gt;0,B47/(1+SUMIFS(速報_原データ!$K$6:$K$9,速報_原データ!$I$6:$I$9,EDATE($A35,12),速報_原データ!$J$6:$J$9,B$3)/100),AVERAGE(B34,B36))))</f>
        <v>3635.38</v>
      </c>
      <c r="C35" s="20" t="n">
        <f aca="false">IF(COUNTIFS(速報_原データ!$A$5:$A$200,$A35,速報_原データ!$B$5:$B$200,C$3)&gt;0,SUMIFS(速報_原データ!$C$5:$C$200,速報_原データ!$A$5:$A$200,$A35,速報_原データ!$B$5:$B$200,C$3)/100,IF(COUNTIFS(速報_原データ!$A$5:$A$200,EDATE($A35,12),速報_原データ!$B$5:$B$200,C$3)&gt;0,SUMIFS(速報_原データ!$C$5:$C$200,速報_原データ!$A$5:$A$200,EDATE($A35,12),速報_原データ!$B$5:$B$200,C$3)/100/(1+SUMIFS(速報_原データ!$D$5:$D$200,速報_原データ!$A$5:$A$200,EDATE($A35,12),速報_原データ!$B$5:$B$200,C$3)/100),IF(COUNTIFS(速報_原データ!$I$6:$I$9,EDATE($A35,12),速報_原データ!$J$6:$J$9,C$3)&gt;0,C47/(1+SUMIFS(速報_原データ!$K$6:$K$9,速報_原データ!$I$6:$I$9,EDATE($A35,12),速報_原データ!$J$6:$J$9,C$3)/100),AVERAGE(C34,C36))))</f>
        <v>3230.23</v>
      </c>
      <c r="D35" s="20" t="n">
        <f aca="false">IF(COUNTIFS(速報_原データ!$A$5:$A$200,$A35,速報_原データ!$B$5:$B$200,D$3)&gt;0,SUMIFS(速報_原データ!$C$5:$C$200,速報_原データ!$A$5:$A$200,$A35,速報_原データ!$B$5:$B$200,D$3)/100,IF(COUNTIFS(速報_原データ!$A$5:$A$200,EDATE($A35,12),速報_原データ!$B$5:$B$200,D$3)&gt;0,SUMIFS(速報_原データ!$C$5:$C$200,速報_原データ!$A$5:$A$200,EDATE($A35,12),速報_原データ!$B$5:$B$200,D$3)/100/(1+SUMIFS(速報_原データ!$D$5:$D$200,速報_原データ!$A$5:$A$200,EDATE($A35,12),速報_原データ!$B$5:$B$200,D$3)/100),IF(COUNTIFS(速報_原データ!$I$6:$I$9,EDATE($A35,12),速報_原データ!$J$6:$J$9,D$3)&gt;0,D47/(1+SUMIFS(速報_原データ!$K$6:$K$9,速報_原データ!$I$6:$I$9,EDATE($A35,12),速報_原データ!$J$6:$J$9,D$3)/100),AVERAGE(D34,D36))))</f>
        <v>1492.05</v>
      </c>
      <c r="E35" s="20" t="n">
        <f aca="false">IF(COUNTIFS(速報_原データ!$A$5:$A$200,$A35,速報_原データ!$B$5:$B$200,E$3)&gt;0,SUMIFS(速報_原データ!$C$5:$C$200,速報_原データ!$A$5:$A$200,$A35,速報_原データ!$B$5:$B$200,E$3)/100,IF(COUNTIFS(速報_原データ!$A$5:$A$200,EDATE($A35,12),速報_原データ!$B$5:$B$200,E$3)&gt;0,SUMIFS(速報_原データ!$C$5:$C$200,速報_原データ!$A$5:$A$200,EDATE($A35,12),速報_原データ!$B$5:$B$200,E$3)/100/(1+SUMIFS(速報_原データ!$D$5:$D$200,速報_原データ!$A$5:$A$200,EDATE($A35,12),速報_原データ!$B$5:$B$200,E$3)/100),IF(COUNTIFS(速報_原データ!$I$6:$I$9,EDATE($A35,12),速報_原データ!$J$6:$J$9,E$3)&gt;0,E47/(1+SUMIFS(速報_原データ!$K$6:$K$9,速報_原データ!$I$6:$I$9,EDATE($A35,12),速報_原データ!$J$6:$J$9,E$3)/100),AVERAGE(E34,E36))))</f>
        <v>554.28</v>
      </c>
      <c r="F35" s="20" t="n">
        <f aca="false">IF(COUNTIFS(速報_原データ!$A$5:$A$200,$A35,速報_原データ!$B$5:$B$200,F$3)&gt;0,SUMIFS(速報_原データ!$C$5:$C$200,速報_原データ!$A$5:$A$200,$A35,速報_原データ!$B$5:$B$200,F$3)/100,IF(COUNTIFS(速報_原データ!$A$5:$A$200,EDATE($A35,12),速報_原データ!$B$5:$B$200,F$3)&gt;0,SUMIFS(速報_原データ!$C$5:$C$200,速報_原データ!$A$5:$A$200,EDATE($A35,12),速報_原データ!$B$5:$B$200,F$3)/100/(1+SUMIFS(速報_原データ!$D$5:$D$200,速報_原データ!$A$5:$A$200,EDATE($A35,12),速報_原データ!$B$5:$B$200,F$3)/100),IF(COUNTIFS(速報_原データ!$I$6:$I$9,EDATE($A35,12),速報_原データ!$J$6:$J$9,F$3)&gt;0,F47/(1+SUMIFS(速報_原データ!$K$6:$K$9,速報_原データ!$I$6:$I$9,EDATE($A35,12),速報_原データ!$J$6:$J$9,F$3)/100),AVERAGE(F34,F36))))</f>
        <v>290.31</v>
      </c>
      <c r="G35" s="20" t="n">
        <f aca="false">IF(COUNTIFS(速報_原データ!$A$5:$A$200,$A35,速報_原データ!$B$5:$B$200,G$3)&gt;0,SUMIFS(速報_原データ!$C$5:$C$200,速報_原データ!$A$5:$A$200,$A35,速報_原データ!$B$5:$B$200,G$3)/100,IF(COUNTIFS(速報_原データ!$A$5:$A$200,EDATE($A35,12),速報_原データ!$B$5:$B$200,G$3)&gt;0,SUMIFS(速報_原データ!$C$5:$C$200,速報_原データ!$A$5:$A$200,EDATE($A35,12),速報_原データ!$B$5:$B$200,G$3)/100/(1+SUMIFS(速報_原データ!$D$5:$D$200,速報_原データ!$A$5:$A$200,EDATE($A35,12),速報_原データ!$B$5:$B$200,G$3)/100),IF(COUNTIFS(速報_原データ!$I$6:$I$9,EDATE($A35,12),速報_原データ!$J$6:$J$9,G$3)&gt;0,G47/(1+SUMIFS(速報_原データ!$K$6:$K$9,速報_原データ!$I$6:$I$9,EDATE($A35,12),速報_原データ!$J$6:$J$9,G$3)/100),AVERAGE(G34,G36))))</f>
        <v>95.13</v>
      </c>
      <c r="H35" s="20" t="n">
        <f aca="false">IF(COUNTIFS(速報_原データ!$A$5:$A$200,$A35,速報_原データ!$B$5:$B$200,H$3)&gt;0,SUMIFS(速報_原データ!$C$5:$C$200,速報_原データ!$A$5:$A$200,$A35,速報_原データ!$B$5:$B$200,H$3)/100,IF(COUNTIFS(速報_原データ!$A$5:$A$200,EDATE($A35,12),速報_原データ!$B$5:$B$200,H$3)&gt;0,SUMIFS(速報_原データ!$C$5:$C$200,速報_原データ!$A$5:$A$200,EDATE($A35,12),速報_原データ!$B$5:$B$200,H$3)/100/(1+SUMIFS(速報_原データ!$D$5:$D$200,速報_原データ!$A$5:$A$200,EDATE($A35,12),速報_原データ!$B$5:$B$200,H$3)/100),IF(COUNTIFS(速報_原データ!$I$6:$I$9,EDATE($A35,12),速報_原データ!$J$6:$J$9,H$3)&gt;0,H47/(1+SUMIFS(速報_原データ!$K$6:$K$9,速報_原データ!$I$6:$I$9,EDATE($A35,12),速報_原データ!$J$6:$J$9,H$3)/100),AVERAGE(H34,H36))))</f>
        <v>340.77</v>
      </c>
      <c r="I35" s="20" t="n">
        <f aca="false">B35-D35</f>
        <v>2143.33</v>
      </c>
      <c r="J35" s="20" t="n">
        <f aca="false">C35-D35-E35-H35</f>
        <v>843.13</v>
      </c>
      <c r="K35" s="2" t="s">
        <v>86</v>
      </c>
    </row>
    <row r="36" customFormat="false" ht="15" hidden="false" customHeight="false" outlineLevel="0" collapsed="false">
      <c r="A36" s="15" t="n">
        <v>45962</v>
      </c>
      <c r="B36" s="20" t="n">
        <f aca="false">IF(COUNTIFS(速報_原データ!$A$5:$A$200,$A36,速報_原データ!$B$5:$B$200,B$3)&gt;0,SUMIFS(速報_原データ!$C$5:$C$200,速報_原データ!$A$5:$A$200,$A36,速報_原データ!$B$5:$B$200,B$3)/100,IF(COUNTIFS(速報_原データ!$A$5:$A$200,EDATE($A36,12),速報_原データ!$B$5:$B$200,B$3)&gt;0,SUMIFS(速報_原データ!$C$5:$C$200,速報_原データ!$A$5:$A$200,EDATE($A36,12),速報_原データ!$B$5:$B$200,B$3)/100/(1+SUMIFS(速報_原データ!$D$5:$D$200,速報_原データ!$A$5:$A$200,EDATE($A36,12),速報_原データ!$B$5:$B$200,B$3)/100),IF(COUNTIFS(速報_原データ!$I$6:$I$9,EDATE($A36,12),速報_原データ!$J$6:$J$9,B$3)&gt;0,B48/(1+SUMIFS(速報_原データ!$K$6:$K$9,速報_原データ!$I$6:$I$9,EDATE($A36,12),速報_原データ!$J$6:$J$9,B$3)/100),AVERAGE(B35,B37))))</f>
        <v>3792.23</v>
      </c>
      <c r="C36" s="20" t="n">
        <f aca="false">IF(COUNTIFS(速報_原データ!$A$5:$A$200,$A36,速報_原データ!$B$5:$B$200,C$3)&gt;0,SUMIFS(速報_原データ!$C$5:$C$200,速報_原データ!$A$5:$A$200,$A36,速報_原データ!$B$5:$B$200,C$3)/100,IF(COUNTIFS(速報_原データ!$A$5:$A$200,EDATE($A36,12),速報_原データ!$B$5:$B$200,C$3)&gt;0,SUMIFS(速報_原データ!$C$5:$C$200,速報_原データ!$A$5:$A$200,EDATE($A36,12),速報_原データ!$B$5:$B$200,C$3)/100/(1+SUMIFS(速報_原データ!$D$5:$D$200,速報_原データ!$A$5:$A$200,EDATE($A36,12),速報_原データ!$B$5:$B$200,C$3)/100),IF(COUNTIFS(速報_原データ!$I$6:$I$9,EDATE($A36,12),速報_原データ!$J$6:$J$9,C$3)&gt;0,C48/(1+SUMIFS(速報_原データ!$K$6:$K$9,速報_原データ!$I$6:$I$9,EDATE($A36,12),速報_原データ!$J$6:$J$9,C$3)/100),AVERAGE(C35,C37))))</f>
        <v>3384.07</v>
      </c>
      <c r="D36" s="20" t="n">
        <f aca="false">IF(COUNTIFS(速報_原データ!$A$5:$A$200,$A36,速報_原データ!$B$5:$B$200,D$3)&gt;0,SUMIFS(速報_原データ!$C$5:$C$200,速報_原データ!$A$5:$A$200,$A36,速報_原データ!$B$5:$B$200,D$3)/100,IF(COUNTIFS(速報_原データ!$A$5:$A$200,EDATE($A36,12),速報_原データ!$B$5:$B$200,D$3)&gt;0,SUMIFS(速報_原データ!$C$5:$C$200,速報_原データ!$A$5:$A$200,EDATE($A36,12),速報_原データ!$B$5:$B$200,D$3)/100/(1+SUMIFS(速報_原データ!$D$5:$D$200,速報_原データ!$A$5:$A$200,EDATE($A36,12),速報_原データ!$B$5:$B$200,D$3)/100),IF(COUNTIFS(速報_原データ!$I$6:$I$9,EDATE($A36,12),速報_原データ!$J$6:$J$9,D$3)&gt;0,D48/(1+SUMIFS(速報_原データ!$K$6:$K$9,速報_原データ!$I$6:$I$9,EDATE($A36,12),速報_原データ!$J$6:$J$9,D$3)/100),AVERAGE(D35,D37))))</f>
        <v>1398.74</v>
      </c>
      <c r="E36" s="20" t="n">
        <f aca="false">IF(COUNTIFS(速報_原データ!$A$5:$A$200,$A36,速報_原データ!$B$5:$B$200,E$3)&gt;0,SUMIFS(速報_原データ!$C$5:$C$200,速報_原データ!$A$5:$A$200,$A36,速報_原データ!$B$5:$B$200,E$3)/100,IF(COUNTIFS(速報_原データ!$A$5:$A$200,EDATE($A36,12),速報_原データ!$B$5:$B$200,E$3)&gt;0,SUMIFS(速報_原データ!$C$5:$C$200,速報_原データ!$A$5:$A$200,EDATE($A36,12),速報_原データ!$B$5:$B$200,E$3)/100/(1+SUMIFS(速報_原データ!$D$5:$D$200,速報_原データ!$A$5:$A$200,EDATE($A36,12),速報_原データ!$B$5:$B$200,E$3)/100),IF(COUNTIFS(速報_原データ!$I$6:$I$9,EDATE($A36,12),速報_原データ!$J$6:$J$9,E$3)&gt;0,E48/(1+SUMIFS(速報_原データ!$K$6:$K$9,速報_原データ!$I$6:$I$9,EDATE($A36,12),速報_原データ!$J$6:$J$9,E$3)/100),AVERAGE(E35,E37))))</f>
        <v>617.66</v>
      </c>
      <c r="F36" s="20" t="n">
        <f aca="false">IF(COUNTIFS(速報_原データ!$A$5:$A$200,$A36,速報_原データ!$B$5:$B$200,F$3)&gt;0,SUMIFS(速報_原データ!$C$5:$C$200,速報_原データ!$A$5:$A$200,$A36,速報_原データ!$B$5:$B$200,F$3)/100,IF(COUNTIFS(速報_原データ!$A$5:$A$200,EDATE($A36,12),速報_原データ!$B$5:$B$200,F$3)&gt;0,SUMIFS(速報_原データ!$C$5:$C$200,速報_原データ!$A$5:$A$200,EDATE($A36,12),速報_原データ!$B$5:$B$200,F$3)/100/(1+SUMIFS(速報_原データ!$D$5:$D$200,速報_原データ!$A$5:$A$200,EDATE($A36,12),速報_原データ!$B$5:$B$200,F$3)/100),IF(COUNTIFS(速報_原データ!$I$6:$I$9,EDATE($A36,12),速報_原データ!$J$6:$J$9,F$3)&gt;0,F48/(1+SUMIFS(速報_原データ!$K$6:$K$9,速報_原データ!$I$6:$I$9,EDATE($A36,12),速報_原データ!$J$6:$J$9,F$3)/100),AVERAGE(F35,F37))))</f>
        <v>300.23</v>
      </c>
      <c r="G36" s="20" t="n">
        <f aca="false">IF(COUNTIFS(速報_原データ!$A$5:$A$200,$A36,速報_原データ!$B$5:$B$200,G$3)&gt;0,SUMIFS(速報_原データ!$C$5:$C$200,速報_原データ!$A$5:$A$200,$A36,速報_原データ!$B$5:$B$200,G$3)/100,IF(COUNTIFS(速報_原データ!$A$5:$A$200,EDATE($A36,12),速報_原データ!$B$5:$B$200,G$3)&gt;0,SUMIFS(速報_原データ!$C$5:$C$200,速報_原データ!$A$5:$A$200,EDATE($A36,12),速報_原データ!$B$5:$B$200,G$3)/100/(1+SUMIFS(速報_原データ!$D$5:$D$200,速報_原データ!$A$5:$A$200,EDATE($A36,12),速報_原データ!$B$5:$B$200,G$3)/100),IF(COUNTIFS(速報_原データ!$I$6:$I$9,EDATE($A36,12),速報_原データ!$J$6:$J$9,G$3)&gt;0,G48/(1+SUMIFS(速報_原データ!$K$6:$K$9,速報_原データ!$I$6:$I$9,EDATE($A36,12),速報_原データ!$J$6:$J$9,G$3)/100),AVERAGE(G35,G37))))</f>
        <v>92.04</v>
      </c>
      <c r="H36" s="20" t="n">
        <f aca="false">IF(COUNTIFS(速報_原データ!$A$5:$A$200,$A36,速報_原データ!$B$5:$B$200,H$3)&gt;0,SUMIFS(速報_原データ!$C$5:$C$200,速報_原データ!$A$5:$A$200,$A36,速報_原データ!$B$5:$B$200,H$3)/100,IF(COUNTIFS(速報_原データ!$A$5:$A$200,EDATE($A36,12),速報_原データ!$B$5:$B$200,H$3)&gt;0,SUMIFS(速報_原データ!$C$5:$C$200,速報_原データ!$A$5:$A$200,EDATE($A36,12),速報_原データ!$B$5:$B$200,H$3)/100/(1+SUMIFS(速報_原データ!$D$5:$D$200,速報_原データ!$A$5:$A$200,EDATE($A36,12),速報_原データ!$B$5:$B$200,H$3)/100),IF(COUNTIFS(速報_原データ!$I$6:$I$9,EDATE($A36,12),速報_原データ!$J$6:$J$9,H$3)&gt;0,H48/(1+SUMIFS(速報_原データ!$K$6:$K$9,速報_原データ!$I$6:$I$9,EDATE($A36,12),速報_原データ!$J$6:$J$9,H$3)/100),AVERAGE(H35,H37))))</f>
        <v>394.54</v>
      </c>
      <c r="I36" s="20" t="n">
        <f aca="false">B36-D36</f>
        <v>2393.49</v>
      </c>
      <c r="J36" s="20" t="n">
        <f aca="false">C36-D36-E36-H36</f>
        <v>973.13</v>
      </c>
      <c r="K36" s="2" t="s">
        <v>86</v>
      </c>
    </row>
    <row r="37" customFormat="false" ht="15" hidden="false" customHeight="false" outlineLevel="0" collapsed="false">
      <c r="A37" s="15" t="n">
        <v>45992</v>
      </c>
      <c r="B37" s="20" t="n">
        <f aca="false">IF(COUNTIFS(速報_原データ!$A$5:$A$200,$A37,速報_原データ!$B$5:$B$200,B$3)&gt;0,SUMIFS(速報_原データ!$C$5:$C$200,速報_原データ!$A$5:$A$200,$A37,速報_原データ!$B$5:$B$200,B$3)/100,IF(COUNTIFS(速報_原データ!$A$5:$A$200,EDATE($A37,12),速報_原データ!$B$5:$B$200,B$3)&gt;0,SUMIFS(速報_原データ!$C$5:$C$200,速報_原データ!$A$5:$A$200,EDATE($A37,12),速報_原データ!$B$5:$B$200,B$3)/100/(1+SUMIFS(速報_原データ!$D$5:$D$200,速報_原データ!$A$5:$A$200,EDATE($A37,12),速報_原データ!$B$5:$B$200,B$3)/100),IF(COUNTIFS(速報_原データ!$I$6:$I$9,EDATE($A37,12),速報_原データ!$J$6:$J$9,B$3)&gt;0,B49/(1+SUMIFS(速報_原データ!$K$6:$K$9,速報_原データ!$I$6:$I$9,EDATE($A37,12),速報_原データ!$J$6:$J$9,B$3)/100),AVERAGE(B36,B38))))</f>
        <v>4436.83</v>
      </c>
      <c r="C37" s="20" t="n">
        <f aca="false">IF(COUNTIFS(速報_原データ!$A$5:$A$200,$A37,速報_原データ!$B$5:$B$200,C$3)&gt;0,SUMIFS(速報_原データ!$C$5:$C$200,速報_原データ!$A$5:$A$200,$A37,速報_原データ!$B$5:$B$200,C$3)/100,IF(COUNTIFS(速報_原データ!$A$5:$A$200,EDATE($A37,12),速報_原データ!$B$5:$B$200,C$3)&gt;0,SUMIFS(速報_原データ!$C$5:$C$200,速報_原データ!$A$5:$A$200,EDATE($A37,12),速報_原データ!$B$5:$B$200,C$3)/100/(1+SUMIFS(速報_原データ!$D$5:$D$200,速報_原データ!$A$5:$A$200,EDATE($A37,12),速報_原データ!$B$5:$B$200,C$3)/100),IF(COUNTIFS(速報_原データ!$I$6:$I$9,EDATE($A37,12),速報_原データ!$J$6:$J$9,C$3)&gt;0,C49/(1+SUMIFS(速報_原データ!$K$6:$K$9,速報_原データ!$I$6:$I$9,EDATE($A37,12),速報_原データ!$J$6:$J$9,C$3)/100),AVERAGE(C36,C38))))</f>
        <v>4054.79</v>
      </c>
      <c r="D37" s="20" t="n">
        <f aca="false">IF(COUNTIFS(速報_原データ!$A$5:$A$200,$A37,速報_原データ!$B$5:$B$200,D$3)&gt;0,SUMIFS(速報_原データ!$C$5:$C$200,速報_原データ!$A$5:$A$200,$A37,速報_原データ!$B$5:$B$200,D$3)/100,IF(COUNTIFS(速報_原データ!$A$5:$A$200,EDATE($A37,12),速報_原データ!$B$5:$B$200,D$3)&gt;0,SUMIFS(速報_原データ!$C$5:$C$200,速報_原データ!$A$5:$A$200,EDATE($A37,12),速報_原データ!$B$5:$B$200,D$3)/100/(1+SUMIFS(速報_原データ!$D$5:$D$200,速報_原データ!$A$5:$A$200,EDATE($A37,12),速報_原データ!$B$5:$B$200,D$3)/100),IF(COUNTIFS(速報_原データ!$I$6:$I$9,EDATE($A37,12),速報_原データ!$J$6:$J$9,D$3)&gt;0,D49/(1+SUMIFS(速報_原データ!$K$6:$K$9,速報_原データ!$I$6:$I$9,EDATE($A37,12),速報_原データ!$J$6:$J$9,D$3)/100),AVERAGE(D36,D38))))</f>
        <v>1749.22</v>
      </c>
      <c r="E37" s="20" t="n">
        <f aca="false">IF(COUNTIFS(速報_原データ!$A$5:$A$200,$A37,速報_原データ!$B$5:$B$200,E$3)&gt;0,SUMIFS(速報_原データ!$C$5:$C$200,速報_原データ!$A$5:$A$200,$A37,速報_原データ!$B$5:$B$200,E$3)/100,IF(COUNTIFS(速報_原データ!$A$5:$A$200,EDATE($A37,12),速報_原データ!$B$5:$B$200,E$3)&gt;0,SUMIFS(速報_原データ!$C$5:$C$200,速報_原データ!$A$5:$A$200,EDATE($A37,12),速報_原データ!$B$5:$B$200,E$3)/100/(1+SUMIFS(速報_原データ!$D$5:$D$200,速報_原データ!$A$5:$A$200,EDATE($A37,12),速報_原データ!$B$5:$B$200,E$3)/100),IF(COUNTIFS(速報_原データ!$I$6:$I$9,EDATE($A37,12),速報_原データ!$J$6:$J$9,E$3)&gt;0,E49/(1+SUMIFS(速報_原データ!$K$6:$K$9,速報_原データ!$I$6:$I$9,EDATE($A37,12),速報_原データ!$J$6:$J$9,E$3)/100),AVERAGE(E36,E38))))</f>
        <v>759.36</v>
      </c>
      <c r="F37" s="20" t="n">
        <f aca="false">IF(COUNTIFS(速報_原データ!$A$5:$A$200,$A37,速報_原データ!$B$5:$B$200,F$3)&gt;0,SUMIFS(速報_原データ!$C$5:$C$200,速報_原データ!$A$5:$A$200,$A37,速報_原データ!$B$5:$B$200,F$3)/100,IF(COUNTIFS(速報_原データ!$A$5:$A$200,EDATE($A37,12),速報_原データ!$B$5:$B$200,F$3)&gt;0,SUMIFS(速報_原データ!$C$5:$C$200,速報_原データ!$A$5:$A$200,EDATE($A37,12),速報_原データ!$B$5:$B$200,F$3)/100/(1+SUMIFS(速報_原データ!$D$5:$D$200,速報_原データ!$A$5:$A$200,EDATE($A37,12),速報_原データ!$B$5:$B$200,F$3)/100),IF(COUNTIFS(速報_原データ!$I$6:$I$9,EDATE($A37,12),速報_原データ!$J$6:$J$9,F$3)&gt;0,F49/(1+SUMIFS(速報_原データ!$K$6:$K$9,速報_原データ!$I$6:$I$9,EDATE($A37,12),速報_原データ!$J$6:$J$9,F$3)/100),AVERAGE(F36,F38))))</f>
        <v>295.1</v>
      </c>
      <c r="G37" s="20" t="n">
        <f aca="false">IF(COUNTIFS(速報_原データ!$A$5:$A$200,$A37,速報_原データ!$B$5:$B$200,G$3)&gt;0,SUMIFS(速報_原データ!$C$5:$C$200,速報_原データ!$A$5:$A$200,$A37,速報_原データ!$B$5:$B$200,G$3)/100,IF(COUNTIFS(速報_原データ!$A$5:$A$200,EDATE($A37,12),速報_原データ!$B$5:$B$200,G$3)&gt;0,SUMIFS(速報_原データ!$C$5:$C$200,速報_原データ!$A$5:$A$200,EDATE($A37,12),速報_原データ!$B$5:$B$200,G$3)/100/(1+SUMIFS(速報_原データ!$D$5:$D$200,速報_原データ!$A$5:$A$200,EDATE($A37,12),速報_原データ!$B$5:$B$200,G$3)/100),IF(COUNTIFS(速報_原データ!$I$6:$I$9,EDATE($A37,12),速報_原データ!$J$6:$J$9,G$3)&gt;0,G49/(1+SUMIFS(速報_原データ!$K$6:$K$9,速報_原データ!$I$6:$I$9,EDATE($A37,12),速報_原データ!$J$6:$J$9,G$3)/100),AVERAGE(G36,G38))))</f>
        <v>76.51</v>
      </c>
      <c r="H37" s="20" t="n">
        <f aca="false">IF(COUNTIFS(速報_原データ!$A$5:$A$200,$A37,速報_原データ!$B$5:$B$200,H$3)&gt;0,SUMIFS(速報_原データ!$C$5:$C$200,速報_原データ!$A$5:$A$200,$A37,速報_原データ!$B$5:$B$200,H$3)/100,IF(COUNTIFS(速報_原データ!$A$5:$A$200,EDATE($A37,12),速報_原データ!$B$5:$B$200,H$3)&gt;0,SUMIFS(速報_原データ!$C$5:$C$200,速報_原データ!$A$5:$A$200,EDATE($A37,12),速報_原データ!$B$5:$B$200,H$3)/100/(1+SUMIFS(速報_原データ!$D$5:$D$200,速報_原データ!$A$5:$A$200,EDATE($A37,12),速報_原データ!$B$5:$B$200,H$3)/100),IF(COUNTIFS(速報_原データ!$I$6:$I$9,EDATE($A37,12),速報_原データ!$J$6:$J$9,H$3)&gt;0,H49/(1+SUMIFS(速報_原データ!$K$6:$K$9,速報_原データ!$I$6:$I$9,EDATE($A37,12),速報_原データ!$J$6:$J$9,H$3)/100),AVERAGE(H36,H38))))</f>
        <v>466.97</v>
      </c>
      <c r="I37" s="20" t="n">
        <f aca="false">B37-D37</f>
        <v>2687.61</v>
      </c>
      <c r="J37" s="20" t="n">
        <f aca="false">C37-D37-E37-H37</f>
        <v>1079.24</v>
      </c>
      <c r="K37" s="2" t="s">
        <v>86</v>
      </c>
    </row>
    <row r="38" customFormat="false" ht="15" hidden="false" customHeight="false" outlineLevel="0" collapsed="false">
      <c r="A38" s="15" t="n">
        <v>46023</v>
      </c>
      <c r="B38" s="20" t="n">
        <f aca="false">IF(COUNTIFS(速報_原データ!$A$5:$A$200,$A38,速報_原データ!$B$5:$B$200,B$3)&gt;0,SUMIFS(速報_原データ!$C$5:$C$200,速報_原データ!$A$5:$A$200,$A38,速報_原データ!$B$5:$B$200,B$3)/100,IF(COUNTIFS(速報_原データ!$A$5:$A$200,EDATE($A38,12),速報_原データ!$B$5:$B$200,B$3)&gt;0,SUMIFS(速報_原データ!$C$5:$C$200,速報_原データ!$A$5:$A$200,EDATE($A38,12),速報_原データ!$B$5:$B$200,B$3)/100/(1+SUMIFS(速報_原データ!$D$5:$D$200,速報_原データ!$A$5:$A$200,EDATE($A38,12),速報_原データ!$B$5:$B$200,B$3)/100),IF(COUNTIFS(速報_原データ!$I$6:$I$9,EDATE($A38,12),速報_原データ!$J$6:$J$9,B$3)&gt;0,B50/(1+SUMIFS(速報_原データ!$K$6:$K$9,速報_原データ!$I$6:$I$9,EDATE($A38,12),速報_原データ!$J$6:$J$9,B$3)/100),AVERAGE(B37,B39))))</f>
        <v>3156.67</v>
      </c>
      <c r="C38" s="20" t="n">
        <f aca="false">IF(COUNTIFS(速報_原データ!$A$5:$A$200,$A38,速報_原データ!$B$5:$B$200,C$3)&gt;0,SUMIFS(速報_原データ!$C$5:$C$200,速報_原データ!$A$5:$A$200,$A38,速報_原データ!$B$5:$B$200,C$3)/100,IF(COUNTIFS(速報_原データ!$A$5:$A$200,EDATE($A38,12),速報_原データ!$B$5:$B$200,C$3)&gt;0,SUMIFS(速報_原データ!$C$5:$C$200,速報_原データ!$A$5:$A$200,EDATE($A38,12),速報_原データ!$B$5:$B$200,C$3)/100/(1+SUMIFS(速報_原データ!$D$5:$D$200,速報_原データ!$A$5:$A$200,EDATE($A38,12),速報_原データ!$B$5:$B$200,C$3)/100),IF(COUNTIFS(速報_原データ!$I$6:$I$9,EDATE($A38,12),速報_原データ!$J$6:$J$9,C$3)&gt;0,C50/(1+SUMIFS(速報_原データ!$K$6:$K$9,速報_原データ!$I$6:$I$9,EDATE($A38,12),速報_原データ!$J$6:$J$9,C$3)/100),AVERAGE(C37,C39))))</f>
        <v>2784.65</v>
      </c>
      <c r="D38" s="20" t="n">
        <f aca="false">IF(COUNTIFS(速報_原データ!$A$5:$A$200,$A38,速報_原データ!$B$5:$B$200,D$3)&gt;0,SUMIFS(速報_原データ!$C$5:$C$200,速報_原データ!$A$5:$A$200,$A38,速報_原データ!$B$5:$B$200,D$3)/100,IF(COUNTIFS(速報_原データ!$A$5:$A$200,EDATE($A38,12),速報_原データ!$B$5:$B$200,D$3)&gt;0,SUMIFS(速報_原データ!$C$5:$C$200,速報_原データ!$A$5:$A$200,EDATE($A38,12),速報_原データ!$B$5:$B$200,D$3)/100/(1+SUMIFS(速報_原データ!$D$5:$D$200,速報_原データ!$A$5:$A$200,EDATE($A38,12),速報_原データ!$B$5:$B$200,D$3)/100),IF(COUNTIFS(速報_原データ!$I$6:$I$9,EDATE($A38,12),速報_原データ!$J$6:$J$9,D$3)&gt;0,D50/(1+SUMIFS(速報_原データ!$K$6:$K$9,速報_原データ!$I$6:$I$9,EDATE($A38,12),速報_原データ!$J$6:$J$9,D$3)/100),AVERAGE(D37,D39))))</f>
        <v>1014.49</v>
      </c>
      <c r="E38" s="20" t="n">
        <f aca="false">IF(COUNTIFS(速報_原データ!$A$5:$A$200,$A38,速報_原データ!$B$5:$B$200,E$3)&gt;0,SUMIFS(速報_原データ!$C$5:$C$200,速報_原データ!$A$5:$A$200,$A38,速報_原データ!$B$5:$B$200,E$3)/100,IF(COUNTIFS(速報_原データ!$A$5:$A$200,EDATE($A38,12),速報_原データ!$B$5:$B$200,E$3)&gt;0,SUMIFS(速報_原データ!$C$5:$C$200,速報_原データ!$A$5:$A$200,EDATE($A38,12),速報_原データ!$B$5:$B$200,E$3)/100/(1+SUMIFS(速報_原データ!$D$5:$D$200,速報_原データ!$A$5:$A$200,EDATE($A38,12),速報_原データ!$B$5:$B$200,E$3)/100),IF(COUNTIFS(速報_原データ!$I$6:$I$9,EDATE($A38,12),速報_原データ!$J$6:$J$9,E$3)&gt;0,E50/(1+SUMIFS(速報_原データ!$K$6:$K$9,速報_原データ!$I$6:$I$9,EDATE($A38,12),速報_原データ!$J$6:$J$9,E$3)/100),AVERAGE(E37,E39))))</f>
        <v>717.17</v>
      </c>
      <c r="F38" s="20" t="n">
        <f aca="false">IF(COUNTIFS(速報_原データ!$A$5:$A$200,$A38,速報_原データ!$B$5:$B$200,F$3)&gt;0,SUMIFS(速報_原データ!$C$5:$C$200,速報_原データ!$A$5:$A$200,$A38,速報_原データ!$B$5:$B$200,F$3)/100,IF(COUNTIFS(速報_原データ!$A$5:$A$200,EDATE($A38,12),速報_原データ!$B$5:$B$200,F$3)&gt;0,SUMIFS(速報_原データ!$C$5:$C$200,速報_原データ!$A$5:$A$200,EDATE($A38,12),速報_原データ!$B$5:$B$200,F$3)/100/(1+SUMIFS(速報_原データ!$D$5:$D$200,速報_原データ!$A$5:$A$200,EDATE($A38,12),速報_原データ!$B$5:$B$200,F$3)/100),IF(COUNTIFS(速報_原データ!$I$6:$I$9,EDATE($A38,12),速報_原データ!$J$6:$J$9,F$3)&gt;0,F50/(1+SUMIFS(速報_原データ!$K$6:$K$9,速報_原データ!$I$6:$I$9,EDATE($A38,12),速報_原データ!$J$6:$J$9,F$3)/100),AVERAGE(F37,F39))))</f>
        <v>265.04</v>
      </c>
      <c r="G38" s="20" t="n">
        <f aca="false">IF(COUNTIFS(速報_原データ!$A$5:$A$200,$A38,速報_原データ!$B$5:$B$200,G$3)&gt;0,SUMIFS(速報_原データ!$C$5:$C$200,速報_原データ!$A$5:$A$200,$A38,速報_原データ!$B$5:$B$200,G$3)/100,IF(COUNTIFS(速報_原データ!$A$5:$A$200,EDATE($A38,12),速報_原データ!$B$5:$B$200,G$3)&gt;0,SUMIFS(速報_原データ!$C$5:$C$200,速報_原データ!$A$5:$A$200,EDATE($A38,12),速報_原データ!$B$5:$B$200,G$3)/100/(1+SUMIFS(速報_原データ!$D$5:$D$200,速報_原データ!$A$5:$A$200,EDATE($A38,12),速報_原データ!$B$5:$B$200,G$3)/100),IF(COUNTIFS(速報_原データ!$I$6:$I$9,EDATE($A38,12),速報_原データ!$J$6:$J$9,G$3)&gt;0,G50/(1+SUMIFS(速報_原データ!$K$6:$K$9,速報_原データ!$I$6:$I$9,EDATE($A38,12),速報_原データ!$J$6:$J$9,G$3)/100),AVERAGE(G37,G39))))</f>
        <v>88.23</v>
      </c>
      <c r="H38" s="20" t="n">
        <f aca="false">IF(COUNTIFS(速報_原データ!$A$5:$A$200,$A38,速報_原データ!$B$5:$B$200,H$3)&gt;0,SUMIFS(速報_原データ!$C$5:$C$200,速報_原データ!$A$5:$A$200,$A38,速報_原データ!$B$5:$B$200,H$3)/100,IF(COUNTIFS(速報_原データ!$A$5:$A$200,EDATE($A38,12),速報_原データ!$B$5:$B$200,H$3)&gt;0,SUMIFS(速報_原データ!$C$5:$C$200,速報_原データ!$A$5:$A$200,EDATE($A38,12),速報_原データ!$B$5:$B$200,H$3)/100/(1+SUMIFS(速報_原データ!$D$5:$D$200,速報_原データ!$A$5:$A$200,EDATE($A38,12),速報_原データ!$B$5:$B$200,H$3)/100),IF(COUNTIFS(速報_原データ!$I$6:$I$9,EDATE($A38,12),速報_原データ!$J$6:$J$9,H$3)&gt;0,H50/(1+SUMIFS(速報_原データ!$K$6:$K$9,速報_原データ!$I$6:$I$9,EDATE($A38,12),速報_原データ!$J$6:$J$9,H$3)/100),AVERAGE(H37,H39))))</f>
        <v>262.03</v>
      </c>
      <c r="I38" s="20" t="n">
        <f aca="false">B38-D38</f>
        <v>2142.18</v>
      </c>
      <c r="J38" s="20" t="n">
        <f aca="false">C38-D38-E38-H38</f>
        <v>790.96</v>
      </c>
      <c r="K38" s="2" t="s">
        <v>86</v>
      </c>
    </row>
    <row r="39" customFormat="false" ht="15" hidden="false" customHeight="false" outlineLevel="0" collapsed="false">
      <c r="A39" s="15" t="n">
        <v>46054</v>
      </c>
      <c r="B39" s="20" t="n">
        <f aca="false">IF(COUNTIFS(速報_原データ!$A$5:$A$200,$A39,速報_原データ!$B$5:$B$200,B$3)&gt;0,SUMIFS(速報_原データ!$C$5:$C$200,速報_原データ!$A$5:$A$200,$A39,速報_原データ!$B$5:$B$200,B$3)/100,IF(COUNTIFS(速報_原データ!$A$5:$A$200,EDATE($A39,12),速報_原データ!$B$5:$B$200,B$3)&gt;0,SUMIFS(速報_原データ!$C$5:$C$200,速報_原データ!$A$5:$A$200,EDATE($A39,12),速報_原データ!$B$5:$B$200,B$3)/100/(1+SUMIFS(速報_原データ!$D$5:$D$200,速報_原データ!$A$5:$A$200,EDATE($A39,12),速報_原データ!$B$5:$B$200,B$3)/100),IF(COUNTIFS(速報_原データ!$I$6:$I$9,EDATE($A39,12),速報_原データ!$J$6:$J$9,B$3)&gt;0,B51/(1+SUMIFS(速報_原データ!$K$6:$K$9,速報_原データ!$I$6:$I$9,EDATE($A39,12),速報_原データ!$J$6:$J$9,B$3)/100),AVERAGE(B38,B40))))</f>
        <v>3290.89</v>
      </c>
      <c r="C39" s="20" t="n">
        <f aca="false">IF(COUNTIFS(速報_原データ!$A$5:$A$200,$A39,速報_原データ!$B$5:$B$200,C$3)&gt;0,SUMIFS(速報_原データ!$C$5:$C$200,速報_原データ!$A$5:$A$200,$A39,速報_原データ!$B$5:$B$200,C$3)/100,IF(COUNTIFS(速報_原データ!$A$5:$A$200,EDATE($A39,12),速報_原データ!$B$5:$B$200,C$3)&gt;0,SUMIFS(速報_原データ!$C$5:$C$200,速報_原データ!$A$5:$A$200,EDATE($A39,12),速報_原データ!$B$5:$B$200,C$3)/100/(1+SUMIFS(速報_原データ!$D$5:$D$200,速報_原データ!$A$5:$A$200,EDATE($A39,12),速報_原データ!$B$5:$B$200,C$3)/100),IF(COUNTIFS(速報_原データ!$I$6:$I$9,EDATE($A39,12),速報_原データ!$J$6:$J$9,C$3)&gt;0,C51/(1+SUMIFS(速報_原データ!$K$6:$K$9,速報_原データ!$I$6:$I$9,EDATE($A39,12),速報_原データ!$J$6:$J$9,C$3)/100),AVERAGE(C38,C40))))</f>
        <v>2770.16</v>
      </c>
      <c r="D39" s="20" t="n">
        <f aca="false">IF(COUNTIFS(速報_原データ!$A$5:$A$200,$A39,速報_原データ!$B$5:$B$200,D$3)&gt;0,SUMIFS(速報_原データ!$C$5:$C$200,速報_原データ!$A$5:$A$200,$A39,速報_原データ!$B$5:$B$200,D$3)/100,IF(COUNTIFS(速報_原データ!$A$5:$A$200,EDATE($A39,12),速報_原データ!$B$5:$B$200,D$3)&gt;0,SUMIFS(速報_原データ!$C$5:$C$200,速報_原データ!$A$5:$A$200,EDATE($A39,12),速報_原データ!$B$5:$B$200,D$3)/100/(1+SUMIFS(速報_原データ!$D$5:$D$200,速報_原データ!$A$5:$A$200,EDATE($A39,12),速報_原データ!$B$5:$B$200,D$3)/100),IF(COUNTIFS(速報_原データ!$I$6:$I$9,EDATE($A39,12),速報_原データ!$J$6:$J$9,D$3)&gt;0,D51/(1+SUMIFS(速報_原データ!$K$6:$K$9,速報_原データ!$I$6:$I$9,EDATE($A39,12),速報_原データ!$J$6:$J$9,D$3)/100),AVERAGE(D38,D40))))</f>
        <v>976.21</v>
      </c>
      <c r="E39" s="20" t="n">
        <f aca="false">IF(COUNTIFS(速報_原データ!$A$5:$A$200,$A39,速報_原データ!$B$5:$B$200,E$3)&gt;0,SUMIFS(速報_原データ!$C$5:$C$200,速報_原データ!$A$5:$A$200,$A39,速報_原データ!$B$5:$B$200,E$3)/100,IF(COUNTIFS(速報_原データ!$A$5:$A$200,EDATE($A39,12),速報_原データ!$B$5:$B$200,E$3)&gt;0,SUMIFS(速報_原データ!$C$5:$C$200,速報_原データ!$A$5:$A$200,EDATE($A39,12),速報_原データ!$B$5:$B$200,E$3)/100/(1+SUMIFS(速報_原データ!$D$5:$D$200,速報_原データ!$A$5:$A$200,EDATE($A39,12),速報_原データ!$B$5:$B$200,E$3)/100),IF(COUNTIFS(速報_原データ!$I$6:$I$9,EDATE($A39,12),速報_原データ!$J$6:$J$9,E$3)&gt;0,E51/(1+SUMIFS(速報_原データ!$K$6:$K$9,速報_原データ!$I$6:$I$9,EDATE($A39,12),速報_原データ!$J$6:$J$9,E$3)/100),AVERAGE(E38,E40))))</f>
        <v>676.3</v>
      </c>
      <c r="F39" s="20" t="n">
        <f aca="false">IF(COUNTIFS(速報_原データ!$A$5:$A$200,$A39,速報_原データ!$B$5:$B$200,F$3)&gt;0,SUMIFS(速報_原データ!$C$5:$C$200,速報_原データ!$A$5:$A$200,$A39,速報_原データ!$B$5:$B$200,F$3)/100,IF(COUNTIFS(速報_原データ!$A$5:$A$200,EDATE($A39,12),速報_原データ!$B$5:$B$200,F$3)&gt;0,SUMIFS(速報_原データ!$C$5:$C$200,速報_原データ!$A$5:$A$200,EDATE($A39,12),速報_原データ!$B$5:$B$200,F$3)/100/(1+SUMIFS(速報_原データ!$D$5:$D$200,速報_原データ!$A$5:$A$200,EDATE($A39,12),速報_原データ!$B$5:$B$200,F$3)/100),IF(COUNTIFS(速報_原データ!$I$6:$I$9,EDATE($A39,12),速報_原データ!$J$6:$J$9,F$3)&gt;0,F51/(1+SUMIFS(速報_原データ!$K$6:$K$9,速報_原データ!$I$6:$I$9,EDATE($A39,12),速報_原データ!$J$6:$J$9,F$3)/100),AVERAGE(F38,F40))))</f>
        <v>391.91</v>
      </c>
      <c r="G39" s="20" t="n">
        <f aca="false">IF(COUNTIFS(速報_原データ!$A$5:$A$200,$A39,速報_原データ!$B$5:$B$200,G$3)&gt;0,SUMIFS(速報_原データ!$C$5:$C$200,速報_原データ!$A$5:$A$200,$A39,速報_原データ!$B$5:$B$200,G$3)/100,IF(COUNTIFS(速報_原データ!$A$5:$A$200,EDATE($A39,12),速報_原データ!$B$5:$B$200,G$3)&gt;0,SUMIFS(速報_原データ!$C$5:$C$200,速報_原データ!$A$5:$A$200,EDATE($A39,12),速報_原データ!$B$5:$B$200,G$3)/100/(1+SUMIFS(速報_原データ!$D$5:$D$200,速報_原データ!$A$5:$A$200,EDATE($A39,12),速報_原データ!$B$5:$B$200,G$3)/100),IF(COUNTIFS(速報_原データ!$I$6:$I$9,EDATE($A39,12),速報_原データ!$J$6:$J$9,G$3)&gt;0,G51/(1+SUMIFS(速報_原データ!$K$6:$K$9,速報_原データ!$I$6:$I$9,EDATE($A39,12),速報_原データ!$J$6:$J$9,G$3)/100),AVERAGE(G38,G40))))</f>
        <v>116.42</v>
      </c>
      <c r="H39" s="20" t="n">
        <f aca="false">IF(COUNTIFS(速報_原データ!$A$5:$A$200,$A39,速報_原データ!$B$5:$B$200,H$3)&gt;0,SUMIFS(速報_原データ!$C$5:$C$200,速報_原データ!$A$5:$A$200,$A39,速報_原データ!$B$5:$B$200,H$3)/100,IF(COUNTIFS(速報_原データ!$A$5:$A$200,EDATE($A39,12),速報_原データ!$B$5:$B$200,H$3)&gt;0,SUMIFS(速報_原データ!$C$5:$C$200,速報_原データ!$A$5:$A$200,EDATE($A39,12),速報_原データ!$B$5:$B$200,H$3)/100/(1+SUMIFS(速報_原データ!$D$5:$D$200,速報_原データ!$A$5:$A$200,EDATE($A39,12),速報_原データ!$B$5:$B$200,H$3)/100),IF(COUNTIFS(速報_原データ!$I$6:$I$9,EDATE($A39,12),速報_原データ!$J$6:$J$9,H$3)&gt;0,H51/(1+SUMIFS(速報_原データ!$K$6:$K$9,速報_原データ!$I$6:$I$9,EDATE($A39,12),速報_原データ!$J$6:$J$9,H$3)/100),AVERAGE(H38,H40))))</f>
        <v>249.79</v>
      </c>
      <c r="I39" s="20" t="n">
        <f aca="false">B39-D39</f>
        <v>2314.68</v>
      </c>
      <c r="J39" s="20" t="n">
        <f aca="false">C39-D39-E39-H39</f>
        <v>867.86</v>
      </c>
      <c r="K39" s="2" t="s">
        <v>86</v>
      </c>
    </row>
    <row r="40" customFormat="false" ht="15" hidden="false" customHeight="false" outlineLevel="0" collapsed="false">
      <c r="A40" s="15" t="n">
        <v>46082</v>
      </c>
      <c r="B40" s="20" t="n">
        <f aca="false">IF(COUNTIFS(速報_原データ!$A$5:$A$200,$A40,速報_原データ!$B$5:$B$200,B$3)&gt;0,SUMIFS(速報_原データ!$C$5:$C$200,速報_原データ!$A$5:$A$200,$A40,速報_原データ!$B$5:$B$200,B$3)/100,IF(COUNTIFS(速報_原データ!$A$5:$A$200,EDATE($A40,12),速報_原データ!$B$5:$B$200,B$3)&gt;0,SUMIFS(速報_原データ!$C$5:$C$200,速報_原データ!$A$5:$A$200,EDATE($A40,12),速報_原データ!$B$5:$B$200,B$3)/100/(1+SUMIFS(速報_原データ!$D$5:$D$200,速報_原データ!$A$5:$A$200,EDATE($A40,12),速報_原データ!$B$5:$B$200,B$3)/100),IF(COUNTIFS(速報_原データ!$I$6:$I$9,EDATE($A40,12),速報_原データ!$J$6:$J$9,B$3)&gt;0,B52/(1+SUMIFS(速報_原データ!$K$6:$K$9,速報_原データ!$I$6:$I$9,EDATE($A40,12),速報_原データ!$J$6:$J$9,B$3)/100),AVERAGE(B39,B41))))</f>
        <v>5259.89</v>
      </c>
      <c r="C40" s="20" t="n">
        <f aca="false">IF(COUNTIFS(速報_原データ!$A$5:$A$200,$A40,速報_原データ!$B$5:$B$200,C$3)&gt;0,SUMIFS(速報_原データ!$C$5:$C$200,速報_原データ!$A$5:$A$200,$A40,速報_原データ!$B$5:$B$200,C$3)/100,IF(COUNTIFS(速報_原データ!$A$5:$A$200,EDATE($A40,12),速報_原データ!$B$5:$B$200,C$3)&gt;0,SUMIFS(速報_原データ!$C$5:$C$200,速報_原データ!$A$5:$A$200,EDATE($A40,12),速報_原データ!$B$5:$B$200,C$3)/100/(1+SUMIFS(速報_原データ!$D$5:$D$200,速報_原データ!$A$5:$A$200,EDATE($A40,12),速報_原データ!$B$5:$B$200,C$3)/100),IF(COUNTIFS(速報_原データ!$I$6:$I$9,EDATE($A40,12),速報_原データ!$J$6:$J$9,C$3)&gt;0,C52/(1+SUMIFS(速報_原データ!$K$6:$K$9,速報_原データ!$I$6:$I$9,EDATE($A40,12),速報_原データ!$J$6:$J$9,C$3)/100),AVERAGE(C39,C41))))</f>
        <v>4667.93</v>
      </c>
      <c r="D40" s="20" t="n">
        <f aca="false">IF(COUNTIFS(速報_原データ!$A$5:$A$200,$A40,速報_原データ!$B$5:$B$200,D$3)&gt;0,SUMIFS(速報_原データ!$C$5:$C$200,速報_原データ!$A$5:$A$200,$A40,速報_原データ!$B$5:$B$200,D$3)/100,IF(COUNTIFS(速報_原データ!$A$5:$A$200,EDATE($A40,12),速報_原データ!$B$5:$B$200,D$3)&gt;0,SUMIFS(速報_原データ!$C$5:$C$200,速報_原データ!$A$5:$A$200,EDATE($A40,12),速報_原データ!$B$5:$B$200,D$3)/100/(1+SUMIFS(速報_原データ!$D$5:$D$200,速報_原データ!$A$5:$A$200,EDATE($A40,12),速報_原データ!$B$5:$B$200,D$3)/100),IF(COUNTIFS(速報_原データ!$I$6:$I$9,EDATE($A40,12),速報_原データ!$J$6:$J$9,D$3)&gt;0,D52/(1+SUMIFS(速報_原データ!$K$6:$K$9,速報_原データ!$I$6:$I$9,EDATE($A40,12),速報_原データ!$J$6:$J$9,D$3)/100),AVERAGE(D39,D41))))</f>
        <v>2058.93</v>
      </c>
      <c r="E40" s="20" t="n">
        <f aca="false">IF(COUNTIFS(速報_原データ!$A$5:$A$200,$A40,速報_原データ!$B$5:$B$200,E$3)&gt;0,SUMIFS(速報_原データ!$C$5:$C$200,速報_原データ!$A$5:$A$200,$A40,速報_原データ!$B$5:$B$200,E$3)/100,IF(COUNTIFS(速報_原データ!$A$5:$A$200,EDATE($A40,12),速報_原データ!$B$5:$B$200,E$3)&gt;0,SUMIFS(速報_原データ!$C$5:$C$200,速報_原データ!$A$5:$A$200,EDATE($A40,12),速報_原データ!$B$5:$B$200,E$3)/100/(1+SUMIFS(速報_原データ!$D$5:$D$200,速報_原データ!$A$5:$A$200,EDATE($A40,12),速報_原データ!$B$5:$B$200,E$3)/100),IF(COUNTIFS(速報_原データ!$I$6:$I$9,EDATE($A40,12),速報_原データ!$J$6:$J$9,E$3)&gt;0,E52/(1+SUMIFS(速報_原データ!$K$6:$K$9,速報_原データ!$I$6:$I$9,EDATE($A40,12),速報_原データ!$J$6:$J$9,E$3)/100),AVERAGE(E39,E41))))</f>
        <v>972.42</v>
      </c>
      <c r="F40" s="20" t="n">
        <f aca="false">IF(COUNTIFS(速報_原データ!$A$5:$A$200,$A40,速報_原データ!$B$5:$B$200,F$3)&gt;0,SUMIFS(速報_原データ!$C$5:$C$200,速報_原データ!$A$5:$A$200,$A40,速報_原データ!$B$5:$B$200,F$3)/100,IF(COUNTIFS(速報_原データ!$A$5:$A$200,EDATE($A40,12),速報_原データ!$B$5:$B$200,F$3)&gt;0,SUMIFS(速報_原データ!$C$5:$C$200,速報_原データ!$A$5:$A$200,EDATE($A40,12),速報_原データ!$B$5:$B$200,F$3)/100/(1+SUMIFS(速報_原データ!$D$5:$D$200,速報_原データ!$A$5:$A$200,EDATE($A40,12),速報_原データ!$B$5:$B$200,F$3)/100),IF(COUNTIFS(速報_原データ!$I$6:$I$9,EDATE($A40,12),速報_原データ!$J$6:$J$9,F$3)&gt;0,F52/(1+SUMIFS(速報_原データ!$K$6:$K$9,速報_原データ!$I$6:$I$9,EDATE($A40,12),速報_原データ!$J$6:$J$9,F$3)/100),AVERAGE(F39,F41))))</f>
        <v>396.75</v>
      </c>
      <c r="G40" s="20" t="n">
        <f aca="false">IF(COUNTIFS(速報_原データ!$A$5:$A$200,$A40,速報_原データ!$B$5:$B$200,G$3)&gt;0,SUMIFS(速報_原データ!$C$5:$C$200,速報_原データ!$A$5:$A$200,$A40,速報_原データ!$B$5:$B$200,G$3)/100,IF(COUNTIFS(速報_原データ!$A$5:$A$200,EDATE($A40,12),速報_原データ!$B$5:$B$200,G$3)&gt;0,SUMIFS(速報_原データ!$C$5:$C$200,速報_原データ!$A$5:$A$200,EDATE($A40,12),速報_原データ!$B$5:$B$200,G$3)/100/(1+SUMIFS(速報_原データ!$D$5:$D$200,速報_原データ!$A$5:$A$200,EDATE($A40,12),速報_原データ!$B$5:$B$200,G$3)/100),IF(COUNTIFS(速報_原データ!$I$6:$I$9,EDATE($A40,12),速報_原データ!$J$6:$J$9,G$3)&gt;0,G52/(1+SUMIFS(速報_原データ!$K$6:$K$9,速報_原データ!$I$6:$I$9,EDATE($A40,12),速報_原データ!$J$6:$J$9,G$3)/100),AVERAGE(G39,G41))))</f>
        <v>180.02</v>
      </c>
      <c r="H40" s="20" t="n">
        <f aca="false">IF(COUNTIFS(速報_原データ!$A$5:$A$200,$A40,速報_原データ!$B$5:$B$200,H$3)&gt;0,SUMIFS(速報_原データ!$C$5:$C$200,速報_原データ!$A$5:$A$200,$A40,速報_原データ!$B$5:$B$200,H$3)/100,IF(COUNTIFS(速報_原データ!$A$5:$A$200,EDATE($A40,12),速報_原データ!$B$5:$B$200,H$3)&gt;0,SUMIFS(速報_原データ!$C$5:$C$200,速報_原データ!$A$5:$A$200,EDATE($A40,12),速報_原データ!$B$5:$B$200,H$3)/100/(1+SUMIFS(速報_原データ!$D$5:$D$200,速報_原データ!$A$5:$A$200,EDATE($A40,12),速報_原データ!$B$5:$B$200,H$3)/100),IF(COUNTIFS(速報_原データ!$I$6:$I$9,EDATE($A40,12),速報_原データ!$J$6:$J$9,H$3)&gt;0,H52/(1+SUMIFS(速報_原データ!$K$6:$K$9,速報_原データ!$I$6:$I$9,EDATE($A40,12),速報_原データ!$J$6:$J$9,H$3)/100),AVERAGE(H39,H41))))</f>
        <v>278.41</v>
      </c>
      <c r="I40" s="20" t="n">
        <f aca="false">B40-D40</f>
        <v>3200.96</v>
      </c>
      <c r="J40" s="20" t="n">
        <f aca="false">C40-D40-E40-H40</f>
        <v>1358.17</v>
      </c>
      <c r="K40" s="2" t="s">
        <v>86</v>
      </c>
    </row>
    <row r="41" customFormat="false" ht="15" hidden="false" customHeight="false" outlineLevel="0" collapsed="false">
      <c r="A41" s="15" t="n">
        <v>46113</v>
      </c>
      <c r="B41" s="20" t="n">
        <f aca="false">IF(COUNTIFS(速報_原データ!$A$5:$A$200,$A41,速報_原データ!$B$5:$B$200,B$3)&gt;0,SUMIFS(速報_原データ!$C$5:$C$200,速報_原データ!$A$5:$A$200,$A41,速報_原データ!$B$5:$B$200,B$3)/100,IF(COUNTIFS(速報_原データ!$A$5:$A$200,EDATE($A41,12),速報_原データ!$B$5:$B$200,B$3)&gt;0,SUMIFS(速報_原データ!$C$5:$C$200,速報_原データ!$A$5:$A$200,EDATE($A41,12),速報_原データ!$B$5:$B$200,B$3)/100/(1+SUMIFS(速報_原データ!$D$5:$D$200,速報_原データ!$A$5:$A$200,EDATE($A41,12),速報_原データ!$B$5:$B$200,B$3)/100),IF(COUNTIFS(速報_原データ!$I$6:$I$9,EDATE($A41,12),速報_原データ!$J$6:$J$9,B$3)&gt;0,B53/(1+SUMIFS(速報_原データ!$K$6:$K$9,速報_原データ!$I$6:$I$9,EDATE($A41,12),速報_原データ!$J$6:$J$9,B$3)/100),AVERAGE(B40,B42))))</f>
        <v>3932.13</v>
      </c>
      <c r="C41" s="20" t="n">
        <f aca="false">IF(COUNTIFS(速報_原データ!$A$5:$A$200,$A41,速報_原データ!$B$5:$B$200,C$3)&gt;0,SUMIFS(速報_原データ!$C$5:$C$200,速報_原データ!$A$5:$A$200,$A41,速報_原データ!$B$5:$B$200,C$3)/100,IF(COUNTIFS(速報_原データ!$A$5:$A$200,EDATE($A41,12),速報_原データ!$B$5:$B$200,C$3)&gt;0,SUMIFS(速報_原データ!$C$5:$C$200,速報_原データ!$A$5:$A$200,EDATE($A41,12),速報_原データ!$B$5:$B$200,C$3)/100/(1+SUMIFS(速報_原データ!$D$5:$D$200,速報_原データ!$A$5:$A$200,EDATE($A41,12),速報_原データ!$B$5:$B$200,C$3)/100),IF(COUNTIFS(速報_原データ!$I$6:$I$9,EDATE($A41,12),速報_原データ!$J$6:$J$9,C$3)&gt;0,C53/(1+SUMIFS(速報_原データ!$K$6:$K$9,速報_原データ!$I$6:$I$9,EDATE($A41,12),速報_原データ!$J$6:$J$9,C$3)/100),AVERAGE(C40,C42))))</f>
        <v>3249.45</v>
      </c>
      <c r="D41" s="20" t="n">
        <f aca="false">IF(COUNTIFS(速報_原データ!$A$5:$A$200,$A41,速報_原データ!$B$5:$B$200,D$3)&gt;0,SUMIFS(速報_原データ!$C$5:$C$200,速報_原データ!$A$5:$A$200,$A41,速報_原データ!$B$5:$B$200,D$3)/100,IF(COUNTIFS(速報_原データ!$A$5:$A$200,EDATE($A41,12),速報_原データ!$B$5:$B$200,D$3)&gt;0,SUMIFS(速報_原データ!$C$5:$C$200,速報_原データ!$A$5:$A$200,EDATE($A41,12),速報_原データ!$B$5:$B$200,D$3)/100/(1+SUMIFS(速報_原データ!$D$5:$D$200,速報_原データ!$A$5:$A$200,EDATE($A41,12),速報_原データ!$B$5:$B$200,D$3)/100),IF(COUNTIFS(速報_原データ!$I$6:$I$9,EDATE($A41,12),速報_原データ!$J$6:$J$9,D$3)&gt;0,D53/(1+SUMIFS(速報_原データ!$K$6:$K$9,速報_原データ!$I$6:$I$9,EDATE($A41,12),速報_原データ!$J$6:$J$9,D$3)/100),AVERAGE(D40,D42))))</f>
        <v>1117.99</v>
      </c>
      <c r="E41" s="20" t="n">
        <f aca="false">IF(COUNTIFS(速報_原データ!$A$5:$A$200,$A41,速報_原データ!$B$5:$B$200,E$3)&gt;0,SUMIFS(速報_原データ!$C$5:$C$200,速報_原データ!$A$5:$A$200,$A41,速報_原データ!$B$5:$B$200,E$3)/100,IF(COUNTIFS(速報_原データ!$A$5:$A$200,EDATE($A41,12),速報_原データ!$B$5:$B$200,E$3)&gt;0,SUMIFS(速報_原データ!$C$5:$C$200,速報_原データ!$A$5:$A$200,EDATE($A41,12),速報_原データ!$B$5:$B$200,E$3)/100/(1+SUMIFS(速報_原データ!$D$5:$D$200,速報_原データ!$A$5:$A$200,EDATE($A41,12),速報_原データ!$B$5:$B$200,E$3)/100),IF(COUNTIFS(速報_原データ!$I$6:$I$9,EDATE($A41,12),速報_原データ!$J$6:$J$9,E$3)&gt;0,E53/(1+SUMIFS(速報_原データ!$K$6:$K$9,速報_原データ!$I$6:$I$9,EDATE($A41,12),速報_原データ!$J$6:$J$9,E$3)/100),AVERAGE(E40,E42))))</f>
        <v>791.61</v>
      </c>
      <c r="F41" s="20" t="n">
        <f aca="false">IF(COUNTIFS(速報_原データ!$A$5:$A$200,$A41,速報_原データ!$B$5:$B$200,F$3)&gt;0,SUMIFS(速報_原データ!$C$5:$C$200,速報_原データ!$A$5:$A$200,$A41,速報_原データ!$B$5:$B$200,F$3)/100,IF(COUNTIFS(速報_原データ!$A$5:$A$200,EDATE($A41,12),速報_原データ!$B$5:$B$200,F$3)&gt;0,SUMIFS(速報_原データ!$C$5:$C$200,速報_原データ!$A$5:$A$200,EDATE($A41,12),速報_原データ!$B$5:$B$200,F$3)/100/(1+SUMIFS(速報_原データ!$D$5:$D$200,速報_原データ!$A$5:$A$200,EDATE($A41,12),速報_原データ!$B$5:$B$200,F$3)/100),IF(COUNTIFS(速報_原データ!$I$6:$I$9,EDATE($A41,12),速報_原データ!$J$6:$J$9,F$3)&gt;0,F53/(1+SUMIFS(速報_原データ!$K$6:$K$9,速報_原データ!$I$6:$I$9,EDATE($A41,12),速報_原データ!$J$6:$J$9,F$3)/100),AVERAGE(F40,F42))))</f>
        <v>575.81</v>
      </c>
      <c r="G41" s="20" t="n">
        <f aca="false">IF(COUNTIFS(速報_原データ!$A$5:$A$200,$A41,速報_原データ!$B$5:$B$200,G$3)&gt;0,SUMIFS(速報_原データ!$C$5:$C$200,速報_原データ!$A$5:$A$200,$A41,速報_原データ!$B$5:$B$200,G$3)/100,IF(COUNTIFS(速報_原データ!$A$5:$A$200,EDATE($A41,12),速報_原データ!$B$5:$B$200,G$3)&gt;0,SUMIFS(速報_原データ!$C$5:$C$200,速報_原データ!$A$5:$A$200,EDATE($A41,12),速報_原データ!$B$5:$B$200,G$3)/100/(1+SUMIFS(速報_原データ!$D$5:$D$200,速報_原データ!$A$5:$A$200,EDATE($A41,12),速報_原データ!$B$5:$B$200,G$3)/100),IF(COUNTIFS(速報_原データ!$I$6:$I$9,EDATE($A41,12),速報_原データ!$J$6:$J$9,G$3)&gt;0,G53/(1+SUMIFS(速報_原データ!$K$6:$K$9,速報_原データ!$I$6:$I$9,EDATE($A41,12),速報_原データ!$J$6:$J$9,G$3)/100),AVERAGE(G40,G42))))</f>
        <v>101.42</v>
      </c>
      <c r="H41" s="20" t="n">
        <f aca="false">IF(COUNTIFS(速報_原データ!$A$5:$A$200,$A41,速報_原データ!$B$5:$B$200,H$3)&gt;0,SUMIFS(速報_原データ!$C$5:$C$200,速報_原データ!$A$5:$A$200,$A41,速報_原データ!$B$5:$B$200,H$3)/100,IF(COUNTIFS(速報_原データ!$A$5:$A$200,EDATE($A41,12),速報_原データ!$B$5:$B$200,H$3)&gt;0,SUMIFS(速報_原データ!$C$5:$C$200,速報_原データ!$A$5:$A$200,EDATE($A41,12),速報_原データ!$B$5:$B$200,H$3)/100/(1+SUMIFS(速報_原データ!$D$5:$D$200,速報_原データ!$A$5:$A$200,EDATE($A41,12),速報_原データ!$B$5:$B$200,H$3)/100),IF(COUNTIFS(速報_原データ!$I$6:$I$9,EDATE($A41,12),速報_原データ!$J$6:$J$9,H$3)&gt;0,H53/(1+SUMIFS(速報_原データ!$K$6:$K$9,速報_原データ!$I$6:$I$9,EDATE($A41,12),速報_原データ!$J$6:$J$9,H$3)/100),AVERAGE(H40,H42))))</f>
        <v>298.64</v>
      </c>
      <c r="I41" s="20" t="n">
        <f aca="false">B41-D41</f>
        <v>2814.14</v>
      </c>
      <c r="J41" s="20" t="n">
        <f aca="false">C41-D41-E41-H41</f>
        <v>1041.21</v>
      </c>
      <c r="K41" s="2" t="s">
        <v>86</v>
      </c>
    </row>
    <row r="42" customFormat="false" ht="15" hidden="false" customHeight="false" outlineLevel="0" collapsed="false">
      <c r="A42" s="15" t="n">
        <v>46143</v>
      </c>
      <c r="B42" s="20" t="n">
        <f aca="false">IF(COUNTIFS(速報_原データ!$A$5:$A$200,$A42,速報_原データ!$B$5:$B$200,B$3)&gt;0,SUMIFS(速報_原データ!$C$5:$C$200,速報_原データ!$A$5:$A$200,$A42,速報_原データ!$B$5:$B$200,B$3)/100,IF(COUNTIFS(速報_原データ!$A$5:$A$200,EDATE($A42,12),速報_原データ!$B$5:$B$200,B$3)&gt;0,SUMIFS(速報_原データ!$C$5:$C$200,速報_原データ!$A$5:$A$200,EDATE($A42,12),速報_原データ!$B$5:$B$200,B$3)/100/(1+SUMIFS(速報_原データ!$D$5:$D$200,速報_原データ!$A$5:$A$200,EDATE($A42,12),速報_原データ!$B$5:$B$200,B$3)/100),IF(COUNTIFS(速報_原データ!$I$6:$I$9,EDATE($A42,12),速報_原データ!$J$6:$J$9,B$3)&gt;0,B54/(1+SUMIFS(速報_原データ!$K$6:$K$9,速報_原データ!$I$6:$I$9,EDATE($A42,12),速報_原データ!$J$6:$J$9,B$3)/100),AVERAGE(B41,B43))))</f>
        <v>3657.86</v>
      </c>
      <c r="C42" s="20" t="n">
        <f aca="false">IF(COUNTIFS(速報_原データ!$A$5:$A$200,$A42,速報_原データ!$B$5:$B$200,C$3)&gt;0,SUMIFS(速報_原データ!$C$5:$C$200,速報_原データ!$A$5:$A$200,$A42,速報_原データ!$B$5:$B$200,C$3)/100,IF(COUNTIFS(速報_原データ!$A$5:$A$200,EDATE($A42,12),速報_原データ!$B$5:$B$200,C$3)&gt;0,SUMIFS(速報_原データ!$C$5:$C$200,速報_原データ!$A$5:$A$200,EDATE($A42,12),速報_原データ!$B$5:$B$200,C$3)/100/(1+SUMIFS(速報_原データ!$D$5:$D$200,速報_原データ!$A$5:$A$200,EDATE($A42,12),速報_原データ!$B$5:$B$200,C$3)/100),IF(COUNTIFS(速報_原データ!$I$6:$I$9,EDATE($A42,12),速報_原データ!$J$6:$J$9,C$3)&gt;0,C54/(1+SUMIFS(速報_原データ!$K$6:$K$9,速報_原データ!$I$6:$I$9,EDATE($A42,12),速報_原データ!$J$6:$J$9,C$3)/100),AVERAGE(C41,C43))))</f>
        <v>3170.76</v>
      </c>
      <c r="D42" s="20" t="n">
        <f aca="false">IF(COUNTIFS(速報_原データ!$A$5:$A$200,$A42,速報_原データ!$B$5:$B$200,D$3)&gt;0,SUMIFS(速報_原データ!$C$5:$C$200,速報_原データ!$A$5:$A$200,$A42,速報_原データ!$B$5:$B$200,D$3)/100,IF(COUNTIFS(速報_原データ!$A$5:$A$200,EDATE($A42,12),速報_原データ!$B$5:$B$200,D$3)&gt;0,SUMIFS(速報_原データ!$C$5:$C$200,速報_原データ!$A$5:$A$200,EDATE($A42,12),速報_原データ!$B$5:$B$200,D$3)/100/(1+SUMIFS(速報_原データ!$D$5:$D$200,速報_原データ!$A$5:$A$200,EDATE($A42,12),速報_原データ!$B$5:$B$200,D$3)/100),IF(COUNTIFS(速報_原データ!$I$6:$I$9,EDATE($A42,12),速報_原データ!$J$6:$J$9,D$3)&gt;0,D54/(1+SUMIFS(速報_原データ!$K$6:$K$9,速報_原データ!$I$6:$I$9,EDATE($A42,12),速報_原データ!$J$6:$J$9,D$3)/100),AVERAGE(D41,D43))))</f>
        <v>1107.74</v>
      </c>
      <c r="E42" s="20" t="n">
        <f aca="false">IF(COUNTIFS(速報_原データ!$A$5:$A$200,$A42,速報_原データ!$B$5:$B$200,E$3)&gt;0,SUMIFS(速報_原データ!$C$5:$C$200,速報_原データ!$A$5:$A$200,$A42,速報_原データ!$B$5:$B$200,E$3)/100,IF(COUNTIFS(速報_原データ!$A$5:$A$200,EDATE($A42,12),速報_原データ!$B$5:$B$200,E$3)&gt;0,SUMIFS(速報_原データ!$C$5:$C$200,速報_原データ!$A$5:$A$200,EDATE($A42,12),速報_原データ!$B$5:$B$200,E$3)/100/(1+SUMIFS(速報_原データ!$D$5:$D$200,速報_原データ!$A$5:$A$200,EDATE($A42,12),速報_原データ!$B$5:$B$200,E$3)/100),IF(COUNTIFS(速報_原データ!$I$6:$I$9,EDATE($A42,12),速報_原データ!$J$6:$J$9,E$3)&gt;0,E54/(1+SUMIFS(速報_原データ!$K$6:$K$9,速報_原データ!$I$6:$I$9,EDATE($A42,12),速報_原データ!$J$6:$J$9,E$3)/100),AVERAGE(E41,E43))))</f>
        <v>705.49</v>
      </c>
      <c r="F42" s="20" t="n">
        <f aca="false">IF(COUNTIFS(速報_原データ!$A$5:$A$200,$A42,速報_原データ!$B$5:$B$200,F$3)&gt;0,SUMIFS(速報_原データ!$C$5:$C$200,速報_原データ!$A$5:$A$200,$A42,速報_原データ!$B$5:$B$200,F$3)/100,IF(COUNTIFS(速報_原データ!$A$5:$A$200,EDATE($A42,12),速報_原データ!$B$5:$B$200,F$3)&gt;0,SUMIFS(速報_原データ!$C$5:$C$200,速報_原データ!$A$5:$A$200,EDATE($A42,12),速報_原データ!$B$5:$B$200,F$3)/100/(1+SUMIFS(速報_原データ!$D$5:$D$200,速報_原データ!$A$5:$A$200,EDATE($A42,12),速報_原データ!$B$5:$B$200,F$3)/100),IF(COUNTIFS(速報_原データ!$I$6:$I$9,EDATE($A42,12),速報_原データ!$J$6:$J$9,F$3)&gt;0,F54/(1+SUMIFS(速報_原データ!$K$6:$K$9,速報_原データ!$I$6:$I$9,EDATE($A42,12),速報_原データ!$J$6:$J$9,F$3)/100),AVERAGE(F41,F43))))</f>
        <v>368.4</v>
      </c>
      <c r="G42" s="20" t="n">
        <f aca="false">IF(COUNTIFS(速報_原データ!$A$5:$A$200,$A42,速報_原データ!$B$5:$B$200,G$3)&gt;0,SUMIFS(速報_原データ!$C$5:$C$200,速報_原データ!$A$5:$A$200,$A42,速報_原データ!$B$5:$B$200,G$3)/100,IF(COUNTIFS(速報_原データ!$A$5:$A$200,EDATE($A42,12),速報_原データ!$B$5:$B$200,G$3)&gt;0,SUMIFS(速報_原データ!$C$5:$C$200,速報_原データ!$A$5:$A$200,EDATE($A42,12),速報_原データ!$B$5:$B$200,G$3)/100/(1+SUMIFS(速報_原データ!$D$5:$D$200,速報_原データ!$A$5:$A$200,EDATE($A42,12),速報_原データ!$B$5:$B$200,G$3)/100),IF(COUNTIFS(速報_原データ!$I$6:$I$9,EDATE($A42,12),速報_原データ!$J$6:$J$9,G$3)&gt;0,G54/(1+SUMIFS(速報_原データ!$K$6:$K$9,速報_原データ!$I$6:$I$9,EDATE($A42,12),速報_原データ!$J$6:$J$9,G$3)/100),AVERAGE(G41,G43))))</f>
        <v>111.38</v>
      </c>
      <c r="H42" s="20" t="n">
        <f aca="false">IF(COUNTIFS(速報_原データ!$A$5:$A$200,$A42,速報_原データ!$B$5:$B$200,H$3)&gt;0,SUMIFS(速報_原データ!$C$5:$C$200,速報_原データ!$A$5:$A$200,$A42,速報_原データ!$B$5:$B$200,H$3)/100,IF(COUNTIFS(速報_原データ!$A$5:$A$200,EDATE($A42,12),速報_原データ!$B$5:$B$200,H$3)&gt;0,SUMIFS(速報_原データ!$C$5:$C$200,速報_原データ!$A$5:$A$200,EDATE($A42,12),速報_原データ!$B$5:$B$200,H$3)/100/(1+SUMIFS(速報_原データ!$D$5:$D$200,速報_原データ!$A$5:$A$200,EDATE($A42,12),速報_原データ!$B$5:$B$200,H$3)/100),IF(COUNTIFS(速報_原データ!$I$6:$I$9,EDATE($A42,12),速報_原データ!$J$6:$J$9,H$3)&gt;0,H54/(1+SUMIFS(速報_原データ!$K$6:$K$9,速報_原データ!$I$6:$I$9,EDATE($A42,12),速報_原データ!$J$6:$J$9,H$3)/100),AVERAGE(H41,H43))))</f>
        <v>210.38</v>
      </c>
      <c r="I42" s="20" t="n">
        <f aca="false">B42-D42</f>
        <v>2550.12</v>
      </c>
      <c r="J42" s="20" t="n">
        <f aca="false">C42-D42-E42-H42</f>
        <v>1147.15</v>
      </c>
      <c r="K42" s="2" t="s">
        <v>86</v>
      </c>
    </row>
    <row r="43" customFormat="false" ht="15" hidden="false" customHeight="false" outlineLevel="0" collapsed="false">
      <c r="A43" s="15" t="n">
        <v>46174</v>
      </c>
      <c r="B43" s="20" t="n">
        <f aca="false">IF(COUNTIFS(速報_原データ!$A$5:$A$200,$A43,速報_原データ!$B$5:$B$200,B$3)&gt;0,SUMIFS(速報_原データ!$C$5:$C$200,速報_原データ!$A$5:$A$200,$A43,速報_原データ!$B$5:$B$200,B$3)/100,IF(COUNTIFS(速報_原データ!$A$5:$A$200,EDATE($A43,12),速報_原データ!$B$5:$B$200,B$3)&gt;0,SUMIFS(速報_原データ!$C$5:$C$200,速報_原データ!$A$5:$A$200,EDATE($A43,12),速報_原データ!$B$5:$B$200,B$3)/100/(1+SUMIFS(速報_原データ!$D$5:$D$200,速報_原データ!$A$5:$A$200,EDATE($A43,12),速報_原データ!$B$5:$B$200,B$3)/100),IF(COUNTIFS(速報_原データ!$I$6:$I$9,EDATE($A43,12),速報_原データ!$J$6:$J$9,B$3)&gt;0,B55/(1+SUMIFS(速報_原データ!$K$6:$K$9,速報_原データ!$I$6:$I$9,EDATE($A43,12),速報_原データ!$J$6:$J$9,B$3)/100),AVERAGE(B42,B44))))</f>
        <v>4601.42</v>
      </c>
      <c r="C43" s="20" t="n">
        <f aca="false">IF(COUNTIFS(速報_原データ!$A$5:$A$200,$A43,速報_原データ!$B$5:$B$200,C$3)&gt;0,SUMIFS(速報_原データ!$C$5:$C$200,速報_原データ!$A$5:$A$200,$A43,速報_原データ!$B$5:$B$200,C$3)/100,IF(COUNTIFS(速報_原データ!$A$5:$A$200,EDATE($A43,12),速報_原データ!$B$5:$B$200,C$3)&gt;0,SUMIFS(速報_原データ!$C$5:$C$200,速報_原データ!$A$5:$A$200,EDATE($A43,12),速報_原データ!$B$5:$B$200,C$3)/100/(1+SUMIFS(速報_原データ!$D$5:$D$200,速報_原データ!$A$5:$A$200,EDATE($A43,12),速報_原データ!$B$5:$B$200,C$3)/100),IF(COUNTIFS(速報_原データ!$I$6:$I$9,EDATE($A43,12),速報_原データ!$J$6:$J$9,C$3)&gt;0,C55/(1+SUMIFS(速報_原データ!$K$6:$K$9,速報_原データ!$I$6:$I$9,EDATE($A43,12),速報_原データ!$J$6:$J$9,C$3)/100),AVERAGE(C42,C44))))</f>
        <v>4034.3</v>
      </c>
      <c r="D43" s="20" t="n">
        <f aca="false">IF(COUNTIFS(速報_原データ!$A$5:$A$200,$A43,速報_原データ!$B$5:$B$200,D$3)&gt;0,SUMIFS(速報_原データ!$C$5:$C$200,速報_原データ!$A$5:$A$200,$A43,速報_原データ!$B$5:$B$200,D$3)/100,IF(COUNTIFS(速報_原データ!$A$5:$A$200,EDATE($A43,12),速報_原データ!$B$5:$B$200,D$3)&gt;0,SUMIFS(速報_原データ!$C$5:$C$200,速報_原データ!$A$5:$A$200,EDATE($A43,12),速報_原データ!$B$5:$B$200,D$3)/100/(1+SUMIFS(速報_原データ!$D$5:$D$200,速報_原データ!$A$5:$A$200,EDATE($A43,12),速報_原データ!$B$5:$B$200,D$3)/100),IF(COUNTIFS(速報_原データ!$I$6:$I$9,EDATE($A43,12),速報_原データ!$J$6:$J$9,D$3)&gt;0,D55/(1+SUMIFS(速報_原データ!$K$6:$K$9,速報_原データ!$I$6:$I$9,EDATE($A43,12),速報_原データ!$J$6:$J$9,D$3)/100),AVERAGE(D42,D44))))</f>
        <v>1570.63</v>
      </c>
      <c r="E43" s="20" t="n">
        <f aca="false">IF(COUNTIFS(速報_原データ!$A$5:$A$200,$A43,速報_原データ!$B$5:$B$200,E$3)&gt;0,SUMIFS(速報_原データ!$C$5:$C$200,速報_原データ!$A$5:$A$200,$A43,速報_原データ!$B$5:$B$200,E$3)/100,IF(COUNTIFS(速報_原データ!$A$5:$A$200,EDATE($A43,12),速報_原データ!$B$5:$B$200,E$3)&gt;0,SUMIFS(速報_原データ!$C$5:$C$200,速報_原データ!$A$5:$A$200,EDATE($A43,12),速報_原データ!$B$5:$B$200,E$3)/100/(1+SUMIFS(速報_原データ!$D$5:$D$200,速報_原データ!$A$5:$A$200,EDATE($A43,12),速報_原データ!$B$5:$B$200,E$3)/100),IF(COUNTIFS(速報_原データ!$I$6:$I$9,EDATE($A43,12),速報_原データ!$J$6:$J$9,E$3)&gt;0,E55/(1+SUMIFS(速報_原データ!$K$6:$K$9,速報_原データ!$I$6:$I$9,EDATE($A43,12),速報_原データ!$J$6:$J$9,E$3)/100),AVERAGE(E42,E44))))</f>
        <v>862.49</v>
      </c>
      <c r="F43" s="20" t="n">
        <f aca="false">IF(COUNTIFS(速報_原データ!$A$5:$A$200,$A43,速報_原データ!$B$5:$B$200,F$3)&gt;0,SUMIFS(速報_原データ!$C$5:$C$200,速報_原データ!$A$5:$A$200,$A43,速報_原データ!$B$5:$B$200,F$3)/100,IF(COUNTIFS(速報_原データ!$A$5:$A$200,EDATE($A43,12),速報_原データ!$B$5:$B$200,F$3)&gt;0,SUMIFS(速報_原データ!$C$5:$C$200,速報_原データ!$A$5:$A$200,EDATE($A43,12),速報_原データ!$B$5:$B$200,F$3)/100/(1+SUMIFS(速報_原データ!$D$5:$D$200,速報_原データ!$A$5:$A$200,EDATE($A43,12),速報_原データ!$B$5:$B$200,F$3)/100),IF(COUNTIFS(速報_原データ!$I$6:$I$9,EDATE($A43,12),速報_原データ!$J$6:$J$9,F$3)&gt;0,F55/(1+SUMIFS(速報_原データ!$K$6:$K$9,速報_原データ!$I$6:$I$9,EDATE($A43,12),速報_原データ!$J$6:$J$9,F$3)/100),AVERAGE(F42,F44))))</f>
        <v>407.06</v>
      </c>
      <c r="G43" s="20" t="n">
        <f aca="false">IF(COUNTIFS(速報_原データ!$A$5:$A$200,$A43,速報_原データ!$B$5:$B$200,G$3)&gt;0,SUMIFS(速報_原データ!$C$5:$C$200,速報_原データ!$A$5:$A$200,$A43,速報_原データ!$B$5:$B$200,G$3)/100,IF(COUNTIFS(速報_原データ!$A$5:$A$200,EDATE($A43,12),速報_原データ!$B$5:$B$200,G$3)&gt;0,SUMIFS(速報_原データ!$C$5:$C$200,速報_原データ!$A$5:$A$200,EDATE($A43,12),速報_原データ!$B$5:$B$200,G$3)/100/(1+SUMIFS(速報_原データ!$D$5:$D$200,速報_原データ!$A$5:$A$200,EDATE($A43,12),速報_原データ!$B$5:$B$200,G$3)/100),IF(COUNTIFS(速報_原データ!$I$6:$I$9,EDATE($A43,12),速報_原データ!$J$6:$J$9,G$3)&gt;0,G55/(1+SUMIFS(速報_原データ!$K$6:$K$9,速報_原データ!$I$6:$I$9,EDATE($A43,12),速報_原データ!$J$6:$J$9,G$3)/100),AVERAGE(G42,G44))))</f>
        <v>127.88</v>
      </c>
      <c r="H43" s="20" t="n">
        <f aca="false">IF(COUNTIFS(速報_原データ!$A$5:$A$200,$A43,速報_原データ!$B$5:$B$200,H$3)&gt;0,SUMIFS(速報_原データ!$C$5:$C$200,速報_原データ!$A$5:$A$200,$A43,速報_原データ!$B$5:$B$200,H$3)/100,IF(COUNTIFS(速報_原データ!$A$5:$A$200,EDATE($A43,12),速報_原データ!$B$5:$B$200,H$3)&gt;0,SUMIFS(速報_原データ!$C$5:$C$200,速報_原データ!$A$5:$A$200,EDATE($A43,12),速報_原データ!$B$5:$B$200,H$3)/100/(1+SUMIFS(速報_原データ!$D$5:$D$200,速報_原データ!$A$5:$A$200,EDATE($A43,12),速報_原データ!$B$5:$B$200,H$3)/100),IF(COUNTIFS(速報_原データ!$I$6:$I$9,EDATE($A43,12),速報_原データ!$J$6:$J$9,H$3)&gt;0,H55/(1+SUMIFS(速報_原データ!$K$6:$K$9,速報_原データ!$I$6:$I$9,EDATE($A43,12),速報_原データ!$J$6:$J$9,H$3)/100),AVERAGE(H42,H44))))</f>
        <v>261.62</v>
      </c>
      <c r="I43" s="20" t="n">
        <f aca="false">B43-D43</f>
        <v>3030.79</v>
      </c>
      <c r="J43" s="20" t="n">
        <f aca="false">C43-D43-E43-H43</f>
        <v>1339.56</v>
      </c>
      <c r="K43" s="2" t="s">
        <v>86</v>
      </c>
    </row>
    <row r="44" customFormat="false" ht="15" hidden="false" customHeight="false" outlineLevel="0" collapsed="false">
      <c r="A44" s="15" t="n">
        <v>46204</v>
      </c>
      <c r="B44" s="20" t="n">
        <f aca="false">IF(COUNTIFS(速報_原データ!$A$5:$A$200,$A44,速報_原データ!$B$5:$B$200,B$3)&gt;0,SUMIFS(速報_原データ!$C$5:$C$200,速報_原データ!$A$5:$A$200,$A44,速報_原データ!$B$5:$B$200,B$3)/100,IF(COUNTIFS(速報_原データ!$A$5:$A$200,EDATE($A44,12),速報_原データ!$B$5:$B$200,B$3)&gt;0,SUMIFS(速報_原データ!$C$5:$C$200,速報_原データ!$A$5:$A$200,EDATE($A44,12),速報_原データ!$B$5:$B$200,B$3)/100/(1+SUMIFS(速報_原データ!$D$5:$D$200,速報_原データ!$A$5:$A$200,EDATE($A44,12),速報_原データ!$B$5:$B$200,B$3)/100),IF(COUNTIFS(速報_原データ!$I$6:$I$9,EDATE($A44,12),速報_原データ!$J$6:$J$9,B$3)&gt;0,B56/(1+SUMIFS(速報_原データ!$K$6:$K$9,速報_原データ!$I$6:$I$9,EDATE($A44,12),速報_原データ!$J$6:$J$9,B$3)/100),AVERAGE(B43,B45))))</f>
        <v>4944.37</v>
      </c>
      <c r="C44" s="20" t="n">
        <f aca="false">IF(COUNTIFS(速報_原データ!$A$5:$A$200,$A44,速報_原データ!$B$5:$B$200,C$3)&gt;0,SUMIFS(速報_原データ!$C$5:$C$200,速報_原データ!$A$5:$A$200,$A44,速報_原データ!$B$5:$B$200,C$3)/100,IF(COUNTIFS(速報_原データ!$A$5:$A$200,EDATE($A44,12),速報_原データ!$B$5:$B$200,C$3)&gt;0,SUMIFS(速報_原データ!$C$5:$C$200,速報_原データ!$A$5:$A$200,EDATE($A44,12),速報_原データ!$B$5:$B$200,C$3)/100/(1+SUMIFS(速報_原データ!$D$5:$D$200,速報_原データ!$A$5:$A$200,EDATE($A44,12),速報_原データ!$B$5:$B$200,C$3)/100),IF(COUNTIFS(速報_原データ!$I$6:$I$9,EDATE($A44,12),速報_原データ!$J$6:$J$9,C$3)&gt;0,C56/(1+SUMIFS(速報_原データ!$K$6:$K$9,速報_原データ!$I$6:$I$9,EDATE($A44,12),速報_原データ!$J$6:$J$9,C$3)/100),AVERAGE(C43,C45))))</f>
        <v>4361.97</v>
      </c>
      <c r="D44" s="20" t="n">
        <f aca="false">IF(COUNTIFS(速報_原データ!$A$5:$A$200,$A44,速報_原データ!$B$5:$B$200,D$3)&gt;0,SUMIFS(速報_原データ!$C$5:$C$200,速報_原データ!$A$5:$A$200,$A44,速報_原データ!$B$5:$B$200,D$3)/100,IF(COUNTIFS(速報_原データ!$A$5:$A$200,EDATE($A44,12),速報_原データ!$B$5:$B$200,D$3)&gt;0,SUMIFS(速報_原データ!$C$5:$C$200,速報_原データ!$A$5:$A$200,EDATE($A44,12),速報_原データ!$B$5:$B$200,D$3)/100/(1+SUMIFS(速報_原データ!$D$5:$D$200,速報_原データ!$A$5:$A$200,EDATE($A44,12),速報_原データ!$B$5:$B$200,D$3)/100),IF(COUNTIFS(速報_原データ!$I$6:$I$9,EDATE($A44,12),速報_原データ!$J$6:$J$9,D$3)&gt;0,D56/(1+SUMIFS(速報_原データ!$K$6:$K$9,速報_原データ!$I$6:$I$9,EDATE($A44,12),速報_原データ!$J$6:$J$9,D$3)/100),AVERAGE(D43,D45))))</f>
        <v>2073.46</v>
      </c>
      <c r="E44" s="20" t="n">
        <f aca="false">IF(COUNTIFS(速報_原データ!$A$5:$A$200,$A44,速報_原データ!$B$5:$B$200,E$3)&gt;0,SUMIFS(速報_原データ!$C$5:$C$200,速報_原データ!$A$5:$A$200,$A44,速報_原データ!$B$5:$B$200,E$3)/100,IF(COUNTIFS(速報_原データ!$A$5:$A$200,EDATE($A44,12),速報_原データ!$B$5:$B$200,E$3)&gt;0,SUMIFS(速報_原データ!$C$5:$C$200,速報_原データ!$A$5:$A$200,EDATE($A44,12),速報_原データ!$B$5:$B$200,E$3)/100/(1+SUMIFS(速報_原データ!$D$5:$D$200,速報_原データ!$A$5:$A$200,EDATE($A44,12),速報_原データ!$B$5:$B$200,E$3)/100),IF(COUNTIFS(速報_原データ!$I$6:$I$9,EDATE($A44,12),速報_原データ!$J$6:$J$9,E$3)&gt;0,E56/(1+SUMIFS(速報_原データ!$K$6:$K$9,速報_原データ!$I$6:$I$9,EDATE($A44,12),速報_原データ!$J$6:$J$9,E$3)/100),AVERAGE(E43,E45))))</f>
        <v>749.13</v>
      </c>
      <c r="F44" s="20" t="n">
        <f aca="false">IF(COUNTIFS(速報_原データ!$A$5:$A$200,$A44,速報_原データ!$B$5:$B$200,F$3)&gt;0,SUMIFS(速報_原データ!$C$5:$C$200,速報_原データ!$A$5:$A$200,$A44,速報_原データ!$B$5:$B$200,F$3)/100,IF(COUNTIFS(速報_原データ!$A$5:$A$200,EDATE($A44,12),速報_原データ!$B$5:$B$200,F$3)&gt;0,SUMIFS(速報_原データ!$C$5:$C$200,速報_原データ!$A$5:$A$200,EDATE($A44,12),速報_原データ!$B$5:$B$200,F$3)/100/(1+SUMIFS(速報_原データ!$D$5:$D$200,速報_原データ!$A$5:$A$200,EDATE($A44,12),速報_原データ!$B$5:$B$200,F$3)/100),IF(COUNTIFS(速報_原データ!$I$6:$I$9,EDATE($A44,12),速報_原データ!$J$6:$J$9,F$3)&gt;0,F56/(1+SUMIFS(速報_原データ!$K$6:$K$9,速報_原データ!$I$6:$I$9,EDATE($A44,12),速報_原データ!$J$6:$J$9,F$3)/100),AVERAGE(F43,F45))))</f>
        <v>404.19</v>
      </c>
      <c r="G44" s="20" t="n">
        <f aca="false">IF(COUNTIFS(速報_原データ!$A$5:$A$200,$A44,速報_原データ!$B$5:$B$200,G$3)&gt;0,SUMIFS(速報_原データ!$C$5:$C$200,速報_原データ!$A$5:$A$200,$A44,速報_原データ!$B$5:$B$200,G$3)/100,IF(COUNTIFS(速報_原データ!$A$5:$A$200,EDATE($A44,12),速報_原データ!$B$5:$B$200,G$3)&gt;0,SUMIFS(速報_原データ!$C$5:$C$200,速報_原データ!$A$5:$A$200,EDATE($A44,12),速報_原データ!$B$5:$B$200,G$3)/100/(1+SUMIFS(速報_原データ!$D$5:$D$200,速報_原データ!$A$5:$A$200,EDATE($A44,12),速報_原データ!$B$5:$B$200,G$3)/100),IF(COUNTIFS(速報_原データ!$I$6:$I$9,EDATE($A44,12),速報_原データ!$J$6:$J$9,G$3)&gt;0,G56/(1+SUMIFS(速報_原データ!$K$6:$K$9,速報_原データ!$I$6:$I$9,EDATE($A44,12),速報_原データ!$J$6:$J$9,G$3)/100),AVERAGE(G43,G45))))</f>
        <v>162.74</v>
      </c>
      <c r="H44" s="20" t="n">
        <f aca="false">IF(COUNTIFS(速報_原データ!$A$5:$A$200,$A44,速報_原データ!$B$5:$B$200,H$3)&gt;0,SUMIFS(速報_原データ!$C$5:$C$200,速報_原データ!$A$5:$A$200,$A44,速報_原データ!$B$5:$B$200,H$3)/100,IF(COUNTIFS(速報_原データ!$A$5:$A$200,EDATE($A44,12),速報_原データ!$B$5:$B$200,H$3)&gt;0,SUMIFS(速報_原データ!$C$5:$C$200,速報_原データ!$A$5:$A$200,EDATE($A44,12),速報_原データ!$B$5:$B$200,H$3)/100/(1+SUMIFS(速報_原データ!$D$5:$D$200,速報_原データ!$A$5:$A$200,EDATE($A44,12),速報_原データ!$B$5:$B$200,H$3)/100),IF(COUNTIFS(速報_原データ!$I$6:$I$9,EDATE($A44,12),速報_原データ!$J$6:$J$9,H$3)&gt;0,H56/(1+SUMIFS(速報_原データ!$K$6:$K$9,速報_原データ!$I$6:$I$9,EDATE($A44,12),速報_原データ!$J$6:$J$9,H$3)/100),AVERAGE(H43,H45))))</f>
        <v>357.45</v>
      </c>
      <c r="I44" s="20" t="n">
        <f aca="false">B44-D44</f>
        <v>2870.91</v>
      </c>
      <c r="J44" s="20" t="n">
        <f aca="false">C44-D44-E44-H44</f>
        <v>1181.93</v>
      </c>
      <c r="K44" s="2" t="s">
        <v>86</v>
      </c>
    </row>
    <row r="45" customFormat="false" ht="15" hidden="false" customHeight="false" outlineLevel="0" collapsed="false">
      <c r="A45" s="15" t="n">
        <v>46235</v>
      </c>
      <c r="B45" s="20" t="n">
        <f aca="false">IF(COUNTIFS(速報_原データ!$A$5:$A$200,$A45,速報_原データ!$B$5:$B$200,B$3)&gt;0,SUMIFS(速報_原データ!$C$5:$C$200,速報_原データ!$A$5:$A$200,$A45,速報_原データ!$B$5:$B$200,B$3)/100,IF(COUNTIFS(速報_原データ!$A$5:$A$200,EDATE($A45,12),速報_原データ!$B$5:$B$200,B$3)&gt;0,SUMIFS(速報_原データ!$C$5:$C$200,速報_原データ!$A$5:$A$200,EDATE($A45,12),速報_原データ!$B$5:$B$200,B$3)/100/(1+SUMIFS(速報_原データ!$D$5:$D$200,速報_原データ!$A$5:$A$200,EDATE($A45,12),速報_原データ!$B$5:$B$200,B$3)/100),IF(COUNTIFS(速報_原データ!$I$6:$I$9,EDATE($A45,12),速報_原データ!$J$6:$J$9,B$3)&gt;0,B57/(1+SUMIFS(速報_原データ!$K$6:$K$9,速報_原データ!$I$6:$I$9,EDATE($A45,12),速報_原データ!$J$6:$J$9,B$3)/100),AVERAGE(B44,B46))))</f>
        <v>4897.64</v>
      </c>
      <c r="C45" s="20" t="n">
        <f aca="false">IF(COUNTIFS(速報_原データ!$A$5:$A$200,$A45,速報_原データ!$B$5:$B$200,C$3)&gt;0,SUMIFS(速報_原データ!$C$5:$C$200,速報_原データ!$A$5:$A$200,$A45,速報_原データ!$B$5:$B$200,C$3)/100,IF(COUNTIFS(速報_原データ!$A$5:$A$200,EDATE($A45,12),速報_原データ!$B$5:$B$200,C$3)&gt;0,SUMIFS(速報_原データ!$C$5:$C$200,速報_原データ!$A$5:$A$200,EDATE($A45,12),速報_原データ!$B$5:$B$200,C$3)/100/(1+SUMIFS(速報_原データ!$D$5:$D$200,速報_原データ!$A$5:$A$200,EDATE($A45,12),速報_原データ!$B$5:$B$200,C$3)/100),IF(COUNTIFS(速報_原データ!$I$6:$I$9,EDATE($A45,12),速報_原データ!$J$6:$J$9,C$3)&gt;0,C57/(1+SUMIFS(速報_原データ!$K$6:$K$9,速報_原データ!$I$6:$I$9,EDATE($A45,12),速報_原データ!$J$6:$J$9,C$3)/100),AVERAGE(C44,C46))))</f>
        <v>4241.08</v>
      </c>
      <c r="D45" s="20" t="n">
        <f aca="false">IF(COUNTIFS(速報_原データ!$A$5:$A$200,$A45,速報_原データ!$B$5:$B$200,D$3)&gt;0,SUMIFS(速報_原データ!$C$5:$C$200,速報_原データ!$A$5:$A$200,$A45,速報_原データ!$B$5:$B$200,D$3)/100,IF(COUNTIFS(速報_原データ!$A$5:$A$200,EDATE($A45,12),速報_原データ!$B$5:$B$200,D$3)&gt;0,SUMIFS(速報_原データ!$C$5:$C$200,速報_原データ!$A$5:$A$200,EDATE($A45,12),速報_原データ!$B$5:$B$200,D$3)/100/(1+SUMIFS(速報_原データ!$D$5:$D$200,速報_原データ!$A$5:$A$200,EDATE($A45,12),速報_原データ!$B$5:$B$200,D$3)/100),IF(COUNTIFS(速報_原データ!$I$6:$I$9,EDATE($A45,12),速報_原データ!$J$6:$J$9,D$3)&gt;0,D57/(1+SUMIFS(速報_原データ!$K$6:$K$9,速報_原データ!$I$6:$I$9,EDATE($A45,12),速報_原データ!$J$6:$J$9,D$3)/100),AVERAGE(D44,D46))))</f>
        <v>1947.91</v>
      </c>
      <c r="E45" s="20" t="n">
        <f aca="false">IF(COUNTIFS(速報_原データ!$A$5:$A$200,$A45,速報_原データ!$B$5:$B$200,E$3)&gt;0,SUMIFS(速報_原データ!$C$5:$C$200,速報_原データ!$A$5:$A$200,$A45,速報_原データ!$B$5:$B$200,E$3)/100,IF(COUNTIFS(速報_原データ!$A$5:$A$200,EDATE($A45,12),速報_原データ!$B$5:$B$200,E$3)&gt;0,SUMIFS(速報_原データ!$C$5:$C$200,速報_原データ!$A$5:$A$200,EDATE($A45,12),速報_原データ!$B$5:$B$200,E$3)/100/(1+SUMIFS(速報_原データ!$D$5:$D$200,速報_原データ!$A$5:$A$200,EDATE($A45,12),速報_原データ!$B$5:$B$200,E$3)/100),IF(COUNTIFS(速報_原データ!$I$6:$I$9,EDATE($A45,12),速報_原データ!$J$6:$J$9,E$3)&gt;0,E57/(1+SUMIFS(速報_原データ!$K$6:$K$9,速報_原データ!$I$6:$I$9,EDATE($A45,12),速報_原データ!$J$6:$J$9,E$3)/100),AVERAGE(E44,E46))))</f>
        <v>850.51</v>
      </c>
      <c r="F45" s="20" t="n">
        <f aca="false">IF(COUNTIFS(速報_原データ!$A$5:$A$200,$A45,速報_原データ!$B$5:$B$200,F$3)&gt;0,SUMIFS(速報_原データ!$C$5:$C$200,速報_原データ!$A$5:$A$200,$A45,速報_原データ!$B$5:$B$200,F$3)/100,IF(COUNTIFS(速報_原データ!$A$5:$A$200,EDATE($A45,12),速報_原データ!$B$5:$B$200,F$3)&gt;0,SUMIFS(速報_原データ!$C$5:$C$200,速報_原データ!$A$5:$A$200,EDATE($A45,12),速報_原データ!$B$5:$B$200,F$3)/100/(1+SUMIFS(速報_原データ!$D$5:$D$200,速報_原データ!$A$5:$A$200,EDATE($A45,12),速報_原データ!$B$5:$B$200,F$3)/100),IF(COUNTIFS(速報_原データ!$I$6:$I$9,EDATE($A45,12),速報_原データ!$J$6:$J$9,F$3)&gt;0,F57/(1+SUMIFS(速報_原データ!$K$6:$K$9,速報_原データ!$I$6:$I$9,EDATE($A45,12),速報_原データ!$J$6:$J$9,F$3)/100),AVERAGE(F44,F46))))</f>
        <v>484.94</v>
      </c>
      <c r="G45" s="20" t="n">
        <f aca="false">IF(COUNTIFS(速報_原データ!$A$5:$A$200,$A45,速報_原データ!$B$5:$B$200,G$3)&gt;0,SUMIFS(速報_原データ!$C$5:$C$200,速報_原データ!$A$5:$A$200,$A45,速報_原データ!$B$5:$B$200,G$3)/100,IF(COUNTIFS(速報_原データ!$A$5:$A$200,EDATE($A45,12),速報_原データ!$B$5:$B$200,G$3)&gt;0,SUMIFS(速報_原データ!$C$5:$C$200,速報_原データ!$A$5:$A$200,EDATE($A45,12),速報_原データ!$B$5:$B$200,G$3)/100/(1+SUMIFS(速報_原データ!$D$5:$D$200,速報_原データ!$A$5:$A$200,EDATE($A45,12),速報_原データ!$B$5:$B$200,G$3)/100),IF(COUNTIFS(速報_原データ!$I$6:$I$9,EDATE($A45,12),速報_原データ!$J$6:$J$9,G$3)&gt;0,G57/(1+SUMIFS(速報_原データ!$K$6:$K$9,速報_原データ!$I$6:$I$9,EDATE($A45,12),速報_原データ!$J$6:$J$9,G$3)/100),AVERAGE(G44,G46))))</f>
        <v>135.5</v>
      </c>
      <c r="H45" s="20" t="n">
        <f aca="false">IF(COUNTIFS(速報_原データ!$A$5:$A$200,$A45,速報_原データ!$B$5:$B$200,H$3)&gt;0,SUMIFS(速報_原データ!$C$5:$C$200,速報_原データ!$A$5:$A$200,$A45,速報_原データ!$B$5:$B$200,H$3)/100,IF(COUNTIFS(速報_原データ!$A$5:$A$200,EDATE($A45,12),速報_原データ!$B$5:$B$200,H$3)&gt;0,SUMIFS(速報_原データ!$C$5:$C$200,速報_原データ!$A$5:$A$200,EDATE($A45,12),速報_原データ!$B$5:$B$200,H$3)/100/(1+SUMIFS(速報_原データ!$D$5:$D$200,速報_原データ!$A$5:$A$200,EDATE($A45,12),速報_原データ!$B$5:$B$200,H$3)/100),IF(COUNTIFS(速報_原データ!$I$6:$I$9,EDATE($A45,12),速報_原データ!$J$6:$J$9,H$3)&gt;0,H57/(1+SUMIFS(速報_原データ!$K$6:$K$9,速報_原データ!$I$6:$I$9,EDATE($A45,12),速報_原データ!$J$6:$J$9,H$3)/100),AVERAGE(H44,H46))))</f>
        <v>356.47</v>
      </c>
      <c r="I45" s="20" t="n">
        <f aca="false">B45-D45</f>
        <v>2949.73</v>
      </c>
      <c r="J45" s="20" t="n">
        <f aca="false">C45-D45-E45-H45</f>
        <v>1086.19</v>
      </c>
      <c r="K45" s="2"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9"/>
    <col collapsed="false" customWidth="true" hidden="false" outlineLevel="0" max="4" min="4" style="0" width="10"/>
    <col collapsed="false" customWidth="true" hidden="false" outlineLevel="0" max="5" min="5" style="0" width="12"/>
    <col collapsed="false" customWidth="true" hidden="false" outlineLevel="0" max="6" min="6" style="0" width="13"/>
    <col collapsed="false" customWidth="true" hidden="false" outlineLevel="0" max="7" min="7" style="0" width="11"/>
    <col collapsed="false" customWidth="true" hidden="false" outlineLevel="0" max="9" min="8" style="0" width="12"/>
  </cols>
  <sheetData>
    <row r="1" customFormat="false" ht="19.4" hidden="false" customHeight="false" outlineLevel="0" collapsed="false">
      <c r="A1" s="1" t="s">
        <v>87</v>
      </c>
    </row>
    <row r="2" customFormat="false" ht="15" hidden="false" customHeight="false" outlineLevel="0" collapsed="false">
      <c r="A2" s="2" t="s">
        <v>88</v>
      </c>
    </row>
    <row r="4" customFormat="false" ht="29.85" hidden="false" customHeight="false" outlineLevel="0" collapsed="false">
      <c r="A4" s="3" t="s">
        <v>89</v>
      </c>
      <c r="B4" s="3" t="s">
        <v>90</v>
      </c>
      <c r="C4" s="3" t="s">
        <v>91</v>
      </c>
      <c r="D4" s="3" t="s">
        <v>92</v>
      </c>
      <c r="E4" s="3" t="s">
        <v>93</v>
      </c>
      <c r="F4" s="3" t="s">
        <v>94</v>
      </c>
      <c r="G4" s="3" t="s">
        <v>95</v>
      </c>
      <c r="H4" s="3" t="s">
        <v>96</v>
      </c>
      <c r="I4" s="3" t="s">
        <v>97</v>
      </c>
    </row>
    <row r="5" customFormat="false" ht="15" hidden="false" customHeight="false" outlineLevel="0" collapsed="false">
      <c r="A5" s="21" t="s">
        <v>98</v>
      </c>
      <c r="B5" s="21" t="s">
        <v>99</v>
      </c>
      <c r="C5" s="15" t="n">
        <v>45078</v>
      </c>
      <c r="D5" s="17" t="n">
        <v>327</v>
      </c>
      <c r="E5" s="17" t="n">
        <v>185</v>
      </c>
      <c r="F5" s="17" t="n">
        <v>142</v>
      </c>
      <c r="G5" s="22" t="n">
        <v>0.29</v>
      </c>
      <c r="H5" s="20" t="n">
        <f aca="false">D5*G5</f>
        <v>94.83</v>
      </c>
      <c r="I5" s="20" t="n">
        <f aca="false">D5-H5</f>
        <v>232.17</v>
      </c>
    </row>
    <row r="6" customFormat="false" ht="15" hidden="false" customHeight="false" outlineLevel="0" collapsed="false">
      <c r="A6" s="21" t="s">
        <v>100</v>
      </c>
      <c r="B6" s="21" t="s">
        <v>101</v>
      </c>
      <c r="C6" s="15" t="n">
        <v>45170</v>
      </c>
      <c r="D6" s="17" t="n">
        <v>450</v>
      </c>
      <c r="E6" s="17" t="n">
        <v>262</v>
      </c>
      <c r="F6" s="17" t="n">
        <v>188</v>
      </c>
      <c r="G6" s="22" t="n">
        <v>0.49</v>
      </c>
      <c r="H6" s="20" t="n">
        <f aca="false">D6*G6</f>
        <v>220.5</v>
      </c>
      <c r="I6" s="20" t="n">
        <f aca="false">D6-H6</f>
        <v>229.5</v>
      </c>
    </row>
    <row r="7" customFormat="false" ht="15" hidden="false" customHeight="false" outlineLevel="0" collapsed="false">
      <c r="A7" s="21" t="s">
        <v>102</v>
      </c>
      <c r="B7" s="21" t="s">
        <v>103</v>
      </c>
      <c r="C7" s="15" t="n">
        <v>45261</v>
      </c>
      <c r="D7" s="17" t="n">
        <v>540</v>
      </c>
      <c r="E7" s="17" t="n">
        <v>375</v>
      </c>
      <c r="F7" s="17" t="n">
        <v>164</v>
      </c>
      <c r="G7" s="22" t="n">
        <v>0.45</v>
      </c>
      <c r="H7" s="20" t="n">
        <f aca="false">D7*G7</f>
        <v>243</v>
      </c>
      <c r="I7" s="20" t="n">
        <f aca="false">D7-H7</f>
        <v>297</v>
      </c>
    </row>
    <row r="8" customFormat="false" ht="15" hidden="false" customHeight="false" outlineLevel="0" collapsed="false">
      <c r="A8" s="21" t="s">
        <v>104</v>
      </c>
      <c r="B8" s="21" t="s">
        <v>105</v>
      </c>
      <c r="C8" s="15" t="n">
        <v>45352</v>
      </c>
      <c r="D8" s="17" t="n">
        <v>492</v>
      </c>
      <c r="E8" s="17" t="n">
        <v>361</v>
      </c>
      <c r="F8" s="17" t="n">
        <v>131</v>
      </c>
      <c r="G8" s="22" t="n">
        <v>0.5</v>
      </c>
      <c r="H8" s="20" t="n">
        <f aca="false">D8*G8</f>
        <v>246</v>
      </c>
      <c r="I8" s="20" t="n">
        <f aca="false">D8-H8</f>
        <v>246</v>
      </c>
    </row>
    <row r="9" customFormat="false" ht="15" hidden="false" customHeight="false" outlineLevel="0" collapsed="false">
      <c r="A9" s="21" t="s">
        <v>106</v>
      </c>
      <c r="B9" s="21" t="s">
        <v>107</v>
      </c>
      <c r="C9" s="15" t="n">
        <v>45444</v>
      </c>
      <c r="D9" s="17" t="n">
        <v>652</v>
      </c>
      <c r="E9" s="17" t="n">
        <v>439</v>
      </c>
      <c r="F9" s="17" t="n">
        <v>214</v>
      </c>
      <c r="G9" s="22" t="n">
        <v>0.5</v>
      </c>
      <c r="H9" s="20" t="n">
        <f aca="false">D9*G9</f>
        <v>326</v>
      </c>
      <c r="I9" s="20" t="n">
        <f aca="false">D9-H9</f>
        <v>326</v>
      </c>
    </row>
    <row r="10" customFormat="false" ht="15" hidden="false" customHeight="false" outlineLevel="0" collapsed="false">
      <c r="A10" s="21" t="s">
        <v>108</v>
      </c>
      <c r="B10" s="21" t="s">
        <v>109</v>
      </c>
      <c r="C10" s="15" t="n">
        <v>45536</v>
      </c>
      <c r="D10" s="17" t="n">
        <v>493</v>
      </c>
      <c r="E10" s="17" t="n">
        <v>315</v>
      </c>
      <c r="F10" s="17" t="n">
        <v>179</v>
      </c>
      <c r="G10" s="22" t="n">
        <v>0.44</v>
      </c>
      <c r="H10" s="20" t="n">
        <f aca="false">D10*G10</f>
        <v>216.92</v>
      </c>
      <c r="I10" s="20" t="n">
        <f aca="false">D10-H10</f>
        <v>276.08</v>
      </c>
    </row>
    <row r="11" customFormat="false" ht="15" hidden="false" customHeight="false" outlineLevel="0" collapsed="false">
      <c r="A11" s="21" t="s">
        <v>110</v>
      </c>
      <c r="B11" s="21" t="s">
        <v>111</v>
      </c>
      <c r="C11" s="15" t="n">
        <v>45627</v>
      </c>
      <c r="D11" s="17" t="n">
        <v>601</v>
      </c>
      <c r="E11" s="17" t="n">
        <v>420</v>
      </c>
      <c r="F11" s="17" t="n">
        <v>182</v>
      </c>
      <c r="G11" s="22" t="n">
        <v>0.4</v>
      </c>
      <c r="H11" s="20" t="n">
        <f aca="false">D11*G11</f>
        <v>240.4</v>
      </c>
      <c r="I11" s="20" t="n">
        <f aca="false">D11-H11</f>
        <v>360.6</v>
      </c>
    </row>
    <row r="12" customFormat="false" ht="15" hidden="false" customHeight="false" outlineLevel="0" collapsed="false">
      <c r="A12" s="21" t="s">
        <v>112</v>
      </c>
      <c r="B12" s="21" t="s">
        <v>113</v>
      </c>
      <c r="C12" s="15" t="n">
        <v>45717</v>
      </c>
      <c r="D12" s="17" t="n">
        <v>643</v>
      </c>
      <c r="E12" s="17" t="n">
        <v>470</v>
      </c>
      <c r="F12" s="17" t="n">
        <v>173</v>
      </c>
      <c r="G12" s="22" t="n">
        <v>0.41</v>
      </c>
      <c r="H12" s="20" t="n">
        <f aca="false">D12*G12</f>
        <v>263.63</v>
      </c>
      <c r="I12" s="20" t="n">
        <f aca="false">D12-H12</f>
        <v>379.37</v>
      </c>
    </row>
    <row r="13" customFormat="false" ht="15" hidden="false" customHeight="false" outlineLevel="0" collapsed="false">
      <c r="A13" s="21" t="s">
        <v>114</v>
      </c>
      <c r="B13" s="21" t="s">
        <v>115</v>
      </c>
      <c r="C13" s="15" t="n">
        <v>45809</v>
      </c>
      <c r="D13" s="17" t="n">
        <v>518</v>
      </c>
      <c r="E13" s="17" t="n">
        <v>317</v>
      </c>
      <c r="F13" s="17" t="n">
        <v>201</v>
      </c>
      <c r="G13" s="22" t="n">
        <v>0.38</v>
      </c>
      <c r="H13" s="20" t="n">
        <f aca="false">D13*G13</f>
        <v>196.84</v>
      </c>
      <c r="I13" s="20" t="n">
        <f aca="false">D13-H13</f>
        <v>321.16</v>
      </c>
    </row>
    <row r="14" customFormat="false" ht="15" hidden="false" customHeight="false" outlineLevel="0" collapsed="false">
      <c r="A14" s="21" t="s">
        <v>116</v>
      </c>
      <c r="B14" s="21" t="s">
        <v>117</v>
      </c>
      <c r="C14" s="15" t="n">
        <v>45901</v>
      </c>
      <c r="D14" s="17" t="n">
        <v>654</v>
      </c>
      <c r="E14" s="17" t="n">
        <v>416</v>
      </c>
      <c r="F14" s="17" t="n">
        <v>239</v>
      </c>
      <c r="G14" s="22" t="n">
        <v>0.44</v>
      </c>
      <c r="H14" s="20" t="n">
        <f aca="false">D14*G14</f>
        <v>287.76</v>
      </c>
      <c r="I14" s="20" t="n">
        <f aca="false">D14-H14</f>
        <v>366.24</v>
      </c>
    </row>
    <row r="15" customFormat="false" ht="15" hidden="false" customHeight="false" outlineLevel="0" collapsed="false">
      <c r="A15" s="21" t="s">
        <v>118</v>
      </c>
      <c r="B15" s="21" t="s">
        <v>119</v>
      </c>
      <c r="C15" s="15" t="n">
        <v>45992</v>
      </c>
      <c r="D15" s="17" t="n">
        <v>559</v>
      </c>
      <c r="E15" s="17" t="n">
        <v>313</v>
      </c>
      <c r="F15" s="17" t="n">
        <v>246</v>
      </c>
      <c r="G15" s="22" t="n">
        <v>0.31</v>
      </c>
      <c r="H15" s="20" t="n">
        <f aca="false">D15*G15</f>
        <v>173.29</v>
      </c>
      <c r="I15" s="20" t="n">
        <f aca="false">D15-H15</f>
        <v>385.71</v>
      </c>
    </row>
    <row r="16" customFormat="false" ht="15" hidden="false" customHeight="false" outlineLevel="0" collapsed="false">
      <c r="A16" s="21" t="s">
        <v>120</v>
      </c>
      <c r="B16" s="21" t="s">
        <v>121</v>
      </c>
      <c r="C16" s="15" t="n">
        <v>46082</v>
      </c>
      <c r="D16" s="17" t="n">
        <v>620</v>
      </c>
      <c r="E16" s="17" t="n">
        <v>355</v>
      </c>
      <c r="F16" s="17" t="n">
        <v>266</v>
      </c>
      <c r="G16" s="22" t="n">
        <v>0.26</v>
      </c>
      <c r="H16" s="20" t="n">
        <f aca="false">D16*G16</f>
        <v>161.2</v>
      </c>
      <c r="I16" s="20" t="n">
        <f aca="false">D16-H16</f>
        <v>458.8</v>
      </c>
    </row>
    <row r="17" customFormat="false" ht="15" hidden="false" customHeight="false" outlineLevel="0" collapsed="false">
      <c r="A17" s="21" t="s">
        <v>122</v>
      </c>
      <c r="B17" s="21" t="s">
        <v>123</v>
      </c>
      <c r="C17" s="15" t="n">
        <v>46174</v>
      </c>
      <c r="D17" s="17" t="n">
        <v>754</v>
      </c>
      <c r="G17" s="22" t="n">
        <v>0.25</v>
      </c>
      <c r="H17" s="20" t="n">
        <f aca="false">D17*G17</f>
        <v>188.5</v>
      </c>
      <c r="I17" s="20" t="n">
        <f aca="false">D17-H17</f>
        <v>565.5</v>
      </c>
    </row>
    <row r="19" customFormat="false" ht="15" hidden="false" customHeight="false" outlineLevel="0" collapsed="false">
      <c r="A19" s="2" t="s">
        <v>124</v>
      </c>
    </row>
    <row r="20" customFormat="false" ht="15" hidden="false" customHeight="false" outlineLevel="0" collapsed="false">
      <c r="A20" s="2"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0"/>
    <col collapsed="false" customWidth="true" hidden="false" outlineLevel="0" max="7" min="4" style="0" width="9"/>
    <col collapsed="false" customWidth="true" hidden="false" outlineLevel="0" max="8" min="8" style="0" width="10"/>
    <col collapsed="false" customWidth="true" hidden="false" outlineLevel="0" max="12" min="9" style="0" width="9"/>
    <col collapsed="false" customWidth="true" hidden="false" outlineLevel="0" max="13" min="13" style="0" width="10"/>
  </cols>
  <sheetData>
    <row r="1" customFormat="false" ht="19.4" hidden="false" customHeight="false" outlineLevel="0" collapsed="false">
      <c r="A1" s="13" t="s">
        <v>126</v>
      </c>
    </row>
    <row r="2" customFormat="false" ht="15" hidden="false" customHeight="false" outlineLevel="0" collapsed="false">
      <c r="A2" s="19" t="s">
        <v>127</v>
      </c>
    </row>
    <row r="3" customFormat="false" ht="15" hidden="false" customHeight="false" outlineLevel="0" collapsed="false">
      <c r="D3" s="14" t="s">
        <v>128</v>
      </c>
      <c r="E3" s="23" t="n">
        <v>0</v>
      </c>
      <c r="F3" s="2" t="s">
        <v>129</v>
      </c>
      <c r="I3" s="14" t="s">
        <v>128</v>
      </c>
      <c r="J3" s="23" t="n">
        <v>1</v>
      </c>
      <c r="K3" s="2" t="s">
        <v>130</v>
      </c>
    </row>
    <row r="4" customFormat="false" ht="15" hidden="false" customHeight="false" outlineLevel="0" collapsed="false">
      <c r="A4" s="3" t="s">
        <v>89</v>
      </c>
      <c r="B4" s="3" t="s">
        <v>91</v>
      </c>
      <c r="C4" s="3" t="s">
        <v>92</v>
      </c>
      <c r="D4" s="3" t="s">
        <v>76</v>
      </c>
      <c r="E4" s="3" t="s">
        <v>78</v>
      </c>
      <c r="F4" s="3" t="s">
        <v>81</v>
      </c>
      <c r="G4" s="3" t="s">
        <v>79</v>
      </c>
      <c r="H4" s="3" t="s">
        <v>131</v>
      </c>
      <c r="I4" s="3" t="s">
        <v>76</v>
      </c>
      <c r="J4" s="3" t="s">
        <v>78</v>
      </c>
      <c r="K4" s="3" t="s">
        <v>81</v>
      </c>
      <c r="L4" s="3" t="s">
        <v>79</v>
      </c>
      <c r="M4" s="3" t="s">
        <v>131</v>
      </c>
    </row>
    <row r="6" customFormat="false" ht="15" hidden="false" customHeight="false" outlineLevel="0" collapsed="false">
      <c r="A6" s="21" t="s">
        <v>98</v>
      </c>
      <c r="B6" s="24" t="n">
        <f aca="false">KOKUSAI_四半期!C5</f>
        <v>45078</v>
      </c>
      <c r="C6" s="25" t="n">
        <f aca="false">KOKUSAI_四半期!D5</f>
        <v>327</v>
      </c>
      <c r="D6" s="25" t="n">
        <f aca="false">IF(COUNTIFS(貿易_月次!$A$5:$A$45,"&gt;="&amp;EDATE($B6,-2-$E$3),貿易_月次!$A$5:$A$45,"&lt;="&amp;EDATE($B6,-$E$3))=3,SUMIFS(貿易_月次!$B$5:$B$45,貿易_月次!$A$5:$A$45,"&gt;="&amp;EDATE($B6,-2-$E$3),貿易_月次!$A$5:$A$45,"&lt;="&amp;EDATE($B6,-$E$3)),"")</f>
        <v>8184.93948526176</v>
      </c>
      <c r="E6" s="25" t="n">
        <f aca="false">IF(COUNTIFS(貿易_月次!$A$5:$A$45,"&gt;="&amp;EDATE($B6,-2-$E$3),貿易_月次!$A$5:$A$45,"&lt;="&amp;EDATE($B6,-$E$3))=3,SUMIFS(貿易_月次!$D$5:$D$45,貿易_月次!$A$5:$A$45,"&gt;="&amp;EDATE($B6,-2-$E$3),貿易_月次!$A$5:$A$45,"&lt;="&amp;EDATE($B6,-$E$3)),"")</f>
        <v>3087.34015983322</v>
      </c>
      <c r="F6" s="25" t="n">
        <f aca="false">IF(COUNTIFS(貿易_月次!$A$5:$A$45,"&gt;="&amp;EDATE($B6,-2-$E$3),貿易_月次!$A$5:$A$45,"&lt;="&amp;EDATE($B6,-$E$3))=3,SUMIFS(貿易_月次!$I$5:$I$45,貿易_月次!$A$5:$A$45,"&gt;="&amp;EDATE($B6,-2-$E$3),貿易_月次!$A$5:$A$45,"&lt;="&amp;EDATE($B6,-$E$3)),"")</f>
        <v>5097.59932542854</v>
      </c>
      <c r="G6" s="25" t="n">
        <f aca="false">IF(COUNTIFS(貿易_月次!$A$5:$A$45,"&gt;="&amp;EDATE($B6,-2-$E$3),貿易_月次!$A$5:$A$45,"&lt;="&amp;EDATE($B6,-$E$3))=3,SUMIFS(貿易_月次!$E$5:$E$45,貿易_月次!$A$5:$A$45,"&gt;="&amp;EDATE($B6,-2-$E$3),貿易_月次!$A$5:$A$45,"&lt;="&amp;EDATE($B6,-$E$3)),"")</f>
        <v>1436.59912885744</v>
      </c>
      <c r="H6" s="26" t="n">
        <f aca="false">IF(AND(ISNUMBER(C6),ISNUMBER(D6)),C6/D6,"")</f>
        <v>0.0399514254917601</v>
      </c>
      <c r="I6" s="25" t="str">
        <f aca="false">IF(COUNTIFS(貿易_月次!$A$5:$A$45,"&gt;="&amp;EDATE($B6,-2-$J$3),貿易_月次!$A$5:$A$45,"&lt;="&amp;EDATE($B6,-$J$3))=3,SUMIFS(貿易_月次!$B$5:$B$45,貿易_月次!$A$5:$A$45,"&gt;="&amp;EDATE($B6,-2-$J$3),貿易_月次!$A$5:$A$45,"&lt;="&amp;EDATE($B6,-$J$3)),"")</f>
        <v/>
      </c>
      <c r="J6" s="25" t="str">
        <f aca="false">IF(COUNTIFS(貿易_月次!$A$5:$A$45,"&gt;="&amp;EDATE($B6,-2-$J$3),貿易_月次!$A$5:$A$45,"&lt;="&amp;EDATE($B6,-$J$3))=3,SUMIFS(貿易_月次!$D$5:$D$45,貿易_月次!$A$5:$A$45,"&gt;="&amp;EDATE($B6,-2-$J$3),貿易_月次!$A$5:$A$45,"&lt;="&amp;EDATE($B6,-$J$3)),"")</f>
        <v/>
      </c>
      <c r="K6" s="25" t="str">
        <f aca="false">IF(COUNTIFS(貿易_月次!$A$5:$A$45,"&gt;="&amp;EDATE($B6,-2-$J$3),貿易_月次!$A$5:$A$45,"&lt;="&amp;EDATE($B6,-$J$3))=3,SUMIFS(貿易_月次!$I$5:$I$45,貿易_月次!$A$5:$A$45,"&gt;="&amp;EDATE($B6,-2-$J$3),貿易_月次!$A$5:$A$45,"&lt;="&amp;EDATE($B6,-$J$3)),"")</f>
        <v/>
      </c>
      <c r="L6" s="25" t="str">
        <f aca="false">IF(COUNTIFS(貿易_月次!$A$5:$A$45,"&gt;="&amp;EDATE($B6,-2-$J$3),貿易_月次!$A$5:$A$45,"&lt;="&amp;EDATE($B6,-$J$3))=3,SUMIFS(貿易_月次!$E$5:$E$45,貿易_月次!$A$5:$A$45,"&gt;="&amp;EDATE($B6,-2-$J$3),貿易_月次!$A$5:$A$45,"&lt;="&amp;EDATE($B6,-$J$3)),"")</f>
        <v/>
      </c>
      <c r="M6" s="26" t="str">
        <f aca="false">IF(AND(ISNUMBER(C6),ISNUMBER(I6)),C6/I6,"")</f>
        <v/>
      </c>
    </row>
    <row r="7" customFormat="false" ht="15" hidden="false" customHeight="false" outlineLevel="0" collapsed="false">
      <c r="A7" s="21" t="s">
        <v>100</v>
      </c>
      <c r="B7" s="24" t="n">
        <f aca="false">KOKUSAI_四半期!C6</f>
        <v>45170</v>
      </c>
      <c r="C7" s="25" t="n">
        <f aca="false">KOKUSAI_四半期!D6</f>
        <v>450</v>
      </c>
      <c r="D7" s="25" t="n">
        <f aca="false">IF(COUNTIFS(貿易_月次!$A$5:$A$45,"&gt;="&amp;EDATE($B7,-2-$E$3),貿易_月次!$A$5:$A$45,"&lt;="&amp;EDATE($B7,-$E$3))=3,SUMIFS(貿易_月次!$B$5:$B$45,貿易_月次!$A$5:$A$45,"&gt;="&amp;EDATE($B7,-2-$E$3),貿易_月次!$A$5:$A$45,"&lt;="&amp;EDATE($B7,-$E$3)),"")</f>
        <v>8236.84108130101</v>
      </c>
      <c r="E7" s="25" t="n">
        <f aca="false">IF(COUNTIFS(貿易_月次!$A$5:$A$45,"&gt;="&amp;EDATE($B7,-2-$E$3),貿易_月次!$A$5:$A$45,"&lt;="&amp;EDATE($B7,-$E$3))=3,SUMIFS(貿易_月次!$D$5:$D$45,貿易_月次!$A$5:$A$45,"&gt;="&amp;EDATE($B7,-2-$E$3),貿易_月次!$A$5:$A$45,"&lt;="&amp;EDATE($B7,-$E$3)),"")</f>
        <v>4185.41359211522</v>
      </c>
      <c r="F7" s="25" t="n">
        <f aca="false">IF(COUNTIFS(貿易_月次!$A$5:$A$45,"&gt;="&amp;EDATE($B7,-2-$E$3),貿易_月次!$A$5:$A$45,"&lt;="&amp;EDATE($B7,-$E$3))=3,SUMIFS(貿易_月次!$I$5:$I$45,貿易_月次!$A$5:$A$45,"&gt;="&amp;EDATE($B7,-2-$E$3),貿易_月次!$A$5:$A$45,"&lt;="&amp;EDATE($B7,-$E$3)),"")</f>
        <v>4051.42748918579</v>
      </c>
      <c r="G7" s="25" t="n">
        <f aca="false">IF(COUNTIFS(貿易_月次!$A$5:$A$45,"&gt;="&amp;EDATE($B7,-2-$E$3),貿易_月次!$A$5:$A$45,"&lt;="&amp;EDATE($B7,-$E$3))=3,SUMIFS(貿易_月次!$E$5:$E$45,貿易_月次!$A$5:$A$45,"&gt;="&amp;EDATE($B7,-2-$E$3),貿易_月次!$A$5:$A$45,"&lt;="&amp;EDATE($B7,-$E$3)),"")</f>
        <v>1177.51283793335</v>
      </c>
      <c r="H7" s="26" t="n">
        <f aca="false">IF(AND(ISNUMBER(C7),ISNUMBER(D7)),C7/D7,"")</f>
        <v>0.0546325946510701</v>
      </c>
      <c r="I7" s="25" t="n">
        <f aca="false">IF(COUNTIFS(貿易_月次!$A$5:$A$45,"&gt;="&amp;EDATE($B7,-2-$J$3),貿易_月次!$A$5:$A$45,"&lt;="&amp;EDATE($B7,-$J$3))=3,SUMIFS(貿易_月次!$B$5:$B$45,貿易_月次!$A$5:$A$45,"&gt;="&amp;EDATE($B7,-2-$J$3),貿易_月次!$A$5:$A$45,"&lt;="&amp;EDATE($B7,-$J$3)),"")</f>
        <v>7973.41924705734</v>
      </c>
      <c r="J7" s="25" t="n">
        <f aca="false">IF(COUNTIFS(貿易_月次!$A$5:$A$45,"&gt;="&amp;EDATE($B7,-2-$J$3),貿易_月次!$A$5:$A$45,"&lt;="&amp;EDATE($B7,-$J$3))=3,SUMIFS(貿易_月次!$D$5:$D$45,貿易_月次!$A$5:$A$45,"&gt;="&amp;EDATE($B7,-2-$J$3),貿易_月次!$A$5:$A$45,"&lt;="&amp;EDATE($B7,-$J$3)),"")</f>
        <v>3822.5960809161</v>
      </c>
      <c r="K7" s="25" t="n">
        <f aca="false">IF(COUNTIFS(貿易_月次!$A$5:$A$45,"&gt;="&amp;EDATE($B7,-2-$J$3),貿易_月次!$A$5:$A$45,"&lt;="&amp;EDATE($B7,-$J$3))=3,SUMIFS(貿易_月次!$I$5:$I$45,貿易_月次!$A$5:$A$45,"&gt;="&amp;EDATE($B7,-2-$J$3),貿易_月次!$A$5:$A$45,"&lt;="&amp;EDATE($B7,-$J$3)),"")</f>
        <v>4150.82316614124</v>
      </c>
      <c r="L7" s="25" t="n">
        <f aca="false">IF(COUNTIFS(貿易_月次!$A$5:$A$45,"&gt;="&amp;EDATE($B7,-2-$J$3),貿易_月次!$A$5:$A$45,"&lt;="&amp;EDATE($B7,-$J$3))=3,SUMIFS(貿易_月次!$E$5:$E$45,貿易_月次!$A$5:$A$45,"&gt;="&amp;EDATE($B7,-2-$J$3),貿易_月次!$A$5:$A$45,"&lt;="&amp;EDATE($B7,-$J$3)),"")</f>
        <v>1236.13410277131</v>
      </c>
      <c r="M7" s="26" t="n">
        <f aca="false">IF(AND(ISNUMBER(C7),ISNUMBER(I7)),C7/I7,"")</f>
        <v>0.0564375189685499</v>
      </c>
    </row>
    <row r="8" customFormat="false" ht="15" hidden="false" customHeight="false" outlineLevel="0" collapsed="false">
      <c r="A8" s="21" t="s">
        <v>102</v>
      </c>
      <c r="B8" s="24" t="n">
        <f aca="false">KOKUSAI_四半期!C7</f>
        <v>45261</v>
      </c>
      <c r="C8" s="25" t="n">
        <f aca="false">KOKUSAI_四半期!D7</f>
        <v>540</v>
      </c>
      <c r="D8" s="25" t="n">
        <f aca="false">IF(COUNTIFS(貿易_月次!$A$5:$A$45,"&gt;="&amp;EDATE($B8,-2-$E$3),貿易_月次!$A$5:$A$45,"&lt;="&amp;EDATE($B8,-$E$3))=3,SUMIFS(貿易_月次!$B$5:$B$45,貿易_月次!$A$5:$A$45,"&gt;="&amp;EDATE($B8,-2-$E$3),貿易_月次!$A$5:$A$45,"&lt;="&amp;EDATE($B8,-$E$3)),"")</f>
        <v>9763.32064690062</v>
      </c>
      <c r="E8" s="25" t="n">
        <f aca="false">IF(COUNTIFS(貿易_月次!$A$5:$A$45,"&gt;="&amp;EDATE($B8,-2-$E$3),貿易_月次!$A$5:$A$45,"&lt;="&amp;EDATE($B8,-$E$3))=3,SUMIFS(貿易_月次!$D$5:$D$45,貿易_月次!$A$5:$A$45,"&gt;="&amp;EDATE($B8,-2-$E$3),貿易_月次!$A$5:$A$45,"&lt;="&amp;EDATE($B8,-$E$3)),"")</f>
        <v>5178.95181851938</v>
      </c>
      <c r="F8" s="25" t="n">
        <f aca="false">IF(COUNTIFS(貿易_月次!$A$5:$A$45,"&gt;="&amp;EDATE($B8,-2-$E$3),貿易_月次!$A$5:$A$45,"&lt;="&amp;EDATE($B8,-$E$3))=3,SUMIFS(貿易_月次!$I$5:$I$45,貿易_月次!$A$5:$A$45,"&gt;="&amp;EDATE($B8,-2-$E$3),貿易_月次!$A$5:$A$45,"&lt;="&amp;EDATE($B8,-$E$3)),"")</f>
        <v>4584.36882838124</v>
      </c>
      <c r="G8" s="25" t="n">
        <f aca="false">IF(COUNTIFS(貿易_月次!$A$5:$A$45,"&gt;="&amp;EDATE($B8,-2-$E$3),貿易_月次!$A$5:$A$45,"&lt;="&amp;EDATE($B8,-$E$3))=3,SUMIFS(貿易_月次!$E$5:$E$45,貿易_月次!$A$5:$A$45,"&gt;="&amp;EDATE($B8,-2-$E$3),貿易_月次!$A$5:$A$45,"&lt;="&amp;EDATE($B8,-$E$3)),"")</f>
        <v>1149.28969085975</v>
      </c>
      <c r="H8" s="26" t="n">
        <f aca="false">IF(AND(ISNUMBER(C8),ISNUMBER(D8)),C8/D8,"")</f>
        <v>0.0553090510421189</v>
      </c>
      <c r="I8" s="25" t="n">
        <f aca="false">IF(COUNTIFS(貿易_月次!$A$5:$A$45,"&gt;="&amp;EDATE($B8,-2-$J$3),貿易_月次!$A$5:$A$45,"&lt;="&amp;EDATE($B8,-$J$3))=3,SUMIFS(貿易_月次!$B$5:$B$45,貿易_月次!$A$5:$A$45,"&gt;="&amp;EDATE($B8,-2-$J$3),貿易_月次!$A$5:$A$45,"&lt;="&amp;EDATE($B8,-$J$3)),"")</f>
        <v>8835.76805461984</v>
      </c>
      <c r="J8" s="25" t="n">
        <f aca="false">IF(COUNTIFS(貿易_月次!$A$5:$A$45,"&gt;="&amp;EDATE($B8,-2-$J$3),貿易_月次!$A$5:$A$45,"&lt;="&amp;EDATE($B8,-$J$3))=3,SUMIFS(貿易_月次!$D$5:$D$45,貿易_月次!$A$5:$A$45,"&gt;="&amp;EDATE($B8,-2-$J$3),貿易_月次!$A$5:$A$45,"&lt;="&amp;EDATE($B8,-$J$3)),"")</f>
        <v>4621.50379992838</v>
      </c>
      <c r="K8" s="25" t="n">
        <f aca="false">IF(COUNTIFS(貿易_月次!$A$5:$A$45,"&gt;="&amp;EDATE($B8,-2-$J$3),貿易_月次!$A$5:$A$45,"&lt;="&amp;EDATE($B8,-$J$3))=3,SUMIFS(貿易_月次!$I$5:$I$45,貿易_月次!$A$5:$A$45,"&gt;="&amp;EDATE($B8,-2-$J$3),貿易_月次!$A$5:$A$45,"&lt;="&amp;EDATE($B8,-$J$3)),"")</f>
        <v>4214.26425469145</v>
      </c>
      <c r="L8" s="25" t="n">
        <f aca="false">IF(COUNTIFS(貿易_月次!$A$5:$A$45,"&gt;="&amp;EDATE($B8,-2-$J$3),貿易_月次!$A$5:$A$45,"&lt;="&amp;EDATE($B8,-$J$3))=3,SUMIFS(貿易_月次!$E$5:$E$45,貿易_月次!$A$5:$A$45,"&gt;="&amp;EDATE($B8,-2-$J$3),貿易_月次!$A$5:$A$45,"&lt;="&amp;EDATE($B8,-$J$3)),"")</f>
        <v>1018.92724308336</v>
      </c>
      <c r="M8" s="26" t="n">
        <f aca="false">IF(AND(ISNUMBER(C8),ISNUMBER(I8)),C8/I8,"")</f>
        <v>0.0611152303525733</v>
      </c>
    </row>
    <row r="9" customFormat="false" ht="15" hidden="false" customHeight="false" outlineLevel="0" collapsed="false">
      <c r="A9" s="21" t="s">
        <v>104</v>
      </c>
      <c r="B9" s="24" t="n">
        <f aca="false">KOKUSAI_四半期!C8</f>
        <v>45352</v>
      </c>
      <c r="C9" s="25" t="n">
        <f aca="false">KOKUSAI_四半期!D8</f>
        <v>492</v>
      </c>
      <c r="D9" s="25" t="n">
        <f aca="false">IF(COUNTIFS(貿易_月次!$A$5:$A$45,"&gt;="&amp;EDATE($B9,-2-$E$3),貿易_月次!$A$5:$A$45,"&lt;="&amp;EDATE($B9,-$E$3))=3,SUMIFS(貿易_月次!$B$5:$B$45,貿易_月次!$A$5:$A$45,"&gt;="&amp;EDATE($B9,-2-$E$3),貿易_月次!$A$5:$A$45,"&lt;="&amp;EDATE($B9,-$E$3)),"")</f>
        <v>10364.9367260465</v>
      </c>
      <c r="E9" s="25" t="n">
        <f aca="false">IF(COUNTIFS(貿易_月次!$A$5:$A$45,"&gt;="&amp;EDATE($B9,-2-$E$3),貿易_月次!$A$5:$A$45,"&lt;="&amp;EDATE($B9,-$E$3))=3,SUMIFS(貿易_月次!$D$5:$D$45,貿易_月次!$A$5:$A$45,"&gt;="&amp;EDATE($B9,-2-$E$3),貿易_月次!$A$5:$A$45,"&lt;="&amp;EDATE($B9,-$E$3)),"")</f>
        <v>5212.60184326134</v>
      </c>
      <c r="F9" s="25" t="n">
        <f aca="false">IF(COUNTIFS(貿易_月次!$A$5:$A$45,"&gt;="&amp;EDATE($B9,-2-$E$3),貿易_月次!$A$5:$A$45,"&lt;="&amp;EDATE($B9,-$E$3))=3,SUMIFS(貿易_月次!$I$5:$I$45,貿易_月次!$A$5:$A$45,"&gt;="&amp;EDATE($B9,-2-$E$3),貿易_月次!$A$5:$A$45,"&lt;="&amp;EDATE($B9,-$E$3)),"")</f>
        <v>5152.33488278517</v>
      </c>
      <c r="G9" s="25" t="n">
        <f aca="false">IF(COUNTIFS(貿易_月次!$A$5:$A$45,"&gt;="&amp;EDATE($B9,-2-$E$3),貿易_月次!$A$5:$A$45,"&lt;="&amp;EDATE($B9,-$E$3))=3,SUMIFS(貿易_月次!$E$5:$E$45,貿易_月次!$A$5:$A$45,"&gt;="&amp;EDATE($B9,-2-$E$3),貿易_月次!$A$5:$A$45,"&lt;="&amp;EDATE($B9,-$E$3)),"")</f>
        <v>1689.62123283792</v>
      </c>
      <c r="H9" s="26" t="n">
        <f aca="false">IF(AND(ISNUMBER(C9),ISNUMBER(D9)),C9/D9,"")</f>
        <v>0.0474677282653961</v>
      </c>
      <c r="I9" s="25" t="n">
        <f aca="false">IF(COUNTIFS(貿易_月次!$A$5:$A$45,"&gt;="&amp;EDATE($B9,-2-$J$3),貿易_月次!$A$5:$A$45,"&lt;="&amp;EDATE($B9,-$J$3))=3,SUMIFS(貿易_月次!$B$5:$B$45,貿易_月次!$A$5:$A$45,"&gt;="&amp;EDATE($B9,-2-$J$3),貿易_月次!$A$5:$A$45,"&lt;="&amp;EDATE($B9,-$J$3)),"")</f>
        <v>10086.7980157277</v>
      </c>
      <c r="J9" s="25" t="n">
        <f aca="false">IF(COUNTIFS(貿易_月次!$A$5:$A$45,"&gt;="&amp;EDATE($B9,-2-$J$3),貿易_月次!$A$5:$A$45,"&lt;="&amp;EDATE($B9,-$J$3))=3,SUMIFS(貿易_月次!$D$5:$D$45,貿易_月次!$A$5:$A$45,"&gt;="&amp;EDATE($B9,-2-$J$3),貿易_月次!$A$5:$A$45,"&lt;="&amp;EDATE($B9,-$J$3)),"")</f>
        <v>5120.98353968991</v>
      </c>
      <c r="K9" s="25" t="n">
        <f aca="false">IF(COUNTIFS(貿易_月次!$A$5:$A$45,"&gt;="&amp;EDATE($B9,-2-$J$3),貿易_月次!$A$5:$A$45,"&lt;="&amp;EDATE($B9,-$J$3))=3,SUMIFS(貿易_月次!$I$5:$I$45,貿易_月次!$A$5:$A$45,"&gt;="&amp;EDATE($B9,-2-$J$3),貿易_月次!$A$5:$A$45,"&lt;="&amp;EDATE($B9,-$J$3)),"")</f>
        <v>4965.81447603782</v>
      </c>
      <c r="L9" s="25" t="n">
        <f aca="false">IF(COUNTIFS(貿易_月次!$A$5:$A$45,"&gt;="&amp;EDATE($B9,-2-$J$3),貿易_月次!$A$5:$A$45,"&lt;="&amp;EDATE($B9,-$J$3))=3,SUMIFS(貿易_月次!$E$5:$E$45,貿易_月次!$A$5:$A$45,"&gt;="&amp;EDATE($B9,-2-$J$3),貿易_月次!$A$5:$A$45,"&lt;="&amp;EDATE($B9,-$J$3)),"")</f>
        <v>1663.12325653153</v>
      </c>
      <c r="M9" s="26" t="n">
        <f aca="false">IF(AND(ISNUMBER(C9),ISNUMBER(I9)),C9/I9,"")</f>
        <v>0.0487766285428591</v>
      </c>
    </row>
    <row r="10" customFormat="false" ht="15" hidden="false" customHeight="false" outlineLevel="0" collapsed="false">
      <c r="A10" s="21" t="s">
        <v>106</v>
      </c>
      <c r="B10" s="24" t="n">
        <f aca="false">KOKUSAI_四半期!C9</f>
        <v>45444</v>
      </c>
      <c r="C10" s="25" t="n">
        <f aca="false">KOKUSAI_四半期!D9</f>
        <v>652</v>
      </c>
      <c r="D10" s="25" t="n">
        <f aca="false">IF(COUNTIFS(貿易_月次!$A$5:$A$45,"&gt;="&amp;EDATE($B10,-2-$E$3),貿易_月次!$A$5:$A$45,"&lt;="&amp;EDATE($B10,-$E$3))=3,SUMIFS(貿易_月次!$B$5:$B$45,貿易_月次!$A$5:$A$45,"&gt;="&amp;EDATE($B10,-2-$E$3),貿易_月次!$A$5:$A$45,"&lt;="&amp;EDATE($B10,-$E$3)),"")</f>
        <v>11188.0977915377</v>
      </c>
      <c r="E10" s="25" t="n">
        <f aca="false">IF(COUNTIFS(貿易_月次!$A$5:$A$45,"&gt;="&amp;EDATE($B10,-2-$E$3),貿易_月次!$A$5:$A$45,"&lt;="&amp;EDATE($B10,-$E$3))=3,SUMIFS(貿易_月次!$D$5:$D$45,貿易_月次!$A$5:$A$45,"&gt;="&amp;EDATE($B10,-2-$E$3),貿易_月次!$A$5:$A$45,"&lt;="&amp;EDATE($B10,-$E$3)),"")</f>
        <v>5699.07215836526</v>
      </c>
      <c r="F10" s="25" t="n">
        <f aca="false">IF(COUNTIFS(貿易_月次!$A$5:$A$45,"&gt;="&amp;EDATE($B10,-2-$E$3),貿易_月次!$A$5:$A$45,"&lt;="&amp;EDATE($B10,-$E$3))=3,SUMIFS(貿易_月次!$I$5:$I$45,貿易_月次!$A$5:$A$45,"&gt;="&amp;EDATE($B10,-2-$E$3),貿易_月次!$A$5:$A$45,"&lt;="&amp;EDATE($B10,-$E$3)),"")</f>
        <v>5489.02563317241</v>
      </c>
      <c r="G10" s="25" t="n">
        <f aca="false">IF(COUNTIFS(貿易_月次!$A$5:$A$45,"&gt;="&amp;EDATE($B10,-2-$E$3),貿易_月次!$A$5:$A$45,"&lt;="&amp;EDATE($B10,-$E$3))=3,SUMIFS(貿易_月次!$E$5:$E$45,貿易_月次!$A$5:$A$45,"&gt;="&amp;EDATE($B10,-2-$E$3),貿易_月次!$A$5:$A$45,"&lt;="&amp;EDATE($B10,-$E$3)),"")</f>
        <v>1384.35230118443</v>
      </c>
      <c r="H10" s="26" t="n">
        <f aca="false">IF(AND(ISNUMBER(C10),ISNUMBER(D10)),C10/D10,"")</f>
        <v>0.0582762156845959</v>
      </c>
      <c r="I10" s="25" t="n">
        <f aca="false">IF(COUNTIFS(貿易_月次!$A$5:$A$45,"&gt;="&amp;EDATE($B10,-2-$J$3),貿易_月次!$A$5:$A$45,"&lt;="&amp;EDATE($B10,-$J$3))=3,SUMIFS(貿易_月次!$B$5:$B$45,貿易_月次!$A$5:$A$45,"&gt;="&amp;EDATE($B10,-2-$J$3),貿易_月次!$A$5:$A$45,"&lt;="&amp;EDATE($B10,-$J$3)),"")</f>
        <v>11565.6524512235</v>
      </c>
      <c r="J10" s="25" t="n">
        <f aca="false">IF(COUNTIFS(貿易_月次!$A$5:$A$45,"&gt;="&amp;EDATE($B10,-2-$J$3),貿易_月次!$A$5:$A$45,"&lt;="&amp;EDATE($B10,-$J$3))=3,SUMIFS(貿易_月次!$D$5:$D$45,貿易_月次!$A$5:$A$45,"&gt;="&amp;EDATE($B10,-2-$J$3),貿易_月次!$A$5:$A$45,"&lt;="&amp;EDATE($B10,-$J$3)),"")</f>
        <v>6089.00224765098</v>
      </c>
      <c r="K10" s="25" t="n">
        <f aca="false">IF(COUNTIFS(貿易_月次!$A$5:$A$45,"&gt;="&amp;EDATE($B10,-2-$J$3),貿易_月次!$A$5:$A$45,"&lt;="&amp;EDATE($B10,-$J$3))=3,SUMIFS(貿易_月次!$I$5:$I$45,貿易_月次!$A$5:$A$45,"&gt;="&amp;EDATE($B10,-2-$J$3),貿易_月次!$A$5:$A$45,"&lt;="&amp;EDATE($B10,-$J$3)),"")</f>
        <v>5476.65020357256</v>
      </c>
      <c r="L10" s="25" t="n">
        <f aca="false">IF(COUNTIFS(貿易_月次!$A$5:$A$45,"&gt;="&amp;EDATE($B10,-2-$J$3),貿易_月次!$A$5:$A$45,"&lt;="&amp;EDATE($B10,-$J$3))=3,SUMIFS(貿易_月次!$E$5:$E$45,貿易_月次!$A$5:$A$45,"&gt;="&amp;EDATE($B10,-2-$J$3),貿易_月次!$A$5:$A$45,"&lt;="&amp;EDATE($B10,-$J$3)),"")</f>
        <v>1444.20369091253</v>
      </c>
      <c r="M10" s="26" t="n">
        <f aca="false">IF(AND(ISNUMBER(C10),ISNUMBER(I10)),C10/I10,"")</f>
        <v>0.0563738191813835</v>
      </c>
    </row>
    <row r="11" customFormat="false" ht="15" hidden="false" customHeight="false" outlineLevel="0" collapsed="false">
      <c r="A11" s="21" t="s">
        <v>108</v>
      </c>
      <c r="B11" s="24" t="n">
        <f aca="false">KOKUSAI_四半期!C10</f>
        <v>45536</v>
      </c>
      <c r="C11" s="25" t="n">
        <f aca="false">KOKUSAI_四半期!D10</f>
        <v>493</v>
      </c>
      <c r="D11" s="25" t="n">
        <f aca="false">IF(COUNTIFS(貿易_月次!$A$5:$A$45,"&gt;="&amp;EDATE($B11,-2-$E$3),貿易_月次!$A$5:$A$45,"&lt;="&amp;EDATE($B11,-$E$3))=3,SUMIFS(貿易_月次!$B$5:$B$45,貿易_月次!$A$5:$A$45,"&gt;="&amp;EDATE($B11,-2-$E$3),貿易_月次!$A$5:$A$45,"&lt;="&amp;EDATE($B11,-$E$3)),"")</f>
        <v>11084.95</v>
      </c>
      <c r="E11" s="25" t="n">
        <f aca="false">IF(COUNTIFS(貿易_月次!$A$5:$A$45,"&gt;="&amp;EDATE($B11,-2-$E$3),貿易_月次!$A$5:$A$45,"&lt;="&amp;EDATE($B11,-$E$3))=3,SUMIFS(貿易_月次!$D$5:$D$45,貿易_月次!$A$5:$A$45,"&gt;="&amp;EDATE($B11,-2-$E$3),貿易_月次!$A$5:$A$45,"&lt;="&amp;EDATE($B11,-$E$3)),"")</f>
        <v>5384.56</v>
      </c>
      <c r="F11" s="25" t="n">
        <f aca="false">IF(COUNTIFS(貿易_月次!$A$5:$A$45,"&gt;="&amp;EDATE($B11,-2-$E$3),貿易_月次!$A$5:$A$45,"&lt;="&amp;EDATE($B11,-$E$3))=3,SUMIFS(貿易_月次!$I$5:$I$45,貿易_月次!$A$5:$A$45,"&gt;="&amp;EDATE($B11,-2-$E$3),貿易_月次!$A$5:$A$45,"&lt;="&amp;EDATE($B11,-$E$3)),"")</f>
        <v>5700.39</v>
      </c>
      <c r="G11" s="25" t="n">
        <f aca="false">IF(COUNTIFS(貿易_月次!$A$5:$A$45,"&gt;="&amp;EDATE($B11,-2-$E$3),貿易_月次!$A$5:$A$45,"&lt;="&amp;EDATE($B11,-$E$3))=3,SUMIFS(貿易_月次!$E$5:$E$45,貿易_月次!$A$5:$A$45,"&gt;="&amp;EDATE($B11,-2-$E$3),貿易_月次!$A$5:$A$45,"&lt;="&amp;EDATE($B11,-$E$3)),"")</f>
        <v>1441.57</v>
      </c>
      <c r="H11" s="26" t="n">
        <f aca="false">IF(AND(ISNUMBER(C11),ISNUMBER(D11)),C11/D11,"")</f>
        <v>0.0444747157181584</v>
      </c>
      <c r="I11" s="25" t="n">
        <f aca="false">IF(COUNTIFS(貿易_月次!$A$5:$A$45,"&gt;="&amp;EDATE($B11,-2-$J$3),貿易_月次!$A$5:$A$45,"&lt;="&amp;EDATE($B11,-$J$3))=3,SUMIFS(貿易_月次!$B$5:$B$45,貿易_月次!$A$5:$A$45,"&gt;="&amp;EDATE($B11,-2-$J$3),貿易_月次!$A$5:$A$45,"&lt;="&amp;EDATE($B11,-$J$3)),"")</f>
        <v>11086.34</v>
      </c>
      <c r="J11" s="25" t="n">
        <f aca="false">IF(COUNTIFS(貿易_月次!$A$5:$A$45,"&gt;="&amp;EDATE($B11,-2-$J$3),貿易_月次!$A$5:$A$45,"&lt;="&amp;EDATE($B11,-$J$3))=3,SUMIFS(貿易_月次!$D$5:$D$45,貿易_月次!$A$5:$A$45,"&gt;="&amp;EDATE($B11,-2-$J$3),貿易_月次!$A$5:$A$45,"&lt;="&amp;EDATE($B11,-$J$3)),"")</f>
        <v>5363.69</v>
      </c>
      <c r="K11" s="25" t="n">
        <f aca="false">IF(COUNTIFS(貿易_月次!$A$5:$A$45,"&gt;="&amp;EDATE($B11,-2-$J$3),貿易_月次!$A$5:$A$45,"&lt;="&amp;EDATE($B11,-$J$3))=3,SUMIFS(貿易_月次!$I$5:$I$45,貿易_月次!$A$5:$A$45,"&gt;="&amp;EDATE($B11,-2-$J$3),貿易_月次!$A$5:$A$45,"&lt;="&amp;EDATE($B11,-$J$3)),"")</f>
        <v>5722.65</v>
      </c>
      <c r="L11" s="25" t="n">
        <f aca="false">IF(COUNTIFS(貿易_月次!$A$5:$A$45,"&gt;="&amp;EDATE($B11,-2-$J$3),貿易_月次!$A$5:$A$45,"&lt;="&amp;EDATE($B11,-$J$3))=3,SUMIFS(貿易_月次!$E$5:$E$45,貿易_月次!$A$5:$A$45,"&gt;="&amp;EDATE($B11,-2-$J$3),貿易_月次!$A$5:$A$45,"&lt;="&amp;EDATE($B11,-$J$3)),"")</f>
        <v>1504.2</v>
      </c>
      <c r="M11" s="26" t="n">
        <f aca="false">IF(AND(ISNUMBER(C11),ISNUMBER(I11)),C11/I11,"")</f>
        <v>0.0444691394996004</v>
      </c>
    </row>
    <row r="12" customFormat="false" ht="15" hidden="false" customHeight="false" outlineLevel="0" collapsed="false">
      <c r="A12" s="21" t="s">
        <v>110</v>
      </c>
      <c r="B12" s="24" t="n">
        <f aca="false">KOKUSAI_四半期!C11</f>
        <v>45627</v>
      </c>
      <c r="C12" s="25" t="n">
        <f aca="false">KOKUSAI_四半期!D11</f>
        <v>601</v>
      </c>
      <c r="D12" s="25" t="n">
        <f aca="false">IF(COUNTIFS(貿易_月次!$A$5:$A$45,"&gt;="&amp;EDATE($B12,-2-$E$3),貿易_月次!$A$5:$A$45,"&lt;="&amp;EDATE($B12,-$E$3))=3,SUMIFS(貿易_月次!$B$5:$B$45,貿易_月次!$A$5:$A$45,"&gt;="&amp;EDATE($B12,-2-$E$3),貿易_月次!$A$5:$A$45,"&lt;="&amp;EDATE($B12,-$E$3)),"")</f>
        <v>12322.19</v>
      </c>
      <c r="E12" s="25" t="n">
        <f aca="false">IF(COUNTIFS(貿易_月次!$A$5:$A$45,"&gt;="&amp;EDATE($B12,-2-$E$3),貿易_月次!$A$5:$A$45,"&lt;="&amp;EDATE($B12,-$E$3))=3,SUMIFS(貿易_月次!$D$5:$D$45,貿易_月次!$A$5:$A$45,"&gt;="&amp;EDATE($B12,-2-$E$3),貿易_月次!$A$5:$A$45,"&lt;="&amp;EDATE($B12,-$E$3)),"")</f>
        <v>5474.59</v>
      </c>
      <c r="F12" s="25" t="n">
        <f aca="false">IF(COUNTIFS(貿易_月次!$A$5:$A$45,"&gt;="&amp;EDATE($B12,-2-$E$3),貿易_月次!$A$5:$A$45,"&lt;="&amp;EDATE($B12,-$E$3))=3,SUMIFS(貿易_月次!$I$5:$I$45,貿易_月次!$A$5:$A$45,"&gt;="&amp;EDATE($B12,-2-$E$3),貿易_月次!$A$5:$A$45,"&lt;="&amp;EDATE($B12,-$E$3)),"")</f>
        <v>6847.6</v>
      </c>
      <c r="G12" s="25" t="n">
        <f aca="false">IF(COUNTIFS(貿易_月次!$A$5:$A$45,"&gt;="&amp;EDATE($B12,-2-$E$3),貿易_月次!$A$5:$A$45,"&lt;="&amp;EDATE($B12,-$E$3))=3,SUMIFS(貿易_月次!$E$5:$E$45,貿易_月次!$A$5:$A$45,"&gt;="&amp;EDATE($B12,-2-$E$3),貿易_月次!$A$5:$A$45,"&lt;="&amp;EDATE($B12,-$E$3)),"")</f>
        <v>1880.28</v>
      </c>
      <c r="H12" s="26" t="n">
        <f aca="false">IF(AND(ISNUMBER(C12),ISNUMBER(D12)),C12/D12,"")</f>
        <v>0.0487737975148898</v>
      </c>
      <c r="I12" s="25" t="n">
        <f aca="false">IF(COUNTIFS(貿易_月次!$A$5:$A$45,"&gt;="&amp;EDATE($B12,-2-$J$3),貿易_月次!$A$5:$A$45,"&lt;="&amp;EDATE($B12,-$J$3))=3,SUMIFS(貿易_月次!$B$5:$B$45,貿易_月次!$A$5:$A$45,"&gt;="&amp;EDATE($B12,-2-$J$3),貿易_月次!$A$5:$A$45,"&lt;="&amp;EDATE($B12,-$J$3)),"")</f>
        <v>11789.85</v>
      </c>
      <c r="J12" s="25" t="n">
        <f aca="false">IF(COUNTIFS(貿易_月次!$A$5:$A$45,"&gt;="&amp;EDATE($B12,-2-$J$3),貿易_月次!$A$5:$A$45,"&lt;="&amp;EDATE($B12,-$J$3))=3,SUMIFS(貿易_月次!$D$5:$D$45,貿易_月次!$A$5:$A$45,"&gt;="&amp;EDATE($B12,-2-$J$3),貿易_月次!$A$5:$A$45,"&lt;="&amp;EDATE($B12,-$J$3)),"")</f>
        <v>5428.46</v>
      </c>
      <c r="K12" s="25" t="n">
        <f aca="false">IF(COUNTIFS(貿易_月次!$A$5:$A$45,"&gt;="&amp;EDATE($B12,-2-$J$3),貿易_月次!$A$5:$A$45,"&lt;="&amp;EDATE($B12,-$J$3))=3,SUMIFS(貿易_月次!$I$5:$I$45,貿易_月次!$A$5:$A$45,"&gt;="&amp;EDATE($B12,-2-$J$3),貿易_月次!$A$5:$A$45,"&lt;="&amp;EDATE($B12,-$J$3)),"")</f>
        <v>6361.39</v>
      </c>
      <c r="L12" s="25" t="n">
        <f aca="false">IF(COUNTIFS(貿易_月次!$A$5:$A$45,"&gt;="&amp;EDATE($B12,-2-$J$3),貿易_月次!$A$5:$A$45,"&lt;="&amp;EDATE($B12,-$J$3))=3,SUMIFS(貿易_月次!$E$5:$E$45,貿易_月次!$A$5:$A$45,"&gt;="&amp;EDATE($B12,-2-$J$3),貿易_月次!$A$5:$A$45,"&lt;="&amp;EDATE($B12,-$J$3)),"")</f>
        <v>1664.89</v>
      </c>
      <c r="M12" s="26" t="n">
        <f aca="false">IF(AND(ISNUMBER(C12),ISNUMBER(I12)),C12/I12,"")</f>
        <v>0.0509760514340725</v>
      </c>
    </row>
    <row r="13" customFormat="false" ht="15" hidden="false" customHeight="false" outlineLevel="0" collapsed="false">
      <c r="A13" s="21" t="s">
        <v>112</v>
      </c>
      <c r="B13" s="24" t="n">
        <f aca="false">KOKUSAI_四半期!C12</f>
        <v>45717</v>
      </c>
      <c r="C13" s="25" t="n">
        <f aca="false">KOKUSAI_四半期!D12</f>
        <v>643</v>
      </c>
      <c r="D13" s="25" t="n">
        <f aca="false">IF(COUNTIFS(貿易_月次!$A$5:$A$45,"&gt;="&amp;EDATE($B13,-2-$E$3),貿易_月次!$A$5:$A$45,"&lt;="&amp;EDATE($B13,-$E$3))=3,SUMIFS(貿易_月次!$B$5:$B$45,貿易_月次!$A$5:$A$45,"&gt;="&amp;EDATE($B13,-2-$E$3),貿易_月次!$A$5:$A$45,"&lt;="&amp;EDATE($B13,-$E$3)),"")</f>
        <v>11830.92</v>
      </c>
      <c r="E13" s="25" t="n">
        <f aca="false">IF(COUNTIFS(貿易_月次!$A$5:$A$45,"&gt;="&amp;EDATE($B13,-2-$E$3),貿易_月次!$A$5:$A$45,"&lt;="&amp;EDATE($B13,-$E$3))=3,SUMIFS(貿易_月次!$D$5:$D$45,貿易_月次!$A$5:$A$45,"&gt;="&amp;EDATE($B13,-2-$E$3),貿易_月次!$A$5:$A$45,"&lt;="&amp;EDATE($B13,-$E$3)),"")</f>
        <v>4516.59</v>
      </c>
      <c r="F13" s="25" t="n">
        <f aca="false">IF(COUNTIFS(貿易_月次!$A$5:$A$45,"&gt;="&amp;EDATE($B13,-2-$E$3),貿易_月次!$A$5:$A$45,"&lt;="&amp;EDATE($B13,-$E$3))=3,SUMIFS(貿易_月次!$I$5:$I$45,貿易_月次!$A$5:$A$45,"&gt;="&amp;EDATE($B13,-2-$E$3),貿易_月次!$A$5:$A$45,"&lt;="&amp;EDATE($B13,-$E$3)),"")</f>
        <v>7314.33</v>
      </c>
      <c r="G13" s="25" t="n">
        <f aca="false">IF(COUNTIFS(貿易_月次!$A$5:$A$45,"&gt;="&amp;EDATE($B13,-2-$E$3),貿易_月次!$A$5:$A$45,"&lt;="&amp;EDATE($B13,-$E$3))=3,SUMIFS(貿易_月次!$E$5:$E$45,貿易_月次!$A$5:$A$45,"&gt;="&amp;EDATE($B13,-2-$E$3),貿易_月次!$A$5:$A$45,"&lt;="&amp;EDATE($B13,-$E$3)),"")</f>
        <v>2230.5</v>
      </c>
      <c r="H13" s="26" t="n">
        <f aca="false">IF(AND(ISNUMBER(C13),ISNUMBER(D13)),C13/D13,"")</f>
        <v>0.0543491123260068</v>
      </c>
      <c r="I13" s="25" t="n">
        <f aca="false">IF(COUNTIFS(貿易_月次!$A$5:$A$45,"&gt;="&amp;EDATE($B13,-2-$J$3),貿易_月次!$A$5:$A$45,"&lt;="&amp;EDATE($B13,-$J$3))=3,SUMIFS(貿易_月次!$B$5:$B$45,貿易_月次!$A$5:$A$45,"&gt;="&amp;EDATE($B13,-2-$J$3),貿易_月次!$A$5:$A$45,"&lt;="&amp;EDATE($B13,-$J$3)),"")</f>
        <v>11349.33</v>
      </c>
      <c r="J13" s="25" t="n">
        <f aca="false">IF(COUNTIFS(貿易_月次!$A$5:$A$45,"&gt;="&amp;EDATE($B13,-2-$J$3),貿易_月次!$A$5:$A$45,"&lt;="&amp;EDATE($B13,-$J$3))=3,SUMIFS(貿易_月次!$D$5:$D$45,貿易_月次!$A$5:$A$45,"&gt;="&amp;EDATE($B13,-2-$J$3),貿易_月次!$A$5:$A$45,"&lt;="&amp;EDATE($B13,-$J$3)),"")</f>
        <v>4434.5</v>
      </c>
      <c r="K13" s="25" t="n">
        <f aca="false">IF(COUNTIFS(貿易_月次!$A$5:$A$45,"&gt;="&amp;EDATE($B13,-2-$J$3),貿易_月次!$A$5:$A$45,"&lt;="&amp;EDATE($B13,-$J$3))=3,SUMIFS(貿易_月次!$I$5:$I$45,貿易_月次!$A$5:$A$45,"&gt;="&amp;EDATE($B13,-2-$J$3),貿易_月次!$A$5:$A$45,"&lt;="&amp;EDATE($B13,-$J$3)),"")</f>
        <v>6914.83</v>
      </c>
      <c r="L13" s="25" t="n">
        <f aca="false">IF(COUNTIFS(貿易_月次!$A$5:$A$45,"&gt;="&amp;EDATE($B13,-2-$J$3),貿易_月次!$A$5:$A$45,"&lt;="&amp;EDATE($B13,-$J$3))=3,SUMIFS(貿易_月次!$E$5:$E$45,貿易_月次!$A$5:$A$45,"&gt;="&amp;EDATE($B13,-2-$J$3),貿易_月次!$A$5:$A$45,"&lt;="&amp;EDATE($B13,-$J$3)),"")</f>
        <v>1928.22</v>
      </c>
      <c r="M13" s="26" t="n">
        <f aca="false">IF(AND(ISNUMBER(C13),ISNUMBER(I13)),C13/I13,"")</f>
        <v>0.0566553267902158</v>
      </c>
    </row>
    <row r="14" customFormat="false" ht="15" hidden="false" customHeight="false" outlineLevel="0" collapsed="false">
      <c r="A14" s="21" t="s">
        <v>114</v>
      </c>
      <c r="B14" s="24" t="n">
        <f aca="false">KOKUSAI_四半期!C13</f>
        <v>45809</v>
      </c>
      <c r="C14" s="25" t="n">
        <f aca="false">KOKUSAI_四半期!D13</f>
        <v>518</v>
      </c>
      <c r="D14" s="25" t="n">
        <f aca="false">IF(COUNTIFS(貿易_月次!$A$5:$A$45,"&gt;="&amp;EDATE($B14,-2-$E$3),貿易_月次!$A$5:$A$45,"&lt;="&amp;EDATE($B14,-$E$3))=3,SUMIFS(貿易_月次!$B$5:$B$45,貿易_月次!$A$5:$A$45,"&gt;="&amp;EDATE($B14,-2-$E$3),貿易_月次!$A$5:$A$45,"&lt;="&amp;EDATE($B14,-$E$3)),"")</f>
        <v>10932.96</v>
      </c>
      <c r="E14" s="25" t="n">
        <f aca="false">IF(COUNTIFS(貿易_月次!$A$5:$A$45,"&gt;="&amp;EDATE($B14,-2-$E$3),貿易_月次!$A$5:$A$45,"&lt;="&amp;EDATE($B14,-$E$3))=3,SUMIFS(貿易_月次!$D$5:$D$45,貿易_月次!$A$5:$A$45,"&gt;="&amp;EDATE($B14,-2-$E$3),貿易_月次!$A$5:$A$45,"&lt;="&amp;EDATE($B14,-$E$3)),"")</f>
        <v>4741.76</v>
      </c>
      <c r="F14" s="25" t="n">
        <f aca="false">IF(COUNTIFS(貿易_月次!$A$5:$A$45,"&gt;="&amp;EDATE($B14,-2-$E$3),貿易_月次!$A$5:$A$45,"&lt;="&amp;EDATE($B14,-$E$3))=3,SUMIFS(貿易_月次!$I$5:$I$45,貿易_月次!$A$5:$A$45,"&gt;="&amp;EDATE($B14,-2-$E$3),貿易_月次!$A$5:$A$45,"&lt;="&amp;EDATE($B14,-$E$3)),"")</f>
        <v>6191.2</v>
      </c>
      <c r="G14" s="25" t="n">
        <f aca="false">IF(COUNTIFS(貿易_月次!$A$5:$A$45,"&gt;="&amp;EDATE($B14,-2-$E$3),貿易_月次!$A$5:$A$45,"&lt;="&amp;EDATE($B14,-$E$3))=3,SUMIFS(貿易_月次!$E$5:$E$45,貿易_月次!$A$5:$A$45,"&gt;="&amp;EDATE($B14,-2-$E$3),貿易_月次!$A$5:$A$45,"&lt;="&amp;EDATE($B14,-$E$3)),"")</f>
        <v>1532.19</v>
      </c>
      <c r="H14" s="26" t="n">
        <f aca="false">IF(AND(ISNUMBER(C14),ISNUMBER(D14)),C14/D14,"")</f>
        <v>0.0473796666227627</v>
      </c>
      <c r="I14" s="25" t="n">
        <f aca="false">IF(COUNTIFS(貿易_月次!$A$5:$A$45,"&gt;="&amp;EDATE($B14,-2-$J$3),貿易_月次!$A$5:$A$45,"&lt;="&amp;EDATE($B14,-$J$3))=3,SUMIFS(貿易_月次!$B$5:$B$45,貿易_月次!$A$5:$A$45,"&gt;="&amp;EDATE($B14,-2-$J$3),貿易_月次!$A$5:$A$45,"&lt;="&amp;EDATE($B14,-$J$3)),"")</f>
        <v>12039.36</v>
      </c>
      <c r="J14" s="25" t="n">
        <f aca="false">IF(COUNTIFS(貿易_月次!$A$5:$A$45,"&gt;="&amp;EDATE($B14,-2-$J$3),貿易_月次!$A$5:$A$45,"&lt;="&amp;EDATE($B14,-$J$3))=3,SUMIFS(貿易_月次!$D$5:$D$45,貿易_月次!$A$5:$A$45,"&gt;="&amp;EDATE($B14,-2-$J$3),貿易_月次!$A$5:$A$45,"&lt;="&amp;EDATE($B14,-$J$3)),"")</f>
        <v>5066.85</v>
      </c>
      <c r="K14" s="25" t="n">
        <f aca="false">IF(COUNTIFS(貿易_月次!$A$5:$A$45,"&gt;="&amp;EDATE($B14,-2-$J$3),貿易_月次!$A$5:$A$45,"&lt;="&amp;EDATE($B14,-$J$3))=3,SUMIFS(貿易_月次!$I$5:$I$45,貿易_月次!$A$5:$A$45,"&gt;="&amp;EDATE($B14,-2-$J$3),貿易_月次!$A$5:$A$45,"&lt;="&amp;EDATE($B14,-$J$3)),"")</f>
        <v>6972.51</v>
      </c>
      <c r="L14" s="25" t="n">
        <f aca="false">IF(COUNTIFS(貿易_月次!$A$5:$A$45,"&gt;="&amp;EDATE($B14,-2-$J$3),貿易_月次!$A$5:$A$45,"&lt;="&amp;EDATE($B14,-$J$3))=3,SUMIFS(貿易_月次!$E$5:$E$45,貿易_月次!$A$5:$A$45,"&gt;="&amp;EDATE($B14,-2-$J$3),貿易_月次!$A$5:$A$45,"&lt;="&amp;EDATE($B14,-$J$3)),"")</f>
        <v>1896.87</v>
      </c>
      <c r="M14" s="26" t="n">
        <f aca="false">IF(AND(ISNUMBER(C14),ISNUMBER(I14)),C14/I14,"")</f>
        <v>0.0430255428860006</v>
      </c>
    </row>
    <row r="15" customFormat="false" ht="15" hidden="false" customHeight="false" outlineLevel="0" collapsed="false">
      <c r="A15" s="21" t="s">
        <v>116</v>
      </c>
      <c r="B15" s="24" t="n">
        <f aca="false">KOKUSAI_四半期!C14</f>
        <v>45901</v>
      </c>
      <c r="C15" s="25" t="n">
        <f aca="false">KOKUSAI_四半期!D14</f>
        <v>654</v>
      </c>
      <c r="D15" s="25" t="n">
        <f aca="false">IF(COUNTIFS(貿易_月次!$A$5:$A$45,"&gt;="&amp;EDATE($B15,-2-$E$3),貿易_月次!$A$5:$A$45,"&lt;="&amp;EDATE($B15,-$E$3))=3,SUMIFS(貿易_月次!$B$5:$B$45,貿易_月次!$A$5:$A$45,"&gt;="&amp;EDATE($B15,-2-$E$3),貿易_月次!$A$5:$A$45,"&lt;="&amp;EDATE($B15,-$E$3)),"")</f>
        <v>10848</v>
      </c>
      <c r="E15" s="25" t="n">
        <f aca="false">IF(COUNTIFS(貿易_月次!$A$5:$A$45,"&gt;="&amp;EDATE($B15,-2-$E$3),貿易_月次!$A$5:$A$45,"&lt;="&amp;EDATE($B15,-$E$3))=3,SUMIFS(貿易_月次!$D$5:$D$45,貿易_月次!$A$5:$A$45,"&gt;="&amp;EDATE($B15,-2-$E$3),貿易_月次!$A$5:$A$45,"&lt;="&amp;EDATE($B15,-$E$3)),"")</f>
        <v>5209.01</v>
      </c>
      <c r="F15" s="25" t="n">
        <f aca="false">IF(COUNTIFS(貿易_月次!$A$5:$A$45,"&gt;="&amp;EDATE($B15,-2-$E$3),貿易_月次!$A$5:$A$45,"&lt;="&amp;EDATE($B15,-$E$3))=3,SUMIFS(貿易_月次!$I$5:$I$45,貿易_月次!$A$5:$A$45,"&gt;="&amp;EDATE($B15,-2-$E$3),貿易_月次!$A$5:$A$45,"&lt;="&amp;EDATE($B15,-$E$3)),"")</f>
        <v>5638.99</v>
      </c>
      <c r="G15" s="25" t="n">
        <f aca="false">IF(COUNTIFS(貿易_月次!$A$5:$A$45,"&gt;="&amp;EDATE($B15,-2-$E$3),貿易_月次!$A$5:$A$45,"&lt;="&amp;EDATE($B15,-$E$3))=3,SUMIFS(貿易_月次!$E$5:$E$45,貿易_月次!$A$5:$A$45,"&gt;="&amp;EDATE($B15,-2-$E$3),貿易_月次!$A$5:$A$45,"&lt;="&amp;EDATE($B15,-$E$3)),"")</f>
        <v>1456.58</v>
      </c>
      <c r="H15" s="26" t="n">
        <f aca="false">IF(AND(ISNUMBER(C15),ISNUMBER(D15)),C15/D15,"")</f>
        <v>0.060287610619469</v>
      </c>
      <c r="I15" s="25" t="n">
        <f aca="false">IF(COUNTIFS(貿易_月次!$A$5:$A$45,"&gt;="&amp;EDATE($B15,-2-$J$3),貿易_月次!$A$5:$A$45,"&lt;="&amp;EDATE($B15,-$J$3))=3,SUMIFS(貿易_月次!$B$5:$B$45,貿易_月次!$A$5:$A$45,"&gt;="&amp;EDATE($B15,-2-$J$3),貿易_月次!$A$5:$A$45,"&lt;="&amp;EDATE($B15,-$J$3)),"")</f>
        <v>10881.69</v>
      </c>
      <c r="J15" s="25" t="n">
        <f aca="false">IF(COUNTIFS(貿易_月次!$A$5:$A$45,"&gt;="&amp;EDATE($B15,-2-$J$3),貿易_月次!$A$5:$A$45,"&lt;="&amp;EDATE($B15,-$J$3))=3,SUMIFS(貿易_月次!$D$5:$D$45,貿易_月次!$A$5:$A$45,"&gt;="&amp;EDATE($B15,-2-$J$3),貿易_月次!$A$5:$A$45,"&lt;="&amp;EDATE($B15,-$J$3)),"")</f>
        <v>4988.79</v>
      </c>
      <c r="K15" s="25" t="n">
        <f aca="false">IF(COUNTIFS(貿易_月次!$A$5:$A$45,"&gt;="&amp;EDATE($B15,-2-$J$3),貿易_月次!$A$5:$A$45,"&lt;="&amp;EDATE($B15,-$J$3))=3,SUMIFS(貿易_月次!$I$5:$I$45,貿易_月次!$A$5:$A$45,"&gt;="&amp;EDATE($B15,-2-$J$3),貿易_月次!$A$5:$A$45,"&lt;="&amp;EDATE($B15,-$J$3)),"")</f>
        <v>5892.9</v>
      </c>
      <c r="L15" s="25" t="n">
        <f aca="false">IF(COUNTIFS(貿易_月次!$A$5:$A$45,"&gt;="&amp;EDATE($B15,-2-$J$3),貿易_月次!$A$5:$A$45,"&lt;="&amp;EDATE($B15,-$J$3))=3,SUMIFS(貿易_月次!$E$5:$E$45,貿易_月次!$A$5:$A$45,"&gt;="&amp;EDATE($B15,-2-$J$3),貿易_月次!$A$5:$A$45,"&lt;="&amp;EDATE($B15,-$J$3)),"")</f>
        <v>1557.42</v>
      </c>
      <c r="M15" s="26" t="n">
        <f aca="false">IF(AND(ISNUMBER(C15),ISNUMBER(I15)),C15/I15,"")</f>
        <v>0.0601009585827201</v>
      </c>
    </row>
    <row r="16" customFormat="false" ht="15" hidden="false" customHeight="false" outlineLevel="0" collapsed="false">
      <c r="A16" s="21" t="s">
        <v>118</v>
      </c>
      <c r="B16" s="24" t="n">
        <f aca="false">KOKUSAI_四半期!C15</f>
        <v>45992</v>
      </c>
      <c r="C16" s="25" t="n">
        <f aca="false">KOKUSAI_四半期!D15</f>
        <v>559</v>
      </c>
      <c r="D16" s="25" t="n">
        <f aca="false">IF(COUNTIFS(貿易_月次!$A$5:$A$45,"&gt;="&amp;EDATE($B16,-2-$E$3),貿易_月次!$A$5:$A$45,"&lt;="&amp;EDATE($B16,-$E$3))=3,SUMIFS(貿易_月次!$B$5:$B$45,貿易_月次!$A$5:$A$45,"&gt;="&amp;EDATE($B16,-2-$E$3),貿易_月次!$A$5:$A$45,"&lt;="&amp;EDATE($B16,-$E$3)),"")</f>
        <v>11864.44</v>
      </c>
      <c r="E16" s="25" t="n">
        <f aca="false">IF(COUNTIFS(貿易_月次!$A$5:$A$45,"&gt;="&amp;EDATE($B16,-2-$E$3),貿易_月次!$A$5:$A$45,"&lt;="&amp;EDATE($B16,-$E$3))=3,SUMIFS(貿易_月次!$D$5:$D$45,貿易_月次!$A$5:$A$45,"&gt;="&amp;EDATE($B16,-2-$E$3),貿易_月次!$A$5:$A$45,"&lt;="&amp;EDATE($B16,-$E$3)),"")</f>
        <v>4640.01</v>
      </c>
      <c r="F16" s="25" t="n">
        <f aca="false">IF(COUNTIFS(貿易_月次!$A$5:$A$45,"&gt;="&amp;EDATE($B16,-2-$E$3),貿易_月次!$A$5:$A$45,"&lt;="&amp;EDATE($B16,-$E$3))=3,SUMIFS(貿易_月次!$I$5:$I$45,貿易_月次!$A$5:$A$45,"&gt;="&amp;EDATE($B16,-2-$E$3),貿易_月次!$A$5:$A$45,"&lt;="&amp;EDATE($B16,-$E$3)),"")</f>
        <v>7224.43</v>
      </c>
      <c r="G16" s="25" t="n">
        <f aca="false">IF(COUNTIFS(貿易_月次!$A$5:$A$45,"&gt;="&amp;EDATE($B16,-2-$E$3),貿易_月次!$A$5:$A$45,"&lt;="&amp;EDATE($B16,-$E$3))=3,SUMIFS(貿易_月次!$E$5:$E$45,貿易_月次!$A$5:$A$45,"&gt;="&amp;EDATE($B16,-2-$E$3),貿易_月次!$A$5:$A$45,"&lt;="&amp;EDATE($B16,-$E$3)),"")</f>
        <v>1931.3</v>
      </c>
      <c r="H16" s="26" t="n">
        <f aca="false">IF(AND(ISNUMBER(C16),ISNUMBER(D16)),C16/D16,"")</f>
        <v>0.0471155823620837</v>
      </c>
      <c r="I16" s="25" t="n">
        <f aca="false">IF(COUNTIFS(貿易_月次!$A$5:$A$45,"&gt;="&amp;EDATE($B16,-2-$J$3),貿易_月次!$A$5:$A$45,"&lt;="&amp;EDATE($B16,-$J$3))=3,SUMIFS(貿易_月次!$B$5:$B$45,貿易_月次!$A$5:$A$45,"&gt;="&amp;EDATE($B16,-2-$J$3),貿易_月次!$A$5:$A$45,"&lt;="&amp;EDATE($B16,-$J$3)),"")</f>
        <v>11271.72</v>
      </c>
      <c r="J16" s="25" t="n">
        <f aca="false">IF(COUNTIFS(貿易_月次!$A$5:$A$45,"&gt;="&amp;EDATE($B16,-2-$J$3),貿易_月次!$A$5:$A$45,"&lt;="&amp;EDATE($B16,-$J$3))=3,SUMIFS(貿易_月次!$D$5:$D$45,貿易_月次!$A$5:$A$45,"&gt;="&amp;EDATE($B16,-2-$J$3),貿易_月次!$A$5:$A$45,"&lt;="&amp;EDATE($B16,-$J$3)),"")</f>
        <v>4860.85</v>
      </c>
      <c r="K16" s="25" t="n">
        <f aca="false">IF(COUNTIFS(貿易_月次!$A$5:$A$45,"&gt;="&amp;EDATE($B16,-2-$J$3),貿易_月次!$A$5:$A$45,"&lt;="&amp;EDATE($B16,-$J$3))=3,SUMIFS(貿易_月次!$I$5:$I$45,貿易_月次!$A$5:$A$45,"&gt;="&amp;EDATE($B16,-2-$J$3),貿易_月次!$A$5:$A$45,"&lt;="&amp;EDATE($B16,-$J$3)),"")</f>
        <v>6410.87</v>
      </c>
      <c r="L16" s="25" t="n">
        <f aca="false">IF(COUNTIFS(貿易_月次!$A$5:$A$45,"&gt;="&amp;EDATE($B16,-2-$J$3),貿易_月次!$A$5:$A$45,"&lt;="&amp;EDATE($B16,-$J$3))=3,SUMIFS(貿易_月次!$E$5:$E$45,貿易_月次!$A$5:$A$45,"&gt;="&amp;EDATE($B16,-2-$J$3),貿易_月次!$A$5:$A$45,"&lt;="&amp;EDATE($B16,-$J$3)),"")</f>
        <v>1704.95</v>
      </c>
      <c r="M16" s="26" t="n">
        <f aca="false">IF(AND(ISNUMBER(C16),ISNUMBER(I16)),C16/I16,"")</f>
        <v>0.0495931410645403</v>
      </c>
    </row>
    <row r="17" customFormat="false" ht="15" hidden="false" customHeight="false" outlineLevel="0" collapsed="false">
      <c r="A17" s="21" t="s">
        <v>120</v>
      </c>
      <c r="B17" s="24" t="n">
        <f aca="false">KOKUSAI_四半期!C16</f>
        <v>46082</v>
      </c>
      <c r="C17" s="25" t="n">
        <f aca="false">KOKUSAI_四半期!D16</f>
        <v>620</v>
      </c>
      <c r="D17" s="25" t="n">
        <f aca="false">IF(COUNTIFS(貿易_月次!$A$5:$A$45,"&gt;="&amp;EDATE($B17,-2-$E$3),貿易_月次!$A$5:$A$45,"&lt;="&amp;EDATE($B17,-$E$3))=3,SUMIFS(貿易_月次!$B$5:$B$45,貿易_月次!$A$5:$A$45,"&gt;="&amp;EDATE($B17,-2-$E$3),貿易_月次!$A$5:$A$45,"&lt;="&amp;EDATE($B17,-$E$3)),"")</f>
        <v>11707.45</v>
      </c>
      <c r="E17" s="25" t="n">
        <f aca="false">IF(COUNTIFS(貿易_月次!$A$5:$A$45,"&gt;="&amp;EDATE($B17,-2-$E$3),貿易_月次!$A$5:$A$45,"&lt;="&amp;EDATE($B17,-$E$3))=3,SUMIFS(貿易_月次!$D$5:$D$45,貿易_月次!$A$5:$A$45,"&gt;="&amp;EDATE($B17,-2-$E$3),貿易_月次!$A$5:$A$45,"&lt;="&amp;EDATE($B17,-$E$3)),"")</f>
        <v>4049.63</v>
      </c>
      <c r="F17" s="25" t="n">
        <f aca="false">IF(COUNTIFS(貿易_月次!$A$5:$A$45,"&gt;="&amp;EDATE($B17,-2-$E$3),貿易_月次!$A$5:$A$45,"&lt;="&amp;EDATE($B17,-$E$3))=3,SUMIFS(貿易_月次!$I$5:$I$45,貿易_月次!$A$5:$A$45,"&gt;="&amp;EDATE($B17,-2-$E$3),貿易_月次!$A$5:$A$45,"&lt;="&amp;EDATE($B17,-$E$3)),"")</f>
        <v>7657.82</v>
      </c>
      <c r="G17" s="25" t="n">
        <f aca="false">IF(COUNTIFS(貿易_月次!$A$5:$A$45,"&gt;="&amp;EDATE($B17,-2-$E$3),貿易_月次!$A$5:$A$45,"&lt;="&amp;EDATE($B17,-$E$3))=3,SUMIFS(貿易_月次!$E$5:$E$45,貿易_月次!$A$5:$A$45,"&gt;="&amp;EDATE($B17,-2-$E$3),貿易_月次!$A$5:$A$45,"&lt;="&amp;EDATE($B17,-$E$3)),"")</f>
        <v>2365.89</v>
      </c>
      <c r="H17" s="26" t="n">
        <f aca="false">IF(AND(ISNUMBER(C17),ISNUMBER(D17)),C17/D17,"")</f>
        <v>0.0529577320424174</v>
      </c>
      <c r="I17" s="25" t="n">
        <f aca="false">IF(COUNTIFS(貿易_月次!$A$5:$A$45,"&gt;="&amp;EDATE($B17,-2-$J$3),貿易_月次!$A$5:$A$45,"&lt;="&amp;EDATE($B17,-$J$3))=3,SUMIFS(貿易_月次!$B$5:$B$45,貿易_月次!$A$5:$A$45,"&gt;="&amp;EDATE($B17,-2-$J$3),貿易_月次!$A$5:$A$45,"&lt;="&amp;EDATE($B17,-$J$3)),"")</f>
        <v>10884.39</v>
      </c>
      <c r="J17" s="25" t="n">
        <f aca="false">IF(COUNTIFS(貿易_月次!$A$5:$A$45,"&gt;="&amp;EDATE($B17,-2-$J$3),貿易_月次!$A$5:$A$45,"&lt;="&amp;EDATE($B17,-$J$3))=3,SUMIFS(貿易_月次!$D$5:$D$45,貿易_月次!$A$5:$A$45,"&gt;="&amp;EDATE($B17,-2-$J$3),貿易_月次!$A$5:$A$45,"&lt;="&amp;EDATE($B17,-$J$3)),"")</f>
        <v>3739.92</v>
      </c>
      <c r="K17" s="25" t="n">
        <f aca="false">IF(COUNTIFS(貿易_月次!$A$5:$A$45,"&gt;="&amp;EDATE($B17,-2-$J$3),貿易_月次!$A$5:$A$45,"&lt;="&amp;EDATE($B17,-$J$3))=3,SUMIFS(貿易_月次!$I$5:$I$45,貿易_月次!$A$5:$A$45,"&gt;="&amp;EDATE($B17,-2-$J$3),貿易_月次!$A$5:$A$45,"&lt;="&amp;EDATE($B17,-$J$3)),"")</f>
        <v>7144.47</v>
      </c>
      <c r="L17" s="25" t="n">
        <f aca="false">IF(COUNTIFS(貿易_月次!$A$5:$A$45,"&gt;="&amp;EDATE($B17,-2-$J$3),貿易_月次!$A$5:$A$45,"&lt;="&amp;EDATE($B17,-$J$3))=3,SUMIFS(貿易_月次!$E$5:$E$45,貿易_月次!$A$5:$A$45,"&gt;="&amp;EDATE($B17,-2-$J$3),貿易_月次!$A$5:$A$45,"&lt;="&amp;EDATE($B17,-$J$3)),"")</f>
        <v>2152.83</v>
      </c>
      <c r="M17" s="26" t="n">
        <f aca="false">IF(AND(ISNUMBER(C17),ISNUMBER(I17)),C17/I17,"")</f>
        <v>0.056962310244304</v>
      </c>
    </row>
    <row r="18" customFormat="false" ht="15" hidden="false" customHeight="false" outlineLevel="0" collapsed="false">
      <c r="A18" s="21" t="s">
        <v>122</v>
      </c>
      <c r="B18" s="24" t="n">
        <f aca="false">KOKUSAI_四半期!C17</f>
        <v>46174</v>
      </c>
      <c r="C18" s="25" t="n">
        <f aca="false">KOKUSAI_四半期!D17</f>
        <v>754</v>
      </c>
      <c r="D18" s="25" t="n">
        <f aca="false">IF(COUNTIFS(貿易_月次!$A$5:$A$45,"&gt;="&amp;EDATE($B18,-2-$E$3),貿易_月次!$A$5:$A$45,"&lt;="&amp;EDATE($B18,-$E$3))=3,SUMIFS(貿易_月次!$B$5:$B$45,貿易_月次!$A$5:$A$45,"&gt;="&amp;EDATE($B18,-2-$E$3),貿易_月次!$A$5:$A$45,"&lt;="&amp;EDATE($B18,-$E$3)),"")</f>
        <v>12191.41</v>
      </c>
      <c r="E18" s="25" t="n">
        <f aca="false">IF(COUNTIFS(貿易_月次!$A$5:$A$45,"&gt;="&amp;EDATE($B18,-2-$E$3),貿易_月次!$A$5:$A$45,"&lt;="&amp;EDATE($B18,-$E$3))=3,SUMIFS(貿易_月次!$D$5:$D$45,貿易_月次!$A$5:$A$45,"&gt;="&amp;EDATE($B18,-2-$E$3),貿易_月次!$A$5:$A$45,"&lt;="&amp;EDATE($B18,-$E$3)),"")</f>
        <v>3796.36</v>
      </c>
      <c r="F18" s="25" t="n">
        <f aca="false">IF(COUNTIFS(貿易_月次!$A$5:$A$45,"&gt;="&amp;EDATE($B18,-2-$E$3),貿易_月次!$A$5:$A$45,"&lt;="&amp;EDATE($B18,-$E$3))=3,SUMIFS(貿易_月次!$I$5:$I$45,貿易_月次!$A$5:$A$45,"&gt;="&amp;EDATE($B18,-2-$E$3),貿易_月次!$A$5:$A$45,"&lt;="&amp;EDATE($B18,-$E$3)),"")</f>
        <v>8395.05</v>
      </c>
      <c r="G18" s="25" t="n">
        <f aca="false">IF(COUNTIFS(貿易_月次!$A$5:$A$45,"&gt;="&amp;EDATE($B18,-2-$E$3),貿易_月次!$A$5:$A$45,"&lt;="&amp;EDATE($B18,-$E$3))=3,SUMIFS(貿易_月次!$E$5:$E$45,貿易_月次!$A$5:$A$45,"&gt;="&amp;EDATE($B18,-2-$E$3),貿易_月次!$A$5:$A$45,"&lt;="&amp;EDATE($B18,-$E$3)),"")</f>
        <v>2359.59</v>
      </c>
      <c r="H18" s="26" t="n">
        <f aca="false">IF(AND(ISNUMBER(C18),ISNUMBER(D18)),C18/D18,"")</f>
        <v>0.0618468249365742</v>
      </c>
      <c r="I18" s="25" t="n">
        <f aca="false">IF(COUNTIFS(貿易_月次!$A$5:$A$45,"&gt;="&amp;EDATE($B18,-2-$J$3),貿易_月次!$A$5:$A$45,"&lt;="&amp;EDATE($B18,-$J$3))=3,SUMIFS(貿易_月次!$B$5:$B$45,貿易_月次!$A$5:$A$45,"&gt;="&amp;EDATE($B18,-2-$J$3),貿易_月次!$A$5:$A$45,"&lt;="&amp;EDATE($B18,-$J$3)),"")</f>
        <v>12849.88</v>
      </c>
      <c r="J18" s="25" t="n">
        <f aca="false">IF(COUNTIFS(貿易_月次!$A$5:$A$45,"&gt;="&amp;EDATE($B18,-2-$J$3),貿易_月次!$A$5:$A$45,"&lt;="&amp;EDATE($B18,-$J$3))=3,SUMIFS(貿易_月次!$D$5:$D$45,貿易_月次!$A$5:$A$45,"&gt;="&amp;EDATE($B18,-2-$J$3),貿易_月次!$A$5:$A$45,"&lt;="&amp;EDATE($B18,-$J$3)),"")</f>
        <v>4284.66</v>
      </c>
      <c r="K18" s="25" t="n">
        <f aca="false">IF(COUNTIFS(貿易_月次!$A$5:$A$45,"&gt;="&amp;EDATE($B18,-2-$J$3),貿易_月次!$A$5:$A$45,"&lt;="&amp;EDATE($B18,-$J$3))=3,SUMIFS(貿易_月次!$I$5:$I$45,貿易_月次!$A$5:$A$45,"&gt;="&amp;EDATE($B18,-2-$J$3),貿易_月次!$A$5:$A$45,"&lt;="&amp;EDATE($B18,-$J$3)),"")</f>
        <v>8565.22</v>
      </c>
      <c r="L18" s="25" t="n">
        <f aca="false">IF(COUNTIFS(貿易_月次!$A$5:$A$45,"&gt;="&amp;EDATE($B18,-2-$J$3),貿易_月次!$A$5:$A$45,"&lt;="&amp;EDATE($B18,-$J$3))=3,SUMIFS(貿易_月次!$E$5:$E$45,貿易_月次!$A$5:$A$45,"&gt;="&amp;EDATE($B18,-2-$J$3),貿易_月次!$A$5:$A$45,"&lt;="&amp;EDATE($B18,-$J$3)),"")</f>
        <v>2469.52</v>
      </c>
      <c r="M18" s="26" t="n">
        <f aca="false">IF(AND(ISNUMBER(C18),ISNUMBER(I18)),C18/I18,"")</f>
        <v>0.0586775907634935</v>
      </c>
    </row>
    <row r="19" customFormat="false" ht="15" hidden="false" customHeight="false" outlineLevel="0" collapsed="false">
      <c r="A19" s="21" t="s">
        <v>132</v>
      </c>
      <c r="B19" s="15" t="n">
        <v>46266</v>
      </c>
      <c r="D19" s="25" t="str">
        <f aca="false">IF(COUNTIFS(貿易_月次!$A$5:$A$45,"&gt;="&amp;EDATE($B19,-2-$E$3),貿易_月次!$A$5:$A$45,"&lt;="&amp;EDATE($B19,-$E$3))=3,SUMIFS(貿易_月次!$B$5:$B$45,貿易_月次!$A$5:$A$45,"&gt;="&amp;EDATE($B19,-2-$E$3),貿易_月次!$A$5:$A$45,"&lt;="&amp;EDATE($B19,-$E$3)),"")</f>
        <v/>
      </c>
      <c r="E19" s="25" t="str">
        <f aca="false">IF(COUNTIFS(貿易_月次!$A$5:$A$45,"&gt;="&amp;EDATE($B19,-2-$E$3),貿易_月次!$A$5:$A$45,"&lt;="&amp;EDATE($B19,-$E$3))=3,SUMIFS(貿易_月次!$D$5:$D$45,貿易_月次!$A$5:$A$45,"&gt;="&amp;EDATE($B19,-2-$E$3),貿易_月次!$A$5:$A$45,"&lt;="&amp;EDATE($B19,-$E$3)),"")</f>
        <v/>
      </c>
      <c r="F19" s="25" t="str">
        <f aca="false">IF(COUNTIFS(貿易_月次!$A$5:$A$45,"&gt;="&amp;EDATE($B19,-2-$E$3),貿易_月次!$A$5:$A$45,"&lt;="&amp;EDATE($B19,-$E$3))=3,SUMIFS(貿易_月次!$I$5:$I$45,貿易_月次!$A$5:$A$45,"&gt;="&amp;EDATE($B19,-2-$E$3),貿易_月次!$A$5:$A$45,"&lt;="&amp;EDATE($B19,-$E$3)),"")</f>
        <v/>
      </c>
      <c r="G19" s="25" t="str">
        <f aca="false">IF(COUNTIFS(貿易_月次!$A$5:$A$45,"&gt;="&amp;EDATE($B19,-2-$E$3),貿易_月次!$A$5:$A$45,"&lt;="&amp;EDATE($B19,-$E$3))=3,SUMIFS(貿易_月次!$E$5:$E$45,貿易_月次!$A$5:$A$45,"&gt;="&amp;EDATE($B19,-2-$E$3),貿易_月次!$A$5:$A$45,"&lt;="&amp;EDATE($B19,-$E$3)),"")</f>
        <v/>
      </c>
      <c r="I19" s="25" t="n">
        <f aca="false">IF(COUNTIFS(貿易_月次!$A$5:$A$45,"&gt;="&amp;EDATE($B19,-2-$J$3),貿易_月次!$A$5:$A$45,"&lt;="&amp;EDATE($B19,-$J$3))=3,SUMIFS(貿易_月次!$B$5:$B$45,貿易_月次!$A$5:$A$45,"&gt;="&amp;EDATE($B19,-2-$J$3),貿易_月次!$A$5:$A$45,"&lt;="&amp;EDATE($B19,-$J$3)),"")</f>
        <v>14443.43</v>
      </c>
      <c r="J19" s="25" t="n">
        <f aca="false">IF(COUNTIFS(貿易_月次!$A$5:$A$45,"&gt;="&amp;EDATE($B19,-2-$J$3),貿易_月次!$A$5:$A$45,"&lt;="&amp;EDATE($B19,-$J$3))=3,SUMIFS(貿易_月次!$D$5:$D$45,貿易_月次!$A$5:$A$45,"&gt;="&amp;EDATE($B19,-2-$J$3),貿易_月次!$A$5:$A$45,"&lt;="&amp;EDATE($B19,-$J$3)),"")</f>
        <v>5592</v>
      </c>
      <c r="K19" s="25" t="n">
        <f aca="false">IF(COUNTIFS(貿易_月次!$A$5:$A$45,"&gt;="&amp;EDATE($B19,-2-$J$3),貿易_月次!$A$5:$A$45,"&lt;="&amp;EDATE($B19,-$J$3))=3,SUMIFS(貿易_月次!$I$5:$I$45,貿易_月次!$A$5:$A$45,"&gt;="&amp;EDATE($B19,-2-$J$3),貿易_月次!$A$5:$A$45,"&lt;="&amp;EDATE($B19,-$J$3)),"")</f>
        <v>8851.43</v>
      </c>
      <c r="L19" s="25" t="n">
        <f aca="false">IF(COUNTIFS(貿易_月次!$A$5:$A$45,"&gt;="&amp;EDATE($B19,-2-$J$3),貿易_月次!$A$5:$A$45,"&lt;="&amp;EDATE($B19,-$J$3))=3,SUMIFS(貿易_月次!$E$5:$E$45,貿易_月次!$A$5:$A$45,"&gt;="&amp;EDATE($B19,-2-$J$3),貿易_月次!$A$5:$A$45,"&lt;="&amp;EDATE($B19,-$J$3)),"")</f>
        <v>2462.13</v>
      </c>
    </row>
    <row r="21" customFormat="false" ht="15" hidden="false" customHeight="false" outlineLevel="0" collapsed="false">
      <c r="A21" s="2"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9"/>
    <col collapsed="false" customWidth="true" hidden="false" outlineLevel="0" max="4" min="4" style="0" width="10"/>
    <col collapsed="false" customWidth="true" hidden="false" outlineLevel="0" max="6" min="5" style="0" width="8"/>
    <col collapsed="false" customWidth="true" hidden="false" outlineLevel="0" max="9" min="7" style="0" width="9"/>
    <col collapsed="false" customWidth="true" hidden="false" outlineLevel="0" max="10" min="10" style="0" width="7"/>
    <col collapsed="false" customWidth="true" hidden="false" outlineLevel="0" max="13" min="11" style="0" width="10"/>
    <col collapsed="false" customWidth="true" hidden="false" outlineLevel="0" max="14" min="14" style="0" width="9"/>
    <col collapsed="false" customWidth="true" hidden="false" outlineLevel="0" max="16" min="15" style="0" width="10"/>
    <col collapsed="false" customWidth="true" hidden="false" outlineLevel="0" max="19" min="17" style="0" width="9"/>
    <col collapsed="false" customWidth="true" hidden="false" outlineLevel="0" max="20" min="20" style="0" width="10"/>
  </cols>
  <sheetData>
    <row r="1" customFormat="false" ht="19.4" hidden="false" customHeight="false" outlineLevel="0" collapsed="false">
      <c r="A1" s="13" t="s">
        <v>134</v>
      </c>
    </row>
    <row r="2" customFormat="false" ht="15" hidden="false" customHeight="false" outlineLevel="0" collapsed="false">
      <c r="A2" s="2" t="s">
        <v>135</v>
      </c>
    </row>
    <row r="4" customFormat="false" ht="15" hidden="false" customHeight="false" outlineLevel="0" collapsed="false">
      <c r="A4" s="14" t="s">
        <v>136</v>
      </c>
    </row>
    <row r="5" customFormat="false" ht="29.85" hidden="false" customHeight="false" outlineLevel="0" collapsed="false">
      <c r="A5" s="3" t="s">
        <v>89</v>
      </c>
      <c r="B5" s="3" t="s">
        <v>92</v>
      </c>
      <c r="C5" s="3" t="s">
        <v>137</v>
      </c>
      <c r="D5" s="3" t="s">
        <v>138</v>
      </c>
      <c r="E5" s="3" t="s">
        <v>76</v>
      </c>
      <c r="F5" s="3" t="s">
        <v>78</v>
      </c>
      <c r="G5" s="3" t="s">
        <v>81</v>
      </c>
      <c r="H5" s="3" t="s">
        <v>139</v>
      </c>
      <c r="I5" s="3" t="s">
        <v>140</v>
      </c>
      <c r="J5" s="3" t="s">
        <v>141</v>
      </c>
      <c r="K5" s="3" t="s">
        <v>142</v>
      </c>
      <c r="L5" s="3" t="s">
        <v>143</v>
      </c>
      <c r="M5" s="3" t="s">
        <v>144</v>
      </c>
      <c r="N5" s="3" t="s">
        <v>145</v>
      </c>
      <c r="O5" s="3" t="s">
        <v>146</v>
      </c>
      <c r="P5" s="3" t="s">
        <v>147</v>
      </c>
      <c r="Q5" s="3" t="s">
        <v>148</v>
      </c>
      <c r="R5" s="3" t="s">
        <v>149</v>
      </c>
      <c r="S5" s="3" t="s">
        <v>150</v>
      </c>
      <c r="T5" s="3" t="s">
        <v>151</v>
      </c>
    </row>
    <row r="6" customFormat="false" ht="15" hidden="false" customHeight="false" outlineLevel="0" collapsed="false">
      <c r="A6" s="27" t="str">
        <f aca="false">四半期集計!A7</f>
        <v>24/3期 2Q</v>
      </c>
      <c r="B6" s="25" t="n">
        <f aca="false">KOKUSAI_四半期!D6</f>
        <v>450</v>
      </c>
      <c r="C6" s="25" t="n">
        <f aca="false">KOKUSAI_四半期!H6</f>
        <v>220.5</v>
      </c>
      <c r="D6" s="25" t="n">
        <f aca="false">KOKUSAI_四半期!I6</f>
        <v>229.5</v>
      </c>
      <c r="E6" s="25" t="n">
        <f aca="false">四半期集計!D7</f>
        <v>8236.84108130101</v>
      </c>
      <c r="F6" s="25" t="n">
        <f aca="false">四半期集計!E7</f>
        <v>4185.41359211522</v>
      </c>
      <c r="G6" s="25" t="n">
        <f aca="false">四半期集計!F7</f>
        <v>4051.42748918579</v>
      </c>
      <c r="H6" s="20" t="n">
        <f aca="false">$C$20+$D$20*E6</f>
        <v>437.226724683572</v>
      </c>
      <c r="I6" s="28" t="n">
        <f aca="false">B6-H6</f>
        <v>12.7732753164278</v>
      </c>
      <c r="J6" s="29" t="n">
        <f aca="false">1/COUNT($E$6:$E$17)+(E6-AVERAGE($E$6:$E$17))^2/DEVSQ($E$6:$E$17)</f>
        <v>0.612052902447202</v>
      </c>
      <c r="K6" s="28" t="n">
        <f aca="false">I6/(1-J6)</f>
        <v>32.9253019213256</v>
      </c>
      <c r="L6" s="20" t="n">
        <f aca="false">$C$21+$D$21*F6</f>
        <v>195.176919657155</v>
      </c>
      <c r="M6" s="28" t="n">
        <f aca="false">C6-L6</f>
        <v>25.3230803428451</v>
      </c>
      <c r="N6" s="29" t="n">
        <f aca="false">1/COUNT($F$6:$F$17)+(F6-AVERAGE($F$6:$F$17))^2/DEVSQ($F$6:$F$17)</f>
        <v>0.187466349157698</v>
      </c>
      <c r="O6" s="20" t="n">
        <f aca="false">$C$22+$D$22*G6</f>
        <v>215.690437472265</v>
      </c>
      <c r="P6" s="28" t="n">
        <f aca="false">D6-O6</f>
        <v>13.8095625277348</v>
      </c>
      <c r="Q6" s="29" t="n">
        <f aca="false">1/COUNT($G$6:$G$17)+(G6-AVERAGE($G$6:$G$17))^2/DEVSQ($G$6:$G$17)</f>
        <v>0.322841282347366</v>
      </c>
      <c r="R6" s="20" t="n">
        <f aca="false">L6+O6</f>
        <v>410.86735712942</v>
      </c>
      <c r="S6" s="28" t="n">
        <f aca="false">B6-R6</f>
        <v>39.13264287058</v>
      </c>
      <c r="T6" s="28" t="n">
        <f aca="false">M6/(1-N6)+P6/(1-Q6)</f>
        <v>51.558968391281</v>
      </c>
    </row>
    <row r="7" customFormat="false" ht="15" hidden="false" customHeight="false" outlineLevel="0" collapsed="false">
      <c r="A7" s="27" t="str">
        <f aca="false">四半期集計!A8</f>
        <v>24/3期 3Q</v>
      </c>
      <c r="B7" s="25" t="n">
        <f aca="false">KOKUSAI_四半期!D7</f>
        <v>540</v>
      </c>
      <c r="C7" s="25" t="n">
        <f aca="false">KOKUSAI_四半期!H7</f>
        <v>243</v>
      </c>
      <c r="D7" s="25" t="n">
        <f aca="false">KOKUSAI_四半期!I7</f>
        <v>297</v>
      </c>
      <c r="E7" s="25" t="n">
        <f aca="false">四半期集計!D8</f>
        <v>9763.32064690062</v>
      </c>
      <c r="F7" s="25" t="n">
        <f aca="false">四半期集計!E8</f>
        <v>5178.95181851938</v>
      </c>
      <c r="G7" s="25" t="n">
        <f aca="false">四半期集計!F8</f>
        <v>4584.36882838124</v>
      </c>
      <c r="H7" s="20" t="n">
        <f aca="false">$C$20+$D$20*E7</f>
        <v>516.039496348251</v>
      </c>
      <c r="I7" s="28" t="n">
        <f aca="false">B7-H7</f>
        <v>23.9605036517487</v>
      </c>
      <c r="J7" s="29" t="n">
        <f aca="false">1/COUNT($E$6:$E$17)+(E7-AVERAGE($E$6:$E$17))^2/DEVSQ($E$6:$E$17)</f>
        <v>0.191876370778821</v>
      </c>
      <c r="K7" s="28" t="n">
        <f aca="false">I7/(1-J7)</f>
        <v>29.6495521048437</v>
      </c>
      <c r="L7" s="20" t="n">
        <f aca="false">$C$21+$D$21*F7</f>
        <v>248.48473823468</v>
      </c>
      <c r="M7" s="28" t="n">
        <f aca="false">C7-L7</f>
        <v>-5.48473823467984</v>
      </c>
      <c r="N7" s="29" t="n">
        <f aca="false">1/COUNT($F$6:$F$17)+(F7-AVERAGE($F$6:$F$17))^2/DEVSQ($F$6:$F$17)</f>
        <v>0.111076621309436</v>
      </c>
      <c r="O7" s="20" t="n">
        <f aca="false">$C$22+$D$22*G7</f>
        <v>249.452782394687</v>
      </c>
      <c r="P7" s="28" t="n">
        <f aca="false">D7-O7</f>
        <v>47.5472176053127</v>
      </c>
      <c r="Q7" s="29" t="n">
        <f aca="false">1/COUNT($G$6:$G$17)+(G7-AVERAGE($G$6:$G$17))^2/DEVSQ($G$6:$G$17)</f>
        <v>0.218227103788959</v>
      </c>
      <c r="R7" s="20" t="n">
        <f aca="false">L7+O7</f>
        <v>497.937520629367</v>
      </c>
      <c r="S7" s="28" t="n">
        <f aca="false">B7-R7</f>
        <v>42.0624793706328</v>
      </c>
      <c r="T7" s="28" t="n">
        <f aca="false">M7/(1-N7)+P7/(1-Q7)</f>
        <v>54.6496403455253</v>
      </c>
    </row>
    <row r="8" customFormat="false" ht="15" hidden="false" customHeight="false" outlineLevel="0" collapsed="false">
      <c r="A8" s="27" t="str">
        <f aca="false">四半期集計!A9</f>
        <v>24/3期 4Q</v>
      </c>
      <c r="B8" s="25" t="n">
        <f aca="false">KOKUSAI_四半期!D8</f>
        <v>492</v>
      </c>
      <c r="C8" s="25" t="n">
        <f aca="false">KOKUSAI_四半期!H8</f>
        <v>246</v>
      </c>
      <c r="D8" s="25" t="n">
        <f aca="false">KOKUSAI_四半期!I8</f>
        <v>246</v>
      </c>
      <c r="E8" s="25" t="n">
        <f aca="false">四半期集計!D9</f>
        <v>10364.9367260465</v>
      </c>
      <c r="F8" s="25" t="n">
        <f aca="false">四半期集計!E9</f>
        <v>5212.60184326134</v>
      </c>
      <c r="G8" s="25" t="n">
        <f aca="false">四半期集計!F9</f>
        <v>5152.33488278517</v>
      </c>
      <c r="H8" s="20" t="n">
        <f aca="false">$C$20+$D$20*E8</f>
        <v>547.101183477289</v>
      </c>
      <c r="I8" s="28" t="n">
        <f aca="false">B8-H8</f>
        <v>-55.1011834772887</v>
      </c>
      <c r="J8" s="29" t="n">
        <f aca="false">1/COUNT($E$6:$E$17)+(E8-AVERAGE($E$6:$E$17))^2/DEVSQ($E$6:$E$17)</f>
        <v>0.113168326224927</v>
      </c>
      <c r="K8" s="28" t="n">
        <f aca="false">I8/(1-J8)</f>
        <v>-62.1326291185942</v>
      </c>
      <c r="L8" s="20" t="n">
        <f aca="false">$C$21+$D$21*F8</f>
        <v>250.290214225841</v>
      </c>
      <c r="M8" s="28" t="n">
        <f aca="false">C8-L8</f>
        <v>-4.29021422584103</v>
      </c>
      <c r="N8" s="29" t="n">
        <f aca="false">1/COUNT($F$6:$F$17)+(F8-AVERAGE($F$6:$F$17))^2/DEVSQ($F$6:$F$17)</f>
        <v>0.116871336728093</v>
      </c>
      <c r="O8" s="20" t="n">
        <f aca="false">$C$22+$D$22*G8</f>
        <v>285.433976613851</v>
      </c>
      <c r="P8" s="28" t="n">
        <f aca="false">D8-O8</f>
        <v>-39.4339766138505</v>
      </c>
      <c r="Q8" s="29" t="n">
        <f aca="false">1/COUNT($G$6:$G$17)+(G8-AVERAGE($G$6:$G$17))^2/DEVSQ($G$6:$G$17)</f>
        <v>0.139567191179475</v>
      </c>
      <c r="R8" s="20" t="n">
        <f aca="false">L8+O8</f>
        <v>535.724190839692</v>
      </c>
      <c r="S8" s="28" t="n">
        <f aca="false">B8-R8</f>
        <v>-43.7241908396916</v>
      </c>
      <c r="T8" s="28" t="n">
        <f aca="false">M8/(1-N8)+P8/(1-Q8)</f>
        <v>-50.6883681904453</v>
      </c>
    </row>
    <row r="9" customFormat="false" ht="15" hidden="false" customHeight="false" outlineLevel="0" collapsed="false">
      <c r="A9" s="27" t="str">
        <f aca="false">四半期集計!A10</f>
        <v>25/3期 1Q</v>
      </c>
      <c r="B9" s="25" t="n">
        <f aca="false">KOKUSAI_四半期!D9</f>
        <v>652</v>
      </c>
      <c r="C9" s="25" t="n">
        <f aca="false">KOKUSAI_四半期!H9</f>
        <v>326</v>
      </c>
      <c r="D9" s="25" t="n">
        <f aca="false">KOKUSAI_四半期!I9</f>
        <v>326</v>
      </c>
      <c r="E9" s="25" t="n">
        <f aca="false">四半期集計!D10</f>
        <v>11188.0977915377</v>
      </c>
      <c r="F9" s="25" t="n">
        <f aca="false">四半期集計!E10</f>
        <v>5699.07215836526</v>
      </c>
      <c r="G9" s="25" t="n">
        <f aca="false">四半期集計!F10</f>
        <v>5489.02563317241</v>
      </c>
      <c r="H9" s="20" t="n">
        <f aca="false">$C$20+$D$20*E9</f>
        <v>589.601329931804</v>
      </c>
      <c r="I9" s="28" t="n">
        <f aca="false">B9-H9</f>
        <v>62.3986700681957</v>
      </c>
      <c r="J9" s="29" t="n">
        <f aca="false">1/COUNT($E$6:$E$17)+(E9-AVERAGE($E$6:$E$17))^2/DEVSQ($E$6:$E$17)</f>
        <v>0.085073769774461</v>
      </c>
      <c r="K9" s="28" t="n">
        <f aca="false">I9/(1-J9)</f>
        <v>68.2007663643152</v>
      </c>
      <c r="L9" s="20" t="n">
        <f aca="false">$C$21+$D$21*F9</f>
        <v>276.391546425979</v>
      </c>
      <c r="M9" s="28" t="n">
        <f aca="false">C9-L9</f>
        <v>49.6084535740206</v>
      </c>
      <c r="N9" s="29" t="n">
        <f aca="false">1/COUNT($F$6:$F$17)+(F9-AVERAGE($F$6:$F$17))^2/DEVSQ($F$6:$F$17)</f>
        <v>0.262001947534402</v>
      </c>
      <c r="O9" s="20" t="n">
        <f aca="false">$C$22+$D$22*G9</f>
        <v>306.763658533298</v>
      </c>
      <c r="P9" s="28" t="n">
        <f aca="false">D9-O9</f>
        <v>19.2363414667025</v>
      </c>
      <c r="Q9" s="29" t="n">
        <f aca="false">1/COUNT($G$6:$G$17)+(G9-AVERAGE($G$6:$G$17))^2/DEVSQ($G$6:$G$17)</f>
        <v>0.108929639732888</v>
      </c>
      <c r="R9" s="20" t="n">
        <f aca="false">L9+O9</f>
        <v>583.155204959277</v>
      </c>
      <c r="S9" s="28" t="n">
        <f aca="false">B9-R9</f>
        <v>68.8447950407231</v>
      </c>
      <c r="T9" s="28" t="n">
        <f aca="false">M9/(1-N9)+P9/(1-Q9)</f>
        <v>88.8082082649268</v>
      </c>
    </row>
    <row r="10" customFormat="false" ht="15" hidden="false" customHeight="false" outlineLevel="0" collapsed="false">
      <c r="A10" s="27" t="str">
        <f aca="false">四半期集計!A11</f>
        <v>25/3期 2Q</v>
      </c>
      <c r="B10" s="25" t="n">
        <f aca="false">KOKUSAI_四半期!D10</f>
        <v>493</v>
      </c>
      <c r="C10" s="25" t="n">
        <f aca="false">KOKUSAI_四半期!H10</f>
        <v>216.92</v>
      </c>
      <c r="D10" s="25" t="n">
        <f aca="false">KOKUSAI_四半期!I10</f>
        <v>276.08</v>
      </c>
      <c r="E10" s="25" t="n">
        <f aca="false">四半期集計!D11</f>
        <v>11084.95</v>
      </c>
      <c r="F10" s="25" t="n">
        <f aca="false">四半期集計!E11</f>
        <v>5384.56</v>
      </c>
      <c r="G10" s="25" t="n">
        <f aca="false">四半期集計!F11</f>
        <v>5700.39</v>
      </c>
      <c r="H10" s="20" t="n">
        <f aca="false">$C$20+$D$20*E10</f>
        <v>584.275766769758</v>
      </c>
      <c r="I10" s="28" t="n">
        <f aca="false">B10-H10</f>
        <v>-91.2757667697579</v>
      </c>
      <c r="J10" s="29" t="n">
        <f aca="false">1/COUNT($E$6:$E$17)+(E10-AVERAGE($E$6:$E$17))^2/DEVSQ($E$6:$E$17)</f>
        <v>0.0835537634261172</v>
      </c>
      <c r="K10" s="28" t="n">
        <f aca="false">I10/(1-J10)</f>
        <v>-99.597513882528</v>
      </c>
      <c r="L10" s="20" t="n">
        <f aca="false">$C$21+$D$21*F10</f>
        <v>259.516546921188</v>
      </c>
      <c r="M10" s="28" t="n">
        <f aca="false">C10-L10</f>
        <v>-42.5965469211884</v>
      </c>
      <c r="N10" s="29" t="n">
        <f aca="false">1/COUNT($F$6:$F$17)+(F10-AVERAGE($F$6:$F$17))^2/DEVSQ($F$6:$F$17)</f>
        <v>0.155057246162712</v>
      </c>
      <c r="O10" s="20" t="n">
        <f aca="false">$C$22+$D$22*G10</f>
        <v>320.153793867733</v>
      </c>
      <c r="P10" s="28" t="n">
        <f aca="false">D10-O10</f>
        <v>-44.0737938677333</v>
      </c>
      <c r="Q10" s="29" t="n">
        <f aca="false">1/COUNT($G$6:$G$17)+(G10-AVERAGE($G$6:$G$17))^2/DEVSQ($G$6:$G$17)</f>
        <v>0.0957783073816891</v>
      </c>
      <c r="R10" s="20" t="n">
        <f aca="false">L10+O10</f>
        <v>579.670340788922</v>
      </c>
      <c r="S10" s="28" t="n">
        <f aca="false">B10-R10</f>
        <v>-86.6703407889218</v>
      </c>
      <c r="T10" s="28" t="n">
        <f aca="false">M10/(1-N10)+P10/(1-Q10)</f>
        <v>-99.15577350459</v>
      </c>
    </row>
    <row r="11" customFormat="false" ht="15" hidden="false" customHeight="false" outlineLevel="0" collapsed="false">
      <c r="A11" s="27" t="str">
        <f aca="false">四半期集計!A12</f>
        <v>25/3期 3Q</v>
      </c>
      <c r="B11" s="25" t="n">
        <f aca="false">KOKUSAI_四半期!D11</f>
        <v>601</v>
      </c>
      <c r="C11" s="25" t="n">
        <f aca="false">KOKUSAI_四半期!H11</f>
        <v>240.4</v>
      </c>
      <c r="D11" s="25" t="n">
        <f aca="false">KOKUSAI_四半期!I11</f>
        <v>360.6</v>
      </c>
      <c r="E11" s="25" t="n">
        <f aca="false">四半期集計!D12</f>
        <v>12322.19</v>
      </c>
      <c r="F11" s="25" t="n">
        <f aca="false">四半期集計!E12</f>
        <v>5474.59</v>
      </c>
      <c r="G11" s="25" t="n">
        <f aca="false">四半期集計!F12</f>
        <v>6847.6</v>
      </c>
      <c r="H11" s="20" t="n">
        <f aca="false">$C$20+$D$20*E11</f>
        <v>648.154979968465</v>
      </c>
      <c r="I11" s="28" t="n">
        <f aca="false">B11-H11</f>
        <v>-47.1549799684649</v>
      </c>
      <c r="J11" s="29" t="n">
        <f aca="false">1/COUNT($E$6:$E$17)+(E11-AVERAGE($E$6:$E$17))^2/DEVSQ($E$6:$E$17)</f>
        <v>0.197015393727606</v>
      </c>
      <c r="K11" s="28" t="n">
        <f aca="false">I11/(1-J11)</f>
        <v>-58.7246375585794</v>
      </c>
      <c r="L11" s="20" t="n">
        <f aca="false">$C$21+$D$21*F11</f>
        <v>264.347063532416</v>
      </c>
      <c r="M11" s="28" t="n">
        <f aca="false">C11-L11</f>
        <v>-23.9470635324157</v>
      </c>
      <c r="N11" s="29" t="n">
        <f aca="false">1/COUNT($F$6:$F$17)+(F11-AVERAGE($F$6:$F$17))^2/DEVSQ($F$6:$F$17)</f>
        <v>0.180769538857997</v>
      </c>
      <c r="O11" s="20" t="n">
        <f aca="false">$C$22+$D$22*G11</f>
        <v>392.830647528445</v>
      </c>
      <c r="P11" s="28" t="n">
        <f aca="false">D11-O11</f>
        <v>-32.2306475284454</v>
      </c>
      <c r="Q11" s="29" t="n">
        <f aca="false">1/COUNT($G$6:$G$17)+(G11-AVERAGE($G$6:$G$17))^2/DEVSQ($G$6:$G$17)</f>
        <v>0.106228443443854</v>
      </c>
      <c r="R11" s="20" t="n">
        <f aca="false">L11+O11</f>
        <v>657.177711060861</v>
      </c>
      <c r="S11" s="28" t="n">
        <f aca="false">B11-R11</f>
        <v>-56.1777110608612</v>
      </c>
      <c r="T11" s="28" t="n">
        <f aca="false">M11/(1-N11)+P11/(1-Q11)</f>
        <v>-65.2925615525829</v>
      </c>
    </row>
    <row r="12" customFormat="false" ht="15" hidden="false" customHeight="false" outlineLevel="0" collapsed="false">
      <c r="A12" s="27" t="str">
        <f aca="false">四半期集計!A13</f>
        <v>25/3期 4Q</v>
      </c>
      <c r="B12" s="25" t="n">
        <f aca="false">KOKUSAI_四半期!D12</f>
        <v>643</v>
      </c>
      <c r="C12" s="25" t="n">
        <f aca="false">KOKUSAI_四半期!H12</f>
        <v>263.63</v>
      </c>
      <c r="D12" s="25" t="n">
        <f aca="false">KOKUSAI_四半期!I12</f>
        <v>379.37</v>
      </c>
      <c r="E12" s="25" t="n">
        <f aca="false">四半期集計!D13</f>
        <v>11830.92</v>
      </c>
      <c r="F12" s="25" t="n">
        <f aca="false">四半期集計!E13</f>
        <v>4516.59</v>
      </c>
      <c r="G12" s="25" t="n">
        <f aca="false">四半期集計!F13</f>
        <v>7314.33</v>
      </c>
      <c r="H12" s="20" t="n">
        <f aca="false">$C$20+$D$20*E12</f>
        <v>622.790506569505</v>
      </c>
      <c r="I12" s="28" t="n">
        <f aca="false">B12-H12</f>
        <v>20.2094934304947</v>
      </c>
      <c r="J12" s="29" t="n">
        <f aca="false">1/COUNT($E$6:$E$17)+(E12-AVERAGE($E$6:$E$17))^2/DEVSQ($E$6:$E$17)</f>
        <v>0.127091282762659</v>
      </c>
      <c r="K12" s="28" t="n">
        <f aca="false">I12/(1-J12)</f>
        <v>23.1518978232403</v>
      </c>
      <c r="L12" s="20" t="n">
        <f aca="false">$C$21+$D$21*F12</f>
        <v>212.946031503584</v>
      </c>
      <c r="M12" s="28" t="n">
        <f aca="false">C12-L12</f>
        <v>50.6839684964161</v>
      </c>
      <c r="N12" s="29" t="n">
        <f aca="false">1/COUNT($F$6:$F$17)+(F12-AVERAGE($F$6:$F$17))^2/DEVSQ($F$6:$F$17)</f>
        <v>0.108809134559759</v>
      </c>
      <c r="O12" s="20" t="n">
        <f aca="false">$C$22+$D$22*G12</f>
        <v>422.398440616951</v>
      </c>
      <c r="P12" s="28" t="n">
        <f aca="false">D12-O12</f>
        <v>-43.0284406169507</v>
      </c>
      <c r="Q12" s="29" t="n">
        <f aca="false">1/COUNT($G$6:$G$17)+(G12-AVERAGE($G$6:$G$17))^2/DEVSQ($G$6:$G$17)</f>
        <v>0.150029727228654</v>
      </c>
      <c r="R12" s="20" t="n">
        <f aca="false">L12+O12</f>
        <v>635.344472120535</v>
      </c>
      <c r="S12" s="28" t="n">
        <f aca="false">B12-R12</f>
        <v>7.65552787946535</v>
      </c>
      <c r="T12" s="28" t="n">
        <f aca="false">M12/(1-N12)+P12/(1-Q12)</f>
        <v>6.24871601858506</v>
      </c>
    </row>
    <row r="13" customFormat="false" ht="15" hidden="false" customHeight="false" outlineLevel="0" collapsed="false">
      <c r="A13" s="27" t="str">
        <f aca="false">四半期集計!A14</f>
        <v>26/3期 1Q</v>
      </c>
      <c r="B13" s="25" t="n">
        <f aca="false">KOKUSAI_四半期!D13</f>
        <v>518</v>
      </c>
      <c r="C13" s="25" t="n">
        <f aca="false">KOKUSAI_四半期!H13</f>
        <v>196.84</v>
      </c>
      <c r="D13" s="25" t="n">
        <f aca="false">KOKUSAI_四半期!I13</f>
        <v>321.16</v>
      </c>
      <c r="E13" s="25" t="n">
        <f aca="false">四半期集計!D14</f>
        <v>10932.96</v>
      </c>
      <c r="F13" s="25" t="n">
        <f aca="false">四半期集計!E14</f>
        <v>4741.76</v>
      </c>
      <c r="G13" s="25" t="n">
        <f aca="false">四半期集計!F14</f>
        <v>6191.2</v>
      </c>
      <c r="H13" s="20" t="n">
        <f aca="false">$C$20+$D$20*E13</f>
        <v>576.428460172758</v>
      </c>
      <c r="I13" s="28" t="n">
        <f aca="false">B13-H13</f>
        <v>-58.4284601727584</v>
      </c>
      <c r="J13" s="29" t="n">
        <f aca="false">1/COUNT($E$6:$E$17)+(E13-AVERAGE($E$6:$E$17))^2/DEVSQ($E$6:$E$17)</f>
        <v>0.083945843288191</v>
      </c>
      <c r="K13" s="28" t="n">
        <f aca="false">I13/(1-J13)</f>
        <v>-63.7827575418557</v>
      </c>
      <c r="L13" s="20" t="n">
        <f aca="false">$C$21+$D$21*F13</f>
        <v>225.027420211237</v>
      </c>
      <c r="M13" s="28" t="n">
        <f aca="false">C13-L13</f>
        <v>-28.1874202112374</v>
      </c>
      <c r="N13" s="29" t="n">
        <f aca="false">1/COUNT($F$6:$F$17)+(F13-AVERAGE($F$6:$F$17))^2/DEVSQ($F$6:$F$17)</f>
        <v>0.0857077817262526</v>
      </c>
      <c r="O13" s="20" t="n">
        <f aca="false">$C$22+$D$22*G13</f>
        <v>351.247078048672</v>
      </c>
      <c r="P13" s="28" t="n">
        <f aca="false">D13-O13</f>
        <v>-30.0870780486716</v>
      </c>
      <c r="Q13" s="29" t="n">
        <f aca="false">1/COUNT($G$6:$G$17)+(G13-AVERAGE($G$6:$G$17))^2/DEVSQ($G$6:$G$17)</f>
        <v>0.0833341536706729</v>
      </c>
      <c r="R13" s="20" t="n">
        <f aca="false">L13+O13</f>
        <v>576.274498259909</v>
      </c>
      <c r="S13" s="28" t="n">
        <f aca="false">B13-R13</f>
        <v>-58.274498259909</v>
      </c>
      <c r="T13" s="28" t="n">
        <f aca="false">M13/(1-N13)+P13/(1-Q13)</f>
        <v>-63.6520678764592</v>
      </c>
    </row>
    <row r="14" customFormat="false" ht="15" hidden="false" customHeight="false" outlineLevel="0" collapsed="false">
      <c r="A14" s="27" t="str">
        <f aca="false">四半期集計!A15</f>
        <v>26/3期 2Q</v>
      </c>
      <c r="B14" s="25" t="n">
        <f aca="false">KOKUSAI_四半期!D14</f>
        <v>654</v>
      </c>
      <c r="C14" s="25" t="n">
        <f aca="false">KOKUSAI_四半期!H14</f>
        <v>287.76</v>
      </c>
      <c r="D14" s="25" t="n">
        <f aca="false">KOKUSAI_四半期!I14</f>
        <v>366.24</v>
      </c>
      <c r="E14" s="25" t="n">
        <f aca="false">四半期集計!D15</f>
        <v>10848</v>
      </c>
      <c r="F14" s="25" t="n">
        <f aca="false">四半期集計!E15</f>
        <v>5209.01</v>
      </c>
      <c r="G14" s="25" t="n">
        <f aca="false">四半期集計!F15</f>
        <v>5638.99</v>
      </c>
      <c r="H14" s="20" t="n">
        <f aca="false">$C$20+$D$20*E14</f>
        <v>572.041940214333</v>
      </c>
      <c r="I14" s="28" t="n">
        <f aca="false">B14-H14</f>
        <v>81.9580597856669</v>
      </c>
      <c r="J14" s="29" t="n">
        <f aca="false">1/COUNT($E$6:$E$17)+(E14-AVERAGE($E$6:$E$17))^2/DEVSQ($E$6:$E$17)</f>
        <v>0.0855312906801254</v>
      </c>
      <c r="K14" s="28" t="n">
        <f aca="false">I14/(1-J14)</f>
        <v>89.6236896357255</v>
      </c>
      <c r="L14" s="20" t="n">
        <f aca="false">$C$21+$D$21*F14</f>
        <v>250.097495592732</v>
      </c>
      <c r="M14" s="28" t="n">
        <f aca="false">C14-L14</f>
        <v>37.6625044072681</v>
      </c>
      <c r="N14" s="29" t="n">
        <f aca="false">1/COUNT($F$6:$F$17)+(F14-AVERAGE($F$6:$F$17))^2/DEVSQ($F$6:$F$17)</f>
        <v>0.116226620772194</v>
      </c>
      <c r="O14" s="20" t="n">
        <f aca="false">$C$22+$D$22*G14</f>
        <v>316.264044985865</v>
      </c>
      <c r="P14" s="28" t="n">
        <f aca="false">D14-O14</f>
        <v>49.9759550141346</v>
      </c>
      <c r="Q14" s="29" t="n">
        <f aca="false">1/COUNT($G$6:$G$17)+(G14-AVERAGE($G$6:$G$17))^2/DEVSQ($G$6:$G$17)</f>
        <v>0.0991152403945921</v>
      </c>
      <c r="R14" s="20" t="n">
        <f aca="false">L14+O14</f>
        <v>566.361540578597</v>
      </c>
      <c r="S14" s="28" t="n">
        <f aca="false">B14-R14</f>
        <v>87.6384594214028</v>
      </c>
      <c r="T14" s="28" t="n">
        <f aca="false">M14/(1-N14)+P14/(1-Q14)</f>
        <v>98.089871840669</v>
      </c>
    </row>
    <row r="15" customFormat="false" ht="15" hidden="false" customHeight="false" outlineLevel="0" collapsed="false">
      <c r="A15" s="27" t="str">
        <f aca="false">四半期集計!A16</f>
        <v>26/3期 3Q</v>
      </c>
      <c r="B15" s="25" t="n">
        <f aca="false">KOKUSAI_四半期!D15</f>
        <v>559</v>
      </c>
      <c r="C15" s="25" t="n">
        <f aca="false">KOKUSAI_四半期!H15</f>
        <v>173.29</v>
      </c>
      <c r="D15" s="25" t="n">
        <f aca="false">KOKUSAI_四半期!I15</f>
        <v>385.71</v>
      </c>
      <c r="E15" s="25" t="n">
        <f aca="false">四半期集計!D16</f>
        <v>11864.44</v>
      </c>
      <c r="F15" s="25" t="n">
        <f aca="false">四半期集計!E16</f>
        <v>4640.01</v>
      </c>
      <c r="G15" s="25" t="n">
        <f aca="false">四半期集計!F16</f>
        <v>7224.43</v>
      </c>
      <c r="H15" s="20" t="n">
        <f aca="false">$C$20+$D$20*E15</f>
        <v>624.521158040862</v>
      </c>
      <c r="I15" s="28" t="n">
        <f aca="false">B15-H15</f>
        <v>-65.5211580408615</v>
      </c>
      <c r="J15" s="29" t="n">
        <f aca="false">1/COUNT($E$6:$E$17)+(E15-AVERAGE($E$6:$E$17))^2/DEVSQ($E$6:$E$17)</f>
        <v>0.130820936418362</v>
      </c>
      <c r="K15" s="28" t="n">
        <f aca="false">I15/(1-J15)</f>
        <v>-75.3828075090391</v>
      </c>
      <c r="L15" s="20" t="n">
        <f aca="false">$C$21+$D$21*F15</f>
        <v>219.568072602747</v>
      </c>
      <c r="M15" s="28" t="n">
        <f aca="false">C15-L15</f>
        <v>-46.2780726027472</v>
      </c>
      <c r="N15" s="29" t="n">
        <f aca="false">1/COUNT($F$6:$F$17)+(F15-AVERAGE($F$6:$F$17))^2/DEVSQ($F$6:$F$17)</f>
        <v>0.0931015430563123</v>
      </c>
      <c r="O15" s="20" t="n">
        <f aca="false">$C$22+$D$22*G15</f>
        <v>416.703189403923</v>
      </c>
      <c r="P15" s="28" t="n">
        <f aca="false">D15-O15</f>
        <v>-30.9931894039225</v>
      </c>
      <c r="Q15" s="29" t="n">
        <f aca="false">1/COUNT($G$6:$G$17)+(G15-AVERAGE($G$6:$G$17))^2/DEVSQ($G$6:$G$17)</f>
        <v>0.139814195651716</v>
      </c>
      <c r="R15" s="20" t="n">
        <f aca="false">L15+O15</f>
        <v>636.27126200667</v>
      </c>
      <c r="S15" s="28" t="n">
        <f aca="false">B15-R15</f>
        <v>-77.2712620066698</v>
      </c>
      <c r="T15" s="28" t="n">
        <f aca="false">M15/(1-N15)+P15/(1-Q15)</f>
        <v>-87.0597540556724</v>
      </c>
    </row>
    <row r="16" customFormat="false" ht="15" hidden="false" customHeight="false" outlineLevel="0" collapsed="false">
      <c r="A16" s="27" t="str">
        <f aca="false">四半期集計!A17</f>
        <v>26/3期 4Q</v>
      </c>
      <c r="B16" s="25" t="n">
        <f aca="false">KOKUSAI_四半期!D16</f>
        <v>620</v>
      </c>
      <c r="C16" s="25" t="n">
        <f aca="false">KOKUSAI_四半期!H16</f>
        <v>161.2</v>
      </c>
      <c r="D16" s="25" t="n">
        <f aca="false">KOKUSAI_四半期!I16</f>
        <v>458.8</v>
      </c>
      <c r="E16" s="25" t="n">
        <f aca="false">四半期集計!D17</f>
        <v>11707.45</v>
      </c>
      <c r="F16" s="25" t="n">
        <f aca="false">四半期集計!E17</f>
        <v>4049.63</v>
      </c>
      <c r="G16" s="25" t="n">
        <f aca="false">四半期集計!F17</f>
        <v>7657.82</v>
      </c>
      <c r="H16" s="20" t="n">
        <f aca="false">$C$20+$D$20*E16</f>
        <v>616.415699374746</v>
      </c>
      <c r="I16" s="28" t="n">
        <f aca="false">B16-H16</f>
        <v>3.58430062525429</v>
      </c>
      <c r="J16" s="29" t="n">
        <f aca="false">1/COUNT($E$6:$E$17)+(E16-AVERAGE($E$6:$E$17))^2/DEVSQ($E$6:$E$17)</f>
        <v>0.114668740377853</v>
      </c>
      <c r="K16" s="28" t="n">
        <f aca="false">I16/(1-J16)</f>
        <v>4.0485418156183</v>
      </c>
      <c r="L16" s="20" t="n">
        <f aca="false">$C$21+$D$21*F16</f>
        <v>187.891515933455</v>
      </c>
      <c r="M16" s="28" t="n">
        <f aca="false">C16-L16</f>
        <v>-26.6915159334552</v>
      </c>
      <c r="N16" s="29" t="n">
        <f aca="false">1/COUNT($F$6:$F$17)+(F16-AVERAGE($F$6:$F$17))^2/DEVSQ($F$6:$F$17)</f>
        <v>0.23509186775177</v>
      </c>
      <c r="O16" s="20" t="n">
        <f aca="false">$C$22+$D$22*G16</f>
        <v>444.158861519765</v>
      </c>
      <c r="P16" s="28" t="n">
        <f aca="false">D16-O16</f>
        <v>14.6411384802345</v>
      </c>
      <c r="Q16" s="29" t="n">
        <f aca="false">1/COUNT($G$6:$G$17)+(G16-AVERAGE($G$6:$G$17))^2/DEVSQ($G$6:$G$17)</f>
        <v>0.196877224435553</v>
      </c>
      <c r="R16" s="20" t="n">
        <f aca="false">L16+O16</f>
        <v>632.050377453221</v>
      </c>
      <c r="S16" s="28" t="n">
        <f aca="false">B16-R16</f>
        <v>-12.0503774532207</v>
      </c>
      <c r="T16" s="28" t="n">
        <f aca="false">M16/(1-N16)+P16/(1-Q16)</f>
        <v>-16.6647991689562</v>
      </c>
    </row>
    <row r="17" customFormat="false" ht="15" hidden="false" customHeight="false" outlineLevel="0" collapsed="false">
      <c r="A17" s="27" t="str">
        <f aca="false">四半期集計!A18</f>
        <v>27/3期 1Q</v>
      </c>
      <c r="B17" s="25" t="n">
        <f aca="false">KOKUSAI_四半期!D17</f>
        <v>754</v>
      </c>
      <c r="C17" s="25" t="n">
        <f aca="false">KOKUSAI_四半期!H17</f>
        <v>188.5</v>
      </c>
      <c r="D17" s="25" t="n">
        <f aca="false">KOKUSAI_四半期!I17</f>
        <v>565.5</v>
      </c>
      <c r="E17" s="25" t="n">
        <f aca="false">四半期集計!D18</f>
        <v>12191.41</v>
      </c>
      <c r="F17" s="25" t="n">
        <f aca="false">四半期集計!E18</f>
        <v>3796.36</v>
      </c>
      <c r="G17" s="25" t="n">
        <f aca="false">四半期集計!F18</f>
        <v>8395.05</v>
      </c>
      <c r="H17" s="20" t="n">
        <f aca="false">$C$20+$D$20*E17</f>
        <v>641.402754448657</v>
      </c>
      <c r="I17" s="28" t="n">
        <f aca="false">B17-H17</f>
        <v>112.597245551343</v>
      </c>
      <c r="J17" s="29" t="n">
        <f aca="false">1/COUNT($E$6:$E$17)+(E17-AVERAGE($E$6:$E$17))^2/DEVSQ($E$6:$E$17)</f>
        <v>0.175201380093676</v>
      </c>
      <c r="K17" s="28" t="n">
        <f aca="false">I17/(1-J17)</f>
        <v>136.514832631668</v>
      </c>
      <c r="L17" s="20" t="n">
        <f aca="false">$C$21+$D$21*F17</f>
        <v>174.302435158985</v>
      </c>
      <c r="M17" s="28" t="n">
        <f aca="false">C17-L17</f>
        <v>14.1975648410148</v>
      </c>
      <c r="N17" s="29" t="n">
        <f aca="false">1/COUNT($F$6:$F$17)+(F17-AVERAGE($F$6:$F$17))^2/DEVSQ($F$6:$F$17)</f>
        <v>0.347820012383375</v>
      </c>
      <c r="O17" s="20" t="n">
        <f aca="false">$C$22+$D$22*G17</f>
        <v>490.863089014546</v>
      </c>
      <c r="P17" s="28" t="n">
        <f aca="false">D17-O17</f>
        <v>74.6369109854545</v>
      </c>
      <c r="Q17" s="29" t="n">
        <f aca="false">1/COUNT($G$6:$G$17)+(G17-AVERAGE($G$6:$G$17))^2/DEVSQ($G$6:$G$17)</f>
        <v>0.33925749074458</v>
      </c>
      <c r="R17" s="20" t="n">
        <f aca="false">L17+O17</f>
        <v>665.165524173531</v>
      </c>
      <c r="S17" s="28" t="n">
        <f aca="false">B17-R17</f>
        <v>88.8344758264692</v>
      </c>
      <c r="T17" s="28" t="n">
        <f aca="false">M17/(1-N17)+P17/(1-Q17)</f>
        <v>134.728544795323</v>
      </c>
    </row>
    <row r="19" customFormat="false" ht="41" hidden="false" customHeight="false" outlineLevel="0" collapsed="false">
      <c r="A19" s="3"/>
      <c r="B19" s="3" t="s">
        <v>13</v>
      </c>
      <c r="C19" s="3" t="s">
        <v>152</v>
      </c>
      <c r="D19" s="3" t="s">
        <v>153</v>
      </c>
      <c r="E19" s="9" t="s">
        <v>14</v>
      </c>
      <c r="F19" s="9" t="s">
        <v>154</v>
      </c>
    </row>
    <row r="20" customFormat="false" ht="15" hidden="false" customHeight="false" outlineLevel="0" collapsed="false">
      <c r="B20" s="4" t="s">
        <v>155</v>
      </c>
      <c r="C20" s="30" t="n">
        <f aca="false">INTERCEPT($B$6:$B$17,$E$6:$E$17)</f>
        <v>11.95521105946</v>
      </c>
      <c r="D20" s="31" t="n">
        <f aca="false">SLOPE($B$6:$B$17,$E$6:$E$17)</f>
        <v>0.0516304138232737</v>
      </c>
      <c r="E20" s="32" t="n">
        <f aca="false">RSQ($B$6:$B$17,$E$6:$E$17)</f>
        <v>0.46196352705031</v>
      </c>
      <c r="F20" s="30" t="n">
        <f aca="false">SQRT(SUMSQ($K$6:$K$17)/COUNT($K$6:$K$17))</f>
        <v>71.1893844919286</v>
      </c>
    </row>
    <row r="21" customFormat="false" ht="15" hidden="false" customHeight="false" outlineLevel="0" collapsed="false">
      <c r="B21" s="4" t="s">
        <v>156</v>
      </c>
      <c r="C21" s="30" t="n">
        <f aca="false">INTERCEPT($C$6:$C$17,$F$6:$F$17)</f>
        <v>-29.3894457940167</v>
      </c>
      <c r="D21" s="31" t="n">
        <f aca="false">SLOPE($C$6:$C$17,$F$6:$F$17)</f>
        <v>0.0536545219507639</v>
      </c>
      <c r="E21" s="32" t="n">
        <f aca="false">RSQ($C$6:$C$17,$F$6:$F$17)</f>
        <v>0.470199769132355</v>
      </c>
    </row>
    <row r="22" customFormat="false" ht="15" hidden="false" customHeight="false" outlineLevel="0" collapsed="false">
      <c r="B22" s="4" t="s">
        <v>157</v>
      </c>
      <c r="C22" s="30" t="n">
        <f aca="false">INTERCEPT($D$6:$D$17,$G$6:$G$17)</f>
        <v>-40.9713792383123</v>
      </c>
      <c r="D22" s="31" t="n">
        <f aca="false">SLOPE($D$6:$D$17,$G$6:$G$17)</f>
        <v>0.0633509589880772</v>
      </c>
      <c r="E22" s="32" t="n">
        <f aca="false">RSQ($D$6:$D$17,$G$6:$G$17)</f>
        <v>0.797929478779183</v>
      </c>
    </row>
    <row r="23" customFormat="false" ht="15" hidden="false" customHeight="false" outlineLevel="0" collapsed="false">
      <c r="B23" s="4" t="s">
        <v>158</v>
      </c>
      <c r="E23" s="32" t="n">
        <f aca="false">1-SUMSQ($S$6:$S$17)/DEVSQ($B$6:$B$17)</f>
        <v>0.461762856743951</v>
      </c>
      <c r="F23" s="30" t="n">
        <f aca="false">SQRT(SUMSQ($T$6:$T$17)/COUNT($T$6:$T$17))</f>
        <v>76.3311083343956</v>
      </c>
    </row>
    <row r="24" customFormat="false" ht="15" hidden="false" customHeight="false" outlineLevel="0" collapsed="false">
      <c r="B24" s="4" t="s">
        <v>159</v>
      </c>
      <c r="F24" s="30" t="n">
        <f aca="false">SQRT(SUMXMY2($B$7:$B$17,$B$6:$B$16)/(COUNT($B$6:$B$17)-1))</f>
        <v>112.628108876474</v>
      </c>
    </row>
    <row r="27" customFormat="false" ht="15" hidden="false" customHeight="false" outlineLevel="0" collapsed="false">
      <c r="A27" s="14" t="s">
        <v>160</v>
      </c>
    </row>
    <row r="28" customFormat="false" ht="29.85" hidden="false" customHeight="false" outlineLevel="0" collapsed="false">
      <c r="A28" s="3" t="s">
        <v>89</v>
      </c>
      <c r="B28" s="3" t="s">
        <v>92</v>
      </c>
      <c r="C28" s="3" t="s">
        <v>137</v>
      </c>
      <c r="D28" s="3" t="s">
        <v>138</v>
      </c>
      <c r="E28" s="3" t="s">
        <v>76</v>
      </c>
      <c r="F28" s="3" t="s">
        <v>78</v>
      </c>
      <c r="G28" s="3" t="s">
        <v>81</v>
      </c>
      <c r="H28" s="3" t="s">
        <v>139</v>
      </c>
      <c r="I28" s="3" t="s">
        <v>140</v>
      </c>
      <c r="J28" s="3" t="s">
        <v>141</v>
      </c>
      <c r="K28" s="3" t="s">
        <v>142</v>
      </c>
      <c r="L28" s="3" t="s">
        <v>143</v>
      </c>
      <c r="M28" s="3" t="s">
        <v>144</v>
      </c>
      <c r="N28" s="3" t="s">
        <v>145</v>
      </c>
      <c r="O28" s="3" t="s">
        <v>146</v>
      </c>
      <c r="P28" s="3" t="s">
        <v>147</v>
      </c>
      <c r="Q28" s="3" t="s">
        <v>148</v>
      </c>
      <c r="R28" s="3" t="s">
        <v>149</v>
      </c>
      <c r="S28" s="3" t="s">
        <v>150</v>
      </c>
      <c r="T28" s="3" t="s">
        <v>151</v>
      </c>
    </row>
    <row r="29" customFormat="false" ht="15" hidden="false" customHeight="false" outlineLevel="0" collapsed="false">
      <c r="A29" s="27" t="str">
        <f aca="false">四半期集計!A7</f>
        <v>24/3期 2Q</v>
      </c>
      <c r="B29" s="25" t="n">
        <f aca="false">KOKUSAI_四半期!D6</f>
        <v>450</v>
      </c>
      <c r="C29" s="25" t="n">
        <f aca="false">KOKUSAI_四半期!H6</f>
        <v>220.5</v>
      </c>
      <c r="D29" s="25" t="n">
        <f aca="false">KOKUSAI_四半期!I6</f>
        <v>229.5</v>
      </c>
      <c r="E29" s="25" t="n">
        <f aca="false">四半期集計!I7</f>
        <v>7973.41924705734</v>
      </c>
      <c r="F29" s="25" t="n">
        <f aca="false">四半期集計!J7</f>
        <v>3822.5960809161</v>
      </c>
      <c r="G29" s="25" t="n">
        <f aca="false">四半期集計!K7</f>
        <v>4150.82316614124</v>
      </c>
      <c r="H29" s="20" t="n">
        <f aca="false">$C$43+$D$43*E29</f>
        <v>455.576628244202</v>
      </c>
      <c r="I29" s="28" t="n">
        <f aca="false">B29-H29</f>
        <v>-5.57662824420214</v>
      </c>
      <c r="J29" s="29" t="n">
        <f aca="false">1/COUNT($E$29:$E$40)+(E29-AVERAGE($E$29:$E$40))^2/DEVSQ($E$29:$E$40)</f>
        <v>0.50296994147621</v>
      </c>
      <c r="K29" s="28" t="n">
        <f aca="false">I29/(1-J29)</f>
        <v>-11.219901389395</v>
      </c>
      <c r="L29" s="20" t="n">
        <f aca="false">$C$44+$D$44*F29</f>
        <v>188.191606230122</v>
      </c>
      <c r="M29" s="28" t="n">
        <f aca="false">C29-L29</f>
        <v>32.3083937698781</v>
      </c>
      <c r="N29" s="29" t="n">
        <f aca="false">1/COUNT($F$29:$F$40)+(F29-AVERAGE($F$29:$F$40))^2/DEVSQ($F$29:$F$40)</f>
        <v>0.278037840525053</v>
      </c>
      <c r="O29" s="20" t="n">
        <f aca="false">$C$45+$D$45*G29</f>
        <v>228.342177786202</v>
      </c>
      <c r="P29" s="28" t="n">
        <f aca="false">D29-O29</f>
        <v>1.15782221379789</v>
      </c>
      <c r="Q29" s="29" t="n">
        <f aca="false">1/COUNT($G$29:$G$40)+(G29-AVERAGE($G$29:$G$40))^2/DEVSQ($G$29:$G$40)</f>
        <v>0.287565541812943</v>
      </c>
      <c r="R29" s="20" t="n">
        <f aca="false">L29+O29</f>
        <v>416.533784016324</v>
      </c>
      <c r="S29" s="28" t="n">
        <f aca="false">B29-R29</f>
        <v>33.466215983676</v>
      </c>
      <c r="T29" s="28" t="n">
        <f aca="false">M29/(1-N29)+P29/(1-Q29)</f>
        <v>46.3759763764765</v>
      </c>
    </row>
    <row r="30" customFormat="false" ht="15" hidden="false" customHeight="false" outlineLevel="0" collapsed="false">
      <c r="A30" s="27" t="str">
        <f aca="false">四半期集計!A8</f>
        <v>24/3期 3Q</v>
      </c>
      <c r="B30" s="25" t="n">
        <f aca="false">KOKUSAI_四半期!D7</f>
        <v>540</v>
      </c>
      <c r="C30" s="25" t="n">
        <f aca="false">KOKUSAI_四半期!H7</f>
        <v>243</v>
      </c>
      <c r="D30" s="25" t="n">
        <f aca="false">KOKUSAI_四半期!I7</f>
        <v>297</v>
      </c>
      <c r="E30" s="25" t="n">
        <f aca="false">四半期集計!I8</f>
        <v>8835.76805461984</v>
      </c>
      <c r="F30" s="25" t="n">
        <f aca="false">四半期集計!J8</f>
        <v>4621.50379992838</v>
      </c>
      <c r="G30" s="25" t="n">
        <f aca="false">四半期集計!K8</f>
        <v>4214.26425469145</v>
      </c>
      <c r="H30" s="20" t="n">
        <f aca="false">$C$43+$D$43*E30</f>
        <v>492.829298276179</v>
      </c>
      <c r="I30" s="28" t="n">
        <f aca="false">B30-H30</f>
        <v>47.1707017238208</v>
      </c>
      <c r="J30" s="29" t="n">
        <f aca="false">1/COUNT($E$29:$E$40)+(E30-AVERAGE($E$29:$E$40))^2/DEVSQ($E$29:$E$40)</f>
        <v>0.291177198802111</v>
      </c>
      <c r="K30" s="28" t="n">
        <f aca="false">I30/(1-J30)</f>
        <v>66.5479463190288</v>
      </c>
      <c r="L30" s="20" t="n">
        <f aca="false">$C$44+$D$44*F30</f>
        <v>222.000652434508</v>
      </c>
      <c r="M30" s="28" t="n">
        <f aca="false">C30-L30</f>
        <v>20.9993475654924</v>
      </c>
      <c r="N30" s="29" t="n">
        <f aca="false">1/COUNT($F$29:$F$40)+(F30-AVERAGE($F$29:$F$40))^2/DEVSQ($F$29:$F$40)</f>
        <v>0.090950606635102</v>
      </c>
      <c r="O30" s="20" t="n">
        <f aca="false">$C$45+$D$45*G30</f>
        <v>232.405093229136</v>
      </c>
      <c r="P30" s="28" t="n">
        <f aca="false">D30-O30</f>
        <v>64.5949067708638</v>
      </c>
      <c r="Q30" s="29" t="n">
        <f aca="false">1/COUNT($G$29:$G$40)+(G30-AVERAGE($G$29:$G$40))^2/DEVSQ($G$29:$G$40)</f>
        <v>0.274259301675432</v>
      </c>
      <c r="R30" s="20" t="n">
        <f aca="false">L30+O30</f>
        <v>454.405745663644</v>
      </c>
      <c r="S30" s="28" t="n">
        <f aca="false">B30-R30</f>
        <v>85.5942543363561</v>
      </c>
      <c r="T30" s="28" t="n">
        <f aca="false">M30/(1-N30)+P30/(1-Q30)</f>
        <v>112.105827670294</v>
      </c>
    </row>
    <row r="31" customFormat="false" ht="15" hidden="false" customHeight="false" outlineLevel="0" collapsed="false">
      <c r="A31" s="27" t="str">
        <f aca="false">四半期集計!A9</f>
        <v>24/3期 4Q</v>
      </c>
      <c r="B31" s="25" t="n">
        <f aca="false">KOKUSAI_四半期!D8</f>
        <v>492</v>
      </c>
      <c r="C31" s="25" t="n">
        <f aca="false">KOKUSAI_四半期!H8</f>
        <v>246</v>
      </c>
      <c r="D31" s="25" t="n">
        <f aca="false">KOKUSAI_四半期!I8</f>
        <v>246</v>
      </c>
      <c r="E31" s="25" t="n">
        <f aca="false">四半期集計!I9</f>
        <v>10086.7980157277</v>
      </c>
      <c r="F31" s="25" t="n">
        <f aca="false">四半期集計!J9</f>
        <v>5120.98353968991</v>
      </c>
      <c r="G31" s="25" t="n">
        <f aca="false">四半期集計!K9</f>
        <v>4965.81447603782</v>
      </c>
      <c r="H31" s="20" t="n">
        <f aca="false">$C$43+$D$43*E31</f>
        <v>546.872634258751</v>
      </c>
      <c r="I31" s="28" t="n">
        <f aca="false">B31-H31</f>
        <v>-54.8726342587505</v>
      </c>
      <c r="J31" s="29" t="n">
        <f aca="false">1/COUNT($E$29:$E$40)+(E31-AVERAGE($E$29:$E$40))^2/DEVSQ($E$29:$E$40)</f>
        <v>0.114844119217715</v>
      </c>
      <c r="K31" s="28" t="n">
        <f aca="false">I31/(1-J31)</f>
        <v>-61.9920575009399</v>
      </c>
      <c r="L31" s="20" t="n">
        <f aca="false">$C$44+$D$44*F31</f>
        <v>243.138179582987</v>
      </c>
      <c r="M31" s="28" t="n">
        <f aca="false">C31-L31</f>
        <v>2.86182041701269</v>
      </c>
      <c r="N31" s="29" t="n">
        <f aca="false">1/COUNT($F$29:$F$40)+(F31-AVERAGE($F$29:$F$40))^2/DEVSQ($F$29:$F$40)</f>
        <v>0.101297424095483</v>
      </c>
      <c r="O31" s="20" t="n">
        <f aca="false">$C$45+$D$45*G31</f>
        <v>280.53612424119</v>
      </c>
      <c r="P31" s="28" t="n">
        <f aca="false">D31-O31</f>
        <v>-34.5361242411901</v>
      </c>
      <c r="Q31" s="29" t="n">
        <f aca="false">1/COUNT($G$29:$G$40)+(G31-AVERAGE($G$29:$G$40))^2/DEVSQ($G$29:$G$40)</f>
        <v>0.15073168944156</v>
      </c>
      <c r="R31" s="20" t="n">
        <f aca="false">L31+O31</f>
        <v>523.674303824177</v>
      </c>
      <c r="S31" s="28" t="n">
        <f aca="false">B31-R31</f>
        <v>-31.6743038241774</v>
      </c>
      <c r="T31" s="28" t="n">
        <f aca="false">M31/(1-N31)+P31/(1-Q31)</f>
        <v>-37.4813488968528</v>
      </c>
    </row>
    <row r="32" customFormat="false" ht="15" hidden="false" customHeight="false" outlineLevel="0" collapsed="false">
      <c r="A32" s="27" t="str">
        <f aca="false">四半期集計!A10</f>
        <v>25/3期 1Q</v>
      </c>
      <c r="B32" s="25" t="n">
        <f aca="false">KOKUSAI_四半期!D9</f>
        <v>652</v>
      </c>
      <c r="C32" s="25" t="n">
        <f aca="false">KOKUSAI_四半期!H9</f>
        <v>326</v>
      </c>
      <c r="D32" s="25" t="n">
        <f aca="false">KOKUSAI_四半期!I9</f>
        <v>326</v>
      </c>
      <c r="E32" s="25" t="n">
        <f aca="false">四半期集計!I10</f>
        <v>11565.6524512235</v>
      </c>
      <c r="F32" s="25" t="n">
        <f aca="false">四半期集計!J10</f>
        <v>6089.00224765098</v>
      </c>
      <c r="G32" s="25" t="n">
        <f aca="false">四半期集計!K10</f>
        <v>5476.65020357256</v>
      </c>
      <c r="H32" s="20" t="n">
        <f aca="false">$C$43+$D$43*E32</f>
        <v>610.757776590624</v>
      </c>
      <c r="I32" s="28" t="n">
        <f aca="false">B32-H32</f>
        <v>41.2422234093763</v>
      </c>
      <c r="J32" s="29" t="n">
        <f aca="false">1/COUNT($E$29:$E$40)+(E32-AVERAGE($E$29:$E$40))^2/DEVSQ($E$29:$E$40)</f>
        <v>0.106306855113704</v>
      </c>
      <c r="K32" s="28" t="n">
        <f aca="false">I32/(1-J32)</f>
        <v>46.1480807426619</v>
      </c>
      <c r="L32" s="20" t="n">
        <f aca="false">$C$44+$D$44*F32</f>
        <v>284.103848640019</v>
      </c>
      <c r="M32" s="28" t="n">
        <f aca="false">C32-L32</f>
        <v>41.8961513599807</v>
      </c>
      <c r="N32" s="29" t="n">
        <f aca="false">1/COUNT($F$29:$F$40)+(F32-AVERAGE($F$29:$F$40))^2/DEVSQ($F$29:$F$40)</f>
        <v>0.400229651293112</v>
      </c>
      <c r="O32" s="20" t="n">
        <f aca="false">$C$45+$D$45*G32</f>
        <v>313.251237011689</v>
      </c>
      <c r="P32" s="28" t="n">
        <f aca="false">D32-O32</f>
        <v>12.7487629883113</v>
      </c>
      <c r="Q32" s="29" t="n">
        <f aca="false">1/COUNT($G$29:$G$40)+(G32-AVERAGE($G$29:$G$40))^2/DEVSQ($G$29:$G$40)</f>
        <v>0.102674652256013</v>
      </c>
      <c r="R32" s="20" t="n">
        <f aca="false">L32+O32</f>
        <v>597.355085651708</v>
      </c>
      <c r="S32" s="28" t="n">
        <f aca="false">B32-R32</f>
        <v>54.6449143482919</v>
      </c>
      <c r="T32" s="28" t="n">
        <f aca="false">M32/(1-N32)+P32/(1-Q32)</f>
        <v>84.0611701808697</v>
      </c>
    </row>
    <row r="33" customFormat="false" ht="15" hidden="false" customHeight="false" outlineLevel="0" collapsed="false">
      <c r="A33" s="27" t="str">
        <f aca="false">四半期集計!A11</f>
        <v>25/3期 2Q</v>
      </c>
      <c r="B33" s="25" t="n">
        <f aca="false">KOKUSAI_四半期!D10</f>
        <v>493</v>
      </c>
      <c r="C33" s="25" t="n">
        <f aca="false">KOKUSAI_四半期!H10</f>
        <v>216.92</v>
      </c>
      <c r="D33" s="25" t="n">
        <f aca="false">KOKUSAI_四半期!I10</f>
        <v>276.08</v>
      </c>
      <c r="E33" s="25" t="n">
        <f aca="false">四半期集計!I11</f>
        <v>11086.34</v>
      </c>
      <c r="F33" s="25" t="n">
        <f aca="false">四半期集計!J11</f>
        <v>5363.69</v>
      </c>
      <c r="G33" s="25" t="n">
        <f aca="false">四半期集計!K11</f>
        <v>5722.65</v>
      </c>
      <c r="H33" s="20" t="n">
        <f aca="false">$C$43+$D$43*E33</f>
        <v>590.051922496479</v>
      </c>
      <c r="I33" s="28" t="n">
        <f aca="false">B33-H33</f>
        <v>-97.0519224964793</v>
      </c>
      <c r="J33" s="29" t="n">
        <f aca="false">1/COUNT($E$29:$E$40)+(E33-AVERAGE($E$29:$E$40))^2/DEVSQ($E$29:$E$40)</f>
        <v>0.0853503221705083</v>
      </c>
      <c r="K33" s="28" t="n">
        <f aca="false">I33/(1-J33)</f>
        <v>-106.108300094511</v>
      </c>
      <c r="L33" s="20" t="n">
        <f aca="false">$C$44+$D$44*F33</f>
        <v>253.409295677436</v>
      </c>
      <c r="M33" s="28" t="n">
        <f aca="false">C33-L33</f>
        <v>-36.4892956774365</v>
      </c>
      <c r="N33" s="29" t="n">
        <f aca="false">1/COUNT($F$29:$F$40)+(F33-AVERAGE($F$29:$F$40))^2/DEVSQ($F$29:$F$40)</f>
        <v>0.141688163467941</v>
      </c>
      <c r="O33" s="20" t="n">
        <f aca="false">$C$45+$D$45*G33</f>
        <v>329.005638373712</v>
      </c>
      <c r="P33" s="28" t="n">
        <f aca="false">D33-O33</f>
        <v>-52.9256383737122</v>
      </c>
      <c r="Q33" s="29" t="n">
        <f aca="false">1/COUNT($G$29:$G$40)+(G33-AVERAGE($G$29:$G$40))^2/DEVSQ($G$29:$G$40)</f>
        <v>0.0898985401863243</v>
      </c>
      <c r="R33" s="20" t="n">
        <f aca="false">L33+O33</f>
        <v>582.414934051149</v>
      </c>
      <c r="S33" s="28" t="n">
        <f aca="false">B33-R33</f>
        <v>-89.4149340511488</v>
      </c>
      <c r="T33" s="28" t="n">
        <f aca="false">M33/(1-N33)+P33/(1-Q33)</f>
        <v>-100.666423894772</v>
      </c>
    </row>
    <row r="34" customFormat="false" ht="15" hidden="false" customHeight="false" outlineLevel="0" collapsed="false">
      <c r="A34" s="27" t="str">
        <f aca="false">四半期集計!A12</f>
        <v>25/3期 3Q</v>
      </c>
      <c r="B34" s="25" t="n">
        <f aca="false">KOKUSAI_四半期!D11</f>
        <v>601</v>
      </c>
      <c r="C34" s="25" t="n">
        <f aca="false">KOKUSAI_四半期!H11</f>
        <v>240.4</v>
      </c>
      <c r="D34" s="25" t="n">
        <f aca="false">KOKUSAI_四半期!I11</f>
        <v>360.6</v>
      </c>
      <c r="E34" s="25" t="n">
        <f aca="false">四半期集計!I12</f>
        <v>11789.85</v>
      </c>
      <c r="F34" s="25" t="n">
        <f aca="false">四半期集計!J12</f>
        <v>5428.46</v>
      </c>
      <c r="G34" s="25" t="n">
        <f aca="false">四半期集計!K12</f>
        <v>6361.39</v>
      </c>
      <c r="H34" s="20" t="n">
        <f aca="false">$C$43+$D$43*E34</f>
        <v>620.442903111707</v>
      </c>
      <c r="I34" s="28" t="n">
        <f aca="false">B34-H34</f>
        <v>-19.4429031117068</v>
      </c>
      <c r="J34" s="29" t="n">
        <f aca="false">1/COUNT($E$29:$E$40)+(E34-AVERAGE($E$29:$E$40))^2/DEVSQ($E$29:$E$40)</f>
        <v>0.123919416884709</v>
      </c>
      <c r="K34" s="28" t="n">
        <f aca="false">I34/(1-J34)</f>
        <v>-22.1930533405602</v>
      </c>
      <c r="L34" s="20" t="n">
        <f aca="false">$C$44+$D$44*F34</f>
        <v>256.150303018516</v>
      </c>
      <c r="M34" s="28" t="n">
        <f aca="false">C34-L34</f>
        <v>-15.7503030185164</v>
      </c>
      <c r="N34" s="29" t="n">
        <f aca="false">1/COUNT($F$29:$F$40)+(F34-AVERAGE($F$29:$F$40))^2/DEVSQ($F$29:$F$40)</f>
        <v>0.156376739739262</v>
      </c>
      <c r="O34" s="20" t="n">
        <f aca="false">$C$45+$D$45*G34</f>
        <v>369.912039403792</v>
      </c>
      <c r="P34" s="28" t="n">
        <f aca="false">D34-O34</f>
        <v>-9.31203940379152</v>
      </c>
      <c r="Q34" s="29" t="n">
        <f aca="false">1/COUNT($G$29:$G$40)+(G34-AVERAGE($G$29:$G$40))^2/DEVSQ($G$29:$G$40)</f>
        <v>0.0881905463140364</v>
      </c>
      <c r="R34" s="20" t="n">
        <f aca="false">L34+O34</f>
        <v>626.062342422308</v>
      </c>
      <c r="S34" s="28" t="n">
        <f aca="false">B34-R34</f>
        <v>-25.0623424223079</v>
      </c>
      <c r="T34" s="28" t="n">
        <f aca="false">M34/(1-N34)+P34/(1-Q34)</f>
        <v>-28.8825334819822</v>
      </c>
    </row>
    <row r="35" customFormat="false" ht="15" hidden="false" customHeight="false" outlineLevel="0" collapsed="false">
      <c r="A35" s="27" t="str">
        <f aca="false">四半期集計!A13</f>
        <v>25/3期 4Q</v>
      </c>
      <c r="B35" s="25" t="n">
        <f aca="false">KOKUSAI_四半期!D12</f>
        <v>643</v>
      </c>
      <c r="C35" s="25" t="n">
        <f aca="false">KOKUSAI_四半期!H12</f>
        <v>263.63</v>
      </c>
      <c r="D35" s="25" t="n">
        <f aca="false">KOKUSAI_四半期!I12</f>
        <v>379.37</v>
      </c>
      <c r="E35" s="25" t="n">
        <f aca="false">四半期集計!I13</f>
        <v>11349.33</v>
      </c>
      <c r="F35" s="25" t="n">
        <f aca="false">四半期集計!J13</f>
        <v>4434.5</v>
      </c>
      <c r="G35" s="25" t="n">
        <f aca="false">四半期集計!K13</f>
        <v>6914.83</v>
      </c>
      <c r="H35" s="20" t="n">
        <f aca="false">$C$43+$D$43*E35</f>
        <v>601.41284699222</v>
      </c>
      <c r="I35" s="28" t="n">
        <f aca="false">B35-H35</f>
        <v>41.5871530077798</v>
      </c>
      <c r="J35" s="29" t="n">
        <f aca="false">1/COUNT($E$29:$E$40)+(E35-AVERAGE($E$29:$E$40))^2/DEVSQ($E$29:$E$40)</f>
        <v>0.0940316992321623</v>
      </c>
      <c r="K35" s="28" t="n">
        <f aca="false">I35/(1-J35)</f>
        <v>45.9035409655429</v>
      </c>
      <c r="L35" s="20" t="n">
        <f aca="false">$C$44+$D$44*F35</f>
        <v>214.086822136321</v>
      </c>
      <c r="M35" s="28" t="n">
        <f aca="false">C35-L35</f>
        <v>49.5431778636788</v>
      </c>
      <c r="N35" s="29" t="n">
        <f aca="false">1/COUNT($F$29:$F$40)+(F35-AVERAGE($F$29:$F$40))^2/DEVSQ($F$29:$F$40)</f>
        <v>0.112278833848947</v>
      </c>
      <c r="O35" s="20" t="n">
        <f aca="false">$C$45+$D$45*G35</f>
        <v>405.355629262086</v>
      </c>
      <c r="P35" s="28" t="n">
        <f aca="false">D35-O35</f>
        <v>-25.9856292620861</v>
      </c>
      <c r="Q35" s="29" t="n">
        <f aca="false">1/COUNT($G$29:$G$40)+(G35-AVERAGE($G$29:$G$40))^2/DEVSQ($G$29:$G$40)</f>
        <v>0.12344767409417</v>
      </c>
      <c r="R35" s="20" t="n">
        <f aca="false">L35+O35</f>
        <v>619.442451398407</v>
      </c>
      <c r="S35" s="28" t="n">
        <f aca="false">B35-R35</f>
        <v>23.5575486015928</v>
      </c>
      <c r="T35" s="28" t="n">
        <f aca="false">M35/(1-N35)+P35/(1-Q35)</f>
        <v>26.1641224932881</v>
      </c>
    </row>
    <row r="36" customFormat="false" ht="15" hidden="false" customHeight="false" outlineLevel="0" collapsed="false">
      <c r="A36" s="27" t="str">
        <f aca="false">四半期集計!A14</f>
        <v>26/3期 1Q</v>
      </c>
      <c r="B36" s="25" t="n">
        <f aca="false">KOKUSAI_四半期!D13</f>
        <v>518</v>
      </c>
      <c r="C36" s="25" t="n">
        <f aca="false">KOKUSAI_四半期!H13</f>
        <v>196.84</v>
      </c>
      <c r="D36" s="25" t="n">
        <f aca="false">KOKUSAI_四半期!I13</f>
        <v>321.16</v>
      </c>
      <c r="E36" s="25" t="n">
        <f aca="false">四半期集計!I14</f>
        <v>12039.36</v>
      </c>
      <c r="F36" s="25" t="n">
        <f aca="false">四半期集計!J14</f>
        <v>5066.85</v>
      </c>
      <c r="G36" s="25" t="n">
        <f aca="false">四半期集計!K14</f>
        <v>6972.51</v>
      </c>
      <c r="H36" s="20" t="n">
        <f aca="false">$C$43+$D$43*E36</f>
        <v>631.221504088673</v>
      </c>
      <c r="I36" s="28" t="n">
        <f aca="false">B36-H36</f>
        <v>-113.221504088673</v>
      </c>
      <c r="J36" s="29" t="n">
        <f aca="false">1/COUNT($E$29:$E$40)+(E36-AVERAGE($E$29:$E$40))^2/DEVSQ($E$29:$E$40)</f>
        <v>0.149373206113577</v>
      </c>
      <c r="K36" s="28" t="n">
        <f aca="false">I36/(1-J36)</f>
        <v>-133.103618299367</v>
      </c>
      <c r="L36" s="20" t="n">
        <f aca="false">$C$44+$D$44*F36</f>
        <v>240.847297543638</v>
      </c>
      <c r="M36" s="28" t="n">
        <f aca="false">C36-L36</f>
        <v>-44.0072975436375</v>
      </c>
      <c r="N36" s="29" t="n">
        <f aca="false">1/COUNT($F$29:$F$40)+(F36-AVERAGE($F$29:$F$40))^2/DEVSQ($F$29:$F$40)</f>
        <v>0.0954432237131193</v>
      </c>
      <c r="O36" s="20" t="n">
        <f aca="false">$C$45+$D$45*G36</f>
        <v>409.049591142374</v>
      </c>
      <c r="P36" s="28" t="n">
        <f aca="false">D36-O36</f>
        <v>-87.8895911423739</v>
      </c>
      <c r="Q36" s="29" t="n">
        <f aca="false">1/COUNT($G$29:$G$40)+(G36-AVERAGE($G$29:$G$40))^2/DEVSQ($G$29:$G$40)</f>
        <v>0.129084855197369</v>
      </c>
      <c r="R36" s="20" t="n">
        <f aca="false">L36+O36</f>
        <v>649.896888686011</v>
      </c>
      <c r="S36" s="28" t="n">
        <f aca="false">B36-R36</f>
        <v>-131.896888686011</v>
      </c>
      <c r="T36" s="28" t="n">
        <f aca="false">M36/(1-N36)+P36/(1-Q36)</f>
        <v>-149.567040360867</v>
      </c>
    </row>
    <row r="37" customFormat="false" ht="15" hidden="false" customHeight="false" outlineLevel="0" collapsed="false">
      <c r="A37" s="27" t="str">
        <f aca="false">四半期集計!A15</f>
        <v>26/3期 2Q</v>
      </c>
      <c r="B37" s="25" t="n">
        <f aca="false">KOKUSAI_四半期!D14</f>
        <v>654</v>
      </c>
      <c r="C37" s="25" t="n">
        <f aca="false">KOKUSAI_四半期!H14</f>
        <v>287.76</v>
      </c>
      <c r="D37" s="25" t="n">
        <f aca="false">KOKUSAI_四半期!I14</f>
        <v>366.24</v>
      </c>
      <c r="E37" s="25" t="n">
        <f aca="false">四半期集計!I15</f>
        <v>10881.69</v>
      </c>
      <c r="F37" s="25" t="n">
        <f aca="false">四半期集計!J15</f>
        <v>4988.79</v>
      </c>
      <c r="G37" s="25" t="n">
        <f aca="false">四半期集計!K15</f>
        <v>5892.9</v>
      </c>
      <c r="H37" s="20" t="n">
        <f aca="false">$C$43+$D$43*E37</f>
        <v>581.211231983329</v>
      </c>
      <c r="I37" s="28" t="n">
        <f aca="false">B37-H37</f>
        <v>72.7887680166709</v>
      </c>
      <c r="J37" s="29" t="n">
        <f aca="false">1/COUNT($E$29:$E$40)+(E37-AVERAGE($E$29:$E$40))^2/DEVSQ($E$29:$E$40)</f>
        <v>0.0833337289294315</v>
      </c>
      <c r="K37" s="28" t="n">
        <f aca="false">I37/(1-J37)</f>
        <v>79.4059630138473</v>
      </c>
      <c r="L37" s="20" t="n">
        <f aca="false">$C$44+$D$44*F37</f>
        <v>237.543869520715</v>
      </c>
      <c r="M37" s="28" t="n">
        <f aca="false">C37-L37</f>
        <v>50.2161304792851</v>
      </c>
      <c r="N37" s="29" t="n">
        <f aca="false">1/COUNT($F$29:$F$40)+(F37-AVERAGE($F$29:$F$40))^2/DEVSQ($F$29:$F$40)</f>
        <v>0.089027315923703</v>
      </c>
      <c r="O37" s="20" t="n">
        <f aca="false">$C$45+$D$45*G37</f>
        <v>339.908845900047</v>
      </c>
      <c r="P37" s="28" t="n">
        <f aca="false">D37-O37</f>
        <v>26.3311540999531</v>
      </c>
      <c r="Q37" s="29" t="n">
        <f aca="false">1/COUNT($G$29:$G$40)+(G37-AVERAGE($G$29:$G$40))^2/DEVSQ($G$29:$G$40)</f>
        <v>0.0850023079576773</v>
      </c>
      <c r="R37" s="20" t="n">
        <f aca="false">L37+O37</f>
        <v>577.452715420762</v>
      </c>
      <c r="S37" s="28" t="n">
        <f aca="false">B37-R37</f>
        <v>76.5472845792382</v>
      </c>
      <c r="T37" s="28" t="n">
        <f aca="false">M37/(1-N37)+P37/(1-Q37)</f>
        <v>83.9009303934439</v>
      </c>
    </row>
    <row r="38" customFormat="false" ht="15" hidden="false" customHeight="false" outlineLevel="0" collapsed="false">
      <c r="A38" s="27" t="str">
        <f aca="false">四半期集計!A16</f>
        <v>26/3期 3Q</v>
      </c>
      <c r="B38" s="25" t="n">
        <f aca="false">KOKUSAI_四半期!D15</f>
        <v>559</v>
      </c>
      <c r="C38" s="25" t="n">
        <f aca="false">KOKUSAI_四半期!H15</f>
        <v>173.29</v>
      </c>
      <c r="D38" s="25" t="n">
        <f aca="false">KOKUSAI_四半期!I15</f>
        <v>385.71</v>
      </c>
      <c r="E38" s="25" t="n">
        <f aca="false">四半期集計!I16</f>
        <v>11271.72</v>
      </c>
      <c r="F38" s="25" t="n">
        <f aca="false">四半期集計!J16</f>
        <v>4860.85</v>
      </c>
      <c r="G38" s="25" t="n">
        <f aca="false">四半期集計!K16</f>
        <v>6410.87</v>
      </c>
      <c r="H38" s="20" t="n">
        <f aca="false">$C$43+$D$43*E38</f>
        <v>598.060166851856</v>
      </c>
      <c r="I38" s="28" t="n">
        <f aca="false">B38-H38</f>
        <v>-39.0601668518557</v>
      </c>
      <c r="J38" s="29" t="n">
        <f aca="false">1/COUNT($E$29:$E$40)+(E38-AVERAGE($E$29:$E$40))^2/DEVSQ($E$29:$E$40)</f>
        <v>0.0907573431383433</v>
      </c>
      <c r="K38" s="28" t="n">
        <f aca="false">I38/(1-J38)</f>
        <v>-42.9590127091879</v>
      </c>
      <c r="L38" s="20" t="n">
        <f aca="false">$C$44+$D$44*F38</f>
        <v>232.129565379635</v>
      </c>
      <c r="M38" s="28" t="n">
        <f aca="false">C38-L38</f>
        <v>-58.8395653796348</v>
      </c>
      <c r="N38" s="29" t="n">
        <f aca="false">1/COUNT($F$29:$F$40)+(F38-AVERAGE($F$29:$F$40))^2/DEVSQ($F$29:$F$40)</f>
        <v>0.0836856994612379</v>
      </c>
      <c r="O38" s="20" t="n">
        <f aca="false">$C$45+$D$45*G38</f>
        <v>373.080854137436</v>
      </c>
      <c r="P38" s="28" t="n">
        <f aca="false">D38-O38</f>
        <v>12.6291458625636</v>
      </c>
      <c r="Q38" s="29" t="n">
        <f aca="false">1/COUNT($G$29:$G$40)+(G38-AVERAGE($G$29:$G$40))^2/DEVSQ($G$29:$G$40)</f>
        <v>0.0899542815300165</v>
      </c>
      <c r="R38" s="20" t="n">
        <f aca="false">L38+O38</f>
        <v>605.210419517071</v>
      </c>
      <c r="S38" s="28" t="n">
        <f aca="false">B38-R38</f>
        <v>-46.2104195170712</v>
      </c>
      <c r="T38" s="28" t="n">
        <f aca="false">M38/(1-N38)+P38/(1-Q38)</f>
        <v>-50.3358152720538</v>
      </c>
    </row>
    <row r="39" customFormat="false" ht="15" hidden="false" customHeight="false" outlineLevel="0" collapsed="false">
      <c r="A39" s="27" t="str">
        <f aca="false">四半期集計!A17</f>
        <v>26/3期 4Q</v>
      </c>
      <c r="B39" s="25" t="n">
        <f aca="false">KOKUSAI_四半期!D16</f>
        <v>620</v>
      </c>
      <c r="C39" s="25" t="n">
        <f aca="false">KOKUSAI_四半期!H16</f>
        <v>161.2</v>
      </c>
      <c r="D39" s="25" t="n">
        <f aca="false">KOKUSAI_四半期!I16</f>
        <v>458.8</v>
      </c>
      <c r="E39" s="25" t="n">
        <f aca="false">四半期集計!I17</f>
        <v>10884.39</v>
      </c>
      <c r="F39" s="25" t="n">
        <f aca="false">四半期集計!J17</f>
        <v>3739.92</v>
      </c>
      <c r="G39" s="25" t="n">
        <f aca="false">四半期集計!K17</f>
        <v>7144.47</v>
      </c>
      <c r="H39" s="20" t="n">
        <f aca="false">$C$43+$D$43*E39</f>
        <v>581.327869483381</v>
      </c>
      <c r="I39" s="28" t="n">
        <f aca="false">B39-H39</f>
        <v>38.6721305166195</v>
      </c>
      <c r="J39" s="29" t="n">
        <f aca="false">1/COUNT($E$29:$E$40)+(E39-AVERAGE($E$29:$E$40))^2/DEVSQ($E$29:$E$40)</f>
        <v>0.0833333341254855</v>
      </c>
      <c r="K39" s="28" t="n">
        <f aca="false">I39/(1-J39)</f>
        <v>42.1877787818604</v>
      </c>
      <c r="L39" s="20" t="n">
        <f aca="false">$C$44+$D$44*F39</f>
        <v>184.692829871889</v>
      </c>
      <c r="M39" s="28" t="n">
        <f aca="false">C39-L39</f>
        <v>-23.4928298718889</v>
      </c>
      <c r="N39" s="29" t="n">
        <f aca="false">1/COUNT($F$29:$F$40)+(F39-AVERAGE($F$29:$F$40))^2/DEVSQ($F$29:$F$40)</f>
        <v>0.311707476429193</v>
      </c>
      <c r="O39" s="20" t="n">
        <f aca="false">$C$45+$D$45*G39</f>
        <v>420.062311061484</v>
      </c>
      <c r="P39" s="28" t="n">
        <f aca="false">D39-O39</f>
        <v>38.737688938516</v>
      </c>
      <c r="Q39" s="29" t="n">
        <f aca="false">1/COUNT($G$29:$G$40)+(G39-AVERAGE($G$29:$G$40))^2/DEVSQ($G$29:$G$40)</f>
        <v>0.148089551266467</v>
      </c>
      <c r="R39" s="20" t="n">
        <f aca="false">L39+O39</f>
        <v>604.755140933373</v>
      </c>
      <c r="S39" s="28" t="n">
        <f aca="false">B39-R39</f>
        <v>15.2448590666272</v>
      </c>
      <c r="T39" s="28" t="n">
        <f aca="false">M39/(1-N39)+P39/(1-Q39)</f>
        <v>11.3395076405687</v>
      </c>
    </row>
    <row r="40" customFormat="false" ht="15" hidden="false" customHeight="false" outlineLevel="0" collapsed="false">
      <c r="A40" s="27" t="str">
        <f aca="false">四半期集計!A18</f>
        <v>27/3期 1Q</v>
      </c>
      <c r="B40" s="25" t="n">
        <f aca="false">KOKUSAI_四半期!D17</f>
        <v>754</v>
      </c>
      <c r="C40" s="25" t="n">
        <f aca="false">KOKUSAI_四半期!H17</f>
        <v>188.5</v>
      </c>
      <c r="D40" s="25" t="n">
        <f aca="false">KOKUSAI_四半期!I17</f>
        <v>565.5</v>
      </c>
      <c r="E40" s="25" t="n">
        <f aca="false">四半期集計!I18</f>
        <v>12849.88</v>
      </c>
      <c r="F40" s="25" t="n">
        <f aca="false">四半期集計!J18</f>
        <v>4284.66</v>
      </c>
      <c r="G40" s="25" t="n">
        <f aca="false">四半期集計!K18</f>
        <v>8565.22</v>
      </c>
      <c r="H40" s="20" t="n">
        <f aca="false">$C$43+$D$43*E40</f>
        <v>666.235217622602</v>
      </c>
      <c r="I40" s="28" t="n">
        <f aca="false">B40-H40</f>
        <v>87.7647823773984</v>
      </c>
      <c r="J40" s="29" t="n">
        <f aca="false">1/COUNT($E$29:$E$40)+(E40-AVERAGE($E$29:$E$40))^2/DEVSQ($E$29:$E$40)</f>
        <v>0.274602834796044</v>
      </c>
      <c r="K40" s="28" t="n">
        <f aca="false">I40/(1-J40)</f>
        <v>120.988592990603</v>
      </c>
      <c r="L40" s="20" t="n">
        <f aca="false">$C$44+$D$44*F40</f>
        <v>207.745729964214</v>
      </c>
      <c r="M40" s="28" t="n">
        <f aca="false">C40-L40</f>
        <v>-19.2457299642135</v>
      </c>
      <c r="N40" s="29" t="n">
        <f aca="false">1/COUNT($F$29:$F$40)+(F40-AVERAGE($F$29:$F$40))^2/DEVSQ($F$29:$F$40)</f>
        <v>0.139277024867847</v>
      </c>
      <c r="O40" s="20" t="n">
        <f aca="false">$C$45+$D$45*G40</f>
        <v>511.050458450852</v>
      </c>
      <c r="P40" s="28" t="n">
        <f aca="false">D40-O40</f>
        <v>54.4495415491476</v>
      </c>
      <c r="Q40" s="29" t="n">
        <f aca="false">1/COUNT($G$29:$G$40)+(G40-AVERAGE($G$29:$G$40))^2/DEVSQ($G$29:$G$40)</f>
        <v>0.431101058267992</v>
      </c>
      <c r="R40" s="20" t="n">
        <f aca="false">L40+O40</f>
        <v>718.796188415066</v>
      </c>
      <c r="S40" s="28" t="n">
        <f aca="false">B40-R40</f>
        <v>35.2038115849341</v>
      </c>
      <c r="T40" s="28" t="n">
        <f aca="false">M40/(1-N40)+P40/(1-Q40)</f>
        <v>73.3504350008939</v>
      </c>
    </row>
    <row r="42" customFormat="false" ht="41" hidden="false" customHeight="false" outlineLevel="0" collapsed="false">
      <c r="A42" s="3"/>
      <c r="B42" s="3" t="s">
        <v>13</v>
      </c>
      <c r="C42" s="3" t="s">
        <v>152</v>
      </c>
      <c r="D42" s="3" t="s">
        <v>153</v>
      </c>
      <c r="E42" s="9" t="s">
        <v>14</v>
      </c>
      <c r="F42" s="9" t="s">
        <v>154</v>
      </c>
    </row>
    <row r="43" customFormat="false" ht="15" hidden="false" customHeight="false" outlineLevel="0" collapsed="false">
      <c r="B43" s="4" t="s">
        <v>155</v>
      </c>
      <c r="C43" s="30" t="n">
        <f aca="false">INTERCEPT($B$29:$B$40,$E$29:$E$40)</f>
        <v>111.132299415328</v>
      </c>
      <c r="D43" s="31" t="n">
        <f aca="false">SLOPE($B$29:$B$40,$E$29:$E$40)</f>
        <v>0.0431990740930867</v>
      </c>
      <c r="E43" s="32" t="n">
        <f aca="false">RSQ($B$29:$B$40,$E$29:$E$40)</f>
        <v>0.443255578363467</v>
      </c>
      <c r="F43" s="30" t="n">
        <f aca="false">SQRT(SUMSQ($K$29:$K$40)/COUNT($K$29:$K$40))</f>
        <v>74.53814414249</v>
      </c>
    </row>
    <row r="44" customFormat="false" ht="15" hidden="false" customHeight="false" outlineLevel="0" collapsed="false">
      <c r="B44" s="4" t="s">
        <v>156</v>
      </c>
      <c r="C44" s="30" t="n">
        <f aca="false">INTERCEPT($C$29:$C$40,$F$29:$F$40)</f>
        <v>26.4228256253</v>
      </c>
      <c r="D44" s="31" t="n">
        <f aca="false">SLOPE($C$29:$C$40,$F$29:$F$40)</f>
        <v>0.0423190881747708</v>
      </c>
      <c r="E44" s="32" t="n">
        <f aca="false">RSQ($C$29:$C$40,$F$29:$F$40)</f>
        <v>0.361323935404895</v>
      </c>
    </row>
    <row r="45" customFormat="false" ht="15" hidden="false" customHeight="false" outlineLevel="0" collapsed="false">
      <c r="B45" s="4" t="s">
        <v>157</v>
      </c>
      <c r="C45" s="30" t="n">
        <f aca="false">INTERCEPT($D$29:$D$40,$G$29:$G$40)</f>
        <v>-37.4862297647841</v>
      </c>
      <c r="D45" s="31" t="n">
        <f aca="false">SLOPE($D$29:$D$40,$G$29:$G$40)</f>
        <v>0.0640423349564444</v>
      </c>
      <c r="E45" s="32" t="n">
        <f aca="false">RSQ($D$29:$D$40,$G$29:$G$40)</f>
        <v>0.768938347796816</v>
      </c>
    </row>
    <row r="46" customFormat="false" ht="15" hidden="false" customHeight="false" outlineLevel="0" collapsed="false">
      <c r="B46" s="4" t="s">
        <v>158</v>
      </c>
      <c r="E46" s="32" t="n">
        <f aca="false">1-SUMSQ($S$29:$S$40)/DEVSQ($B$29:$B$40)</f>
        <v>0.429832107345027</v>
      </c>
      <c r="F46" s="30" t="n">
        <f aca="false">SQRT(SUMSQ($T$29:$T$40)/COUNT($T$29:$T$40))</f>
        <v>77.6178143783207</v>
      </c>
    </row>
    <row r="47" customFormat="false" ht="15" hidden="false" customHeight="false" outlineLevel="0" collapsed="false">
      <c r="B47" s="4" t="s">
        <v>159</v>
      </c>
      <c r="F47" s="30" t="n">
        <f aca="false">SQRT(SUMXMY2($B$30:$B$40,$B$29:$B$39)/(COUNT($B$29:$B$40)-1))</f>
        <v>112.628108876474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3"/>
    <col collapsed="false" customWidth="true" hidden="false" outlineLevel="0" max="4" min="4" style="0" width="12"/>
    <col collapsed="false" customWidth="true" hidden="false" outlineLevel="0" max="6" min="5" style="0" width="13"/>
    <col collapsed="false" customWidth="true" hidden="false" outlineLevel="0" max="7" min="7" style="0" width="11"/>
    <col collapsed="false" customWidth="true" hidden="false" outlineLevel="0" max="9" min="8" style="0" width="10"/>
    <col collapsed="false" customWidth="true" hidden="false" outlineLevel="0" max="10" min="10" style="0" width="11"/>
  </cols>
  <sheetData>
    <row r="1" customFormat="false" ht="19.4" hidden="false" customHeight="false" outlineLevel="0" collapsed="false">
      <c r="A1" s="1" t="s">
        <v>161</v>
      </c>
    </row>
    <row r="2" customFormat="false" ht="15" hidden="false" customHeight="false" outlineLevel="0" collapsed="false">
      <c r="A2" s="19" t="s">
        <v>162</v>
      </c>
    </row>
    <row r="4" customFormat="false" ht="15" hidden="false" customHeight="false" outlineLevel="0" collapsed="false">
      <c r="A4" s="14" t="s">
        <v>163</v>
      </c>
    </row>
    <row r="5" customFormat="false" ht="15" hidden="false" customHeight="false" outlineLevel="0" collapsed="false">
      <c r="A5" s="3" t="s">
        <v>164</v>
      </c>
      <c r="B5" s="3" t="s">
        <v>78</v>
      </c>
      <c r="C5" s="3" t="s">
        <v>81</v>
      </c>
      <c r="D5" s="3" t="s">
        <v>76</v>
      </c>
    </row>
    <row r="6" customFormat="false" ht="15" hidden="false" customHeight="false" outlineLevel="0" collapsed="false">
      <c r="A6" s="21" t="s">
        <v>165</v>
      </c>
      <c r="B6" s="10" t="n">
        <f aca="false">SUMIFS(貿易_月次!$D$5:$D$45,貿易_月次!$A$5:$A$45,DATE(2023,9,1))/AVERAGE(SUMIFS(貿易_月次!$D$5:$D$45,貿易_月次!$A$5:$A$45,DATE(2023,7,1)),SUMIFS(貿易_月次!$D$5:$D$45,貿易_月次!$A$5:$A$45,DATE(2023,8,1)))</f>
        <v>1.32345834409776</v>
      </c>
      <c r="C6" s="10" t="n">
        <f aca="false">SUMIFS(貿易_月次!$I$5:$I$45,貿易_月次!$A$5:$A$45,DATE(2023,9,1))/AVERAGE(SUMIFS(貿易_月次!$I$5:$I$45,貿易_月次!$A$5:$A$45,DATE(2023,7,1)),SUMIFS(貿易_月次!$I$5:$I$45,貿易_月次!$A$5:$A$45,DATE(2023,8,1)))</f>
        <v>1.14721903122323</v>
      </c>
      <c r="D6" s="10" t="n">
        <f aca="false">SUMIFS(貿易_月次!$B$5:$B$45,貿易_月次!$A$5:$A$45,DATE(2023,9,1))/AVERAGE(SUMIFS(貿易_月次!$B$5:$B$45,貿易_月次!$A$5:$A$45,DATE(2023,7,1)),SUMIFS(貿易_月次!$B$5:$B$45,貿易_月次!$A$5:$A$45,DATE(2023,8,1)))</f>
        <v>1.23437159325103</v>
      </c>
    </row>
    <row r="7" customFormat="false" ht="15" hidden="false" customHeight="false" outlineLevel="0" collapsed="false">
      <c r="A7" s="21" t="s">
        <v>166</v>
      </c>
      <c r="B7" s="10" t="n">
        <f aca="false">SUMIFS(貿易_月次!$D$5:$D$45,貿易_月次!$A$5:$A$45,DATE(2024,9,1))/AVERAGE(SUMIFS(貿易_月次!$D$5:$D$45,貿易_月次!$A$5:$A$45,DATE(2024,7,1)),SUMIFS(貿易_月次!$D$5:$D$45,貿易_月次!$A$5:$A$45,DATE(2024,8,1)))</f>
        <v>1.13251596201114</v>
      </c>
      <c r="C7" s="10" t="n">
        <f aca="false">SUMIFS(貿易_月次!$I$5:$I$45,貿易_月次!$A$5:$A$45,DATE(2024,9,1))/AVERAGE(SUMIFS(貿易_月次!$I$5:$I$45,貿易_月次!$A$5:$A$45,DATE(2024,7,1)),SUMIFS(貿易_月次!$I$5:$I$45,貿易_月次!$A$5:$A$45,DATE(2024,8,1)))</f>
        <v>1.10070903468477</v>
      </c>
      <c r="D7" s="10" t="n">
        <f aca="false">SUMIFS(貿易_月次!$B$5:$B$45,貿易_月次!$A$5:$A$45,DATE(2024,9,1))/AVERAGE(SUMIFS(貿易_月次!$B$5:$B$45,貿易_月次!$A$5:$A$45,DATE(2024,7,1)),SUMIFS(貿易_月次!$B$5:$B$45,貿易_月次!$A$5:$A$45,DATE(2024,8,1)))</f>
        <v>1.11607830570033</v>
      </c>
    </row>
    <row r="8" customFormat="false" ht="15" hidden="false" customHeight="false" outlineLevel="0" collapsed="false">
      <c r="A8" s="21" t="s">
        <v>167</v>
      </c>
      <c r="B8" s="10" t="n">
        <f aca="false">SUMIFS(貿易_月次!$D$5:$D$45,貿易_月次!$A$5:$A$45,DATE(2025,9,1))/AVERAGE(SUMIFS(貿易_月次!$D$5:$D$45,貿易_月次!$A$5:$A$45,DATE(2025,7,1)),SUMIFS(貿易_月次!$D$5:$D$45,貿易_月次!$A$5:$A$45,DATE(2025,8,1)))</f>
        <v>1.21648064959323</v>
      </c>
      <c r="C8" s="10" t="n">
        <f aca="false">SUMIFS(貿易_月次!$I$5:$I$45,貿易_月次!$A$5:$A$45,DATE(2025,9,1))/AVERAGE(SUMIFS(貿易_月次!$I$5:$I$45,貿易_月次!$A$5:$A$45,DATE(2025,7,1)),SUMIFS(貿易_月次!$I$5:$I$45,貿易_月次!$A$5:$A$45,DATE(2025,8,1)))</f>
        <v>0.995527153155163</v>
      </c>
      <c r="D8" s="10" t="n">
        <f aca="false">SUMIFS(貿易_月次!$B$5:$B$45,貿易_月次!$A$5:$A$45,DATE(2025,9,1))/AVERAGE(SUMIFS(貿易_月次!$B$5:$B$45,貿易_月次!$A$5:$A$45,DATE(2025,7,1)),SUMIFS(貿易_月次!$B$5:$B$45,貿易_月次!$A$5:$A$45,DATE(2025,8,1)))</f>
        <v>1.09770713132274</v>
      </c>
    </row>
    <row r="9" customFormat="false" ht="15" hidden="false" customHeight="false" outlineLevel="0" collapsed="false">
      <c r="A9" s="4" t="s">
        <v>168</v>
      </c>
      <c r="B9" s="32" t="n">
        <f aca="false">AVERAGE(B6:B8)</f>
        <v>1.22415165190071</v>
      </c>
      <c r="C9" s="32" t="n">
        <f aca="false">AVERAGE(C6:C8)</f>
        <v>1.08115173968772</v>
      </c>
      <c r="D9" s="32" t="n">
        <f aca="false">AVERAGE(D6:D8)</f>
        <v>1.14938567675803</v>
      </c>
    </row>
    <row r="10" customFormat="false" ht="15" hidden="false" customHeight="false" outlineLevel="0" collapsed="false">
      <c r="A10" s="4" t="s">
        <v>169</v>
      </c>
      <c r="B10" s="32" t="n">
        <f aca="false">MAX(B6:B8)</f>
        <v>1.32345834409776</v>
      </c>
      <c r="C10" s="32" t="n">
        <f aca="false">MAX(C6:C8)</f>
        <v>1.14721903122323</v>
      </c>
      <c r="D10" s="32" t="n">
        <f aca="false">MAX(D6:D8)</f>
        <v>1.23437159325103</v>
      </c>
    </row>
    <row r="12" customFormat="false" ht="15" hidden="false" customHeight="false" outlineLevel="0" collapsed="false">
      <c r="A12" s="14" t="s">
        <v>170</v>
      </c>
      <c r="G12" s="14" t="s">
        <v>171</v>
      </c>
    </row>
    <row r="13" customFormat="false" ht="15" hidden="false" customHeight="false" outlineLevel="0" collapsed="false">
      <c r="A13" s="3" t="s">
        <v>172</v>
      </c>
      <c r="B13" s="3" t="s">
        <v>78</v>
      </c>
      <c r="C13" s="3" t="s">
        <v>81</v>
      </c>
      <c r="D13" s="3" t="s">
        <v>76</v>
      </c>
      <c r="E13" s="3" t="s">
        <v>173</v>
      </c>
      <c r="G13" s="3"/>
      <c r="H13" s="3" t="s">
        <v>78</v>
      </c>
      <c r="I13" s="3" t="s">
        <v>81</v>
      </c>
      <c r="J13" s="3" t="s">
        <v>76</v>
      </c>
    </row>
    <row r="14" customFormat="false" ht="15" hidden="false" customHeight="false" outlineLevel="0" collapsed="false">
      <c r="A14" s="4" t="s">
        <v>174</v>
      </c>
      <c r="B14" s="33" t="n">
        <v>1</v>
      </c>
      <c r="C14" s="33" t="n">
        <v>1</v>
      </c>
      <c r="D14" s="33" t="n">
        <v>1</v>
      </c>
      <c r="E14" s="19" t="s">
        <v>175</v>
      </c>
      <c r="G14" s="21" t="s">
        <v>176</v>
      </c>
      <c r="H14" s="25" t="n">
        <f aca="false">SUMIFS(貿易_月次!$D$5:$D$45,貿易_月次!$A$5:$A$45,DATE(2026,7,1))</f>
        <v>2073.46</v>
      </c>
      <c r="I14" s="25" t="n">
        <f aca="false">SUMIFS(貿易_月次!$I$5:$I$45,貿易_月次!$A$5:$A$45,DATE(2026,7,1))</f>
        <v>2870.91</v>
      </c>
      <c r="J14" s="25" t="n">
        <f aca="false">SUMIFS(貿易_月次!$B$5:$B$45,貿易_月次!$A$5:$A$45,DATE(2026,7,1))</f>
        <v>4944.37</v>
      </c>
    </row>
    <row r="15" customFormat="false" ht="15" hidden="false" customHeight="false" outlineLevel="0" collapsed="false">
      <c r="A15" s="4" t="s">
        <v>177</v>
      </c>
      <c r="B15" s="32" t="n">
        <f aca="false">B9</f>
        <v>1.22415165190071</v>
      </c>
      <c r="C15" s="32" t="n">
        <f aca="false">C9</f>
        <v>1.08115173968772</v>
      </c>
      <c r="D15" s="32" t="n">
        <f aca="false">D9</f>
        <v>1.14938567675803</v>
      </c>
      <c r="E15" s="2" t="s">
        <v>178</v>
      </c>
      <c r="G15" s="21" t="s">
        <v>179</v>
      </c>
      <c r="H15" s="25" t="n">
        <f aca="false">SUMIFS(貿易_月次!$D$5:$D$45,貿易_月次!$A$5:$A$45,DATE(2026,8,1))</f>
        <v>1947.91</v>
      </c>
      <c r="I15" s="25" t="n">
        <f aca="false">SUMIFS(貿易_月次!$I$5:$I$45,貿易_月次!$A$5:$A$45,DATE(2026,8,1))</f>
        <v>2949.73</v>
      </c>
      <c r="J15" s="25" t="n">
        <f aca="false">SUMIFS(貿易_月次!$B$5:$B$45,貿易_月次!$A$5:$A$45,DATE(2026,8,1))</f>
        <v>4897.64</v>
      </c>
    </row>
    <row r="16" customFormat="false" ht="15" hidden="false" customHeight="false" outlineLevel="0" collapsed="false">
      <c r="A16" s="4" t="s">
        <v>180</v>
      </c>
      <c r="B16" s="32" t="n">
        <f aca="false">B10</f>
        <v>1.32345834409776</v>
      </c>
      <c r="C16" s="32" t="n">
        <f aca="false">C10</f>
        <v>1.14721903122323</v>
      </c>
      <c r="D16" s="32" t="n">
        <f aca="false">D10</f>
        <v>1.23437159325103</v>
      </c>
      <c r="E16" s="2" t="s">
        <v>181</v>
      </c>
      <c r="G16" s="4" t="s">
        <v>182</v>
      </c>
      <c r="H16" s="20" t="n">
        <f aca="false">SUM(H14:H15)</f>
        <v>4021.37</v>
      </c>
      <c r="I16" s="20" t="n">
        <f aca="false">SUM(I14:I15)</f>
        <v>5820.64</v>
      </c>
      <c r="J16" s="20" t="n">
        <f aca="false">SUM(J14:J15)</f>
        <v>9842.01</v>
      </c>
    </row>
    <row r="17" customFormat="false" ht="15" hidden="false" customHeight="false" outlineLevel="0" collapsed="false">
      <c r="G17" s="4" t="s">
        <v>168</v>
      </c>
      <c r="H17" s="20" t="n">
        <f aca="false">AVERAGE(H14:H15)</f>
        <v>2010.685</v>
      </c>
      <c r="I17" s="20" t="n">
        <f aca="false">AVERAGE(I14:I15)</f>
        <v>2910.32</v>
      </c>
      <c r="J17" s="20" t="n">
        <f aca="false">AVERAGE(J14:J15)</f>
        <v>4921.005</v>
      </c>
    </row>
    <row r="19" customFormat="false" ht="15" hidden="false" customHeight="false" outlineLevel="0" collapsed="false">
      <c r="A19" s="14" t="s">
        <v>183</v>
      </c>
    </row>
    <row r="20" customFormat="false" ht="29.85" hidden="false" customHeight="false" outlineLevel="0" collapsed="false">
      <c r="A20" s="3" t="s">
        <v>172</v>
      </c>
      <c r="B20" s="3" t="s">
        <v>184</v>
      </c>
      <c r="C20" s="3" t="s">
        <v>185</v>
      </c>
      <c r="D20" s="3" t="s">
        <v>186</v>
      </c>
      <c r="E20" s="3" t="s">
        <v>187</v>
      </c>
      <c r="F20" s="3" t="s">
        <v>188</v>
      </c>
      <c r="G20" s="3" t="s">
        <v>189</v>
      </c>
      <c r="H20" s="3" t="s">
        <v>190</v>
      </c>
      <c r="I20" s="3" t="s">
        <v>191</v>
      </c>
      <c r="J20" s="3" t="s">
        <v>192</v>
      </c>
    </row>
    <row r="21" customFormat="false" ht="15" hidden="false" customHeight="false" outlineLevel="0" collapsed="false">
      <c r="A21" s="4" t="s">
        <v>174</v>
      </c>
      <c r="B21" s="20" t="n">
        <f aca="false">$H$16+$H$17*B14</f>
        <v>6032.055</v>
      </c>
      <c r="C21" s="20" t="n">
        <f aca="false">$I$16+$I$17*C14</f>
        <v>8730.96</v>
      </c>
      <c r="D21" s="20" t="n">
        <f aca="false">$J$16+$J$17*D14</f>
        <v>14763.015</v>
      </c>
      <c r="E21" s="25" t="n">
        <f aca="false">回帰!$C$21+回帰!$D$21*B21</f>
        <v>294.257581611698</v>
      </c>
      <c r="F21" s="25" t="n">
        <f aca="false">回帰!$C$22+回帰!$D$22*C21</f>
        <v>512.143309648231</v>
      </c>
      <c r="G21" s="20" t="n">
        <f aca="false">E21+F21</f>
        <v>806.400891259929</v>
      </c>
      <c r="H21" s="25" t="n">
        <f aca="false">G21-回帰!$F$23</f>
        <v>730.069782925533</v>
      </c>
      <c r="I21" s="25" t="n">
        <f aca="false">G21+回帰!$F$23</f>
        <v>882.731999594324</v>
      </c>
      <c r="J21" s="25" t="n">
        <f aca="false">回帰!$C$20+回帰!$D$20*D21</f>
        <v>774.175784788657</v>
      </c>
    </row>
    <row r="22" customFormat="false" ht="15" hidden="false" customHeight="false" outlineLevel="0" collapsed="false">
      <c r="A22" s="4" t="s">
        <v>177</v>
      </c>
      <c r="B22" s="20" t="n">
        <f aca="false">$H$16+$H$17*B15</f>
        <v>6482.75336420198</v>
      </c>
      <c r="C22" s="20" t="n">
        <f aca="false">$I$16+$I$17*C15</f>
        <v>8967.13753104797</v>
      </c>
      <c r="D22" s="20" t="n">
        <f aca="false">$J$16+$J$17*D15</f>
        <v>15498.1426622547</v>
      </c>
      <c r="E22" s="25" t="n">
        <f aca="false">回帰!$C$21+回帰!$D$21*B22</f>
        <v>318.439586886947</v>
      </c>
      <c r="F22" s="25" t="n">
        <f aca="false">回帰!$C$22+回帰!$D$22*C22</f>
        <v>527.105382731556</v>
      </c>
      <c r="G22" s="20" t="n">
        <f aca="false">E22+F22</f>
        <v>845.544969618503</v>
      </c>
      <c r="H22" s="25" t="n">
        <f aca="false">G22-回帰!$F$23</f>
        <v>769.213861284107</v>
      </c>
      <c r="I22" s="25" t="n">
        <f aca="false">G22+回帰!$F$23</f>
        <v>921.876077952898</v>
      </c>
      <c r="J22" s="25" t="n">
        <f aca="false">回帰!$C$20+回帰!$D$20*D22</f>
        <v>812.130730203801</v>
      </c>
    </row>
    <row r="23" customFormat="false" ht="15" hidden="false" customHeight="false" outlineLevel="0" collapsed="false">
      <c r="A23" s="4" t="s">
        <v>180</v>
      </c>
      <c r="B23" s="20" t="n">
        <f aca="false">$H$16+$H$17*B16</f>
        <v>6682.4278406022</v>
      </c>
      <c r="C23" s="20" t="n">
        <f aca="false">$I$16+$I$17*C16</f>
        <v>9159.4144909496</v>
      </c>
      <c r="D23" s="20" t="n">
        <f aca="false">$J$16+$J$17*D16</f>
        <v>15916.3587822463</v>
      </c>
      <c r="E23" s="25" t="n">
        <f aca="false">回帰!$C$21+回帰!$D$21*B23</f>
        <v>329.15302546397</v>
      </c>
      <c r="F23" s="25" t="n">
        <f aca="false">回帰!$C$22+回帰!$D$22*C23</f>
        <v>539.286312532636</v>
      </c>
      <c r="G23" s="20" t="n">
        <f aca="false">E23+F23</f>
        <v>868.439337996606</v>
      </c>
      <c r="H23" s="25" t="n">
        <f aca="false">G23-回帰!$F$23</f>
        <v>792.10822966221</v>
      </c>
      <c r="I23" s="25" t="n">
        <f aca="false">G23+回帰!$F$23</f>
        <v>944.770446331001</v>
      </c>
      <c r="J23" s="25" t="n">
        <f aca="false">回帰!$C$20+回帰!$D$20*D23</f>
        <v>833.723401546532</v>
      </c>
    </row>
    <row r="25" customFormat="false" ht="15" hidden="false" customHeight="false" outlineLevel="0" collapsed="false">
      <c r="A25" s="14" t="s">
        <v>193</v>
      </c>
    </row>
    <row r="26" customFormat="false" ht="29.85" hidden="false" customHeight="false" outlineLevel="0" collapsed="false">
      <c r="A26" s="3"/>
      <c r="B26" s="3" t="s">
        <v>194</v>
      </c>
      <c r="C26" s="3" t="s">
        <v>195</v>
      </c>
      <c r="D26" s="3" t="s">
        <v>196</v>
      </c>
      <c r="E26" s="3" t="s">
        <v>187</v>
      </c>
      <c r="F26" s="3" t="s">
        <v>188</v>
      </c>
      <c r="G26" s="3" t="s">
        <v>189</v>
      </c>
      <c r="H26" s="3" t="s">
        <v>190</v>
      </c>
      <c r="I26" s="3" t="s">
        <v>191</v>
      </c>
      <c r="J26" s="3" t="s">
        <v>192</v>
      </c>
    </row>
    <row r="27" customFormat="false" ht="15" hidden="false" customHeight="false" outlineLevel="0" collapsed="false">
      <c r="A27" s="4" t="s">
        <v>197</v>
      </c>
      <c r="B27" s="25" t="n">
        <f aca="false">四半期集計!J19</f>
        <v>5592</v>
      </c>
      <c r="C27" s="25" t="n">
        <f aca="false">四半期集計!K19</f>
        <v>8851.43</v>
      </c>
      <c r="D27" s="25" t="n">
        <f aca="false">四半期集計!I19</f>
        <v>14443.43</v>
      </c>
      <c r="E27" s="25" t="n">
        <f aca="false">回帰!$C$44+回帰!$D$44*B27</f>
        <v>263.071166698618</v>
      </c>
      <c r="F27" s="25" t="n">
        <f aca="false">回帰!$C$45+回帰!$D$45*C27</f>
        <v>529.380015138736</v>
      </c>
      <c r="G27" s="20" t="n">
        <f aca="false">E27+F27</f>
        <v>792.451181837355</v>
      </c>
      <c r="H27" s="25" t="n">
        <f aca="false">G27-回帰!$F$46</f>
        <v>714.833367459034</v>
      </c>
      <c r="I27" s="25" t="n">
        <f aca="false">G27+回帰!$F$46</f>
        <v>870.068996215675</v>
      </c>
      <c r="J27" s="25" t="n">
        <f aca="false">回帰!$C$43+回帰!$D$43*D27</f>
        <v>735.07510214364</v>
      </c>
    </row>
    <row r="29" customFormat="false" ht="15" hidden="false" customHeight="false" outlineLevel="0" collapsed="false">
      <c r="A29" s="8" t="s">
        <v>198</v>
      </c>
    </row>
    <row r="30" customFormat="false" ht="15" hidden="false" customHeight="false" outlineLevel="0" collapsed="false">
      <c r="A30" s="4" t="s">
        <v>199</v>
      </c>
      <c r="D30" s="17" t="n">
        <v>1610</v>
      </c>
    </row>
    <row r="31" customFormat="false" ht="15" hidden="false" customHeight="false" outlineLevel="0" collapsed="false">
      <c r="A31" s="21" t="s">
        <v>200</v>
      </c>
      <c r="D31" s="25" t="n">
        <f aca="false">KOKUSAI_四半期!D17</f>
        <v>754</v>
      </c>
    </row>
    <row r="32" customFormat="false" ht="15" hidden="false" customHeight="false" outlineLevel="0" collapsed="false">
      <c r="A32" s="4" t="s">
        <v>201</v>
      </c>
      <c r="D32" s="20" t="n">
        <f aca="false">D30-D31</f>
        <v>856</v>
      </c>
    </row>
    <row r="33" customFormat="false" ht="15" hidden="false" customHeight="false" outlineLevel="0" collapsed="false">
      <c r="A33" s="4" t="s">
        <v>202</v>
      </c>
      <c r="D33" s="28" t="n">
        <f aca="false">D32-G22</f>
        <v>10.4550303814974</v>
      </c>
    </row>
    <row r="34" customFormat="false" ht="15" hidden="false" customHeight="false" outlineLevel="0" collapsed="false">
      <c r="A34" s="4" t="s">
        <v>203</v>
      </c>
      <c r="D34" s="26" t="n">
        <f aca="false">D32/D27</f>
        <v>0.0592657007372902</v>
      </c>
    </row>
    <row r="35" customFormat="false" ht="15" hidden="false" customHeight="false" outlineLevel="0" collapsed="false">
      <c r="A35" s="4" t="s">
        <v>204</v>
      </c>
      <c r="D35" s="34" t="n">
        <f aca="false">MIN(四半期集計!M7:M18)</f>
        <v>0.0430255428860006</v>
      </c>
      <c r="E35" s="34" t="n">
        <f aca="false">AVERAGE(四半期集計!M7:M18)</f>
        <v>0.0535969381925261</v>
      </c>
      <c r="F35" s="34" t="n">
        <f aca="false">MAX(四半期集計!M7:M18)</f>
        <v>0.0611152303525733</v>
      </c>
    </row>
    <row r="37" customFormat="false" ht="15" hidden="false" customHeight="false" outlineLevel="0" collapsed="false">
      <c r="A37" s="8" t="s">
        <v>205</v>
      </c>
    </row>
    <row r="38" customFormat="false" ht="15" hidden="false" customHeight="false" outlineLevel="0" collapsed="false">
      <c r="A38" s="4" t="s">
        <v>206</v>
      </c>
      <c r="D38" s="20" t="n">
        <f aca="false">H17*B15</f>
        <v>2461.38336420198</v>
      </c>
    </row>
    <row r="39" customFormat="false" ht="15" hidden="false" customHeight="false" outlineLevel="0" collapsed="false">
      <c r="A39" s="4" t="s">
        <v>207</v>
      </c>
      <c r="D39" s="20" t="n">
        <f aca="false">I17*C15</f>
        <v>3146.49753104797</v>
      </c>
    </row>
    <row r="40" customFormat="false" ht="15" hidden="false" customHeight="false" outlineLevel="0" collapsed="false">
      <c r="A40" s="21" t="s">
        <v>208</v>
      </c>
      <c r="D40" s="11" t="n">
        <f aca="false">回帰!$D$21*D38+回帰!$D$22*D39</f>
        <v>331.397983789326</v>
      </c>
    </row>
    <row r="41" customFormat="false" ht="15" hidden="false" customHeight="false" outlineLevel="0" collapsed="false">
      <c r="A41" s="4" t="s">
        <v>209</v>
      </c>
      <c r="D41" s="29" t="n">
        <f aca="false">1+(D32-G22)/D40</f>
        <v>1.03154826188727</v>
      </c>
    </row>
    <row r="42" customFormat="false" ht="15" hidden="false" customHeight="false" outlineLevel="0" collapsed="false">
      <c r="A42" s="4" t="s">
        <v>210</v>
      </c>
      <c r="D42" s="20" t="n">
        <f aca="false">(D38+D39)*D41</f>
        <v>5784.79979036589</v>
      </c>
    </row>
    <row r="43" customFormat="false" ht="15" hidden="false" customHeight="false" outlineLevel="0" collapsed="false">
      <c r="A43" s="21" t="s">
        <v>211</v>
      </c>
      <c r="D43" s="25" t="n">
        <f aca="false">SUMIFS(貿易_月次!$B$5:$B$45,貿易_月次!$A$5:$A$45,DATE(2025,9,1))</f>
        <v>3844.11</v>
      </c>
    </row>
    <row r="44" customFormat="false" ht="15" hidden="false" customHeight="false" outlineLevel="0" collapsed="false">
      <c r="A44" s="4" t="s">
        <v>212</v>
      </c>
      <c r="D44" s="26" t="n">
        <f aca="false">D42/D43-1</f>
        <v>0.504847621521207</v>
      </c>
    </row>
    <row r="45" customFormat="false" ht="15" hidden="false" customHeight="false" outlineLevel="0" collapsed="false">
      <c r="A45" s="4" t="s">
        <v>213</v>
      </c>
      <c r="D45" s="34" t="n">
        <f aca="false">J14/SUMIFS(貿易_月次!$B$5:$B$45,貿易_月次!$A$5:$A$45,DATE(2025,7,1))-1</f>
        <v>0.408881214328253</v>
      </c>
      <c r="E45" s="34" t="n">
        <f aca="false">J15/SUMIFS(貿易_月次!$B$5:$B$45,貿易_月次!$A$5:$A$45,DATE(2025,8,1))-1</f>
        <v>0.401544158467975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3" t="s">
        <v>214</v>
      </c>
    </row>
    <row r="3" customFormat="false" ht="15" hidden="false" customHeight="false" outlineLevel="0" collapsed="false">
      <c r="A3" s="8" t="s">
        <v>215</v>
      </c>
    </row>
    <row r="4" customFormat="false" ht="15" hidden="false" customHeight="false" outlineLevel="0" collapsed="false">
      <c r="A4" s="4" t="s">
        <v>216</v>
      </c>
    </row>
    <row r="5" customFormat="false" ht="15" hidden="false" customHeight="false" outlineLevel="0" collapsed="false">
      <c r="A5" s="4" t="s">
        <v>217</v>
      </c>
    </row>
    <row r="6" customFormat="false" ht="15" hidden="false" customHeight="false" outlineLevel="0" collapsed="false">
      <c r="A6" s="21" t="s">
        <v>218</v>
      </c>
    </row>
    <row r="7" customFormat="false" ht="15" hidden="false" customHeight="false" outlineLevel="0" collapsed="false">
      <c r="A7" s="21" t="s">
        <v>219</v>
      </c>
    </row>
    <row r="8" customFormat="false" ht="15" hidden="false" customHeight="false" outlineLevel="0" collapsed="false">
      <c r="A8" s="21" t="s">
        <v>220</v>
      </c>
    </row>
    <row r="9" customFormat="false" ht="15" hidden="false" customHeight="false" outlineLevel="0" collapsed="false">
      <c r="A9" s="21" t="s">
        <v>221</v>
      </c>
    </row>
    <row r="10" customFormat="false" ht="15" hidden="false" customHeight="false" outlineLevel="0" collapsed="false">
      <c r="A10" s="4" t="s">
        <v>222</v>
      </c>
    </row>
    <row r="11" customFormat="false" ht="15" hidden="false" customHeight="false" outlineLevel="0" collapsed="false">
      <c r="A11" s="4"/>
    </row>
    <row r="12" customFormat="false" ht="15" hidden="false" customHeight="false" outlineLevel="0" collapsed="false">
      <c r="A12" s="8" t="s">
        <v>223</v>
      </c>
    </row>
    <row r="13" customFormat="false" ht="15" hidden="false" customHeight="false" outlineLevel="0" collapsed="false">
      <c r="A13" s="21" t="s">
        <v>224</v>
      </c>
    </row>
    <row r="14" customFormat="false" ht="15" hidden="false" customHeight="false" outlineLevel="0" collapsed="false">
      <c r="A14" s="21" t="s">
        <v>225</v>
      </c>
    </row>
    <row r="15" customFormat="false" ht="15" hidden="false" customHeight="false" outlineLevel="0" collapsed="false">
      <c r="A15" s="21" t="s">
        <v>226</v>
      </c>
    </row>
    <row r="16" customFormat="false" ht="15" hidden="false" customHeight="false" outlineLevel="0" collapsed="false">
      <c r="A16" s="21" t="s">
        <v>227</v>
      </c>
    </row>
    <row r="17" customFormat="false" ht="15" hidden="false" customHeight="false" outlineLevel="0" collapsed="false">
      <c r="A17" s="21" t="s">
        <v>228</v>
      </c>
    </row>
    <row r="18" customFormat="false" ht="15" hidden="false" customHeight="false" outlineLevel="0" collapsed="false">
      <c r="A18" s="21" t="s">
        <v>229</v>
      </c>
    </row>
    <row r="19" customFormat="false" ht="15" hidden="false" customHeight="false" outlineLevel="0" collapsed="false">
      <c r="A19" s="21"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2026-09-28T04:03:59Z</dcterms:created>
  <dc:creator>openpyxl</dc:creator>
  <dc:description/>
  <dc:language>en-US</dc:language>
  <cp:lastModifiedBy/>
  <dcterms:modified xsi:type="dcterms:W3CDTF">2026-09-28T13:04:01Z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