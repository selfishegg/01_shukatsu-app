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9a9b70f1f743ad" /></Relationships>
</file>

<file path=xl/workbook.xml><?xml version="1.0" encoding="utf-8"?>
<x:workbook xmlns:x="http://schemas.openxmlformats.org/spreadsheetml/2006/main">
  <x:sheets>
    <x:sheet xmlns:r="http://schemas.openxmlformats.org/officeDocument/2006/relationships" name="取得状況" sheetId="1" r:id="R75964f610f3a4882"/>
    <x:sheet xmlns:r="http://schemas.openxmlformats.org/officeDocument/2006/relationships" name="月次データ" sheetId="2" r:id="R111a52005c10461c"/>
    <x:sheet xmlns:r="http://schemas.openxmlformats.org/officeDocument/2006/relationships" name="品目一覧" sheetId="3" r:id="Rc32f5c46a39d47e5"/>
    <x:sheet xmlns:r="http://schemas.openxmlformats.org/officeDocument/2006/relationships" name="照会原表" sheetId="4" r:id="Rbcb078dce9ee472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
    <x:numFmt numFmtId="201" formatCode="yyyy-mm-dd"/>
    <x:numFmt numFmtId="202" formatCode="#,##0"/>
  </x:numFmts>
  <x:fonts count="4">
    <x:font>
      <x:sz val="11"/>
      <x:name val="Carlito"/>
    </x:font>
    <x:font>
      <x:sz val="10"/>
      <x:name val="Noto Sans CJK JP"/>
    </x:font>
    <x:font>
      <x:b/>
      <x:sz val="10"/>
      <x:color rgb="FFFFFFFF"/>
      <x:name val="Noto Sans CJK JP"/>
    </x:font>
    <x:font>
      <x:b/>
      <x:sz val="14"/>
      <x:name val="Noto Sans CJK JP"/>
    </x:font>
  </x:fonts>
  <x:fills count="3">
    <x:fill>
      <x:patternFill patternType="none"/>
    </x:fill>
    <x:fill>
      <x:patternFill patternType="gray125"/>
    </x:fill>
    <x:fill>
      <x:patternFill patternType="solid">
        <x:fgColor rgb="FF24445B"/>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dxfs count="1">
    <x:dxf>
      <x:font>
        <x:color rgb="FF9C57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a8d9edb4e54f37" /><Relationship Type="http://schemas.openxmlformats.org/officeDocument/2006/relationships/theme" Target="/xl/theme/theme1.xml" Id="Rbbea240ff3f94063" /><Relationship Type="http://schemas.openxmlformats.org/officeDocument/2006/relationships/sharedStrings" Target="/xl/sharedStrings.xml" Id="Rb6288128435c4385" /><Relationship Type="http://schemas.openxmlformats.org/officeDocument/2006/relationships/worksheet" Target="/xl/worksheets/sheet1.xml" Id="R75964f610f3a4882" /><Relationship Type="http://schemas.openxmlformats.org/officeDocument/2006/relationships/worksheet" Target="/xl/worksheets/sheet2.xml" Id="R111a52005c10461c" /><Relationship Type="http://schemas.openxmlformats.org/officeDocument/2006/relationships/worksheet" Target="/xl/worksheets/sheet3.xml" Id="Rc32f5c46a39d47e5" /><Relationship Type="http://schemas.openxmlformats.org/officeDocument/2006/relationships/worksheet" Target="/xl/worksheets/sheet4.xml" Id="Rbcb078dce9ee4727" /></Relationships>
</file>

<file path=xl/tables/table1.xml><?xml version="1.0" encoding="utf-8"?>
<x:table xmlns:x="http://schemas.openxmlformats.org/spreadsheetml/2006/main" id="1" name="TaiwanMonthly" displayName="TaiwanMonthly" ref="A1:K529" headerRowCount="1" totalsRowCount="0" totalsRowShown="0">
  <x:tableColumns count="11">
    <x:tableColumn id="1" name="年月"/>
    <x:tableColumn id="2" name="CCCコード"/>
    <x:tableColumn id="3" name="HS区分"/>
    <x:tableColumn id="4" name="品目（日本語要約）"/>
    <x:tableColumn id="5" name="原表表示額（USD）"/>
    <x:tableColumn id="6" name="分析用金額（USD）"/>
    <x:tableColumn id="7" name="利用状態"/>
    <x:tableColumn id="8" name="原表前年額（USD）"/>
    <x:tableColumn id="9" name="秘匿影響期間"/>
    <x:tableColumn id="10" name="コード桁数"/>
    <x:tableColumn id="11" name="取得日"/>
  </x:tableColumns>
  <x:tableStyleInfo name="TableStyleMedium2" showFirstColumn="0" showLastColumn="0" showRowStripes="1" showColumnStripes="0"/>
</x:table>
</file>

<file path=xl/tables/table2.xml><?xml version="1.0" encoding="utf-8"?>
<x:table xmlns:x="http://schemas.openxmlformats.org/spreadsheetml/2006/main" id="2" name="TaiwanCodes" displayName="TaiwanCodes" ref="A1:E24" headerRowCount="1" totalsRowCount="0" totalsRowShown="0">
  <x:tableColumns count="5">
    <x:tableColumn id="1" name="CCCコード"/>
    <x:tableColumn id="2" name="日本語要約"/>
    <x:tableColumn id="3" name="公表英語品名"/>
    <x:tableColumn id="4" name="2023/1〜2026/8 表示額 USD"/>
    <x:tableColumn id="5" name="取得・利用状態"/>
  </x:tableColumns>
  <x:tableStyleInfo name="TableStyleMedium2" showFirstColumn="0" showLastColumn="0" showRowStripes="1" showColumnStripes="0"/>
</x:table>
</file>

<file path=xl/tables/table3.xml><?xml version="1.0" encoding="utf-8"?>
<x:table xmlns:x="http://schemas.openxmlformats.org/spreadsheetml/2006/main" id="3" name="TaiwanRaw" displayName="TaiwanRaw" ref="A1:F613" headerRowCount="1" totalsRowCount="0" totalsRowShown="0">
  <x:tableColumns count="6">
    <x:tableColumn id="1" name="照会コード"/>
    <x:tableColumn id="2" name="原表第1列"/>
    <x:tableColumn id="3" name="原表第2列"/>
    <x:tableColumn id="4" name="原表第3列"/>
    <x:tableColumn id="5" name="原表第4列"/>
    <x:tableColumn id="6" name="原表第5列"/>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3619de8e8b44a6" /></Relationships>
</file>

<file path=xl/worksheets/_rels/sheet3.xml.rels>&#65279;<?xml version="1.0" encoding="utf-8"?><Relationships xmlns="http://schemas.openxmlformats.org/package/2006/relationships"><Relationship Type="http://schemas.openxmlformats.org/officeDocument/2006/relationships/table" Target="/xl/tables/table2.xml" Id="R669f0861e7c94d27" /></Relationships>
</file>

<file path=xl/worksheets/_rels/sheet4.xml.rels>&#65279;<?xml version="1.0" encoding="utf-8"?><Relationships xmlns="http://schemas.openxmlformats.org/package/2006/relationships"><Relationship Type="http://schemas.openxmlformats.org/officeDocument/2006/relationships/table" Target="/xl/tables/table3.xml" Id="R23957744016b4328" /></Relationships>
</file>

<file path=xl/worksheets/sheet1.xml><?xml version="1.0" encoding="utf-8"?>
<x:worksheet xmlns:x="http://schemas.openxmlformats.org/spreadsheetml/2006/main">
  <x:sheetPr>
    <x:tabColor rgb="FF24445B"/>
  </x:sheetPr>
  <x:sheetViews>
    <x:sheetView showGridLines="0" workbookViewId="0">
      <x:pane ySplit="6" topLeftCell="A7" activePane="bottomLeft" state="frozen"/>
    </x:sheetView>
  </x:sheetViews>
  <x:sheetFormatPr defaultRowHeight="15"/>
  <x:cols>
    <x:col min="1" max="1" width="19" hidden="0" customWidth="1"/>
    <x:col min="2" max="2" width="47" hidden="0" customWidth="1"/>
    <x:col min="3" max="3" width="14" hidden="0" customWidth="1"/>
    <x:col min="4" max="4" width="14" hidden="0" customWidth="1"/>
    <x:col min="5" max="5" width="23" hidden="0" customWidth="1"/>
    <x:col min="6" max="6" width="23" hidden="0" customWidth="1"/>
    <x:col min="7" max="7" width="23" hidden="0" customWidth="1"/>
    <x:col min="8" max="8" width="23" hidden="0" customWidth="1"/>
  </x:cols>
  <x:sheetData>
    <x:row r="1" ht="22" customHeight="1">
      <x:c r="A1" s="2"/>
      <x:c r="B1" s="2"/>
      <x:c r="C1" s="2"/>
      <x:c r="D1" s="2"/>
      <x:c r="E1" s="2"/>
      <x:c r="F1" s="2"/>
      <x:c r="G1" s="2"/>
      <x:c r="H1" s="2"/>
    </x:row>
    <x:row r="2" ht="22" customHeight="1">
      <x:c r="A2" s="10" t="str">
        <x:v>台湾の日本からの輸入 月次データ</x:v>
      </x:c>
      <x:c r="B2" s="2"/>
      <x:c r="C2" s="2"/>
      <x:c r="D2" s="2"/>
      <x:c r="E2" s="2"/>
      <x:c r="F2" s="2"/>
      <x:c r="G2" s="2"/>
      <x:c r="H2" s="2"/>
    </x:row>
    <x:row r="3" ht="22" customHeight="1">
      <x:c r="A3" s="2"/>
      <x:c r="B3" s="2"/>
      <x:c r="C3" s="2"/>
      <x:c r="D3" s="2"/>
      <x:c r="E3" s="2"/>
      <x:c r="F3" s="2"/>
      <x:c r="G3" s="2"/>
      <x:c r="H3" s="2"/>
    </x:row>
    <x:row r="4" ht="22" customHeight="1">
      <x:c r="A4" s="2" t="str">
        <x:v>期間：2023年1月〜2026年8月。輸入額は米ドル。再輸入を含む。</x:v>
      </x:c>
      <x:c r="B4" s="2"/>
      <x:c r="C4" s="2"/>
      <x:c r="D4" s="2"/>
      <x:c r="E4" s="2"/>
      <x:c r="F4" s="2"/>
      <x:c r="G4" s="2"/>
      <x:c r="H4" s="2"/>
    </x:row>
    <x:row r="5" ht="22" customHeight="1">
      <x:c r="A5" s="2"/>
      <x:c r="B5" s="2"/>
      <x:c r="C5" s="2"/>
      <x:c r="D5" s="2"/>
      <x:c r="E5" s="2"/>
      <x:c r="F5" s="2"/>
      <x:c r="G5" s="2"/>
      <x:c r="H5" s="2"/>
    </x:row>
    <x:row r="6" ht="34" customHeight="1">
      <x:c r="A6" s="6" t="str">
        <x:v>CCCコード</x:v>
      </x:c>
      <x:c r="B6" s="6" t="str">
        <x:v>品目</x:v>
      </x:c>
      <x:c r="C6" s="6" t="str">
        <x:v>取得月数</x:v>
      </x:c>
      <x:c r="D6" s="6" t="str">
        <x:v>利用可能月数</x:v>
      </x:c>
      <x:c r="E6" s="6" t="str">
        <x:v>原表期間合計 USD</x:v>
      </x:c>
      <x:c r="F6" s="6" t="str">
        <x:v>月次合計 USD</x:v>
      </x:c>
      <x:c r="G6" s="6" t="str">
        <x:v>差額 USD</x:v>
      </x:c>
      <x:c r="H6" s="6" t="str">
        <x:v>秘匿影響期間</x:v>
      </x:c>
    </x:row>
    <x:row r="7" ht="22" customHeight="1">
      <x:c r="A7" s="2" t="str">
        <x:v>84861000201</x:v>
      </x:c>
      <x:c r="B7" s="2" t="str">
        <x:v>ウエハー研削・研磨・ラッピング</x:v>
      </x:c>
      <x:c r="C7" s="2" t="n">
        <x:v>44</x:v>
      </x:c>
      <x:c r="D7" s="2" t="n">
        <x:v>27</x:v>
      </x:c>
      <x:c r="E7" s="9" t="n">
        <x:v>2177876933</x:v>
      </x:c>
      <x:c r="F7" s="9" t="n">
        <x:f>SUMIFS('月次データ'!$E$2:$E$529,'月次データ'!$B$2:$B$529,A7)</x:f>
        <x:v>2177876933</x:v>
      </x:c>
      <x:c r="G7" s="9" t="n">
        <x:f>F7-E7</x:f>
        <x:v>0</x:v>
      </x:c>
      <x:c r="H7" s="2" t="str">
        <x:v>202301-202405</x:v>
      </x:c>
    </x:row>
    <x:row r="8" ht="22" customHeight="1">
      <x:c r="A8" s="2" t="str">
        <x:v>84862000209</x:v>
      </x:c>
      <x:c r="B8" s="2" t="str">
        <x:v>ウエハーのレーザー等加工装置</x:v>
      </x:c>
      <x:c r="C8" s="2" t="n">
        <x:v>44</x:v>
      </x:c>
      <x:c r="D8" s="2" t="n">
        <x:v>43</x:v>
      </x:c>
      <x:c r="E8" s="9" t="n">
        <x:v>352723683</x:v>
      </x:c>
      <x:c r="F8" s="9" t="n">
        <x:f>SUMIFS('月次データ'!$E$2:$E$529,'月次データ'!$B$2:$B$529,A8)</x:f>
        <x:v>352723683</x:v>
      </x:c>
      <x:c r="G8" s="9" t="n">
        <x:f>F8-E8</x:f>
        <x:v>0</x:v>
      </x:c>
      <x:c r="H8" s="2" t="str"/>
    </x:row>
    <x:row r="9" ht="22" customHeight="1">
      <x:c r="A9" s="2" t="str">
        <x:v>84862000325</x:v>
      </x:c>
      <x:c r="B9" s="2" t="str">
        <x:v>洗浄・剥離・エッチング用噴霧装置</x:v>
      </x:c>
      <x:c r="C9" s="2" t="n">
        <x:v>44</x:v>
      </x:c>
      <x:c r="D9" s="2" t="n">
        <x:v>43</x:v>
      </x:c>
      <x:c r="E9" s="9" t="n">
        <x:v>675770927</x:v>
      </x:c>
      <x:c r="F9" s="9" t="n">
        <x:f>SUMIFS('月次データ'!$E$2:$E$529,'月次データ'!$B$2:$B$529,A9)</x:f>
        <x:v>675770927</x:v>
      </x:c>
      <x:c r="G9" s="9" t="n">
        <x:f>F9-E9</x:f>
        <x:v>0</x:v>
      </x:c>
      <x:c r="H9" s="2" t="str"/>
    </x:row>
    <x:row r="10" ht="22" customHeight="1">
      <x:c r="A10" s="2" t="str">
        <x:v>84862000619</x:v>
      </x:c>
      <x:c r="B10" s="2" t="str">
        <x:v>露光装置（ステップ・アンド・リピート）</x:v>
      </x:c>
      <x:c r="C10" s="2" t="n">
        <x:v>44</x:v>
      </x:c>
      <x:c r="D10" s="2" t="n">
        <x:v>38</x:v>
      </x:c>
      <x:c r="E10" s="9" t="n">
        <x:v>425940858</x:v>
      </x:c>
      <x:c r="F10" s="9" t="n">
        <x:f>SUMIFS('月次データ'!$E$2:$E$529,'月次データ'!$B$2:$B$529,A10)</x:f>
        <x:v>425940858</x:v>
      </x:c>
      <x:c r="G10" s="9" t="n">
        <x:f>F10-E10</x:f>
        <x:v>0</x:v>
      </x:c>
      <x:c r="H10" s="2" t="str"/>
    </x:row>
    <x:row r="11" ht="22" customHeight="1">
      <x:c r="A11" s="2" t="str">
        <x:v>84862000735</x:v>
      </x:c>
      <x:c r="B11" s="2" t="str">
        <x:v>フォトレジスト塗布装置</x:v>
      </x:c>
      <x:c r="C11" s="2" t="n">
        <x:v>44</x:v>
      </x:c>
      <x:c r="D11" s="2" t="n">
        <x:v>44</x:v>
      </x:c>
      <x:c r="E11" s="9" t="n">
        <x:v>2463345494</x:v>
      </x:c>
      <x:c r="F11" s="9" t="n">
        <x:f>SUMIFS('月次データ'!$E$2:$E$529,'月次データ'!$B$2:$B$529,A11)</x:f>
        <x:v>2463345494</x:v>
      </x:c>
      <x:c r="G11" s="9" t="n">
        <x:f>F11-E11</x:f>
        <x:v>0</x:v>
      </x:c>
      <x:c r="H11" s="2" t="str"/>
    </x:row>
    <x:row r="12" ht="22" customHeight="1">
      <x:c r="A12" s="2" t="str">
        <x:v>84862000904</x:v>
      </x:c>
      <x:c r="B12" s="2" t="str">
        <x:v>その他半導体前工程装置</x:v>
      </x:c>
      <x:c r="C12" s="2" t="n">
        <x:v>44</x:v>
      </x:c>
      <x:c r="D12" s="2" t="n">
        <x:v>44</x:v>
      </x:c>
      <x:c r="E12" s="9" t="n">
        <x:v>1535285163</x:v>
      </x:c>
      <x:c r="F12" s="9" t="n">
        <x:f>SUMIFS('月次データ'!$E$2:$E$529,'月次データ'!$B$2:$B$529,A12)</x:f>
        <x:v>1535285163</x:v>
      </x:c>
      <x:c r="G12" s="9" t="n">
        <x:f>F12-E12</x:f>
        <x:v>0</x:v>
      </x:c>
      <x:c r="H12" s="2" t="str"/>
    </x:row>
    <x:row r="13" ht="22" customHeight="1">
      <x:c r="A13" s="2" t="str">
        <x:v>84864000900</x:v>
      </x:c>
      <x:c r="B13" s="2" t="str">
        <x:v>組立・搬送等の装置（類注11C）</x:v>
      </x:c>
      <x:c r="C13" s="2" t="n">
        <x:v>44</x:v>
      </x:c>
      <x:c r="D13" s="2" t="n">
        <x:v>44</x:v>
      </x:c>
      <x:c r="E13" s="9" t="n">
        <x:v>444622925</x:v>
      </x:c>
      <x:c r="F13" s="9" t="n">
        <x:f>SUMIFS('月次データ'!$E$2:$E$529,'月次データ'!$B$2:$B$529,A13)</x:f>
        <x:v>444622925</x:v>
      </x:c>
      <x:c r="G13" s="9" t="n">
        <x:f>F13-E13</x:f>
        <x:v>0</x:v>
      </x:c>
      <x:c r="H13" s="2" t="str"/>
    </x:row>
    <x:row r="14" ht="22" customHeight="1">
      <x:c r="A14" s="2" t="str">
        <x:v>84869000106</x:v>
      </x:c>
      <x:c r="B14" s="2" t="str">
        <x:v>CVD装置部品</x:v>
      </x:c>
      <x:c r="C14" s="2" t="n">
        <x:v>44</x:v>
      </x:c>
      <x:c r="D14" s="2" t="n">
        <x:v>44</x:v>
      </x:c>
      <x:c r="E14" s="9" t="n">
        <x:v>254483557</x:v>
      </x:c>
      <x:c r="F14" s="9" t="n">
        <x:f>SUMIFS('月次データ'!$E$2:$E$529,'月次データ'!$B$2:$B$529,A14)</x:f>
        <x:v>254483557</x:v>
      </x:c>
      <x:c r="G14" s="9" t="n">
        <x:f>F14-E14</x:f>
        <x:v>0</x:v>
      </x:c>
      <x:c r="H14" s="2" t="str"/>
    </x:row>
    <x:row r="15" ht="22" customHeight="1">
      <x:c r="A15" s="2" t="str">
        <x:v>84869000400</x:v>
      </x:c>
      <x:c r="B15" s="2" t="str">
        <x:v>ドライエッチ装置部品</x:v>
      </x:c>
      <x:c r="C15" s="2" t="n">
        <x:v>44</x:v>
      </x:c>
      <x:c r="D15" s="2" t="n">
        <x:v>44</x:v>
      </x:c>
      <x:c r="E15" s="9" t="n">
        <x:v>1138883832</x:v>
      </x:c>
      <x:c r="F15" s="9" t="n">
        <x:f>SUMIFS('月次データ'!$E$2:$E$529,'月次データ'!$B$2:$B$529,A15)</x:f>
        <x:v>1138883832</x:v>
      </x:c>
      <x:c r="G15" s="9" t="n">
        <x:f>F15-E15</x:f>
        <x:v>0</x:v>
      </x:c>
      <x:c r="H15" s="2" t="str"/>
    </x:row>
    <x:row r="16" ht="22" customHeight="1">
      <x:c r="A16" s="2" t="str">
        <x:v>84869000605</x:v>
      </x:c>
      <x:c r="B16" s="2" t="str">
        <x:v>PVD装置部品</x:v>
      </x:c>
      <x:c r="C16" s="2" t="n">
        <x:v>44</x:v>
      </x:c>
      <x:c r="D16" s="2" t="n">
        <x:v>44</x:v>
      </x:c>
      <x:c r="E16" s="9" t="n">
        <x:v>63458410</x:v>
      </x:c>
      <x:c r="F16" s="9" t="n">
        <x:f>SUMIFS('月次データ'!$E$2:$E$529,'月次データ'!$B$2:$B$529,A16)</x:f>
        <x:v>63458410</x:v>
      </x:c>
      <x:c r="G16" s="9" t="n">
        <x:f>F16-E16</x:f>
        <x:v>0</x:v>
      </x:c>
      <x:c r="H16" s="2" t="str"/>
    </x:row>
    <x:row r="17" ht="22" customHeight="1">
      <x:c r="A17" s="2" t="str">
        <x:v>84869000909</x:v>
      </x:c>
      <x:c r="B17" s="2" t="str">
        <x:v>その他製造装置部品</x:v>
      </x:c>
      <x:c r="C17" s="2" t="n">
        <x:v>44</x:v>
      </x:c>
      <x:c r="D17" s="2" t="n">
        <x:v>44</x:v>
      </x:c>
      <x:c r="E17" s="9" t="n">
        <x:v>3035379059</x:v>
      </x:c>
      <x:c r="F17" s="9" t="n">
        <x:f>SUMIFS('月次データ'!$E$2:$E$529,'月次データ'!$B$2:$B$529,A17)</x:f>
        <x:v>3035379059</x:v>
      </x:c>
      <x:c r="G17" s="9" t="n">
        <x:f>F17-E17</x:f>
        <x:v>0</x:v>
      </x:c>
      <x:c r="H17" s="2" t="str"/>
    </x:row>
    <x:row r="18" ht="22" customHeight="1">
      <x:c r="A18" s="2" t="str">
        <x:v>8486</x:v>
      </x:c>
      <x:c r="B18" s="2" t="str">
        <x:v>半導体・FPD製造装置及び部品 合計</x:v>
      </x:c>
      <x:c r="C18" s="2" t="n">
        <x:v>44</x:v>
      </x:c>
      <x:c r="D18" s="2" t="n">
        <x:v>44</x:v>
      </x:c>
      <x:c r="E18" s="9" t="n">
        <x:v>20897346818</x:v>
      </x:c>
      <x:c r="F18" s="9" t="n">
        <x:f>SUMIFS('月次データ'!$E$2:$E$529,'月次データ'!$B$2:$B$529,A18)</x:f>
        <x:v>20897346818</x:v>
      </x:c>
      <x:c r="G18" s="9" t="n">
        <x:f>F18-E18</x:f>
        <x:v>0</x:v>
      </x:c>
      <x:c r="H18" s="2" t="str"/>
    </x:row>
    <x:row r="19" ht="22" customHeight="1">
      <x:c r="A19" s="2"/>
      <x:c r="B19" s="2"/>
      <x:c r="C19" s="2"/>
      <x:c r="D19" s="2"/>
      <x:c r="E19" s="2"/>
      <x:c r="F19" s="2"/>
      <x:c r="G19" s="2"/>
      <x:c r="H19" s="2"/>
    </x:row>
    <x:row r="20" ht="22" customHeight="1">
      <x:c r="A20" s="2"/>
      <x:c r="B20" s="2"/>
      <x:c r="C20" s="2"/>
      <x:c r="D20" s="2"/>
      <x:c r="E20" s="2"/>
      <x:c r="F20" s="2"/>
      <x:c r="G20" s="2"/>
      <x:c r="H20" s="2"/>
    </x:row>
    <x:row r="21" ht="22" customHeight="1">
      <x:c r="A21" s="2" t="str">
        <x:v>使い方：月次データのF列「分析用金額」を使用。G列が「利用可」の行だけを集計します。</x:v>
      </x:c>
      <x:c r="B21" s="2"/>
      <x:c r="C21" s="2"/>
      <x:c r="D21" s="2"/>
      <x:c r="E21" s="2"/>
      <x:c r="F21" s="2"/>
      <x:c r="G21" s="2"/>
      <x:c r="H21" s="2"/>
    </x:row>
    <x:row r="22" ht="22" customHeight="1">
      <x:c r="A22" s="2" t="str">
        <x:v>重要：4桁の8486合計と11桁の内訳を足すと二重計上になります。</x:v>
      </x:c>
      <x:c r="B22" s="2"/>
      <x:c r="C22" s="2"/>
      <x:c r="D22" s="2"/>
      <x:c r="E22" s="2"/>
      <x:c r="F22" s="2"/>
      <x:c r="G22" s="2"/>
      <x:c r="H22" s="2"/>
    </x:row>
    <x:row r="23" ht="22" customHeight="1">
      <x:c r="A23" s="2" t="str">
        <x:v>秘匿：原表にEffected Periodと表示された月は、他国・他品目の集約額が混在し得るため除外します。</x:v>
      </x:c>
      <x:c r="B23" s="2"/>
      <x:c r="C23" s="2"/>
      <x:c r="D23" s="2"/>
      <x:c r="E23" s="2"/>
      <x:c r="F23" s="2"/>
      <x:c r="G23" s="2"/>
      <x:c r="H23" s="2"/>
    </x:row>
    <x:row r="24" ht="22" customHeight="1">
      <x:c r="A24" s="2" t="str">
        <x:v>秘匿集約を差し引いて特定企業や非公表の国別金額を推計する処理は行っていません。</x:v>
      </x:c>
      <x:c r="B24" s="2"/>
      <x:c r="C24" s="2"/>
      <x:c r="D24" s="2"/>
      <x:c r="E24" s="2"/>
      <x:c r="F24" s="2"/>
      <x:c r="G24" s="2"/>
      <x:c r="H24" s="2"/>
    </x:row>
    <x:row r="25" ht="22" customHeight="1">
      <x:c r="A25" s="2" t="str">
        <x:v>範囲：品目一覧は8486の照会結果に現れたコード。FPD製造装置・部品も別コードとして保持しています。</x:v>
      </x:c>
      <x:c r="B25" s="2"/>
      <x:c r="C25" s="2"/>
      <x:c r="D25" s="2"/>
      <x:c r="E25" s="2"/>
      <x:c r="F25" s="2"/>
      <x:c r="G25" s="2"/>
      <x:c r="H25" s="2"/>
    </x:row>
    <x:row r="26" ht="22" customHeight="1">
      <x:c r="A26" s="2" t="str">
        <x:v>限界：重量・数量はこのファイルでは未取得。11桁で秘匿された装置は、日本分の工程別系列として利用できません。</x:v>
      </x:c>
      <x:c r="B26" s="2"/>
      <x:c r="C26" s="2"/>
      <x:c r="D26" s="2"/>
      <x:c r="E26" s="2"/>
      <x:c r="F26" s="2"/>
      <x:c r="G26" s="2"/>
      <x:c r="H26" s="2"/>
    </x:row>
    <x:row r="27" ht="22" customHeight="1">
      <x:c r="A27" s="2" t="str">
        <x:v>期間合計と月次合計の一致は転記確認です。秘匿額の日本分としての正しさを示すものではありません。</x:v>
      </x:c>
      <x:c r="B27" s="2"/>
      <x:c r="C27" s="2"/>
      <x:c r="D27" s="2"/>
      <x:c r="E27" s="2"/>
      <x:c r="F27" s="2"/>
      <x:c r="G27" s="2"/>
      <x:c r="H27" s="2"/>
    </x:row>
    <x:row r="28" ht="22" customHeight="1">
      <x:c r="A28" s="2" t="str">
        <x:v>金額は企業売上ではありません。企業予測では品目対応、検収までの時間差、為替を別途確認してください。</x:v>
      </x:c>
      <x:c r="B28" s="2"/>
      <x:c r="C28" s="2"/>
      <x:c r="D28" s="2"/>
      <x:c r="E28" s="2"/>
      <x:c r="F28" s="2"/>
      <x:c r="G28" s="2"/>
      <x:c r="H28" s="2"/>
    </x:row>
    <x:row r="29" ht="22" customHeight="1">
      <x:c r="A29" s="2" t="str">
        <x:v>更新：同じ条件で月次照会し、元の公表値と秘匿影響期間を保存します。欠測を0に置き換えないでください。</x:v>
      </x:c>
      <x:c r="B29" s="2"/>
      <x:c r="C29" s="2"/>
      <x:c r="D29" s="2"/>
      <x:c r="E29" s="2"/>
      <x:c r="F29" s="2"/>
      <x:c r="G29" s="2"/>
      <x:c r="H29" s="2"/>
    </x:row>
    <x:row r="30" ht="22" customHeight="1">
      <x:c r="A30" s="2" t="str">
        <x:v>出所：International Trade Administration, Customs Administration, Ministry of Finance, R.O.C.</x:v>
      </x:c>
      <x:c r="B30" s="2"/>
      <x:c r="C30" s="2"/>
      <x:c r="D30" s="2"/>
      <x:c r="E30" s="2"/>
      <x:c r="F30" s="2"/>
      <x:c r="G30" s="2"/>
      <x:c r="H30" s="2"/>
    </x:row>
    <x:row r="31" ht="22" customHeight="1">
      <x:c r="A31" s="2" t="str">
        <x:v>https://publicinfo.trade.gov.tw/cuswebo/FSCE3000C?table=FSCE3010F</x:v>
      </x:c>
      <x:c r="B31" s="2"/>
      <x:c r="C31" s="2"/>
      <x:c r="D31" s="2"/>
      <x:c r="E31" s="2"/>
      <x:c r="F31" s="2"/>
      <x:c r="G31" s="2"/>
      <x:c r="H31" s="2"/>
    </x:row>
    <x:row r="32" ht="22" customHeight="1">
      <x:c r="A32" s="2" t="str">
        <x:v>品目一覧：https://publicinfo.trade.gov.tw/cuswebo/FSCE3000C?table=FSCE3020F</x:v>
      </x:c>
      <x:c r="B32" s="2"/>
      <x:c r="C32" s="2"/>
      <x:c r="D32" s="2"/>
      <x:c r="E32" s="2"/>
      <x:c r="F32" s="2"/>
      <x:c r="G32" s="2"/>
      <x:c r="H32" s="2"/>
    </x:row>
    <x:row r="33" ht="22" customHeight="1">
      <x:c r="A33" s="2" t="str">
        <x:v>秘匿説明：https://publicinfo.trade.gov.tw/cuswebo/Excel_Temp/Ex.pdf</x:v>
      </x:c>
      <x:c r="B33" s="2"/>
      <x:c r="C33" s="2"/>
      <x:c r="D33" s="2"/>
      <x:c r="E33" s="2"/>
      <x:c r="F33" s="2"/>
      <x:c r="G33" s="2"/>
      <x:c r="H33" s="2"/>
    </x:row>
    <x:row r="34" ht="22" customHeight="1">
      <x:c r="A34" s="2"/>
      <x:c r="B34" s="2"/>
      <x:c r="C34" s="2"/>
      <x:c r="D34" s="2"/>
      <x:c r="E34" s="2"/>
      <x:c r="F34" s="2"/>
      <x:c r="G34" s="2"/>
      <x:c r="H34"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 hidden="0" customWidth="1"/>
    <x:col min="3" max="3" width="12" hidden="0" customWidth="1"/>
    <x:col min="4" max="4" width="45" hidden="0" customWidth="1"/>
    <x:col min="5" max="5" width="23" hidden="0" customWidth="1"/>
    <x:col min="6" max="6" width="23" hidden="0" customWidth="1"/>
    <x:col min="7" max="7" width="27" hidden="0" customWidth="1"/>
    <x:col min="8" max="8" width="23" hidden="0" customWidth="1"/>
    <x:col min="9" max="9" width="24" hidden="0" customWidth="1"/>
    <x:col min="10" max="10" width="15" hidden="0" customWidth="1"/>
    <x:col min="11" max="11" width="15" hidden="0" customWidth="1"/>
  </x:cols>
  <x:sheetData>
    <x:row r="1" ht="34" customHeight="1">
      <x:c r="A1" s="6" t="str">
        <x:v>年月</x:v>
      </x:c>
      <x:c r="B1" s="6" t="str">
        <x:v>CCCコード</x:v>
      </x:c>
      <x:c r="C1" s="6" t="str">
        <x:v>HS区分</x:v>
      </x:c>
      <x:c r="D1" s="6" t="str">
        <x:v>品目（日本語要約）</x:v>
      </x:c>
      <x:c r="E1" s="6" t="str">
        <x:v>原表表示額（USD）</x:v>
      </x:c>
      <x:c r="F1" s="6" t="str">
        <x:v>分析用金額（USD）</x:v>
      </x:c>
      <x:c r="G1" s="6" t="str">
        <x:v>利用状態</x:v>
      </x:c>
      <x:c r="H1" s="6" t="str">
        <x:v>原表前年額（USD）</x:v>
      </x:c>
      <x:c r="I1" s="6" t="str">
        <x:v>秘匿影響期間</x:v>
      </x:c>
      <x:c r="J1" s="6" t="str">
        <x:v>コード桁数</x:v>
      </x:c>
      <x:c r="K1" s="6" t="str">
        <x:v>取得日</x:v>
      </x:c>
    </x:row>
    <x:row r="2" ht="22" customHeight="1">
      <x:c r="A2" s="7" t="n">
        <x:v>44927</x:v>
      </x:c>
      <x:c r="B2" s="2" t="str">
        <x:v>8486</x:v>
      </x:c>
      <x:c r="C2" s="2" t="str">
        <x:v>8486</x:v>
      </x:c>
      <x:c r="D2" s="2" t="str">
        <x:v>半導体・FPD製造装置及び部品 合計</x:v>
      </x:c>
      <x:c r="E2" s="9" t="n">
        <x:v>491979231</x:v>
      </x:c>
      <x:c r="F2" s="9" t="n">
        <x:f>IF(G2="利用可",E2,"")</x:f>
        <x:v>491979231</x:v>
      </x:c>
      <x:c r="G2" s="2" t="str">
        <x:v>利用可</x:v>
      </x:c>
      <x:c r="H2" s="9" t="n">
        <x:v>412452103</x:v>
      </x:c>
      <x:c r="I2" s="2" t="str"/>
      <x:c r="J2" s="2" t="n">
        <x:v>4</x:v>
      </x:c>
      <x:c r="K2" s="8" t="n">
        <x:v>46294</x:v>
      </x:c>
    </x:row>
    <x:row r="3" ht="22" customHeight="1">
      <x:c r="A3" s="7" t="n">
        <x:v>44958</x:v>
      </x:c>
      <x:c r="B3" s="2" t="str">
        <x:v>8486</x:v>
      </x:c>
      <x:c r="C3" s="2" t="str">
        <x:v>8486</x:v>
      </x:c>
      <x:c r="D3" s="2" t="str">
        <x:v>半導体・FPD製造装置及び部品 合計</x:v>
      </x:c>
      <x:c r="E3" s="9" t="n">
        <x:v>504745637</x:v>
      </x:c>
      <x:c r="F3" s="9" t="n">
        <x:f>IF(G3="利用可",E3,"")</x:f>
        <x:v>504745637</x:v>
      </x:c>
      <x:c r="G3" s="2" t="str">
        <x:v>利用可</x:v>
      </x:c>
      <x:c r="H3" s="9" t="n">
        <x:v>480031967</x:v>
      </x:c>
      <x:c r="I3" s="2" t="str"/>
      <x:c r="J3" s="2" t="n">
        <x:v>4</x:v>
      </x:c>
      <x:c r="K3" s="8" t="n">
        <x:v>46294</x:v>
      </x:c>
    </x:row>
    <x:row r="4" ht="22" customHeight="1">
      <x:c r="A4" s="7" t="n">
        <x:v>44986</x:v>
      </x:c>
      <x:c r="B4" s="2" t="str">
        <x:v>8486</x:v>
      </x:c>
      <x:c r="C4" s="2" t="str">
        <x:v>8486</x:v>
      </x:c>
      <x:c r="D4" s="2" t="str">
        <x:v>半導体・FPD製造装置及び部品 合計</x:v>
      </x:c>
      <x:c r="E4" s="9" t="n">
        <x:v>502856760</x:v>
      </x:c>
      <x:c r="F4" s="9" t="n">
        <x:f>IF(G4="利用可",E4,"")</x:f>
        <x:v>502856760</x:v>
      </x:c>
      <x:c r="G4" s="2" t="str">
        <x:v>利用可</x:v>
      </x:c>
      <x:c r="H4" s="9" t="n">
        <x:v>575669008</x:v>
      </x:c>
      <x:c r="I4" s="2" t="str"/>
      <x:c r="J4" s="2" t="n">
        <x:v>4</x:v>
      </x:c>
      <x:c r="K4" s="8" t="n">
        <x:v>46294</x:v>
      </x:c>
    </x:row>
    <x:row r="5" ht="22" customHeight="1">
      <x:c r="A5" s="7" t="n">
        <x:v>45017</x:v>
      </x:c>
      <x:c r="B5" s="2" t="str">
        <x:v>8486</x:v>
      </x:c>
      <x:c r="C5" s="2" t="str">
        <x:v>8486</x:v>
      </x:c>
      <x:c r="D5" s="2" t="str">
        <x:v>半導体・FPD製造装置及び部品 合計</x:v>
      </x:c>
      <x:c r="E5" s="9" t="n">
        <x:v>344651016</x:v>
      </x:c>
      <x:c r="F5" s="9" t="n">
        <x:f>IF(G5="利用可",E5,"")</x:f>
        <x:v>344651016</x:v>
      </x:c>
      <x:c r="G5" s="2" t="str">
        <x:v>利用可</x:v>
      </x:c>
      <x:c r="H5" s="9" t="n">
        <x:v>599085685</x:v>
      </x:c>
      <x:c r="I5" s="2" t="str"/>
      <x:c r="J5" s="2" t="n">
        <x:v>4</x:v>
      </x:c>
      <x:c r="K5" s="8" t="n">
        <x:v>46294</x:v>
      </x:c>
    </x:row>
    <x:row r="6" ht="22" customHeight="1">
      <x:c r="A6" s="7" t="n">
        <x:v>45047</x:v>
      </x:c>
      <x:c r="B6" s="2" t="str">
        <x:v>8486</x:v>
      </x:c>
      <x:c r="C6" s="2" t="str">
        <x:v>8486</x:v>
      </x:c>
      <x:c r="D6" s="2" t="str">
        <x:v>半導体・FPD製造装置及び部品 合計</x:v>
      </x:c>
      <x:c r="E6" s="9" t="n">
        <x:v>478045743</x:v>
      </x:c>
      <x:c r="F6" s="9" t="n">
        <x:f>IF(G6="利用可",E6,"")</x:f>
        <x:v>478045743</x:v>
      </x:c>
      <x:c r="G6" s="2" t="str">
        <x:v>利用可</x:v>
      </x:c>
      <x:c r="H6" s="9" t="n">
        <x:v>480742243</x:v>
      </x:c>
      <x:c r="I6" s="2" t="str"/>
      <x:c r="J6" s="2" t="n">
        <x:v>4</x:v>
      </x:c>
      <x:c r="K6" s="8" t="n">
        <x:v>46294</x:v>
      </x:c>
    </x:row>
    <x:row r="7" ht="22" customHeight="1">
      <x:c r="A7" s="7" t="n">
        <x:v>45078</x:v>
      </x:c>
      <x:c r="B7" s="2" t="str">
        <x:v>8486</x:v>
      </x:c>
      <x:c r="C7" s="2" t="str">
        <x:v>8486</x:v>
      </x:c>
      <x:c r="D7" s="2" t="str">
        <x:v>半導体・FPD製造装置及び部品 合計</x:v>
      </x:c>
      <x:c r="E7" s="9" t="n">
        <x:v>296115358</x:v>
      </x:c>
      <x:c r="F7" s="9" t="n">
        <x:f>IF(G7="利用可",E7,"")</x:f>
        <x:v>296115358</x:v>
      </x:c>
      <x:c r="G7" s="2" t="str">
        <x:v>利用可</x:v>
      </x:c>
      <x:c r="H7" s="9" t="n">
        <x:v>556979096</x:v>
      </x:c>
      <x:c r="I7" s="2" t="str"/>
      <x:c r="J7" s="2" t="n">
        <x:v>4</x:v>
      </x:c>
      <x:c r="K7" s="8" t="n">
        <x:v>46294</x:v>
      </x:c>
    </x:row>
    <x:row r="8" ht="22" customHeight="1">
      <x:c r="A8" s="7" t="n">
        <x:v>45108</x:v>
      </x:c>
      <x:c r="B8" s="2" t="str">
        <x:v>8486</x:v>
      </x:c>
      <x:c r="C8" s="2" t="str">
        <x:v>8486</x:v>
      </x:c>
      <x:c r="D8" s="2" t="str">
        <x:v>半導体・FPD製造装置及び部品 合計</x:v>
      </x:c>
      <x:c r="E8" s="9" t="n">
        <x:v>281048307</x:v>
      </x:c>
      <x:c r="F8" s="9" t="n">
        <x:f>IF(G8="利用可",E8,"")</x:f>
        <x:v>281048307</x:v>
      </x:c>
      <x:c r="G8" s="2" t="str">
        <x:v>利用可</x:v>
      </x:c>
      <x:c r="H8" s="9" t="n">
        <x:v>569890160</x:v>
      </x:c>
      <x:c r="I8" s="2" t="str"/>
      <x:c r="J8" s="2" t="n">
        <x:v>4</x:v>
      </x:c>
      <x:c r="K8" s="8" t="n">
        <x:v>46294</x:v>
      </x:c>
    </x:row>
    <x:row r="9" ht="22" customHeight="1">
      <x:c r="A9" s="7" t="n">
        <x:v>45139</x:v>
      </x:c>
      <x:c r="B9" s="2" t="str">
        <x:v>8486</x:v>
      </x:c>
      <x:c r="C9" s="2" t="str">
        <x:v>8486</x:v>
      </x:c>
      <x:c r="D9" s="2" t="str">
        <x:v>半導体・FPD製造装置及び部品 合計</x:v>
      </x:c>
      <x:c r="E9" s="9" t="n">
        <x:v>167344017</x:v>
      </x:c>
      <x:c r="F9" s="9" t="n">
        <x:f>IF(G9="利用可",E9,"")</x:f>
        <x:v>167344017</x:v>
      </x:c>
      <x:c r="G9" s="2" t="str">
        <x:v>利用可</x:v>
      </x:c>
      <x:c r="H9" s="9" t="n">
        <x:v>655674538</x:v>
      </x:c>
      <x:c r="I9" s="2" t="str"/>
      <x:c r="J9" s="2" t="n">
        <x:v>4</x:v>
      </x:c>
      <x:c r="K9" s="8" t="n">
        <x:v>46294</x:v>
      </x:c>
    </x:row>
    <x:row r="10" ht="22" customHeight="1">
      <x:c r="A10" s="7" t="n">
        <x:v>45170</x:v>
      </x:c>
      <x:c r="B10" s="2" t="str">
        <x:v>8486</x:v>
      </x:c>
      <x:c r="C10" s="2" t="str">
        <x:v>8486</x:v>
      </x:c>
      <x:c r="D10" s="2" t="str">
        <x:v>半導体・FPD製造装置及び部品 合計</x:v>
      </x:c>
      <x:c r="E10" s="9" t="n">
        <x:v>181885144</x:v>
      </x:c>
      <x:c r="F10" s="9" t="n">
        <x:f>IF(G10="利用可",E10,"")</x:f>
        <x:v>181885144</x:v>
      </x:c>
      <x:c r="G10" s="2" t="str">
        <x:v>利用可</x:v>
      </x:c>
      <x:c r="H10" s="9" t="n">
        <x:v>398334797</x:v>
      </x:c>
      <x:c r="I10" s="2" t="str"/>
      <x:c r="J10" s="2" t="n">
        <x:v>4</x:v>
      </x:c>
      <x:c r="K10" s="8" t="n">
        <x:v>46294</x:v>
      </x:c>
    </x:row>
    <x:row r="11" ht="22" customHeight="1">
      <x:c r="A11" s="7" t="n">
        <x:v>45200</x:v>
      </x:c>
      <x:c r="B11" s="2" t="str">
        <x:v>8486</x:v>
      </x:c>
      <x:c r="C11" s="2" t="str">
        <x:v>8486</x:v>
      </x:c>
      <x:c r="D11" s="2" t="str">
        <x:v>半導体・FPD製造装置及び部品 合計</x:v>
      </x:c>
      <x:c r="E11" s="9" t="n">
        <x:v>236236817</x:v>
      </x:c>
      <x:c r="F11" s="9" t="n">
        <x:f>IF(G11="利用可",E11,"")</x:f>
        <x:v>236236817</x:v>
      </x:c>
      <x:c r="G11" s="2" t="str">
        <x:v>利用可</x:v>
      </x:c>
      <x:c r="H11" s="9" t="n">
        <x:v>631260544</x:v>
      </x:c>
      <x:c r="I11" s="2" t="str"/>
      <x:c r="J11" s="2" t="n">
        <x:v>4</x:v>
      </x:c>
      <x:c r="K11" s="8" t="n">
        <x:v>46294</x:v>
      </x:c>
    </x:row>
    <x:row r="12" ht="22" customHeight="1">
      <x:c r="A12" s="7" t="n">
        <x:v>45231</x:v>
      </x:c>
      <x:c r="B12" s="2" t="str">
        <x:v>8486</x:v>
      </x:c>
      <x:c r="C12" s="2" t="str">
        <x:v>8486</x:v>
      </x:c>
      <x:c r="D12" s="2" t="str">
        <x:v>半導体・FPD製造装置及び部品 合計</x:v>
      </x:c>
      <x:c r="E12" s="9" t="n">
        <x:v>236798470</x:v>
      </x:c>
      <x:c r="F12" s="9" t="n">
        <x:f>IF(G12="利用可",E12,"")</x:f>
        <x:v>236798470</x:v>
      </x:c>
      <x:c r="G12" s="2" t="str">
        <x:v>利用可</x:v>
      </x:c>
      <x:c r="H12" s="9" t="n">
        <x:v>684091735</x:v>
      </x:c>
      <x:c r="I12" s="2" t="str"/>
      <x:c r="J12" s="2" t="n">
        <x:v>4</x:v>
      </x:c>
      <x:c r="K12" s="8" t="n">
        <x:v>46294</x:v>
      </x:c>
    </x:row>
    <x:row r="13" ht="22" customHeight="1">
      <x:c r="A13" s="7" t="n">
        <x:v>45261</x:v>
      </x:c>
      <x:c r="B13" s="2" t="str">
        <x:v>8486</x:v>
      </x:c>
      <x:c r="C13" s="2" t="str">
        <x:v>8486</x:v>
      </x:c>
      <x:c r="D13" s="2" t="str">
        <x:v>半導体・FPD製造装置及び部品 合計</x:v>
      </x:c>
      <x:c r="E13" s="9" t="n">
        <x:v>292221271</x:v>
      </x:c>
      <x:c r="F13" s="9" t="n">
        <x:f>IF(G13="利用可",E13,"")</x:f>
        <x:v>292221271</x:v>
      </x:c>
      <x:c r="G13" s="2" t="str">
        <x:v>利用可</x:v>
      </x:c>
      <x:c r="H13" s="9" t="n">
        <x:v>647562451</x:v>
      </x:c>
      <x:c r="I13" s="2" t="str"/>
      <x:c r="J13" s="2" t="n">
        <x:v>4</x:v>
      </x:c>
      <x:c r="K13" s="8" t="n">
        <x:v>46294</x:v>
      </x:c>
    </x:row>
    <x:row r="14" ht="22" customHeight="1">
      <x:c r="A14" s="7" t="n">
        <x:v>45292</x:v>
      </x:c>
      <x:c r="B14" s="2" t="str">
        <x:v>8486</x:v>
      </x:c>
      <x:c r="C14" s="2" t="str">
        <x:v>8486</x:v>
      </x:c>
      <x:c r="D14" s="2" t="str">
        <x:v>半導体・FPD製造装置及び部品 合計</x:v>
      </x:c>
      <x:c r="E14" s="9" t="n">
        <x:v>257692564</x:v>
      </x:c>
      <x:c r="F14" s="9" t="n">
        <x:f>IF(G14="利用可",E14,"")</x:f>
        <x:v>257692564</x:v>
      </x:c>
      <x:c r="G14" s="2" t="str">
        <x:v>利用可</x:v>
      </x:c>
      <x:c r="H14" s="9" t="n">
        <x:v>491979231</x:v>
      </x:c>
      <x:c r="I14" s="2" t="str"/>
      <x:c r="J14" s="2" t="n">
        <x:v>4</x:v>
      </x:c>
      <x:c r="K14" s="8" t="n">
        <x:v>46294</x:v>
      </x:c>
    </x:row>
    <x:row r="15" ht="22" customHeight="1">
      <x:c r="A15" s="7" t="n">
        <x:v>45323</x:v>
      </x:c>
      <x:c r="B15" s="2" t="str">
        <x:v>8486</x:v>
      </x:c>
      <x:c r="C15" s="2" t="str">
        <x:v>8486</x:v>
      </x:c>
      <x:c r="D15" s="2" t="str">
        <x:v>半導体・FPD製造装置及び部品 合計</x:v>
      </x:c>
      <x:c r="E15" s="9" t="n">
        <x:v>202843270</x:v>
      </x:c>
      <x:c r="F15" s="9" t="n">
        <x:f>IF(G15="利用可",E15,"")</x:f>
        <x:v>202843270</x:v>
      </x:c>
      <x:c r="G15" s="2" t="str">
        <x:v>利用可</x:v>
      </x:c>
      <x:c r="H15" s="9" t="n">
        <x:v>504745637</x:v>
      </x:c>
      <x:c r="I15" s="2" t="str"/>
      <x:c r="J15" s="2" t="n">
        <x:v>4</x:v>
      </x:c>
      <x:c r="K15" s="8" t="n">
        <x:v>46294</x:v>
      </x:c>
    </x:row>
    <x:row r="16" ht="22" customHeight="1">
      <x:c r="A16" s="7" t="n">
        <x:v>45352</x:v>
      </x:c>
      <x:c r="B16" s="2" t="str">
        <x:v>8486</x:v>
      </x:c>
      <x:c r="C16" s="2" t="str">
        <x:v>8486</x:v>
      </x:c>
      <x:c r="D16" s="2" t="str">
        <x:v>半導体・FPD製造装置及び部品 合計</x:v>
      </x:c>
      <x:c r="E16" s="9" t="n">
        <x:v>321322461</x:v>
      </x:c>
      <x:c r="F16" s="9" t="n">
        <x:f>IF(G16="利用可",E16,"")</x:f>
        <x:v>321322461</x:v>
      </x:c>
      <x:c r="G16" s="2" t="str">
        <x:v>利用可</x:v>
      </x:c>
      <x:c r="H16" s="9" t="n">
        <x:v>502856760</x:v>
      </x:c>
      <x:c r="I16" s="2" t="str"/>
      <x:c r="J16" s="2" t="n">
        <x:v>4</x:v>
      </x:c>
      <x:c r="K16" s="8" t="n">
        <x:v>46294</x:v>
      </x:c>
    </x:row>
    <x:row r="17" ht="22" customHeight="1">
      <x:c r="A17" s="7" t="n">
        <x:v>45383</x:v>
      </x:c>
      <x:c r="B17" s="2" t="str">
        <x:v>8486</x:v>
      </x:c>
      <x:c r="C17" s="2" t="str">
        <x:v>8486</x:v>
      </x:c>
      <x:c r="D17" s="2" t="str">
        <x:v>半導体・FPD製造装置及び部品 合計</x:v>
      </x:c>
      <x:c r="E17" s="9" t="n">
        <x:v>476701988</x:v>
      </x:c>
      <x:c r="F17" s="9" t="n">
        <x:f>IF(G17="利用可",E17,"")</x:f>
        <x:v>476701988</x:v>
      </x:c>
      <x:c r="G17" s="2" t="str">
        <x:v>利用可</x:v>
      </x:c>
      <x:c r="H17" s="9" t="n">
        <x:v>344651016</x:v>
      </x:c>
      <x:c r="I17" s="2" t="str"/>
      <x:c r="J17" s="2" t="n">
        <x:v>4</x:v>
      </x:c>
      <x:c r="K17" s="8" t="n">
        <x:v>46294</x:v>
      </x:c>
    </x:row>
    <x:row r="18" ht="22" customHeight="1">
      <x:c r="A18" s="7" t="n">
        <x:v>45413</x:v>
      </x:c>
      <x:c r="B18" s="2" t="str">
        <x:v>8486</x:v>
      </x:c>
      <x:c r="C18" s="2" t="str">
        <x:v>8486</x:v>
      </x:c>
      <x:c r="D18" s="2" t="str">
        <x:v>半導体・FPD製造装置及び部品 合計</x:v>
      </x:c>
      <x:c r="E18" s="9" t="n">
        <x:v>261502165</x:v>
      </x:c>
      <x:c r="F18" s="9" t="n">
        <x:f>IF(G18="利用可",E18,"")</x:f>
        <x:v>261502165</x:v>
      </x:c>
      <x:c r="G18" s="2" t="str">
        <x:v>利用可</x:v>
      </x:c>
      <x:c r="H18" s="9" t="n">
        <x:v>478045743</x:v>
      </x:c>
      <x:c r="I18" s="2" t="str"/>
      <x:c r="J18" s="2" t="n">
        <x:v>4</x:v>
      </x:c>
      <x:c r="K18" s="8" t="n">
        <x:v>46294</x:v>
      </x:c>
    </x:row>
    <x:row r="19" ht="22" customHeight="1">
      <x:c r="A19" s="7" t="n">
        <x:v>45444</x:v>
      </x:c>
      <x:c r="B19" s="2" t="str">
        <x:v>8486</x:v>
      </x:c>
      <x:c r="C19" s="2" t="str">
        <x:v>8486</x:v>
      </x:c>
      <x:c r="D19" s="2" t="str">
        <x:v>半導体・FPD製造装置及び部品 合計</x:v>
      </x:c>
      <x:c r="E19" s="9" t="n">
        <x:v>401189320</x:v>
      </x:c>
      <x:c r="F19" s="9" t="n">
        <x:f>IF(G19="利用可",E19,"")</x:f>
        <x:v>401189320</x:v>
      </x:c>
      <x:c r="G19" s="2" t="str">
        <x:v>利用可</x:v>
      </x:c>
      <x:c r="H19" s="9" t="n">
        <x:v>296115358</x:v>
      </x:c>
      <x:c r="I19" s="2" t="str"/>
      <x:c r="J19" s="2" t="n">
        <x:v>4</x:v>
      </x:c>
      <x:c r="K19" s="8" t="n">
        <x:v>46294</x:v>
      </x:c>
    </x:row>
    <x:row r="20" ht="22" customHeight="1">
      <x:c r="A20" s="7" t="n">
        <x:v>45474</x:v>
      </x:c>
      <x:c r="B20" s="2" t="str">
        <x:v>8486</x:v>
      </x:c>
      <x:c r="C20" s="2" t="str">
        <x:v>8486</x:v>
      </x:c>
      <x:c r="D20" s="2" t="str">
        <x:v>半導体・FPD製造装置及び部品 合計</x:v>
      </x:c>
      <x:c r="E20" s="9" t="n">
        <x:v>478422539</x:v>
      </x:c>
      <x:c r="F20" s="9" t="n">
        <x:f>IF(G20="利用可",E20,"")</x:f>
        <x:v>478422539</x:v>
      </x:c>
      <x:c r="G20" s="2" t="str">
        <x:v>利用可</x:v>
      </x:c>
      <x:c r="H20" s="9" t="n">
        <x:v>281048307</x:v>
      </x:c>
      <x:c r="I20" s="2" t="str"/>
      <x:c r="J20" s="2" t="n">
        <x:v>4</x:v>
      </x:c>
      <x:c r="K20" s="8" t="n">
        <x:v>46294</x:v>
      </x:c>
    </x:row>
    <x:row r="21" ht="22" customHeight="1">
      <x:c r="A21" s="7" t="n">
        <x:v>45505</x:v>
      </x:c>
      <x:c r="B21" s="2" t="str">
        <x:v>8486</x:v>
      </x:c>
      <x:c r="C21" s="2" t="str">
        <x:v>8486</x:v>
      </x:c>
      <x:c r="D21" s="2" t="str">
        <x:v>半導体・FPD製造装置及び部品 合計</x:v>
      </x:c>
      <x:c r="E21" s="9" t="n">
        <x:v>327945386</x:v>
      </x:c>
      <x:c r="F21" s="9" t="n">
        <x:f>IF(G21="利用可",E21,"")</x:f>
        <x:v>327945386</x:v>
      </x:c>
      <x:c r="G21" s="2" t="str">
        <x:v>利用可</x:v>
      </x:c>
      <x:c r="H21" s="9" t="n">
        <x:v>167344017</x:v>
      </x:c>
      <x:c r="I21" s="2" t="str"/>
      <x:c r="J21" s="2" t="n">
        <x:v>4</x:v>
      </x:c>
      <x:c r="K21" s="8" t="n">
        <x:v>46294</x:v>
      </x:c>
    </x:row>
    <x:row r="22" ht="22" customHeight="1">
      <x:c r="A22" s="7" t="n">
        <x:v>45536</x:v>
      </x:c>
      <x:c r="B22" s="2" t="str">
        <x:v>8486</x:v>
      </x:c>
      <x:c r="C22" s="2" t="str">
        <x:v>8486</x:v>
      </x:c>
      <x:c r="D22" s="2" t="str">
        <x:v>半導体・FPD製造装置及び部品 合計</x:v>
      </x:c>
      <x:c r="E22" s="9" t="n">
        <x:v>375366513</x:v>
      </x:c>
      <x:c r="F22" s="9" t="n">
        <x:f>IF(G22="利用可",E22,"")</x:f>
        <x:v>375366513</x:v>
      </x:c>
      <x:c r="G22" s="2" t="str">
        <x:v>利用可</x:v>
      </x:c>
      <x:c r="H22" s="9" t="n">
        <x:v>181885144</x:v>
      </x:c>
      <x:c r="I22" s="2" t="str"/>
      <x:c r="J22" s="2" t="n">
        <x:v>4</x:v>
      </x:c>
      <x:c r="K22" s="8" t="n">
        <x:v>46294</x:v>
      </x:c>
    </x:row>
    <x:row r="23" ht="22" customHeight="1">
      <x:c r="A23" s="7" t="n">
        <x:v>45566</x:v>
      </x:c>
      <x:c r="B23" s="2" t="str">
        <x:v>8486</x:v>
      </x:c>
      <x:c r="C23" s="2" t="str">
        <x:v>8486</x:v>
      </x:c>
      <x:c r="D23" s="2" t="str">
        <x:v>半導体・FPD製造装置及び部品 合計</x:v>
      </x:c>
      <x:c r="E23" s="9" t="n">
        <x:v>361868627</x:v>
      </x:c>
      <x:c r="F23" s="9" t="n">
        <x:f>IF(G23="利用可",E23,"")</x:f>
        <x:v>361868627</x:v>
      </x:c>
      <x:c r="G23" s="2" t="str">
        <x:v>利用可</x:v>
      </x:c>
      <x:c r="H23" s="9" t="n">
        <x:v>236236817</x:v>
      </x:c>
      <x:c r="I23" s="2" t="str"/>
      <x:c r="J23" s="2" t="n">
        <x:v>4</x:v>
      </x:c>
      <x:c r="K23" s="8" t="n">
        <x:v>46294</x:v>
      </x:c>
    </x:row>
    <x:row r="24" ht="22" customHeight="1">
      <x:c r="A24" s="7" t="n">
        <x:v>45597</x:v>
      </x:c>
      <x:c r="B24" s="2" t="str">
        <x:v>8486</x:v>
      </x:c>
      <x:c r="C24" s="2" t="str">
        <x:v>8486</x:v>
      </x:c>
      <x:c r="D24" s="2" t="str">
        <x:v>半導体・FPD製造装置及び部品 合計</x:v>
      </x:c>
      <x:c r="E24" s="9" t="n">
        <x:v>397543635</x:v>
      </x:c>
      <x:c r="F24" s="9" t="n">
        <x:f>IF(G24="利用可",E24,"")</x:f>
        <x:v>397543635</x:v>
      </x:c>
      <x:c r="G24" s="2" t="str">
        <x:v>利用可</x:v>
      </x:c>
      <x:c r="H24" s="9" t="n">
        <x:v>236798470</x:v>
      </x:c>
      <x:c r="I24" s="2" t="str"/>
      <x:c r="J24" s="2" t="n">
        <x:v>4</x:v>
      </x:c>
      <x:c r="K24" s="8" t="n">
        <x:v>46294</x:v>
      </x:c>
    </x:row>
    <x:row r="25" ht="22" customHeight="1">
      <x:c r="A25" s="7" t="n">
        <x:v>45627</x:v>
      </x:c>
      <x:c r="B25" s="2" t="str">
        <x:v>8486</x:v>
      </x:c>
      <x:c r="C25" s="2" t="str">
        <x:v>8486</x:v>
      </x:c>
      <x:c r="D25" s="2" t="str">
        <x:v>半導体・FPD製造装置及び部品 合計</x:v>
      </x:c>
      <x:c r="E25" s="9" t="n">
        <x:v>672526032</x:v>
      </x:c>
      <x:c r="F25" s="9" t="n">
        <x:f>IF(G25="利用可",E25,"")</x:f>
        <x:v>672526032</x:v>
      </x:c>
      <x:c r="G25" s="2" t="str">
        <x:v>利用可</x:v>
      </x:c>
      <x:c r="H25" s="9" t="n">
        <x:v>292221271</x:v>
      </x:c>
      <x:c r="I25" s="2" t="str"/>
      <x:c r="J25" s="2" t="n">
        <x:v>4</x:v>
      </x:c>
      <x:c r="K25" s="8" t="n">
        <x:v>46294</x:v>
      </x:c>
    </x:row>
    <x:row r="26" ht="22" customHeight="1">
      <x:c r="A26" s="7" t="n">
        <x:v>45658</x:v>
      </x:c>
      <x:c r="B26" s="2" t="str">
        <x:v>8486</x:v>
      </x:c>
      <x:c r="C26" s="2" t="str">
        <x:v>8486</x:v>
      </x:c>
      <x:c r="D26" s="2" t="str">
        <x:v>半導体・FPD製造装置及び部品 合計</x:v>
      </x:c>
      <x:c r="E26" s="9" t="n">
        <x:v>368188866</x:v>
      </x:c>
      <x:c r="F26" s="9" t="n">
        <x:f>IF(G26="利用可",E26,"")</x:f>
        <x:v>368188866</x:v>
      </x:c>
      <x:c r="G26" s="2" t="str">
        <x:v>利用可</x:v>
      </x:c>
      <x:c r="H26" s="9" t="n">
        <x:v>257692564</x:v>
      </x:c>
      <x:c r="I26" s="2" t="str"/>
      <x:c r="J26" s="2" t="n">
        <x:v>4</x:v>
      </x:c>
      <x:c r="K26" s="8" t="n">
        <x:v>46294</x:v>
      </x:c>
    </x:row>
    <x:row r="27" ht="22" customHeight="1">
      <x:c r="A27" s="7" t="n">
        <x:v>45689</x:v>
      </x:c>
      <x:c r="B27" s="2" t="str">
        <x:v>8486</x:v>
      </x:c>
      <x:c r="C27" s="2" t="str">
        <x:v>8486</x:v>
      </x:c>
      <x:c r="D27" s="2" t="str">
        <x:v>半導体・FPD製造装置及び部品 合計</x:v>
      </x:c>
      <x:c r="E27" s="9" t="n">
        <x:v>603694414</x:v>
      </x:c>
      <x:c r="F27" s="9" t="n">
        <x:f>IF(G27="利用可",E27,"")</x:f>
        <x:v>603694414</x:v>
      </x:c>
      <x:c r="G27" s="2" t="str">
        <x:v>利用可</x:v>
      </x:c>
      <x:c r="H27" s="9" t="n">
        <x:v>202843270</x:v>
      </x:c>
      <x:c r="I27" s="2" t="str"/>
      <x:c r="J27" s="2" t="n">
        <x:v>4</x:v>
      </x:c>
      <x:c r="K27" s="8" t="n">
        <x:v>46294</x:v>
      </x:c>
    </x:row>
    <x:row r="28" ht="22" customHeight="1">
      <x:c r="A28" s="7" t="n">
        <x:v>45717</x:v>
      </x:c>
      <x:c r="B28" s="2" t="str">
        <x:v>8486</x:v>
      </x:c>
      <x:c r="C28" s="2" t="str">
        <x:v>8486</x:v>
      </x:c>
      <x:c r="D28" s="2" t="str">
        <x:v>半導体・FPD製造装置及び部品 合計</x:v>
      </x:c>
      <x:c r="E28" s="9" t="n">
        <x:v>867596063</x:v>
      </x:c>
      <x:c r="F28" s="9" t="n">
        <x:f>IF(G28="利用可",E28,"")</x:f>
        <x:v>867596063</x:v>
      </x:c>
      <x:c r="G28" s="2" t="str">
        <x:v>利用可</x:v>
      </x:c>
      <x:c r="H28" s="9" t="n">
        <x:v>321322461</x:v>
      </x:c>
      <x:c r="I28" s="2" t="str"/>
      <x:c r="J28" s="2" t="n">
        <x:v>4</x:v>
      </x:c>
      <x:c r="K28" s="8" t="n">
        <x:v>46294</x:v>
      </x:c>
    </x:row>
    <x:row r="29" ht="22" customHeight="1">
      <x:c r="A29" s="7" t="n">
        <x:v>45748</x:v>
      </x:c>
      <x:c r="B29" s="2" t="str">
        <x:v>8486</x:v>
      </x:c>
      <x:c r="C29" s="2" t="str">
        <x:v>8486</x:v>
      </x:c>
      <x:c r="D29" s="2" t="str">
        <x:v>半導体・FPD製造装置及び部品 合計</x:v>
      </x:c>
      <x:c r="E29" s="9" t="n">
        <x:v>661414543</x:v>
      </x:c>
      <x:c r="F29" s="9" t="n">
        <x:f>IF(G29="利用可",E29,"")</x:f>
        <x:v>661414543</x:v>
      </x:c>
      <x:c r="G29" s="2" t="str">
        <x:v>利用可</x:v>
      </x:c>
      <x:c r="H29" s="9" t="n">
        <x:v>476701988</x:v>
      </x:c>
      <x:c r="I29" s="2" t="str"/>
      <x:c r="J29" s="2" t="n">
        <x:v>4</x:v>
      </x:c>
      <x:c r="K29" s="8" t="n">
        <x:v>46294</x:v>
      </x:c>
    </x:row>
    <x:row r="30" ht="22" customHeight="1">
      <x:c r="A30" s="7" t="n">
        <x:v>45778</x:v>
      </x:c>
      <x:c r="B30" s="2" t="str">
        <x:v>8486</x:v>
      </x:c>
      <x:c r="C30" s="2" t="str">
        <x:v>8486</x:v>
      </x:c>
      <x:c r="D30" s="2" t="str">
        <x:v>半導体・FPD製造装置及び部品 合計</x:v>
      </x:c>
      <x:c r="E30" s="9" t="n">
        <x:v>564960939</x:v>
      </x:c>
      <x:c r="F30" s="9" t="n">
        <x:f>IF(G30="利用可",E30,"")</x:f>
        <x:v>564960939</x:v>
      </x:c>
      <x:c r="G30" s="2" t="str">
        <x:v>利用可</x:v>
      </x:c>
      <x:c r="H30" s="9" t="n">
        <x:v>261502165</x:v>
      </x:c>
      <x:c r="I30" s="2" t="str"/>
      <x:c r="J30" s="2" t="n">
        <x:v>4</x:v>
      </x:c>
      <x:c r="K30" s="8" t="n">
        <x:v>46294</x:v>
      </x:c>
    </x:row>
    <x:row r="31" ht="22" customHeight="1">
      <x:c r="A31" s="7" t="n">
        <x:v>45809</x:v>
      </x:c>
      <x:c r="B31" s="2" t="str">
        <x:v>8486</x:v>
      </x:c>
      <x:c r="C31" s="2" t="str">
        <x:v>8486</x:v>
      </x:c>
      <x:c r="D31" s="2" t="str">
        <x:v>半導体・FPD製造装置及び部品 合計</x:v>
      </x:c>
      <x:c r="E31" s="9" t="n">
        <x:v>674719358</x:v>
      </x:c>
      <x:c r="F31" s="9" t="n">
        <x:f>IF(G31="利用可",E31,"")</x:f>
        <x:v>674719358</x:v>
      </x:c>
      <x:c r="G31" s="2" t="str">
        <x:v>利用可</x:v>
      </x:c>
      <x:c r="H31" s="9" t="n">
        <x:v>401189320</x:v>
      </x:c>
      <x:c r="I31" s="2" t="str"/>
      <x:c r="J31" s="2" t="n">
        <x:v>4</x:v>
      </x:c>
      <x:c r="K31" s="8" t="n">
        <x:v>46294</x:v>
      </x:c>
    </x:row>
    <x:row r="32" ht="22" customHeight="1">
      <x:c r="A32" s="7" t="n">
        <x:v>45839</x:v>
      </x:c>
      <x:c r="B32" s="2" t="str">
        <x:v>8486</x:v>
      </x:c>
      <x:c r="C32" s="2" t="str">
        <x:v>8486</x:v>
      </x:c>
      <x:c r="D32" s="2" t="str">
        <x:v>半導体・FPD製造装置及び部品 合計</x:v>
      </x:c>
      <x:c r="E32" s="9" t="n">
        <x:v>481458420</x:v>
      </x:c>
      <x:c r="F32" s="9" t="n">
        <x:f>IF(G32="利用可",E32,"")</x:f>
        <x:v>481458420</x:v>
      </x:c>
      <x:c r="G32" s="2" t="str">
        <x:v>利用可</x:v>
      </x:c>
      <x:c r="H32" s="9" t="n">
        <x:v>478422539</x:v>
      </x:c>
      <x:c r="I32" s="2" t="str"/>
      <x:c r="J32" s="2" t="n">
        <x:v>4</x:v>
      </x:c>
      <x:c r="K32" s="8" t="n">
        <x:v>46294</x:v>
      </x:c>
    </x:row>
    <x:row r="33" ht="22" customHeight="1">
      <x:c r="A33" s="7" t="n">
        <x:v>45870</x:v>
      </x:c>
      <x:c r="B33" s="2" t="str">
        <x:v>8486</x:v>
      </x:c>
      <x:c r="C33" s="2" t="str">
        <x:v>8486</x:v>
      </x:c>
      <x:c r="D33" s="2" t="str">
        <x:v>半導体・FPD製造装置及び部品 合計</x:v>
      </x:c>
      <x:c r="E33" s="9" t="n">
        <x:v>557244542</x:v>
      </x:c>
      <x:c r="F33" s="9" t="n">
        <x:f>IF(G33="利用可",E33,"")</x:f>
        <x:v>557244542</x:v>
      </x:c>
      <x:c r="G33" s="2" t="str">
        <x:v>利用可</x:v>
      </x:c>
      <x:c r="H33" s="9" t="n">
        <x:v>327945386</x:v>
      </x:c>
      <x:c r="I33" s="2" t="str"/>
      <x:c r="J33" s="2" t="n">
        <x:v>4</x:v>
      </x:c>
      <x:c r="K33" s="8" t="n">
        <x:v>46294</x:v>
      </x:c>
    </x:row>
    <x:row r="34" ht="22" customHeight="1">
      <x:c r="A34" s="7" t="n">
        <x:v>45901</x:v>
      </x:c>
      <x:c r="B34" s="2" t="str">
        <x:v>8486</x:v>
      </x:c>
      <x:c r="C34" s="2" t="str">
        <x:v>8486</x:v>
      </x:c>
      <x:c r="D34" s="2" t="str">
        <x:v>半導体・FPD製造装置及び部品 合計</x:v>
      </x:c>
      <x:c r="E34" s="9" t="n">
        <x:v>443259531</x:v>
      </x:c>
      <x:c r="F34" s="9" t="n">
        <x:f>IF(G34="利用可",E34,"")</x:f>
        <x:v>443259531</x:v>
      </x:c>
      <x:c r="G34" s="2" t="str">
        <x:v>利用可</x:v>
      </x:c>
      <x:c r="H34" s="9" t="n">
        <x:v>375366513</x:v>
      </x:c>
      <x:c r="I34" s="2" t="str"/>
      <x:c r="J34" s="2" t="n">
        <x:v>4</x:v>
      </x:c>
      <x:c r="K34" s="8" t="n">
        <x:v>46294</x:v>
      </x:c>
    </x:row>
    <x:row r="35" ht="22" customHeight="1">
      <x:c r="A35" s="7" t="n">
        <x:v>45931</x:v>
      </x:c>
      <x:c r="B35" s="2" t="str">
        <x:v>8486</x:v>
      </x:c>
      <x:c r="C35" s="2" t="str">
        <x:v>8486</x:v>
      </x:c>
      <x:c r="D35" s="2" t="str">
        <x:v>半導体・FPD製造装置及び部品 合計</x:v>
      </x:c>
      <x:c r="E35" s="9" t="n">
        <x:v>411374962</x:v>
      </x:c>
      <x:c r="F35" s="9" t="n">
        <x:f>IF(G35="利用可",E35,"")</x:f>
        <x:v>411374962</x:v>
      </x:c>
      <x:c r="G35" s="2" t="str">
        <x:v>利用可</x:v>
      </x:c>
      <x:c r="H35" s="9" t="n">
        <x:v>361868627</x:v>
      </x:c>
      <x:c r="I35" s="2" t="str"/>
      <x:c r="J35" s="2" t="n">
        <x:v>4</x:v>
      </x:c>
      <x:c r="K35" s="8" t="n">
        <x:v>46294</x:v>
      </x:c>
    </x:row>
    <x:row r="36" ht="22" customHeight="1">
      <x:c r="A36" s="7" t="n">
        <x:v>45962</x:v>
      </x:c>
      <x:c r="B36" s="2" t="str">
        <x:v>8486</x:v>
      </x:c>
      <x:c r="C36" s="2" t="str">
        <x:v>8486</x:v>
      </x:c>
      <x:c r="D36" s="2" t="str">
        <x:v>半導体・FPD製造装置及び部品 合計</x:v>
      </x:c>
      <x:c r="E36" s="9" t="n">
        <x:v>688542985</x:v>
      </x:c>
      <x:c r="F36" s="9" t="n">
        <x:f>IF(G36="利用可",E36,"")</x:f>
        <x:v>688542985</x:v>
      </x:c>
      <x:c r="G36" s="2" t="str">
        <x:v>利用可</x:v>
      </x:c>
      <x:c r="H36" s="9" t="n">
        <x:v>397543635</x:v>
      </x:c>
      <x:c r="I36" s="2" t="str"/>
      <x:c r="J36" s="2" t="n">
        <x:v>4</x:v>
      </x:c>
      <x:c r="K36" s="8" t="n">
        <x:v>46294</x:v>
      </x:c>
    </x:row>
    <x:row r="37" ht="22" customHeight="1">
      <x:c r="A37" s="7" t="n">
        <x:v>45992</x:v>
      </x:c>
      <x:c r="B37" s="2" t="str">
        <x:v>8486</x:v>
      </x:c>
      <x:c r="C37" s="2" t="str">
        <x:v>8486</x:v>
      </x:c>
      <x:c r="D37" s="2" t="str">
        <x:v>半導体・FPD製造装置及び部品 合計</x:v>
      </x:c>
      <x:c r="E37" s="9" t="n">
        <x:v>624896334</x:v>
      </x:c>
      <x:c r="F37" s="9" t="n">
        <x:f>IF(G37="利用可",E37,"")</x:f>
        <x:v>624896334</x:v>
      </x:c>
      <x:c r="G37" s="2" t="str">
        <x:v>利用可</x:v>
      </x:c>
      <x:c r="H37" s="9" t="n">
        <x:v>672526032</x:v>
      </x:c>
      <x:c r="I37" s="2" t="str"/>
      <x:c r="J37" s="2" t="n">
        <x:v>4</x:v>
      </x:c>
      <x:c r="K37" s="8" t="n">
        <x:v>46294</x:v>
      </x:c>
    </x:row>
    <x:row r="38" ht="22" customHeight="1">
      <x:c r="A38" s="7" t="n">
        <x:v>46023</x:v>
      </x:c>
      <x:c r="B38" s="2" t="str">
        <x:v>8486</x:v>
      </x:c>
      <x:c r="C38" s="2" t="str">
        <x:v>8486</x:v>
      </x:c>
      <x:c r="D38" s="2" t="str">
        <x:v>半導体・FPD製造装置及び部品 合計</x:v>
      </x:c>
      <x:c r="E38" s="9" t="n">
        <x:v>470215956</x:v>
      </x:c>
      <x:c r="F38" s="9" t="n">
        <x:f>IF(G38="利用可",E38,"")</x:f>
        <x:v>470215956</x:v>
      </x:c>
      <x:c r="G38" s="2" t="str">
        <x:v>利用可</x:v>
      </x:c>
      <x:c r="H38" s="9" t="n">
        <x:v>368188866</x:v>
      </x:c>
      <x:c r="I38" s="2" t="str"/>
      <x:c r="J38" s="2" t="n">
        <x:v>4</x:v>
      </x:c>
      <x:c r="K38" s="8" t="n">
        <x:v>46294</x:v>
      </x:c>
    </x:row>
    <x:row r="39" ht="22" customHeight="1">
      <x:c r="A39" s="7" t="n">
        <x:v>46054</x:v>
      </x:c>
      <x:c r="B39" s="2" t="str">
        <x:v>8486</x:v>
      </x:c>
      <x:c r="C39" s="2" t="str">
        <x:v>8486</x:v>
      </x:c>
      <x:c r="D39" s="2" t="str">
        <x:v>半導体・FPD製造装置及び部品 合計</x:v>
      </x:c>
      <x:c r="E39" s="9" t="n">
        <x:v>455342721</x:v>
      </x:c>
      <x:c r="F39" s="9" t="n">
        <x:f>IF(G39="利用可",E39,"")</x:f>
        <x:v>455342721</x:v>
      </x:c>
      <x:c r="G39" s="2" t="str">
        <x:v>利用可</x:v>
      </x:c>
      <x:c r="H39" s="9" t="n">
        <x:v>603694414</x:v>
      </x:c>
      <x:c r="I39" s="2" t="str"/>
      <x:c r="J39" s="2" t="n">
        <x:v>4</x:v>
      </x:c>
      <x:c r="K39" s="8" t="n">
        <x:v>46294</x:v>
      </x:c>
    </x:row>
    <x:row r="40" ht="22" customHeight="1">
      <x:c r="A40" s="7" t="n">
        <x:v>46082</x:v>
      </x:c>
      <x:c r="B40" s="2" t="str">
        <x:v>8486</x:v>
      </x:c>
      <x:c r="C40" s="2" t="str">
        <x:v>8486</x:v>
      </x:c>
      <x:c r="D40" s="2" t="str">
        <x:v>半導体・FPD製造装置及び部品 合計</x:v>
      </x:c>
      <x:c r="E40" s="9" t="n">
        <x:v>871080489</x:v>
      </x:c>
      <x:c r="F40" s="9" t="n">
        <x:f>IF(G40="利用可",E40,"")</x:f>
        <x:v>871080489</x:v>
      </x:c>
      <x:c r="G40" s="2" t="str">
        <x:v>利用可</x:v>
      </x:c>
      <x:c r="H40" s="9" t="n">
        <x:v>867596063</x:v>
      </x:c>
      <x:c r="I40" s="2" t="str"/>
      <x:c r="J40" s="2" t="n">
        <x:v>4</x:v>
      </x:c>
      <x:c r="K40" s="8" t="n">
        <x:v>46294</x:v>
      </x:c>
    </x:row>
    <x:row r="41" ht="22" customHeight="1">
      <x:c r="A41" s="7" t="n">
        <x:v>46113</x:v>
      </x:c>
      <x:c r="B41" s="2" t="str">
        <x:v>8486</x:v>
      </x:c>
      <x:c r="C41" s="2" t="str">
        <x:v>8486</x:v>
      </x:c>
      <x:c r="D41" s="2" t="str">
        <x:v>半導体・FPD製造装置及び部品 合計</x:v>
      </x:c>
      <x:c r="E41" s="9" t="n">
        <x:v>699231649</x:v>
      </x:c>
      <x:c r="F41" s="9" t="n">
        <x:f>IF(G41="利用可",E41,"")</x:f>
        <x:v>699231649</x:v>
      </x:c>
      <x:c r="G41" s="2" t="str">
        <x:v>利用可</x:v>
      </x:c>
      <x:c r="H41" s="9" t="n">
        <x:v>661414543</x:v>
      </x:c>
      <x:c r="I41" s="2" t="str"/>
      <x:c r="J41" s="2" t="n">
        <x:v>4</x:v>
      </x:c>
      <x:c r="K41" s="8" t="n">
        <x:v>46294</x:v>
      </x:c>
    </x:row>
    <x:row r="42" ht="22" customHeight="1">
      <x:c r="A42" s="7" t="n">
        <x:v>46143</x:v>
      </x:c>
      <x:c r="B42" s="2" t="str">
        <x:v>8486</x:v>
      </x:c>
      <x:c r="C42" s="2" t="str">
        <x:v>8486</x:v>
      </x:c>
      <x:c r="D42" s="2" t="str">
        <x:v>半導体・FPD製造装置及び部品 合計</x:v>
      </x:c>
      <x:c r="E42" s="9" t="n">
        <x:v>561532252</x:v>
      </x:c>
      <x:c r="F42" s="9" t="n">
        <x:f>IF(G42="利用可",E42,"")</x:f>
        <x:v>561532252</x:v>
      </x:c>
      <x:c r="G42" s="2" t="str">
        <x:v>利用可</x:v>
      </x:c>
      <x:c r="H42" s="9" t="n">
        <x:v>564960939</x:v>
      </x:c>
      <x:c r="I42" s="2" t="str"/>
      <x:c r="J42" s="2" t="n">
        <x:v>4</x:v>
      </x:c>
      <x:c r="K42" s="8" t="n">
        <x:v>46294</x:v>
      </x:c>
    </x:row>
    <x:row r="43" ht="22" customHeight="1">
      <x:c r="A43" s="7" t="n">
        <x:v>46174</x:v>
      </x:c>
      <x:c r="B43" s="2" t="str">
        <x:v>8486</x:v>
      </x:c>
      <x:c r="C43" s="2" t="str">
        <x:v>8486</x:v>
      </x:c>
      <x:c r="D43" s="2" t="str">
        <x:v>半導体・FPD製造装置及び部品 合計</x:v>
      </x:c>
      <x:c r="E43" s="9" t="n">
        <x:v>973012182</x:v>
      </x:c>
      <x:c r="F43" s="9" t="n">
        <x:f>IF(G43="利用可",E43,"")</x:f>
        <x:v>973012182</x:v>
      </x:c>
      <x:c r="G43" s="2" t="str">
        <x:v>利用可</x:v>
      </x:c>
      <x:c r="H43" s="9" t="n">
        <x:v>674719358</x:v>
      </x:c>
      <x:c r="I43" s="2" t="str"/>
      <x:c r="J43" s="2" t="n">
        <x:v>4</x:v>
      </x:c>
      <x:c r="K43" s="8" t="n">
        <x:v>46294</x:v>
      </x:c>
    </x:row>
    <x:row r="44" ht="22" customHeight="1">
      <x:c r="A44" s="7" t="n">
        <x:v>46204</x:v>
      </x:c>
      <x:c r="B44" s="2" t="str">
        <x:v>8486</x:v>
      </x:c>
      <x:c r="C44" s="2" t="str">
        <x:v>8486</x:v>
      </x:c>
      <x:c r="D44" s="2" t="str">
        <x:v>半導体・FPD製造装置及び部品 合計</x:v>
      </x:c>
      <x:c r="E44" s="9" t="n">
        <x:v>718801408</x:v>
      </x:c>
      <x:c r="F44" s="9" t="n">
        <x:f>IF(G44="利用可",E44,"")</x:f>
        <x:v>718801408</x:v>
      </x:c>
      <x:c r="G44" s="2" t="str">
        <x:v>利用可</x:v>
      </x:c>
      <x:c r="H44" s="9" t="n">
        <x:v>481458420</x:v>
      </x:c>
      <x:c r="I44" s="2" t="str"/>
      <x:c r="J44" s="2" t="n">
        <x:v>4</x:v>
      </x:c>
      <x:c r="K44" s="8" t="n">
        <x:v>46294</x:v>
      </x:c>
    </x:row>
    <x:row r="45" ht="22" customHeight="1">
      <x:c r="A45" s="7" t="n">
        <x:v>46235</x:v>
      </x:c>
      <x:c r="B45" s="2" t="str">
        <x:v>8486</x:v>
      </x:c>
      <x:c r="C45" s="2" t="str">
        <x:v>8486</x:v>
      </x:c>
      <x:c r="D45" s="2" t="str">
        <x:v>半導体・FPD製造装置及び部品 合計</x:v>
      </x:c>
      <x:c r="E45" s="9" t="n">
        <x:v>651926933</x:v>
      </x:c>
      <x:c r="F45" s="9" t="n">
        <x:f>IF(G45="利用可",E45,"")</x:f>
        <x:v>651926933</x:v>
      </x:c>
      <x:c r="G45" s="2" t="str">
        <x:v>利用可</x:v>
      </x:c>
      <x:c r="H45" s="9" t="n">
        <x:v>557244542</x:v>
      </x:c>
      <x:c r="I45" s="2" t="str"/>
      <x:c r="J45" s="2" t="n">
        <x:v>4</x:v>
      </x:c>
      <x:c r="K45" s="8" t="n">
        <x:v>46294</x:v>
      </x:c>
    </x:row>
    <x:row r="46" ht="22" customHeight="1">
      <x:c r="A46" s="7" t="n">
        <x:v>44927</x:v>
      </x:c>
      <x:c r="B46" s="2" t="str">
        <x:v>84861000201</x:v>
      </x:c>
      <x:c r="C46" s="2" t="str">
        <x:v>848610</x:v>
      </x:c>
      <x:c r="D46" s="2" t="str">
        <x:v>ウエハー研削・研磨・ラッピング</x:v>
      </x:c>
      <x:c r="E46" s="9" t="n">
        <x:v>78085491</x:v>
      </x:c>
      <x:c r="F46" s="9" t="str">
        <x:f>IF(G46="利用可",E46,"")</x:f>
      </x:c>
      <x:c r="G46" s="2" t="str">
        <x:v>秘匿影響・利用除外</x:v>
      </x:c>
      <x:c r="H46" s="9" t="n">
        <x:v>38021049</x:v>
      </x:c>
      <x:c r="I46" s="2" t="str">
        <x:v>202301-202405</x:v>
      </x:c>
      <x:c r="J46" s="2" t="n">
        <x:v>11</x:v>
      </x:c>
      <x:c r="K46" s="8" t="n">
        <x:v>46294</x:v>
      </x:c>
    </x:row>
    <x:row r="47" ht="22" customHeight="1">
      <x:c r="A47" s="7" t="n">
        <x:v>44958</x:v>
      </x:c>
      <x:c r="B47" s="2" t="str">
        <x:v>84861000201</x:v>
      </x:c>
      <x:c r="C47" s="2" t="str">
        <x:v>848610</x:v>
      </x:c>
      <x:c r="D47" s="2" t="str">
        <x:v>ウエハー研削・研磨・ラッピング</x:v>
      </x:c>
      <x:c r="E47" s="9" t="n">
        <x:v>62251938</x:v>
      </x:c>
      <x:c r="F47" s="9" t="str">
        <x:f>IF(G47="利用可",E47,"")</x:f>
      </x:c>
      <x:c r="G47" s="2" t="str">
        <x:v>秘匿影響・利用除外</x:v>
      </x:c>
      <x:c r="H47" s="9" t="n">
        <x:v>34966594</x:v>
      </x:c>
      <x:c r="I47" s="2" t="str">
        <x:v>202301-202405</x:v>
      </x:c>
      <x:c r="J47" s="2" t="n">
        <x:v>11</x:v>
      </x:c>
      <x:c r="K47" s="8" t="n">
        <x:v>46294</x:v>
      </x:c>
    </x:row>
    <x:row r="48" ht="22" customHeight="1">
      <x:c r="A48" s="7" t="n">
        <x:v>44986</x:v>
      </x:c>
      <x:c r="B48" s="2" t="str">
        <x:v>84861000201</x:v>
      </x:c>
      <x:c r="C48" s="2" t="str">
        <x:v>848610</x:v>
      </x:c>
      <x:c r="D48" s="2" t="str">
        <x:v>ウエハー研削・研磨・ラッピング</x:v>
      </x:c>
      <x:c r="E48" s="9" t="n">
        <x:v>56268499</x:v>
      </x:c>
      <x:c r="F48" s="9" t="str">
        <x:f>IF(G48="利用可",E48,"")</x:f>
      </x:c>
      <x:c r="G48" s="2" t="str">
        <x:v>秘匿影響・利用除外</x:v>
      </x:c>
      <x:c r="H48" s="9" t="n">
        <x:v>42227788</x:v>
      </x:c>
      <x:c r="I48" s="2" t="str">
        <x:v>202301-202405</x:v>
      </x:c>
      <x:c r="J48" s="2" t="n">
        <x:v>11</x:v>
      </x:c>
      <x:c r="K48" s="8" t="n">
        <x:v>46294</x:v>
      </x:c>
    </x:row>
    <x:row r="49" ht="22" customHeight="1">
      <x:c r="A49" s="7" t="n">
        <x:v>45017</x:v>
      </x:c>
      <x:c r="B49" s="2" t="str">
        <x:v>84861000201</x:v>
      </x:c>
      <x:c r="C49" s="2" t="str">
        <x:v>848610</x:v>
      </x:c>
      <x:c r="D49" s="2" t="str">
        <x:v>ウエハー研削・研磨・ラッピング</x:v>
      </x:c>
      <x:c r="E49" s="9" t="n">
        <x:v>47000458</x:v>
      </x:c>
      <x:c r="F49" s="9" t="str">
        <x:f>IF(G49="利用可",E49,"")</x:f>
      </x:c>
      <x:c r="G49" s="2" t="str">
        <x:v>秘匿影響・利用除外</x:v>
      </x:c>
      <x:c r="H49" s="9" t="n">
        <x:v>23337520</x:v>
      </x:c>
      <x:c r="I49" s="2" t="str">
        <x:v>202301-202405</x:v>
      </x:c>
      <x:c r="J49" s="2" t="n">
        <x:v>11</x:v>
      </x:c>
      <x:c r="K49" s="8" t="n">
        <x:v>46294</x:v>
      </x:c>
    </x:row>
    <x:row r="50" ht="22" customHeight="1">
      <x:c r="A50" s="7" t="n">
        <x:v>45047</x:v>
      </x:c>
      <x:c r="B50" s="2" t="str">
        <x:v>84861000201</x:v>
      </x:c>
      <x:c r="C50" s="2" t="str">
        <x:v>848610</x:v>
      </x:c>
      <x:c r="D50" s="2" t="str">
        <x:v>ウエハー研削・研磨・ラッピング</x:v>
      </x:c>
      <x:c r="E50" s="9" t="n">
        <x:v>53549332</x:v>
      </x:c>
      <x:c r="F50" s="9" t="str">
        <x:f>IF(G50="利用可",E50,"")</x:f>
      </x:c>
      <x:c r="G50" s="2" t="str">
        <x:v>秘匿影響・利用除外</x:v>
      </x:c>
      <x:c r="H50" s="9" t="n">
        <x:v>39597934</x:v>
      </x:c>
      <x:c r="I50" s="2" t="str">
        <x:v>202301-202405</x:v>
      </x:c>
      <x:c r="J50" s="2" t="n">
        <x:v>11</x:v>
      </x:c>
      <x:c r="K50" s="8" t="n">
        <x:v>46294</x:v>
      </x:c>
    </x:row>
    <x:row r="51" ht="22" customHeight="1">
      <x:c r="A51" s="7" t="n">
        <x:v>45078</x:v>
      </x:c>
      <x:c r="B51" s="2" t="str">
        <x:v>84861000201</x:v>
      </x:c>
      <x:c r="C51" s="2" t="str">
        <x:v>848610</x:v>
      </x:c>
      <x:c r="D51" s="2" t="str">
        <x:v>ウエハー研削・研磨・ラッピング</x:v>
      </x:c>
      <x:c r="E51" s="9" t="n">
        <x:v>39550406</x:v>
      </x:c>
      <x:c r="F51" s="9" t="str">
        <x:f>IF(G51="利用可",E51,"")</x:f>
      </x:c>
      <x:c r="G51" s="2" t="str">
        <x:v>秘匿影響・利用除外</x:v>
      </x:c>
      <x:c r="H51" s="9" t="n">
        <x:v>28507919</x:v>
      </x:c>
      <x:c r="I51" s="2" t="str">
        <x:v>202301-202405</x:v>
      </x:c>
      <x:c r="J51" s="2" t="n">
        <x:v>11</x:v>
      </x:c>
      <x:c r="K51" s="8" t="n">
        <x:v>46294</x:v>
      </x:c>
    </x:row>
    <x:row r="52" ht="22" customHeight="1">
      <x:c r="A52" s="7" t="n">
        <x:v>45108</x:v>
      </x:c>
      <x:c r="B52" s="2" t="str">
        <x:v>84861000201</x:v>
      </x:c>
      <x:c r="C52" s="2" t="str">
        <x:v>848610</x:v>
      </x:c>
      <x:c r="D52" s="2" t="str">
        <x:v>ウエハー研削・研磨・ラッピング</x:v>
      </x:c>
      <x:c r="E52" s="9" t="n">
        <x:v>39889413</x:v>
      </x:c>
      <x:c r="F52" s="9" t="str">
        <x:f>IF(G52="利用可",E52,"")</x:f>
      </x:c>
      <x:c r="G52" s="2" t="str">
        <x:v>秘匿影響・利用除外</x:v>
      </x:c>
      <x:c r="H52" s="9" t="n">
        <x:v>29222534</x:v>
      </x:c>
      <x:c r="I52" s="2" t="str">
        <x:v>202301-202405</x:v>
      </x:c>
      <x:c r="J52" s="2" t="n">
        <x:v>11</x:v>
      </x:c>
      <x:c r="K52" s="8" t="n">
        <x:v>46294</x:v>
      </x:c>
    </x:row>
    <x:row r="53" ht="22" customHeight="1">
      <x:c r="A53" s="7" t="n">
        <x:v>45139</x:v>
      </x:c>
      <x:c r="B53" s="2" t="str">
        <x:v>84861000201</x:v>
      </x:c>
      <x:c r="C53" s="2" t="str">
        <x:v>848610</x:v>
      </x:c>
      <x:c r="D53" s="2" t="str">
        <x:v>ウエハー研削・研磨・ラッピング</x:v>
      </x:c>
      <x:c r="E53" s="9" t="n">
        <x:v>14624179</x:v>
      </x:c>
      <x:c r="F53" s="9" t="str">
        <x:f>IF(G53="利用可",E53,"")</x:f>
      </x:c>
      <x:c r="G53" s="2" t="str">
        <x:v>秘匿影響・利用除外</x:v>
      </x:c>
      <x:c r="H53" s="9" t="n">
        <x:v>39814388</x:v>
      </x:c>
      <x:c r="I53" s="2" t="str">
        <x:v>202301-202405</x:v>
      </x:c>
      <x:c r="J53" s="2" t="n">
        <x:v>11</x:v>
      </x:c>
      <x:c r="K53" s="8" t="n">
        <x:v>46294</x:v>
      </x:c>
    </x:row>
    <x:row r="54" ht="22" customHeight="1">
      <x:c r="A54" s="7" t="n">
        <x:v>45170</x:v>
      </x:c>
      <x:c r="B54" s="2" t="str">
        <x:v>84861000201</x:v>
      </x:c>
      <x:c r="C54" s="2" t="str">
        <x:v>848610</x:v>
      </x:c>
      <x:c r="D54" s="2" t="str">
        <x:v>ウエハー研削・研磨・ラッピング</x:v>
      </x:c>
      <x:c r="E54" s="9" t="n">
        <x:v>23643181</x:v>
      </x:c>
      <x:c r="F54" s="9" t="str">
        <x:f>IF(G54="利用可",E54,"")</x:f>
      </x:c>
      <x:c r="G54" s="2" t="str">
        <x:v>秘匿影響・利用除外</x:v>
      </x:c>
      <x:c r="H54" s="9" t="n">
        <x:v>39021448</x:v>
      </x:c>
      <x:c r="I54" s="2" t="str">
        <x:v>202301-202405</x:v>
      </x:c>
      <x:c r="J54" s="2" t="n">
        <x:v>11</x:v>
      </x:c>
      <x:c r="K54" s="8" t="n">
        <x:v>46294</x:v>
      </x:c>
    </x:row>
    <x:row r="55" ht="22" customHeight="1">
      <x:c r="A55" s="7" t="n">
        <x:v>45200</x:v>
      </x:c>
      <x:c r="B55" s="2" t="str">
        <x:v>84861000201</x:v>
      </x:c>
      <x:c r="C55" s="2" t="str">
        <x:v>848610</x:v>
      </x:c>
      <x:c r="D55" s="2" t="str">
        <x:v>ウエハー研削・研磨・ラッピング</x:v>
      </x:c>
      <x:c r="E55" s="9" t="n">
        <x:v>45043202</x:v>
      </x:c>
      <x:c r="F55" s="9" t="str">
        <x:f>IF(G55="利用可",E55,"")</x:f>
      </x:c>
      <x:c r="G55" s="2" t="str">
        <x:v>秘匿影響・利用除外</x:v>
      </x:c>
      <x:c r="H55" s="9" t="n">
        <x:v>39339515</x:v>
      </x:c>
      <x:c r="I55" s="2" t="str">
        <x:v>202301-202405</x:v>
      </x:c>
      <x:c r="J55" s="2" t="n">
        <x:v>11</x:v>
      </x:c>
      <x:c r="K55" s="8" t="n">
        <x:v>46294</x:v>
      </x:c>
    </x:row>
    <x:row r="56" ht="22" customHeight="1">
      <x:c r="A56" s="7" t="n">
        <x:v>45231</x:v>
      </x:c>
      <x:c r="B56" s="2" t="str">
        <x:v>84861000201</x:v>
      </x:c>
      <x:c r="C56" s="2" t="str">
        <x:v>848610</x:v>
      </x:c>
      <x:c r="D56" s="2" t="str">
        <x:v>ウエハー研削・研磨・ラッピング</x:v>
      </x:c>
      <x:c r="E56" s="9" t="n">
        <x:v>29697983</x:v>
      </x:c>
      <x:c r="F56" s="9" t="str">
        <x:f>IF(G56="利用可",E56,"")</x:f>
      </x:c>
      <x:c r="G56" s="2" t="str">
        <x:v>秘匿影響・利用除外</x:v>
      </x:c>
      <x:c r="H56" s="9" t="n">
        <x:v>47118804</x:v>
      </x:c>
      <x:c r="I56" s="2" t="str">
        <x:v>202301-202405</x:v>
      </x:c>
      <x:c r="J56" s="2" t="n">
        <x:v>11</x:v>
      </x:c>
      <x:c r="K56" s="8" t="n">
        <x:v>46294</x:v>
      </x:c>
    </x:row>
    <x:row r="57" ht="22" customHeight="1">
      <x:c r="A57" s="7" t="n">
        <x:v>45261</x:v>
      </x:c>
      <x:c r="B57" s="2" t="str">
        <x:v>84861000201</x:v>
      </x:c>
      <x:c r="C57" s="2" t="str">
        <x:v>848610</x:v>
      </x:c>
      <x:c r="D57" s="2" t="str">
        <x:v>ウエハー研削・研磨・ラッピング</x:v>
      </x:c>
      <x:c r="E57" s="9" t="n">
        <x:v>39295168</x:v>
      </x:c>
      <x:c r="F57" s="9" t="str">
        <x:f>IF(G57="利用可",E57,"")</x:f>
      </x:c>
      <x:c r="G57" s="2" t="str">
        <x:v>秘匿影響・利用除外</x:v>
      </x:c>
      <x:c r="H57" s="9" t="n">
        <x:v>37863392</x:v>
      </x:c>
      <x:c r="I57" s="2" t="str">
        <x:v>202301-202405</x:v>
      </x:c>
      <x:c r="J57" s="2" t="n">
        <x:v>11</x:v>
      </x:c>
      <x:c r="K57" s="8" t="n">
        <x:v>46294</x:v>
      </x:c>
    </x:row>
    <x:row r="58" ht="22" customHeight="1">
      <x:c r="A58" s="7" t="n">
        <x:v>45292</x:v>
      </x:c>
      <x:c r="B58" s="2" t="str">
        <x:v>84861000201</x:v>
      </x:c>
      <x:c r="C58" s="2" t="str">
        <x:v>848610</x:v>
      </x:c>
      <x:c r="D58" s="2" t="str">
        <x:v>ウエハー研削・研磨・ラッピング</x:v>
      </x:c>
      <x:c r="E58" s="9" t="n">
        <x:v>39582069</x:v>
      </x:c>
      <x:c r="F58" s="9" t="str">
        <x:f>IF(G58="利用可",E58,"")</x:f>
      </x:c>
      <x:c r="G58" s="2" t="str">
        <x:v>秘匿影響・利用除外</x:v>
      </x:c>
      <x:c r="H58" s="9" t="n">
        <x:v>42059150</x:v>
      </x:c>
      <x:c r="I58" s="2" t="str">
        <x:v>202301-202405</x:v>
      </x:c>
      <x:c r="J58" s="2" t="n">
        <x:v>11</x:v>
      </x:c>
      <x:c r="K58" s="8" t="n">
        <x:v>46294</x:v>
      </x:c>
    </x:row>
    <x:row r="59" ht="22" customHeight="1">
      <x:c r="A59" s="7" t="n">
        <x:v>45323</x:v>
      </x:c>
      <x:c r="B59" s="2" t="str">
        <x:v>84861000201</x:v>
      </x:c>
      <x:c r="C59" s="2" t="str">
        <x:v>848610</x:v>
      </x:c>
      <x:c r="D59" s="2" t="str">
        <x:v>ウエハー研削・研磨・ラッピング</x:v>
      </x:c>
      <x:c r="E59" s="9" t="n">
        <x:v>30576187</x:v>
      </x:c>
      <x:c r="F59" s="9" t="str">
        <x:f>IF(G59="利用可",E59,"")</x:f>
      </x:c>
      <x:c r="G59" s="2" t="str">
        <x:v>秘匿影響・利用除外</x:v>
      </x:c>
      <x:c r="H59" s="9" t="n">
        <x:v>55097548</x:v>
      </x:c>
      <x:c r="I59" s="2" t="str">
        <x:v>202301-202405</x:v>
      </x:c>
      <x:c r="J59" s="2" t="n">
        <x:v>11</x:v>
      </x:c>
      <x:c r="K59" s="8" t="n">
        <x:v>46294</x:v>
      </x:c>
    </x:row>
    <x:row r="60" ht="22" customHeight="1">
      <x:c r="A60" s="7" t="n">
        <x:v>45352</x:v>
      </x:c>
      <x:c r="B60" s="2" t="str">
        <x:v>84861000201</x:v>
      </x:c>
      <x:c r="C60" s="2" t="str">
        <x:v>848610</x:v>
      </x:c>
      <x:c r="D60" s="2" t="str">
        <x:v>ウエハー研削・研磨・ラッピング</x:v>
      </x:c>
      <x:c r="E60" s="9" t="n">
        <x:v>37993128</x:v>
      </x:c>
      <x:c r="F60" s="9" t="str">
        <x:f>IF(G60="利用可",E60,"")</x:f>
      </x:c>
      <x:c r="G60" s="2" t="str">
        <x:v>秘匿影響・利用除外</x:v>
      </x:c>
      <x:c r="H60" s="9" t="n">
        <x:v>43653910</x:v>
      </x:c>
      <x:c r="I60" s="2" t="str">
        <x:v>202301-202405</x:v>
      </x:c>
      <x:c r="J60" s="2" t="n">
        <x:v>11</x:v>
      </x:c>
      <x:c r="K60" s="8" t="n">
        <x:v>46294</x:v>
      </x:c>
    </x:row>
    <x:row r="61" ht="22" customHeight="1">
      <x:c r="A61" s="7" t="n">
        <x:v>45383</x:v>
      </x:c>
      <x:c r="B61" s="2" t="str">
        <x:v>84861000201</x:v>
      </x:c>
      <x:c r="C61" s="2" t="str">
        <x:v>848610</x:v>
      </x:c>
      <x:c r="D61" s="2" t="str">
        <x:v>ウエハー研削・研磨・ラッピング</x:v>
      </x:c>
      <x:c r="E61" s="9" t="n">
        <x:v>37280000</x:v>
      </x:c>
      <x:c r="F61" s="9" t="str">
        <x:f>IF(G61="利用可",E61,"")</x:f>
      </x:c>
      <x:c r="G61" s="2" t="str">
        <x:v>秘匿影響・利用除外</x:v>
      </x:c>
      <x:c r="H61" s="9" t="n">
        <x:v>23354269</x:v>
      </x:c>
      <x:c r="I61" s="2" t="str">
        <x:v>202301-202405</x:v>
      </x:c>
      <x:c r="J61" s="2" t="n">
        <x:v>11</x:v>
      </x:c>
      <x:c r="K61" s="8" t="n">
        <x:v>46294</x:v>
      </x:c>
    </x:row>
    <x:row r="62" ht="22" customHeight="1">
      <x:c r="A62" s="7" t="n">
        <x:v>45413</x:v>
      </x:c>
      <x:c r="B62" s="2" t="str">
        <x:v>84861000201</x:v>
      </x:c>
      <x:c r="C62" s="2" t="str">
        <x:v>848610</x:v>
      </x:c>
      <x:c r="D62" s="2" t="str">
        <x:v>ウエハー研削・研磨・ラッピング</x:v>
      </x:c>
      <x:c r="E62" s="9" t="n">
        <x:v>29488713</x:v>
      </x:c>
      <x:c r="F62" s="9" t="str">
        <x:f>IF(G62="利用可",E62,"")</x:f>
      </x:c>
      <x:c r="G62" s="2" t="str">
        <x:v>秘匿影響・利用除外</x:v>
      </x:c>
      <x:c r="H62" s="9" t="n">
        <x:v>49314719</x:v>
      </x:c>
      <x:c r="I62" s="2" t="str">
        <x:v>202301-202405</x:v>
      </x:c>
      <x:c r="J62" s="2" t="n">
        <x:v>11</x:v>
      </x:c>
      <x:c r="K62" s="8" t="n">
        <x:v>46294</x:v>
      </x:c>
    </x:row>
    <x:row r="63" ht="22" customHeight="1">
      <x:c r="A63" s="7" t="n">
        <x:v>45444</x:v>
      </x:c>
      <x:c r="B63" s="2" t="str">
        <x:v>84861000201</x:v>
      </x:c>
      <x:c r="C63" s="2" t="str">
        <x:v>848610</x:v>
      </x:c>
      <x:c r="D63" s="2" t="str">
        <x:v>ウエハー研削・研磨・ラッピング</x:v>
      </x:c>
      <x:c r="E63" s="9" t="n">
        <x:v>27196939</x:v>
      </x:c>
      <x:c r="F63" s="9" t="n">
        <x:f>IF(G63="利用可",E63,"")</x:f>
        <x:v>27196939</x:v>
      </x:c>
      <x:c r="G63" s="2" t="str">
        <x:v>利用可</x:v>
      </x:c>
      <x:c r="H63" s="9" t="n">
        <x:v>26406833</x:v>
      </x:c>
      <x:c r="I63" s="2" t="str">
        <x:v>202301-202405</x:v>
      </x:c>
      <x:c r="J63" s="2" t="n">
        <x:v>11</x:v>
      </x:c>
      <x:c r="K63" s="8" t="n">
        <x:v>46294</x:v>
      </x:c>
    </x:row>
    <x:row r="64" ht="22" customHeight="1">
      <x:c r="A64" s="7" t="n">
        <x:v>45474</x:v>
      </x:c>
      <x:c r="B64" s="2" t="str">
        <x:v>84861000201</x:v>
      </x:c>
      <x:c r="C64" s="2" t="str">
        <x:v>848610</x:v>
      </x:c>
      <x:c r="D64" s="2" t="str">
        <x:v>ウエハー研削・研磨・ラッピング</x:v>
      </x:c>
      <x:c r="E64" s="9" t="n">
        <x:v>20619906</x:v>
      </x:c>
      <x:c r="F64" s="9" t="n">
        <x:f>IF(G64="利用可",E64,"")</x:f>
        <x:v>20619906</x:v>
      </x:c>
      <x:c r="G64" s="2" t="str">
        <x:v>利用可</x:v>
      </x:c>
      <x:c r="H64" s="9" t="n">
        <x:v>18647515</x:v>
      </x:c>
      <x:c r="I64" s="2" t="str">
        <x:v>202301-202405</x:v>
      </x:c>
      <x:c r="J64" s="2" t="n">
        <x:v>11</x:v>
      </x:c>
      <x:c r="K64" s="8" t="n">
        <x:v>46294</x:v>
      </x:c>
    </x:row>
    <x:row r="65" ht="22" customHeight="1">
      <x:c r="A65" s="7" t="n">
        <x:v>45505</x:v>
      </x:c>
      <x:c r="B65" s="2" t="str">
        <x:v>84861000201</x:v>
      </x:c>
      <x:c r="C65" s="2" t="str">
        <x:v>848610</x:v>
      </x:c>
      <x:c r="D65" s="2" t="str">
        <x:v>ウエハー研削・研磨・ラッピング</x:v>
      </x:c>
      <x:c r="E65" s="9" t="n">
        <x:v>37486776</x:v>
      </x:c>
      <x:c r="F65" s="9" t="n">
        <x:f>IF(G65="利用可",E65,"")</x:f>
        <x:v>37486776</x:v>
      </x:c>
      <x:c r="G65" s="2" t="str">
        <x:v>利用可</x:v>
      </x:c>
      <x:c r="H65" s="9" t="n">
        <x:v>12091403</x:v>
      </x:c>
      <x:c r="I65" s="2" t="str">
        <x:v>202301-202405</x:v>
      </x:c>
      <x:c r="J65" s="2" t="n">
        <x:v>11</x:v>
      </x:c>
      <x:c r="K65" s="8" t="n">
        <x:v>46294</x:v>
      </x:c>
    </x:row>
    <x:row r="66" ht="22" customHeight="1">
      <x:c r="A66" s="7" t="n">
        <x:v>45536</x:v>
      </x:c>
      <x:c r="B66" s="2" t="str">
        <x:v>84861000201</x:v>
      </x:c>
      <x:c r="C66" s="2" t="str">
        <x:v>848610</x:v>
      </x:c>
      <x:c r="D66" s="2" t="str">
        <x:v>ウエハー研削・研磨・ラッピング</x:v>
      </x:c>
      <x:c r="E66" s="9" t="n">
        <x:v>24835115</x:v>
      </x:c>
      <x:c r="F66" s="9" t="n">
        <x:f>IF(G66="利用可",E66,"")</x:f>
        <x:v>24835115</x:v>
      </x:c>
      <x:c r="G66" s="2" t="str">
        <x:v>利用可</x:v>
      </x:c>
      <x:c r="H66" s="9" t="n">
        <x:v>15065570</x:v>
      </x:c>
      <x:c r="I66" s="2" t="str">
        <x:v>202301-202405</x:v>
      </x:c>
      <x:c r="J66" s="2" t="n">
        <x:v>11</x:v>
      </x:c>
      <x:c r="K66" s="8" t="n">
        <x:v>46294</x:v>
      </x:c>
    </x:row>
    <x:row r="67" ht="22" customHeight="1">
      <x:c r="A67" s="7" t="n">
        <x:v>45566</x:v>
      </x:c>
      <x:c r="B67" s="2" t="str">
        <x:v>84861000201</x:v>
      </x:c>
      <x:c r="C67" s="2" t="str">
        <x:v>848610</x:v>
      </x:c>
      <x:c r="D67" s="2" t="str">
        <x:v>ウエハー研削・研磨・ラッピング</x:v>
      </x:c>
      <x:c r="E67" s="9" t="n">
        <x:v>25536228</x:v>
      </x:c>
      <x:c r="F67" s="9" t="n">
        <x:f>IF(G67="利用可",E67,"")</x:f>
        <x:v>25536228</x:v>
      </x:c>
      <x:c r="G67" s="2" t="str">
        <x:v>利用可</x:v>
      </x:c>
      <x:c r="H67" s="9" t="n">
        <x:v>19448572</x:v>
      </x:c>
      <x:c r="I67" s="2" t="str">
        <x:v>202301-202405</x:v>
      </x:c>
      <x:c r="J67" s="2" t="n">
        <x:v>11</x:v>
      </x:c>
      <x:c r="K67" s="8" t="n">
        <x:v>46294</x:v>
      </x:c>
    </x:row>
    <x:row r="68" ht="22" customHeight="1">
      <x:c r="A68" s="7" t="n">
        <x:v>45597</x:v>
      </x:c>
      <x:c r="B68" s="2" t="str">
        <x:v>84861000201</x:v>
      </x:c>
      <x:c r="C68" s="2" t="str">
        <x:v>848610</x:v>
      </x:c>
      <x:c r="D68" s="2" t="str">
        <x:v>ウエハー研削・研磨・ラッピング</x:v>
      </x:c>
      <x:c r="E68" s="9" t="n">
        <x:v>32748896</x:v>
      </x:c>
      <x:c r="F68" s="9" t="n">
        <x:f>IF(G68="利用可",E68,"")</x:f>
        <x:v>32748896</x:v>
      </x:c>
      <x:c r="G68" s="2" t="str">
        <x:v>利用可</x:v>
      </x:c>
      <x:c r="H68" s="9" t="n">
        <x:v>18924712</x:v>
      </x:c>
      <x:c r="I68" s="2" t="str">
        <x:v>202301-202405</x:v>
      </x:c>
      <x:c r="J68" s="2" t="n">
        <x:v>11</x:v>
      </x:c>
      <x:c r="K68" s="8" t="n">
        <x:v>46294</x:v>
      </x:c>
    </x:row>
    <x:row r="69" ht="22" customHeight="1">
      <x:c r="A69" s="7" t="n">
        <x:v>45627</x:v>
      </x:c>
      <x:c r="B69" s="2" t="str">
        <x:v>84861000201</x:v>
      </x:c>
      <x:c r="C69" s="2" t="str">
        <x:v>848610</x:v>
      </x:c>
      <x:c r="D69" s="2" t="str">
        <x:v>ウエハー研削・研磨・ラッピング</x:v>
      </x:c>
      <x:c r="E69" s="9" t="n">
        <x:v>42504342</x:v>
      </x:c>
      <x:c r="F69" s="9" t="n">
        <x:f>IF(G69="利用可",E69,"")</x:f>
        <x:v>42504342</x:v>
      </x:c>
      <x:c r="G69" s="2" t="str">
        <x:v>利用可</x:v>
      </x:c>
      <x:c r="H69" s="9" t="n">
        <x:v>24970685</x:v>
      </x:c>
      <x:c r="I69" s="2" t="str">
        <x:v>202301-202405</x:v>
      </x:c>
      <x:c r="J69" s="2" t="n">
        <x:v>11</x:v>
      </x:c>
      <x:c r="K69" s="8" t="n">
        <x:v>46294</x:v>
      </x:c>
    </x:row>
    <x:row r="70" ht="22" customHeight="1">
      <x:c r="A70" s="7" t="n">
        <x:v>45658</x:v>
      </x:c>
      <x:c r="B70" s="2" t="str">
        <x:v>84861000201</x:v>
      </x:c>
      <x:c r="C70" s="2" t="str">
        <x:v>848610</x:v>
      </x:c>
      <x:c r="D70" s="2" t="str">
        <x:v>ウエハー研削・研磨・ラッピング</x:v>
      </x:c>
      <x:c r="E70" s="9" t="n">
        <x:v>27950441</x:v>
      </x:c>
      <x:c r="F70" s="9" t="n">
        <x:f>IF(G70="利用可",E70,"")</x:f>
        <x:v>27950441</x:v>
      </x:c>
      <x:c r="G70" s="2" t="str">
        <x:v>利用可</x:v>
      </x:c>
      <x:c r="H70" s="9" t="n">
        <x:v>20952861</x:v>
      </x:c>
      <x:c r="I70" s="2" t="str">
        <x:v>202301-202405</x:v>
      </x:c>
      <x:c r="J70" s="2" t="n">
        <x:v>11</x:v>
      </x:c>
      <x:c r="K70" s="8" t="n">
        <x:v>46294</x:v>
      </x:c>
    </x:row>
    <x:row r="71" ht="22" customHeight="1">
      <x:c r="A71" s="7" t="n">
        <x:v>45689</x:v>
      </x:c>
      <x:c r="B71" s="2" t="str">
        <x:v>84861000201</x:v>
      </x:c>
      <x:c r="C71" s="2" t="str">
        <x:v>848610</x:v>
      </x:c>
      <x:c r="D71" s="2" t="str">
        <x:v>ウエハー研削・研磨・ラッピング</x:v>
      </x:c>
      <x:c r="E71" s="9" t="n">
        <x:v>41377266</x:v>
      </x:c>
      <x:c r="F71" s="9" t="n">
        <x:f>IF(G71="利用可",E71,"")</x:f>
        <x:v>41377266</x:v>
      </x:c>
      <x:c r="G71" s="2" t="str">
        <x:v>利用可</x:v>
      </x:c>
      <x:c r="H71" s="9" t="n">
        <x:v>15956774</x:v>
      </x:c>
      <x:c r="I71" s="2" t="str">
        <x:v>202301-202405</x:v>
      </x:c>
      <x:c r="J71" s="2" t="n">
        <x:v>11</x:v>
      </x:c>
      <x:c r="K71" s="8" t="n">
        <x:v>46294</x:v>
      </x:c>
    </x:row>
    <x:row r="72" ht="22" customHeight="1">
      <x:c r="A72" s="7" t="n">
        <x:v>45717</x:v>
      </x:c>
      <x:c r="B72" s="2" t="str">
        <x:v>84861000201</x:v>
      </x:c>
      <x:c r="C72" s="2" t="str">
        <x:v>848610</x:v>
      </x:c>
      <x:c r="D72" s="2" t="str">
        <x:v>ウエハー研削・研磨・ラッピング</x:v>
      </x:c>
      <x:c r="E72" s="9" t="n">
        <x:v>53227057</x:v>
      </x:c>
      <x:c r="F72" s="9" t="n">
        <x:f>IF(G72="利用可",E72,"")</x:f>
        <x:v>53227057</x:v>
      </x:c>
      <x:c r="G72" s="2" t="str">
        <x:v>利用可</x:v>
      </x:c>
      <x:c r="H72" s="9" t="n">
        <x:v>12217010</x:v>
      </x:c>
      <x:c r="I72" s="2" t="str">
        <x:v>202301-202405</x:v>
      </x:c>
      <x:c r="J72" s="2" t="n">
        <x:v>11</x:v>
      </x:c>
      <x:c r="K72" s="8" t="n">
        <x:v>46294</x:v>
      </x:c>
    </x:row>
    <x:row r="73" ht="22" customHeight="1">
      <x:c r="A73" s="7" t="n">
        <x:v>45748</x:v>
      </x:c>
      <x:c r="B73" s="2" t="str">
        <x:v>84861000201</x:v>
      </x:c>
      <x:c r="C73" s="2" t="str">
        <x:v>848610</x:v>
      </x:c>
      <x:c r="D73" s="2" t="str">
        <x:v>ウエハー研削・研磨・ラッピング</x:v>
      </x:c>
      <x:c r="E73" s="9" t="n">
        <x:v>87920825</x:v>
      </x:c>
      <x:c r="F73" s="9" t="n">
        <x:f>IF(G73="利用可",E73,"")</x:f>
        <x:v>87920825</x:v>
      </x:c>
      <x:c r="G73" s="2" t="str">
        <x:v>利用可</x:v>
      </x:c>
      <x:c r="H73" s="9" t="n">
        <x:v>18651745</x:v>
      </x:c>
      <x:c r="I73" s="2" t="str">
        <x:v>202301-202405</x:v>
      </x:c>
      <x:c r="J73" s="2" t="n">
        <x:v>11</x:v>
      </x:c>
      <x:c r="K73" s="8" t="n">
        <x:v>46294</x:v>
      </x:c>
    </x:row>
    <x:row r="74" ht="22" customHeight="1">
      <x:c r="A74" s="7" t="n">
        <x:v>45778</x:v>
      </x:c>
      <x:c r="B74" s="2" t="str">
        <x:v>84861000201</x:v>
      </x:c>
      <x:c r="C74" s="2" t="str">
        <x:v>848610</x:v>
      </x:c>
      <x:c r="D74" s="2" t="str">
        <x:v>ウエハー研削・研磨・ラッピング</x:v>
      </x:c>
      <x:c r="E74" s="9" t="n">
        <x:v>71288756</x:v>
      </x:c>
      <x:c r="F74" s="9" t="n">
        <x:f>IF(G74="利用可",E74,"")</x:f>
        <x:v>71288756</x:v>
      </x:c>
      <x:c r="G74" s="2" t="str">
        <x:v>利用可</x:v>
      </x:c>
      <x:c r="H74" s="9" t="n">
        <x:v>16105677</x:v>
      </x:c>
      <x:c r="I74" s="2" t="str">
        <x:v>202301-202405</x:v>
      </x:c>
      <x:c r="J74" s="2" t="n">
        <x:v>11</x:v>
      </x:c>
      <x:c r="K74" s="8" t="n">
        <x:v>46294</x:v>
      </x:c>
    </x:row>
    <x:row r="75" ht="22" customHeight="1">
      <x:c r="A75" s="7" t="n">
        <x:v>45809</x:v>
      </x:c>
      <x:c r="B75" s="2" t="str">
        <x:v>84861000201</x:v>
      </x:c>
      <x:c r="C75" s="2" t="str">
        <x:v>848610</x:v>
      </x:c>
      <x:c r="D75" s="2" t="str">
        <x:v>ウエハー研削・研磨・ラッピング</x:v>
      </x:c>
      <x:c r="E75" s="9" t="n">
        <x:v>40681848</x:v>
      </x:c>
      <x:c r="F75" s="9" t="n">
        <x:f>IF(G75="利用可",E75,"")</x:f>
        <x:v>40681848</x:v>
      </x:c>
      <x:c r="G75" s="2" t="str">
        <x:v>利用可</x:v>
      </x:c>
      <x:c r="H75" s="9" t="n">
        <x:v>27196939</x:v>
      </x:c>
      <x:c r="I75" s="2" t="str">
        <x:v>202301-202405</x:v>
      </x:c>
      <x:c r="J75" s="2" t="n">
        <x:v>11</x:v>
      </x:c>
      <x:c r="K75" s="8" t="n">
        <x:v>46294</x:v>
      </x:c>
    </x:row>
    <x:row r="76" ht="22" customHeight="1">
      <x:c r="A76" s="7" t="n">
        <x:v>45839</x:v>
      </x:c>
      <x:c r="B76" s="2" t="str">
        <x:v>84861000201</x:v>
      </x:c>
      <x:c r="C76" s="2" t="str">
        <x:v>848610</x:v>
      </x:c>
      <x:c r="D76" s="2" t="str">
        <x:v>ウエハー研削・研磨・ラッピング</x:v>
      </x:c>
      <x:c r="E76" s="9" t="n">
        <x:v>57715004</x:v>
      </x:c>
      <x:c r="F76" s="9" t="n">
        <x:f>IF(G76="利用可",E76,"")</x:f>
        <x:v>57715004</x:v>
      </x:c>
      <x:c r="G76" s="2" t="str">
        <x:v>利用可</x:v>
      </x:c>
      <x:c r="H76" s="9" t="n">
        <x:v>20619906</x:v>
      </x:c>
      <x:c r="I76" s="2" t="str">
        <x:v>202301-202405</x:v>
      </x:c>
      <x:c r="J76" s="2" t="n">
        <x:v>11</x:v>
      </x:c>
      <x:c r="K76" s="8" t="n">
        <x:v>46294</x:v>
      </x:c>
    </x:row>
    <x:row r="77" ht="22" customHeight="1">
      <x:c r="A77" s="7" t="n">
        <x:v>45870</x:v>
      </x:c>
      <x:c r="B77" s="2" t="str">
        <x:v>84861000201</x:v>
      </x:c>
      <x:c r="C77" s="2" t="str">
        <x:v>848610</x:v>
      </x:c>
      <x:c r="D77" s="2" t="str">
        <x:v>ウエハー研削・研磨・ラッピング</x:v>
      </x:c>
      <x:c r="E77" s="9" t="n">
        <x:v>44669176</x:v>
      </x:c>
      <x:c r="F77" s="9" t="n">
        <x:f>IF(G77="利用可",E77,"")</x:f>
        <x:v>44669176</x:v>
      </x:c>
      <x:c r="G77" s="2" t="str">
        <x:v>利用可</x:v>
      </x:c>
      <x:c r="H77" s="9" t="n">
        <x:v>37486776</x:v>
      </x:c>
      <x:c r="I77" s="2" t="str">
        <x:v>202301-202405</x:v>
      </x:c>
      <x:c r="J77" s="2" t="n">
        <x:v>11</x:v>
      </x:c>
      <x:c r="K77" s="8" t="n">
        <x:v>46294</x:v>
      </x:c>
    </x:row>
    <x:row r="78" ht="22" customHeight="1">
      <x:c r="A78" s="7" t="n">
        <x:v>45901</x:v>
      </x:c>
      <x:c r="B78" s="2" t="str">
        <x:v>84861000201</x:v>
      </x:c>
      <x:c r="C78" s="2" t="str">
        <x:v>848610</x:v>
      </x:c>
      <x:c r="D78" s="2" t="str">
        <x:v>ウエハー研削・研磨・ラッピング</x:v>
      </x:c>
      <x:c r="E78" s="9" t="n">
        <x:v>61385069</x:v>
      </x:c>
      <x:c r="F78" s="9" t="n">
        <x:f>IF(G78="利用可",E78,"")</x:f>
        <x:v>61385069</x:v>
      </x:c>
      <x:c r="G78" s="2" t="str">
        <x:v>利用可</x:v>
      </x:c>
      <x:c r="H78" s="9" t="n">
        <x:v>24835115</x:v>
      </x:c>
      <x:c r="I78" s="2" t="str">
        <x:v>202301-202405</x:v>
      </x:c>
      <x:c r="J78" s="2" t="n">
        <x:v>11</x:v>
      </x:c>
      <x:c r="K78" s="8" t="n">
        <x:v>46294</x:v>
      </x:c>
    </x:row>
    <x:row r="79" ht="22" customHeight="1">
      <x:c r="A79" s="7" t="n">
        <x:v>45931</x:v>
      </x:c>
      <x:c r="B79" s="2" t="str">
        <x:v>84861000201</x:v>
      </x:c>
      <x:c r="C79" s="2" t="str">
        <x:v>848610</x:v>
      </x:c>
      <x:c r="D79" s="2" t="str">
        <x:v>ウエハー研削・研磨・ラッピング</x:v>
      </x:c>
      <x:c r="E79" s="9" t="n">
        <x:v>50537313</x:v>
      </x:c>
      <x:c r="F79" s="9" t="n">
        <x:f>IF(G79="利用可",E79,"")</x:f>
        <x:v>50537313</x:v>
      </x:c>
      <x:c r="G79" s="2" t="str">
        <x:v>利用可</x:v>
      </x:c>
      <x:c r="H79" s="9" t="n">
        <x:v>25536228</x:v>
      </x:c>
      <x:c r="I79" s="2" t="str">
        <x:v>202301-202405</x:v>
      </x:c>
      <x:c r="J79" s="2" t="n">
        <x:v>11</x:v>
      </x:c>
      <x:c r="K79" s="8" t="n">
        <x:v>46294</x:v>
      </x:c>
    </x:row>
    <x:row r="80" ht="22" customHeight="1">
      <x:c r="A80" s="7" t="n">
        <x:v>45962</x:v>
      </x:c>
      <x:c r="B80" s="2" t="str">
        <x:v>84861000201</x:v>
      </x:c>
      <x:c r="C80" s="2" t="str">
        <x:v>848610</x:v>
      </x:c>
      <x:c r="D80" s="2" t="str">
        <x:v>ウエハー研削・研磨・ラッピング</x:v>
      </x:c>
      <x:c r="E80" s="9" t="n">
        <x:v>52710336</x:v>
      </x:c>
      <x:c r="F80" s="9" t="n">
        <x:f>IF(G80="利用可",E80,"")</x:f>
        <x:v>52710336</x:v>
      </x:c>
      <x:c r="G80" s="2" t="str">
        <x:v>利用可</x:v>
      </x:c>
      <x:c r="H80" s="9" t="n">
        <x:v>32748896</x:v>
      </x:c>
      <x:c r="I80" s="2" t="str">
        <x:v>202301-202405</x:v>
      </x:c>
      <x:c r="J80" s="2" t="n">
        <x:v>11</x:v>
      </x:c>
      <x:c r="K80" s="8" t="n">
        <x:v>46294</x:v>
      </x:c>
    </x:row>
    <x:row r="81" ht="22" customHeight="1">
      <x:c r="A81" s="7" t="n">
        <x:v>45992</x:v>
      </x:c>
      <x:c r="B81" s="2" t="str">
        <x:v>84861000201</x:v>
      </x:c>
      <x:c r="C81" s="2" t="str">
        <x:v>848610</x:v>
      </x:c>
      <x:c r="D81" s="2" t="str">
        <x:v>ウエハー研削・研磨・ラッピング</x:v>
      </x:c>
      <x:c r="E81" s="9" t="n">
        <x:v>89984495</x:v>
      </x:c>
      <x:c r="F81" s="9" t="n">
        <x:f>IF(G81="利用可",E81,"")</x:f>
        <x:v>89984495</x:v>
      </x:c>
      <x:c r="G81" s="2" t="str">
        <x:v>利用可</x:v>
      </x:c>
      <x:c r="H81" s="9" t="n">
        <x:v>42504342</x:v>
      </x:c>
      <x:c r="I81" s="2" t="str">
        <x:v>202301-202405</x:v>
      </x:c>
      <x:c r="J81" s="2" t="n">
        <x:v>11</x:v>
      </x:c>
      <x:c r="K81" s="8" t="n">
        <x:v>46294</x:v>
      </x:c>
    </x:row>
    <x:row r="82" ht="22" customHeight="1">
      <x:c r="A82" s="7" t="n">
        <x:v>46023</x:v>
      </x:c>
      <x:c r="B82" s="2" t="str">
        <x:v>84861000201</x:v>
      </x:c>
      <x:c r="C82" s="2" t="str">
        <x:v>848610</x:v>
      </x:c>
      <x:c r="D82" s="2" t="str">
        <x:v>ウエハー研削・研磨・ラッピング</x:v>
      </x:c>
      <x:c r="E82" s="9" t="n">
        <x:v>41290581</x:v>
      </x:c>
      <x:c r="F82" s="9" t="n">
        <x:f>IF(G82="利用可",E82,"")</x:f>
        <x:v>41290581</x:v>
      </x:c>
      <x:c r="G82" s="2" t="str">
        <x:v>利用可</x:v>
      </x:c>
      <x:c r="H82" s="9" t="n">
        <x:v>27950441</x:v>
      </x:c>
      <x:c r="I82" s="2" t="str">
        <x:v>202301-202405</x:v>
      </x:c>
      <x:c r="J82" s="2" t="n">
        <x:v>11</x:v>
      </x:c>
      <x:c r="K82" s="8" t="n">
        <x:v>46294</x:v>
      </x:c>
    </x:row>
    <x:row r="83" ht="22" customHeight="1">
      <x:c r="A83" s="7" t="n">
        <x:v>46054</x:v>
      </x:c>
      <x:c r="B83" s="2" t="str">
        <x:v>84861000201</x:v>
      </x:c>
      <x:c r="C83" s="2" t="str">
        <x:v>848610</x:v>
      </x:c>
      <x:c r="D83" s="2" t="str">
        <x:v>ウエハー研削・研磨・ラッピング</x:v>
      </x:c>
      <x:c r="E83" s="9" t="n">
        <x:v>37951031</x:v>
      </x:c>
      <x:c r="F83" s="9" t="n">
        <x:f>IF(G83="利用可",E83,"")</x:f>
        <x:v>37951031</x:v>
      </x:c>
      <x:c r="G83" s="2" t="str">
        <x:v>利用可</x:v>
      </x:c>
      <x:c r="H83" s="9" t="n">
        <x:v>41377266</x:v>
      </x:c>
      <x:c r="I83" s="2" t="str">
        <x:v>202301-202405</x:v>
      </x:c>
      <x:c r="J83" s="2" t="n">
        <x:v>11</x:v>
      </x:c>
      <x:c r="K83" s="8" t="n">
        <x:v>46294</x:v>
      </x:c>
    </x:row>
    <x:row r="84" ht="22" customHeight="1">
      <x:c r="A84" s="7" t="n">
        <x:v>46082</x:v>
      </x:c>
      <x:c r="B84" s="2" t="str">
        <x:v>84861000201</x:v>
      </x:c>
      <x:c r="C84" s="2" t="str">
        <x:v>848610</x:v>
      </x:c>
      <x:c r="D84" s="2" t="str">
        <x:v>ウエハー研削・研磨・ラッピング</x:v>
      </x:c>
      <x:c r="E84" s="9" t="n">
        <x:v>80862515</x:v>
      </x:c>
      <x:c r="F84" s="9" t="n">
        <x:f>IF(G84="利用可",E84,"")</x:f>
        <x:v>80862515</x:v>
      </x:c>
      <x:c r="G84" s="2" t="str">
        <x:v>利用可</x:v>
      </x:c>
      <x:c r="H84" s="9" t="n">
        <x:v>53227057</x:v>
      </x:c>
      <x:c r="I84" s="2" t="str">
        <x:v>202301-202405</x:v>
      </x:c>
      <x:c r="J84" s="2" t="n">
        <x:v>11</x:v>
      </x:c>
      <x:c r="K84" s="8" t="n">
        <x:v>46294</x:v>
      </x:c>
    </x:row>
    <x:row r="85" ht="22" customHeight="1">
      <x:c r="A85" s="7" t="n">
        <x:v>46113</x:v>
      </x:c>
      <x:c r="B85" s="2" t="str">
        <x:v>84861000201</x:v>
      </x:c>
      <x:c r="C85" s="2" t="str">
        <x:v>848610</x:v>
      </x:c>
      <x:c r="D85" s="2" t="str">
        <x:v>ウエハー研削・研磨・ラッピング</x:v>
      </x:c>
      <x:c r="E85" s="9" t="n">
        <x:v>108876138</x:v>
      </x:c>
      <x:c r="F85" s="9" t="n">
        <x:f>IF(G85="利用可",E85,"")</x:f>
        <x:v>108876138</x:v>
      </x:c>
      <x:c r="G85" s="2" t="str">
        <x:v>利用可</x:v>
      </x:c>
      <x:c r="H85" s="9" t="n">
        <x:v>87920825</x:v>
      </x:c>
      <x:c r="I85" s="2" t="str">
        <x:v>202301-202405</x:v>
      </x:c>
      <x:c r="J85" s="2" t="n">
        <x:v>11</x:v>
      </x:c>
      <x:c r="K85" s="8" t="n">
        <x:v>46294</x:v>
      </x:c>
    </x:row>
    <x:row r="86" ht="22" customHeight="1">
      <x:c r="A86" s="7" t="n">
        <x:v>46143</x:v>
      </x:c>
      <x:c r="B86" s="2" t="str">
        <x:v>84861000201</x:v>
      </x:c>
      <x:c r="C86" s="2" t="str">
        <x:v>848610</x:v>
      </x:c>
      <x:c r="D86" s="2" t="str">
        <x:v>ウエハー研削・研磨・ラッピング</x:v>
      </x:c>
      <x:c r="E86" s="9" t="n">
        <x:v>63200568</x:v>
      </x:c>
      <x:c r="F86" s="9" t="n">
        <x:f>IF(G86="利用可",E86,"")</x:f>
        <x:v>63200568</x:v>
      </x:c>
      <x:c r="G86" s="2" t="str">
        <x:v>利用可</x:v>
      </x:c>
      <x:c r="H86" s="9" t="n">
        <x:v>71288756</x:v>
      </x:c>
      <x:c r="I86" s="2" t="str">
        <x:v>202301-202405</x:v>
      </x:c>
      <x:c r="J86" s="2" t="n">
        <x:v>11</x:v>
      </x:c>
      <x:c r="K86" s="8" t="n">
        <x:v>46294</x:v>
      </x:c>
    </x:row>
    <x:row r="87" ht="22" customHeight="1">
      <x:c r="A87" s="7" t="n">
        <x:v>46174</x:v>
      </x:c>
      <x:c r="B87" s="2" t="str">
        <x:v>84861000201</x:v>
      </x:c>
      <x:c r="C87" s="2" t="str">
        <x:v>848610</x:v>
      </x:c>
      <x:c r="D87" s="2" t="str">
        <x:v>ウエハー研削・研磨・ラッピング</x:v>
      </x:c>
      <x:c r="E87" s="9" t="n">
        <x:v>110168159</x:v>
      </x:c>
      <x:c r="F87" s="9" t="n">
        <x:f>IF(G87="利用可",E87,"")</x:f>
        <x:v>110168159</x:v>
      </x:c>
      <x:c r="G87" s="2" t="str">
        <x:v>利用可</x:v>
      </x:c>
      <x:c r="H87" s="9" t="n">
        <x:v>40681848</x:v>
      </x:c>
      <x:c r="I87" s="2" t="str">
        <x:v>202301-202405</x:v>
      </x:c>
      <x:c r="J87" s="2" t="n">
        <x:v>11</x:v>
      </x:c>
      <x:c r="K87" s="8" t="n">
        <x:v>46294</x:v>
      </x:c>
    </x:row>
    <x:row r="88" ht="22" customHeight="1">
      <x:c r="A88" s="7" t="n">
        <x:v>46204</x:v>
      </x:c>
      <x:c r="B88" s="2" t="str">
        <x:v>84861000201</x:v>
      </x:c>
      <x:c r="C88" s="2" t="str">
        <x:v>848610</x:v>
      </x:c>
      <x:c r="D88" s="2" t="str">
        <x:v>ウエハー研削・研磨・ラッピング</x:v>
      </x:c>
      <x:c r="E88" s="9" t="n">
        <x:v>67009567</x:v>
      </x:c>
      <x:c r="F88" s="9" t="n">
        <x:f>IF(G88="利用可",E88,"")</x:f>
        <x:v>67009567</x:v>
      </x:c>
      <x:c r="G88" s="2" t="str">
        <x:v>利用可</x:v>
      </x:c>
      <x:c r="H88" s="9" t="n">
        <x:v>57715004</x:v>
      </x:c>
      <x:c r="I88" s="2" t="str">
        <x:v>202301-202405</x:v>
      </x:c>
      <x:c r="J88" s="2" t="n">
        <x:v>11</x:v>
      </x:c>
      <x:c r="K88" s="8" t="n">
        <x:v>46294</x:v>
      </x:c>
    </x:row>
    <x:row r="89" ht="22" customHeight="1">
      <x:c r="A89" s="7" t="n">
        <x:v>46235</x:v>
      </x:c>
      <x:c r="B89" s="2" t="str">
        <x:v>84861000201</x:v>
      </x:c>
      <x:c r="C89" s="2" t="str">
        <x:v>848610</x:v>
      </x:c>
      <x:c r="D89" s="2" t="str">
        <x:v>ウエハー研削・研磨・ラッピング</x:v>
      </x:c>
      <x:c r="E89" s="9" t="n">
        <x:v>74323239</x:v>
      </x:c>
      <x:c r="F89" s="9" t="n">
        <x:f>IF(G89="利用可",E89,"")</x:f>
        <x:v>74323239</x:v>
      </x:c>
      <x:c r="G89" s="2" t="str">
        <x:v>利用可</x:v>
      </x:c>
      <x:c r="H89" s="9" t="n">
        <x:v>44669176</x:v>
      </x:c>
      <x:c r="I89" s="2" t="str">
        <x:v>202301-202405</x:v>
      </x:c>
      <x:c r="J89" s="2" t="n">
        <x:v>11</x:v>
      </x:c>
      <x:c r="K89" s="8" t="n">
        <x:v>46294</x:v>
      </x:c>
    </x:row>
    <x:row r="90" ht="22" customHeight="1">
      <x:c r="A90" s="7" t="n">
        <x:v>44927</x:v>
      </x:c>
      <x:c r="B90" s="2" t="str">
        <x:v>84862000209</x:v>
      </x:c>
      <x:c r="C90" s="2" t="str">
        <x:v>848620</x:v>
      </x:c>
      <x:c r="D90" s="2" t="str">
        <x:v>ウエハーのレーザー等加工装置</x:v>
      </x:c>
      <x:c r="E90" s="9" t="n">
        <x:v>2483987</x:v>
      </x:c>
      <x:c r="F90" s="9" t="n">
        <x:f>IF(G90="利用可",E90,"")</x:f>
        <x:v>2483987</x:v>
      </x:c>
      <x:c r="G90" s="2" t="str">
        <x:v>利用可</x:v>
      </x:c>
      <x:c r="H90" s="9" t="n">
        <x:v>9132477</x:v>
      </x:c>
      <x:c r="I90" s="2" t="str"/>
      <x:c r="J90" s="2" t="n">
        <x:v>11</x:v>
      </x:c>
      <x:c r="K90" s="8" t="n">
        <x:v>46294</x:v>
      </x:c>
    </x:row>
    <x:row r="91" ht="22" customHeight="1">
      <x:c r="A91" s="7" t="n">
        <x:v>44958</x:v>
      </x:c>
      <x:c r="B91" s="2" t="str">
        <x:v>84862000209</x:v>
      </x:c>
      <x:c r="C91" s="2" t="str">
        <x:v>848620</x:v>
      </x:c>
      <x:c r="D91" s="2" t="str">
        <x:v>ウエハーのレーザー等加工装置</x:v>
      </x:c>
      <x:c r="E91" s="9" t="n">
        <x:v>19874</x:v>
      </x:c>
      <x:c r="F91" s="9" t="n">
        <x:f>IF(G91="利用可",E91,"")</x:f>
        <x:v>19874</x:v>
      </x:c>
      <x:c r="G91" s="2" t="str">
        <x:v>利用可</x:v>
      </x:c>
      <x:c r="H91" s="9" t="n">
        <x:v>3368213</x:v>
      </x:c>
      <x:c r="I91" s="2" t="str"/>
      <x:c r="J91" s="2" t="n">
        <x:v>11</x:v>
      </x:c>
      <x:c r="K91" s="8" t="n">
        <x:v>46294</x:v>
      </x:c>
    </x:row>
    <x:row r="92" ht="22" customHeight="1">
      <x:c r="A92" s="7" t="n">
        <x:v>44986</x:v>
      </x:c>
      <x:c r="B92" s="2" t="str">
        <x:v>84862000209</x:v>
      </x:c>
      <x:c r="C92" s="2" t="str">
        <x:v>848620</x:v>
      </x:c>
      <x:c r="D92" s="2" t="str">
        <x:v>ウエハーのレーザー等加工装置</x:v>
      </x:c>
      <x:c r="E92" s="9" t="n">
        <x:v>7469775</x:v>
      </x:c>
      <x:c r="F92" s="9" t="n">
        <x:f>IF(G92="利用可",E92,"")</x:f>
        <x:v>7469775</x:v>
      </x:c>
      <x:c r="G92" s="2" t="str">
        <x:v>利用可</x:v>
      </x:c>
      <x:c r="H92" s="9" t="n">
        <x:v>6235894</x:v>
      </x:c>
      <x:c r="I92" s="2" t="str"/>
      <x:c r="J92" s="2" t="n">
        <x:v>11</x:v>
      </x:c>
      <x:c r="K92" s="8" t="n">
        <x:v>46294</x:v>
      </x:c>
    </x:row>
    <x:row r="93" ht="22" customHeight="1">
      <x:c r="A93" s="7" t="n">
        <x:v>45017</x:v>
      </x:c>
      <x:c r="B93" s="2" t="str">
        <x:v>84862000209</x:v>
      </x:c>
      <x:c r="C93" s="2" t="str">
        <x:v>848620</x:v>
      </x:c>
      <x:c r="D93" s="2" t="str">
        <x:v>ウエハーのレーザー等加工装置</x:v>
      </x:c>
      <x:c r="E93" s="9" t="n">
        <x:v>3144909</x:v>
      </x:c>
      <x:c r="F93" s="9" t="n">
        <x:f>IF(G93="利用可",E93,"")</x:f>
        <x:v>3144909</x:v>
      </x:c>
      <x:c r="G93" s="2" t="str">
        <x:v>利用可</x:v>
      </x:c>
      <x:c r="H93" s="9" t="n">
        <x:v>7572126</x:v>
      </x:c>
      <x:c r="I93" s="2" t="str"/>
      <x:c r="J93" s="2" t="n">
        <x:v>11</x:v>
      </x:c>
      <x:c r="K93" s="8" t="n">
        <x:v>46294</x:v>
      </x:c>
    </x:row>
    <x:row r="94" ht="22" customHeight="1">
      <x:c r="A94" s="7" t="n">
        <x:v>45047</x:v>
      </x:c>
      <x:c r="B94" s="2" t="str">
        <x:v>84862000209</x:v>
      </x:c>
      <x:c r="C94" s="2" t="str">
        <x:v>848620</x:v>
      </x:c>
      <x:c r="D94" s="2" t="str">
        <x:v>ウエハーのレーザー等加工装置</x:v>
      </x:c>
      <x:c r="E94" s="9" t="n">
        <x:v>356920</x:v>
      </x:c>
      <x:c r="F94" s="9" t="n">
        <x:f>IF(G94="利用可",E94,"")</x:f>
        <x:v>356920</x:v>
      </x:c>
      <x:c r="G94" s="2" t="str">
        <x:v>利用可</x:v>
      </x:c>
      <x:c r="H94" s="9" t="n">
        <x:v>2783289</x:v>
      </x:c>
      <x:c r="I94" s="2" t="str"/>
      <x:c r="J94" s="2" t="n">
        <x:v>11</x:v>
      </x:c>
      <x:c r="K94" s="8" t="n">
        <x:v>46294</x:v>
      </x:c>
    </x:row>
    <x:row r="95" ht="22" customHeight="1">
      <x:c r="A95" s="7" t="n">
        <x:v>45078</x:v>
      </x:c>
      <x:c r="B95" s="2" t="str">
        <x:v>84862000209</x:v>
      </x:c>
      <x:c r="C95" s="2" t="str">
        <x:v>848620</x:v>
      </x:c>
      <x:c r="D95" s="2" t="str">
        <x:v>ウエハーのレーザー等加工装置</x:v>
      </x:c>
      <x:c r="E95" s="9" t="n">
        <x:v>4763651</x:v>
      </x:c>
      <x:c r="F95" s="9" t="n">
        <x:f>IF(G95="利用可",E95,"")</x:f>
        <x:v>4763651</x:v>
      </x:c>
      <x:c r="G95" s="2" t="str">
        <x:v>利用可</x:v>
      </x:c>
      <x:c r="H95" s="9" t="n">
        <x:v>4779729</x:v>
      </x:c>
      <x:c r="I95" s="2" t="str"/>
      <x:c r="J95" s="2" t="n">
        <x:v>11</x:v>
      </x:c>
      <x:c r="K95" s="8" t="n">
        <x:v>46294</x:v>
      </x:c>
    </x:row>
    <x:row r="96" ht="22" customHeight="1">
      <x:c r="A96" s="7" t="n">
        <x:v>45108</x:v>
      </x:c>
      <x:c r="B96" s="2" t="str">
        <x:v>84862000209</x:v>
      </x:c>
      <x:c r="C96" s="2" t="str">
        <x:v>848620</x:v>
      </x:c>
      <x:c r="D96" s="2" t="str">
        <x:v>ウエハーのレーザー等加工装置</x:v>
      </x:c>
      <x:c r="E96" s="9" t="n">
        <x:v>3357295</x:v>
      </x:c>
      <x:c r="F96" s="9" t="n">
        <x:f>IF(G96="利用可",E96,"")</x:f>
        <x:v>3357295</x:v>
      </x:c>
      <x:c r="G96" s="2" t="str">
        <x:v>利用可</x:v>
      </x:c>
      <x:c r="H96" s="9" t="n">
        <x:v>4643863</x:v>
      </x:c>
      <x:c r="I96" s="2" t="str"/>
      <x:c r="J96" s="2" t="n">
        <x:v>11</x:v>
      </x:c>
      <x:c r="K96" s="8" t="n">
        <x:v>46294</x:v>
      </x:c>
    </x:row>
    <x:row r="97" ht="22" customHeight="1">
      <x:c r="A97" s="7" t="n">
        <x:v>45139</x:v>
      </x:c>
      <x:c r="B97" s="2" t="str">
        <x:v>84862000209</x:v>
      </x:c>
      <x:c r="C97" s="2" t="str">
        <x:v>848620</x:v>
      </x:c>
      <x:c r="D97" s="2" t="str">
        <x:v>ウエハーのレーザー等加工装置</x:v>
      </x:c>
      <x:c r="E97" s="9"/>
      <x:c r="F97" s="9" t="str">
        <x:f>IF(G97="利用可",E97,"")</x:f>
      </x:c>
      <x:c r="G97" s="2" t="str">
        <x:v>原表欠測</x:v>
      </x:c>
      <x:c r="H97" s="9" t="n">
        <x:v>1926077</x:v>
      </x:c>
      <x:c r="I97" s="2" t="str"/>
      <x:c r="J97" s="2" t="n">
        <x:v>11</x:v>
      </x:c>
      <x:c r="K97" s="8" t="n">
        <x:v>46294</x:v>
      </x:c>
    </x:row>
    <x:row r="98" ht="22" customHeight="1">
      <x:c r="A98" s="7" t="n">
        <x:v>45170</x:v>
      </x:c>
      <x:c r="B98" s="2" t="str">
        <x:v>84862000209</x:v>
      </x:c>
      <x:c r="C98" s="2" t="str">
        <x:v>848620</x:v>
      </x:c>
      <x:c r="D98" s="2" t="str">
        <x:v>ウエハーのレーザー等加工装置</x:v>
      </x:c>
      <x:c r="E98" s="9" t="n">
        <x:v>2303543</x:v>
      </x:c>
      <x:c r="F98" s="9" t="n">
        <x:f>IF(G98="利用可",E98,"")</x:f>
        <x:v>2303543</x:v>
      </x:c>
      <x:c r="G98" s="2" t="str">
        <x:v>利用可</x:v>
      </x:c>
      <x:c r="H98" s="9" t="n">
        <x:v>2680541</x:v>
      </x:c>
      <x:c r="I98" s="2" t="str"/>
      <x:c r="J98" s="2" t="n">
        <x:v>11</x:v>
      </x:c>
      <x:c r="K98" s="8" t="n">
        <x:v>46294</x:v>
      </x:c>
    </x:row>
    <x:row r="99" ht="22" customHeight="1">
      <x:c r="A99" s="7" t="n">
        <x:v>45200</x:v>
      </x:c>
      <x:c r="B99" s="2" t="str">
        <x:v>84862000209</x:v>
      </x:c>
      <x:c r="C99" s="2" t="str">
        <x:v>848620</x:v>
      </x:c>
      <x:c r="D99" s="2" t="str">
        <x:v>ウエハーのレーザー等加工装置</x:v>
      </x:c>
      <x:c r="E99" s="9" t="n">
        <x:v>1961174</x:v>
      </x:c>
      <x:c r="F99" s="9" t="n">
        <x:f>IF(G99="利用可",E99,"")</x:f>
        <x:v>1961174</x:v>
      </x:c>
      <x:c r="G99" s="2" t="str">
        <x:v>利用可</x:v>
      </x:c>
      <x:c r="H99" s="9" t="n">
        <x:v>667770</x:v>
      </x:c>
      <x:c r="I99" s="2" t="str"/>
      <x:c r="J99" s="2" t="n">
        <x:v>11</x:v>
      </x:c>
      <x:c r="K99" s="8" t="n">
        <x:v>46294</x:v>
      </x:c>
    </x:row>
    <x:row r="100" ht="22" customHeight="1">
      <x:c r="A100" s="7" t="n">
        <x:v>45231</x:v>
      </x:c>
      <x:c r="B100" s="2" t="str">
        <x:v>84862000209</x:v>
      </x:c>
      <x:c r="C100" s="2" t="str">
        <x:v>848620</x:v>
      </x:c>
      <x:c r="D100" s="2" t="str">
        <x:v>ウエハーのレーザー等加工装置</x:v>
      </x:c>
      <x:c r="E100" s="9" t="n">
        <x:v>5176992</x:v>
      </x:c>
      <x:c r="F100" s="9" t="n">
        <x:f>IF(G100="利用可",E100,"")</x:f>
        <x:v>5176992</x:v>
      </x:c>
      <x:c r="G100" s="2" t="str">
        <x:v>利用可</x:v>
      </x:c>
      <x:c r="H100" s="9" t="n">
        <x:v>3120590</x:v>
      </x:c>
      <x:c r="I100" s="2" t="str"/>
      <x:c r="J100" s="2" t="n">
        <x:v>11</x:v>
      </x:c>
      <x:c r="K100" s="8" t="n">
        <x:v>46294</x:v>
      </x:c>
    </x:row>
    <x:row r="101" ht="22" customHeight="1">
      <x:c r="A101" s="7" t="n">
        <x:v>45261</x:v>
      </x:c>
      <x:c r="B101" s="2" t="str">
        <x:v>84862000209</x:v>
      </x:c>
      <x:c r="C101" s="2" t="str">
        <x:v>848620</x:v>
      </x:c>
      <x:c r="D101" s="2" t="str">
        <x:v>ウエハーのレーザー等加工装置</x:v>
      </x:c>
      <x:c r="E101" s="9" t="n">
        <x:v>1534467</x:v>
      </x:c>
      <x:c r="F101" s="9" t="n">
        <x:f>IF(G101="利用可",E101,"")</x:f>
        <x:v>1534467</x:v>
      </x:c>
      <x:c r="G101" s="2" t="str">
        <x:v>利用可</x:v>
      </x:c>
      <x:c r="H101" s="9" t="n">
        <x:v>7426982</x:v>
      </x:c>
      <x:c r="I101" s="2" t="str"/>
      <x:c r="J101" s="2" t="n">
        <x:v>11</x:v>
      </x:c>
      <x:c r="K101" s="8" t="n">
        <x:v>46294</x:v>
      </x:c>
    </x:row>
    <x:row r="102" ht="22" customHeight="1">
      <x:c r="A102" s="7" t="n">
        <x:v>45292</x:v>
      </x:c>
      <x:c r="B102" s="2" t="str">
        <x:v>84862000209</x:v>
      </x:c>
      <x:c r="C102" s="2" t="str">
        <x:v>848620</x:v>
      </x:c>
      <x:c r="D102" s="2" t="str">
        <x:v>ウエハーのレーザー等加工装置</x:v>
      </x:c>
      <x:c r="E102" s="9" t="n">
        <x:v>1729081</x:v>
      </x:c>
      <x:c r="F102" s="9" t="n">
        <x:f>IF(G102="利用可",E102,"")</x:f>
        <x:v>1729081</x:v>
      </x:c>
      <x:c r="G102" s="2" t="str">
        <x:v>利用可</x:v>
      </x:c>
      <x:c r="H102" s="9" t="n">
        <x:v>2483987</x:v>
      </x:c>
      <x:c r="I102" s="2" t="str"/>
      <x:c r="J102" s="2" t="n">
        <x:v>11</x:v>
      </x:c>
      <x:c r="K102" s="8" t="n">
        <x:v>46294</x:v>
      </x:c>
    </x:row>
    <x:row r="103" ht="22" customHeight="1">
      <x:c r="A103" s="7" t="n">
        <x:v>45323</x:v>
      </x:c>
      <x:c r="B103" s="2" t="str">
        <x:v>84862000209</x:v>
      </x:c>
      <x:c r="C103" s="2" t="str">
        <x:v>848620</x:v>
      </x:c>
      <x:c r="D103" s="2" t="str">
        <x:v>ウエハーのレーザー等加工装置</x:v>
      </x:c>
      <x:c r="E103" s="9" t="n">
        <x:v>1711763</x:v>
      </x:c>
      <x:c r="F103" s="9" t="n">
        <x:f>IF(G103="利用可",E103,"")</x:f>
        <x:v>1711763</x:v>
      </x:c>
      <x:c r="G103" s="2" t="str">
        <x:v>利用可</x:v>
      </x:c>
      <x:c r="H103" s="9" t="n">
        <x:v>19874</x:v>
      </x:c>
      <x:c r="I103" s="2" t="str"/>
      <x:c r="J103" s="2" t="n">
        <x:v>11</x:v>
      </x:c>
      <x:c r="K103" s="8" t="n">
        <x:v>46294</x:v>
      </x:c>
    </x:row>
    <x:row r="104" ht="22" customHeight="1">
      <x:c r="A104" s="7" t="n">
        <x:v>45352</x:v>
      </x:c>
      <x:c r="B104" s="2" t="str">
        <x:v>84862000209</x:v>
      </x:c>
      <x:c r="C104" s="2" t="str">
        <x:v>848620</x:v>
      </x:c>
      <x:c r="D104" s="2" t="str">
        <x:v>ウエハーのレーザー等加工装置</x:v>
      </x:c>
      <x:c r="E104" s="9" t="n">
        <x:v>9858949</x:v>
      </x:c>
      <x:c r="F104" s="9" t="n">
        <x:f>IF(G104="利用可",E104,"")</x:f>
        <x:v>9858949</x:v>
      </x:c>
      <x:c r="G104" s="2" t="str">
        <x:v>利用可</x:v>
      </x:c>
      <x:c r="H104" s="9" t="n">
        <x:v>7469775</x:v>
      </x:c>
      <x:c r="I104" s="2" t="str"/>
      <x:c r="J104" s="2" t="n">
        <x:v>11</x:v>
      </x:c>
      <x:c r="K104" s="8" t="n">
        <x:v>46294</x:v>
      </x:c>
    </x:row>
    <x:row r="105" ht="22" customHeight="1">
      <x:c r="A105" s="7" t="n">
        <x:v>45383</x:v>
      </x:c>
      <x:c r="B105" s="2" t="str">
        <x:v>84862000209</x:v>
      </x:c>
      <x:c r="C105" s="2" t="str">
        <x:v>848620</x:v>
      </x:c>
      <x:c r="D105" s="2" t="str">
        <x:v>ウエハーのレーザー等加工装置</x:v>
      </x:c>
      <x:c r="E105" s="9" t="n">
        <x:v>6882243</x:v>
      </x:c>
      <x:c r="F105" s="9" t="n">
        <x:f>IF(G105="利用可",E105,"")</x:f>
        <x:v>6882243</x:v>
      </x:c>
      <x:c r="G105" s="2" t="str">
        <x:v>利用可</x:v>
      </x:c>
      <x:c r="H105" s="9" t="n">
        <x:v>3144909</x:v>
      </x:c>
      <x:c r="I105" s="2" t="str"/>
      <x:c r="J105" s="2" t="n">
        <x:v>11</x:v>
      </x:c>
      <x:c r="K105" s="8" t="n">
        <x:v>46294</x:v>
      </x:c>
    </x:row>
    <x:row r="106" ht="22" customHeight="1">
      <x:c r="A106" s="7" t="n">
        <x:v>45413</x:v>
      </x:c>
      <x:c r="B106" s="2" t="str">
        <x:v>84862000209</x:v>
      </x:c>
      <x:c r="C106" s="2" t="str">
        <x:v>848620</x:v>
      </x:c>
      <x:c r="D106" s="2" t="str">
        <x:v>ウエハーのレーザー等加工装置</x:v>
      </x:c>
      <x:c r="E106" s="9" t="n">
        <x:v>4930290</x:v>
      </x:c>
      <x:c r="F106" s="9" t="n">
        <x:f>IF(G106="利用可",E106,"")</x:f>
        <x:v>4930290</x:v>
      </x:c>
      <x:c r="G106" s="2" t="str">
        <x:v>利用可</x:v>
      </x:c>
      <x:c r="H106" s="9" t="n">
        <x:v>356920</x:v>
      </x:c>
      <x:c r="I106" s="2" t="str"/>
      <x:c r="J106" s="2" t="n">
        <x:v>11</x:v>
      </x:c>
      <x:c r="K106" s="8" t="n">
        <x:v>46294</x:v>
      </x:c>
    </x:row>
    <x:row r="107" ht="22" customHeight="1">
      <x:c r="A107" s="7" t="n">
        <x:v>45444</x:v>
      </x:c>
      <x:c r="B107" s="2" t="str">
        <x:v>84862000209</x:v>
      </x:c>
      <x:c r="C107" s="2" t="str">
        <x:v>848620</x:v>
      </x:c>
      <x:c r="D107" s="2" t="str">
        <x:v>ウエハーのレーザー等加工装置</x:v>
      </x:c>
      <x:c r="E107" s="9" t="n">
        <x:v>6016677</x:v>
      </x:c>
      <x:c r="F107" s="9" t="n">
        <x:f>IF(G107="利用可",E107,"")</x:f>
        <x:v>6016677</x:v>
      </x:c>
      <x:c r="G107" s="2" t="str">
        <x:v>利用可</x:v>
      </x:c>
      <x:c r="H107" s="9" t="n">
        <x:v>4763651</x:v>
      </x:c>
      <x:c r="I107" s="2" t="str"/>
      <x:c r="J107" s="2" t="n">
        <x:v>11</x:v>
      </x:c>
      <x:c r="K107" s="8" t="n">
        <x:v>46294</x:v>
      </x:c>
    </x:row>
    <x:row r="108" ht="22" customHeight="1">
      <x:c r="A108" s="7" t="n">
        <x:v>45474</x:v>
      </x:c>
      <x:c r="B108" s="2" t="str">
        <x:v>84862000209</x:v>
      </x:c>
      <x:c r="C108" s="2" t="str">
        <x:v>848620</x:v>
      </x:c>
      <x:c r="D108" s="2" t="str">
        <x:v>ウエハーのレーザー等加工装置</x:v>
      </x:c>
      <x:c r="E108" s="9" t="n">
        <x:v>5633969</x:v>
      </x:c>
      <x:c r="F108" s="9" t="n">
        <x:f>IF(G108="利用可",E108,"")</x:f>
        <x:v>5633969</x:v>
      </x:c>
      <x:c r="G108" s="2" t="str">
        <x:v>利用可</x:v>
      </x:c>
      <x:c r="H108" s="9" t="n">
        <x:v>3357295</x:v>
      </x:c>
      <x:c r="I108" s="2" t="str"/>
      <x:c r="J108" s="2" t="n">
        <x:v>11</x:v>
      </x:c>
      <x:c r="K108" s="8" t="n">
        <x:v>46294</x:v>
      </x:c>
    </x:row>
    <x:row r="109" ht="22" customHeight="1">
      <x:c r="A109" s="7" t="n">
        <x:v>45505</x:v>
      </x:c>
      <x:c r="B109" s="2" t="str">
        <x:v>84862000209</x:v>
      </x:c>
      <x:c r="C109" s="2" t="str">
        <x:v>848620</x:v>
      </x:c>
      <x:c r="D109" s="2" t="str">
        <x:v>ウエハーのレーザー等加工装置</x:v>
      </x:c>
      <x:c r="E109" s="9" t="n">
        <x:v>8692052</x:v>
      </x:c>
      <x:c r="F109" s="9" t="n">
        <x:f>IF(G109="利用可",E109,"")</x:f>
        <x:v>8692052</x:v>
      </x:c>
      <x:c r="G109" s="2" t="str">
        <x:v>利用可</x:v>
      </x:c>
      <x:c r="H109" s="9"/>
      <x:c r="I109" s="2" t="str"/>
      <x:c r="J109" s="2" t="n">
        <x:v>11</x:v>
      </x:c>
      <x:c r="K109" s="8" t="n">
        <x:v>46294</x:v>
      </x:c>
    </x:row>
    <x:row r="110" ht="22" customHeight="1">
      <x:c r="A110" s="7" t="n">
        <x:v>45536</x:v>
      </x:c>
      <x:c r="B110" s="2" t="str">
        <x:v>84862000209</x:v>
      </x:c>
      <x:c r="C110" s="2" t="str">
        <x:v>848620</x:v>
      </x:c>
      <x:c r="D110" s="2" t="str">
        <x:v>ウエハーのレーザー等加工装置</x:v>
      </x:c>
      <x:c r="E110" s="9" t="n">
        <x:v>10171135</x:v>
      </x:c>
      <x:c r="F110" s="9" t="n">
        <x:f>IF(G110="利用可",E110,"")</x:f>
        <x:v>10171135</x:v>
      </x:c>
      <x:c r="G110" s="2" t="str">
        <x:v>利用可</x:v>
      </x:c>
      <x:c r="H110" s="9" t="n">
        <x:v>2303543</x:v>
      </x:c>
      <x:c r="I110" s="2" t="str"/>
      <x:c r="J110" s="2" t="n">
        <x:v>11</x:v>
      </x:c>
      <x:c r="K110" s="8" t="n">
        <x:v>46294</x:v>
      </x:c>
    </x:row>
    <x:row r="111" ht="22" customHeight="1">
      <x:c r="A111" s="7" t="n">
        <x:v>45566</x:v>
      </x:c>
      <x:c r="B111" s="2" t="str">
        <x:v>84862000209</x:v>
      </x:c>
      <x:c r="C111" s="2" t="str">
        <x:v>848620</x:v>
      </x:c>
      <x:c r="D111" s="2" t="str">
        <x:v>ウエハーのレーザー等加工装置</x:v>
      </x:c>
      <x:c r="E111" s="9" t="n">
        <x:v>10026884</x:v>
      </x:c>
      <x:c r="F111" s="9" t="n">
        <x:f>IF(G111="利用可",E111,"")</x:f>
        <x:v>10026884</x:v>
      </x:c>
      <x:c r="G111" s="2" t="str">
        <x:v>利用可</x:v>
      </x:c>
      <x:c r="H111" s="9" t="n">
        <x:v>1961174</x:v>
      </x:c>
      <x:c r="I111" s="2" t="str"/>
      <x:c r="J111" s="2" t="n">
        <x:v>11</x:v>
      </x:c>
      <x:c r="K111" s="8" t="n">
        <x:v>46294</x:v>
      </x:c>
    </x:row>
    <x:row r="112" ht="22" customHeight="1">
      <x:c r="A112" s="7" t="n">
        <x:v>45597</x:v>
      </x:c>
      <x:c r="B112" s="2" t="str">
        <x:v>84862000209</x:v>
      </x:c>
      <x:c r="C112" s="2" t="str">
        <x:v>848620</x:v>
      </x:c>
      <x:c r="D112" s="2" t="str">
        <x:v>ウエハーのレーザー等加工装置</x:v>
      </x:c>
      <x:c r="E112" s="9" t="n">
        <x:v>13859186</x:v>
      </x:c>
      <x:c r="F112" s="9" t="n">
        <x:f>IF(G112="利用可",E112,"")</x:f>
        <x:v>13859186</x:v>
      </x:c>
      <x:c r="G112" s="2" t="str">
        <x:v>利用可</x:v>
      </x:c>
      <x:c r="H112" s="9" t="n">
        <x:v>5176992</x:v>
      </x:c>
      <x:c r="I112" s="2" t="str"/>
      <x:c r="J112" s="2" t="n">
        <x:v>11</x:v>
      </x:c>
      <x:c r="K112" s="8" t="n">
        <x:v>46294</x:v>
      </x:c>
    </x:row>
    <x:row r="113" ht="22" customHeight="1">
      <x:c r="A113" s="7" t="n">
        <x:v>45627</x:v>
      </x:c>
      <x:c r="B113" s="2" t="str">
        <x:v>84862000209</x:v>
      </x:c>
      <x:c r="C113" s="2" t="str">
        <x:v>848620</x:v>
      </x:c>
      <x:c r="D113" s="2" t="str">
        <x:v>ウエハーのレーザー等加工装置</x:v>
      </x:c>
      <x:c r="E113" s="9" t="n">
        <x:v>11157389</x:v>
      </x:c>
      <x:c r="F113" s="9" t="n">
        <x:f>IF(G113="利用可",E113,"")</x:f>
        <x:v>11157389</x:v>
      </x:c>
      <x:c r="G113" s="2" t="str">
        <x:v>利用可</x:v>
      </x:c>
      <x:c r="H113" s="9" t="n">
        <x:v>1534467</x:v>
      </x:c>
      <x:c r="I113" s="2" t="str"/>
      <x:c r="J113" s="2" t="n">
        <x:v>11</x:v>
      </x:c>
      <x:c r="K113" s="8" t="n">
        <x:v>46294</x:v>
      </x:c>
    </x:row>
    <x:row r="114" ht="22" customHeight="1">
      <x:c r="A114" s="7" t="n">
        <x:v>45658</x:v>
      </x:c>
      <x:c r="B114" s="2" t="str">
        <x:v>84862000209</x:v>
      </x:c>
      <x:c r="C114" s="2" t="str">
        <x:v>848620</x:v>
      </x:c>
      <x:c r="D114" s="2" t="str">
        <x:v>ウエハーのレーザー等加工装置</x:v>
      </x:c>
      <x:c r="E114" s="9" t="n">
        <x:v>1875829</x:v>
      </x:c>
      <x:c r="F114" s="9" t="n">
        <x:f>IF(G114="利用可",E114,"")</x:f>
        <x:v>1875829</x:v>
      </x:c>
      <x:c r="G114" s="2" t="str">
        <x:v>利用可</x:v>
      </x:c>
      <x:c r="H114" s="9" t="n">
        <x:v>1729081</x:v>
      </x:c>
      <x:c r="I114" s="2" t="str"/>
      <x:c r="J114" s="2" t="n">
        <x:v>11</x:v>
      </x:c>
      <x:c r="K114" s="8" t="n">
        <x:v>46294</x:v>
      </x:c>
    </x:row>
    <x:row r="115" ht="22" customHeight="1">
      <x:c r="A115" s="7" t="n">
        <x:v>45689</x:v>
      </x:c>
      <x:c r="B115" s="2" t="str">
        <x:v>84862000209</x:v>
      </x:c>
      <x:c r="C115" s="2" t="str">
        <x:v>848620</x:v>
      </x:c>
      <x:c r="D115" s="2" t="str">
        <x:v>ウエハーのレーザー等加工装置</x:v>
      </x:c>
      <x:c r="E115" s="9" t="n">
        <x:v>13469850</x:v>
      </x:c>
      <x:c r="F115" s="9" t="n">
        <x:f>IF(G115="利用可",E115,"")</x:f>
        <x:v>13469850</x:v>
      </x:c>
      <x:c r="G115" s="2" t="str">
        <x:v>利用可</x:v>
      </x:c>
      <x:c r="H115" s="9" t="n">
        <x:v>1711763</x:v>
      </x:c>
      <x:c r="I115" s="2" t="str"/>
      <x:c r="J115" s="2" t="n">
        <x:v>11</x:v>
      </x:c>
      <x:c r="K115" s="8" t="n">
        <x:v>46294</x:v>
      </x:c>
    </x:row>
    <x:row r="116" ht="22" customHeight="1">
      <x:c r="A116" s="7" t="n">
        <x:v>45717</x:v>
      </x:c>
      <x:c r="B116" s="2" t="str">
        <x:v>84862000209</x:v>
      </x:c>
      <x:c r="C116" s="2" t="str">
        <x:v>848620</x:v>
      </x:c>
      <x:c r="D116" s="2" t="str">
        <x:v>ウエハーのレーザー等加工装置</x:v>
      </x:c>
      <x:c r="E116" s="9" t="n">
        <x:v>23246529</x:v>
      </x:c>
      <x:c r="F116" s="9" t="n">
        <x:f>IF(G116="利用可",E116,"")</x:f>
        <x:v>23246529</x:v>
      </x:c>
      <x:c r="G116" s="2" t="str">
        <x:v>利用可</x:v>
      </x:c>
      <x:c r="H116" s="9" t="n">
        <x:v>9858949</x:v>
      </x:c>
      <x:c r="I116" s="2" t="str"/>
      <x:c r="J116" s="2" t="n">
        <x:v>11</x:v>
      </x:c>
      <x:c r="K116" s="8" t="n">
        <x:v>46294</x:v>
      </x:c>
    </x:row>
    <x:row r="117" ht="22" customHeight="1">
      <x:c r="A117" s="7" t="n">
        <x:v>45748</x:v>
      </x:c>
      <x:c r="B117" s="2" t="str">
        <x:v>84862000209</x:v>
      </x:c>
      <x:c r="C117" s="2" t="str">
        <x:v>848620</x:v>
      </x:c>
      <x:c r="D117" s="2" t="str">
        <x:v>ウエハーのレーザー等加工装置</x:v>
      </x:c>
      <x:c r="E117" s="9" t="n">
        <x:v>9967588</x:v>
      </x:c>
      <x:c r="F117" s="9" t="n">
        <x:f>IF(G117="利用可",E117,"")</x:f>
        <x:v>9967588</x:v>
      </x:c>
      <x:c r="G117" s="2" t="str">
        <x:v>利用可</x:v>
      </x:c>
      <x:c r="H117" s="9" t="n">
        <x:v>6882243</x:v>
      </x:c>
      <x:c r="I117" s="2" t="str"/>
      <x:c r="J117" s="2" t="n">
        <x:v>11</x:v>
      </x:c>
      <x:c r="K117" s="8" t="n">
        <x:v>46294</x:v>
      </x:c>
    </x:row>
    <x:row r="118" ht="22" customHeight="1">
      <x:c r="A118" s="7" t="n">
        <x:v>45778</x:v>
      </x:c>
      <x:c r="B118" s="2" t="str">
        <x:v>84862000209</x:v>
      </x:c>
      <x:c r="C118" s="2" t="str">
        <x:v>848620</x:v>
      </x:c>
      <x:c r="D118" s="2" t="str">
        <x:v>ウエハーのレーザー等加工装置</x:v>
      </x:c>
      <x:c r="E118" s="9" t="n">
        <x:v>9239515</x:v>
      </x:c>
      <x:c r="F118" s="9" t="n">
        <x:f>IF(G118="利用可",E118,"")</x:f>
        <x:v>9239515</x:v>
      </x:c>
      <x:c r="G118" s="2" t="str">
        <x:v>利用可</x:v>
      </x:c>
      <x:c r="H118" s="9" t="n">
        <x:v>4930290</x:v>
      </x:c>
      <x:c r="I118" s="2" t="str"/>
      <x:c r="J118" s="2" t="n">
        <x:v>11</x:v>
      </x:c>
      <x:c r="K118" s="8" t="n">
        <x:v>46294</x:v>
      </x:c>
    </x:row>
    <x:row r="119" ht="22" customHeight="1">
      <x:c r="A119" s="7" t="n">
        <x:v>45809</x:v>
      </x:c>
      <x:c r="B119" s="2" t="str">
        <x:v>84862000209</x:v>
      </x:c>
      <x:c r="C119" s="2" t="str">
        <x:v>848620</x:v>
      </x:c>
      <x:c r="D119" s="2" t="str">
        <x:v>ウエハーのレーザー等加工装置</x:v>
      </x:c>
      <x:c r="E119" s="9" t="n">
        <x:v>15779536</x:v>
      </x:c>
      <x:c r="F119" s="9" t="n">
        <x:f>IF(G119="利用可",E119,"")</x:f>
        <x:v>15779536</x:v>
      </x:c>
      <x:c r="G119" s="2" t="str">
        <x:v>利用可</x:v>
      </x:c>
      <x:c r="H119" s="9" t="n">
        <x:v>6016677</x:v>
      </x:c>
      <x:c r="I119" s="2" t="str"/>
      <x:c r="J119" s="2" t="n">
        <x:v>11</x:v>
      </x:c>
      <x:c r="K119" s="8" t="n">
        <x:v>46294</x:v>
      </x:c>
    </x:row>
    <x:row r="120" ht="22" customHeight="1">
      <x:c r="A120" s="7" t="n">
        <x:v>45839</x:v>
      </x:c>
      <x:c r="B120" s="2" t="str">
        <x:v>84862000209</x:v>
      </x:c>
      <x:c r="C120" s="2" t="str">
        <x:v>848620</x:v>
      </x:c>
      <x:c r="D120" s="2" t="str">
        <x:v>ウエハーのレーザー等加工装置</x:v>
      </x:c>
      <x:c r="E120" s="9" t="n">
        <x:v>14779033</x:v>
      </x:c>
      <x:c r="F120" s="9" t="n">
        <x:f>IF(G120="利用可",E120,"")</x:f>
        <x:v>14779033</x:v>
      </x:c>
      <x:c r="G120" s="2" t="str">
        <x:v>利用可</x:v>
      </x:c>
      <x:c r="H120" s="9" t="n">
        <x:v>5633969</x:v>
      </x:c>
      <x:c r="I120" s="2" t="str"/>
      <x:c r="J120" s="2" t="n">
        <x:v>11</x:v>
      </x:c>
      <x:c r="K120" s="8" t="n">
        <x:v>46294</x:v>
      </x:c>
    </x:row>
    <x:row r="121" ht="22" customHeight="1">
      <x:c r="A121" s="7" t="n">
        <x:v>45870</x:v>
      </x:c>
      <x:c r="B121" s="2" t="str">
        <x:v>84862000209</x:v>
      </x:c>
      <x:c r="C121" s="2" t="str">
        <x:v>848620</x:v>
      </x:c>
      <x:c r="D121" s="2" t="str">
        <x:v>ウエハーのレーザー等加工装置</x:v>
      </x:c>
      <x:c r="E121" s="9" t="n">
        <x:v>10592814</x:v>
      </x:c>
      <x:c r="F121" s="9" t="n">
        <x:f>IF(G121="利用可",E121,"")</x:f>
        <x:v>10592814</x:v>
      </x:c>
      <x:c r="G121" s="2" t="str">
        <x:v>利用可</x:v>
      </x:c>
      <x:c r="H121" s="9" t="n">
        <x:v>8692052</x:v>
      </x:c>
      <x:c r="I121" s="2" t="str"/>
      <x:c r="J121" s="2" t="n">
        <x:v>11</x:v>
      </x:c>
      <x:c r="K121" s="8" t="n">
        <x:v>46294</x:v>
      </x:c>
    </x:row>
    <x:row r="122" ht="22" customHeight="1">
      <x:c r="A122" s="7" t="n">
        <x:v>45901</x:v>
      </x:c>
      <x:c r="B122" s="2" t="str">
        <x:v>84862000209</x:v>
      </x:c>
      <x:c r="C122" s="2" t="str">
        <x:v>848620</x:v>
      </x:c>
      <x:c r="D122" s="2" t="str">
        <x:v>ウエハーのレーザー等加工装置</x:v>
      </x:c>
      <x:c r="E122" s="9" t="n">
        <x:v>7301021</x:v>
      </x:c>
      <x:c r="F122" s="9" t="n">
        <x:f>IF(G122="利用可",E122,"")</x:f>
        <x:v>7301021</x:v>
      </x:c>
      <x:c r="G122" s="2" t="str">
        <x:v>利用可</x:v>
      </x:c>
      <x:c r="H122" s="9" t="n">
        <x:v>10171135</x:v>
      </x:c>
      <x:c r="I122" s="2" t="str"/>
      <x:c r="J122" s="2" t="n">
        <x:v>11</x:v>
      </x:c>
      <x:c r="K122" s="8" t="n">
        <x:v>46294</x:v>
      </x:c>
    </x:row>
    <x:row r="123" ht="22" customHeight="1">
      <x:c r="A123" s="7" t="n">
        <x:v>45931</x:v>
      </x:c>
      <x:c r="B123" s="2" t="str">
        <x:v>84862000209</x:v>
      </x:c>
      <x:c r="C123" s="2" t="str">
        <x:v>848620</x:v>
      </x:c>
      <x:c r="D123" s="2" t="str">
        <x:v>ウエハーのレーザー等加工装置</x:v>
      </x:c>
      <x:c r="E123" s="9" t="n">
        <x:v>3543256</x:v>
      </x:c>
      <x:c r="F123" s="9" t="n">
        <x:f>IF(G123="利用可",E123,"")</x:f>
        <x:v>3543256</x:v>
      </x:c>
      <x:c r="G123" s="2" t="str">
        <x:v>利用可</x:v>
      </x:c>
      <x:c r="H123" s="9" t="n">
        <x:v>10026884</x:v>
      </x:c>
      <x:c r="I123" s="2" t="str"/>
      <x:c r="J123" s="2" t="n">
        <x:v>11</x:v>
      </x:c>
      <x:c r="K123" s="8" t="n">
        <x:v>46294</x:v>
      </x:c>
    </x:row>
    <x:row r="124" ht="22" customHeight="1">
      <x:c r="A124" s="7" t="n">
        <x:v>45962</x:v>
      </x:c>
      <x:c r="B124" s="2" t="str">
        <x:v>84862000209</x:v>
      </x:c>
      <x:c r="C124" s="2" t="str">
        <x:v>848620</x:v>
      </x:c>
      <x:c r="D124" s="2" t="str">
        <x:v>ウエハーのレーザー等加工装置</x:v>
      </x:c>
      <x:c r="E124" s="9" t="n">
        <x:v>9150128</x:v>
      </x:c>
      <x:c r="F124" s="9" t="n">
        <x:f>IF(G124="利用可",E124,"")</x:f>
        <x:v>9150128</x:v>
      </x:c>
      <x:c r="G124" s="2" t="str">
        <x:v>利用可</x:v>
      </x:c>
      <x:c r="H124" s="9" t="n">
        <x:v>13859186</x:v>
      </x:c>
      <x:c r="I124" s="2" t="str"/>
      <x:c r="J124" s="2" t="n">
        <x:v>11</x:v>
      </x:c>
      <x:c r="K124" s="8" t="n">
        <x:v>46294</x:v>
      </x:c>
    </x:row>
    <x:row r="125" ht="22" customHeight="1">
      <x:c r="A125" s="7" t="n">
        <x:v>45992</x:v>
      </x:c>
      <x:c r="B125" s="2" t="str">
        <x:v>84862000209</x:v>
      </x:c>
      <x:c r="C125" s="2" t="str">
        <x:v>848620</x:v>
      </x:c>
      <x:c r="D125" s="2" t="str">
        <x:v>ウエハーのレーザー等加工装置</x:v>
      </x:c>
      <x:c r="E125" s="9" t="n">
        <x:v>14612283</x:v>
      </x:c>
      <x:c r="F125" s="9" t="n">
        <x:f>IF(G125="利用可",E125,"")</x:f>
        <x:v>14612283</x:v>
      </x:c>
      <x:c r="G125" s="2" t="str">
        <x:v>利用可</x:v>
      </x:c>
      <x:c r="H125" s="9" t="n">
        <x:v>11157389</x:v>
      </x:c>
      <x:c r="I125" s="2" t="str"/>
      <x:c r="J125" s="2" t="n">
        <x:v>11</x:v>
      </x:c>
      <x:c r="K125" s="8" t="n">
        <x:v>46294</x:v>
      </x:c>
    </x:row>
    <x:row r="126" ht="22" customHeight="1">
      <x:c r="A126" s="7" t="n">
        <x:v>46023</x:v>
      </x:c>
      <x:c r="B126" s="2" t="str">
        <x:v>84862000209</x:v>
      </x:c>
      <x:c r="C126" s="2" t="str">
        <x:v>848620</x:v>
      </x:c>
      <x:c r="D126" s="2" t="str">
        <x:v>ウエハーのレーザー等加工装置</x:v>
      </x:c>
      <x:c r="E126" s="9" t="n">
        <x:v>2410626</x:v>
      </x:c>
      <x:c r="F126" s="9" t="n">
        <x:f>IF(G126="利用可",E126,"")</x:f>
        <x:v>2410626</x:v>
      </x:c>
      <x:c r="G126" s="2" t="str">
        <x:v>利用可</x:v>
      </x:c>
      <x:c r="H126" s="9" t="n">
        <x:v>1875829</x:v>
      </x:c>
      <x:c r="I126" s="2" t="str"/>
      <x:c r="J126" s="2" t="n">
        <x:v>11</x:v>
      </x:c>
      <x:c r="K126" s="8" t="n">
        <x:v>46294</x:v>
      </x:c>
    </x:row>
    <x:row r="127" ht="22" customHeight="1">
      <x:c r="A127" s="7" t="n">
        <x:v>46054</x:v>
      </x:c>
      <x:c r="B127" s="2" t="str">
        <x:v>84862000209</x:v>
      </x:c>
      <x:c r="C127" s="2" t="str">
        <x:v>848620</x:v>
      </x:c>
      <x:c r="D127" s="2" t="str">
        <x:v>ウエハーのレーザー等加工装置</x:v>
      </x:c>
      <x:c r="E127" s="9" t="n">
        <x:v>880298</x:v>
      </x:c>
      <x:c r="F127" s="9" t="n">
        <x:f>IF(G127="利用可",E127,"")</x:f>
        <x:v>880298</x:v>
      </x:c>
      <x:c r="G127" s="2" t="str">
        <x:v>利用可</x:v>
      </x:c>
      <x:c r="H127" s="9" t="n">
        <x:v>13469850</x:v>
      </x:c>
      <x:c r="I127" s="2" t="str"/>
      <x:c r="J127" s="2" t="n">
        <x:v>11</x:v>
      </x:c>
      <x:c r="K127" s="8" t="n">
        <x:v>46294</x:v>
      </x:c>
    </x:row>
    <x:row r="128" ht="22" customHeight="1">
      <x:c r="A128" s="7" t="n">
        <x:v>46082</x:v>
      </x:c>
      <x:c r="B128" s="2" t="str">
        <x:v>84862000209</x:v>
      </x:c>
      <x:c r="C128" s="2" t="str">
        <x:v>848620</x:v>
      </x:c>
      <x:c r="D128" s="2" t="str">
        <x:v>ウエハーのレーザー等加工装置</x:v>
      </x:c>
      <x:c r="E128" s="9" t="n">
        <x:v>10940014</x:v>
      </x:c>
      <x:c r="F128" s="9" t="n">
        <x:f>IF(G128="利用可",E128,"")</x:f>
        <x:v>10940014</x:v>
      </x:c>
      <x:c r="G128" s="2" t="str">
        <x:v>利用可</x:v>
      </x:c>
      <x:c r="H128" s="9" t="n">
        <x:v>23246529</x:v>
      </x:c>
      <x:c r="I128" s="2" t="str"/>
      <x:c r="J128" s="2" t="n">
        <x:v>11</x:v>
      </x:c>
      <x:c r="K128" s="8" t="n">
        <x:v>46294</x:v>
      </x:c>
    </x:row>
    <x:row r="129" ht="22" customHeight="1">
      <x:c r="A129" s="7" t="n">
        <x:v>46113</x:v>
      </x:c>
      <x:c r="B129" s="2" t="str">
        <x:v>84862000209</x:v>
      </x:c>
      <x:c r="C129" s="2" t="str">
        <x:v>848620</x:v>
      </x:c>
      <x:c r="D129" s="2" t="str">
        <x:v>ウエハーのレーザー等加工装置</x:v>
      </x:c>
      <x:c r="E129" s="9" t="n">
        <x:v>20455038</x:v>
      </x:c>
      <x:c r="F129" s="9" t="n">
        <x:f>IF(G129="利用可",E129,"")</x:f>
        <x:v>20455038</x:v>
      </x:c>
      <x:c r="G129" s="2" t="str">
        <x:v>利用可</x:v>
      </x:c>
      <x:c r="H129" s="9" t="n">
        <x:v>9967588</x:v>
      </x:c>
      <x:c r="I129" s="2" t="str"/>
      <x:c r="J129" s="2" t="n">
        <x:v>11</x:v>
      </x:c>
      <x:c r="K129" s="8" t="n">
        <x:v>46294</x:v>
      </x:c>
    </x:row>
    <x:row r="130" ht="22" customHeight="1">
      <x:c r="A130" s="7" t="n">
        <x:v>46143</x:v>
      </x:c>
      <x:c r="B130" s="2" t="str">
        <x:v>84862000209</x:v>
      </x:c>
      <x:c r="C130" s="2" t="str">
        <x:v>848620</x:v>
      </x:c>
      <x:c r="D130" s="2" t="str">
        <x:v>ウエハーのレーザー等加工装置</x:v>
      </x:c>
      <x:c r="E130" s="9" t="n">
        <x:v>6263583</x:v>
      </x:c>
      <x:c r="F130" s="9" t="n">
        <x:f>IF(G130="利用可",E130,"")</x:f>
        <x:v>6263583</x:v>
      </x:c>
      <x:c r="G130" s="2" t="str">
        <x:v>利用可</x:v>
      </x:c>
      <x:c r="H130" s="9" t="n">
        <x:v>9239515</x:v>
      </x:c>
      <x:c r="I130" s="2" t="str"/>
      <x:c r="J130" s="2" t="n">
        <x:v>11</x:v>
      </x:c>
      <x:c r="K130" s="8" t="n">
        <x:v>46294</x:v>
      </x:c>
    </x:row>
    <x:row r="131" ht="22" customHeight="1">
      <x:c r="A131" s="7" t="n">
        <x:v>46174</x:v>
      </x:c>
      <x:c r="B131" s="2" t="str">
        <x:v>84862000209</x:v>
      </x:c>
      <x:c r="C131" s="2" t="str">
        <x:v>848620</x:v>
      </x:c>
      <x:c r="D131" s="2" t="str">
        <x:v>ウエハーのレーザー等加工装置</x:v>
      </x:c>
      <x:c r="E131" s="9" t="n">
        <x:v>15156761</x:v>
      </x:c>
      <x:c r="F131" s="9" t="n">
        <x:f>IF(G131="利用可",E131,"")</x:f>
        <x:v>15156761</x:v>
      </x:c>
      <x:c r="G131" s="2" t="str">
        <x:v>利用可</x:v>
      </x:c>
      <x:c r="H131" s="9" t="n">
        <x:v>15779536</x:v>
      </x:c>
      <x:c r="I131" s="2" t="str"/>
      <x:c r="J131" s="2" t="n">
        <x:v>11</x:v>
      </x:c>
      <x:c r="K131" s="8" t="n">
        <x:v>46294</x:v>
      </x:c>
    </x:row>
    <x:row r="132" ht="22" customHeight="1">
      <x:c r="A132" s="7" t="n">
        <x:v>46204</x:v>
      </x:c>
      <x:c r="B132" s="2" t="str">
        <x:v>84862000209</x:v>
      </x:c>
      <x:c r="C132" s="2" t="str">
        <x:v>848620</x:v>
      </x:c>
      <x:c r="D132" s="2" t="str">
        <x:v>ウエハーのレーザー等加工装置</x:v>
      </x:c>
      <x:c r="E132" s="9" t="n">
        <x:v>22716628</x:v>
      </x:c>
      <x:c r="F132" s="9" t="n">
        <x:f>IF(G132="利用可",E132,"")</x:f>
        <x:v>22716628</x:v>
      </x:c>
      <x:c r="G132" s="2" t="str">
        <x:v>利用可</x:v>
      </x:c>
      <x:c r="H132" s="9" t="n">
        <x:v>14779033</x:v>
      </x:c>
      <x:c r="I132" s="2" t="str"/>
      <x:c r="J132" s="2" t="n">
        <x:v>11</x:v>
      </x:c>
      <x:c r="K132" s="8" t="n">
        <x:v>46294</x:v>
      </x:c>
    </x:row>
    <x:row r="133" ht="22" customHeight="1">
      <x:c r="A133" s="7" t="n">
        <x:v>46235</x:v>
      </x:c>
      <x:c r="B133" s="2" t="str">
        <x:v>84862000209</x:v>
      </x:c>
      <x:c r="C133" s="2" t="str">
        <x:v>848620</x:v>
      </x:c>
      <x:c r="D133" s="2" t="str">
        <x:v>ウエハーのレーザー等加工装置</x:v>
      </x:c>
      <x:c r="E133" s="9" t="n">
        <x:v>17101148</x:v>
      </x:c>
      <x:c r="F133" s="9" t="n">
        <x:f>IF(G133="利用可",E133,"")</x:f>
        <x:v>17101148</x:v>
      </x:c>
      <x:c r="G133" s="2" t="str">
        <x:v>利用可</x:v>
      </x:c>
      <x:c r="H133" s="9" t="n">
        <x:v>10592814</x:v>
      </x:c>
      <x:c r="I133" s="2" t="str"/>
      <x:c r="J133" s="2" t="n">
        <x:v>11</x:v>
      </x:c>
      <x:c r="K133" s="8" t="n">
        <x:v>46294</x:v>
      </x:c>
    </x:row>
    <x:row r="134" ht="22" customHeight="1">
      <x:c r="A134" s="7" t="n">
        <x:v>44927</x:v>
      </x:c>
      <x:c r="B134" s="2" t="str">
        <x:v>84862000325</x:v>
      </x:c>
      <x:c r="C134" s="2" t="str">
        <x:v>848620</x:v>
      </x:c>
      <x:c r="D134" s="2" t="str">
        <x:v>洗浄・剥離・エッチング用噴霧装置</x:v>
      </x:c>
      <x:c r="E134" s="9" t="n">
        <x:v>12733628</x:v>
      </x:c>
      <x:c r="F134" s="9" t="n">
        <x:f>IF(G134="利用可",E134,"")</x:f>
        <x:v>12733628</x:v>
      </x:c>
      <x:c r="G134" s="2" t="str">
        <x:v>利用可</x:v>
      </x:c>
      <x:c r="H134" s="9" t="n">
        <x:v>10383436</x:v>
      </x:c>
      <x:c r="I134" s="2" t="str"/>
      <x:c r="J134" s="2" t="n">
        <x:v>11</x:v>
      </x:c>
      <x:c r="K134" s="8" t="n">
        <x:v>46294</x:v>
      </x:c>
    </x:row>
    <x:row r="135" ht="22" customHeight="1">
      <x:c r="A135" s="7" t="n">
        <x:v>44958</x:v>
      </x:c>
      <x:c r="B135" s="2" t="str">
        <x:v>84862000325</x:v>
      </x:c>
      <x:c r="C135" s="2" t="str">
        <x:v>848620</x:v>
      </x:c>
      <x:c r="D135" s="2" t="str">
        <x:v>洗浄・剥離・エッチング用噴霧装置</x:v>
      </x:c>
      <x:c r="E135" s="9" t="n">
        <x:v>1175422</x:v>
      </x:c>
      <x:c r="F135" s="9" t="n">
        <x:f>IF(G135="利用可",E135,"")</x:f>
        <x:v>1175422</x:v>
      </x:c>
      <x:c r="G135" s="2" t="str">
        <x:v>利用可</x:v>
      </x:c>
      <x:c r="H135" s="9" t="n">
        <x:v>15510608</x:v>
      </x:c>
      <x:c r="I135" s="2" t="str"/>
      <x:c r="J135" s="2" t="n">
        <x:v>11</x:v>
      </x:c>
      <x:c r="K135" s="8" t="n">
        <x:v>46294</x:v>
      </x:c>
    </x:row>
    <x:row r="136" ht="22" customHeight="1">
      <x:c r="A136" s="7" t="n">
        <x:v>44986</x:v>
      </x:c>
      <x:c r="B136" s="2" t="str">
        <x:v>84862000325</x:v>
      </x:c>
      <x:c r="C136" s="2" t="str">
        <x:v>848620</x:v>
      </x:c>
      <x:c r="D136" s="2" t="str">
        <x:v>洗浄・剥離・エッチング用噴霧装置</x:v>
      </x:c>
      <x:c r="E136" s="9" t="n">
        <x:v>10138175</x:v>
      </x:c>
      <x:c r="F136" s="9" t="n">
        <x:f>IF(G136="利用可",E136,"")</x:f>
        <x:v>10138175</x:v>
      </x:c>
      <x:c r="G136" s="2" t="str">
        <x:v>利用可</x:v>
      </x:c>
      <x:c r="H136" s="9" t="n">
        <x:v>12365239</x:v>
      </x:c>
      <x:c r="I136" s="2" t="str"/>
      <x:c r="J136" s="2" t="n">
        <x:v>11</x:v>
      </x:c>
      <x:c r="K136" s="8" t="n">
        <x:v>46294</x:v>
      </x:c>
    </x:row>
    <x:row r="137" ht="22" customHeight="1">
      <x:c r="A137" s="7" t="n">
        <x:v>45017</x:v>
      </x:c>
      <x:c r="B137" s="2" t="str">
        <x:v>84862000325</x:v>
      </x:c>
      <x:c r="C137" s="2" t="str">
        <x:v>848620</x:v>
      </x:c>
      <x:c r="D137" s="2" t="str">
        <x:v>洗浄・剥離・エッチング用噴霧装置</x:v>
      </x:c>
      <x:c r="E137" s="9" t="n">
        <x:v>12699671</x:v>
      </x:c>
      <x:c r="F137" s="9" t="n">
        <x:f>IF(G137="利用可",E137,"")</x:f>
        <x:v>12699671</x:v>
      </x:c>
      <x:c r="G137" s="2" t="str">
        <x:v>利用可</x:v>
      </x:c>
      <x:c r="H137" s="9" t="n">
        <x:v>18697605</x:v>
      </x:c>
      <x:c r="I137" s="2" t="str"/>
      <x:c r="J137" s="2" t="n">
        <x:v>11</x:v>
      </x:c>
      <x:c r="K137" s="8" t="n">
        <x:v>46294</x:v>
      </x:c>
    </x:row>
    <x:row r="138" ht="22" customHeight="1">
      <x:c r="A138" s="7" t="n">
        <x:v>45047</x:v>
      </x:c>
      <x:c r="B138" s="2" t="str">
        <x:v>84862000325</x:v>
      </x:c>
      <x:c r="C138" s="2" t="str">
        <x:v>848620</x:v>
      </x:c>
      <x:c r="D138" s="2" t="str">
        <x:v>洗浄・剥離・エッチング用噴霧装置</x:v>
      </x:c>
      <x:c r="E138" s="9"/>
      <x:c r="F138" s="9" t="str">
        <x:f>IF(G138="利用可",E138,"")</x:f>
      </x:c>
      <x:c r="G138" s="2" t="str">
        <x:v>原表欠測</x:v>
      </x:c>
      <x:c r="H138" s="9" t="n">
        <x:v>7761874</x:v>
      </x:c>
      <x:c r="I138" s="2" t="str"/>
      <x:c r="J138" s="2" t="n">
        <x:v>11</x:v>
      </x:c>
      <x:c r="K138" s="8" t="n">
        <x:v>46294</x:v>
      </x:c>
    </x:row>
    <x:row r="139" ht="22" customHeight="1">
      <x:c r="A139" s="7" t="n">
        <x:v>45078</x:v>
      </x:c>
      <x:c r="B139" s="2" t="str">
        <x:v>84862000325</x:v>
      </x:c>
      <x:c r="C139" s="2" t="str">
        <x:v>848620</x:v>
      </x:c>
      <x:c r="D139" s="2" t="str">
        <x:v>洗浄・剥離・エッチング用噴霧装置</x:v>
      </x:c>
      <x:c r="E139" s="9" t="n">
        <x:v>178034</x:v>
      </x:c>
      <x:c r="F139" s="9" t="n">
        <x:f>IF(G139="利用可",E139,"")</x:f>
        <x:v>178034</x:v>
      </x:c>
      <x:c r="G139" s="2" t="str">
        <x:v>利用可</x:v>
      </x:c>
      <x:c r="H139" s="9" t="n">
        <x:v>14755973</x:v>
      </x:c>
      <x:c r="I139" s="2" t="str"/>
      <x:c r="J139" s="2" t="n">
        <x:v>11</x:v>
      </x:c>
      <x:c r="K139" s="8" t="n">
        <x:v>46294</x:v>
      </x:c>
    </x:row>
    <x:row r="140" ht="22" customHeight="1">
      <x:c r="A140" s="7" t="n">
        <x:v>45108</x:v>
      </x:c>
      <x:c r="B140" s="2" t="str">
        <x:v>84862000325</x:v>
      </x:c>
      <x:c r="C140" s="2" t="str">
        <x:v>848620</x:v>
      </x:c>
      <x:c r="D140" s="2" t="str">
        <x:v>洗浄・剥離・エッチング用噴霧装置</x:v>
      </x:c>
      <x:c r="E140" s="9" t="n">
        <x:v>6644061</x:v>
      </x:c>
      <x:c r="F140" s="9" t="n">
        <x:f>IF(G140="利用可",E140,"")</x:f>
        <x:v>6644061</x:v>
      </x:c>
      <x:c r="G140" s="2" t="str">
        <x:v>利用可</x:v>
      </x:c>
      <x:c r="H140" s="9" t="n">
        <x:v>4183501</x:v>
      </x:c>
      <x:c r="I140" s="2" t="str"/>
      <x:c r="J140" s="2" t="n">
        <x:v>11</x:v>
      </x:c>
      <x:c r="K140" s="8" t="n">
        <x:v>46294</x:v>
      </x:c>
    </x:row>
    <x:row r="141" ht="22" customHeight="1">
      <x:c r="A141" s="7" t="n">
        <x:v>45139</x:v>
      </x:c>
      <x:c r="B141" s="2" t="str">
        <x:v>84862000325</x:v>
      </x:c>
      <x:c r="C141" s="2" t="str">
        <x:v>848620</x:v>
      </x:c>
      <x:c r="D141" s="2" t="str">
        <x:v>洗浄・剥離・エッチング用噴霧装置</x:v>
      </x:c>
      <x:c r="E141" s="9" t="n">
        <x:v>2650569</x:v>
      </x:c>
      <x:c r="F141" s="9" t="n">
        <x:f>IF(G141="利用可",E141,"")</x:f>
        <x:v>2650569</x:v>
      </x:c>
      <x:c r="G141" s="2" t="str">
        <x:v>利用可</x:v>
      </x:c>
      <x:c r="H141" s="9" t="n">
        <x:v>22913056</x:v>
      </x:c>
      <x:c r="I141" s="2" t="str"/>
      <x:c r="J141" s="2" t="n">
        <x:v>11</x:v>
      </x:c>
      <x:c r="K141" s="8" t="n">
        <x:v>46294</x:v>
      </x:c>
    </x:row>
    <x:row r="142" ht="22" customHeight="1">
      <x:c r="A142" s="7" t="n">
        <x:v>45170</x:v>
      </x:c>
      <x:c r="B142" s="2" t="str">
        <x:v>84862000325</x:v>
      </x:c>
      <x:c r="C142" s="2" t="str">
        <x:v>848620</x:v>
      </x:c>
      <x:c r="D142" s="2" t="str">
        <x:v>洗浄・剥離・エッチング用噴霧装置</x:v>
      </x:c>
      <x:c r="E142" s="9" t="n">
        <x:v>7108436</x:v>
      </x:c>
      <x:c r="F142" s="9" t="n">
        <x:f>IF(G142="利用可",E142,"")</x:f>
        <x:v>7108436</x:v>
      </x:c>
      <x:c r="G142" s="2" t="str">
        <x:v>利用可</x:v>
      </x:c>
      <x:c r="H142" s="9" t="n">
        <x:v>2663266</x:v>
      </x:c>
      <x:c r="I142" s="2" t="str"/>
      <x:c r="J142" s="2" t="n">
        <x:v>11</x:v>
      </x:c>
      <x:c r="K142" s="8" t="n">
        <x:v>46294</x:v>
      </x:c>
    </x:row>
    <x:row r="143" ht="22" customHeight="1">
      <x:c r="A143" s="7" t="n">
        <x:v>45200</x:v>
      </x:c>
      <x:c r="B143" s="2" t="str">
        <x:v>84862000325</x:v>
      </x:c>
      <x:c r="C143" s="2" t="str">
        <x:v>848620</x:v>
      </x:c>
      <x:c r="D143" s="2" t="str">
        <x:v>洗浄・剥離・エッチング用噴霧装置</x:v>
      </x:c>
      <x:c r="E143" s="9" t="n">
        <x:v>6458411</x:v>
      </x:c>
      <x:c r="F143" s="9" t="n">
        <x:f>IF(G143="利用可",E143,"")</x:f>
        <x:v>6458411</x:v>
      </x:c>
      <x:c r="G143" s="2" t="str">
        <x:v>利用可</x:v>
      </x:c>
      <x:c r="H143" s="9" t="n">
        <x:v>23005613</x:v>
      </x:c>
      <x:c r="I143" s="2" t="str"/>
      <x:c r="J143" s="2" t="n">
        <x:v>11</x:v>
      </x:c>
      <x:c r="K143" s="8" t="n">
        <x:v>46294</x:v>
      </x:c>
    </x:row>
    <x:row r="144" ht="22" customHeight="1">
      <x:c r="A144" s="7" t="n">
        <x:v>45231</x:v>
      </x:c>
      <x:c r="B144" s="2" t="str">
        <x:v>84862000325</x:v>
      </x:c>
      <x:c r="C144" s="2" t="str">
        <x:v>848620</x:v>
      </x:c>
      <x:c r="D144" s="2" t="str">
        <x:v>洗浄・剥離・エッチング用噴霧装置</x:v>
      </x:c>
      <x:c r="E144" s="9" t="n">
        <x:v>7597</x:v>
      </x:c>
      <x:c r="F144" s="9" t="n">
        <x:f>IF(G144="利用可",E144,"")</x:f>
        <x:v>7597</x:v>
      </x:c>
      <x:c r="G144" s="2" t="str">
        <x:v>利用可</x:v>
      </x:c>
      <x:c r="H144" s="9" t="n">
        <x:v>15851444</x:v>
      </x:c>
      <x:c r="I144" s="2" t="str"/>
      <x:c r="J144" s="2" t="n">
        <x:v>11</x:v>
      </x:c>
      <x:c r="K144" s="8" t="n">
        <x:v>46294</x:v>
      </x:c>
    </x:row>
    <x:row r="145" ht="22" customHeight="1">
      <x:c r="A145" s="7" t="n">
        <x:v>45261</x:v>
      </x:c>
      <x:c r="B145" s="2" t="str">
        <x:v>84862000325</x:v>
      </x:c>
      <x:c r="C145" s="2" t="str">
        <x:v>848620</x:v>
      </x:c>
      <x:c r="D145" s="2" t="str">
        <x:v>洗浄・剥離・エッチング用噴霧装置</x:v>
      </x:c>
      <x:c r="E145" s="9" t="n">
        <x:v>10967313</x:v>
      </x:c>
      <x:c r="F145" s="9" t="n">
        <x:f>IF(G145="利用可",E145,"")</x:f>
        <x:v>10967313</x:v>
      </x:c>
      <x:c r="G145" s="2" t="str">
        <x:v>利用可</x:v>
      </x:c>
      <x:c r="H145" s="9" t="n">
        <x:v>13841044</x:v>
      </x:c>
      <x:c r="I145" s="2" t="str"/>
      <x:c r="J145" s="2" t="n">
        <x:v>11</x:v>
      </x:c>
      <x:c r="K145" s="8" t="n">
        <x:v>46294</x:v>
      </x:c>
    </x:row>
    <x:row r="146" ht="22" customHeight="1">
      <x:c r="A146" s="7" t="n">
        <x:v>45292</x:v>
      </x:c>
      <x:c r="B146" s="2" t="str">
        <x:v>84862000325</x:v>
      </x:c>
      <x:c r="C146" s="2" t="str">
        <x:v>848620</x:v>
      </x:c>
      <x:c r="D146" s="2" t="str">
        <x:v>洗浄・剥離・エッチング用噴霧装置</x:v>
      </x:c>
      <x:c r="E146" s="9" t="n">
        <x:v>7127763</x:v>
      </x:c>
      <x:c r="F146" s="9" t="n">
        <x:f>IF(G146="利用可",E146,"")</x:f>
        <x:v>7127763</x:v>
      </x:c>
      <x:c r="G146" s="2" t="str">
        <x:v>利用可</x:v>
      </x:c>
      <x:c r="H146" s="9" t="n">
        <x:v>12733628</x:v>
      </x:c>
      <x:c r="I146" s="2" t="str"/>
      <x:c r="J146" s="2" t="n">
        <x:v>11</x:v>
      </x:c>
      <x:c r="K146" s="8" t="n">
        <x:v>46294</x:v>
      </x:c>
    </x:row>
    <x:row r="147" ht="22" customHeight="1">
      <x:c r="A147" s="7" t="n">
        <x:v>45323</x:v>
      </x:c>
      <x:c r="B147" s="2" t="str">
        <x:v>84862000325</x:v>
      </x:c>
      <x:c r="C147" s="2" t="str">
        <x:v>848620</x:v>
      </x:c>
      <x:c r="D147" s="2" t="str">
        <x:v>洗浄・剥離・エッチング用噴霧装置</x:v>
      </x:c>
      <x:c r="E147" s="9" t="n">
        <x:v>11266656</x:v>
      </x:c>
      <x:c r="F147" s="9" t="n">
        <x:f>IF(G147="利用可",E147,"")</x:f>
        <x:v>11266656</x:v>
      </x:c>
      <x:c r="G147" s="2" t="str">
        <x:v>利用可</x:v>
      </x:c>
      <x:c r="H147" s="9" t="n">
        <x:v>1175422</x:v>
      </x:c>
      <x:c r="I147" s="2" t="str"/>
      <x:c r="J147" s="2" t="n">
        <x:v>11</x:v>
      </x:c>
      <x:c r="K147" s="8" t="n">
        <x:v>46294</x:v>
      </x:c>
    </x:row>
    <x:row r="148" ht="22" customHeight="1">
      <x:c r="A148" s="7" t="n">
        <x:v>45352</x:v>
      </x:c>
      <x:c r="B148" s="2" t="str">
        <x:v>84862000325</x:v>
      </x:c>
      <x:c r="C148" s="2" t="str">
        <x:v>848620</x:v>
      </x:c>
      <x:c r="D148" s="2" t="str">
        <x:v>洗浄・剥離・エッチング用噴霧装置</x:v>
      </x:c>
      <x:c r="E148" s="9" t="n">
        <x:v>2930155</x:v>
      </x:c>
      <x:c r="F148" s="9" t="n">
        <x:f>IF(G148="利用可",E148,"")</x:f>
        <x:v>2930155</x:v>
      </x:c>
      <x:c r="G148" s="2" t="str">
        <x:v>利用可</x:v>
      </x:c>
      <x:c r="H148" s="9" t="n">
        <x:v>10138175</x:v>
      </x:c>
      <x:c r="I148" s="2" t="str"/>
      <x:c r="J148" s="2" t="n">
        <x:v>11</x:v>
      </x:c>
      <x:c r="K148" s="8" t="n">
        <x:v>46294</x:v>
      </x:c>
    </x:row>
    <x:row r="149" ht="22" customHeight="1">
      <x:c r="A149" s="7" t="n">
        <x:v>45383</x:v>
      </x:c>
      <x:c r="B149" s="2" t="str">
        <x:v>84862000325</x:v>
      </x:c>
      <x:c r="C149" s="2" t="str">
        <x:v>848620</x:v>
      </x:c>
      <x:c r="D149" s="2" t="str">
        <x:v>洗浄・剥離・エッチング用噴霧装置</x:v>
      </x:c>
      <x:c r="E149" s="9" t="n">
        <x:v>7276262</x:v>
      </x:c>
      <x:c r="F149" s="9" t="n">
        <x:f>IF(G149="利用可",E149,"")</x:f>
        <x:v>7276262</x:v>
      </x:c>
      <x:c r="G149" s="2" t="str">
        <x:v>利用可</x:v>
      </x:c>
      <x:c r="H149" s="9" t="n">
        <x:v>12699671</x:v>
      </x:c>
      <x:c r="I149" s="2" t="str"/>
      <x:c r="J149" s="2" t="n">
        <x:v>11</x:v>
      </x:c>
      <x:c r="K149" s="8" t="n">
        <x:v>46294</x:v>
      </x:c>
    </x:row>
    <x:row r="150" ht="22" customHeight="1">
      <x:c r="A150" s="7" t="n">
        <x:v>45413</x:v>
      </x:c>
      <x:c r="B150" s="2" t="str">
        <x:v>84862000325</x:v>
      </x:c>
      <x:c r="C150" s="2" t="str">
        <x:v>848620</x:v>
      </x:c>
      <x:c r="D150" s="2" t="str">
        <x:v>洗浄・剥離・エッチング用噴霧装置</x:v>
      </x:c>
      <x:c r="E150" s="9" t="n">
        <x:v>6138896</x:v>
      </x:c>
      <x:c r="F150" s="9" t="n">
        <x:f>IF(G150="利用可",E150,"")</x:f>
        <x:v>6138896</x:v>
      </x:c>
      <x:c r="G150" s="2" t="str">
        <x:v>利用可</x:v>
      </x:c>
      <x:c r="H150" s="9"/>
      <x:c r="I150" s="2" t="str"/>
      <x:c r="J150" s="2" t="n">
        <x:v>11</x:v>
      </x:c>
      <x:c r="K150" s="8" t="n">
        <x:v>46294</x:v>
      </x:c>
    </x:row>
    <x:row r="151" ht="22" customHeight="1">
      <x:c r="A151" s="7" t="n">
        <x:v>45444</x:v>
      </x:c>
      <x:c r="B151" s="2" t="str">
        <x:v>84862000325</x:v>
      </x:c>
      <x:c r="C151" s="2" t="str">
        <x:v>848620</x:v>
      </x:c>
      <x:c r="D151" s="2" t="str">
        <x:v>洗浄・剥離・エッチング用噴霧装置</x:v>
      </x:c>
      <x:c r="E151" s="9" t="n">
        <x:v>20626177</x:v>
      </x:c>
      <x:c r="F151" s="9" t="n">
        <x:f>IF(G151="利用可",E151,"")</x:f>
        <x:v>20626177</x:v>
      </x:c>
      <x:c r="G151" s="2" t="str">
        <x:v>利用可</x:v>
      </x:c>
      <x:c r="H151" s="9" t="n">
        <x:v>178034</x:v>
      </x:c>
      <x:c r="I151" s="2" t="str"/>
      <x:c r="J151" s="2" t="n">
        <x:v>11</x:v>
      </x:c>
      <x:c r="K151" s="8" t="n">
        <x:v>46294</x:v>
      </x:c>
    </x:row>
    <x:row r="152" ht="22" customHeight="1">
      <x:c r="A152" s="7" t="n">
        <x:v>45474</x:v>
      </x:c>
      <x:c r="B152" s="2" t="str">
        <x:v>84862000325</x:v>
      </x:c>
      <x:c r="C152" s="2" t="str">
        <x:v>848620</x:v>
      </x:c>
      <x:c r="D152" s="2" t="str">
        <x:v>洗浄・剥離・エッチング用噴霧装置</x:v>
      </x:c>
      <x:c r="E152" s="9" t="n">
        <x:v>18372891</x:v>
      </x:c>
      <x:c r="F152" s="9" t="n">
        <x:f>IF(G152="利用可",E152,"")</x:f>
        <x:v>18372891</x:v>
      </x:c>
      <x:c r="G152" s="2" t="str">
        <x:v>利用可</x:v>
      </x:c>
      <x:c r="H152" s="9" t="n">
        <x:v>6644061</x:v>
      </x:c>
      <x:c r="I152" s="2" t="str"/>
      <x:c r="J152" s="2" t="n">
        <x:v>11</x:v>
      </x:c>
      <x:c r="K152" s="8" t="n">
        <x:v>46294</x:v>
      </x:c>
    </x:row>
    <x:row r="153" ht="22" customHeight="1">
      <x:c r="A153" s="7" t="n">
        <x:v>45505</x:v>
      </x:c>
      <x:c r="B153" s="2" t="str">
        <x:v>84862000325</x:v>
      </x:c>
      <x:c r="C153" s="2" t="str">
        <x:v>848620</x:v>
      </x:c>
      <x:c r="D153" s="2" t="str">
        <x:v>洗浄・剥離・エッチング用噴霧装置</x:v>
      </x:c>
      <x:c r="E153" s="9" t="n">
        <x:v>11957256</x:v>
      </x:c>
      <x:c r="F153" s="9" t="n">
        <x:f>IF(G153="利用可",E153,"")</x:f>
        <x:v>11957256</x:v>
      </x:c>
      <x:c r="G153" s="2" t="str">
        <x:v>利用可</x:v>
      </x:c>
      <x:c r="H153" s="9" t="n">
        <x:v>2650569</x:v>
      </x:c>
      <x:c r="I153" s="2" t="str"/>
      <x:c r="J153" s="2" t="n">
        <x:v>11</x:v>
      </x:c>
      <x:c r="K153" s="8" t="n">
        <x:v>46294</x:v>
      </x:c>
    </x:row>
    <x:row r="154" ht="22" customHeight="1">
      <x:c r="A154" s="7" t="n">
        <x:v>45536</x:v>
      </x:c>
      <x:c r="B154" s="2" t="str">
        <x:v>84862000325</x:v>
      </x:c>
      <x:c r="C154" s="2" t="str">
        <x:v>848620</x:v>
      </x:c>
      <x:c r="D154" s="2" t="str">
        <x:v>洗浄・剥離・エッチング用噴霧装置</x:v>
      </x:c>
      <x:c r="E154" s="9" t="n">
        <x:v>40120679</x:v>
      </x:c>
      <x:c r="F154" s="9" t="n">
        <x:f>IF(G154="利用可",E154,"")</x:f>
        <x:v>40120679</x:v>
      </x:c>
      <x:c r="G154" s="2" t="str">
        <x:v>利用可</x:v>
      </x:c>
      <x:c r="H154" s="9" t="n">
        <x:v>7108436</x:v>
      </x:c>
      <x:c r="I154" s="2" t="str"/>
      <x:c r="J154" s="2" t="n">
        <x:v>11</x:v>
      </x:c>
      <x:c r="K154" s="8" t="n">
        <x:v>46294</x:v>
      </x:c>
    </x:row>
    <x:row r="155" ht="22" customHeight="1">
      <x:c r="A155" s="7" t="n">
        <x:v>45566</x:v>
      </x:c>
      <x:c r="B155" s="2" t="str">
        <x:v>84862000325</x:v>
      </x:c>
      <x:c r="C155" s="2" t="str">
        <x:v>848620</x:v>
      </x:c>
      <x:c r="D155" s="2" t="str">
        <x:v>洗浄・剥離・エッチング用噴霧装置</x:v>
      </x:c>
      <x:c r="E155" s="9" t="n">
        <x:v>7509471</x:v>
      </x:c>
      <x:c r="F155" s="9" t="n">
        <x:f>IF(G155="利用可",E155,"")</x:f>
        <x:v>7509471</x:v>
      </x:c>
      <x:c r="G155" s="2" t="str">
        <x:v>利用可</x:v>
      </x:c>
      <x:c r="H155" s="9" t="n">
        <x:v>6458411</x:v>
      </x:c>
      <x:c r="I155" s="2" t="str"/>
      <x:c r="J155" s="2" t="n">
        <x:v>11</x:v>
      </x:c>
      <x:c r="K155" s="8" t="n">
        <x:v>46294</x:v>
      </x:c>
    </x:row>
    <x:row r="156" ht="22" customHeight="1">
      <x:c r="A156" s="7" t="n">
        <x:v>45597</x:v>
      </x:c>
      <x:c r="B156" s="2" t="str">
        <x:v>84862000325</x:v>
      </x:c>
      <x:c r="C156" s="2" t="str">
        <x:v>848620</x:v>
      </x:c>
      <x:c r="D156" s="2" t="str">
        <x:v>洗浄・剥離・エッチング用噴霧装置</x:v>
      </x:c>
      <x:c r="E156" s="9" t="n">
        <x:v>1609667</x:v>
      </x:c>
      <x:c r="F156" s="9" t="n">
        <x:f>IF(G156="利用可",E156,"")</x:f>
        <x:v>1609667</x:v>
      </x:c>
      <x:c r="G156" s="2" t="str">
        <x:v>利用可</x:v>
      </x:c>
      <x:c r="H156" s="9" t="n">
        <x:v>7597</x:v>
      </x:c>
      <x:c r="I156" s="2" t="str"/>
      <x:c r="J156" s="2" t="n">
        <x:v>11</x:v>
      </x:c>
      <x:c r="K156" s="8" t="n">
        <x:v>46294</x:v>
      </x:c>
    </x:row>
    <x:row r="157" ht="22" customHeight="1">
      <x:c r="A157" s="7" t="n">
        <x:v>45627</x:v>
      </x:c>
      <x:c r="B157" s="2" t="str">
        <x:v>84862000325</x:v>
      </x:c>
      <x:c r="C157" s="2" t="str">
        <x:v>848620</x:v>
      </x:c>
      <x:c r="D157" s="2" t="str">
        <x:v>洗浄・剥離・エッチング用噴霧装置</x:v>
      </x:c>
      <x:c r="E157" s="9" t="n">
        <x:v>17931804</x:v>
      </x:c>
      <x:c r="F157" s="9" t="n">
        <x:f>IF(G157="利用可",E157,"")</x:f>
        <x:v>17931804</x:v>
      </x:c>
      <x:c r="G157" s="2" t="str">
        <x:v>利用可</x:v>
      </x:c>
      <x:c r="H157" s="9" t="n">
        <x:v>10967313</x:v>
      </x:c>
      <x:c r="I157" s="2" t="str"/>
      <x:c r="J157" s="2" t="n">
        <x:v>11</x:v>
      </x:c>
      <x:c r="K157" s="8" t="n">
        <x:v>46294</x:v>
      </x:c>
    </x:row>
    <x:row r="158" ht="22" customHeight="1">
      <x:c r="A158" s="7" t="n">
        <x:v>45658</x:v>
      </x:c>
      <x:c r="B158" s="2" t="str">
        <x:v>84862000325</x:v>
      </x:c>
      <x:c r="C158" s="2" t="str">
        <x:v>848620</x:v>
      </x:c>
      <x:c r="D158" s="2" t="str">
        <x:v>洗浄・剥離・エッチング用噴霧装置</x:v>
      </x:c>
      <x:c r="E158" s="9" t="n">
        <x:v>7532107</x:v>
      </x:c>
      <x:c r="F158" s="9" t="n">
        <x:f>IF(G158="利用可",E158,"")</x:f>
        <x:v>7532107</x:v>
      </x:c>
      <x:c r="G158" s="2" t="str">
        <x:v>利用可</x:v>
      </x:c>
      <x:c r="H158" s="9" t="n">
        <x:v>7127763</x:v>
      </x:c>
      <x:c r="I158" s="2" t="str"/>
      <x:c r="J158" s="2" t="n">
        <x:v>11</x:v>
      </x:c>
      <x:c r="K158" s="8" t="n">
        <x:v>46294</x:v>
      </x:c>
    </x:row>
    <x:row r="159" ht="22" customHeight="1">
      <x:c r="A159" s="7" t="n">
        <x:v>45689</x:v>
      </x:c>
      <x:c r="B159" s="2" t="str">
        <x:v>84862000325</x:v>
      </x:c>
      <x:c r="C159" s="2" t="str">
        <x:v>848620</x:v>
      </x:c>
      <x:c r="D159" s="2" t="str">
        <x:v>洗浄・剥離・エッチング用噴霧装置</x:v>
      </x:c>
      <x:c r="E159" s="9" t="n">
        <x:v>44097009</x:v>
      </x:c>
      <x:c r="F159" s="9" t="n">
        <x:f>IF(G159="利用可",E159,"")</x:f>
        <x:v>44097009</x:v>
      </x:c>
      <x:c r="G159" s="2" t="str">
        <x:v>利用可</x:v>
      </x:c>
      <x:c r="H159" s="9" t="n">
        <x:v>11266656</x:v>
      </x:c>
      <x:c r="I159" s="2" t="str"/>
      <x:c r="J159" s="2" t="n">
        <x:v>11</x:v>
      </x:c>
      <x:c r="K159" s="8" t="n">
        <x:v>46294</x:v>
      </x:c>
    </x:row>
    <x:row r="160" ht="22" customHeight="1">
      <x:c r="A160" s="7" t="n">
        <x:v>45717</x:v>
      </x:c>
      <x:c r="B160" s="2" t="str">
        <x:v>84862000325</x:v>
      </x:c>
      <x:c r="C160" s="2" t="str">
        <x:v>848620</x:v>
      </x:c>
      <x:c r="D160" s="2" t="str">
        <x:v>洗浄・剥離・エッチング用噴霧装置</x:v>
      </x:c>
      <x:c r="E160" s="9" t="n">
        <x:v>27078850</x:v>
      </x:c>
      <x:c r="F160" s="9" t="n">
        <x:f>IF(G160="利用可",E160,"")</x:f>
        <x:v>27078850</x:v>
      </x:c>
      <x:c r="G160" s="2" t="str">
        <x:v>利用可</x:v>
      </x:c>
      <x:c r="H160" s="9" t="n">
        <x:v>2930155</x:v>
      </x:c>
      <x:c r="I160" s="2" t="str"/>
      <x:c r="J160" s="2" t="n">
        <x:v>11</x:v>
      </x:c>
      <x:c r="K160" s="8" t="n">
        <x:v>46294</x:v>
      </x:c>
    </x:row>
    <x:row r="161" ht="22" customHeight="1">
      <x:c r="A161" s="7" t="n">
        <x:v>45748</x:v>
      </x:c>
      <x:c r="B161" s="2" t="str">
        <x:v>84862000325</x:v>
      </x:c>
      <x:c r="C161" s="2" t="str">
        <x:v>848620</x:v>
      </x:c>
      <x:c r="D161" s="2" t="str">
        <x:v>洗浄・剥離・エッチング用噴霧装置</x:v>
      </x:c>
      <x:c r="E161" s="9" t="n">
        <x:v>49879173</x:v>
      </x:c>
      <x:c r="F161" s="9" t="n">
        <x:f>IF(G161="利用可",E161,"")</x:f>
        <x:v>49879173</x:v>
      </x:c>
      <x:c r="G161" s="2" t="str">
        <x:v>利用可</x:v>
      </x:c>
      <x:c r="H161" s="9" t="n">
        <x:v>7276262</x:v>
      </x:c>
      <x:c r="I161" s="2" t="str"/>
      <x:c r="J161" s="2" t="n">
        <x:v>11</x:v>
      </x:c>
      <x:c r="K161" s="8" t="n">
        <x:v>46294</x:v>
      </x:c>
    </x:row>
    <x:row r="162" ht="22" customHeight="1">
      <x:c r="A162" s="7" t="n">
        <x:v>45778</x:v>
      </x:c>
      <x:c r="B162" s="2" t="str">
        <x:v>84862000325</x:v>
      </x:c>
      <x:c r="C162" s="2" t="str">
        <x:v>848620</x:v>
      </x:c>
      <x:c r="D162" s="2" t="str">
        <x:v>洗浄・剥離・エッチング用噴霧装置</x:v>
      </x:c>
      <x:c r="E162" s="9" t="n">
        <x:v>38732377</x:v>
      </x:c>
      <x:c r="F162" s="9" t="n">
        <x:f>IF(G162="利用可",E162,"")</x:f>
        <x:v>38732377</x:v>
      </x:c>
      <x:c r="G162" s="2" t="str">
        <x:v>利用可</x:v>
      </x:c>
      <x:c r="H162" s="9" t="n">
        <x:v>6138896</x:v>
      </x:c>
      <x:c r="I162" s="2" t="str"/>
      <x:c r="J162" s="2" t="n">
        <x:v>11</x:v>
      </x:c>
      <x:c r="K162" s="8" t="n">
        <x:v>46294</x:v>
      </x:c>
    </x:row>
    <x:row r="163" ht="22" customHeight="1">
      <x:c r="A163" s="7" t="n">
        <x:v>45809</x:v>
      </x:c>
      <x:c r="B163" s="2" t="str">
        <x:v>84862000325</x:v>
      </x:c>
      <x:c r="C163" s="2" t="str">
        <x:v>848620</x:v>
      </x:c>
      <x:c r="D163" s="2" t="str">
        <x:v>洗浄・剥離・エッチング用噴霧装置</x:v>
      </x:c>
      <x:c r="E163" s="9" t="n">
        <x:v>52066110</x:v>
      </x:c>
      <x:c r="F163" s="9" t="n">
        <x:f>IF(G163="利用可",E163,"")</x:f>
        <x:v>52066110</x:v>
      </x:c>
      <x:c r="G163" s="2" t="str">
        <x:v>利用可</x:v>
      </x:c>
      <x:c r="H163" s="9" t="n">
        <x:v>20626177</x:v>
      </x:c>
      <x:c r="I163" s="2" t="str"/>
      <x:c r="J163" s="2" t="n">
        <x:v>11</x:v>
      </x:c>
      <x:c r="K163" s="8" t="n">
        <x:v>46294</x:v>
      </x:c>
    </x:row>
    <x:row r="164" ht="22" customHeight="1">
      <x:c r="A164" s="7" t="n">
        <x:v>45839</x:v>
      </x:c>
      <x:c r="B164" s="2" t="str">
        <x:v>84862000325</x:v>
      </x:c>
      <x:c r="C164" s="2" t="str">
        <x:v>848620</x:v>
      </x:c>
      <x:c r="D164" s="2" t="str">
        <x:v>洗浄・剥離・エッチング用噴霧装置</x:v>
      </x:c>
      <x:c r="E164" s="9" t="n">
        <x:v>18588558</x:v>
      </x:c>
      <x:c r="F164" s="9" t="n">
        <x:f>IF(G164="利用可",E164,"")</x:f>
        <x:v>18588558</x:v>
      </x:c>
      <x:c r="G164" s="2" t="str">
        <x:v>利用可</x:v>
      </x:c>
      <x:c r="H164" s="9" t="n">
        <x:v>18372891</x:v>
      </x:c>
      <x:c r="I164" s="2" t="str"/>
      <x:c r="J164" s="2" t="n">
        <x:v>11</x:v>
      </x:c>
      <x:c r="K164" s="8" t="n">
        <x:v>46294</x:v>
      </x:c>
    </x:row>
    <x:row r="165" ht="22" customHeight="1">
      <x:c r="A165" s="7" t="n">
        <x:v>45870</x:v>
      </x:c>
      <x:c r="B165" s="2" t="str">
        <x:v>84862000325</x:v>
      </x:c>
      <x:c r="C165" s="2" t="str">
        <x:v>848620</x:v>
      </x:c>
      <x:c r="D165" s="2" t="str">
        <x:v>洗浄・剥離・エッチング用噴霧装置</x:v>
      </x:c>
      <x:c r="E165" s="9" t="n">
        <x:v>17208059</x:v>
      </x:c>
      <x:c r="F165" s="9" t="n">
        <x:f>IF(G165="利用可",E165,"")</x:f>
        <x:v>17208059</x:v>
      </x:c>
      <x:c r="G165" s="2" t="str">
        <x:v>利用可</x:v>
      </x:c>
      <x:c r="H165" s="9" t="n">
        <x:v>11957256</x:v>
      </x:c>
      <x:c r="I165" s="2" t="str"/>
      <x:c r="J165" s="2" t="n">
        <x:v>11</x:v>
      </x:c>
      <x:c r="K165" s="8" t="n">
        <x:v>46294</x:v>
      </x:c>
    </x:row>
    <x:row r="166" ht="22" customHeight="1">
      <x:c r="A166" s="7" t="n">
        <x:v>45901</x:v>
      </x:c>
      <x:c r="B166" s="2" t="str">
        <x:v>84862000325</x:v>
      </x:c>
      <x:c r="C166" s="2" t="str">
        <x:v>848620</x:v>
      </x:c>
      <x:c r="D166" s="2" t="str">
        <x:v>洗浄・剥離・エッチング用噴霧装置</x:v>
      </x:c>
      <x:c r="E166" s="9" t="n">
        <x:v>7618190</x:v>
      </x:c>
      <x:c r="F166" s="9" t="n">
        <x:f>IF(G166="利用可",E166,"")</x:f>
        <x:v>7618190</x:v>
      </x:c>
      <x:c r="G166" s="2" t="str">
        <x:v>利用可</x:v>
      </x:c>
      <x:c r="H166" s="9" t="n">
        <x:v>40120679</x:v>
      </x:c>
      <x:c r="I166" s="2" t="str"/>
      <x:c r="J166" s="2" t="n">
        <x:v>11</x:v>
      </x:c>
      <x:c r="K166" s="8" t="n">
        <x:v>46294</x:v>
      </x:c>
    </x:row>
    <x:row r="167" ht="22" customHeight="1">
      <x:c r="A167" s="7" t="n">
        <x:v>45931</x:v>
      </x:c>
      <x:c r="B167" s="2" t="str">
        <x:v>84862000325</x:v>
      </x:c>
      <x:c r="C167" s="2" t="str">
        <x:v>848620</x:v>
      </x:c>
      <x:c r="D167" s="2" t="str">
        <x:v>洗浄・剥離・エッチング用噴霧装置</x:v>
      </x:c>
      <x:c r="E167" s="9" t="n">
        <x:v>38695110</x:v>
      </x:c>
      <x:c r="F167" s="9" t="n">
        <x:f>IF(G167="利用可",E167,"")</x:f>
        <x:v>38695110</x:v>
      </x:c>
      <x:c r="G167" s="2" t="str">
        <x:v>利用可</x:v>
      </x:c>
      <x:c r="H167" s="9" t="n">
        <x:v>7509471</x:v>
      </x:c>
      <x:c r="I167" s="2" t="str"/>
      <x:c r="J167" s="2" t="n">
        <x:v>11</x:v>
      </x:c>
      <x:c r="K167" s="8" t="n">
        <x:v>46294</x:v>
      </x:c>
    </x:row>
    <x:row r="168" ht="22" customHeight="1">
      <x:c r="A168" s="7" t="n">
        <x:v>45962</x:v>
      </x:c>
      <x:c r="B168" s="2" t="str">
        <x:v>84862000325</x:v>
      </x:c>
      <x:c r="C168" s="2" t="str">
        <x:v>848620</x:v>
      </x:c>
      <x:c r="D168" s="2" t="str">
        <x:v>洗浄・剥離・エッチング用噴霧装置</x:v>
      </x:c>
      <x:c r="E168" s="9" t="n">
        <x:v>9496318</x:v>
      </x:c>
      <x:c r="F168" s="9" t="n">
        <x:f>IF(G168="利用可",E168,"")</x:f>
        <x:v>9496318</x:v>
      </x:c>
      <x:c r="G168" s="2" t="str">
        <x:v>利用可</x:v>
      </x:c>
      <x:c r="H168" s="9" t="n">
        <x:v>1609667</x:v>
      </x:c>
      <x:c r="I168" s="2" t="str"/>
      <x:c r="J168" s="2" t="n">
        <x:v>11</x:v>
      </x:c>
      <x:c r="K168" s="8" t="n">
        <x:v>46294</x:v>
      </x:c>
    </x:row>
    <x:row r="169" ht="22" customHeight="1">
      <x:c r="A169" s="7" t="n">
        <x:v>45992</x:v>
      </x:c>
      <x:c r="B169" s="2" t="str">
        <x:v>84862000325</x:v>
      </x:c>
      <x:c r="C169" s="2" t="str">
        <x:v>848620</x:v>
      </x:c>
      <x:c r="D169" s="2" t="str">
        <x:v>洗浄・剥離・エッチング用噴霧装置</x:v>
      </x:c>
      <x:c r="E169" s="9" t="n">
        <x:v>15421277</x:v>
      </x:c>
      <x:c r="F169" s="9" t="n">
        <x:f>IF(G169="利用可",E169,"")</x:f>
        <x:v>15421277</x:v>
      </x:c>
      <x:c r="G169" s="2" t="str">
        <x:v>利用可</x:v>
      </x:c>
      <x:c r="H169" s="9" t="n">
        <x:v>17931804</x:v>
      </x:c>
      <x:c r="I169" s="2" t="str"/>
      <x:c r="J169" s="2" t="n">
        <x:v>11</x:v>
      </x:c>
      <x:c r="K169" s="8" t="n">
        <x:v>46294</x:v>
      </x:c>
    </x:row>
    <x:row r="170" ht="22" customHeight="1">
      <x:c r="A170" s="7" t="n">
        <x:v>46023</x:v>
      </x:c>
      <x:c r="B170" s="2" t="str">
        <x:v>84862000325</x:v>
      </x:c>
      <x:c r="C170" s="2" t="str">
        <x:v>848620</x:v>
      </x:c>
      <x:c r="D170" s="2" t="str">
        <x:v>洗浄・剥離・エッチング用噴霧装置</x:v>
      </x:c>
      <x:c r="E170" s="9" t="n">
        <x:v>1996828</x:v>
      </x:c>
      <x:c r="F170" s="9" t="n">
        <x:f>IF(G170="利用可",E170,"")</x:f>
        <x:v>1996828</x:v>
      </x:c>
      <x:c r="G170" s="2" t="str">
        <x:v>利用可</x:v>
      </x:c>
      <x:c r="H170" s="9" t="n">
        <x:v>7532107</x:v>
      </x:c>
      <x:c r="I170" s="2" t="str"/>
      <x:c r="J170" s="2" t="n">
        <x:v>11</x:v>
      </x:c>
      <x:c r="K170" s="8" t="n">
        <x:v>46294</x:v>
      </x:c>
    </x:row>
    <x:row r="171" ht="22" customHeight="1">
      <x:c r="A171" s="7" t="n">
        <x:v>46054</x:v>
      </x:c>
      <x:c r="B171" s="2" t="str">
        <x:v>84862000325</x:v>
      </x:c>
      <x:c r="C171" s="2" t="str">
        <x:v>848620</x:v>
      </x:c>
      <x:c r="D171" s="2" t="str">
        <x:v>洗浄・剥離・エッチング用噴霧装置</x:v>
      </x:c>
      <x:c r="E171" s="9" t="n">
        <x:v>6505670</x:v>
      </x:c>
      <x:c r="F171" s="9" t="n">
        <x:f>IF(G171="利用可",E171,"")</x:f>
        <x:v>6505670</x:v>
      </x:c>
      <x:c r="G171" s="2" t="str">
        <x:v>利用可</x:v>
      </x:c>
      <x:c r="H171" s="9" t="n">
        <x:v>44097009</x:v>
      </x:c>
      <x:c r="I171" s="2" t="str"/>
      <x:c r="J171" s="2" t="n">
        <x:v>11</x:v>
      </x:c>
      <x:c r="K171" s="8" t="n">
        <x:v>46294</x:v>
      </x:c>
    </x:row>
    <x:row r="172" ht="22" customHeight="1">
      <x:c r="A172" s="7" t="n">
        <x:v>46082</x:v>
      </x:c>
      <x:c r="B172" s="2" t="str">
        <x:v>84862000325</x:v>
      </x:c>
      <x:c r="C172" s="2" t="str">
        <x:v>848620</x:v>
      </x:c>
      <x:c r="D172" s="2" t="str">
        <x:v>洗浄・剥離・エッチング用噴霧装置</x:v>
      </x:c>
      <x:c r="E172" s="9" t="n">
        <x:v>3289949</x:v>
      </x:c>
      <x:c r="F172" s="9" t="n">
        <x:f>IF(G172="利用可",E172,"")</x:f>
        <x:v>3289949</x:v>
      </x:c>
      <x:c r="G172" s="2" t="str">
        <x:v>利用可</x:v>
      </x:c>
      <x:c r="H172" s="9" t="n">
        <x:v>27078850</x:v>
      </x:c>
      <x:c r="I172" s="2" t="str"/>
      <x:c r="J172" s="2" t="n">
        <x:v>11</x:v>
      </x:c>
      <x:c r="K172" s="8" t="n">
        <x:v>46294</x:v>
      </x:c>
    </x:row>
    <x:row r="173" ht="22" customHeight="1">
      <x:c r="A173" s="7" t="n">
        <x:v>46113</x:v>
      </x:c>
      <x:c r="B173" s="2" t="str">
        <x:v>84862000325</x:v>
      </x:c>
      <x:c r="C173" s="2" t="str">
        <x:v>848620</x:v>
      </x:c>
      <x:c r="D173" s="2" t="str">
        <x:v>洗浄・剥離・エッチング用噴霧装置</x:v>
      </x:c>
      <x:c r="E173" s="9" t="n">
        <x:v>21462857</x:v>
      </x:c>
      <x:c r="F173" s="9" t="n">
        <x:f>IF(G173="利用可",E173,"")</x:f>
        <x:v>21462857</x:v>
      </x:c>
      <x:c r="G173" s="2" t="str">
        <x:v>利用可</x:v>
      </x:c>
      <x:c r="H173" s="9" t="n">
        <x:v>49879173</x:v>
      </x:c>
      <x:c r="I173" s="2" t="str"/>
      <x:c r="J173" s="2" t="n">
        <x:v>11</x:v>
      </x:c>
      <x:c r="K173" s="8" t="n">
        <x:v>46294</x:v>
      </x:c>
    </x:row>
    <x:row r="174" ht="22" customHeight="1">
      <x:c r="A174" s="7" t="n">
        <x:v>46143</x:v>
      </x:c>
      <x:c r="B174" s="2" t="str">
        <x:v>84862000325</x:v>
      </x:c>
      <x:c r="C174" s="2" t="str">
        <x:v>848620</x:v>
      </x:c>
      <x:c r="D174" s="2" t="str">
        <x:v>洗浄・剥離・エッチング用噴霧装置</x:v>
      </x:c>
      <x:c r="E174" s="9" t="n">
        <x:v>13784882</x:v>
      </x:c>
      <x:c r="F174" s="9" t="n">
        <x:f>IF(G174="利用可",E174,"")</x:f>
        <x:v>13784882</x:v>
      </x:c>
      <x:c r="G174" s="2" t="str">
        <x:v>利用可</x:v>
      </x:c>
      <x:c r="H174" s="9" t="n">
        <x:v>38732377</x:v>
      </x:c>
      <x:c r="I174" s="2" t="str"/>
      <x:c r="J174" s="2" t="n">
        <x:v>11</x:v>
      </x:c>
      <x:c r="K174" s="8" t="n">
        <x:v>46294</x:v>
      </x:c>
    </x:row>
    <x:row r="175" ht="22" customHeight="1">
      <x:c r="A175" s="7" t="n">
        <x:v>46174</x:v>
      </x:c>
      <x:c r="B175" s="2" t="str">
        <x:v>84862000325</x:v>
      </x:c>
      <x:c r="C175" s="2" t="str">
        <x:v>848620</x:v>
      </x:c>
      <x:c r="D175" s="2" t="str">
        <x:v>洗浄・剥離・エッチング用噴霧装置</x:v>
      </x:c>
      <x:c r="E175" s="9" t="n">
        <x:v>11848350</x:v>
      </x:c>
      <x:c r="F175" s="9" t="n">
        <x:f>IF(G175="利用可",E175,"")</x:f>
        <x:v>11848350</x:v>
      </x:c>
      <x:c r="G175" s="2" t="str">
        <x:v>利用可</x:v>
      </x:c>
      <x:c r="H175" s="9" t="n">
        <x:v>52066110</x:v>
      </x:c>
      <x:c r="I175" s="2" t="str"/>
      <x:c r="J175" s="2" t="n">
        <x:v>11</x:v>
      </x:c>
      <x:c r="K175" s="8" t="n">
        <x:v>46294</x:v>
      </x:c>
    </x:row>
    <x:row r="176" ht="22" customHeight="1">
      <x:c r="A176" s="7" t="n">
        <x:v>46204</x:v>
      </x:c>
      <x:c r="B176" s="2" t="str">
        <x:v>84862000325</x:v>
      </x:c>
      <x:c r="C176" s="2" t="str">
        <x:v>848620</x:v>
      </x:c>
      <x:c r="D176" s="2" t="str">
        <x:v>洗浄・剥離・エッチング用噴霧装置</x:v>
      </x:c>
      <x:c r="E176" s="9" t="n">
        <x:v>23206595</x:v>
      </x:c>
      <x:c r="F176" s="9" t="n">
        <x:f>IF(G176="利用可",E176,"")</x:f>
        <x:v>23206595</x:v>
      </x:c>
      <x:c r="G176" s="2" t="str">
        <x:v>利用可</x:v>
      </x:c>
      <x:c r="H176" s="9" t="n">
        <x:v>18588558</x:v>
      </x:c>
      <x:c r="I176" s="2" t="str"/>
      <x:c r="J176" s="2" t="n">
        <x:v>11</x:v>
      </x:c>
      <x:c r="K176" s="8" t="n">
        <x:v>46294</x:v>
      </x:c>
    </x:row>
    <x:row r="177" ht="22" customHeight="1">
      <x:c r="A177" s="7" t="n">
        <x:v>46235</x:v>
      </x:c>
      <x:c r="B177" s="2" t="str">
        <x:v>84862000325</x:v>
      </x:c>
      <x:c r="C177" s="2" t="str">
        <x:v>848620</x:v>
      </x:c>
      <x:c r="D177" s="2" t="str">
        <x:v>洗浄・剥離・エッチング用噴霧装置</x:v>
      </x:c>
      <x:c r="E177" s="9" t="n">
        <x:v>43633664</x:v>
      </x:c>
      <x:c r="F177" s="9" t="n">
        <x:f>IF(G177="利用可",E177,"")</x:f>
        <x:v>43633664</x:v>
      </x:c>
      <x:c r="G177" s="2" t="str">
        <x:v>利用可</x:v>
      </x:c>
      <x:c r="H177" s="9" t="n">
        <x:v>17208059</x:v>
      </x:c>
      <x:c r="I177" s="2" t="str"/>
      <x:c r="J177" s="2" t="n">
        <x:v>11</x:v>
      </x:c>
      <x:c r="K177" s="8" t="n">
        <x:v>46294</x:v>
      </x:c>
    </x:row>
    <x:row r="178" ht="22" customHeight="1">
      <x:c r="A178" s="7" t="n">
        <x:v>44927</x:v>
      </x:c>
      <x:c r="B178" s="2" t="str">
        <x:v>84862000619</x:v>
      </x:c>
      <x:c r="C178" s="2" t="str">
        <x:v>848620</x:v>
      </x:c>
      <x:c r="D178" s="2" t="str">
        <x:v>露光装置（ステップ・アンド・リピート）</x:v>
      </x:c>
      <x:c r="E178" s="9"/>
      <x:c r="F178" s="9" t="str">
        <x:f>IF(G178="利用可",E178,"")</x:f>
      </x:c>
      <x:c r="G178" s="2" t="str">
        <x:v>原表欠測</x:v>
      </x:c>
      <x:c r="H178" s="9"/>
      <x:c r="I178" s="2" t="str"/>
      <x:c r="J178" s="2" t="n">
        <x:v>11</x:v>
      </x:c>
      <x:c r="K178" s="8" t="n">
        <x:v>46294</x:v>
      </x:c>
    </x:row>
    <x:row r="179" ht="22" customHeight="1">
      <x:c r="A179" s="7" t="n">
        <x:v>44958</x:v>
      </x:c>
      <x:c r="B179" s="2" t="str">
        <x:v>84862000619</x:v>
      </x:c>
      <x:c r="C179" s="2" t="str">
        <x:v>848620</x:v>
      </x:c>
      <x:c r="D179" s="2" t="str">
        <x:v>露光装置（ステップ・アンド・リピート）</x:v>
      </x:c>
      <x:c r="E179" s="9" t="n">
        <x:v>2549420</x:v>
      </x:c>
      <x:c r="F179" s="9" t="n">
        <x:f>IF(G179="利用可",E179,"")</x:f>
        <x:v>2549420</x:v>
      </x:c>
      <x:c r="G179" s="2" t="str">
        <x:v>利用可</x:v>
      </x:c>
      <x:c r="H179" s="9" t="n">
        <x:v>7682560</x:v>
      </x:c>
      <x:c r="I179" s="2" t="str"/>
      <x:c r="J179" s="2" t="n">
        <x:v>11</x:v>
      </x:c>
      <x:c r="K179" s="8" t="n">
        <x:v>46294</x:v>
      </x:c>
    </x:row>
    <x:row r="180" ht="22" customHeight="1">
      <x:c r="A180" s="7" t="n">
        <x:v>44986</x:v>
      </x:c>
      <x:c r="B180" s="2" t="str">
        <x:v>84862000619</x:v>
      </x:c>
      <x:c r="C180" s="2" t="str">
        <x:v>848620</x:v>
      </x:c>
      <x:c r="D180" s="2" t="str">
        <x:v>露光装置（ステップ・アンド・リピート）</x:v>
      </x:c>
      <x:c r="E180" s="9" t="n">
        <x:v>4025777</x:v>
      </x:c>
      <x:c r="F180" s="9" t="n">
        <x:f>IF(G180="利用可",E180,"")</x:f>
        <x:v>4025777</x:v>
      </x:c>
      <x:c r="G180" s="2" t="str">
        <x:v>利用可</x:v>
      </x:c>
      <x:c r="H180" s="9" t="n">
        <x:v>17854088</x:v>
      </x:c>
      <x:c r="I180" s="2" t="str"/>
      <x:c r="J180" s="2" t="n">
        <x:v>11</x:v>
      </x:c>
      <x:c r="K180" s="8" t="n">
        <x:v>46294</x:v>
      </x:c>
    </x:row>
    <x:row r="181" ht="22" customHeight="1">
      <x:c r="A181" s="7" t="n">
        <x:v>45017</x:v>
      </x:c>
      <x:c r="B181" s="2" t="str">
        <x:v>84862000619</x:v>
      </x:c>
      <x:c r="C181" s="2" t="str">
        <x:v>848620</x:v>
      </x:c>
      <x:c r="D181" s="2" t="str">
        <x:v>露光装置（ステップ・アンド・リピート）</x:v>
      </x:c>
      <x:c r="E181" s="9"/>
      <x:c r="F181" s="9" t="str">
        <x:f>IF(G181="利用可",E181,"")</x:f>
      </x:c>
      <x:c r="G181" s="2" t="str">
        <x:v>原表欠測</x:v>
      </x:c>
      <x:c r="H181" s="9" t="n">
        <x:v>6512739</x:v>
      </x:c>
      <x:c r="I181" s="2" t="str"/>
      <x:c r="J181" s="2" t="n">
        <x:v>11</x:v>
      </x:c>
      <x:c r="K181" s="8" t="n">
        <x:v>46294</x:v>
      </x:c>
    </x:row>
    <x:row r="182" ht="22" customHeight="1">
      <x:c r="A182" s="7" t="n">
        <x:v>45047</x:v>
      </x:c>
      <x:c r="B182" s="2" t="str">
        <x:v>84862000619</x:v>
      </x:c>
      <x:c r="C182" s="2" t="str">
        <x:v>848620</x:v>
      </x:c>
      <x:c r="D182" s="2" t="str">
        <x:v>露光装置（ステップ・アンド・リピート）</x:v>
      </x:c>
      <x:c r="E182" s="9"/>
      <x:c r="F182" s="9" t="str">
        <x:f>IF(G182="利用可",E182,"")</x:f>
      </x:c>
      <x:c r="G182" s="2" t="str">
        <x:v>原表欠測</x:v>
      </x:c>
      <x:c r="H182" s="9" t="n">
        <x:v>4544689</x:v>
      </x:c>
      <x:c r="I182" s="2" t="str"/>
      <x:c r="J182" s="2" t="n">
        <x:v>11</x:v>
      </x:c>
      <x:c r="K182" s="8" t="n">
        <x:v>46294</x:v>
      </x:c>
    </x:row>
    <x:row r="183" ht="22" customHeight="1">
      <x:c r="A183" s="7" t="n">
        <x:v>45078</x:v>
      </x:c>
      <x:c r="B183" s="2" t="str">
        <x:v>84862000619</x:v>
      </x:c>
      <x:c r="C183" s="2" t="str">
        <x:v>848620</x:v>
      </x:c>
      <x:c r="D183" s="2" t="str">
        <x:v>露光装置（ステップ・アンド・リピート）</x:v>
      </x:c>
      <x:c r="E183" s="9" t="n">
        <x:v>2677547</x:v>
      </x:c>
      <x:c r="F183" s="9" t="n">
        <x:f>IF(G183="利用可",E183,"")</x:f>
        <x:v>2677547</x:v>
      </x:c>
      <x:c r="G183" s="2" t="str">
        <x:v>利用可</x:v>
      </x:c>
      <x:c r="H183" s="9" t="n">
        <x:v>5605008</x:v>
      </x:c>
      <x:c r="I183" s="2" t="str"/>
      <x:c r="J183" s="2" t="n">
        <x:v>11</x:v>
      </x:c>
      <x:c r="K183" s="8" t="n">
        <x:v>46294</x:v>
      </x:c>
    </x:row>
    <x:row r="184" ht="22" customHeight="1">
      <x:c r="A184" s="7" t="n">
        <x:v>45108</x:v>
      </x:c>
      <x:c r="B184" s="2" t="str">
        <x:v>84862000619</x:v>
      </x:c>
      <x:c r="C184" s="2" t="str">
        <x:v>848620</x:v>
      </x:c>
      <x:c r="D184" s="2" t="str">
        <x:v>露光装置（ステップ・アンド・リピート）</x:v>
      </x:c>
      <x:c r="E184" s="9" t="n">
        <x:v>2591543</x:v>
      </x:c>
      <x:c r="F184" s="9" t="n">
        <x:f>IF(G184="利用可",E184,"")</x:f>
        <x:v>2591543</x:v>
      </x:c>
      <x:c r="G184" s="2" t="str">
        <x:v>利用可</x:v>
      </x:c>
      <x:c r="H184" s="9" t="n">
        <x:v>3215225</x:v>
      </x:c>
      <x:c r="I184" s="2" t="str"/>
      <x:c r="J184" s="2" t="n">
        <x:v>11</x:v>
      </x:c>
      <x:c r="K184" s="8" t="n">
        <x:v>46294</x:v>
      </x:c>
    </x:row>
    <x:row r="185" ht="22" customHeight="1">
      <x:c r="A185" s="7" t="n">
        <x:v>45139</x:v>
      </x:c>
      <x:c r="B185" s="2" t="str">
        <x:v>84862000619</x:v>
      </x:c>
      <x:c r="C185" s="2" t="str">
        <x:v>848620</x:v>
      </x:c>
      <x:c r="D185" s="2" t="str">
        <x:v>露光装置（ステップ・アンド・リピート）</x:v>
      </x:c>
      <x:c r="E185" s="9" t="n">
        <x:v>1451707</x:v>
      </x:c>
      <x:c r="F185" s="9" t="n">
        <x:f>IF(G185="利用可",E185,"")</x:f>
        <x:v>1451707</x:v>
      </x:c>
      <x:c r="G185" s="2" t="str">
        <x:v>利用可</x:v>
      </x:c>
      <x:c r="H185" s="9"/>
      <x:c r="I185" s="2" t="str"/>
      <x:c r="J185" s="2" t="n">
        <x:v>11</x:v>
      </x:c>
      <x:c r="K185" s="8" t="n">
        <x:v>46294</x:v>
      </x:c>
    </x:row>
    <x:row r="186" ht="22" customHeight="1">
      <x:c r="A186" s="7" t="n">
        <x:v>45170</x:v>
      </x:c>
      <x:c r="B186" s="2" t="str">
        <x:v>84862000619</x:v>
      </x:c>
      <x:c r="C186" s="2" t="str">
        <x:v>848620</x:v>
      </x:c>
      <x:c r="D186" s="2" t="str">
        <x:v>露光装置（ステップ・アンド・リピート）</x:v>
      </x:c>
      <x:c r="E186" s="9"/>
      <x:c r="F186" s="9" t="str">
        <x:f>IF(G186="利用可",E186,"")</x:f>
      </x:c>
      <x:c r="G186" s="2" t="str">
        <x:v>原表欠測</x:v>
      </x:c>
      <x:c r="H186" s="9"/>
      <x:c r="I186" s="2" t="str"/>
      <x:c r="J186" s="2" t="n">
        <x:v>11</x:v>
      </x:c>
      <x:c r="K186" s="8" t="n">
        <x:v>46294</x:v>
      </x:c>
    </x:row>
    <x:row r="187" ht="22" customHeight="1">
      <x:c r="A187" s="7" t="n">
        <x:v>45200</x:v>
      </x:c>
      <x:c r="B187" s="2" t="str">
        <x:v>84862000619</x:v>
      </x:c>
      <x:c r="C187" s="2" t="str">
        <x:v>848620</x:v>
      </x:c>
      <x:c r="D187" s="2" t="str">
        <x:v>露光装置（ステップ・アンド・リピート）</x:v>
      </x:c>
      <x:c r="E187" s="9"/>
      <x:c r="F187" s="9" t="str">
        <x:f>IF(G187="利用可",E187,"")</x:f>
      </x:c>
      <x:c r="G187" s="2" t="str">
        <x:v>原表欠測</x:v>
      </x:c>
      <x:c r="H187" s="9" t="n">
        <x:v>2734847</x:v>
      </x:c>
      <x:c r="I187" s="2" t="str"/>
      <x:c r="J187" s="2" t="n">
        <x:v>11</x:v>
      </x:c>
      <x:c r="K187" s="8" t="n">
        <x:v>46294</x:v>
      </x:c>
    </x:row>
    <x:row r="188" ht="22" customHeight="1">
      <x:c r="A188" s="7" t="n">
        <x:v>45231</x:v>
      </x:c>
      <x:c r="B188" s="2" t="str">
        <x:v>84862000619</x:v>
      </x:c>
      <x:c r="C188" s="2" t="str">
        <x:v>848620</x:v>
      </x:c>
      <x:c r="D188" s="2" t="str">
        <x:v>露光装置（ステップ・アンド・リピート）</x:v>
      </x:c>
      <x:c r="E188" s="9" t="n">
        <x:v>2484434</x:v>
      </x:c>
      <x:c r="F188" s="9" t="n">
        <x:f>IF(G188="利用可",E188,"")</x:f>
        <x:v>2484434</x:v>
      </x:c>
      <x:c r="G188" s="2" t="str">
        <x:v>利用可</x:v>
      </x:c>
      <x:c r="H188" s="9" t="n">
        <x:v>3009542</x:v>
      </x:c>
      <x:c r="I188" s="2" t="str"/>
      <x:c r="J188" s="2" t="n">
        <x:v>11</x:v>
      </x:c>
      <x:c r="K188" s="8" t="n">
        <x:v>46294</x:v>
      </x:c>
    </x:row>
    <x:row r="189" ht="22" customHeight="1">
      <x:c r="A189" s="7" t="n">
        <x:v>45261</x:v>
      </x:c>
      <x:c r="B189" s="2" t="str">
        <x:v>84862000619</x:v>
      </x:c>
      <x:c r="C189" s="2" t="str">
        <x:v>848620</x:v>
      </x:c>
      <x:c r="D189" s="2" t="str">
        <x:v>露光装置（ステップ・アンド・リピート）</x:v>
      </x:c>
      <x:c r="E189" s="9" t="n">
        <x:v>4261208</x:v>
      </x:c>
      <x:c r="F189" s="9" t="n">
        <x:f>IF(G189="利用可",E189,"")</x:f>
        <x:v>4261208</x:v>
      </x:c>
      <x:c r="G189" s="2" t="str">
        <x:v>利用可</x:v>
      </x:c>
      <x:c r="H189" s="9"/>
      <x:c r="I189" s="2" t="str"/>
      <x:c r="J189" s="2" t="n">
        <x:v>11</x:v>
      </x:c>
      <x:c r="K189" s="8" t="n">
        <x:v>46294</x:v>
      </x:c>
    </x:row>
    <x:row r="190" ht="22" customHeight="1">
      <x:c r="A190" s="7" t="n">
        <x:v>45292</x:v>
      </x:c>
      <x:c r="B190" s="2" t="str">
        <x:v>84862000619</x:v>
      </x:c>
      <x:c r="C190" s="2" t="str">
        <x:v>848620</x:v>
      </x:c>
      <x:c r="D190" s="2" t="str">
        <x:v>露光装置（ステップ・アンド・リピート）</x:v>
      </x:c>
      <x:c r="E190" s="9" t="n">
        <x:v>2612629</x:v>
      </x:c>
      <x:c r="F190" s="9" t="n">
        <x:f>IF(G190="利用可",E190,"")</x:f>
        <x:v>2612629</x:v>
      </x:c>
      <x:c r="G190" s="2" t="str">
        <x:v>利用可</x:v>
      </x:c>
      <x:c r="H190" s="9"/>
      <x:c r="I190" s="2" t="str"/>
      <x:c r="J190" s="2" t="n">
        <x:v>11</x:v>
      </x:c>
      <x:c r="K190" s="8" t="n">
        <x:v>46294</x:v>
      </x:c>
    </x:row>
    <x:row r="191" ht="22" customHeight="1">
      <x:c r="A191" s="7" t="n">
        <x:v>45323</x:v>
      </x:c>
      <x:c r="B191" s="2" t="str">
        <x:v>84862000619</x:v>
      </x:c>
      <x:c r="C191" s="2" t="str">
        <x:v>848620</x:v>
      </x:c>
      <x:c r="D191" s="2" t="str">
        <x:v>露光装置（ステップ・アンド・リピート）</x:v>
      </x:c>
      <x:c r="E191" s="9" t="n">
        <x:v>5005260</x:v>
      </x:c>
      <x:c r="F191" s="9" t="n">
        <x:f>IF(G191="利用可",E191,"")</x:f>
        <x:v>5005260</x:v>
      </x:c>
      <x:c r="G191" s="2" t="str">
        <x:v>利用可</x:v>
      </x:c>
      <x:c r="H191" s="9" t="n">
        <x:v>2549420</x:v>
      </x:c>
      <x:c r="I191" s="2" t="str"/>
      <x:c r="J191" s="2" t="n">
        <x:v>11</x:v>
      </x:c>
      <x:c r="K191" s="8" t="n">
        <x:v>46294</x:v>
      </x:c>
    </x:row>
    <x:row r="192" ht="22" customHeight="1">
      <x:c r="A192" s="7" t="n">
        <x:v>45352</x:v>
      </x:c>
      <x:c r="B192" s="2" t="str">
        <x:v>84862000619</x:v>
      </x:c>
      <x:c r="C192" s="2" t="str">
        <x:v>848620</x:v>
      </x:c>
      <x:c r="D192" s="2" t="str">
        <x:v>露光装置（ステップ・アンド・リピート）</x:v>
      </x:c>
      <x:c r="E192" s="9" t="n">
        <x:v>7437504</x:v>
      </x:c>
      <x:c r="F192" s="9" t="n">
        <x:f>IF(G192="利用可",E192,"")</x:f>
        <x:v>7437504</x:v>
      </x:c>
      <x:c r="G192" s="2" t="str">
        <x:v>利用可</x:v>
      </x:c>
      <x:c r="H192" s="9" t="n">
        <x:v>4025777</x:v>
      </x:c>
      <x:c r="I192" s="2" t="str"/>
      <x:c r="J192" s="2" t="n">
        <x:v>11</x:v>
      </x:c>
      <x:c r="K192" s="8" t="n">
        <x:v>46294</x:v>
      </x:c>
    </x:row>
    <x:row r="193" ht="22" customHeight="1">
      <x:c r="A193" s="7" t="n">
        <x:v>45383</x:v>
      </x:c>
      <x:c r="B193" s="2" t="str">
        <x:v>84862000619</x:v>
      </x:c>
      <x:c r="C193" s="2" t="str">
        <x:v>848620</x:v>
      </x:c>
      <x:c r="D193" s="2" t="str">
        <x:v>露光装置（ステップ・アンド・リピート）</x:v>
      </x:c>
      <x:c r="E193" s="9" t="n">
        <x:v>11227975</x:v>
      </x:c>
      <x:c r="F193" s="9" t="n">
        <x:f>IF(G193="利用可",E193,"")</x:f>
        <x:v>11227975</x:v>
      </x:c>
      <x:c r="G193" s="2" t="str">
        <x:v>利用可</x:v>
      </x:c>
      <x:c r="H193" s="9"/>
      <x:c r="I193" s="2" t="str"/>
      <x:c r="J193" s="2" t="n">
        <x:v>11</x:v>
      </x:c>
      <x:c r="K193" s="8" t="n">
        <x:v>46294</x:v>
      </x:c>
    </x:row>
    <x:row r="194" ht="22" customHeight="1">
      <x:c r="A194" s="7" t="n">
        <x:v>45413</x:v>
      </x:c>
      <x:c r="B194" s="2" t="str">
        <x:v>84862000619</x:v>
      </x:c>
      <x:c r="C194" s="2" t="str">
        <x:v>848620</x:v>
      </x:c>
      <x:c r="D194" s="2" t="str">
        <x:v>露光装置（ステップ・アンド・リピート）</x:v>
      </x:c>
      <x:c r="E194" s="9" t="n">
        <x:v>4786551</x:v>
      </x:c>
      <x:c r="F194" s="9" t="n">
        <x:f>IF(G194="利用可",E194,"")</x:f>
        <x:v>4786551</x:v>
      </x:c>
      <x:c r="G194" s="2" t="str">
        <x:v>利用可</x:v>
      </x:c>
      <x:c r="H194" s="9"/>
      <x:c r="I194" s="2" t="str"/>
      <x:c r="J194" s="2" t="n">
        <x:v>11</x:v>
      </x:c>
      <x:c r="K194" s="8" t="n">
        <x:v>46294</x:v>
      </x:c>
    </x:row>
    <x:row r="195" ht="22" customHeight="1">
      <x:c r="A195" s="7" t="n">
        <x:v>45444</x:v>
      </x:c>
      <x:c r="B195" s="2" t="str">
        <x:v>84862000619</x:v>
      </x:c>
      <x:c r="C195" s="2" t="str">
        <x:v>848620</x:v>
      </x:c>
      <x:c r="D195" s="2" t="str">
        <x:v>露光装置（ステップ・アンド・リピート）</x:v>
      </x:c>
      <x:c r="E195" s="9" t="n">
        <x:v>6002</x:v>
      </x:c>
      <x:c r="F195" s="9" t="n">
        <x:f>IF(G195="利用可",E195,"")</x:f>
        <x:v>6002</x:v>
      </x:c>
      <x:c r="G195" s="2" t="str">
        <x:v>利用可</x:v>
      </x:c>
      <x:c r="H195" s="9" t="n">
        <x:v>2677547</x:v>
      </x:c>
      <x:c r="I195" s="2" t="str"/>
      <x:c r="J195" s="2" t="n">
        <x:v>11</x:v>
      </x:c>
      <x:c r="K195" s="8" t="n">
        <x:v>46294</x:v>
      </x:c>
    </x:row>
    <x:row r="196" ht="22" customHeight="1">
      <x:c r="A196" s="7" t="n">
        <x:v>45474</x:v>
      </x:c>
      <x:c r="B196" s="2" t="str">
        <x:v>84862000619</x:v>
      </x:c>
      <x:c r="C196" s="2" t="str">
        <x:v>848620</x:v>
      </x:c>
      <x:c r="D196" s="2" t="str">
        <x:v>露光装置（ステップ・アンド・リピート）</x:v>
      </x:c>
      <x:c r="E196" s="9" t="n">
        <x:v>4709170</x:v>
      </x:c>
      <x:c r="F196" s="9" t="n">
        <x:f>IF(G196="利用可",E196,"")</x:f>
        <x:v>4709170</x:v>
      </x:c>
      <x:c r="G196" s="2" t="str">
        <x:v>利用可</x:v>
      </x:c>
      <x:c r="H196" s="9" t="n">
        <x:v>2591543</x:v>
      </x:c>
      <x:c r="I196" s="2" t="str"/>
      <x:c r="J196" s="2" t="n">
        <x:v>11</x:v>
      </x:c>
      <x:c r="K196" s="8" t="n">
        <x:v>46294</x:v>
      </x:c>
    </x:row>
    <x:row r="197" ht="22" customHeight="1">
      <x:c r="A197" s="7" t="n">
        <x:v>45505</x:v>
      </x:c>
      <x:c r="B197" s="2" t="str">
        <x:v>84862000619</x:v>
      </x:c>
      <x:c r="C197" s="2" t="str">
        <x:v>848620</x:v>
      </x:c>
      <x:c r="D197" s="2" t="str">
        <x:v>露光装置（ステップ・アンド・リピート）</x:v>
      </x:c>
      <x:c r="E197" s="9"/>
      <x:c r="F197" s="9" t="str">
        <x:f>IF(G197="利用可",E197,"")</x:f>
      </x:c>
      <x:c r="G197" s="2" t="str">
        <x:v>原表欠測</x:v>
      </x:c>
      <x:c r="H197" s="9" t="n">
        <x:v>1451707</x:v>
      </x:c>
      <x:c r="I197" s="2" t="str"/>
      <x:c r="J197" s="2" t="n">
        <x:v>11</x:v>
      </x:c>
      <x:c r="K197" s="8" t="n">
        <x:v>46294</x:v>
      </x:c>
    </x:row>
    <x:row r="198" ht="22" customHeight="1">
      <x:c r="A198" s="7" t="n">
        <x:v>45536</x:v>
      </x:c>
      <x:c r="B198" s="2" t="str">
        <x:v>84862000619</x:v>
      </x:c>
      <x:c r="C198" s="2" t="str">
        <x:v>848620</x:v>
      </x:c>
      <x:c r="D198" s="2" t="str">
        <x:v>露光装置（ステップ・アンド・リピート）</x:v>
      </x:c>
      <x:c r="E198" s="9" t="n">
        <x:v>4924554</x:v>
      </x:c>
      <x:c r="F198" s="9" t="n">
        <x:f>IF(G198="利用可",E198,"")</x:f>
        <x:v>4924554</x:v>
      </x:c>
      <x:c r="G198" s="2" t="str">
        <x:v>利用可</x:v>
      </x:c>
      <x:c r="H198" s="9"/>
      <x:c r="I198" s="2" t="str"/>
      <x:c r="J198" s="2" t="n">
        <x:v>11</x:v>
      </x:c>
      <x:c r="K198" s="8" t="n">
        <x:v>46294</x:v>
      </x:c>
    </x:row>
    <x:row r="199" ht="22" customHeight="1">
      <x:c r="A199" s="7" t="n">
        <x:v>45566</x:v>
      </x:c>
      <x:c r="B199" s="2" t="str">
        <x:v>84862000619</x:v>
      </x:c>
      <x:c r="C199" s="2" t="str">
        <x:v>848620</x:v>
      </x:c>
      <x:c r="D199" s="2" t="str">
        <x:v>露光装置（ステップ・アンド・リピート）</x:v>
      </x:c>
      <x:c r="E199" s="9" t="n">
        <x:v>19270616</x:v>
      </x:c>
      <x:c r="F199" s="9" t="n">
        <x:f>IF(G199="利用可",E199,"")</x:f>
        <x:v>19270616</x:v>
      </x:c>
      <x:c r="G199" s="2" t="str">
        <x:v>利用可</x:v>
      </x:c>
      <x:c r="H199" s="9"/>
      <x:c r="I199" s="2" t="str"/>
      <x:c r="J199" s="2" t="n">
        <x:v>11</x:v>
      </x:c>
      <x:c r="K199" s="8" t="n">
        <x:v>46294</x:v>
      </x:c>
    </x:row>
    <x:row r="200" ht="22" customHeight="1">
      <x:c r="A200" s="7" t="n">
        <x:v>45597</x:v>
      </x:c>
      <x:c r="B200" s="2" t="str">
        <x:v>84862000619</x:v>
      </x:c>
      <x:c r="C200" s="2" t="str">
        <x:v>848620</x:v>
      </x:c>
      <x:c r="D200" s="2" t="str">
        <x:v>露光装置（ステップ・アンド・リピート）</x:v>
      </x:c>
      <x:c r="E200" s="9" t="n">
        <x:v>16101431</x:v>
      </x:c>
      <x:c r="F200" s="9" t="n">
        <x:f>IF(G200="利用可",E200,"")</x:f>
        <x:v>16101431</x:v>
      </x:c>
      <x:c r="G200" s="2" t="str">
        <x:v>利用可</x:v>
      </x:c>
      <x:c r="H200" s="9" t="n">
        <x:v>2484434</x:v>
      </x:c>
      <x:c r="I200" s="2" t="str"/>
      <x:c r="J200" s="2" t="n">
        <x:v>11</x:v>
      </x:c>
      <x:c r="K200" s="8" t="n">
        <x:v>46294</x:v>
      </x:c>
    </x:row>
    <x:row r="201" ht="22" customHeight="1">
      <x:c r="A201" s="7" t="n">
        <x:v>45627</x:v>
      </x:c>
      <x:c r="B201" s="2" t="str">
        <x:v>84862000619</x:v>
      </x:c>
      <x:c r="C201" s="2" t="str">
        <x:v>848620</x:v>
      </x:c>
      <x:c r="D201" s="2" t="str">
        <x:v>露光装置（ステップ・アンド・リピート）</x:v>
      </x:c>
      <x:c r="E201" s="9" t="n">
        <x:v>16997506</x:v>
      </x:c>
      <x:c r="F201" s="9" t="n">
        <x:f>IF(G201="利用可",E201,"")</x:f>
        <x:v>16997506</x:v>
      </x:c>
      <x:c r="G201" s="2" t="str">
        <x:v>利用可</x:v>
      </x:c>
      <x:c r="H201" s="9" t="n">
        <x:v>4261208</x:v>
      </x:c>
      <x:c r="I201" s="2" t="str"/>
      <x:c r="J201" s="2" t="n">
        <x:v>11</x:v>
      </x:c>
      <x:c r="K201" s="8" t="n">
        <x:v>46294</x:v>
      </x:c>
    </x:row>
    <x:row r="202" ht="22" customHeight="1">
      <x:c r="A202" s="7" t="n">
        <x:v>45658</x:v>
      </x:c>
      <x:c r="B202" s="2" t="str">
        <x:v>84862000619</x:v>
      </x:c>
      <x:c r="C202" s="2" t="str">
        <x:v>848620</x:v>
      </x:c>
      <x:c r="D202" s="2" t="str">
        <x:v>露光装置（ステップ・アンド・リピート）</x:v>
      </x:c>
      <x:c r="E202" s="9" t="n">
        <x:v>11508696</x:v>
      </x:c>
      <x:c r="F202" s="9" t="n">
        <x:f>IF(G202="利用可",E202,"")</x:f>
        <x:v>11508696</x:v>
      </x:c>
      <x:c r="G202" s="2" t="str">
        <x:v>利用可</x:v>
      </x:c>
      <x:c r="H202" s="9" t="n">
        <x:v>2612629</x:v>
      </x:c>
      <x:c r="I202" s="2" t="str"/>
      <x:c r="J202" s="2" t="n">
        <x:v>11</x:v>
      </x:c>
      <x:c r="K202" s="8" t="n">
        <x:v>46294</x:v>
      </x:c>
    </x:row>
    <x:row r="203" ht="22" customHeight="1">
      <x:c r="A203" s="7" t="n">
        <x:v>45689</x:v>
      </x:c>
      <x:c r="B203" s="2" t="str">
        <x:v>84862000619</x:v>
      </x:c>
      <x:c r="C203" s="2" t="str">
        <x:v>848620</x:v>
      </x:c>
      <x:c r="D203" s="2" t="str">
        <x:v>露光装置（ステップ・アンド・リピート）</x:v>
      </x:c>
      <x:c r="E203" s="9" t="n">
        <x:v>7199482</x:v>
      </x:c>
      <x:c r="F203" s="9" t="n">
        <x:f>IF(G203="利用可",E203,"")</x:f>
        <x:v>7199482</x:v>
      </x:c>
      <x:c r="G203" s="2" t="str">
        <x:v>利用可</x:v>
      </x:c>
      <x:c r="H203" s="9" t="n">
        <x:v>5005260</x:v>
      </x:c>
      <x:c r="I203" s="2" t="str"/>
      <x:c r="J203" s="2" t="n">
        <x:v>11</x:v>
      </x:c>
      <x:c r="K203" s="8" t="n">
        <x:v>46294</x:v>
      </x:c>
    </x:row>
    <x:row r="204" ht="22" customHeight="1">
      <x:c r="A204" s="7" t="n">
        <x:v>45717</x:v>
      </x:c>
      <x:c r="B204" s="2" t="str">
        <x:v>84862000619</x:v>
      </x:c>
      <x:c r="C204" s="2" t="str">
        <x:v>848620</x:v>
      </x:c>
      <x:c r="D204" s="2" t="str">
        <x:v>露光装置（ステップ・アンド・リピート）</x:v>
      </x:c>
      <x:c r="E204" s="9" t="n">
        <x:v>13383109</x:v>
      </x:c>
      <x:c r="F204" s="9" t="n">
        <x:f>IF(G204="利用可",E204,"")</x:f>
        <x:v>13383109</x:v>
      </x:c>
      <x:c r="G204" s="2" t="str">
        <x:v>利用可</x:v>
      </x:c>
      <x:c r="H204" s="9" t="n">
        <x:v>7437504</x:v>
      </x:c>
      <x:c r="I204" s="2" t="str"/>
      <x:c r="J204" s="2" t="n">
        <x:v>11</x:v>
      </x:c>
      <x:c r="K204" s="8" t="n">
        <x:v>46294</x:v>
      </x:c>
    </x:row>
    <x:row r="205" ht="22" customHeight="1">
      <x:c r="A205" s="7" t="n">
        <x:v>45748</x:v>
      </x:c>
      <x:c r="B205" s="2" t="str">
        <x:v>84862000619</x:v>
      </x:c>
      <x:c r="C205" s="2" t="str">
        <x:v>848620</x:v>
      </x:c>
      <x:c r="D205" s="2" t="str">
        <x:v>露光装置（ステップ・アンド・リピート）</x:v>
      </x:c>
      <x:c r="E205" s="9" t="n">
        <x:v>8078717</x:v>
      </x:c>
      <x:c r="F205" s="9" t="n">
        <x:f>IF(G205="利用可",E205,"")</x:f>
        <x:v>8078717</x:v>
      </x:c>
      <x:c r="G205" s="2" t="str">
        <x:v>利用可</x:v>
      </x:c>
      <x:c r="H205" s="9" t="n">
        <x:v>11227975</x:v>
      </x:c>
      <x:c r="I205" s="2" t="str"/>
      <x:c r="J205" s="2" t="n">
        <x:v>11</x:v>
      </x:c>
      <x:c r="K205" s="8" t="n">
        <x:v>46294</x:v>
      </x:c>
    </x:row>
    <x:row r="206" ht="22" customHeight="1">
      <x:c r="A206" s="7" t="n">
        <x:v>45778</x:v>
      </x:c>
      <x:c r="B206" s="2" t="str">
        <x:v>84862000619</x:v>
      </x:c>
      <x:c r="C206" s="2" t="str">
        <x:v>848620</x:v>
      </x:c>
      <x:c r="D206" s="2" t="str">
        <x:v>露光装置（ステップ・アンド・リピート）</x:v>
      </x:c>
      <x:c r="E206" s="9" t="n">
        <x:v>17946075</x:v>
      </x:c>
      <x:c r="F206" s="9" t="n">
        <x:f>IF(G206="利用可",E206,"")</x:f>
        <x:v>17946075</x:v>
      </x:c>
      <x:c r="G206" s="2" t="str">
        <x:v>利用可</x:v>
      </x:c>
      <x:c r="H206" s="9" t="n">
        <x:v>4786551</x:v>
      </x:c>
      <x:c r="I206" s="2" t="str"/>
      <x:c r="J206" s="2" t="n">
        <x:v>11</x:v>
      </x:c>
      <x:c r="K206" s="8" t="n">
        <x:v>46294</x:v>
      </x:c>
    </x:row>
    <x:row r="207" ht="22" customHeight="1">
      <x:c r="A207" s="7" t="n">
        <x:v>45809</x:v>
      </x:c>
      <x:c r="B207" s="2" t="str">
        <x:v>84862000619</x:v>
      </x:c>
      <x:c r="C207" s="2" t="str">
        <x:v>848620</x:v>
      </x:c>
      <x:c r="D207" s="2" t="str">
        <x:v>露光装置（ステップ・アンド・リピート）</x:v>
      </x:c>
      <x:c r="E207" s="9" t="n">
        <x:v>24872873</x:v>
      </x:c>
      <x:c r="F207" s="9" t="n">
        <x:f>IF(G207="利用可",E207,"")</x:f>
        <x:v>24872873</x:v>
      </x:c>
      <x:c r="G207" s="2" t="str">
        <x:v>利用可</x:v>
      </x:c>
      <x:c r="H207" s="9" t="n">
        <x:v>6002</x:v>
      </x:c>
      <x:c r="I207" s="2" t="str"/>
      <x:c r="J207" s="2" t="n">
        <x:v>11</x:v>
      </x:c>
      <x:c r="K207" s="8" t="n">
        <x:v>46294</x:v>
      </x:c>
    </x:row>
    <x:row r="208" ht="22" customHeight="1">
      <x:c r="A208" s="7" t="n">
        <x:v>45839</x:v>
      </x:c>
      <x:c r="B208" s="2" t="str">
        <x:v>84862000619</x:v>
      </x:c>
      <x:c r="C208" s="2" t="str">
        <x:v>848620</x:v>
      </x:c>
      <x:c r="D208" s="2" t="str">
        <x:v>露光装置（ステップ・アンド・リピート）</x:v>
      </x:c>
      <x:c r="E208" s="9" t="n">
        <x:v>9043850</x:v>
      </x:c>
      <x:c r="F208" s="9" t="n">
        <x:f>IF(G208="利用可",E208,"")</x:f>
        <x:v>9043850</x:v>
      </x:c>
      <x:c r="G208" s="2" t="str">
        <x:v>利用可</x:v>
      </x:c>
      <x:c r="H208" s="9" t="n">
        <x:v>4709170</x:v>
      </x:c>
      <x:c r="I208" s="2" t="str"/>
      <x:c r="J208" s="2" t="n">
        <x:v>11</x:v>
      </x:c>
      <x:c r="K208" s="8" t="n">
        <x:v>46294</x:v>
      </x:c>
    </x:row>
    <x:row r="209" ht="22" customHeight="1">
      <x:c r="A209" s="7" t="n">
        <x:v>45870</x:v>
      </x:c>
      <x:c r="B209" s="2" t="str">
        <x:v>84862000619</x:v>
      </x:c>
      <x:c r="C209" s="2" t="str">
        <x:v>848620</x:v>
      </x:c>
      <x:c r="D209" s="2" t="str">
        <x:v>露光装置（ステップ・アンド・リピート）</x:v>
      </x:c>
      <x:c r="E209" s="9" t="n">
        <x:v>12966553</x:v>
      </x:c>
      <x:c r="F209" s="9" t="n">
        <x:f>IF(G209="利用可",E209,"")</x:f>
        <x:v>12966553</x:v>
      </x:c>
      <x:c r="G209" s="2" t="str">
        <x:v>利用可</x:v>
      </x:c>
      <x:c r="H209" s="9"/>
      <x:c r="I209" s="2" t="str"/>
      <x:c r="J209" s="2" t="n">
        <x:v>11</x:v>
      </x:c>
      <x:c r="K209" s="8" t="n">
        <x:v>46294</x:v>
      </x:c>
    </x:row>
    <x:row r="210" ht="22" customHeight="1">
      <x:c r="A210" s="7" t="n">
        <x:v>45901</x:v>
      </x:c>
      <x:c r="B210" s="2" t="str">
        <x:v>84862000619</x:v>
      </x:c>
      <x:c r="C210" s="2" t="str">
        <x:v>848620</x:v>
      </x:c>
      <x:c r="D210" s="2" t="str">
        <x:v>露光装置（ステップ・アンド・リピート）</x:v>
      </x:c>
      <x:c r="E210" s="9" t="n">
        <x:v>2148026</x:v>
      </x:c>
      <x:c r="F210" s="9" t="n">
        <x:f>IF(G210="利用可",E210,"")</x:f>
        <x:v>2148026</x:v>
      </x:c>
      <x:c r="G210" s="2" t="str">
        <x:v>利用可</x:v>
      </x:c>
      <x:c r="H210" s="9" t="n">
        <x:v>4924554</x:v>
      </x:c>
      <x:c r="I210" s="2" t="str"/>
      <x:c r="J210" s="2" t="n">
        <x:v>11</x:v>
      </x:c>
      <x:c r="K210" s="8" t="n">
        <x:v>46294</x:v>
      </x:c>
    </x:row>
    <x:row r="211" ht="22" customHeight="1">
      <x:c r="A211" s="7" t="n">
        <x:v>45931</x:v>
      </x:c>
      <x:c r="B211" s="2" t="str">
        <x:v>84862000619</x:v>
      </x:c>
      <x:c r="C211" s="2" t="str">
        <x:v>848620</x:v>
      </x:c>
      <x:c r="D211" s="2" t="str">
        <x:v>露光装置（ステップ・アンド・リピート）</x:v>
      </x:c>
      <x:c r="E211" s="9" t="n">
        <x:v>6267575</x:v>
      </x:c>
      <x:c r="F211" s="9" t="n">
        <x:f>IF(G211="利用可",E211,"")</x:f>
        <x:v>6267575</x:v>
      </x:c>
      <x:c r="G211" s="2" t="str">
        <x:v>利用可</x:v>
      </x:c>
      <x:c r="H211" s="9" t="n">
        <x:v>19270616</x:v>
      </x:c>
      <x:c r="I211" s="2" t="str"/>
      <x:c r="J211" s="2" t="n">
        <x:v>11</x:v>
      </x:c>
      <x:c r="K211" s="8" t="n">
        <x:v>46294</x:v>
      </x:c>
    </x:row>
    <x:row r="212" ht="22" customHeight="1">
      <x:c r="A212" s="7" t="n">
        <x:v>45962</x:v>
      </x:c>
      <x:c r="B212" s="2" t="str">
        <x:v>84862000619</x:v>
      </x:c>
      <x:c r="C212" s="2" t="str">
        <x:v>848620</x:v>
      </x:c>
      <x:c r="D212" s="2" t="str">
        <x:v>露光装置（ステップ・アンド・リピート）</x:v>
      </x:c>
      <x:c r="E212" s="9" t="n">
        <x:v>44544348</x:v>
      </x:c>
      <x:c r="F212" s="9" t="n">
        <x:f>IF(G212="利用可",E212,"")</x:f>
        <x:v>44544348</x:v>
      </x:c>
      <x:c r="G212" s="2" t="str">
        <x:v>利用可</x:v>
      </x:c>
      <x:c r="H212" s="9" t="n">
        <x:v>16101431</x:v>
      </x:c>
      <x:c r="I212" s="2" t="str"/>
      <x:c r="J212" s="2" t="n">
        <x:v>11</x:v>
      </x:c>
      <x:c r="K212" s="8" t="n">
        <x:v>46294</x:v>
      </x:c>
    </x:row>
    <x:row r="213" ht="22" customHeight="1">
      <x:c r="A213" s="7" t="n">
        <x:v>45992</x:v>
      </x:c>
      <x:c r="B213" s="2" t="str">
        <x:v>84862000619</x:v>
      </x:c>
      <x:c r="C213" s="2" t="str">
        <x:v>848620</x:v>
      </x:c>
      <x:c r="D213" s="2" t="str">
        <x:v>露光装置（ステップ・アンド・リピート）</x:v>
      </x:c>
      <x:c r="E213" s="9" t="n">
        <x:v>36206379</x:v>
      </x:c>
      <x:c r="F213" s="9" t="n">
        <x:f>IF(G213="利用可",E213,"")</x:f>
        <x:v>36206379</x:v>
      </x:c>
      <x:c r="G213" s="2" t="str">
        <x:v>利用可</x:v>
      </x:c>
      <x:c r="H213" s="9" t="n">
        <x:v>16997506</x:v>
      </x:c>
      <x:c r="I213" s="2" t="str"/>
      <x:c r="J213" s="2" t="n">
        <x:v>11</x:v>
      </x:c>
      <x:c r="K213" s="8" t="n">
        <x:v>46294</x:v>
      </x:c>
    </x:row>
    <x:row r="214" ht="22" customHeight="1">
      <x:c r="A214" s="7" t="n">
        <x:v>46023</x:v>
      </x:c>
      <x:c r="B214" s="2" t="str">
        <x:v>84862000619</x:v>
      </x:c>
      <x:c r="C214" s="2" t="str">
        <x:v>848620</x:v>
      </x:c>
      <x:c r="D214" s="2" t="str">
        <x:v>露光装置（ステップ・アンド・リピート）</x:v>
      </x:c>
      <x:c r="E214" s="9" t="n">
        <x:v>4535839</x:v>
      </x:c>
      <x:c r="F214" s="9" t="n">
        <x:f>IF(G214="利用可",E214,"")</x:f>
        <x:v>4535839</x:v>
      </x:c>
      <x:c r="G214" s="2" t="str">
        <x:v>利用可</x:v>
      </x:c>
      <x:c r="H214" s="9" t="n">
        <x:v>11508696</x:v>
      </x:c>
      <x:c r="I214" s="2" t="str"/>
      <x:c r="J214" s="2" t="n">
        <x:v>11</x:v>
      </x:c>
      <x:c r="K214" s="8" t="n">
        <x:v>46294</x:v>
      </x:c>
    </x:row>
    <x:row r="215" ht="22" customHeight="1">
      <x:c r="A215" s="7" t="n">
        <x:v>46054</x:v>
      </x:c>
      <x:c r="B215" s="2" t="str">
        <x:v>84862000619</x:v>
      </x:c>
      <x:c r="C215" s="2" t="str">
        <x:v>848620</x:v>
      </x:c>
      <x:c r="D215" s="2" t="str">
        <x:v>露光装置（ステップ・アンド・リピート）</x:v>
      </x:c>
      <x:c r="E215" s="9" t="n">
        <x:v>20707825</x:v>
      </x:c>
      <x:c r="F215" s="9" t="n">
        <x:f>IF(G215="利用可",E215,"")</x:f>
        <x:v>20707825</x:v>
      </x:c>
      <x:c r="G215" s="2" t="str">
        <x:v>利用可</x:v>
      </x:c>
      <x:c r="H215" s="9" t="n">
        <x:v>7199482</x:v>
      </x:c>
      <x:c r="I215" s="2" t="str"/>
      <x:c r="J215" s="2" t="n">
        <x:v>11</x:v>
      </x:c>
      <x:c r="K215" s="8" t="n">
        <x:v>46294</x:v>
      </x:c>
    </x:row>
    <x:row r="216" ht="22" customHeight="1">
      <x:c r="A216" s="7" t="n">
        <x:v>46082</x:v>
      </x:c>
      <x:c r="B216" s="2" t="str">
        <x:v>84862000619</x:v>
      </x:c>
      <x:c r="C216" s="2" t="str">
        <x:v>848620</x:v>
      </x:c>
      <x:c r="D216" s="2" t="str">
        <x:v>露光装置（ステップ・アンド・リピート）</x:v>
      </x:c>
      <x:c r="E216" s="9" t="n">
        <x:v>25872822</x:v>
      </x:c>
      <x:c r="F216" s="9" t="n">
        <x:f>IF(G216="利用可",E216,"")</x:f>
        <x:v>25872822</x:v>
      </x:c>
      <x:c r="G216" s="2" t="str">
        <x:v>利用可</x:v>
      </x:c>
      <x:c r="H216" s="9" t="n">
        <x:v>13383109</x:v>
      </x:c>
      <x:c r="I216" s="2" t="str"/>
      <x:c r="J216" s="2" t="n">
        <x:v>11</x:v>
      </x:c>
      <x:c r="K216" s="8" t="n">
        <x:v>46294</x:v>
      </x:c>
    </x:row>
    <x:row r="217" ht="22" customHeight="1">
      <x:c r="A217" s="7" t="n">
        <x:v>46113</x:v>
      </x:c>
      <x:c r="B217" s="2" t="str">
        <x:v>84862000619</x:v>
      </x:c>
      <x:c r="C217" s="2" t="str">
        <x:v>848620</x:v>
      </x:c>
      <x:c r="D217" s="2" t="str">
        <x:v>露光装置（ステップ・アンド・リピート）</x:v>
      </x:c>
      <x:c r="E217" s="9" t="n">
        <x:v>18186971</x:v>
      </x:c>
      <x:c r="F217" s="9" t="n">
        <x:f>IF(G217="利用可",E217,"")</x:f>
        <x:v>18186971</x:v>
      </x:c>
      <x:c r="G217" s="2" t="str">
        <x:v>利用可</x:v>
      </x:c>
      <x:c r="H217" s="9" t="n">
        <x:v>8078717</x:v>
      </x:c>
      <x:c r="I217" s="2" t="str"/>
      <x:c r="J217" s="2" t="n">
        <x:v>11</x:v>
      </x:c>
      <x:c r="K217" s="8" t="n">
        <x:v>46294</x:v>
      </x:c>
    </x:row>
    <x:row r="218" ht="22" customHeight="1">
      <x:c r="A218" s="7" t="n">
        <x:v>46143</x:v>
      </x:c>
      <x:c r="B218" s="2" t="str">
        <x:v>84862000619</x:v>
      </x:c>
      <x:c r="C218" s="2" t="str">
        <x:v>848620</x:v>
      </x:c>
      <x:c r="D218" s="2" t="str">
        <x:v>露光装置（ステップ・アンド・リピート）</x:v>
      </x:c>
      <x:c r="E218" s="9" t="n">
        <x:v>13598447</x:v>
      </x:c>
      <x:c r="F218" s="9" t="n">
        <x:f>IF(G218="利用可",E218,"")</x:f>
        <x:v>13598447</x:v>
      </x:c>
      <x:c r="G218" s="2" t="str">
        <x:v>利用可</x:v>
      </x:c>
      <x:c r="H218" s="9" t="n">
        <x:v>17946075</x:v>
      </x:c>
      <x:c r="I218" s="2" t="str"/>
      <x:c r="J218" s="2" t="n">
        <x:v>11</x:v>
      </x:c>
      <x:c r="K218" s="8" t="n">
        <x:v>46294</x:v>
      </x:c>
    </x:row>
    <x:row r="219" ht="22" customHeight="1">
      <x:c r="A219" s="7" t="n">
        <x:v>46174</x:v>
      </x:c>
      <x:c r="B219" s="2" t="str">
        <x:v>84862000619</x:v>
      </x:c>
      <x:c r="C219" s="2" t="str">
        <x:v>848620</x:v>
      </x:c>
      <x:c r="D219" s="2" t="str">
        <x:v>露光装置（ステップ・アンド・リピート）</x:v>
      </x:c>
      <x:c r="E219" s="9" t="n">
        <x:v>11151111</x:v>
      </x:c>
      <x:c r="F219" s="9" t="n">
        <x:f>IF(G219="利用可",E219,"")</x:f>
        <x:v>11151111</x:v>
      </x:c>
      <x:c r="G219" s="2" t="str">
        <x:v>利用可</x:v>
      </x:c>
      <x:c r="H219" s="9" t="n">
        <x:v>24872873</x:v>
      </x:c>
      <x:c r="I219" s="2" t="str"/>
      <x:c r="J219" s="2" t="n">
        <x:v>11</x:v>
      </x:c>
      <x:c r="K219" s="8" t="n">
        <x:v>46294</x:v>
      </x:c>
    </x:row>
    <x:row r="220" ht="22" customHeight="1">
      <x:c r="A220" s="7" t="n">
        <x:v>46204</x:v>
      </x:c>
      <x:c r="B220" s="2" t="str">
        <x:v>84862000619</x:v>
      </x:c>
      <x:c r="C220" s="2" t="str">
        <x:v>848620</x:v>
      </x:c>
      <x:c r="D220" s="2" t="str">
        <x:v>露光装置（ステップ・アンド・リピート）</x:v>
      </x:c>
      <x:c r="E220" s="9" t="n">
        <x:v>4550907</x:v>
      </x:c>
      <x:c r="F220" s="9" t="n">
        <x:f>IF(G220="利用可",E220,"")</x:f>
        <x:v>4550907</x:v>
      </x:c>
      <x:c r="G220" s="2" t="str">
        <x:v>利用可</x:v>
      </x:c>
      <x:c r="H220" s="9" t="n">
        <x:v>9043850</x:v>
      </x:c>
      <x:c r="I220" s="2" t="str"/>
      <x:c r="J220" s="2" t="n">
        <x:v>11</x:v>
      </x:c>
      <x:c r="K220" s="8" t="n">
        <x:v>46294</x:v>
      </x:c>
    </x:row>
    <x:row r="221" ht="22" customHeight="1">
      <x:c r="A221" s="7" t="n">
        <x:v>46235</x:v>
      </x:c>
      <x:c r="B221" s="2" t="str">
        <x:v>84862000619</x:v>
      </x:c>
      <x:c r="C221" s="2" t="str">
        <x:v>848620</x:v>
      </x:c>
      <x:c r="D221" s="2" t="str">
        <x:v>露光装置（ステップ・アンド・リピート）</x:v>
      </x:c>
      <x:c r="E221" s="9" t="n">
        <x:v>20050419</x:v>
      </x:c>
      <x:c r="F221" s="9" t="n">
        <x:f>IF(G221="利用可",E221,"")</x:f>
        <x:v>20050419</x:v>
      </x:c>
      <x:c r="G221" s="2" t="str">
        <x:v>利用可</x:v>
      </x:c>
      <x:c r="H221" s="9" t="n">
        <x:v>12966553</x:v>
      </x:c>
      <x:c r="I221" s="2" t="str"/>
      <x:c r="J221" s="2" t="n">
        <x:v>11</x:v>
      </x:c>
      <x:c r="K221" s="8" t="n">
        <x:v>46294</x:v>
      </x:c>
    </x:row>
    <x:row r="222" ht="22" customHeight="1">
      <x:c r="A222" s="7" t="n">
        <x:v>44927</x:v>
      </x:c>
      <x:c r="B222" s="2" t="str">
        <x:v>84862000735</x:v>
      </x:c>
      <x:c r="C222" s="2" t="str">
        <x:v>848620</x:v>
      </x:c>
      <x:c r="D222" s="2" t="str">
        <x:v>フォトレジスト塗布装置</x:v>
      </x:c>
      <x:c r="E222" s="9" t="n">
        <x:v>89711766</x:v>
      </x:c>
      <x:c r="F222" s="9" t="n">
        <x:f>IF(G222="利用可",E222,"")</x:f>
        <x:v>89711766</x:v>
      </x:c>
      <x:c r="G222" s="2" t="str">
        <x:v>利用可</x:v>
      </x:c>
      <x:c r="H222" s="9" t="n">
        <x:v>13754322</x:v>
      </x:c>
      <x:c r="I222" s="2" t="str"/>
      <x:c r="J222" s="2" t="n">
        <x:v>11</x:v>
      </x:c>
      <x:c r="K222" s="8" t="n">
        <x:v>46294</x:v>
      </x:c>
    </x:row>
    <x:row r="223" ht="22" customHeight="1">
      <x:c r="A223" s="7" t="n">
        <x:v>44958</x:v>
      </x:c>
      <x:c r="B223" s="2" t="str">
        <x:v>84862000735</x:v>
      </x:c>
      <x:c r="C223" s="2" t="str">
        <x:v>848620</x:v>
      </x:c>
      <x:c r="D223" s="2" t="str">
        <x:v>フォトレジスト塗布装置</x:v>
      </x:c>
      <x:c r="E223" s="9" t="n">
        <x:v>89791125</x:v>
      </x:c>
      <x:c r="F223" s="9" t="n">
        <x:f>IF(G223="利用可",E223,"")</x:f>
        <x:v>89791125</x:v>
      </x:c>
      <x:c r="G223" s="2" t="str">
        <x:v>利用可</x:v>
      </x:c>
      <x:c r="H223" s="9" t="n">
        <x:v>48486121</x:v>
      </x:c>
      <x:c r="I223" s="2" t="str"/>
      <x:c r="J223" s="2" t="n">
        <x:v>11</x:v>
      </x:c>
      <x:c r="K223" s="8" t="n">
        <x:v>46294</x:v>
      </x:c>
    </x:row>
    <x:row r="224" ht="22" customHeight="1">
      <x:c r="A224" s="7" t="n">
        <x:v>44986</x:v>
      </x:c>
      <x:c r="B224" s="2" t="str">
        <x:v>84862000735</x:v>
      </x:c>
      <x:c r="C224" s="2" t="str">
        <x:v>848620</x:v>
      </x:c>
      <x:c r="D224" s="2" t="str">
        <x:v>フォトレジスト塗布装置</x:v>
      </x:c>
      <x:c r="E224" s="9" t="n">
        <x:v>69012169</x:v>
      </x:c>
      <x:c r="F224" s="9" t="n">
        <x:f>IF(G224="利用可",E224,"")</x:f>
        <x:v>69012169</x:v>
      </x:c>
      <x:c r="G224" s="2" t="str">
        <x:v>利用可</x:v>
      </x:c>
      <x:c r="H224" s="9" t="n">
        <x:v>65395576</x:v>
      </x:c>
      <x:c r="I224" s="2" t="str"/>
      <x:c r="J224" s="2" t="n">
        <x:v>11</x:v>
      </x:c>
      <x:c r="K224" s="8" t="n">
        <x:v>46294</x:v>
      </x:c>
    </x:row>
    <x:row r="225" ht="22" customHeight="1">
      <x:c r="A225" s="7" t="n">
        <x:v>45017</x:v>
      </x:c>
      <x:c r="B225" s="2" t="str">
        <x:v>84862000735</x:v>
      </x:c>
      <x:c r="C225" s="2" t="str">
        <x:v>848620</x:v>
      </x:c>
      <x:c r="D225" s="2" t="str">
        <x:v>フォトレジスト塗布装置</x:v>
      </x:c>
      <x:c r="E225" s="9" t="n">
        <x:v>30953845</x:v>
      </x:c>
      <x:c r="F225" s="9" t="n">
        <x:f>IF(G225="利用可",E225,"")</x:f>
        <x:v>30953845</x:v>
      </x:c>
      <x:c r="G225" s="2" t="str">
        <x:v>利用可</x:v>
      </x:c>
      <x:c r="H225" s="9" t="n">
        <x:v>79404759</x:v>
      </x:c>
      <x:c r="I225" s="2" t="str"/>
      <x:c r="J225" s="2" t="n">
        <x:v>11</x:v>
      </x:c>
      <x:c r="K225" s="8" t="n">
        <x:v>46294</x:v>
      </x:c>
    </x:row>
    <x:row r="226" ht="22" customHeight="1">
      <x:c r="A226" s="7" t="n">
        <x:v>45047</x:v>
      </x:c>
      <x:c r="B226" s="2" t="str">
        <x:v>84862000735</x:v>
      </x:c>
      <x:c r="C226" s="2" t="str">
        <x:v>848620</x:v>
      </x:c>
      <x:c r="D226" s="2" t="str">
        <x:v>フォトレジスト塗布装置</x:v>
      </x:c>
      <x:c r="E226" s="9" t="n">
        <x:v>88930447</x:v>
      </x:c>
      <x:c r="F226" s="9" t="n">
        <x:f>IF(G226="利用可",E226,"")</x:f>
        <x:v>88930447</x:v>
      </x:c>
      <x:c r="G226" s="2" t="str">
        <x:v>利用可</x:v>
      </x:c>
      <x:c r="H226" s="9" t="n">
        <x:v>89922700</x:v>
      </x:c>
      <x:c r="I226" s="2" t="str"/>
      <x:c r="J226" s="2" t="n">
        <x:v>11</x:v>
      </x:c>
      <x:c r="K226" s="8" t="n">
        <x:v>46294</x:v>
      </x:c>
    </x:row>
    <x:row r="227" ht="22" customHeight="1">
      <x:c r="A227" s="7" t="n">
        <x:v>45078</x:v>
      </x:c>
      <x:c r="B227" s="2" t="str">
        <x:v>84862000735</x:v>
      </x:c>
      <x:c r="C227" s="2" t="str">
        <x:v>848620</x:v>
      </x:c>
      <x:c r="D227" s="2" t="str">
        <x:v>フォトレジスト塗布装置</x:v>
      </x:c>
      <x:c r="E227" s="9" t="n">
        <x:v>12217930</x:v>
      </x:c>
      <x:c r="F227" s="9" t="n">
        <x:f>IF(G227="利用可",E227,"")</x:f>
        <x:v>12217930</x:v>
      </x:c>
      <x:c r="G227" s="2" t="str">
        <x:v>利用可</x:v>
      </x:c>
      <x:c r="H227" s="9" t="n">
        <x:v>52595668</x:v>
      </x:c>
      <x:c r="I227" s="2" t="str"/>
      <x:c r="J227" s="2" t="n">
        <x:v>11</x:v>
      </x:c>
      <x:c r="K227" s="8" t="n">
        <x:v>46294</x:v>
      </x:c>
    </x:row>
    <x:row r="228" ht="22" customHeight="1">
      <x:c r="A228" s="7" t="n">
        <x:v>45108</x:v>
      </x:c>
      <x:c r="B228" s="2" t="str">
        <x:v>84862000735</x:v>
      </x:c>
      <x:c r="C228" s="2" t="str">
        <x:v>848620</x:v>
      </x:c>
      <x:c r="D228" s="2" t="str">
        <x:v>フォトレジスト塗布装置</x:v>
      </x:c>
      <x:c r="E228" s="9" t="n">
        <x:v>40411427</x:v>
      </x:c>
      <x:c r="F228" s="9" t="n">
        <x:f>IF(G228="利用可",E228,"")</x:f>
        <x:v>40411427</x:v>
      </x:c>
      <x:c r="G228" s="2" t="str">
        <x:v>利用可</x:v>
      </x:c>
      <x:c r="H228" s="9" t="n">
        <x:v>62092789</x:v>
      </x:c>
      <x:c r="I228" s="2" t="str"/>
      <x:c r="J228" s="2" t="n">
        <x:v>11</x:v>
      </x:c>
      <x:c r="K228" s="8" t="n">
        <x:v>46294</x:v>
      </x:c>
    </x:row>
    <x:row r="229" ht="22" customHeight="1">
      <x:c r="A229" s="7" t="n">
        <x:v>45139</x:v>
      </x:c>
      <x:c r="B229" s="2" t="str">
        <x:v>84862000735</x:v>
      </x:c>
      <x:c r="C229" s="2" t="str">
        <x:v>848620</x:v>
      </x:c>
      <x:c r="D229" s="2" t="str">
        <x:v>フォトレジスト塗布装置</x:v>
      </x:c>
      <x:c r="E229" s="9" t="n">
        <x:v>11962928</x:v>
      </x:c>
      <x:c r="F229" s="9" t="n">
        <x:f>IF(G229="利用可",E229,"")</x:f>
        <x:v>11962928</x:v>
      </x:c>
      <x:c r="G229" s="2" t="str">
        <x:v>利用可</x:v>
      </x:c>
      <x:c r="H229" s="9" t="n">
        <x:v>111636996</x:v>
      </x:c>
      <x:c r="I229" s="2" t="str"/>
      <x:c r="J229" s="2" t="n">
        <x:v>11</x:v>
      </x:c>
      <x:c r="K229" s="8" t="n">
        <x:v>46294</x:v>
      </x:c>
    </x:row>
    <x:row r="230" ht="22" customHeight="1">
      <x:c r="A230" s="7" t="n">
        <x:v>45170</x:v>
      </x:c>
      <x:c r="B230" s="2" t="str">
        <x:v>84862000735</x:v>
      </x:c>
      <x:c r="C230" s="2" t="str">
        <x:v>848620</x:v>
      </x:c>
      <x:c r="D230" s="2" t="str">
        <x:v>フォトレジスト塗布装置</x:v>
      </x:c>
      <x:c r="E230" s="9" t="n">
        <x:v>9288428</x:v>
      </x:c>
      <x:c r="F230" s="9" t="n">
        <x:f>IF(G230="利用可",E230,"")</x:f>
        <x:v>9288428</x:v>
      </x:c>
      <x:c r="G230" s="2" t="str">
        <x:v>利用可</x:v>
      </x:c>
      <x:c r="H230" s="9" t="n">
        <x:v>63968089</x:v>
      </x:c>
      <x:c r="I230" s="2" t="str"/>
      <x:c r="J230" s="2" t="n">
        <x:v>11</x:v>
      </x:c>
      <x:c r="K230" s="8" t="n">
        <x:v>46294</x:v>
      </x:c>
    </x:row>
    <x:row r="231" ht="22" customHeight="1">
      <x:c r="A231" s="7" t="n">
        <x:v>45200</x:v>
      </x:c>
      <x:c r="B231" s="2" t="str">
        <x:v>84862000735</x:v>
      </x:c>
      <x:c r="C231" s="2" t="str">
        <x:v>848620</x:v>
      </x:c>
      <x:c r="D231" s="2" t="str">
        <x:v>フォトレジスト塗布装置</x:v>
      </x:c>
      <x:c r="E231" s="9" t="n">
        <x:v>40418962</x:v>
      </x:c>
      <x:c r="F231" s="9" t="n">
        <x:f>IF(G231="利用可",E231,"")</x:f>
        <x:v>40418962</x:v>
      </x:c>
      <x:c r="G231" s="2" t="str">
        <x:v>利用可</x:v>
      </x:c>
      <x:c r="H231" s="9" t="n">
        <x:v>111527878</x:v>
      </x:c>
      <x:c r="I231" s="2" t="str"/>
      <x:c r="J231" s="2" t="n">
        <x:v>11</x:v>
      </x:c>
      <x:c r="K231" s="8" t="n">
        <x:v>46294</x:v>
      </x:c>
    </x:row>
    <x:row r="232" ht="22" customHeight="1">
      <x:c r="A232" s="7" t="n">
        <x:v>45231</x:v>
      </x:c>
      <x:c r="B232" s="2" t="str">
        <x:v>84862000735</x:v>
      </x:c>
      <x:c r="C232" s="2" t="str">
        <x:v>848620</x:v>
      </x:c>
      <x:c r="D232" s="2" t="str">
        <x:v>フォトレジスト塗布装置</x:v>
      </x:c>
      <x:c r="E232" s="9" t="n">
        <x:v>4705023</x:v>
      </x:c>
      <x:c r="F232" s="9" t="n">
        <x:f>IF(G232="利用可",E232,"")</x:f>
        <x:v>4705023</x:v>
      </x:c>
      <x:c r="G232" s="2" t="str">
        <x:v>利用可</x:v>
      </x:c>
      <x:c r="H232" s="9" t="n">
        <x:v>143224326</x:v>
      </x:c>
      <x:c r="I232" s="2" t="str"/>
      <x:c r="J232" s="2" t="n">
        <x:v>11</x:v>
      </x:c>
      <x:c r="K232" s="8" t="n">
        <x:v>46294</x:v>
      </x:c>
    </x:row>
    <x:row r="233" ht="22" customHeight="1">
      <x:c r="A233" s="7" t="n">
        <x:v>45261</x:v>
      </x:c>
      <x:c r="B233" s="2" t="str">
        <x:v>84862000735</x:v>
      </x:c>
      <x:c r="C233" s="2" t="str">
        <x:v>848620</x:v>
      </x:c>
      <x:c r="D233" s="2" t="str">
        <x:v>フォトレジスト塗布装置</x:v>
      </x:c>
      <x:c r="E233" s="9" t="n">
        <x:v>18600031</x:v>
      </x:c>
      <x:c r="F233" s="9" t="n">
        <x:f>IF(G233="利用可",E233,"")</x:f>
        <x:v>18600031</x:v>
      </x:c>
      <x:c r="G233" s="2" t="str">
        <x:v>利用可</x:v>
      </x:c>
      <x:c r="H233" s="9" t="n">
        <x:v>107858432</x:v>
      </x:c>
      <x:c r="I233" s="2" t="str"/>
      <x:c r="J233" s="2" t="n">
        <x:v>11</x:v>
      </x:c>
      <x:c r="K233" s="8" t="n">
        <x:v>46294</x:v>
      </x:c>
    </x:row>
    <x:row r="234" ht="22" customHeight="1">
      <x:c r="A234" s="7" t="n">
        <x:v>45292</x:v>
      </x:c>
      <x:c r="B234" s="2" t="str">
        <x:v>84862000735</x:v>
      </x:c>
      <x:c r="C234" s="2" t="str">
        <x:v>848620</x:v>
      </x:c>
      <x:c r="D234" s="2" t="str">
        <x:v>フォトレジスト塗布装置</x:v>
      </x:c>
      <x:c r="E234" s="9" t="n">
        <x:v>32494538</x:v>
      </x:c>
      <x:c r="F234" s="9" t="n">
        <x:f>IF(G234="利用可",E234,"")</x:f>
        <x:v>32494538</x:v>
      </x:c>
      <x:c r="G234" s="2" t="str">
        <x:v>利用可</x:v>
      </x:c>
      <x:c r="H234" s="9" t="n">
        <x:v>89711766</x:v>
      </x:c>
      <x:c r="I234" s="2" t="str"/>
      <x:c r="J234" s="2" t="n">
        <x:v>11</x:v>
      </x:c>
      <x:c r="K234" s="8" t="n">
        <x:v>46294</x:v>
      </x:c>
    </x:row>
    <x:row r="235" ht="22" customHeight="1">
      <x:c r="A235" s="7" t="n">
        <x:v>45323</x:v>
      </x:c>
      <x:c r="B235" s="2" t="str">
        <x:v>84862000735</x:v>
      </x:c>
      <x:c r="C235" s="2" t="str">
        <x:v>848620</x:v>
      </x:c>
      <x:c r="D235" s="2" t="str">
        <x:v>フォトレジスト塗布装置</x:v>
      </x:c>
      <x:c r="E235" s="9" t="n">
        <x:v>4175677</x:v>
      </x:c>
      <x:c r="F235" s="9" t="n">
        <x:f>IF(G235="利用可",E235,"")</x:f>
        <x:v>4175677</x:v>
      </x:c>
      <x:c r="G235" s="2" t="str">
        <x:v>利用可</x:v>
      </x:c>
      <x:c r="H235" s="9" t="n">
        <x:v>89791125</x:v>
      </x:c>
      <x:c r="I235" s="2" t="str"/>
      <x:c r="J235" s="2" t="n">
        <x:v>11</x:v>
      </x:c>
      <x:c r="K235" s="8" t="n">
        <x:v>46294</x:v>
      </x:c>
    </x:row>
    <x:row r="236" ht="22" customHeight="1">
      <x:c r="A236" s="7" t="n">
        <x:v>45352</x:v>
      </x:c>
      <x:c r="B236" s="2" t="str">
        <x:v>84862000735</x:v>
      </x:c>
      <x:c r="C236" s="2" t="str">
        <x:v>848620</x:v>
      </x:c>
      <x:c r="D236" s="2" t="str">
        <x:v>フォトレジスト塗布装置</x:v>
      </x:c>
      <x:c r="E236" s="9" t="n">
        <x:v>6710231</x:v>
      </x:c>
      <x:c r="F236" s="9" t="n">
        <x:f>IF(G236="利用可",E236,"")</x:f>
        <x:v>6710231</x:v>
      </x:c>
      <x:c r="G236" s="2" t="str">
        <x:v>利用可</x:v>
      </x:c>
      <x:c r="H236" s="9" t="n">
        <x:v>69012169</x:v>
      </x:c>
      <x:c r="I236" s="2" t="str"/>
      <x:c r="J236" s="2" t="n">
        <x:v>11</x:v>
      </x:c>
      <x:c r="K236" s="8" t="n">
        <x:v>46294</x:v>
      </x:c>
    </x:row>
    <x:row r="237" ht="22" customHeight="1">
      <x:c r="A237" s="7" t="n">
        <x:v>45383</x:v>
      </x:c>
      <x:c r="B237" s="2" t="str">
        <x:v>84862000735</x:v>
      </x:c>
      <x:c r="C237" s="2" t="str">
        <x:v>848620</x:v>
      </x:c>
      <x:c r="D237" s="2" t="str">
        <x:v>フォトレジスト塗布装置</x:v>
      </x:c>
      <x:c r="E237" s="9" t="n">
        <x:v>44073021</x:v>
      </x:c>
      <x:c r="F237" s="9" t="n">
        <x:f>IF(G237="利用可",E237,"")</x:f>
        <x:v>44073021</x:v>
      </x:c>
      <x:c r="G237" s="2" t="str">
        <x:v>利用可</x:v>
      </x:c>
      <x:c r="H237" s="9" t="n">
        <x:v>30953845</x:v>
      </x:c>
      <x:c r="I237" s="2" t="str"/>
      <x:c r="J237" s="2" t="n">
        <x:v>11</x:v>
      </x:c>
      <x:c r="K237" s="8" t="n">
        <x:v>46294</x:v>
      </x:c>
    </x:row>
    <x:row r="238" ht="22" customHeight="1">
      <x:c r="A238" s="7" t="n">
        <x:v>45413</x:v>
      </x:c>
      <x:c r="B238" s="2" t="str">
        <x:v>84862000735</x:v>
      </x:c>
      <x:c r="C238" s="2" t="str">
        <x:v>848620</x:v>
      </x:c>
      <x:c r="D238" s="2" t="str">
        <x:v>フォトレジスト塗布装置</x:v>
      </x:c>
      <x:c r="E238" s="9" t="n">
        <x:v>3635688</x:v>
      </x:c>
      <x:c r="F238" s="9" t="n">
        <x:f>IF(G238="利用可",E238,"")</x:f>
        <x:v>3635688</x:v>
      </x:c>
      <x:c r="G238" s="2" t="str">
        <x:v>利用可</x:v>
      </x:c>
      <x:c r="H238" s="9" t="n">
        <x:v>88930447</x:v>
      </x:c>
      <x:c r="I238" s="2" t="str"/>
      <x:c r="J238" s="2" t="n">
        <x:v>11</x:v>
      </x:c>
      <x:c r="K238" s="8" t="n">
        <x:v>46294</x:v>
      </x:c>
    </x:row>
    <x:row r="239" ht="22" customHeight="1">
      <x:c r="A239" s="7" t="n">
        <x:v>45444</x:v>
      </x:c>
      <x:c r="B239" s="2" t="str">
        <x:v>84862000735</x:v>
      </x:c>
      <x:c r="C239" s="2" t="str">
        <x:v>848620</x:v>
      </x:c>
      <x:c r="D239" s="2" t="str">
        <x:v>フォトレジスト塗布装置</x:v>
      </x:c>
      <x:c r="E239" s="9" t="n">
        <x:v>44987994</x:v>
      </x:c>
      <x:c r="F239" s="9" t="n">
        <x:f>IF(G239="利用可",E239,"")</x:f>
        <x:v>44987994</x:v>
      </x:c>
      <x:c r="G239" s="2" t="str">
        <x:v>利用可</x:v>
      </x:c>
      <x:c r="H239" s="9" t="n">
        <x:v>12217930</x:v>
      </x:c>
      <x:c r="I239" s="2" t="str"/>
      <x:c r="J239" s="2" t="n">
        <x:v>11</x:v>
      </x:c>
      <x:c r="K239" s="8" t="n">
        <x:v>46294</x:v>
      </x:c>
    </x:row>
    <x:row r="240" ht="22" customHeight="1">
      <x:c r="A240" s="7" t="n">
        <x:v>45474</x:v>
      </x:c>
      <x:c r="B240" s="2" t="str">
        <x:v>84862000735</x:v>
      </x:c>
      <x:c r="C240" s="2" t="str">
        <x:v>848620</x:v>
      </x:c>
      <x:c r="D240" s="2" t="str">
        <x:v>フォトレジスト塗布装置</x:v>
      </x:c>
      <x:c r="E240" s="9" t="n">
        <x:v>55221446</x:v>
      </x:c>
      <x:c r="F240" s="9" t="n">
        <x:f>IF(G240="利用可",E240,"")</x:f>
        <x:v>55221446</x:v>
      </x:c>
      <x:c r="G240" s="2" t="str">
        <x:v>利用可</x:v>
      </x:c>
      <x:c r="H240" s="9" t="n">
        <x:v>40411427</x:v>
      </x:c>
      <x:c r="I240" s="2" t="str"/>
      <x:c r="J240" s="2" t="n">
        <x:v>11</x:v>
      </x:c>
      <x:c r="K240" s="8" t="n">
        <x:v>46294</x:v>
      </x:c>
    </x:row>
    <x:row r="241" ht="22" customHeight="1">
      <x:c r="A241" s="7" t="n">
        <x:v>45505</x:v>
      </x:c>
      <x:c r="B241" s="2" t="str">
        <x:v>84862000735</x:v>
      </x:c>
      <x:c r="C241" s="2" t="str">
        <x:v>848620</x:v>
      </x:c>
      <x:c r="D241" s="2" t="str">
        <x:v>フォトレジスト塗布装置</x:v>
      </x:c>
      <x:c r="E241" s="9" t="n">
        <x:v>26667383</x:v>
      </x:c>
      <x:c r="F241" s="9" t="n">
        <x:f>IF(G241="利用可",E241,"")</x:f>
        <x:v>26667383</x:v>
      </x:c>
      <x:c r="G241" s="2" t="str">
        <x:v>利用可</x:v>
      </x:c>
      <x:c r="H241" s="9" t="n">
        <x:v>11962928</x:v>
      </x:c>
      <x:c r="I241" s="2" t="str"/>
      <x:c r="J241" s="2" t="n">
        <x:v>11</x:v>
      </x:c>
      <x:c r="K241" s="8" t="n">
        <x:v>46294</x:v>
      </x:c>
    </x:row>
    <x:row r="242" ht="22" customHeight="1">
      <x:c r="A242" s="7" t="n">
        <x:v>45536</x:v>
      </x:c>
      <x:c r="B242" s="2" t="str">
        <x:v>84862000735</x:v>
      </x:c>
      <x:c r="C242" s="2" t="str">
        <x:v>848620</x:v>
      </x:c>
      <x:c r="D242" s="2" t="str">
        <x:v>フォトレジスト塗布装置</x:v>
      </x:c>
      <x:c r="E242" s="9" t="n">
        <x:v>52722116</x:v>
      </x:c>
      <x:c r="F242" s="9" t="n">
        <x:f>IF(G242="利用可",E242,"")</x:f>
        <x:v>52722116</x:v>
      </x:c>
      <x:c r="G242" s="2" t="str">
        <x:v>利用可</x:v>
      </x:c>
      <x:c r="H242" s="9" t="n">
        <x:v>9288428</x:v>
      </x:c>
      <x:c r="I242" s="2" t="str"/>
      <x:c r="J242" s="2" t="n">
        <x:v>11</x:v>
      </x:c>
      <x:c r="K242" s="8" t="n">
        <x:v>46294</x:v>
      </x:c>
    </x:row>
    <x:row r="243" ht="22" customHeight="1">
      <x:c r="A243" s="7" t="n">
        <x:v>45566</x:v>
      </x:c>
      <x:c r="B243" s="2" t="str">
        <x:v>84862000735</x:v>
      </x:c>
      <x:c r="C243" s="2" t="str">
        <x:v>848620</x:v>
      </x:c>
      <x:c r="D243" s="2" t="str">
        <x:v>フォトレジスト塗布装置</x:v>
      </x:c>
      <x:c r="E243" s="9" t="n">
        <x:v>40304531</x:v>
      </x:c>
      <x:c r="F243" s="9" t="n">
        <x:f>IF(G243="利用可",E243,"")</x:f>
        <x:v>40304531</x:v>
      </x:c>
      <x:c r="G243" s="2" t="str">
        <x:v>利用可</x:v>
      </x:c>
      <x:c r="H243" s="9" t="n">
        <x:v>40418962</x:v>
      </x:c>
      <x:c r="I243" s="2" t="str"/>
      <x:c r="J243" s="2" t="n">
        <x:v>11</x:v>
      </x:c>
      <x:c r="K243" s="8" t="n">
        <x:v>46294</x:v>
      </x:c>
    </x:row>
    <x:row r="244" ht="22" customHeight="1">
      <x:c r="A244" s="7" t="n">
        <x:v>45597</x:v>
      </x:c>
      <x:c r="B244" s="2" t="str">
        <x:v>84862000735</x:v>
      </x:c>
      <x:c r="C244" s="2" t="str">
        <x:v>848620</x:v>
      </x:c>
      <x:c r="D244" s="2" t="str">
        <x:v>フォトレジスト塗布装置</x:v>
      </x:c>
      <x:c r="E244" s="9" t="n">
        <x:v>38581381</x:v>
      </x:c>
      <x:c r="F244" s="9" t="n">
        <x:f>IF(G244="利用可",E244,"")</x:f>
        <x:v>38581381</x:v>
      </x:c>
      <x:c r="G244" s="2" t="str">
        <x:v>利用可</x:v>
      </x:c>
      <x:c r="H244" s="9" t="n">
        <x:v>4705023</x:v>
      </x:c>
      <x:c r="I244" s="2" t="str"/>
      <x:c r="J244" s="2" t="n">
        <x:v>11</x:v>
      </x:c>
      <x:c r="K244" s="8" t="n">
        <x:v>46294</x:v>
      </x:c>
    </x:row>
    <x:row r="245" ht="22" customHeight="1">
      <x:c r="A245" s="7" t="n">
        <x:v>45627</x:v>
      </x:c>
      <x:c r="B245" s="2" t="str">
        <x:v>84862000735</x:v>
      </x:c>
      <x:c r="C245" s="2" t="str">
        <x:v>848620</x:v>
      </x:c>
      <x:c r="D245" s="2" t="str">
        <x:v>フォトレジスト塗布装置</x:v>
      </x:c>
      <x:c r="E245" s="9" t="n">
        <x:v>93294764</x:v>
      </x:c>
      <x:c r="F245" s="9" t="n">
        <x:f>IF(G245="利用可",E245,"")</x:f>
        <x:v>93294764</x:v>
      </x:c>
      <x:c r="G245" s="2" t="str">
        <x:v>利用可</x:v>
      </x:c>
      <x:c r="H245" s="9" t="n">
        <x:v>18600031</x:v>
      </x:c>
      <x:c r="I245" s="2" t="str"/>
      <x:c r="J245" s="2" t="n">
        <x:v>11</x:v>
      </x:c>
      <x:c r="K245" s="8" t="n">
        <x:v>46294</x:v>
      </x:c>
    </x:row>
    <x:row r="246" ht="22" customHeight="1">
      <x:c r="A246" s="7" t="n">
        <x:v>45658</x:v>
      </x:c>
      <x:c r="B246" s="2" t="str">
        <x:v>84862000735</x:v>
      </x:c>
      <x:c r="C246" s="2" t="str">
        <x:v>848620</x:v>
      </x:c>
      <x:c r="D246" s="2" t="str">
        <x:v>フォトレジスト塗布装置</x:v>
      </x:c>
      <x:c r="E246" s="9" t="n">
        <x:v>33326360</x:v>
      </x:c>
      <x:c r="F246" s="9" t="n">
        <x:f>IF(G246="利用可",E246,"")</x:f>
        <x:v>33326360</x:v>
      </x:c>
      <x:c r="G246" s="2" t="str">
        <x:v>利用可</x:v>
      </x:c>
      <x:c r="H246" s="9" t="n">
        <x:v>32494538</x:v>
      </x:c>
      <x:c r="I246" s="2" t="str"/>
      <x:c r="J246" s="2" t="n">
        <x:v>11</x:v>
      </x:c>
      <x:c r="K246" s="8" t="n">
        <x:v>46294</x:v>
      </x:c>
    </x:row>
    <x:row r="247" ht="22" customHeight="1">
      <x:c r="A247" s="7" t="n">
        <x:v>45689</x:v>
      </x:c>
      <x:c r="B247" s="2" t="str">
        <x:v>84862000735</x:v>
      </x:c>
      <x:c r="C247" s="2" t="str">
        <x:v>848620</x:v>
      </x:c>
      <x:c r="D247" s="2" t="str">
        <x:v>フォトレジスト塗布装置</x:v>
      </x:c>
      <x:c r="E247" s="9" t="n">
        <x:v>82208549</x:v>
      </x:c>
      <x:c r="F247" s="9" t="n">
        <x:f>IF(G247="利用可",E247,"")</x:f>
        <x:v>82208549</x:v>
      </x:c>
      <x:c r="G247" s="2" t="str">
        <x:v>利用可</x:v>
      </x:c>
      <x:c r="H247" s="9" t="n">
        <x:v>4175677</x:v>
      </x:c>
      <x:c r="I247" s="2" t="str"/>
      <x:c r="J247" s="2" t="n">
        <x:v>11</x:v>
      </x:c>
      <x:c r="K247" s="8" t="n">
        <x:v>46294</x:v>
      </x:c>
    </x:row>
    <x:row r="248" ht="22" customHeight="1">
      <x:c r="A248" s="7" t="n">
        <x:v>45717</x:v>
      </x:c>
      <x:c r="B248" s="2" t="str">
        <x:v>84862000735</x:v>
      </x:c>
      <x:c r="C248" s="2" t="str">
        <x:v>848620</x:v>
      </x:c>
      <x:c r="D248" s="2" t="str">
        <x:v>フォトレジスト塗布装置</x:v>
      </x:c>
      <x:c r="E248" s="9" t="n">
        <x:v>132379336</x:v>
      </x:c>
      <x:c r="F248" s="9" t="n">
        <x:f>IF(G248="利用可",E248,"")</x:f>
        <x:v>132379336</x:v>
      </x:c>
      <x:c r="G248" s="2" t="str">
        <x:v>利用可</x:v>
      </x:c>
      <x:c r="H248" s="9" t="n">
        <x:v>6710231</x:v>
      </x:c>
      <x:c r="I248" s="2" t="str"/>
      <x:c r="J248" s="2" t="n">
        <x:v>11</x:v>
      </x:c>
      <x:c r="K248" s="8" t="n">
        <x:v>46294</x:v>
      </x:c>
    </x:row>
    <x:row r="249" ht="22" customHeight="1">
      <x:c r="A249" s="7" t="n">
        <x:v>45748</x:v>
      </x:c>
      <x:c r="B249" s="2" t="str">
        <x:v>84862000735</x:v>
      </x:c>
      <x:c r="C249" s="2" t="str">
        <x:v>848620</x:v>
      </x:c>
      <x:c r="D249" s="2" t="str">
        <x:v>フォトレジスト塗布装置</x:v>
      </x:c>
      <x:c r="E249" s="9" t="n">
        <x:v>49145454</x:v>
      </x:c>
      <x:c r="F249" s="9" t="n">
        <x:f>IF(G249="利用可",E249,"")</x:f>
        <x:v>49145454</x:v>
      </x:c>
      <x:c r="G249" s="2" t="str">
        <x:v>利用可</x:v>
      </x:c>
      <x:c r="H249" s="9" t="n">
        <x:v>44073021</x:v>
      </x:c>
      <x:c r="I249" s="2" t="str"/>
      <x:c r="J249" s="2" t="n">
        <x:v>11</x:v>
      </x:c>
      <x:c r="K249" s="8" t="n">
        <x:v>46294</x:v>
      </x:c>
    </x:row>
    <x:row r="250" ht="22" customHeight="1">
      <x:c r="A250" s="7" t="n">
        <x:v>45778</x:v>
      </x:c>
      <x:c r="B250" s="2" t="str">
        <x:v>84862000735</x:v>
      </x:c>
      <x:c r="C250" s="2" t="str">
        <x:v>848620</x:v>
      </x:c>
      <x:c r="D250" s="2" t="str">
        <x:v>フォトレジスト塗布装置</x:v>
      </x:c>
      <x:c r="E250" s="9" t="n">
        <x:v>65257479</x:v>
      </x:c>
      <x:c r="F250" s="9" t="n">
        <x:f>IF(G250="利用可",E250,"")</x:f>
        <x:v>65257479</x:v>
      </x:c>
      <x:c r="G250" s="2" t="str">
        <x:v>利用可</x:v>
      </x:c>
      <x:c r="H250" s="9" t="n">
        <x:v>3635688</x:v>
      </x:c>
      <x:c r="I250" s="2" t="str"/>
      <x:c r="J250" s="2" t="n">
        <x:v>11</x:v>
      </x:c>
      <x:c r="K250" s="8" t="n">
        <x:v>46294</x:v>
      </x:c>
    </x:row>
    <x:row r="251" ht="22" customHeight="1">
      <x:c r="A251" s="7" t="n">
        <x:v>45809</x:v>
      </x:c>
      <x:c r="B251" s="2" t="str">
        <x:v>84862000735</x:v>
      </x:c>
      <x:c r="C251" s="2" t="str">
        <x:v>848620</x:v>
      </x:c>
      <x:c r="D251" s="2" t="str">
        <x:v>フォトレジスト塗布装置</x:v>
      </x:c>
      <x:c r="E251" s="9" t="n">
        <x:v>88604256</x:v>
      </x:c>
      <x:c r="F251" s="9" t="n">
        <x:f>IF(G251="利用可",E251,"")</x:f>
        <x:v>88604256</x:v>
      </x:c>
      <x:c r="G251" s="2" t="str">
        <x:v>利用可</x:v>
      </x:c>
      <x:c r="H251" s="9" t="n">
        <x:v>44987994</x:v>
      </x:c>
      <x:c r="I251" s="2" t="str"/>
      <x:c r="J251" s="2" t="n">
        <x:v>11</x:v>
      </x:c>
      <x:c r="K251" s="8" t="n">
        <x:v>46294</x:v>
      </x:c>
    </x:row>
    <x:row r="252" ht="22" customHeight="1">
      <x:c r="A252" s="7" t="n">
        <x:v>45839</x:v>
      </x:c>
      <x:c r="B252" s="2" t="str">
        <x:v>84862000735</x:v>
      </x:c>
      <x:c r="C252" s="2" t="str">
        <x:v>848620</x:v>
      </x:c>
      <x:c r="D252" s="2" t="str">
        <x:v>フォトレジスト塗布装置</x:v>
      </x:c>
      <x:c r="E252" s="9" t="n">
        <x:v>53272490</x:v>
      </x:c>
      <x:c r="F252" s="9" t="n">
        <x:f>IF(G252="利用可",E252,"")</x:f>
        <x:v>53272490</x:v>
      </x:c>
      <x:c r="G252" s="2" t="str">
        <x:v>利用可</x:v>
      </x:c>
      <x:c r="H252" s="9" t="n">
        <x:v>55221446</x:v>
      </x:c>
      <x:c r="I252" s="2" t="str"/>
      <x:c r="J252" s="2" t="n">
        <x:v>11</x:v>
      </x:c>
      <x:c r="K252" s="8" t="n">
        <x:v>46294</x:v>
      </x:c>
    </x:row>
    <x:row r="253" ht="22" customHeight="1">
      <x:c r="A253" s="7" t="n">
        <x:v>45870</x:v>
      </x:c>
      <x:c r="B253" s="2" t="str">
        <x:v>84862000735</x:v>
      </x:c>
      <x:c r="C253" s="2" t="str">
        <x:v>848620</x:v>
      </x:c>
      <x:c r="D253" s="2" t="str">
        <x:v>フォトレジスト塗布装置</x:v>
      </x:c>
      <x:c r="E253" s="9" t="n">
        <x:v>66566487</x:v>
      </x:c>
      <x:c r="F253" s="9" t="n">
        <x:f>IF(G253="利用可",E253,"")</x:f>
        <x:v>66566487</x:v>
      </x:c>
      <x:c r="G253" s="2" t="str">
        <x:v>利用可</x:v>
      </x:c>
      <x:c r="H253" s="9" t="n">
        <x:v>26667383</x:v>
      </x:c>
      <x:c r="I253" s="2" t="str"/>
      <x:c r="J253" s="2" t="n">
        <x:v>11</x:v>
      </x:c>
      <x:c r="K253" s="8" t="n">
        <x:v>46294</x:v>
      </x:c>
    </x:row>
    <x:row r="254" ht="22" customHeight="1">
      <x:c r="A254" s="7" t="n">
        <x:v>45901</x:v>
      </x:c>
      <x:c r="B254" s="2" t="str">
        <x:v>84862000735</x:v>
      </x:c>
      <x:c r="C254" s="2" t="str">
        <x:v>848620</x:v>
      </x:c>
      <x:c r="D254" s="2" t="str">
        <x:v>フォトレジスト塗布装置</x:v>
      </x:c>
      <x:c r="E254" s="9" t="n">
        <x:v>51170098</x:v>
      </x:c>
      <x:c r="F254" s="9" t="n">
        <x:f>IF(G254="利用可",E254,"")</x:f>
        <x:v>51170098</x:v>
      </x:c>
      <x:c r="G254" s="2" t="str">
        <x:v>利用可</x:v>
      </x:c>
      <x:c r="H254" s="9" t="n">
        <x:v>52722116</x:v>
      </x:c>
      <x:c r="I254" s="2" t="str"/>
      <x:c r="J254" s="2" t="n">
        <x:v>11</x:v>
      </x:c>
      <x:c r="K254" s="8" t="n">
        <x:v>46294</x:v>
      </x:c>
    </x:row>
    <x:row r="255" ht="22" customHeight="1">
      <x:c r="A255" s="7" t="n">
        <x:v>45931</x:v>
      </x:c>
      <x:c r="B255" s="2" t="str">
        <x:v>84862000735</x:v>
      </x:c>
      <x:c r="C255" s="2" t="str">
        <x:v>848620</x:v>
      </x:c>
      <x:c r="D255" s="2" t="str">
        <x:v>フォトレジスト塗布装置</x:v>
      </x:c>
      <x:c r="E255" s="9" t="n">
        <x:v>25740367</x:v>
      </x:c>
      <x:c r="F255" s="9" t="n">
        <x:f>IF(G255="利用可",E255,"")</x:f>
        <x:v>25740367</x:v>
      </x:c>
      <x:c r="G255" s="2" t="str">
        <x:v>利用可</x:v>
      </x:c>
      <x:c r="H255" s="9" t="n">
        <x:v>40304531</x:v>
      </x:c>
      <x:c r="I255" s="2" t="str"/>
      <x:c r="J255" s="2" t="n">
        <x:v>11</x:v>
      </x:c>
      <x:c r="K255" s="8" t="n">
        <x:v>46294</x:v>
      </x:c>
    </x:row>
    <x:row r="256" ht="22" customHeight="1">
      <x:c r="A256" s="7" t="n">
        <x:v>45962</x:v>
      </x:c>
      <x:c r="B256" s="2" t="str">
        <x:v>84862000735</x:v>
      </x:c>
      <x:c r="C256" s="2" t="str">
        <x:v>848620</x:v>
      </x:c>
      <x:c r="D256" s="2" t="str">
        <x:v>フォトレジスト塗布装置</x:v>
      </x:c>
      <x:c r="E256" s="9" t="n">
        <x:v>109548286</x:v>
      </x:c>
      <x:c r="F256" s="9" t="n">
        <x:f>IF(G256="利用可",E256,"")</x:f>
        <x:v>109548286</x:v>
      </x:c>
      <x:c r="G256" s="2" t="str">
        <x:v>利用可</x:v>
      </x:c>
      <x:c r="H256" s="9" t="n">
        <x:v>38581381</x:v>
      </x:c>
      <x:c r="I256" s="2" t="str"/>
      <x:c r="J256" s="2" t="n">
        <x:v>11</x:v>
      </x:c>
      <x:c r="K256" s="8" t="n">
        <x:v>46294</x:v>
      </x:c>
    </x:row>
    <x:row r="257" ht="22" customHeight="1">
      <x:c r="A257" s="7" t="n">
        <x:v>45992</x:v>
      </x:c>
      <x:c r="B257" s="2" t="str">
        <x:v>84862000735</x:v>
      </x:c>
      <x:c r="C257" s="2" t="str">
        <x:v>848620</x:v>
      </x:c>
      <x:c r="D257" s="2" t="str">
        <x:v>フォトレジスト塗布装置</x:v>
      </x:c>
      <x:c r="E257" s="9" t="n">
        <x:v>56553654</x:v>
      </x:c>
      <x:c r="F257" s="9" t="n">
        <x:f>IF(G257="利用可",E257,"")</x:f>
        <x:v>56553654</x:v>
      </x:c>
      <x:c r="G257" s="2" t="str">
        <x:v>利用可</x:v>
      </x:c>
      <x:c r="H257" s="9" t="n">
        <x:v>93294764</x:v>
      </x:c>
      <x:c r="I257" s="2" t="str"/>
      <x:c r="J257" s="2" t="n">
        <x:v>11</x:v>
      </x:c>
      <x:c r="K257" s="8" t="n">
        <x:v>46294</x:v>
      </x:c>
    </x:row>
    <x:row r="258" ht="22" customHeight="1">
      <x:c r="A258" s="7" t="n">
        <x:v>46023</x:v>
      </x:c>
      <x:c r="B258" s="2" t="str">
        <x:v>84862000735</x:v>
      </x:c>
      <x:c r="C258" s="2" t="str">
        <x:v>848620</x:v>
      </x:c>
      <x:c r="D258" s="2" t="str">
        <x:v>フォトレジスト塗布装置</x:v>
      </x:c>
      <x:c r="E258" s="9" t="n">
        <x:v>72335555</x:v>
      </x:c>
      <x:c r="F258" s="9" t="n">
        <x:f>IF(G258="利用可",E258,"")</x:f>
        <x:v>72335555</x:v>
      </x:c>
      <x:c r="G258" s="2" t="str">
        <x:v>利用可</x:v>
      </x:c>
      <x:c r="H258" s="9" t="n">
        <x:v>33326360</x:v>
      </x:c>
      <x:c r="I258" s="2" t="str"/>
      <x:c r="J258" s="2" t="n">
        <x:v>11</x:v>
      </x:c>
      <x:c r="K258" s="8" t="n">
        <x:v>46294</x:v>
      </x:c>
    </x:row>
    <x:row r="259" ht="22" customHeight="1">
      <x:c r="A259" s="7" t="n">
        <x:v>46054</x:v>
      </x:c>
      <x:c r="B259" s="2" t="str">
        <x:v>84862000735</x:v>
      </x:c>
      <x:c r="C259" s="2" t="str">
        <x:v>848620</x:v>
      </x:c>
      <x:c r="D259" s="2" t="str">
        <x:v>フォトレジスト塗布装置</x:v>
      </x:c>
      <x:c r="E259" s="9" t="n">
        <x:v>67839403</x:v>
      </x:c>
      <x:c r="F259" s="9" t="n">
        <x:f>IF(G259="利用可",E259,"")</x:f>
        <x:v>67839403</x:v>
      </x:c>
      <x:c r="G259" s="2" t="str">
        <x:v>利用可</x:v>
      </x:c>
      <x:c r="H259" s="9" t="n">
        <x:v>82208549</x:v>
      </x:c>
      <x:c r="I259" s="2" t="str"/>
      <x:c r="J259" s="2" t="n">
        <x:v>11</x:v>
      </x:c>
      <x:c r="K259" s="8" t="n">
        <x:v>46294</x:v>
      </x:c>
    </x:row>
    <x:row r="260" ht="22" customHeight="1">
      <x:c r="A260" s="7" t="n">
        <x:v>46082</x:v>
      </x:c>
      <x:c r="B260" s="2" t="str">
        <x:v>84862000735</x:v>
      </x:c>
      <x:c r="C260" s="2" t="str">
        <x:v>848620</x:v>
      </x:c>
      <x:c r="D260" s="2" t="str">
        <x:v>フォトレジスト塗布装置</x:v>
      </x:c>
      <x:c r="E260" s="9" t="n">
        <x:v>95399810</x:v>
      </x:c>
      <x:c r="F260" s="9" t="n">
        <x:f>IF(G260="利用可",E260,"")</x:f>
        <x:v>95399810</x:v>
      </x:c>
      <x:c r="G260" s="2" t="str">
        <x:v>利用可</x:v>
      </x:c>
      <x:c r="H260" s="9" t="n">
        <x:v>132379336</x:v>
      </x:c>
      <x:c r="I260" s="2" t="str"/>
      <x:c r="J260" s="2" t="n">
        <x:v>11</x:v>
      </x:c>
      <x:c r="K260" s="8" t="n">
        <x:v>46294</x:v>
      </x:c>
    </x:row>
    <x:row r="261" ht="22" customHeight="1">
      <x:c r="A261" s="7" t="n">
        <x:v>46113</x:v>
      </x:c>
      <x:c r="B261" s="2" t="str">
        <x:v>84862000735</x:v>
      </x:c>
      <x:c r="C261" s="2" t="str">
        <x:v>848620</x:v>
      </x:c>
      <x:c r="D261" s="2" t="str">
        <x:v>フォトレジスト塗布装置</x:v>
      </x:c>
      <x:c r="E261" s="9" t="n">
        <x:v>65548164</x:v>
      </x:c>
      <x:c r="F261" s="9" t="n">
        <x:f>IF(G261="利用可",E261,"")</x:f>
        <x:v>65548164</x:v>
      </x:c>
      <x:c r="G261" s="2" t="str">
        <x:v>利用可</x:v>
      </x:c>
      <x:c r="H261" s="9" t="n">
        <x:v>49145454</x:v>
      </x:c>
      <x:c r="I261" s="2" t="str"/>
      <x:c r="J261" s="2" t="n">
        <x:v>11</x:v>
      </x:c>
      <x:c r="K261" s="8" t="n">
        <x:v>46294</x:v>
      </x:c>
    </x:row>
    <x:row r="262" ht="22" customHeight="1">
      <x:c r="A262" s="7" t="n">
        <x:v>46143</x:v>
      </x:c>
      <x:c r="B262" s="2" t="str">
        <x:v>84862000735</x:v>
      </x:c>
      <x:c r="C262" s="2" t="str">
        <x:v>848620</x:v>
      </x:c>
      <x:c r="D262" s="2" t="str">
        <x:v>フォトレジスト塗布装置</x:v>
      </x:c>
      <x:c r="E262" s="9" t="n">
        <x:v>58295624</x:v>
      </x:c>
      <x:c r="F262" s="9" t="n">
        <x:f>IF(G262="利用可",E262,"")</x:f>
        <x:v>58295624</x:v>
      </x:c>
      <x:c r="G262" s="2" t="str">
        <x:v>利用可</x:v>
      </x:c>
      <x:c r="H262" s="9" t="n">
        <x:v>65257479</x:v>
      </x:c>
      <x:c r="I262" s="2" t="str"/>
      <x:c r="J262" s="2" t="n">
        <x:v>11</x:v>
      </x:c>
      <x:c r="K262" s="8" t="n">
        <x:v>46294</x:v>
      </x:c>
    </x:row>
    <x:row r="263" ht="22" customHeight="1">
      <x:c r="A263" s="7" t="n">
        <x:v>46174</x:v>
      </x:c>
      <x:c r="B263" s="2" t="str">
        <x:v>84862000735</x:v>
      </x:c>
      <x:c r="C263" s="2" t="str">
        <x:v>848620</x:v>
      </x:c>
      <x:c r="D263" s="2" t="str">
        <x:v>フォトレジスト塗布装置</x:v>
      </x:c>
      <x:c r="E263" s="9" t="n">
        <x:v>182052978</x:v>
      </x:c>
      <x:c r="F263" s="9" t="n">
        <x:f>IF(G263="利用可",E263,"")</x:f>
        <x:v>182052978</x:v>
      </x:c>
      <x:c r="G263" s="2" t="str">
        <x:v>利用可</x:v>
      </x:c>
      <x:c r="H263" s="9" t="n">
        <x:v>88604256</x:v>
      </x:c>
      <x:c r="I263" s="2" t="str"/>
      <x:c r="J263" s="2" t="n">
        <x:v>11</x:v>
      </x:c>
      <x:c r="K263" s="8" t="n">
        <x:v>46294</x:v>
      </x:c>
    </x:row>
    <x:row r="264" ht="22" customHeight="1">
      <x:c r="A264" s="7" t="n">
        <x:v>46204</x:v>
      </x:c>
      <x:c r="B264" s="2" t="str">
        <x:v>84862000735</x:v>
      </x:c>
      <x:c r="C264" s="2" t="str">
        <x:v>848620</x:v>
      </x:c>
      <x:c r="D264" s="2" t="str">
        <x:v>フォトレジスト塗布装置</x:v>
      </x:c>
      <x:c r="E264" s="9" t="n">
        <x:v>86151314</x:v>
      </x:c>
      <x:c r="F264" s="9" t="n">
        <x:f>IF(G264="利用可",E264,"")</x:f>
        <x:v>86151314</x:v>
      </x:c>
      <x:c r="G264" s="2" t="str">
        <x:v>利用可</x:v>
      </x:c>
      <x:c r="H264" s="9" t="n">
        <x:v>53272490</x:v>
      </x:c>
      <x:c r="I264" s="2" t="str"/>
      <x:c r="J264" s="2" t="n">
        <x:v>11</x:v>
      </x:c>
      <x:c r="K264" s="8" t="n">
        <x:v>46294</x:v>
      </x:c>
    </x:row>
    <x:row r="265" ht="22" customHeight="1">
      <x:c r="A265" s="7" t="n">
        <x:v>46235</x:v>
      </x:c>
      <x:c r="B265" s="2" t="str">
        <x:v>84862000735</x:v>
      </x:c>
      <x:c r="C265" s="2" t="str">
        <x:v>848620</x:v>
      </x:c>
      <x:c r="D265" s="2" t="str">
        <x:v>フォトレジスト塗布装置</x:v>
      </x:c>
      <x:c r="E265" s="9" t="n">
        <x:v>73076979</x:v>
      </x:c>
      <x:c r="F265" s="9" t="n">
        <x:f>IF(G265="利用可",E265,"")</x:f>
        <x:v>73076979</x:v>
      </x:c>
      <x:c r="G265" s="2" t="str">
        <x:v>利用可</x:v>
      </x:c>
      <x:c r="H265" s="9" t="n">
        <x:v>66566487</x:v>
      </x:c>
      <x:c r="I265" s="2" t="str"/>
      <x:c r="J265" s="2" t="n">
        <x:v>11</x:v>
      </x:c>
      <x:c r="K265" s="8" t="n">
        <x:v>46294</x:v>
      </x:c>
    </x:row>
    <x:row r="266" ht="22" customHeight="1">
      <x:c r="A266" s="7" t="n">
        <x:v>44927</x:v>
      </x:c>
      <x:c r="B266" s="2" t="str">
        <x:v>84862000904</x:v>
      </x:c>
      <x:c r="C266" s="2" t="str">
        <x:v>848620</x:v>
      </x:c>
      <x:c r="D266" s="2" t="str">
        <x:v>その他半導体前工程装置</x:v>
      </x:c>
      <x:c r="E266" s="9" t="n">
        <x:v>18638986</x:v>
      </x:c>
      <x:c r="F266" s="9" t="n">
        <x:f>IF(G266="利用可",E266,"")</x:f>
        <x:v>18638986</x:v>
      </x:c>
      <x:c r="G266" s="2" t="str">
        <x:v>利用可</x:v>
      </x:c>
      <x:c r="H266" s="9" t="n">
        <x:v>25560647</x:v>
      </x:c>
      <x:c r="I266" s="2" t="str"/>
      <x:c r="J266" s="2" t="n">
        <x:v>11</x:v>
      </x:c>
      <x:c r="K266" s="8" t="n">
        <x:v>46294</x:v>
      </x:c>
    </x:row>
    <x:row r="267" ht="22" customHeight="1">
      <x:c r="A267" s="7" t="n">
        <x:v>44958</x:v>
      </x:c>
      <x:c r="B267" s="2" t="str">
        <x:v>84862000904</x:v>
      </x:c>
      <x:c r="C267" s="2" t="str">
        <x:v>848620</x:v>
      </x:c>
      <x:c r="D267" s="2" t="str">
        <x:v>その他半導体前工程装置</x:v>
      </x:c>
      <x:c r="E267" s="9" t="n">
        <x:v>13188045</x:v>
      </x:c>
      <x:c r="F267" s="9" t="n">
        <x:f>IF(G267="利用可",E267,"")</x:f>
        <x:v>13188045</x:v>
      </x:c>
      <x:c r="G267" s="2" t="str">
        <x:v>利用可</x:v>
      </x:c>
      <x:c r="H267" s="9" t="n">
        <x:v>34726890</x:v>
      </x:c>
      <x:c r="I267" s="2" t="str"/>
      <x:c r="J267" s="2" t="n">
        <x:v>11</x:v>
      </x:c>
      <x:c r="K267" s="8" t="n">
        <x:v>46294</x:v>
      </x:c>
    </x:row>
    <x:row r="268" ht="22" customHeight="1">
      <x:c r="A268" s="7" t="n">
        <x:v>44986</x:v>
      </x:c>
      <x:c r="B268" s="2" t="str">
        <x:v>84862000904</x:v>
      </x:c>
      <x:c r="C268" s="2" t="str">
        <x:v>848620</x:v>
      </x:c>
      <x:c r="D268" s="2" t="str">
        <x:v>その他半導体前工程装置</x:v>
      </x:c>
      <x:c r="E268" s="9" t="n">
        <x:v>8335360</x:v>
      </x:c>
      <x:c r="F268" s="9" t="n">
        <x:f>IF(G268="利用可",E268,"")</x:f>
        <x:v>8335360</x:v>
      </x:c>
      <x:c r="G268" s="2" t="str">
        <x:v>利用可</x:v>
      </x:c>
      <x:c r="H268" s="9" t="n">
        <x:v>22722946</x:v>
      </x:c>
      <x:c r="I268" s="2" t="str"/>
      <x:c r="J268" s="2" t="n">
        <x:v>11</x:v>
      </x:c>
      <x:c r="K268" s="8" t="n">
        <x:v>46294</x:v>
      </x:c>
    </x:row>
    <x:row r="269" ht="22" customHeight="1">
      <x:c r="A269" s="7" t="n">
        <x:v>45017</x:v>
      </x:c>
      <x:c r="B269" s="2" t="str">
        <x:v>84862000904</x:v>
      </x:c>
      <x:c r="C269" s="2" t="str">
        <x:v>848620</x:v>
      </x:c>
      <x:c r="D269" s="2" t="str">
        <x:v>その他半導体前工程装置</x:v>
      </x:c>
      <x:c r="E269" s="9" t="n">
        <x:v>12731633</x:v>
      </x:c>
      <x:c r="F269" s="9" t="n">
        <x:f>IF(G269="利用可",E269,"")</x:f>
        <x:v>12731633</x:v>
      </x:c>
      <x:c r="G269" s="2" t="str">
        <x:v>利用可</x:v>
      </x:c>
      <x:c r="H269" s="9" t="n">
        <x:v>28783622</x:v>
      </x:c>
      <x:c r="I269" s="2" t="str"/>
      <x:c r="J269" s="2" t="n">
        <x:v>11</x:v>
      </x:c>
      <x:c r="K269" s="8" t="n">
        <x:v>46294</x:v>
      </x:c>
    </x:row>
    <x:row r="270" ht="22" customHeight="1">
      <x:c r="A270" s="7" t="n">
        <x:v>45047</x:v>
      </x:c>
      <x:c r="B270" s="2" t="str">
        <x:v>84862000904</x:v>
      </x:c>
      <x:c r="C270" s="2" t="str">
        <x:v>848620</x:v>
      </x:c>
      <x:c r="D270" s="2" t="str">
        <x:v>その他半導体前工程装置</x:v>
      </x:c>
      <x:c r="E270" s="9" t="n">
        <x:v>9335333</x:v>
      </x:c>
      <x:c r="F270" s="9" t="n">
        <x:f>IF(G270="利用可",E270,"")</x:f>
        <x:v>9335333</x:v>
      </x:c>
      <x:c r="G270" s="2" t="str">
        <x:v>利用可</x:v>
      </x:c>
      <x:c r="H270" s="9" t="n">
        <x:v>29262037</x:v>
      </x:c>
      <x:c r="I270" s="2" t="str"/>
      <x:c r="J270" s="2" t="n">
        <x:v>11</x:v>
      </x:c>
      <x:c r="K270" s="8" t="n">
        <x:v>46294</x:v>
      </x:c>
    </x:row>
    <x:row r="271" ht="22" customHeight="1">
      <x:c r="A271" s="7" t="n">
        <x:v>45078</x:v>
      </x:c>
      <x:c r="B271" s="2" t="str">
        <x:v>84862000904</x:v>
      </x:c>
      <x:c r="C271" s="2" t="str">
        <x:v>848620</x:v>
      </x:c>
      <x:c r="D271" s="2" t="str">
        <x:v>その他半導体前工程装置</x:v>
      </x:c>
      <x:c r="E271" s="9" t="n">
        <x:v>8789425</x:v>
      </x:c>
      <x:c r="F271" s="9" t="n">
        <x:f>IF(G271="利用可",E271,"")</x:f>
        <x:v>8789425</x:v>
      </x:c>
      <x:c r="G271" s="2" t="str">
        <x:v>利用可</x:v>
      </x:c>
      <x:c r="H271" s="9" t="n">
        <x:v>44102137</x:v>
      </x:c>
      <x:c r="I271" s="2" t="str"/>
      <x:c r="J271" s="2" t="n">
        <x:v>11</x:v>
      </x:c>
      <x:c r="K271" s="8" t="n">
        <x:v>46294</x:v>
      </x:c>
    </x:row>
    <x:row r="272" ht="22" customHeight="1">
      <x:c r="A272" s="7" t="n">
        <x:v>45108</x:v>
      </x:c>
      <x:c r="B272" s="2" t="str">
        <x:v>84862000904</x:v>
      </x:c>
      <x:c r="C272" s="2" t="str">
        <x:v>848620</x:v>
      </x:c>
      <x:c r="D272" s="2" t="str">
        <x:v>その他半導体前工程装置</x:v>
      </x:c>
      <x:c r="E272" s="9" t="n">
        <x:v>13181380</x:v>
      </x:c>
      <x:c r="F272" s="9" t="n">
        <x:f>IF(G272="利用可",E272,"")</x:f>
        <x:v>13181380</x:v>
      </x:c>
      <x:c r="G272" s="2" t="str">
        <x:v>利用可</x:v>
      </x:c>
      <x:c r="H272" s="9" t="n">
        <x:v>25137158</x:v>
      </x:c>
      <x:c r="I272" s="2" t="str"/>
      <x:c r="J272" s="2" t="n">
        <x:v>11</x:v>
      </x:c>
      <x:c r="K272" s="8" t="n">
        <x:v>46294</x:v>
      </x:c>
    </x:row>
    <x:row r="273" ht="22" customHeight="1">
      <x:c r="A273" s="7" t="n">
        <x:v>45139</x:v>
      </x:c>
      <x:c r="B273" s="2" t="str">
        <x:v>84862000904</x:v>
      </x:c>
      <x:c r="C273" s="2" t="str">
        <x:v>848620</x:v>
      </x:c>
      <x:c r="D273" s="2" t="str">
        <x:v>その他半導体前工程装置</x:v>
      </x:c>
      <x:c r="E273" s="9" t="n">
        <x:v>6057902</x:v>
      </x:c>
      <x:c r="F273" s="9" t="n">
        <x:f>IF(G273="利用可",E273,"")</x:f>
        <x:v>6057902</x:v>
      </x:c>
      <x:c r="G273" s="2" t="str">
        <x:v>利用可</x:v>
      </x:c>
      <x:c r="H273" s="9" t="n">
        <x:v>20880273</x:v>
      </x:c>
      <x:c r="I273" s="2" t="str"/>
      <x:c r="J273" s="2" t="n">
        <x:v>11</x:v>
      </x:c>
      <x:c r="K273" s="8" t="n">
        <x:v>46294</x:v>
      </x:c>
    </x:row>
    <x:row r="274" ht="22" customHeight="1">
      <x:c r="A274" s="7" t="n">
        <x:v>45170</x:v>
      </x:c>
      <x:c r="B274" s="2" t="str">
        <x:v>84862000904</x:v>
      </x:c>
      <x:c r="C274" s="2" t="str">
        <x:v>848620</x:v>
      </x:c>
      <x:c r="D274" s="2" t="str">
        <x:v>その他半導体前工程装置</x:v>
      </x:c>
      <x:c r="E274" s="9" t="n">
        <x:v>8333171</x:v>
      </x:c>
      <x:c r="F274" s="9" t="n">
        <x:f>IF(G274="利用可",E274,"")</x:f>
        <x:v>8333171</x:v>
      </x:c>
      <x:c r="G274" s="2" t="str">
        <x:v>利用可</x:v>
      </x:c>
      <x:c r="H274" s="9" t="n">
        <x:v>11613757</x:v>
      </x:c>
      <x:c r="I274" s="2" t="str"/>
      <x:c r="J274" s="2" t="n">
        <x:v>11</x:v>
      </x:c>
      <x:c r="K274" s="8" t="n">
        <x:v>46294</x:v>
      </x:c>
    </x:row>
    <x:row r="275" ht="22" customHeight="1">
      <x:c r="A275" s="7" t="n">
        <x:v>45200</x:v>
      </x:c>
      <x:c r="B275" s="2" t="str">
        <x:v>84862000904</x:v>
      </x:c>
      <x:c r="C275" s="2" t="str">
        <x:v>848620</x:v>
      </x:c>
      <x:c r="D275" s="2" t="str">
        <x:v>その他半導体前工程装置</x:v>
      </x:c>
      <x:c r="E275" s="9" t="n">
        <x:v>11081630</x:v>
      </x:c>
      <x:c r="F275" s="9" t="n">
        <x:f>IF(G275="利用可",E275,"")</x:f>
        <x:v>11081630</x:v>
      </x:c>
      <x:c r="G275" s="2" t="str">
        <x:v>利用可</x:v>
      </x:c>
      <x:c r="H275" s="9" t="n">
        <x:v>12071497</x:v>
      </x:c>
      <x:c r="I275" s="2" t="str"/>
      <x:c r="J275" s="2" t="n">
        <x:v>11</x:v>
      </x:c>
      <x:c r="K275" s="8" t="n">
        <x:v>46294</x:v>
      </x:c>
    </x:row>
    <x:row r="276" ht="22" customHeight="1">
      <x:c r="A276" s="7" t="n">
        <x:v>45231</x:v>
      </x:c>
      <x:c r="B276" s="2" t="str">
        <x:v>84862000904</x:v>
      </x:c>
      <x:c r="C276" s="2" t="str">
        <x:v>848620</x:v>
      </x:c>
      <x:c r="D276" s="2" t="str">
        <x:v>その他半導体前工程装置</x:v>
      </x:c>
      <x:c r="E276" s="9" t="n">
        <x:v>13950313</x:v>
      </x:c>
      <x:c r="F276" s="9" t="n">
        <x:f>IF(G276="利用可",E276,"")</x:f>
        <x:v>13950313</x:v>
      </x:c>
      <x:c r="G276" s="2" t="str">
        <x:v>利用可</x:v>
      </x:c>
      <x:c r="H276" s="9" t="n">
        <x:v>14468230</x:v>
      </x:c>
      <x:c r="I276" s="2" t="str"/>
      <x:c r="J276" s="2" t="n">
        <x:v>11</x:v>
      </x:c>
      <x:c r="K276" s="8" t="n">
        <x:v>46294</x:v>
      </x:c>
    </x:row>
    <x:row r="277" ht="22" customHeight="1">
      <x:c r="A277" s="7" t="n">
        <x:v>45261</x:v>
      </x:c>
      <x:c r="B277" s="2" t="str">
        <x:v>84862000904</x:v>
      </x:c>
      <x:c r="C277" s="2" t="str">
        <x:v>848620</x:v>
      </x:c>
      <x:c r="D277" s="2" t="str">
        <x:v>その他半導体前工程装置</x:v>
      </x:c>
      <x:c r="E277" s="9" t="n">
        <x:v>18953895</x:v>
      </x:c>
      <x:c r="F277" s="9" t="n">
        <x:f>IF(G277="利用可",E277,"")</x:f>
        <x:v>18953895</x:v>
      </x:c>
      <x:c r="G277" s="2" t="str">
        <x:v>利用可</x:v>
      </x:c>
      <x:c r="H277" s="9" t="n">
        <x:v>16556086</x:v>
      </x:c>
      <x:c r="I277" s="2" t="str"/>
      <x:c r="J277" s="2" t="n">
        <x:v>11</x:v>
      </x:c>
      <x:c r="K277" s="8" t="n">
        <x:v>46294</x:v>
      </x:c>
    </x:row>
    <x:row r="278" ht="22" customHeight="1">
      <x:c r="A278" s="7" t="n">
        <x:v>45292</x:v>
      </x:c>
      <x:c r="B278" s="2" t="str">
        <x:v>84862000904</x:v>
      </x:c>
      <x:c r="C278" s="2" t="str">
        <x:v>848620</x:v>
      </x:c>
      <x:c r="D278" s="2" t="str">
        <x:v>その他半導体前工程装置</x:v>
      </x:c>
      <x:c r="E278" s="9" t="n">
        <x:v>14629500</x:v>
      </x:c>
      <x:c r="F278" s="9" t="n">
        <x:f>IF(G278="利用可",E278,"")</x:f>
        <x:v>14629500</x:v>
      </x:c>
      <x:c r="G278" s="2" t="str">
        <x:v>利用可</x:v>
      </x:c>
      <x:c r="H278" s="9" t="n">
        <x:v>18638986</x:v>
      </x:c>
      <x:c r="I278" s="2" t="str"/>
      <x:c r="J278" s="2" t="n">
        <x:v>11</x:v>
      </x:c>
      <x:c r="K278" s="8" t="n">
        <x:v>46294</x:v>
      </x:c>
    </x:row>
    <x:row r="279" ht="22" customHeight="1">
      <x:c r="A279" s="7" t="n">
        <x:v>45323</x:v>
      </x:c>
      <x:c r="B279" s="2" t="str">
        <x:v>84862000904</x:v>
      </x:c>
      <x:c r="C279" s="2" t="str">
        <x:v>848620</x:v>
      </x:c>
      <x:c r="D279" s="2" t="str">
        <x:v>その他半導体前工程装置</x:v>
      </x:c>
      <x:c r="E279" s="9" t="n">
        <x:v>16180812</x:v>
      </x:c>
      <x:c r="F279" s="9" t="n">
        <x:f>IF(G279="利用可",E279,"")</x:f>
        <x:v>16180812</x:v>
      </x:c>
      <x:c r="G279" s="2" t="str">
        <x:v>利用可</x:v>
      </x:c>
      <x:c r="H279" s="9" t="n">
        <x:v>13188045</x:v>
      </x:c>
      <x:c r="I279" s="2" t="str"/>
      <x:c r="J279" s="2" t="n">
        <x:v>11</x:v>
      </x:c>
      <x:c r="K279" s="8" t="n">
        <x:v>46294</x:v>
      </x:c>
    </x:row>
    <x:row r="280" ht="22" customHeight="1">
      <x:c r="A280" s="7" t="n">
        <x:v>45352</x:v>
      </x:c>
      <x:c r="B280" s="2" t="str">
        <x:v>84862000904</x:v>
      </x:c>
      <x:c r="C280" s="2" t="str">
        <x:v>848620</x:v>
      </x:c>
      <x:c r="D280" s="2" t="str">
        <x:v>その他半導体前工程装置</x:v>
      </x:c>
      <x:c r="E280" s="9" t="n">
        <x:v>16925500</x:v>
      </x:c>
      <x:c r="F280" s="9" t="n">
        <x:f>IF(G280="利用可",E280,"")</x:f>
        <x:v>16925500</x:v>
      </x:c>
      <x:c r="G280" s="2" t="str">
        <x:v>利用可</x:v>
      </x:c>
      <x:c r="H280" s="9" t="n">
        <x:v>8335360</x:v>
      </x:c>
      <x:c r="I280" s="2" t="str"/>
      <x:c r="J280" s="2" t="n">
        <x:v>11</x:v>
      </x:c>
      <x:c r="K280" s="8" t="n">
        <x:v>46294</x:v>
      </x:c>
    </x:row>
    <x:row r="281" ht="22" customHeight="1">
      <x:c r="A281" s="7" t="n">
        <x:v>45383</x:v>
      </x:c>
      <x:c r="B281" s="2" t="str">
        <x:v>84862000904</x:v>
      </x:c>
      <x:c r="C281" s="2" t="str">
        <x:v>848620</x:v>
      </x:c>
      <x:c r="D281" s="2" t="str">
        <x:v>その他半導体前工程装置</x:v>
      </x:c>
      <x:c r="E281" s="9" t="n">
        <x:v>15968814</x:v>
      </x:c>
      <x:c r="F281" s="9" t="n">
        <x:f>IF(G281="利用可",E281,"")</x:f>
        <x:v>15968814</x:v>
      </x:c>
      <x:c r="G281" s="2" t="str">
        <x:v>利用可</x:v>
      </x:c>
      <x:c r="H281" s="9" t="n">
        <x:v>12731633</x:v>
      </x:c>
      <x:c r="I281" s="2" t="str"/>
      <x:c r="J281" s="2" t="n">
        <x:v>11</x:v>
      </x:c>
      <x:c r="K281" s="8" t="n">
        <x:v>46294</x:v>
      </x:c>
    </x:row>
    <x:row r="282" ht="22" customHeight="1">
      <x:c r="A282" s="7" t="n">
        <x:v>45413</x:v>
      </x:c>
      <x:c r="B282" s="2" t="str">
        <x:v>84862000904</x:v>
      </x:c>
      <x:c r="C282" s="2" t="str">
        <x:v>848620</x:v>
      </x:c>
      <x:c r="D282" s="2" t="str">
        <x:v>その他半導体前工程装置</x:v>
      </x:c>
      <x:c r="E282" s="9" t="n">
        <x:v>8413239</x:v>
      </x:c>
      <x:c r="F282" s="9" t="n">
        <x:f>IF(G282="利用可",E282,"")</x:f>
        <x:v>8413239</x:v>
      </x:c>
      <x:c r="G282" s="2" t="str">
        <x:v>利用可</x:v>
      </x:c>
      <x:c r="H282" s="9" t="n">
        <x:v>9335333</x:v>
      </x:c>
      <x:c r="I282" s="2" t="str"/>
      <x:c r="J282" s="2" t="n">
        <x:v>11</x:v>
      </x:c>
      <x:c r="K282" s="8" t="n">
        <x:v>46294</x:v>
      </x:c>
    </x:row>
    <x:row r="283" ht="22" customHeight="1">
      <x:c r="A283" s="7" t="n">
        <x:v>45444</x:v>
      </x:c>
      <x:c r="B283" s="2" t="str">
        <x:v>84862000904</x:v>
      </x:c>
      <x:c r="C283" s="2" t="str">
        <x:v>848620</x:v>
      </x:c>
      <x:c r="D283" s="2" t="str">
        <x:v>その他半導体前工程装置</x:v>
      </x:c>
      <x:c r="E283" s="9" t="n">
        <x:v>24107858</x:v>
      </x:c>
      <x:c r="F283" s="9" t="n">
        <x:f>IF(G283="利用可",E283,"")</x:f>
        <x:v>24107858</x:v>
      </x:c>
      <x:c r="G283" s="2" t="str">
        <x:v>利用可</x:v>
      </x:c>
      <x:c r="H283" s="9" t="n">
        <x:v>8789425</x:v>
      </x:c>
      <x:c r="I283" s="2" t="str"/>
      <x:c r="J283" s="2" t="n">
        <x:v>11</x:v>
      </x:c>
      <x:c r="K283" s="8" t="n">
        <x:v>46294</x:v>
      </x:c>
    </x:row>
    <x:row r="284" ht="22" customHeight="1">
      <x:c r="A284" s="7" t="n">
        <x:v>45474</x:v>
      </x:c>
      <x:c r="B284" s="2" t="str">
        <x:v>84862000904</x:v>
      </x:c>
      <x:c r="C284" s="2" t="str">
        <x:v>848620</x:v>
      </x:c>
      <x:c r="D284" s="2" t="str">
        <x:v>その他半導体前工程装置</x:v>
      </x:c>
      <x:c r="E284" s="9" t="n">
        <x:v>26696059</x:v>
      </x:c>
      <x:c r="F284" s="9" t="n">
        <x:f>IF(G284="利用可",E284,"")</x:f>
        <x:v>26696059</x:v>
      </x:c>
      <x:c r="G284" s="2" t="str">
        <x:v>利用可</x:v>
      </x:c>
      <x:c r="H284" s="9" t="n">
        <x:v>13181380</x:v>
      </x:c>
      <x:c r="I284" s="2" t="str"/>
      <x:c r="J284" s="2" t="n">
        <x:v>11</x:v>
      </x:c>
      <x:c r="K284" s="8" t="n">
        <x:v>46294</x:v>
      </x:c>
    </x:row>
    <x:row r="285" ht="22" customHeight="1">
      <x:c r="A285" s="7" t="n">
        <x:v>45505</x:v>
      </x:c>
      <x:c r="B285" s="2" t="str">
        <x:v>84862000904</x:v>
      </x:c>
      <x:c r="C285" s="2" t="str">
        <x:v>848620</x:v>
      </x:c>
      <x:c r="D285" s="2" t="str">
        <x:v>その他半導体前工程装置</x:v>
      </x:c>
      <x:c r="E285" s="9" t="n">
        <x:v>24298404</x:v>
      </x:c>
      <x:c r="F285" s="9" t="n">
        <x:f>IF(G285="利用可",E285,"")</x:f>
        <x:v>24298404</x:v>
      </x:c>
      <x:c r="G285" s="2" t="str">
        <x:v>利用可</x:v>
      </x:c>
      <x:c r="H285" s="9" t="n">
        <x:v>6057902</x:v>
      </x:c>
      <x:c r="I285" s="2" t="str"/>
      <x:c r="J285" s="2" t="n">
        <x:v>11</x:v>
      </x:c>
      <x:c r="K285" s="8" t="n">
        <x:v>46294</x:v>
      </x:c>
    </x:row>
    <x:row r="286" ht="22" customHeight="1">
      <x:c r="A286" s="7" t="n">
        <x:v>45536</x:v>
      </x:c>
      <x:c r="B286" s="2" t="str">
        <x:v>84862000904</x:v>
      </x:c>
      <x:c r="C286" s="2" t="str">
        <x:v>848620</x:v>
      </x:c>
      <x:c r="D286" s="2" t="str">
        <x:v>その他半導体前工程装置</x:v>
      </x:c>
      <x:c r="E286" s="9" t="n">
        <x:v>19153300</x:v>
      </x:c>
      <x:c r="F286" s="9" t="n">
        <x:f>IF(G286="利用可",E286,"")</x:f>
        <x:v>19153300</x:v>
      </x:c>
      <x:c r="G286" s="2" t="str">
        <x:v>利用可</x:v>
      </x:c>
      <x:c r="H286" s="9" t="n">
        <x:v>8333171</x:v>
      </x:c>
      <x:c r="I286" s="2" t="str"/>
      <x:c r="J286" s="2" t="n">
        <x:v>11</x:v>
      </x:c>
      <x:c r="K286" s="8" t="n">
        <x:v>46294</x:v>
      </x:c>
    </x:row>
    <x:row r="287" ht="22" customHeight="1">
      <x:c r="A287" s="7" t="n">
        <x:v>45566</x:v>
      </x:c>
      <x:c r="B287" s="2" t="str">
        <x:v>84862000904</x:v>
      </x:c>
      <x:c r="C287" s="2" t="str">
        <x:v>848620</x:v>
      </x:c>
      <x:c r="D287" s="2" t="str">
        <x:v>その他半導体前工程装置</x:v>
      </x:c>
      <x:c r="E287" s="9" t="n">
        <x:v>22268207</x:v>
      </x:c>
      <x:c r="F287" s="9" t="n">
        <x:f>IF(G287="利用可",E287,"")</x:f>
        <x:v>22268207</x:v>
      </x:c>
      <x:c r="G287" s="2" t="str">
        <x:v>利用可</x:v>
      </x:c>
      <x:c r="H287" s="9" t="n">
        <x:v>11081630</x:v>
      </x:c>
      <x:c r="I287" s="2" t="str"/>
      <x:c r="J287" s="2" t="n">
        <x:v>11</x:v>
      </x:c>
      <x:c r="K287" s="8" t="n">
        <x:v>46294</x:v>
      </x:c>
    </x:row>
    <x:row r="288" ht="22" customHeight="1">
      <x:c r="A288" s="7" t="n">
        <x:v>45597</x:v>
      </x:c>
      <x:c r="B288" s="2" t="str">
        <x:v>84862000904</x:v>
      </x:c>
      <x:c r="C288" s="2" t="str">
        <x:v>848620</x:v>
      </x:c>
      <x:c r="D288" s="2" t="str">
        <x:v>その他半導体前工程装置</x:v>
      </x:c>
      <x:c r="E288" s="9" t="n">
        <x:v>24321482</x:v>
      </x:c>
      <x:c r="F288" s="9" t="n">
        <x:f>IF(G288="利用可",E288,"")</x:f>
        <x:v>24321482</x:v>
      </x:c>
      <x:c r="G288" s="2" t="str">
        <x:v>利用可</x:v>
      </x:c>
      <x:c r="H288" s="9" t="n">
        <x:v>13950313</x:v>
      </x:c>
      <x:c r="I288" s="2" t="str"/>
      <x:c r="J288" s="2" t="n">
        <x:v>11</x:v>
      </x:c>
      <x:c r="K288" s="8" t="n">
        <x:v>46294</x:v>
      </x:c>
    </x:row>
    <x:row r="289" ht="22" customHeight="1">
      <x:c r="A289" s="7" t="n">
        <x:v>45627</x:v>
      </x:c>
      <x:c r="B289" s="2" t="str">
        <x:v>84862000904</x:v>
      </x:c>
      <x:c r="C289" s="2" t="str">
        <x:v>848620</x:v>
      </x:c>
      <x:c r="D289" s="2" t="str">
        <x:v>その他半導体前工程装置</x:v>
      </x:c>
      <x:c r="E289" s="9" t="n">
        <x:v>24916388</x:v>
      </x:c>
      <x:c r="F289" s="9" t="n">
        <x:f>IF(G289="利用可",E289,"")</x:f>
        <x:v>24916388</x:v>
      </x:c>
      <x:c r="G289" s="2" t="str">
        <x:v>利用可</x:v>
      </x:c>
      <x:c r="H289" s="9" t="n">
        <x:v>18953895</x:v>
      </x:c>
      <x:c r="I289" s="2" t="str"/>
      <x:c r="J289" s="2" t="n">
        <x:v>11</x:v>
      </x:c>
      <x:c r="K289" s="8" t="n">
        <x:v>46294</x:v>
      </x:c>
    </x:row>
    <x:row r="290" ht="22" customHeight="1">
      <x:c r="A290" s="7" t="n">
        <x:v>45658</x:v>
      </x:c>
      <x:c r="B290" s="2" t="str">
        <x:v>84862000904</x:v>
      </x:c>
      <x:c r="C290" s="2" t="str">
        <x:v>848620</x:v>
      </x:c>
      <x:c r="D290" s="2" t="str">
        <x:v>その他半導体前工程装置</x:v>
      </x:c>
      <x:c r="E290" s="9" t="n">
        <x:v>11809968</x:v>
      </x:c>
      <x:c r="F290" s="9" t="n">
        <x:f>IF(G290="利用可",E290,"")</x:f>
        <x:v>11809968</x:v>
      </x:c>
      <x:c r="G290" s="2" t="str">
        <x:v>利用可</x:v>
      </x:c>
      <x:c r="H290" s="9" t="n">
        <x:v>14629500</x:v>
      </x:c>
      <x:c r="I290" s="2" t="str"/>
      <x:c r="J290" s="2" t="n">
        <x:v>11</x:v>
      </x:c>
      <x:c r="K290" s="8" t="n">
        <x:v>46294</x:v>
      </x:c>
    </x:row>
    <x:row r="291" ht="22" customHeight="1">
      <x:c r="A291" s="7" t="n">
        <x:v>45689</x:v>
      </x:c>
      <x:c r="B291" s="2" t="str">
        <x:v>84862000904</x:v>
      </x:c>
      <x:c r="C291" s="2" t="str">
        <x:v>848620</x:v>
      </x:c>
      <x:c r="D291" s="2" t="str">
        <x:v>その他半導体前工程装置</x:v>
      </x:c>
      <x:c r="E291" s="9" t="n">
        <x:v>22180097</x:v>
      </x:c>
      <x:c r="F291" s="9" t="n">
        <x:f>IF(G291="利用可",E291,"")</x:f>
        <x:v>22180097</x:v>
      </x:c>
      <x:c r="G291" s="2" t="str">
        <x:v>利用可</x:v>
      </x:c>
      <x:c r="H291" s="9" t="n">
        <x:v>16180812</x:v>
      </x:c>
      <x:c r="I291" s="2" t="str"/>
      <x:c r="J291" s="2" t="n">
        <x:v>11</x:v>
      </x:c>
      <x:c r="K291" s="8" t="n">
        <x:v>46294</x:v>
      </x:c>
    </x:row>
    <x:row r="292" ht="22" customHeight="1">
      <x:c r="A292" s="7" t="n">
        <x:v>45717</x:v>
      </x:c>
      <x:c r="B292" s="2" t="str">
        <x:v>84862000904</x:v>
      </x:c>
      <x:c r="C292" s="2" t="str">
        <x:v>848620</x:v>
      </x:c>
      <x:c r="D292" s="2" t="str">
        <x:v>その他半導体前工程装置</x:v>
      </x:c>
      <x:c r="E292" s="9" t="n">
        <x:v>42419874</x:v>
      </x:c>
      <x:c r="F292" s="9" t="n">
        <x:f>IF(G292="利用可",E292,"")</x:f>
        <x:v>42419874</x:v>
      </x:c>
      <x:c r="G292" s="2" t="str">
        <x:v>利用可</x:v>
      </x:c>
      <x:c r="H292" s="9" t="n">
        <x:v>16925500</x:v>
      </x:c>
      <x:c r="I292" s="2" t="str"/>
      <x:c r="J292" s="2" t="n">
        <x:v>11</x:v>
      </x:c>
      <x:c r="K292" s="8" t="n">
        <x:v>46294</x:v>
      </x:c>
    </x:row>
    <x:row r="293" ht="22" customHeight="1">
      <x:c r="A293" s="7" t="n">
        <x:v>45748</x:v>
      </x:c>
      <x:c r="B293" s="2" t="str">
        <x:v>84862000904</x:v>
      </x:c>
      <x:c r="C293" s="2" t="str">
        <x:v>848620</x:v>
      </x:c>
      <x:c r="D293" s="2" t="str">
        <x:v>その他半導体前工程装置</x:v>
      </x:c>
      <x:c r="E293" s="9" t="n">
        <x:v>50848278</x:v>
      </x:c>
      <x:c r="F293" s="9" t="n">
        <x:f>IF(G293="利用可",E293,"")</x:f>
        <x:v>50848278</x:v>
      </x:c>
      <x:c r="G293" s="2" t="str">
        <x:v>利用可</x:v>
      </x:c>
      <x:c r="H293" s="9" t="n">
        <x:v>15968814</x:v>
      </x:c>
      <x:c r="I293" s="2" t="str"/>
      <x:c r="J293" s="2" t="n">
        <x:v>11</x:v>
      </x:c>
      <x:c r="K293" s="8" t="n">
        <x:v>46294</x:v>
      </x:c>
    </x:row>
    <x:row r="294" ht="22" customHeight="1">
      <x:c r="A294" s="7" t="n">
        <x:v>45778</x:v>
      </x:c>
      <x:c r="B294" s="2" t="str">
        <x:v>84862000904</x:v>
      </x:c>
      <x:c r="C294" s="2" t="str">
        <x:v>848620</x:v>
      </x:c>
      <x:c r="D294" s="2" t="str">
        <x:v>その他半導体前工程装置</x:v>
      </x:c>
      <x:c r="E294" s="9" t="n">
        <x:v>57746527</x:v>
      </x:c>
      <x:c r="F294" s="9" t="n">
        <x:f>IF(G294="利用可",E294,"")</x:f>
        <x:v>57746527</x:v>
      </x:c>
      <x:c r="G294" s="2" t="str">
        <x:v>利用可</x:v>
      </x:c>
      <x:c r="H294" s="9" t="n">
        <x:v>8413239</x:v>
      </x:c>
      <x:c r="I294" s="2" t="str"/>
      <x:c r="J294" s="2" t="n">
        <x:v>11</x:v>
      </x:c>
      <x:c r="K294" s="8" t="n">
        <x:v>46294</x:v>
      </x:c>
    </x:row>
    <x:row r="295" ht="22" customHeight="1">
      <x:c r="A295" s="7" t="n">
        <x:v>45809</x:v>
      </x:c>
      <x:c r="B295" s="2" t="str">
        <x:v>84862000904</x:v>
      </x:c>
      <x:c r="C295" s="2" t="str">
        <x:v>848620</x:v>
      </x:c>
      <x:c r="D295" s="2" t="str">
        <x:v>その他半導体前工程装置</x:v>
      </x:c>
      <x:c r="E295" s="9" t="n">
        <x:v>60965331</x:v>
      </x:c>
      <x:c r="F295" s="9" t="n">
        <x:f>IF(G295="利用可",E295,"")</x:f>
        <x:v>60965331</x:v>
      </x:c>
      <x:c r="G295" s="2" t="str">
        <x:v>利用可</x:v>
      </x:c>
      <x:c r="H295" s="9" t="n">
        <x:v>24107858</x:v>
      </x:c>
      <x:c r="I295" s="2" t="str"/>
      <x:c r="J295" s="2" t="n">
        <x:v>11</x:v>
      </x:c>
      <x:c r="K295" s="8" t="n">
        <x:v>46294</x:v>
      </x:c>
    </x:row>
    <x:row r="296" ht="22" customHeight="1">
      <x:c r="A296" s="7" t="n">
        <x:v>45839</x:v>
      </x:c>
      <x:c r="B296" s="2" t="str">
        <x:v>84862000904</x:v>
      </x:c>
      <x:c r="C296" s="2" t="str">
        <x:v>848620</x:v>
      </x:c>
      <x:c r="D296" s="2" t="str">
        <x:v>その他半導体前工程装置</x:v>
      </x:c>
      <x:c r="E296" s="9" t="n">
        <x:v>39397051</x:v>
      </x:c>
      <x:c r="F296" s="9" t="n">
        <x:f>IF(G296="利用可",E296,"")</x:f>
        <x:v>39397051</x:v>
      </x:c>
      <x:c r="G296" s="2" t="str">
        <x:v>利用可</x:v>
      </x:c>
      <x:c r="H296" s="9" t="n">
        <x:v>26696059</x:v>
      </x:c>
      <x:c r="I296" s="2" t="str"/>
      <x:c r="J296" s="2" t="n">
        <x:v>11</x:v>
      </x:c>
      <x:c r="K296" s="8" t="n">
        <x:v>46294</x:v>
      </x:c>
    </x:row>
    <x:row r="297" ht="22" customHeight="1">
      <x:c r="A297" s="7" t="n">
        <x:v>45870</x:v>
      </x:c>
      <x:c r="B297" s="2" t="str">
        <x:v>84862000904</x:v>
      </x:c>
      <x:c r="C297" s="2" t="str">
        <x:v>848620</x:v>
      </x:c>
      <x:c r="D297" s="2" t="str">
        <x:v>その他半導体前工程装置</x:v>
      </x:c>
      <x:c r="E297" s="9" t="n">
        <x:v>24286907</x:v>
      </x:c>
      <x:c r="F297" s="9" t="n">
        <x:f>IF(G297="利用可",E297,"")</x:f>
        <x:v>24286907</x:v>
      </x:c>
      <x:c r="G297" s="2" t="str">
        <x:v>利用可</x:v>
      </x:c>
      <x:c r="H297" s="9" t="n">
        <x:v>24298404</x:v>
      </x:c>
      <x:c r="I297" s="2" t="str"/>
      <x:c r="J297" s="2" t="n">
        <x:v>11</x:v>
      </x:c>
      <x:c r="K297" s="8" t="n">
        <x:v>46294</x:v>
      </x:c>
    </x:row>
    <x:row r="298" ht="22" customHeight="1">
      <x:c r="A298" s="7" t="n">
        <x:v>45901</x:v>
      </x:c>
      <x:c r="B298" s="2" t="str">
        <x:v>84862000904</x:v>
      </x:c>
      <x:c r="C298" s="2" t="str">
        <x:v>848620</x:v>
      </x:c>
      <x:c r="D298" s="2" t="str">
        <x:v>その他半導体前工程装置</x:v>
      </x:c>
      <x:c r="E298" s="9" t="n">
        <x:v>39478742</x:v>
      </x:c>
      <x:c r="F298" s="9" t="n">
        <x:f>IF(G298="利用可",E298,"")</x:f>
        <x:v>39478742</x:v>
      </x:c>
      <x:c r="G298" s="2" t="str">
        <x:v>利用可</x:v>
      </x:c>
      <x:c r="H298" s="9" t="n">
        <x:v>19153300</x:v>
      </x:c>
      <x:c r="I298" s="2" t="str"/>
      <x:c r="J298" s="2" t="n">
        <x:v>11</x:v>
      </x:c>
      <x:c r="K298" s="8" t="n">
        <x:v>46294</x:v>
      </x:c>
    </x:row>
    <x:row r="299" ht="22" customHeight="1">
      <x:c r="A299" s="7" t="n">
        <x:v>45931</x:v>
      </x:c>
      <x:c r="B299" s="2" t="str">
        <x:v>84862000904</x:v>
      </x:c>
      <x:c r="C299" s="2" t="str">
        <x:v>848620</x:v>
      </x:c>
      <x:c r="D299" s="2" t="str">
        <x:v>その他半導体前工程装置</x:v>
      </x:c>
      <x:c r="E299" s="9" t="n">
        <x:v>38024146</x:v>
      </x:c>
      <x:c r="F299" s="9" t="n">
        <x:f>IF(G299="利用可",E299,"")</x:f>
        <x:v>38024146</x:v>
      </x:c>
      <x:c r="G299" s="2" t="str">
        <x:v>利用可</x:v>
      </x:c>
      <x:c r="H299" s="9" t="n">
        <x:v>22268207</x:v>
      </x:c>
      <x:c r="I299" s="2" t="str"/>
      <x:c r="J299" s="2" t="n">
        <x:v>11</x:v>
      </x:c>
      <x:c r="K299" s="8" t="n">
        <x:v>46294</x:v>
      </x:c>
    </x:row>
    <x:row r="300" ht="22" customHeight="1">
      <x:c r="A300" s="7" t="n">
        <x:v>45962</x:v>
      </x:c>
      <x:c r="B300" s="2" t="str">
        <x:v>84862000904</x:v>
      </x:c>
      <x:c r="C300" s="2" t="str">
        <x:v>848620</x:v>
      </x:c>
      <x:c r="D300" s="2" t="str">
        <x:v>その他半導体前工程装置</x:v>
      </x:c>
      <x:c r="E300" s="9" t="n">
        <x:v>72224773</x:v>
      </x:c>
      <x:c r="F300" s="9" t="n">
        <x:f>IF(G300="利用可",E300,"")</x:f>
        <x:v>72224773</x:v>
      </x:c>
      <x:c r="G300" s="2" t="str">
        <x:v>利用可</x:v>
      </x:c>
      <x:c r="H300" s="9" t="n">
        <x:v>24321482</x:v>
      </x:c>
      <x:c r="I300" s="2" t="str"/>
      <x:c r="J300" s="2" t="n">
        <x:v>11</x:v>
      </x:c>
      <x:c r="K300" s="8" t="n">
        <x:v>46294</x:v>
      </x:c>
    </x:row>
    <x:row r="301" ht="22" customHeight="1">
      <x:c r="A301" s="7" t="n">
        <x:v>45992</x:v>
      </x:c>
      <x:c r="B301" s="2" t="str">
        <x:v>84862000904</x:v>
      </x:c>
      <x:c r="C301" s="2" t="str">
        <x:v>848620</x:v>
      </x:c>
      <x:c r="D301" s="2" t="str">
        <x:v>その他半導体前工程装置</x:v>
      </x:c>
      <x:c r="E301" s="9" t="n">
        <x:v>76769889</x:v>
      </x:c>
      <x:c r="F301" s="9" t="n">
        <x:f>IF(G301="利用可",E301,"")</x:f>
        <x:v>76769889</x:v>
      </x:c>
      <x:c r="G301" s="2" t="str">
        <x:v>利用可</x:v>
      </x:c>
      <x:c r="H301" s="9" t="n">
        <x:v>24916388</x:v>
      </x:c>
      <x:c r="I301" s="2" t="str"/>
      <x:c r="J301" s="2" t="n">
        <x:v>11</x:v>
      </x:c>
      <x:c r="K301" s="8" t="n">
        <x:v>46294</x:v>
      </x:c>
    </x:row>
    <x:row r="302" ht="22" customHeight="1">
      <x:c r="A302" s="7" t="n">
        <x:v>46023</x:v>
      </x:c>
      <x:c r="B302" s="2" t="str">
        <x:v>84862000904</x:v>
      </x:c>
      <x:c r="C302" s="2" t="str">
        <x:v>848620</x:v>
      </x:c>
      <x:c r="D302" s="2" t="str">
        <x:v>その他半導体前工程装置</x:v>
      </x:c>
      <x:c r="E302" s="9" t="n">
        <x:v>44491982</x:v>
      </x:c>
      <x:c r="F302" s="9" t="n">
        <x:f>IF(G302="利用可",E302,"")</x:f>
        <x:v>44491982</x:v>
      </x:c>
      <x:c r="G302" s="2" t="str">
        <x:v>利用可</x:v>
      </x:c>
      <x:c r="H302" s="9" t="n">
        <x:v>11809968</x:v>
      </x:c>
      <x:c r="I302" s="2" t="str"/>
      <x:c r="J302" s="2" t="n">
        <x:v>11</x:v>
      </x:c>
      <x:c r="K302" s="8" t="n">
        <x:v>46294</x:v>
      </x:c>
    </x:row>
    <x:row r="303" ht="22" customHeight="1">
      <x:c r="A303" s="7" t="n">
        <x:v>46054</x:v>
      </x:c>
      <x:c r="B303" s="2" t="str">
        <x:v>84862000904</x:v>
      </x:c>
      <x:c r="C303" s="2" t="str">
        <x:v>848620</x:v>
      </x:c>
      <x:c r="D303" s="2" t="str">
        <x:v>その他半導体前工程装置</x:v>
      </x:c>
      <x:c r="E303" s="9" t="n">
        <x:v>38680046</x:v>
      </x:c>
      <x:c r="F303" s="9" t="n">
        <x:f>IF(G303="利用可",E303,"")</x:f>
        <x:v>38680046</x:v>
      </x:c>
      <x:c r="G303" s="2" t="str">
        <x:v>利用可</x:v>
      </x:c>
      <x:c r="H303" s="9" t="n">
        <x:v>22180097</x:v>
      </x:c>
      <x:c r="I303" s="2" t="str"/>
      <x:c r="J303" s="2" t="n">
        <x:v>11</x:v>
      </x:c>
      <x:c r="K303" s="8" t="n">
        <x:v>46294</x:v>
      </x:c>
    </x:row>
    <x:row r="304" ht="22" customHeight="1">
      <x:c r="A304" s="7" t="n">
        <x:v>46082</x:v>
      </x:c>
      <x:c r="B304" s="2" t="str">
        <x:v>84862000904</x:v>
      </x:c>
      <x:c r="C304" s="2" t="str">
        <x:v>848620</x:v>
      </x:c>
      <x:c r="D304" s="2" t="str">
        <x:v>その他半導体前工程装置</x:v>
      </x:c>
      <x:c r="E304" s="9" t="n">
        <x:v>106927784</x:v>
      </x:c>
      <x:c r="F304" s="9" t="n">
        <x:f>IF(G304="利用可",E304,"")</x:f>
        <x:v>106927784</x:v>
      </x:c>
      <x:c r="G304" s="2" t="str">
        <x:v>利用可</x:v>
      </x:c>
      <x:c r="H304" s="9" t="n">
        <x:v>42419874</x:v>
      </x:c>
      <x:c r="I304" s="2" t="str"/>
      <x:c r="J304" s="2" t="n">
        <x:v>11</x:v>
      </x:c>
      <x:c r="K304" s="8" t="n">
        <x:v>46294</x:v>
      </x:c>
    </x:row>
    <x:row r="305" ht="22" customHeight="1">
      <x:c r="A305" s="7" t="n">
        <x:v>46113</x:v>
      </x:c>
      <x:c r="B305" s="2" t="str">
        <x:v>84862000904</x:v>
      </x:c>
      <x:c r="C305" s="2" t="str">
        <x:v>848620</x:v>
      </x:c>
      <x:c r="D305" s="2" t="str">
        <x:v>その他半導体前工程装置</x:v>
      </x:c>
      <x:c r="E305" s="9" t="n">
        <x:v>64231753</x:v>
      </x:c>
      <x:c r="F305" s="9" t="n">
        <x:f>IF(G305="利用可",E305,"")</x:f>
        <x:v>64231753</x:v>
      </x:c>
      <x:c r="G305" s="2" t="str">
        <x:v>利用可</x:v>
      </x:c>
      <x:c r="H305" s="9" t="n">
        <x:v>50848278</x:v>
      </x:c>
      <x:c r="I305" s="2" t="str"/>
      <x:c r="J305" s="2" t="n">
        <x:v>11</x:v>
      </x:c>
      <x:c r="K305" s="8" t="n">
        <x:v>46294</x:v>
      </x:c>
    </x:row>
    <x:row r="306" ht="22" customHeight="1">
      <x:c r="A306" s="7" t="n">
        <x:v>46143</x:v>
      </x:c>
      <x:c r="B306" s="2" t="str">
        <x:v>84862000904</x:v>
      </x:c>
      <x:c r="C306" s="2" t="str">
        <x:v>848620</x:v>
      </x:c>
      <x:c r="D306" s="2" t="str">
        <x:v>その他半導体前工程装置</x:v>
      </x:c>
      <x:c r="E306" s="9" t="n">
        <x:v>58948075</x:v>
      </x:c>
      <x:c r="F306" s="9" t="n">
        <x:f>IF(G306="利用可",E306,"")</x:f>
        <x:v>58948075</x:v>
      </x:c>
      <x:c r="G306" s="2" t="str">
        <x:v>利用可</x:v>
      </x:c>
      <x:c r="H306" s="9" t="n">
        <x:v>57746527</x:v>
      </x:c>
      <x:c r="I306" s="2" t="str"/>
      <x:c r="J306" s="2" t="n">
        <x:v>11</x:v>
      </x:c>
      <x:c r="K306" s="8" t="n">
        <x:v>46294</x:v>
      </x:c>
    </x:row>
    <x:row r="307" ht="22" customHeight="1">
      <x:c r="A307" s="7" t="n">
        <x:v>46174</x:v>
      </x:c>
      <x:c r="B307" s="2" t="str">
        <x:v>84862000904</x:v>
      </x:c>
      <x:c r="C307" s="2" t="str">
        <x:v>848620</x:v>
      </x:c>
      <x:c r="D307" s="2" t="str">
        <x:v>その他半導体前工程装置</x:v>
      </x:c>
      <x:c r="E307" s="9" t="n">
        <x:v>91861302</x:v>
      </x:c>
      <x:c r="F307" s="9" t="n">
        <x:f>IF(G307="利用可",E307,"")</x:f>
        <x:v>91861302</x:v>
      </x:c>
      <x:c r="G307" s="2" t="str">
        <x:v>利用可</x:v>
      </x:c>
      <x:c r="H307" s="9" t="n">
        <x:v>60965331</x:v>
      </x:c>
      <x:c r="I307" s="2" t="str"/>
      <x:c r="J307" s="2" t="n">
        <x:v>11</x:v>
      </x:c>
      <x:c r="K307" s="8" t="n">
        <x:v>46294</x:v>
      </x:c>
    </x:row>
    <x:row r="308" ht="22" customHeight="1">
      <x:c r="A308" s="7" t="n">
        <x:v>46204</x:v>
      </x:c>
      <x:c r="B308" s="2" t="str">
        <x:v>84862000904</x:v>
      </x:c>
      <x:c r="C308" s="2" t="str">
        <x:v>848620</x:v>
      </x:c>
      <x:c r="D308" s="2" t="str">
        <x:v>その他半導体前工程装置</x:v>
      </x:c>
      <x:c r="E308" s="9" t="n">
        <x:v>135651607</x:v>
      </x:c>
      <x:c r="F308" s="9" t="n">
        <x:f>IF(G308="利用可",E308,"")</x:f>
        <x:v>135651607</x:v>
      </x:c>
      <x:c r="G308" s="2" t="str">
        <x:v>利用可</x:v>
      </x:c>
      <x:c r="H308" s="9" t="n">
        <x:v>39397051</x:v>
      </x:c>
      <x:c r="I308" s="2" t="str"/>
      <x:c r="J308" s="2" t="n">
        <x:v>11</x:v>
      </x:c>
      <x:c r="K308" s="8" t="n">
        <x:v>46294</x:v>
      </x:c>
    </x:row>
    <x:row r="309" ht="22" customHeight="1">
      <x:c r="A309" s="7" t="n">
        <x:v>46235</x:v>
      </x:c>
      <x:c r="B309" s="2" t="str">
        <x:v>84862000904</x:v>
      </x:c>
      <x:c r="C309" s="2" t="str">
        <x:v>848620</x:v>
      </x:c>
      <x:c r="D309" s="2" t="str">
        <x:v>その他半導体前工程装置</x:v>
      </x:c>
      <x:c r="E309" s="9" t="n">
        <x:v>77884395</x:v>
      </x:c>
      <x:c r="F309" s="9" t="n">
        <x:f>IF(G309="利用可",E309,"")</x:f>
        <x:v>77884395</x:v>
      </x:c>
      <x:c r="G309" s="2" t="str">
        <x:v>利用可</x:v>
      </x:c>
      <x:c r="H309" s="9" t="n">
        <x:v>24286907</x:v>
      </x:c>
      <x:c r="I309" s="2" t="str"/>
      <x:c r="J309" s="2" t="n">
        <x:v>11</x:v>
      </x:c>
      <x:c r="K309" s="8" t="n">
        <x:v>46294</x:v>
      </x:c>
    </x:row>
    <x:row r="310" ht="22" customHeight="1">
      <x:c r="A310" s="7" t="n">
        <x:v>44927</x:v>
      </x:c>
      <x:c r="B310" s="2" t="str">
        <x:v>84864000900</x:v>
      </x:c>
      <x:c r="C310" s="2" t="str">
        <x:v>848640</x:v>
      </x:c>
      <x:c r="D310" s="2" t="str">
        <x:v>組立・搬送等の装置（類注11C）</x:v>
      </x:c>
      <x:c r="E310" s="9" t="n">
        <x:v>4366305</x:v>
      </x:c>
      <x:c r="F310" s="9" t="n">
        <x:f>IF(G310="利用可",E310,"")</x:f>
        <x:v>4366305</x:v>
      </x:c>
      <x:c r="G310" s="2" t="str">
        <x:v>利用可</x:v>
      </x:c>
      <x:c r="H310" s="9" t="n">
        <x:v>11915041</x:v>
      </x:c>
      <x:c r="I310" s="2" t="str"/>
      <x:c r="J310" s="2" t="n">
        <x:v>11</x:v>
      </x:c>
      <x:c r="K310" s="8" t="n">
        <x:v>46294</x:v>
      </x:c>
    </x:row>
    <x:row r="311" ht="22" customHeight="1">
      <x:c r="A311" s="7" t="n">
        <x:v>44958</x:v>
      </x:c>
      <x:c r="B311" s="2" t="str">
        <x:v>84864000900</x:v>
      </x:c>
      <x:c r="C311" s="2" t="str">
        <x:v>848640</x:v>
      </x:c>
      <x:c r="D311" s="2" t="str">
        <x:v>組立・搬送等の装置（類注11C）</x:v>
      </x:c>
      <x:c r="E311" s="9" t="n">
        <x:v>9344852</x:v>
      </x:c>
      <x:c r="F311" s="9" t="n">
        <x:f>IF(G311="利用可",E311,"")</x:f>
        <x:v>9344852</x:v>
      </x:c>
      <x:c r="G311" s="2" t="str">
        <x:v>利用可</x:v>
      </x:c>
      <x:c r="H311" s="9" t="n">
        <x:v>42096477</x:v>
      </x:c>
      <x:c r="I311" s="2" t="str"/>
      <x:c r="J311" s="2" t="n">
        <x:v>11</x:v>
      </x:c>
      <x:c r="K311" s="8" t="n">
        <x:v>46294</x:v>
      </x:c>
    </x:row>
    <x:row r="312" ht="22" customHeight="1">
      <x:c r="A312" s="7" t="n">
        <x:v>44986</x:v>
      </x:c>
      <x:c r="B312" s="2" t="str">
        <x:v>84864000900</x:v>
      </x:c>
      <x:c r="C312" s="2" t="str">
        <x:v>848640</x:v>
      </x:c>
      <x:c r="D312" s="2" t="str">
        <x:v>組立・搬送等の装置（類注11C）</x:v>
      </x:c>
      <x:c r="E312" s="9" t="n">
        <x:v>8691202</x:v>
      </x:c>
      <x:c r="F312" s="9" t="n">
        <x:f>IF(G312="利用可",E312,"")</x:f>
        <x:v>8691202</x:v>
      </x:c>
      <x:c r="G312" s="2" t="str">
        <x:v>利用可</x:v>
      </x:c>
      <x:c r="H312" s="9" t="n">
        <x:v>26996961</x:v>
      </x:c>
      <x:c r="I312" s="2" t="str"/>
      <x:c r="J312" s="2" t="n">
        <x:v>11</x:v>
      </x:c>
      <x:c r="K312" s="8" t="n">
        <x:v>46294</x:v>
      </x:c>
    </x:row>
    <x:row r="313" ht="22" customHeight="1">
      <x:c r="A313" s="7" t="n">
        <x:v>45017</x:v>
      </x:c>
      <x:c r="B313" s="2" t="str">
        <x:v>84864000900</x:v>
      </x:c>
      <x:c r="C313" s="2" t="str">
        <x:v>848640</x:v>
      </x:c>
      <x:c r="D313" s="2" t="str">
        <x:v>組立・搬送等の装置（類注11C）</x:v>
      </x:c>
      <x:c r="E313" s="9" t="n">
        <x:v>9400695</x:v>
      </x:c>
      <x:c r="F313" s="9" t="n">
        <x:f>IF(G313="利用可",E313,"")</x:f>
        <x:v>9400695</x:v>
      </x:c>
      <x:c r="G313" s="2" t="str">
        <x:v>利用可</x:v>
      </x:c>
      <x:c r="H313" s="9" t="n">
        <x:v>8584966</x:v>
      </x:c>
      <x:c r="I313" s="2" t="str"/>
      <x:c r="J313" s="2" t="n">
        <x:v>11</x:v>
      </x:c>
      <x:c r="K313" s="8" t="n">
        <x:v>46294</x:v>
      </x:c>
    </x:row>
    <x:row r="314" ht="22" customHeight="1">
      <x:c r="A314" s="7" t="n">
        <x:v>45047</x:v>
      </x:c>
      <x:c r="B314" s="2" t="str">
        <x:v>84864000900</x:v>
      </x:c>
      <x:c r="C314" s="2" t="str">
        <x:v>848640</x:v>
      </x:c>
      <x:c r="D314" s="2" t="str">
        <x:v>組立・搬送等の装置（類注11C）</x:v>
      </x:c>
      <x:c r="E314" s="9" t="n">
        <x:v>8836441</x:v>
      </x:c>
      <x:c r="F314" s="9" t="n">
        <x:f>IF(G314="利用可",E314,"")</x:f>
        <x:v>8836441</x:v>
      </x:c>
      <x:c r="G314" s="2" t="str">
        <x:v>利用可</x:v>
      </x:c>
      <x:c r="H314" s="9" t="n">
        <x:v>9541948</x:v>
      </x:c>
      <x:c r="I314" s="2" t="str"/>
      <x:c r="J314" s="2" t="n">
        <x:v>11</x:v>
      </x:c>
      <x:c r="K314" s="8" t="n">
        <x:v>46294</x:v>
      </x:c>
    </x:row>
    <x:row r="315" ht="22" customHeight="1">
      <x:c r="A315" s="7" t="n">
        <x:v>45078</x:v>
      </x:c>
      <x:c r="B315" s="2" t="str">
        <x:v>84864000900</x:v>
      </x:c>
      <x:c r="C315" s="2" t="str">
        <x:v>848640</x:v>
      </x:c>
      <x:c r="D315" s="2" t="str">
        <x:v>組立・搬送等の装置（類注11C）</x:v>
      </x:c>
      <x:c r="E315" s="9" t="n">
        <x:v>4423202</x:v>
      </x:c>
      <x:c r="F315" s="9" t="n">
        <x:f>IF(G315="利用可",E315,"")</x:f>
        <x:v>4423202</x:v>
      </x:c>
      <x:c r="G315" s="2" t="str">
        <x:v>利用可</x:v>
      </x:c>
      <x:c r="H315" s="9" t="n">
        <x:v>16253909</x:v>
      </x:c>
      <x:c r="I315" s="2" t="str"/>
      <x:c r="J315" s="2" t="n">
        <x:v>11</x:v>
      </x:c>
      <x:c r="K315" s="8" t="n">
        <x:v>46294</x:v>
      </x:c>
    </x:row>
    <x:row r="316" ht="22" customHeight="1">
      <x:c r="A316" s="7" t="n">
        <x:v>45108</x:v>
      </x:c>
      <x:c r="B316" s="2" t="str">
        <x:v>84864000900</x:v>
      </x:c>
      <x:c r="C316" s="2" t="str">
        <x:v>848640</x:v>
      </x:c>
      <x:c r="D316" s="2" t="str">
        <x:v>組立・搬送等の装置（類注11C）</x:v>
      </x:c>
      <x:c r="E316" s="9" t="n">
        <x:v>10542841</x:v>
      </x:c>
      <x:c r="F316" s="9" t="n">
        <x:f>IF(G316="利用可",E316,"")</x:f>
        <x:v>10542841</x:v>
      </x:c>
      <x:c r="G316" s="2" t="str">
        <x:v>利用可</x:v>
      </x:c>
      <x:c r="H316" s="9" t="n">
        <x:v>15910662</x:v>
      </x:c>
      <x:c r="I316" s="2" t="str"/>
      <x:c r="J316" s="2" t="n">
        <x:v>11</x:v>
      </x:c>
      <x:c r="K316" s="8" t="n">
        <x:v>46294</x:v>
      </x:c>
    </x:row>
    <x:row r="317" ht="22" customHeight="1">
      <x:c r="A317" s="7" t="n">
        <x:v>45139</x:v>
      </x:c>
      <x:c r="B317" s="2" t="str">
        <x:v>84864000900</x:v>
      </x:c>
      <x:c r="C317" s="2" t="str">
        <x:v>848640</x:v>
      </x:c>
      <x:c r="D317" s="2" t="str">
        <x:v>組立・搬送等の装置（類注11C）</x:v>
      </x:c>
      <x:c r="E317" s="9" t="n">
        <x:v>9283536</x:v>
      </x:c>
      <x:c r="F317" s="9" t="n">
        <x:f>IF(G317="利用可",E317,"")</x:f>
        <x:v>9283536</x:v>
      </x:c>
      <x:c r="G317" s="2" t="str">
        <x:v>利用可</x:v>
      </x:c>
      <x:c r="H317" s="9" t="n">
        <x:v>6768317</x:v>
      </x:c>
      <x:c r="I317" s="2" t="str"/>
      <x:c r="J317" s="2" t="n">
        <x:v>11</x:v>
      </x:c>
      <x:c r="K317" s="8" t="n">
        <x:v>46294</x:v>
      </x:c>
    </x:row>
    <x:row r="318" ht="22" customHeight="1">
      <x:c r="A318" s="7" t="n">
        <x:v>45170</x:v>
      </x:c>
      <x:c r="B318" s="2" t="str">
        <x:v>84864000900</x:v>
      </x:c>
      <x:c r="C318" s="2" t="str">
        <x:v>848640</x:v>
      </x:c>
      <x:c r="D318" s="2" t="str">
        <x:v>組立・搬送等の装置（類注11C）</x:v>
      </x:c>
      <x:c r="E318" s="9" t="n">
        <x:v>5736975</x:v>
      </x:c>
      <x:c r="F318" s="9" t="n">
        <x:f>IF(G318="利用可",E318,"")</x:f>
        <x:v>5736975</x:v>
      </x:c>
      <x:c r="G318" s="2" t="str">
        <x:v>利用可</x:v>
      </x:c>
      <x:c r="H318" s="9" t="n">
        <x:v>8207821</x:v>
      </x:c>
      <x:c r="I318" s="2" t="str"/>
      <x:c r="J318" s="2" t="n">
        <x:v>11</x:v>
      </x:c>
      <x:c r="K318" s="8" t="n">
        <x:v>46294</x:v>
      </x:c>
    </x:row>
    <x:row r="319" ht="22" customHeight="1">
      <x:c r="A319" s="7" t="n">
        <x:v>45200</x:v>
      </x:c>
      <x:c r="B319" s="2" t="str">
        <x:v>84864000900</x:v>
      </x:c>
      <x:c r="C319" s="2" t="str">
        <x:v>848640</x:v>
      </x:c>
      <x:c r="D319" s="2" t="str">
        <x:v>組立・搬送等の装置（類注11C）</x:v>
      </x:c>
      <x:c r="E319" s="9" t="n">
        <x:v>9878772</x:v>
      </x:c>
      <x:c r="F319" s="9" t="n">
        <x:f>IF(G319="利用可",E319,"")</x:f>
        <x:v>9878772</x:v>
      </x:c>
      <x:c r="G319" s="2" t="str">
        <x:v>利用可</x:v>
      </x:c>
      <x:c r="H319" s="9" t="n">
        <x:v>13304604</x:v>
      </x:c>
      <x:c r="I319" s="2" t="str"/>
      <x:c r="J319" s="2" t="n">
        <x:v>11</x:v>
      </x:c>
      <x:c r="K319" s="8" t="n">
        <x:v>46294</x:v>
      </x:c>
    </x:row>
    <x:row r="320" ht="22" customHeight="1">
      <x:c r="A320" s="7" t="n">
        <x:v>45231</x:v>
      </x:c>
      <x:c r="B320" s="2" t="str">
        <x:v>84864000900</x:v>
      </x:c>
      <x:c r="C320" s="2" t="str">
        <x:v>848640</x:v>
      </x:c>
      <x:c r="D320" s="2" t="str">
        <x:v>組立・搬送等の装置（類注11C）</x:v>
      </x:c>
      <x:c r="E320" s="9" t="n">
        <x:v>5060341</x:v>
      </x:c>
      <x:c r="F320" s="9" t="n">
        <x:f>IF(G320="利用可",E320,"")</x:f>
        <x:v>5060341</x:v>
      </x:c>
      <x:c r="G320" s="2" t="str">
        <x:v>利用可</x:v>
      </x:c>
      <x:c r="H320" s="9" t="n">
        <x:v>8663622</x:v>
      </x:c>
      <x:c r="I320" s="2" t="str"/>
      <x:c r="J320" s="2" t="n">
        <x:v>11</x:v>
      </x:c>
      <x:c r="K320" s="8" t="n">
        <x:v>46294</x:v>
      </x:c>
    </x:row>
    <x:row r="321" ht="22" customHeight="1">
      <x:c r="A321" s="7" t="n">
        <x:v>45261</x:v>
      </x:c>
      <x:c r="B321" s="2" t="str">
        <x:v>84864000900</x:v>
      </x:c>
      <x:c r="C321" s="2" t="str">
        <x:v>848640</x:v>
      </x:c>
      <x:c r="D321" s="2" t="str">
        <x:v>組立・搬送等の装置（類注11C）</x:v>
      </x:c>
      <x:c r="E321" s="9" t="n">
        <x:v>6767950</x:v>
      </x:c>
      <x:c r="F321" s="9" t="n">
        <x:f>IF(G321="利用可",E321,"")</x:f>
        <x:v>6767950</x:v>
      </x:c>
      <x:c r="G321" s="2" t="str">
        <x:v>利用可</x:v>
      </x:c>
      <x:c r="H321" s="9" t="n">
        <x:v>8913936</x:v>
      </x:c>
      <x:c r="I321" s="2" t="str"/>
      <x:c r="J321" s="2" t="n">
        <x:v>11</x:v>
      </x:c>
      <x:c r="K321" s="8" t="n">
        <x:v>46294</x:v>
      </x:c>
    </x:row>
    <x:row r="322" ht="22" customHeight="1">
      <x:c r="A322" s="7" t="n">
        <x:v>45292</x:v>
      </x:c>
      <x:c r="B322" s="2" t="str">
        <x:v>84864000900</x:v>
      </x:c>
      <x:c r="C322" s="2" t="str">
        <x:v>848640</x:v>
      </x:c>
      <x:c r="D322" s="2" t="str">
        <x:v>組立・搬送等の装置（類注11C）</x:v>
      </x:c>
      <x:c r="E322" s="9" t="n">
        <x:v>2644410</x:v>
      </x:c>
      <x:c r="F322" s="9" t="n">
        <x:f>IF(G322="利用可",E322,"")</x:f>
        <x:v>2644410</x:v>
      </x:c>
      <x:c r="G322" s="2" t="str">
        <x:v>利用可</x:v>
      </x:c>
      <x:c r="H322" s="9" t="n">
        <x:v>4366305</x:v>
      </x:c>
      <x:c r="I322" s="2" t="str"/>
      <x:c r="J322" s="2" t="n">
        <x:v>11</x:v>
      </x:c>
      <x:c r="K322" s="8" t="n">
        <x:v>46294</x:v>
      </x:c>
    </x:row>
    <x:row r="323" ht="22" customHeight="1">
      <x:c r="A323" s="7" t="n">
        <x:v>45323</x:v>
      </x:c>
      <x:c r="B323" s="2" t="str">
        <x:v>84864000900</x:v>
      </x:c>
      <x:c r="C323" s="2" t="str">
        <x:v>848640</x:v>
      </x:c>
      <x:c r="D323" s="2" t="str">
        <x:v>組立・搬送等の装置（類注11C）</x:v>
      </x:c>
      <x:c r="E323" s="9" t="n">
        <x:v>11694422</x:v>
      </x:c>
      <x:c r="F323" s="9" t="n">
        <x:f>IF(G323="利用可",E323,"")</x:f>
        <x:v>11694422</x:v>
      </x:c>
      <x:c r="G323" s="2" t="str">
        <x:v>利用可</x:v>
      </x:c>
      <x:c r="H323" s="9" t="n">
        <x:v>9344852</x:v>
      </x:c>
      <x:c r="I323" s="2" t="str"/>
      <x:c r="J323" s="2" t="n">
        <x:v>11</x:v>
      </x:c>
      <x:c r="K323" s="8" t="n">
        <x:v>46294</x:v>
      </x:c>
    </x:row>
    <x:row r="324" ht="22" customHeight="1">
      <x:c r="A324" s="7" t="n">
        <x:v>45352</x:v>
      </x:c>
      <x:c r="B324" s="2" t="str">
        <x:v>84864000900</x:v>
      </x:c>
      <x:c r="C324" s="2" t="str">
        <x:v>848640</x:v>
      </x:c>
      <x:c r="D324" s="2" t="str">
        <x:v>組立・搬送等の装置（類注11C）</x:v>
      </x:c>
      <x:c r="E324" s="9" t="n">
        <x:v>9031518</x:v>
      </x:c>
      <x:c r="F324" s="9" t="n">
        <x:f>IF(G324="利用可",E324,"")</x:f>
        <x:v>9031518</x:v>
      </x:c>
      <x:c r="G324" s="2" t="str">
        <x:v>利用可</x:v>
      </x:c>
      <x:c r="H324" s="9" t="n">
        <x:v>8691202</x:v>
      </x:c>
      <x:c r="I324" s="2" t="str"/>
      <x:c r="J324" s="2" t="n">
        <x:v>11</x:v>
      </x:c>
      <x:c r="K324" s="8" t="n">
        <x:v>46294</x:v>
      </x:c>
    </x:row>
    <x:row r="325" ht="22" customHeight="1">
      <x:c r="A325" s="7" t="n">
        <x:v>45383</x:v>
      </x:c>
      <x:c r="B325" s="2" t="str">
        <x:v>84864000900</x:v>
      </x:c>
      <x:c r="C325" s="2" t="str">
        <x:v>848640</x:v>
      </x:c>
      <x:c r="D325" s="2" t="str">
        <x:v>組立・搬送等の装置（類注11C）</x:v>
      </x:c>
      <x:c r="E325" s="9" t="n">
        <x:v>8728067</x:v>
      </x:c>
      <x:c r="F325" s="9" t="n">
        <x:f>IF(G325="利用可",E325,"")</x:f>
        <x:v>8728067</x:v>
      </x:c>
      <x:c r="G325" s="2" t="str">
        <x:v>利用可</x:v>
      </x:c>
      <x:c r="H325" s="9" t="n">
        <x:v>9400695</x:v>
      </x:c>
      <x:c r="I325" s="2" t="str"/>
      <x:c r="J325" s="2" t="n">
        <x:v>11</x:v>
      </x:c>
      <x:c r="K325" s="8" t="n">
        <x:v>46294</x:v>
      </x:c>
    </x:row>
    <x:row r="326" ht="22" customHeight="1">
      <x:c r="A326" s="7" t="n">
        <x:v>45413</x:v>
      </x:c>
      <x:c r="B326" s="2" t="str">
        <x:v>84864000900</x:v>
      </x:c>
      <x:c r="C326" s="2" t="str">
        <x:v>848640</x:v>
      </x:c>
      <x:c r="D326" s="2" t="str">
        <x:v>組立・搬送等の装置（類注11C）</x:v>
      </x:c>
      <x:c r="E326" s="9" t="n">
        <x:v>9079213</x:v>
      </x:c>
      <x:c r="F326" s="9" t="n">
        <x:f>IF(G326="利用可",E326,"")</x:f>
        <x:v>9079213</x:v>
      </x:c>
      <x:c r="G326" s="2" t="str">
        <x:v>利用可</x:v>
      </x:c>
      <x:c r="H326" s="9" t="n">
        <x:v>8836441</x:v>
      </x:c>
      <x:c r="I326" s="2" t="str"/>
      <x:c r="J326" s="2" t="n">
        <x:v>11</x:v>
      </x:c>
      <x:c r="K326" s="8" t="n">
        <x:v>46294</x:v>
      </x:c>
    </x:row>
    <x:row r="327" ht="22" customHeight="1">
      <x:c r="A327" s="7" t="n">
        <x:v>45444</x:v>
      </x:c>
      <x:c r="B327" s="2" t="str">
        <x:v>84864000900</x:v>
      </x:c>
      <x:c r="C327" s="2" t="str">
        <x:v>848640</x:v>
      </x:c>
      <x:c r="D327" s="2" t="str">
        <x:v>組立・搬送等の装置（類注11C）</x:v>
      </x:c>
      <x:c r="E327" s="9" t="n">
        <x:v>6725344</x:v>
      </x:c>
      <x:c r="F327" s="9" t="n">
        <x:f>IF(G327="利用可",E327,"")</x:f>
        <x:v>6725344</x:v>
      </x:c>
      <x:c r="G327" s="2" t="str">
        <x:v>利用可</x:v>
      </x:c>
      <x:c r="H327" s="9" t="n">
        <x:v>4423202</x:v>
      </x:c>
      <x:c r="I327" s="2" t="str"/>
      <x:c r="J327" s="2" t="n">
        <x:v>11</x:v>
      </x:c>
      <x:c r="K327" s="8" t="n">
        <x:v>46294</x:v>
      </x:c>
    </x:row>
    <x:row r="328" ht="22" customHeight="1">
      <x:c r="A328" s="7" t="n">
        <x:v>45474</x:v>
      </x:c>
      <x:c r="B328" s="2" t="str">
        <x:v>84864000900</x:v>
      </x:c>
      <x:c r="C328" s="2" t="str">
        <x:v>848640</x:v>
      </x:c>
      <x:c r="D328" s="2" t="str">
        <x:v>組立・搬送等の装置（類注11C）</x:v>
      </x:c>
      <x:c r="E328" s="9" t="n">
        <x:v>7759603</x:v>
      </x:c>
      <x:c r="F328" s="9" t="n">
        <x:f>IF(G328="利用可",E328,"")</x:f>
        <x:v>7759603</x:v>
      </x:c>
      <x:c r="G328" s="2" t="str">
        <x:v>利用可</x:v>
      </x:c>
      <x:c r="H328" s="9" t="n">
        <x:v>10542841</x:v>
      </x:c>
      <x:c r="I328" s="2" t="str"/>
      <x:c r="J328" s="2" t="n">
        <x:v>11</x:v>
      </x:c>
      <x:c r="K328" s="8" t="n">
        <x:v>46294</x:v>
      </x:c>
    </x:row>
    <x:row r="329" ht="22" customHeight="1">
      <x:c r="A329" s="7" t="n">
        <x:v>45505</x:v>
      </x:c>
      <x:c r="B329" s="2" t="str">
        <x:v>84864000900</x:v>
      </x:c>
      <x:c r="C329" s="2" t="str">
        <x:v>848640</x:v>
      </x:c>
      <x:c r="D329" s="2" t="str">
        <x:v>組立・搬送等の装置（類注11C）</x:v>
      </x:c>
      <x:c r="E329" s="9" t="n">
        <x:v>9179014</x:v>
      </x:c>
      <x:c r="F329" s="9" t="n">
        <x:f>IF(G329="利用可",E329,"")</x:f>
        <x:v>9179014</x:v>
      </x:c>
      <x:c r="G329" s="2" t="str">
        <x:v>利用可</x:v>
      </x:c>
      <x:c r="H329" s="9" t="n">
        <x:v>9283536</x:v>
      </x:c>
      <x:c r="I329" s="2" t="str"/>
      <x:c r="J329" s="2" t="n">
        <x:v>11</x:v>
      </x:c>
      <x:c r="K329" s="8" t="n">
        <x:v>46294</x:v>
      </x:c>
    </x:row>
    <x:row r="330" ht="22" customHeight="1">
      <x:c r="A330" s="7" t="n">
        <x:v>45536</x:v>
      </x:c>
      <x:c r="B330" s="2" t="str">
        <x:v>84864000900</x:v>
      </x:c>
      <x:c r="C330" s="2" t="str">
        <x:v>848640</x:v>
      </x:c>
      <x:c r="D330" s="2" t="str">
        <x:v>組立・搬送等の装置（類注11C）</x:v>
      </x:c>
      <x:c r="E330" s="9" t="n">
        <x:v>9549449</x:v>
      </x:c>
      <x:c r="F330" s="9" t="n">
        <x:f>IF(G330="利用可",E330,"")</x:f>
        <x:v>9549449</x:v>
      </x:c>
      <x:c r="G330" s="2" t="str">
        <x:v>利用可</x:v>
      </x:c>
      <x:c r="H330" s="9" t="n">
        <x:v>5736975</x:v>
      </x:c>
      <x:c r="I330" s="2" t="str"/>
      <x:c r="J330" s="2" t="n">
        <x:v>11</x:v>
      </x:c>
      <x:c r="K330" s="8" t="n">
        <x:v>46294</x:v>
      </x:c>
    </x:row>
    <x:row r="331" ht="22" customHeight="1">
      <x:c r="A331" s="7" t="n">
        <x:v>45566</x:v>
      </x:c>
      <x:c r="B331" s="2" t="str">
        <x:v>84864000900</x:v>
      </x:c>
      <x:c r="C331" s="2" t="str">
        <x:v>848640</x:v>
      </x:c>
      <x:c r="D331" s="2" t="str">
        <x:v>組立・搬送等の装置（類注11C）</x:v>
      </x:c>
      <x:c r="E331" s="9" t="n">
        <x:v>12331414</x:v>
      </x:c>
      <x:c r="F331" s="9" t="n">
        <x:f>IF(G331="利用可",E331,"")</x:f>
        <x:v>12331414</x:v>
      </x:c>
      <x:c r="G331" s="2" t="str">
        <x:v>利用可</x:v>
      </x:c>
      <x:c r="H331" s="9" t="n">
        <x:v>9878772</x:v>
      </x:c>
      <x:c r="I331" s="2" t="str"/>
      <x:c r="J331" s="2" t="n">
        <x:v>11</x:v>
      </x:c>
      <x:c r="K331" s="8" t="n">
        <x:v>46294</x:v>
      </x:c>
    </x:row>
    <x:row r="332" ht="22" customHeight="1">
      <x:c r="A332" s="7" t="n">
        <x:v>45597</x:v>
      </x:c>
      <x:c r="B332" s="2" t="str">
        <x:v>84864000900</x:v>
      </x:c>
      <x:c r="C332" s="2" t="str">
        <x:v>848640</x:v>
      </x:c>
      <x:c r="D332" s="2" t="str">
        <x:v>組立・搬送等の装置（類注11C）</x:v>
      </x:c>
      <x:c r="E332" s="9" t="n">
        <x:v>10175472</x:v>
      </x:c>
      <x:c r="F332" s="9" t="n">
        <x:f>IF(G332="利用可",E332,"")</x:f>
        <x:v>10175472</x:v>
      </x:c>
      <x:c r="G332" s="2" t="str">
        <x:v>利用可</x:v>
      </x:c>
      <x:c r="H332" s="9" t="n">
        <x:v>5060341</x:v>
      </x:c>
      <x:c r="I332" s="2" t="str"/>
      <x:c r="J332" s="2" t="n">
        <x:v>11</x:v>
      </x:c>
      <x:c r="K332" s="8" t="n">
        <x:v>46294</x:v>
      </x:c>
    </x:row>
    <x:row r="333" ht="22" customHeight="1">
      <x:c r="A333" s="7" t="n">
        <x:v>45627</x:v>
      </x:c>
      <x:c r="B333" s="2" t="str">
        <x:v>84864000900</x:v>
      </x:c>
      <x:c r="C333" s="2" t="str">
        <x:v>848640</x:v>
      </x:c>
      <x:c r="D333" s="2" t="str">
        <x:v>組立・搬送等の装置（類注11C）</x:v>
      </x:c>
      <x:c r="E333" s="9" t="n">
        <x:v>14952952</x:v>
      </x:c>
      <x:c r="F333" s="9" t="n">
        <x:f>IF(G333="利用可",E333,"")</x:f>
        <x:v>14952952</x:v>
      </x:c>
      <x:c r="G333" s="2" t="str">
        <x:v>利用可</x:v>
      </x:c>
      <x:c r="H333" s="9" t="n">
        <x:v>6767950</x:v>
      </x:c>
      <x:c r="I333" s="2" t="str"/>
      <x:c r="J333" s="2" t="n">
        <x:v>11</x:v>
      </x:c>
      <x:c r="K333" s="8" t="n">
        <x:v>46294</x:v>
      </x:c>
    </x:row>
    <x:row r="334" ht="22" customHeight="1">
      <x:c r="A334" s="7" t="n">
        <x:v>45658</x:v>
      </x:c>
      <x:c r="B334" s="2" t="str">
        <x:v>84864000900</x:v>
      </x:c>
      <x:c r="C334" s="2" t="str">
        <x:v>848640</x:v>
      </x:c>
      <x:c r="D334" s="2" t="str">
        <x:v>組立・搬送等の装置（類注11C）</x:v>
      </x:c>
      <x:c r="E334" s="9" t="n">
        <x:v>5131709</x:v>
      </x:c>
      <x:c r="F334" s="9" t="n">
        <x:f>IF(G334="利用可",E334,"")</x:f>
        <x:v>5131709</x:v>
      </x:c>
      <x:c r="G334" s="2" t="str">
        <x:v>利用可</x:v>
      </x:c>
      <x:c r="H334" s="9" t="n">
        <x:v>2644410</x:v>
      </x:c>
      <x:c r="I334" s="2" t="str"/>
      <x:c r="J334" s="2" t="n">
        <x:v>11</x:v>
      </x:c>
      <x:c r="K334" s="8" t="n">
        <x:v>46294</x:v>
      </x:c>
    </x:row>
    <x:row r="335" ht="22" customHeight="1">
      <x:c r="A335" s="7" t="n">
        <x:v>45689</x:v>
      </x:c>
      <x:c r="B335" s="2" t="str">
        <x:v>84864000900</x:v>
      </x:c>
      <x:c r="C335" s="2" t="str">
        <x:v>848640</x:v>
      </x:c>
      <x:c r="D335" s="2" t="str">
        <x:v>組立・搬送等の装置（類注11C）</x:v>
      </x:c>
      <x:c r="E335" s="9" t="n">
        <x:v>10862554</x:v>
      </x:c>
      <x:c r="F335" s="9" t="n">
        <x:f>IF(G335="利用可",E335,"")</x:f>
        <x:v>10862554</x:v>
      </x:c>
      <x:c r="G335" s="2" t="str">
        <x:v>利用可</x:v>
      </x:c>
      <x:c r="H335" s="9" t="n">
        <x:v>11694422</x:v>
      </x:c>
      <x:c r="I335" s="2" t="str"/>
      <x:c r="J335" s="2" t="n">
        <x:v>11</x:v>
      </x:c>
      <x:c r="K335" s="8" t="n">
        <x:v>46294</x:v>
      </x:c>
    </x:row>
    <x:row r="336" ht="22" customHeight="1">
      <x:c r="A336" s="7" t="n">
        <x:v>45717</x:v>
      </x:c>
      <x:c r="B336" s="2" t="str">
        <x:v>84864000900</x:v>
      </x:c>
      <x:c r="C336" s="2" t="str">
        <x:v>848640</x:v>
      </x:c>
      <x:c r="D336" s="2" t="str">
        <x:v>組立・搬送等の装置（類注11C）</x:v>
      </x:c>
      <x:c r="E336" s="9" t="n">
        <x:v>9358366</x:v>
      </x:c>
      <x:c r="F336" s="9" t="n">
        <x:f>IF(G336="利用可",E336,"")</x:f>
        <x:v>9358366</x:v>
      </x:c>
      <x:c r="G336" s="2" t="str">
        <x:v>利用可</x:v>
      </x:c>
      <x:c r="H336" s="9" t="n">
        <x:v>9031518</x:v>
      </x:c>
      <x:c r="I336" s="2" t="str"/>
      <x:c r="J336" s="2" t="n">
        <x:v>11</x:v>
      </x:c>
      <x:c r="K336" s="8" t="n">
        <x:v>46294</x:v>
      </x:c>
    </x:row>
    <x:row r="337" ht="22" customHeight="1">
      <x:c r="A337" s="7" t="n">
        <x:v>45748</x:v>
      </x:c>
      <x:c r="B337" s="2" t="str">
        <x:v>84864000900</x:v>
      </x:c>
      <x:c r="C337" s="2" t="str">
        <x:v>848640</x:v>
      </x:c>
      <x:c r="D337" s="2" t="str">
        <x:v>組立・搬送等の装置（類注11C）</x:v>
      </x:c>
      <x:c r="E337" s="9" t="n">
        <x:v>8739343</x:v>
      </x:c>
      <x:c r="F337" s="9" t="n">
        <x:f>IF(G337="利用可",E337,"")</x:f>
        <x:v>8739343</x:v>
      </x:c>
      <x:c r="G337" s="2" t="str">
        <x:v>利用可</x:v>
      </x:c>
      <x:c r="H337" s="9" t="n">
        <x:v>8728067</x:v>
      </x:c>
      <x:c r="I337" s="2" t="str"/>
      <x:c r="J337" s="2" t="n">
        <x:v>11</x:v>
      </x:c>
      <x:c r="K337" s="8" t="n">
        <x:v>46294</x:v>
      </x:c>
    </x:row>
    <x:row r="338" ht="22" customHeight="1">
      <x:c r="A338" s="7" t="n">
        <x:v>45778</x:v>
      </x:c>
      <x:c r="B338" s="2" t="str">
        <x:v>84864000900</x:v>
      </x:c>
      <x:c r="C338" s="2" t="str">
        <x:v>848640</x:v>
      </x:c>
      <x:c r="D338" s="2" t="str">
        <x:v>組立・搬送等の装置（類注11C）</x:v>
      </x:c>
      <x:c r="E338" s="9" t="n">
        <x:v>15675645</x:v>
      </x:c>
      <x:c r="F338" s="9" t="n">
        <x:f>IF(G338="利用可",E338,"")</x:f>
        <x:v>15675645</x:v>
      </x:c>
      <x:c r="G338" s="2" t="str">
        <x:v>利用可</x:v>
      </x:c>
      <x:c r="H338" s="9" t="n">
        <x:v>9079213</x:v>
      </x:c>
      <x:c r="I338" s="2" t="str"/>
      <x:c r="J338" s="2" t="n">
        <x:v>11</x:v>
      </x:c>
      <x:c r="K338" s="8" t="n">
        <x:v>46294</x:v>
      </x:c>
    </x:row>
    <x:row r="339" ht="22" customHeight="1">
      <x:c r="A339" s="7" t="n">
        <x:v>45809</x:v>
      </x:c>
      <x:c r="B339" s="2" t="str">
        <x:v>84864000900</x:v>
      </x:c>
      <x:c r="C339" s="2" t="str">
        <x:v>848640</x:v>
      </x:c>
      <x:c r="D339" s="2" t="str">
        <x:v>組立・搬送等の装置（類注11C）</x:v>
      </x:c>
      <x:c r="E339" s="9" t="n">
        <x:v>18839279</x:v>
      </x:c>
      <x:c r="F339" s="9" t="n">
        <x:f>IF(G339="利用可",E339,"")</x:f>
        <x:v>18839279</x:v>
      </x:c>
      <x:c r="G339" s="2" t="str">
        <x:v>利用可</x:v>
      </x:c>
      <x:c r="H339" s="9" t="n">
        <x:v>6725344</x:v>
      </x:c>
      <x:c r="I339" s="2" t="str"/>
      <x:c r="J339" s="2" t="n">
        <x:v>11</x:v>
      </x:c>
      <x:c r="K339" s="8" t="n">
        <x:v>46294</x:v>
      </x:c>
    </x:row>
    <x:row r="340" ht="22" customHeight="1">
      <x:c r="A340" s="7" t="n">
        <x:v>45839</x:v>
      </x:c>
      <x:c r="B340" s="2" t="str">
        <x:v>84864000900</x:v>
      </x:c>
      <x:c r="C340" s="2" t="str">
        <x:v>848640</x:v>
      </x:c>
      <x:c r="D340" s="2" t="str">
        <x:v>組立・搬送等の装置（類注11C）</x:v>
      </x:c>
      <x:c r="E340" s="9" t="n">
        <x:v>11744059</x:v>
      </x:c>
      <x:c r="F340" s="9" t="n">
        <x:f>IF(G340="利用可",E340,"")</x:f>
        <x:v>11744059</x:v>
      </x:c>
      <x:c r="G340" s="2" t="str">
        <x:v>利用可</x:v>
      </x:c>
      <x:c r="H340" s="9" t="n">
        <x:v>7759603</x:v>
      </x:c>
      <x:c r="I340" s="2" t="str"/>
      <x:c r="J340" s="2" t="n">
        <x:v>11</x:v>
      </x:c>
      <x:c r="K340" s="8" t="n">
        <x:v>46294</x:v>
      </x:c>
    </x:row>
    <x:row r="341" ht="22" customHeight="1">
      <x:c r="A341" s="7" t="n">
        <x:v>45870</x:v>
      </x:c>
      <x:c r="B341" s="2" t="str">
        <x:v>84864000900</x:v>
      </x:c>
      <x:c r="C341" s="2" t="str">
        <x:v>848640</x:v>
      </x:c>
      <x:c r="D341" s="2" t="str">
        <x:v>組立・搬送等の装置（類注11C）</x:v>
      </x:c>
      <x:c r="E341" s="9" t="n">
        <x:v>13405237</x:v>
      </x:c>
      <x:c r="F341" s="9" t="n">
        <x:f>IF(G341="利用可",E341,"")</x:f>
        <x:v>13405237</x:v>
      </x:c>
      <x:c r="G341" s="2" t="str">
        <x:v>利用可</x:v>
      </x:c>
      <x:c r="H341" s="9" t="n">
        <x:v>9179014</x:v>
      </x:c>
      <x:c r="I341" s="2" t="str"/>
      <x:c r="J341" s="2" t="n">
        <x:v>11</x:v>
      </x:c>
      <x:c r="K341" s="8" t="n">
        <x:v>46294</x:v>
      </x:c>
    </x:row>
    <x:row r="342" ht="22" customHeight="1">
      <x:c r="A342" s="7" t="n">
        <x:v>45901</x:v>
      </x:c>
      <x:c r="B342" s="2" t="str">
        <x:v>84864000900</x:v>
      </x:c>
      <x:c r="C342" s="2" t="str">
        <x:v>848640</x:v>
      </x:c>
      <x:c r="D342" s="2" t="str">
        <x:v>組立・搬送等の装置（類注11C）</x:v>
      </x:c>
      <x:c r="E342" s="9" t="n">
        <x:v>11752339</x:v>
      </x:c>
      <x:c r="F342" s="9" t="n">
        <x:f>IF(G342="利用可",E342,"")</x:f>
        <x:v>11752339</x:v>
      </x:c>
      <x:c r="G342" s="2" t="str">
        <x:v>利用可</x:v>
      </x:c>
      <x:c r="H342" s="9" t="n">
        <x:v>9549449</x:v>
      </x:c>
      <x:c r="I342" s="2" t="str"/>
      <x:c r="J342" s="2" t="n">
        <x:v>11</x:v>
      </x:c>
      <x:c r="K342" s="8" t="n">
        <x:v>46294</x:v>
      </x:c>
    </x:row>
    <x:row r="343" ht="22" customHeight="1">
      <x:c r="A343" s="7" t="n">
        <x:v>45931</x:v>
      </x:c>
      <x:c r="B343" s="2" t="str">
        <x:v>84864000900</x:v>
      </x:c>
      <x:c r="C343" s="2" t="str">
        <x:v>848640</x:v>
      </x:c>
      <x:c r="D343" s="2" t="str">
        <x:v>組立・搬送等の装置（類注11C）</x:v>
      </x:c>
      <x:c r="E343" s="9" t="n">
        <x:v>13349006</x:v>
      </x:c>
      <x:c r="F343" s="9" t="n">
        <x:f>IF(G343="利用可",E343,"")</x:f>
        <x:v>13349006</x:v>
      </x:c>
      <x:c r="G343" s="2" t="str">
        <x:v>利用可</x:v>
      </x:c>
      <x:c r="H343" s="9" t="n">
        <x:v>12331414</x:v>
      </x:c>
      <x:c r="I343" s="2" t="str"/>
      <x:c r="J343" s="2" t="n">
        <x:v>11</x:v>
      </x:c>
      <x:c r="K343" s="8" t="n">
        <x:v>46294</x:v>
      </x:c>
    </x:row>
    <x:row r="344" ht="22" customHeight="1">
      <x:c r="A344" s="7" t="n">
        <x:v>45962</x:v>
      </x:c>
      <x:c r="B344" s="2" t="str">
        <x:v>84864000900</x:v>
      </x:c>
      <x:c r="C344" s="2" t="str">
        <x:v>848640</x:v>
      </x:c>
      <x:c r="D344" s="2" t="str">
        <x:v>組立・搬送等の装置（類注11C）</x:v>
      </x:c>
      <x:c r="E344" s="9" t="n">
        <x:v>10200936</x:v>
      </x:c>
      <x:c r="F344" s="9" t="n">
        <x:f>IF(G344="利用可",E344,"")</x:f>
        <x:v>10200936</x:v>
      </x:c>
      <x:c r="G344" s="2" t="str">
        <x:v>利用可</x:v>
      </x:c>
      <x:c r="H344" s="9" t="n">
        <x:v>10175472</x:v>
      </x:c>
      <x:c r="I344" s="2" t="str"/>
      <x:c r="J344" s="2" t="n">
        <x:v>11</x:v>
      </x:c>
      <x:c r="K344" s="8" t="n">
        <x:v>46294</x:v>
      </x:c>
    </x:row>
    <x:row r="345" ht="22" customHeight="1">
      <x:c r="A345" s="7" t="n">
        <x:v>45992</x:v>
      </x:c>
      <x:c r="B345" s="2" t="str">
        <x:v>84864000900</x:v>
      </x:c>
      <x:c r="C345" s="2" t="str">
        <x:v>848640</x:v>
      </x:c>
      <x:c r="D345" s="2" t="str">
        <x:v>組立・搬送等の装置（類注11C）</x:v>
      </x:c>
      <x:c r="E345" s="9" t="n">
        <x:v>10535466</x:v>
      </x:c>
      <x:c r="F345" s="9" t="n">
        <x:f>IF(G345="利用可",E345,"")</x:f>
        <x:v>10535466</x:v>
      </x:c>
      <x:c r="G345" s="2" t="str">
        <x:v>利用可</x:v>
      </x:c>
      <x:c r="H345" s="9" t="n">
        <x:v>14952952</x:v>
      </x:c>
      <x:c r="I345" s="2" t="str"/>
      <x:c r="J345" s="2" t="n">
        <x:v>11</x:v>
      </x:c>
      <x:c r="K345" s="8" t="n">
        <x:v>46294</x:v>
      </x:c>
    </x:row>
    <x:row r="346" ht="22" customHeight="1">
      <x:c r="A346" s="7" t="n">
        <x:v>46023</x:v>
      </x:c>
      <x:c r="B346" s="2" t="str">
        <x:v>84864000900</x:v>
      </x:c>
      <x:c r="C346" s="2" t="str">
        <x:v>848640</x:v>
      </x:c>
      <x:c r="D346" s="2" t="str">
        <x:v>組立・搬送等の装置（類注11C）</x:v>
      </x:c>
      <x:c r="E346" s="9" t="n">
        <x:v>8096540</x:v>
      </x:c>
      <x:c r="F346" s="9" t="n">
        <x:f>IF(G346="利用可",E346,"")</x:f>
        <x:v>8096540</x:v>
      </x:c>
      <x:c r="G346" s="2" t="str">
        <x:v>利用可</x:v>
      </x:c>
      <x:c r="H346" s="9" t="n">
        <x:v>5131709</x:v>
      </x:c>
      <x:c r="I346" s="2" t="str"/>
      <x:c r="J346" s="2" t="n">
        <x:v>11</x:v>
      </x:c>
      <x:c r="K346" s="8" t="n">
        <x:v>46294</x:v>
      </x:c>
    </x:row>
    <x:row r="347" ht="22" customHeight="1">
      <x:c r="A347" s="7" t="n">
        <x:v>46054</x:v>
      </x:c>
      <x:c r="B347" s="2" t="str">
        <x:v>84864000900</x:v>
      </x:c>
      <x:c r="C347" s="2" t="str">
        <x:v>848640</x:v>
      </x:c>
      <x:c r="D347" s="2" t="str">
        <x:v>組立・搬送等の装置（類注11C）</x:v>
      </x:c>
      <x:c r="E347" s="9" t="n">
        <x:v>5403325</x:v>
      </x:c>
      <x:c r="F347" s="9" t="n">
        <x:f>IF(G347="利用可",E347,"")</x:f>
        <x:v>5403325</x:v>
      </x:c>
      <x:c r="G347" s="2" t="str">
        <x:v>利用可</x:v>
      </x:c>
      <x:c r="H347" s="9" t="n">
        <x:v>10862554</x:v>
      </x:c>
      <x:c r="I347" s="2" t="str"/>
      <x:c r="J347" s="2" t="n">
        <x:v>11</x:v>
      </x:c>
      <x:c r="K347" s="8" t="n">
        <x:v>46294</x:v>
      </x:c>
    </x:row>
    <x:row r="348" ht="22" customHeight="1">
      <x:c r="A348" s="7" t="n">
        <x:v>46082</x:v>
      </x:c>
      <x:c r="B348" s="2" t="str">
        <x:v>84864000900</x:v>
      </x:c>
      <x:c r="C348" s="2" t="str">
        <x:v>848640</x:v>
      </x:c>
      <x:c r="D348" s="2" t="str">
        <x:v>組立・搬送等の装置（類注11C）</x:v>
      </x:c>
      <x:c r="E348" s="9" t="n">
        <x:v>12934515</x:v>
      </x:c>
      <x:c r="F348" s="9" t="n">
        <x:f>IF(G348="利用可",E348,"")</x:f>
        <x:v>12934515</x:v>
      </x:c>
      <x:c r="G348" s="2" t="str">
        <x:v>利用可</x:v>
      </x:c>
      <x:c r="H348" s="9" t="n">
        <x:v>9358366</x:v>
      </x:c>
      <x:c r="I348" s="2" t="str"/>
      <x:c r="J348" s="2" t="n">
        <x:v>11</x:v>
      </x:c>
      <x:c r="K348" s="8" t="n">
        <x:v>46294</x:v>
      </x:c>
    </x:row>
    <x:row r="349" ht="22" customHeight="1">
      <x:c r="A349" s="7" t="n">
        <x:v>46113</x:v>
      </x:c>
      <x:c r="B349" s="2" t="str">
        <x:v>84864000900</x:v>
      </x:c>
      <x:c r="C349" s="2" t="str">
        <x:v>848640</x:v>
      </x:c>
      <x:c r="D349" s="2" t="str">
        <x:v>組立・搬送等の装置（類注11C）</x:v>
      </x:c>
      <x:c r="E349" s="9" t="n">
        <x:v>9852994</x:v>
      </x:c>
      <x:c r="F349" s="9" t="n">
        <x:f>IF(G349="利用可",E349,"")</x:f>
        <x:v>9852994</x:v>
      </x:c>
      <x:c r="G349" s="2" t="str">
        <x:v>利用可</x:v>
      </x:c>
      <x:c r="H349" s="9" t="n">
        <x:v>8739343</x:v>
      </x:c>
      <x:c r="I349" s="2" t="str"/>
      <x:c r="J349" s="2" t="n">
        <x:v>11</x:v>
      </x:c>
      <x:c r="K349" s="8" t="n">
        <x:v>46294</x:v>
      </x:c>
    </x:row>
    <x:row r="350" ht="22" customHeight="1">
      <x:c r="A350" s="7" t="n">
        <x:v>46143</x:v>
      </x:c>
      <x:c r="B350" s="2" t="str">
        <x:v>84864000900</x:v>
      </x:c>
      <x:c r="C350" s="2" t="str">
        <x:v>848640</x:v>
      </x:c>
      <x:c r="D350" s="2" t="str">
        <x:v>組立・搬送等の装置（類注11C）</x:v>
      </x:c>
      <x:c r="E350" s="9" t="n">
        <x:v>14736892</x:v>
      </x:c>
      <x:c r="F350" s="9" t="n">
        <x:f>IF(G350="利用可",E350,"")</x:f>
        <x:v>14736892</x:v>
      </x:c>
      <x:c r="G350" s="2" t="str">
        <x:v>利用可</x:v>
      </x:c>
      <x:c r="H350" s="9" t="n">
        <x:v>15675645</x:v>
      </x:c>
      <x:c r="I350" s="2" t="str"/>
      <x:c r="J350" s="2" t="n">
        <x:v>11</x:v>
      </x:c>
      <x:c r="K350" s="8" t="n">
        <x:v>46294</x:v>
      </x:c>
    </x:row>
    <x:row r="351" ht="22" customHeight="1">
      <x:c r="A351" s="7" t="n">
        <x:v>46174</x:v>
      </x:c>
      <x:c r="B351" s="2" t="str">
        <x:v>84864000900</x:v>
      </x:c>
      <x:c r="C351" s="2" t="str">
        <x:v>848640</x:v>
      </x:c>
      <x:c r="D351" s="2" t="str">
        <x:v>組立・搬送等の装置（類注11C）</x:v>
      </x:c>
      <x:c r="E351" s="9" t="n">
        <x:v>19144319</x:v>
      </x:c>
      <x:c r="F351" s="9" t="n">
        <x:f>IF(G351="利用可",E351,"")</x:f>
        <x:v>19144319</x:v>
      </x:c>
      <x:c r="G351" s="2" t="str">
        <x:v>利用可</x:v>
      </x:c>
      <x:c r="H351" s="9" t="n">
        <x:v>18839279</x:v>
      </x:c>
      <x:c r="I351" s="2" t="str"/>
      <x:c r="J351" s="2" t="n">
        <x:v>11</x:v>
      </x:c>
      <x:c r="K351" s="8" t="n">
        <x:v>46294</x:v>
      </x:c>
    </x:row>
    <x:row r="352" ht="22" customHeight="1">
      <x:c r="A352" s="7" t="n">
        <x:v>46204</x:v>
      </x:c>
      <x:c r="B352" s="2" t="str">
        <x:v>84864000900</x:v>
      </x:c>
      <x:c r="C352" s="2" t="str">
        <x:v>848640</x:v>
      </x:c>
      <x:c r="D352" s="2" t="str">
        <x:v>組立・搬送等の装置（類注11C）</x:v>
      </x:c>
      <x:c r="E352" s="9" t="n">
        <x:v>16723853</x:v>
      </x:c>
      <x:c r="F352" s="9" t="n">
        <x:f>IF(G352="利用可",E352,"")</x:f>
        <x:v>16723853</x:v>
      </x:c>
      <x:c r="G352" s="2" t="str">
        <x:v>利用可</x:v>
      </x:c>
      <x:c r="H352" s="9" t="n">
        <x:v>11744059</x:v>
      </x:c>
      <x:c r="I352" s="2" t="str"/>
      <x:c r="J352" s="2" t="n">
        <x:v>11</x:v>
      </x:c>
      <x:c r="K352" s="8" t="n">
        <x:v>46294</x:v>
      </x:c>
    </x:row>
    <x:row r="353" ht="22" customHeight="1">
      <x:c r="A353" s="7" t="n">
        <x:v>46235</x:v>
      </x:c>
      <x:c r="B353" s="2" t="str">
        <x:v>84864000900</x:v>
      </x:c>
      <x:c r="C353" s="2" t="str">
        <x:v>848640</x:v>
      </x:c>
      <x:c r="D353" s="2" t="str">
        <x:v>組立・搬送等の装置（類注11C）</x:v>
      </x:c>
      <x:c r="E353" s="9" t="n">
        <x:v>13952558</x:v>
      </x:c>
      <x:c r="F353" s="9" t="n">
        <x:f>IF(G353="利用可",E353,"")</x:f>
        <x:v>13952558</x:v>
      </x:c>
      <x:c r="G353" s="2" t="str">
        <x:v>利用可</x:v>
      </x:c>
      <x:c r="H353" s="9" t="n">
        <x:v>13405237</x:v>
      </x:c>
      <x:c r="I353" s="2" t="str"/>
      <x:c r="J353" s="2" t="n">
        <x:v>11</x:v>
      </x:c>
      <x:c r="K353" s="8" t="n">
        <x:v>46294</x:v>
      </x:c>
    </x:row>
    <x:row r="354" ht="22" customHeight="1">
      <x:c r="A354" s="7" t="n">
        <x:v>44927</x:v>
      </x:c>
      <x:c r="B354" s="2" t="str">
        <x:v>84869000106</x:v>
      </x:c>
      <x:c r="C354" s="2" t="str">
        <x:v>848690</x:v>
      </x:c>
      <x:c r="D354" s="2" t="str">
        <x:v>CVD装置部品</x:v>
      </x:c>
      <x:c r="E354" s="9" t="n">
        <x:v>10344169</x:v>
      </x:c>
      <x:c r="F354" s="9" t="n">
        <x:f>IF(G354="利用可",E354,"")</x:f>
        <x:v>10344169</x:v>
      </x:c>
      <x:c r="G354" s="2" t="str">
        <x:v>利用可</x:v>
      </x:c>
      <x:c r="H354" s="9" t="n">
        <x:v>5718514</x:v>
      </x:c>
      <x:c r="I354" s="2" t="str"/>
      <x:c r="J354" s="2" t="n">
        <x:v>11</x:v>
      </x:c>
      <x:c r="K354" s="8" t="n">
        <x:v>46294</x:v>
      </x:c>
    </x:row>
    <x:row r="355" ht="22" customHeight="1">
      <x:c r="A355" s="7" t="n">
        <x:v>44958</x:v>
      </x:c>
      <x:c r="B355" s="2" t="str">
        <x:v>84869000106</x:v>
      </x:c>
      <x:c r="C355" s="2" t="str">
        <x:v>848690</x:v>
      </x:c>
      <x:c r="D355" s="2" t="str">
        <x:v>CVD装置部品</x:v>
      </x:c>
      <x:c r="E355" s="9" t="n">
        <x:v>6292776</x:v>
      </x:c>
      <x:c r="F355" s="9" t="n">
        <x:f>IF(G355="利用可",E355,"")</x:f>
        <x:v>6292776</x:v>
      </x:c>
      <x:c r="G355" s="2" t="str">
        <x:v>利用可</x:v>
      </x:c>
      <x:c r="H355" s="9" t="n">
        <x:v>6731154</x:v>
      </x:c>
      <x:c r="I355" s="2" t="str"/>
      <x:c r="J355" s="2" t="n">
        <x:v>11</x:v>
      </x:c>
      <x:c r="K355" s="8" t="n">
        <x:v>46294</x:v>
      </x:c>
    </x:row>
    <x:row r="356" ht="22" customHeight="1">
      <x:c r="A356" s="7" t="n">
        <x:v>44986</x:v>
      </x:c>
      <x:c r="B356" s="2" t="str">
        <x:v>84869000106</x:v>
      </x:c>
      <x:c r="C356" s="2" t="str">
        <x:v>848690</x:v>
      </x:c>
      <x:c r="D356" s="2" t="str">
        <x:v>CVD装置部品</x:v>
      </x:c>
      <x:c r="E356" s="9" t="n">
        <x:v>3406855</x:v>
      </x:c>
      <x:c r="F356" s="9" t="n">
        <x:f>IF(G356="利用可",E356,"")</x:f>
        <x:v>3406855</x:v>
      </x:c>
      <x:c r="G356" s="2" t="str">
        <x:v>利用可</x:v>
      </x:c>
      <x:c r="H356" s="9" t="n">
        <x:v>4862011</x:v>
      </x:c>
      <x:c r="I356" s="2" t="str"/>
      <x:c r="J356" s="2" t="n">
        <x:v>11</x:v>
      </x:c>
      <x:c r="K356" s="8" t="n">
        <x:v>46294</x:v>
      </x:c>
    </x:row>
    <x:row r="357" ht="22" customHeight="1">
      <x:c r="A357" s="7" t="n">
        <x:v>45017</x:v>
      </x:c>
      <x:c r="B357" s="2" t="str">
        <x:v>84869000106</x:v>
      </x:c>
      <x:c r="C357" s="2" t="str">
        <x:v>848690</x:v>
      </x:c>
      <x:c r="D357" s="2" t="str">
        <x:v>CVD装置部品</x:v>
      </x:c>
      <x:c r="E357" s="9" t="n">
        <x:v>3046719</x:v>
      </x:c>
      <x:c r="F357" s="9" t="n">
        <x:f>IF(G357="利用可",E357,"")</x:f>
        <x:v>3046719</x:v>
      </x:c>
      <x:c r="G357" s="2" t="str">
        <x:v>利用可</x:v>
      </x:c>
      <x:c r="H357" s="9" t="n">
        <x:v>5621844</x:v>
      </x:c>
      <x:c r="I357" s="2" t="str"/>
      <x:c r="J357" s="2" t="n">
        <x:v>11</x:v>
      </x:c>
      <x:c r="K357" s="8" t="n">
        <x:v>46294</x:v>
      </x:c>
    </x:row>
    <x:row r="358" ht="22" customHeight="1">
      <x:c r="A358" s="7" t="n">
        <x:v>45047</x:v>
      </x:c>
      <x:c r="B358" s="2" t="str">
        <x:v>84869000106</x:v>
      </x:c>
      <x:c r="C358" s="2" t="str">
        <x:v>848690</x:v>
      </x:c>
      <x:c r="D358" s="2" t="str">
        <x:v>CVD装置部品</x:v>
      </x:c>
      <x:c r="E358" s="9" t="n">
        <x:v>2772316</x:v>
      </x:c>
      <x:c r="F358" s="9" t="n">
        <x:f>IF(G358="利用可",E358,"")</x:f>
        <x:v>2772316</x:v>
      </x:c>
      <x:c r="G358" s="2" t="str">
        <x:v>利用可</x:v>
      </x:c>
      <x:c r="H358" s="9" t="n">
        <x:v>4271241</x:v>
      </x:c>
      <x:c r="I358" s="2" t="str"/>
      <x:c r="J358" s="2" t="n">
        <x:v>11</x:v>
      </x:c>
      <x:c r="K358" s="8" t="n">
        <x:v>46294</x:v>
      </x:c>
    </x:row>
    <x:row r="359" ht="22" customHeight="1">
      <x:c r="A359" s="7" t="n">
        <x:v>45078</x:v>
      </x:c>
      <x:c r="B359" s="2" t="str">
        <x:v>84869000106</x:v>
      </x:c>
      <x:c r="C359" s="2" t="str">
        <x:v>848690</x:v>
      </x:c>
      <x:c r="D359" s="2" t="str">
        <x:v>CVD装置部品</x:v>
      </x:c>
      <x:c r="E359" s="9" t="n">
        <x:v>5106408</x:v>
      </x:c>
      <x:c r="F359" s="9" t="n">
        <x:f>IF(G359="利用可",E359,"")</x:f>
        <x:v>5106408</x:v>
      </x:c>
      <x:c r="G359" s="2" t="str">
        <x:v>利用可</x:v>
      </x:c>
      <x:c r="H359" s="9" t="n">
        <x:v>4881184</x:v>
      </x:c>
      <x:c r="I359" s="2" t="str"/>
      <x:c r="J359" s="2" t="n">
        <x:v>11</x:v>
      </x:c>
      <x:c r="K359" s="8" t="n">
        <x:v>46294</x:v>
      </x:c>
    </x:row>
    <x:row r="360" ht="22" customHeight="1">
      <x:c r="A360" s="7" t="n">
        <x:v>45108</x:v>
      </x:c>
      <x:c r="B360" s="2" t="str">
        <x:v>84869000106</x:v>
      </x:c>
      <x:c r="C360" s="2" t="str">
        <x:v>848690</x:v>
      </x:c>
      <x:c r="D360" s="2" t="str">
        <x:v>CVD装置部品</x:v>
      </x:c>
      <x:c r="E360" s="9" t="n">
        <x:v>4958533</x:v>
      </x:c>
      <x:c r="F360" s="9" t="n">
        <x:f>IF(G360="利用可",E360,"")</x:f>
        <x:v>4958533</x:v>
      </x:c>
      <x:c r="G360" s="2" t="str">
        <x:v>利用可</x:v>
      </x:c>
      <x:c r="H360" s="9" t="n">
        <x:v>4429047</x:v>
      </x:c>
      <x:c r="I360" s="2" t="str"/>
      <x:c r="J360" s="2" t="n">
        <x:v>11</x:v>
      </x:c>
      <x:c r="K360" s="8" t="n">
        <x:v>46294</x:v>
      </x:c>
    </x:row>
    <x:row r="361" ht="22" customHeight="1">
      <x:c r="A361" s="7" t="n">
        <x:v>45139</x:v>
      </x:c>
      <x:c r="B361" s="2" t="str">
        <x:v>84869000106</x:v>
      </x:c>
      <x:c r="C361" s="2" t="str">
        <x:v>848690</x:v>
      </x:c>
      <x:c r="D361" s="2" t="str">
        <x:v>CVD装置部品</x:v>
      </x:c>
      <x:c r="E361" s="9" t="n">
        <x:v>5220613</x:v>
      </x:c>
      <x:c r="F361" s="9" t="n">
        <x:f>IF(G361="利用可",E361,"")</x:f>
        <x:v>5220613</x:v>
      </x:c>
      <x:c r="G361" s="2" t="str">
        <x:v>利用可</x:v>
      </x:c>
      <x:c r="H361" s="9" t="n">
        <x:v>4608436</x:v>
      </x:c>
      <x:c r="I361" s="2" t="str"/>
      <x:c r="J361" s="2" t="n">
        <x:v>11</x:v>
      </x:c>
      <x:c r="K361" s="8" t="n">
        <x:v>46294</x:v>
      </x:c>
    </x:row>
    <x:row r="362" ht="22" customHeight="1">
      <x:c r="A362" s="7" t="n">
        <x:v>45170</x:v>
      </x:c>
      <x:c r="B362" s="2" t="str">
        <x:v>84869000106</x:v>
      </x:c>
      <x:c r="C362" s="2" t="str">
        <x:v>848690</x:v>
      </x:c>
      <x:c r="D362" s="2" t="str">
        <x:v>CVD装置部品</x:v>
      </x:c>
      <x:c r="E362" s="9" t="n">
        <x:v>4024621</x:v>
      </x:c>
      <x:c r="F362" s="9" t="n">
        <x:f>IF(G362="利用可",E362,"")</x:f>
        <x:v>4024621</x:v>
      </x:c>
      <x:c r="G362" s="2" t="str">
        <x:v>利用可</x:v>
      </x:c>
      <x:c r="H362" s="9" t="n">
        <x:v>5476179</x:v>
      </x:c>
      <x:c r="I362" s="2" t="str"/>
      <x:c r="J362" s="2" t="n">
        <x:v>11</x:v>
      </x:c>
      <x:c r="K362" s="8" t="n">
        <x:v>46294</x:v>
      </x:c>
    </x:row>
    <x:row r="363" ht="22" customHeight="1">
      <x:c r="A363" s="7" t="n">
        <x:v>45200</x:v>
      </x:c>
      <x:c r="B363" s="2" t="str">
        <x:v>84869000106</x:v>
      </x:c>
      <x:c r="C363" s="2" t="str">
        <x:v>848690</x:v>
      </x:c>
      <x:c r="D363" s="2" t="str">
        <x:v>CVD装置部品</x:v>
      </x:c>
      <x:c r="E363" s="9" t="n">
        <x:v>4374490</x:v>
      </x:c>
      <x:c r="F363" s="9" t="n">
        <x:f>IF(G363="利用可",E363,"")</x:f>
        <x:v>4374490</x:v>
      </x:c>
      <x:c r="G363" s="2" t="str">
        <x:v>利用可</x:v>
      </x:c>
      <x:c r="H363" s="9" t="n">
        <x:v>8522251</x:v>
      </x:c>
      <x:c r="I363" s="2" t="str"/>
      <x:c r="J363" s="2" t="n">
        <x:v>11</x:v>
      </x:c>
      <x:c r="K363" s="8" t="n">
        <x:v>46294</x:v>
      </x:c>
    </x:row>
    <x:row r="364" ht="22" customHeight="1">
      <x:c r="A364" s="7" t="n">
        <x:v>45231</x:v>
      </x:c>
      <x:c r="B364" s="2" t="str">
        <x:v>84869000106</x:v>
      </x:c>
      <x:c r="C364" s="2" t="str">
        <x:v>848690</x:v>
      </x:c>
      <x:c r="D364" s="2" t="str">
        <x:v>CVD装置部品</x:v>
      </x:c>
      <x:c r="E364" s="9" t="n">
        <x:v>4127735</x:v>
      </x:c>
      <x:c r="F364" s="9" t="n">
        <x:f>IF(G364="利用可",E364,"")</x:f>
        <x:v>4127735</x:v>
      </x:c>
      <x:c r="G364" s="2" t="str">
        <x:v>利用可</x:v>
      </x:c>
      <x:c r="H364" s="9" t="n">
        <x:v>5237860</x:v>
      </x:c>
      <x:c r="I364" s="2" t="str"/>
      <x:c r="J364" s="2" t="n">
        <x:v>11</x:v>
      </x:c>
      <x:c r="K364" s="8" t="n">
        <x:v>46294</x:v>
      </x:c>
    </x:row>
    <x:row r="365" ht="22" customHeight="1">
      <x:c r="A365" s="7" t="n">
        <x:v>45261</x:v>
      </x:c>
      <x:c r="B365" s="2" t="str">
        <x:v>84869000106</x:v>
      </x:c>
      <x:c r="C365" s="2" t="str">
        <x:v>848690</x:v>
      </x:c>
      <x:c r="D365" s="2" t="str">
        <x:v>CVD装置部品</x:v>
      </x:c>
      <x:c r="E365" s="9" t="n">
        <x:v>4351318</x:v>
      </x:c>
      <x:c r="F365" s="9" t="n">
        <x:f>IF(G365="利用可",E365,"")</x:f>
        <x:v>4351318</x:v>
      </x:c>
      <x:c r="G365" s="2" t="str">
        <x:v>利用可</x:v>
      </x:c>
      <x:c r="H365" s="9" t="n">
        <x:v>7320094</x:v>
      </x:c>
      <x:c r="I365" s="2" t="str"/>
      <x:c r="J365" s="2" t="n">
        <x:v>11</x:v>
      </x:c>
      <x:c r="K365" s="8" t="n">
        <x:v>46294</x:v>
      </x:c>
    </x:row>
    <x:row r="366" ht="22" customHeight="1">
      <x:c r="A366" s="7" t="n">
        <x:v>45292</x:v>
      </x:c>
      <x:c r="B366" s="2" t="str">
        <x:v>84869000106</x:v>
      </x:c>
      <x:c r="C366" s="2" t="str">
        <x:v>848690</x:v>
      </x:c>
      <x:c r="D366" s="2" t="str">
        <x:v>CVD装置部品</x:v>
      </x:c>
      <x:c r="E366" s="9" t="n">
        <x:v>4113113</x:v>
      </x:c>
      <x:c r="F366" s="9" t="n">
        <x:f>IF(G366="利用可",E366,"")</x:f>
        <x:v>4113113</x:v>
      </x:c>
      <x:c r="G366" s="2" t="str">
        <x:v>利用可</x:v>
      </x:c>
      <x:c r="H366" s="9" t="n">
        <x:v>10344169</x:v>
      </x:c>
      <x:c r="I366" s="2" t="str"/>
      <x:c r="J366" s="2" t="n">
        <x:v>11</x:v>
      </x:c>
      <x:c r="K366" s="8" t="n">
        <x:v>46294</x:v>
      </x:c>
    </x:row>
    <x:row r="367" ht="22" customHeight="1">
      <x:c r="A367" s="7" t="n">
        <x:v>45323</x:v>
      </x:c>
      <x:c r="B367" s="2" t="str">
        <x:v>84869000106</x:v>
      </x:c>
      <x:c r="C367" s="2" t="str">
        <x:v>848690</x:v>
      </x:c>
      <x:c r="D367" s="2" t="str">
        <x:v>CVD装置部品</x:v>
      </x:c>
      <x:c r="E367" s="9" t="n">
        <x:v>4704275</x:v>
      </x:c>
      <x:c r="F367" s="9" t="n">
        <x:f>IF(G367="利用可",E367,"")</x:f>
        <x:v>4704275</x:v>
      </x:c>
      <x:c r="G367" s="2" t="str">
        <x:v>利用可</x:v>
      </x:c>
      <x:c r="H367" s="9" t="n">
        <x:v>6292776</x:v>
      </x:c>
      <x:c r="I367" s="2" t="str"/>
      <x:c r="J367" s="2" t="n">
        <x:v>11</x:v>
      </x:c>
      <x:c r="K367" s="8" t="n">
        <x:v>46294</x:v>
      </x:c>
    </x:row>
    <x:row r="368" ht="22" customHeight="1">
      <x:c r="A368" s="7" t="n">
        <x:v>45352</x:v>
      </x:c>
      <x:c r="B368" s="2" t="str">
        <x:v>84869000106</x:v>
      </x:c>
      <x:c r="C368" s="2" t="str">
        <x:v>848690</x:v>
      </x:c>
      <x:c r="D368" s="2" t="str">
        <x:v>CVD装置部品</x:v>
      </x:c>
      <x:c r="E368" s="9" t="n">
        <x:v>5010213</x:v>
      </x:c>
      <x:c r="F368" s="9" t="n">
        <x:f>IF(G368="利用可",E368,"")</x:f>
        <x:v>5010213</x:v>
      </x:c>
      <x:c r="G368" s="2" t="str">
        <x:v>利用可</x:v>
      </x:c>
      <x:c r="H368" s="9" t="n">
        <x:v>3406855</x:v>
      </x:c>
      <x:c r="I368" s="2" t="str"/>
      <x:c r="J368" s="2" t="n">
        <x:v>11</x:v>
      </x:c>
      <x:c r="K368" s="8" t="n">
        <x:v>46294</x:v>
      </x:c>
    </x:row>
    <x:row r="369" ht="22" customHeight="1">
      <x:c r="A369" s="7" t="n">
        <x:v>45383</x:v>
      </x:c>
      <x:c r="B369" s="2" t="str">
        <x:v>84869000106</x:v>
      </x:c>
      <x:c r="C369" s="2" t="str">
        <x:v>848690</x:v>
      </x:c>
      <x:c r="D369" s="2" t="str">
        <x:v>CVD装置部品</x:v>
      </x:c>
      <x:c r="E369" s="9" t="n">
        <x:v>7645687</x:v>
      </x:c>
      <x:c r="F369" s="9" t="n">
        <x:f>IF(G369="利用可",E369,"")</x:f>
        <x:v>7645687</x:v>
      </x:c>
      <x:c r="G369" s="2" t="str">
        <x:v>利用可</x:v>
      </x:c>
      <x:c r="H369" s="9" t="n">
        <x:v>3046719</x:v>
      </x:c>
      <x:c r="I369" s="2" t="str"/>
      <x:c r="J369" s="2" t="n">
        <x:v>11</x:v>
      </x:c>
      <x:c r="K369" s="8" t="n">
        <x:v>46294</x:v>
      </x:c>
    </x:row>
    <x:row r="370" ht="22" customHeight="1">
      <x:c r="A370" s="7" t="n">
        <x:v>45413</x:v>
      </x:c>
      <x:c r="B370" s="2" t="str">
        <x:v>84869000106</x:v>
      </x:c>
      <x:c r="C370" s="2" t="str">
        <x:v>848690</x:v>
      </x:c>
      <x:c r="D370" s="2" t="str">
        <x:v>CVD装置部品</x:v>
      </x:c>
      <x:c r="E370" s="9" t="n">
        <x:v>4705007</x:v>
      </x:c>
      <x:c r="F370" s="9" t="n">
        <x:f>IF(G370="利用可",E370,"")</x:f>
        <x:v>4705007</x:v>
      </x:c>
      <x:c r="G370" s="2" t="str">
        <x:v>利用可</x:v>
      </x:c>
      <x:c r="H370" s="9" t="n">
        <x:v>2772316</x:v>
      </x:c>
      <x:c r="I370" s="2" t="str"/>
      <x:c r="J370" s="2" t="n">
        <x:v>11</x:v>
      </x:c>
      <x:c r="K370" s="8" t="n">
        <x:v>46294</x:v>
      </x:c>
    </x:row>
    <x:row r="371" ht="22" customHeight="1">
      <x:c r="A371" s="7" t="n">
        <x:v>45444</x:v>
      </x:c>
      <x:c r="B371" s="2" t="str">
        <x:v>84869000106</x:v>
      </x:c>
      <x:c r="C371" s="2" t="str">
        <x:v>848690</x:v>
      </x:c>
      <x:c r="D371" s="2" t="str">
        <x:v>CVD装置部品</x:v>
      </x:c>
      <x:c r="E371" s="9" t="n">
        <x:v>4825134</x:v>
      </x:c>
      <x:c r="F371" s="9" t="n">
        <x:f>IF(G371="利用可",E371,"")</x:f>
        <x:v>4825134</x:v>
      </x:c>
      <x:c r="G371" s="2" t="str">
        <x:v>利用可</x:v>
      </x:c>
      <x:c r="H371" s="9" t="n">
        <x:v>5106408</x:v>
      </x:c>
      <x:c r="I371" s="2" t="str"/>
      <x:c r="J371" s="2" t="n">
        <x:v>11</x:v>
      </x:c>
      <x:c r="K371" s="8" t="n">
        <x:v>46294</x:v>
      </x:c>
    </x:row>
    <x:row r="372" ht="22" customHeight="1">
      <x:c r="A372" s="7" t="n">
        <x:v>45474</x:v>
      </x:c>
      <x:c r="B372" s="2" t="str">
        <x:v>84869000106</x:v>
      </x:c>
      <x:c r="C372" s="2" t="str">
        <x:v>848690</x:v>
      </x:c>
      <x:c r="D372" s="2" t="str">
        <x:v>CVD装置部品</x:v>
      </x:c>
      <x:c r="E372" s="9" t="n">
        <x:v>6554613</x:v>
      </x:c>
      <x:c r="F372" s="9" t="n">
        <x:f>IF(G372="利用可",E372,"")</x:f>
        <x:v>6554613</x:v>
      </x:c>
      <x:c r="G372" s="2" t="str">
        <x:v>利用可</x:v>
      </x:c>
      <x:c r="H372" s="9" t="n">
        <x:v>4958533</x:v>
      </x:c>
      <x:c r="I372" s="2" t="str"/>
      <x:c r="J372" s="2" t="n">
        <x:v>11</x:v>
      </x:c>
      <x:c r="K372" s="8" t="n">
        <x:v>46294</x:v>
      </x:c>
    </x:row>
    <x:row r="373" ht="22" customHeight="1">
      <x:c r="A373" s="7" t="n">
        <x:v>45505</x:v>
      </x:c>
      <x:c r="B373" s="2" t="str">
        <x:v>84869000106</x:v>
      </x:c>
      <x:c r="C373" s="2" t="str">
        <x:v>848690</x:v>
      </x:c>
      <x:c r="D373" s="2" t="str">
        <x:v>CVD装置部品</x:v>
      </x:c>
      <x:c r="E373" s="9" t="n">
        <x:v>4175850</x:v>
      </x:c>
      <x:c r="F373" s="9" t="n">
        <x:f>IF(G373="利用可",E373,"")</x:f>
        <x:v>4175850</x:v>
      </x:c>
      <x:c r="G373" s="2" t="str">
        <x:v>利用可</x:v>
      </x:c>
      <x:c r="H373" s="9" t="n">
        <x:v>5220613</x:v>
      </x:c>
      <x:c r="I373" s="2" t="str"/>
      <x:c r="J373" s="2" t="n">
        <x:v>11</x:v>
      </x:c>
      <x:c r="K373" s="8" t="n">
        <x:v>46294</x:v>
      </x:c>
    </x:row>
    <x:row r="374" ht="22" customHeight="1">
      <x:c r="A374" s="7" t="n">
        <x:v>45536</x:v>
      </x:c>
      <x:c r="B374" s="2" t="str">
        <x:v>84869000106</x:v>
      </x:c>
      <x:c r="C374" s="2" t="str">
        <x:v>848690</x:v>
      </x:c>
      <x:c r="D374" s="2" t="str">
        <x:v>CVD装置部品</x:v>
      </x:c>
      <x:c r="E374" s="9" t="n">
        <x:v>3422512</x:v>
      </x:c>
      <x:c r="F374" s="9" t="n">
        <x:f>IF(G374="利用可",E374,"")</x:f>
        <x:v>3422512</x:v>
      </x:c>
      <x:c r="G374" s="2" t="str">
        <x:v>利用可</x:v>
      </x:c>
      <x:c r="H374" s="9" t="n">
        <x:v>4024621</x:v>
      </x:c>
      <x:c r="I374" s="2" t="str"/>
      <x:c r="J374" s="2" t="n">
        <x:v>11</x:v>
      </x:c>
      <x:c r="K374" s="8" t="n">
        <x:v>46294</x:v>
      </x:c>
    </x:row>
    <x:row r="375" ht="22" customHeight="1">
      <x:c r="A375" s="7" t="n">
        <x:v>45566</x:v>
      </x:c>
      <x:c r="B375" s="2" t="str">
        <x:v>84869000106</x:v>
      </x:c>
      <x:c r="C375" s="2" t="str">
        <x:v>848690</x:v>
      </x:c>
      <x:c r="D375" s="2" t="str">
        <x:v>CVD装置部品</x:v>
      </x:c>
      <x:c r="E375" s="9" t="n">
        <x:v>4089826</x:v>
      </x:c>
      <x:c r="F375" s="9" t="n">
        <x:f>IF(G375="利用可",E375,"")</x:f>
        <x:v>4089826</x:v>
      </x:c>
      <x:c r="G375" s="2" t="str">
        <x:v>利用可</x:v>
      </x:c>
      <x:c r="H375" s="9" t="n">
        <x:v>4374490</x:v>
      </x:c>
      <x:c r="I375" s="2" t="str"/>
      <x:c r="J375" s="2" t="n">
        <x:v>11</x:v>
      </x:c>
      <x:c r="K375" s="8" t="n">
        <x:v>46294</x:v>
      </x:c>
    </x:row>
    <x:row r="376" ht="22" customHeight="1">
      <x:c r="A376" s="7" t="n">
        <x:v>45597</x:v>
      </x:c>
      <x:c r="B376" s="2" t="str">
        <x:v>84869000106</x:v>
      </x:c>
      <x:c r="C376" s="2" t="str">
        <x:v>848690</x:v>
      </x:c>
      <x:c r="D376" s="2" t="str">
        <x:v>CVD装置部品</x:v>
      </x:c>
      <x:c r="E376" s="9" t="n">
        <x:v>6055153</x:v>
      </x:c>
      <x:c r="F376" s="9" t="n">
        <x:f>IF(G376="利用可",E376,"")</x:f>
        <x:v>6055153</x:v>
      </x:c>
      <x:c r="G376" s="2" t="str">
        <x:v>利用可</x:v>
      </x:c>
      <x:c r="H376" s="9" t="n">
        <x:v>4127735</x:v>
      </x:c>
      <x:c r="I376" s="2" t="str"/>
      <x:c r="J376" s="2" t="n">
        <x:v>11</x:v>
      </x:c>
      <x:c r="K376" s="8" t="n">
        <x:v>46294</x:v>
      </x:c>
    </x:row>
    <x:row r="377" ht="22" customHeight="1">
      <x:c r="A377" s="7" t="n">
        <x:v>45627</x:v>
      </x:c>
      <x:c r="B377" s="2" t="str">
        <x:v>84869000106</x:v>
      </x:c>
      <x:c r="C377" s="2" t="str">
        <x:v>848690</x:v>
      </x:c>
      <x:c r="D377" s="2" t="str">
        <x:v>CVD装置部品</x:v>
      </x:c>
      <x:c r="E377" s="9" t="n">
        <x:v>6124167</x:v>
      </x:c>
      <x:c r="F377" s="9" t="n">
        <x:f>IF(G377="利用可",E377,"")</x:f>
        <x:v>6124167</x:v>
      </x:c>
      <x:c r="G377" s="2" t="str">
        <x:v>利用可</x:v>
      </x:c>
      <x:c r="H377" s="9" t="n">
        <x:v>4351318</x:v>
      </x:c>
      <x:c r="I377" s="2" t="str"/>
      <x:c r="J377" s="2" t="n">
        <x:v>11</x:v>
      </x:c>
      <x:c r="K377" s="8" t="n">
        <x:v>46294</x:v>
      </x:c>
    </x:row>
    <x:row r="378" ht="22" customHeight="1">
      <x:c r="A378" s="7" t="n">
        <x:v>45658</x:v>
      </x:c>
      <x:c r="B378" s="2" t="str">
        <x:v>84869000106</x:v>
      </x:c>
      <x:c r="C378" s="2" t="str">
        <x:v>848690</x:v>
      </x:c>
      <x:c r="D378" s="2" t="str">
        <x:v>CVD装置部品</x:v>
      </x:c>
      <x:c r="E378" s="9" t="n">
        <x:v>4262267</x:v>
      </x:c>
      <x:c r="F378" s="9" t="n">
        <x:f>IF(G378="利用可",E378,"")</x:f>
        <x:v>4262267</x:v>
      </x:c>
      <x:c r="G378" s="2" t="str">
        <x:v>利用可</x:v>
      </x:c>
      <x:c r="H378" s="9" t="n">
        <x:v>4113113</x:v>
      </x:c>
      <x:c r="I378" s="2" t="str"/>
      <x:c r="J378" s="2" t="n">
        <x:v>11</x:v>
      </x:c>
      <x:c r="K378" s="8" t="n">
        <x:v>46294</x:v>
      </x:c>
    </x:row>
    <x:row r="379" ht="22" customHeight="1">
      <x:c r="A379" s="7" t="n">
        <x:v>45689</x:v>
      </x:c>
      <x:c r="B379" s="2" t="str">
        <x:v>84869000106</x:v>
      </x:c>
      <x:c r="C379" s="2" t="str">
        <x:v>848690</x:v>
      </x:c>
      <x:c r="D379" s="2" t="str">
        <x:v>CVD装置部品</x:v>
      </x:c>
      <x:c r="E379" s="9" t="n">
        <x:v>4176991</x:v>
      </x:c>
      <x:c r="F379" s="9" t="n">
        <x:f>IF(G379="利用可",E379,"")</x:f>
        <x:v>4176991</x:v>
      </x:c>
      <x:c r="G379" s="2" t="str">
        <x:v>利用可</x:v>
      </x:c>
      <x:c r="H379" s="9" t="n">
        <x:v>4704275</x:v>
      </x:c>
      <x:c r="I379" s="2" t="str"/>
      <x:c r="J379" s="2" t="n">
        <x:v>11</x:v>
      </x:c>
      <x:c r="K379" s="8" t="n">
        <x:v>46294</x:v>
      </x:c>
    </x:row>
    <x:row r="380" ht="22" customHeight="1">
      <x:c r="A380" s="7" t="n">
        <x:v>45717</x:v>
      </x:c>
      <x:c r="B380" s="2" t="str">
        <x:v>84869000106</x:v>
      </x:c>
      <x:c r="C380" s="2" t="str">
        <x:v>848690</x:v>
      </x:c>
      <x:c r="D380" s="2" t="str">
        <x:v>CVD装置部品</x:v>
      </x:c>
      <x:c r="E380" s="9" t="n">
        <x:v>6768747</x:v>
      </x:c>
      <x:c r="F380" s="9" t="n">
        <x:f>IF(G380="利用可",E380,"")</x:f>
        <x:v>6768747</x:v>
      </x:c>
      <x:c r="G380" s="2" t="str">
        <x:v>利用可</x:v>
      </x:c>
      <x:c r="H380" s="9" t="n">
        <x:v>5010213</x:v>
      </x:c>
      <x:c r="I380" s="2" t="str"/>
      <x:c r="J380" s="2" t="n">
        <x:v>11</x:v>
      </x:c>
      <x:c r="K380" s="8" t="n">
        <x:v>46294</x:v>
      </x:c>
    </x:row>
    <x:row r="381" ht="22" customHeight="1">
      <x:c r="A381" s="7" t="n">
        <x:v>45748</x:v>
      </x:c>
      <x:c r="B381" s="2" t="str">
        <x:v>84869000106</x:v>
      </x:c>
      <x:c r="C381" s="2" t="str">
        <x:v>848690</x:v>
      </x:c>
      <x:c r="D381" s="2" t="str">
        <x:v>CVD装置部品</x:v>
      </x:c>
      <x:c r="E381" s="9" t="n">
        <x:v>5893500</x:v>
      </x:c>
      <x:c r="F381" s="9" t="n">
        <x:f>IF(G381="利用可",E381,"")</x:f>
        <x:v>5893500</x:v>
      </x:c>
      <x:c r="G381" s="2" t="str">
        <x:v>利用可</x:v>
      </x:c>
      <x:c r="H381" s="9" t="n">
        <x:v>7645687</x:v>
      </x:c>
      <x:c r="I381" s="2" t="str"/>
      <x:c r="J381" s="2" t="n">
        <x:v>11</x:v>
      </x:c>
      <x:c r="K381" s="8" t="n">
        <x:v>46294</x:v>
      </x:c>
    </x:row>
    <x:row r="382" ht="22" customHeight="1">
      <x:c r="A382" s="7" t="n">
        <x:v>45778</x:v>
      </x:c>
      <x:c r="B382" s="2" t="str">
        <x:v>84869000106</x:v>
      </x:c>
      <x:c r="C382" s="2" t="str">
        <x:v>848690</x:v>
      </x:c>
      <x:c r="D382" s="2" t="str">
        <x:v>CVD装置部品</x:v>
      </x:c>
      <x:c r="E382" s="9" t="n">
        <x:v>6186841</x:v>
      </x:c>
      <x:c r="F382" s="9" t="n">
        <x:f>IF(G382="利用可",E382,"")</x:f>
        <x:v>6186841</x:v>
      </x:c>
      <x:c r="G382" s="2" t="str">
        <x:v>利用可</x:v>
      </x:c>
      <x:c r="H382" s="9" t="n">
        <x:v>4705007</x:v>
      </x:c>
      <x:c r="I382" s="2" t="str"/>
      <x:c r="J382" s="2" t="n">
        <x:v>11</x:v>
      </x:c>
      <x:c r="K382" s="8" t="n">
        <x:v>46294</x:v>
      </x:c>
    </x:row>
    <x:row r="383" ht="22" customHeight="1">
      <x:c r="A383" s="7" t="n">
        <x:v>45809</x:v>
      </x:c>
      <x:c r="B383" s="2" t="str">
        <x:v>84869000106</x:v>
      </x:c>
      <x:c r="C383" s="2" t="str">
        <x:v>848690</x:v>
      </x:c>
      <x:c r="D383" s="2" t="str">
        <x:v>CVD装置部品</x:v>
      </x:c>
      <x:c r="E383" s="9" t="n">
        <x:v>7633851</x:v>
      </x:c>
      <x:c r="F383" s="9" t="n">
        <x:f>IF(G383="利用可",E383,"")</x:f>
        <x:v>7633851</x:v>
      </x:c>
      <x:c r="G383" s="2" t="str">
        <x:v>利用可</x:v>
      </x:c>
      <x:c r="H383" s="9" t="n">
        <x:v>4825134</x:v>
      </x:c>
      <x:c r="I383" s="2" t="str"/>
      <x:c r="J383" s="2" t="n">
        <x:v>11</x:v>
      </x:c>
      <x:c r="K383" s="8" t="n">
        <x:v>46294</x:v>
      </x:c>
    </x:row>
    <x:row r="384" ht="22" customHeight="1">
      <x:c r="A384" s="7" t="n">
        <x:v>45839</x:v>
      </x:c>
      <x:c r="B384" s="2" t="str">
        <x:v>84869000106</x:v>
      </x:c>
      <x:c r="C384" s="2" t="str">
        <x:v>848690</x:v>
      </x:c>
      <x:c r="D384" s="2" t="str">
        <x:v>CVD装置部品</x:v>
      </x:c>
      <x:c r="E384" s="9" t="n">
        <x:v>5263861</x:v>
      </x:c>
      <x:c r="F384" s="9" t="n">
        <x:f>IF(G384="利用可",E384,"")</x:f>
        <x:v>5263861</x:v>
      </x:c>
      <x:c r="G384" s="2" t="str">
        <x:v>利用可</x:v>
      </x:c>
      <x:c r="H384" s="9" t="n">
        <x:v>6554613</x:v>
      </x:c>
      <x:c r="I384" s="2" t="str"/>
      <x:c r="J384" s="2" t="n">
        <x:v>11</x:v>
      </x:c>
      <x:c r="K384" s="8" t="n">
        <x:v>46294</x:v>
      </x:c>
    </x:row>
    <x:row r="385" ht="22" customHeight="1">
      <x:c r="A385" s="7" t="n">
        <x:v>45870</x:v>
      </x:c>
      <x:c r="B385" s="2" t="str">
        <x:v>84869000106</x:v>
      </x:c>
      <x:c r="C385" s="2" t="str">
        <x:v>848690</x:v>
      </x:c>
      <x:c r="D385" s="2" t="str">
        <x:v>CVD装置部品</x:v>
      </x:c>
      <x:c r="E385" s="9" t="n">
        <x:v>8016909</x:v>
      </x:c>
      <x:c r="F385" s="9" t="n">
        <x:f>IF(G385="利用可",E385,"")</x:f>
        <x:v>8016909</x:v>
      </x:c>
      <x:c r="G385" s="2" t="str">
        <x:v>利用可</x:v>
      </x:c>
      <x:c r="H385" s="9" t="n">
        <x:v>4175850</x:v>
      </x:c>
      <x:c r="I385" s="2" t="str"/>
      <x:c r="J385" s="2" t="n">
        <x:v>11</x:v>
      </x:c>
      <x:c r="K385" s="8" t="n">
        <x:v>46294</x:v>
      </x:c>
    </x:row>
    <x:row r="386" ht="22" customHeight="1">
      <x:c r="A386" s="7" t="n">
        <x:v>45901</x:v>
      </x:c>
      <x:c r="B386" s="2" t="str">
        <x:v>84869000106</x:v>
      </x:c>
      <x:c r="C386" s="2" t="str">
        <x:v>848690</x:v>
      </x:c>
      <x:c r="D386" s="2" t="str">
        <x:v>CVD装置部品</x:v>
      </x:c>
      <x:c r="E386" s="9" t="n">
        <x:v>7640974</x:v>
      </x:c>
      <x:c r="F386" s="9" t="n">
        <x:f>IF(G386="利用可",E386,"")</x:f>
        <x:v>7640974</x:v>
      </x:c>
      <x:c r="G386" s="2" t="str">
        <x:v>利用可</x:v>
      </x:c>
      <x:c r="H386" s="9" t="n">
        <x:v>3422512</x:v>
      </x:c>
      <x:c r="I386" s="2" t="str"/>
      <x:c r="J386" s="2" t="n">
        <x:v>11</x:v>
      </x:c>
      <x:c r="K386" s="8" t="n">
        <x:v>46294</x:v>
      </x:c>
    </x:row>
    <x:row r="387" ht="22" customHeight="1">
      <x:c r="A387" s="7" t="n">
        <x:v>45931</x:v>
      </x:c>
      <x:c r="B387" s="2" t="str">
        <x:v>84869000106</x:v>
      </x:c>
      <x:c r="C387" s="2" t="str">
        <x:v>848690</x:v>
      </x:c>
      <x:c r="D387" s="2" t="str">
        <x:v>CVD装置部品</x:v>
      </x:c>
      <x:c r="E387" s="9" t="n">
        <x:v>7350303</x:v>
      </x:c>
      <x:c r="F387" s="9" t="n">
        <x:f>IF(G387="利用可",E387,"")</x:f>
        <x:v>7350303</x:v>
      </x:c>
      <x:c r="G387" s="2" t="str">
        <x:v>利用可</x:v>
      </x:c>
      <x:c r="H387" s="9" t="n">
        <x:v>4089826</x:v>
      </x:c>
      <x:c r="I387" s="2" t="str"/>
      <x:c r="J387" s="2" t="n">
        <x:v>11</x:v>
      </x:c>
      <x:c r="K387" s="8" t="n">
        <x:v>46294</x:v>
      </x:c>
    </x:row>
    <x:row r="388" ht="22" customHeight="1">
      <x:c r="A388" s="7" t="n">
        <x:v>45962</x:v>
      </x:c>
      <x:c r="B388" s="2" t="str">
        <x:v>84869000106</x:v>
      </x:c>
      <x:c r="C388" s="2" t="str">
        <x:v>848690</x:v>
      </x:c>
      <x:c r="D388" s="2" t="str">
        <x:v>CVD装置部品</x:v>
      </x:c>
      <x:c r="E388" s="9" t="n">
        <x:v>6054991</x:v>
      </x:c>
      <x:c r="F388" s="9" t="n">
        <x:f>IF(G388="利用可",E388,"")</x:f>
        <x:v>6054991</x:v>
      </x:c>
      <x:c r="G388" s="2" t="str">
        <x:v>利用可</x:v>
      </x:c>
      <x:c r="H388" s="9" t="n">
        <x:v>6055153</x:v>
      </x:c>
      <x:c r="I388" s="2" t="str"/>
      <x:c r="J388" s="2" t="n">
        <x:v>11</x:v>
      </x:c>
      <x:c r="K388" s="8" t="n">
        <x:v>46294</x:v>
      </x:c>
    </x:row>
    <x:row r="389" ht="22" customHeight="1">
      <x:c r="A389" s="7" t="n">
        <x:v>45992</x:v>
      </x:c>
      <x:c r="B389" s="2" t="str">
        <x:v>84869000106</x:v>
      </x:c>
      <x:c r="C389" s="2" t="str">
        <x:v>848690</x:v>
      </x:c>
      <x:c r="D389" s="2" t="str">
        <x:v>CVD装置部品</x:v>
      </x:c>
      <x:c r="E389" s="9" t="n">
        <x:v>6367178</x:v>
      </x:c>
      <x:c r="F389" s="9" t="n">
        <x:f>IF(G389="利用可",E389,"")</x:f>
        <x:v>6367178</x:v>
      </x:c>
      <x:c r="G389" s="2" t="str">
        <x:v>利用可</x:v>
      </x:c>
      <x:c r="H389" s="9" t="n">
        <x:v>6124167</x:v>
      </x:c>
      <x:c r="I389" s="2" t="str"/>
      <x:c r="J389" s="2" t="n">
        <x:v>11</x:v>
      </x:c>
      <x:c r="K389" s="8" t="n">
        <x:v>46294</x:v>
      </x:c>
    </x:row>
    <x:row r="390" ht="22" customHeight="1">
      <x:c r="A390" s="7" t="n">
        <x:v>46023</x:v>
      </x:c>
      <x:c r="B390" s="2" t="str">
        <x:v>84869000106</x:v>
      </x:c>
      <x:c r="C390" s="2" t="str">
        <x:v>848690</x:v>
      </x:c>
      <x:c r="D390" s="2" t="str">
        <x:v>CVD装置部品</x:v>
      </x:c>
      <x:c r="E390" s="9" t="n">
        <x:v>6118368</x:v>
      </x:c>
      <x:c r="F390" s="9" t="n">
        <x:f>IF(G390="利用可",E390,"")</x:f>
        <x:v>6118368</x:v>
      </x:c>
      <x:c r="G390" s="2" t="str">
        <x:v>利用可</x:v>
      </x:c>
      <x:c r="H390" s="9" t="n">
        <x:v>4262267</x:v>
      </x:c>
      <x:c r="I390" s="2" t="str"/>
      <x:c r="J390" s="2" t="n">
        <x:v>11</x:v>
      </x:c>
      <x:c r="K390" s="8" t="n">
        <x:v>46294</x:v>
      </x:c>
    </x:row>
    <x:row r="391" ht="22" customHeight="1">
      <x:c r="A391" s="7" t="n">
        <x:v>46054</x:v>
      </x:c>
      <x:c r="B391" s="2" t="str">
        <x:v>84869000106</x:v>
      </x:c>
      <x:c r="C391" s="2" t="str">
        <x:v>848690</x:v>
      </x:c>
      <x:c r="D391" s="2" t="str">
        <x:v>CVD装置部品</x:v>
      </x:c>
      <x:c r="E391" s="9" t="n">
        <x:v>6915728</x:v>
      </x:c>
      <x:c r="F391" s="9" t="n">
        <x:f>IF(G391="利用可",E391,"")</x:f>
        <x:v>6915728</x:v>
      </x:c>
      <x:c r="G391" s="2" t="str">
        <x:v>利用可</x:v>
      </x:c>
      <x:c r="H391" s="9" t="n">
        <x:v>4176991</x:v>
      </x:c>
      <x:c r="I391" s="2" t="str"/>
      <x:c r="J391" s="2" t="n">
        <x:v>11</x:v>
      </x:c>
      <x:c r="K391" s="8" t="n">
        <x:v>46294</x:v>
      </x:c>
    </x:row>
    <x:row r="392" ht="22" customHeight="1">
      <x:c r="A392" s="7" t="n">
        <x:v>46082</x:v>
      </x:c>
      <x:c r="B392" s="2" t="str">
        <x:v>84869000106</x:v>
      </x:c>
      <x:c r="C392" s="2" t="str">
        <x:v>848690</x:v>
      </x:c>
      <x:c r="D392" s="2" t="str">
        <x:v>CVD装置部品</x:v>
      </x:c>
      <x:c r="E392" s="9" t="n">
        <x:v>8487233</x:v>
      </x:c>
      <x:c r="F392" s="9" t="n">
        <x:f>IF(G392="利用可",E392,"")</x:f>
        <x:v>8487233</x:v>
      </x:c>
      <x:c r="G392" s="2" t="str">
        <x:v>利用可</x:v>
      </x:c>
      <x:c r="H392" s="9" t="n">
        <x:v>6768747</x:v>
      </x:c>
      <x:c r="I392" s="2" t="str"/>
      <x:c r="J392" s="2" t="n">
        <x:v>11</x:v>
      </x:c>
      <x:c r="K392" s="8" t="n">
        <x:v>46294</x:v>
      </x:c>
    </x:row>
    <x:row r="393" ht="22" customHeight="1">
      <x:c r="A393" s="7" t="n">
        <x:v>46113</x:v>
      </x:c>
      <x:c r="B393" s="2" t="str">
        <x:v>84869000106</x:v>
      </x:c>
      <x:c r="C393" s="2" t="str">
        <x:v>848690</x:v>
      </x:c>
      <x:c r="D393" s="2" t="str">
        <x:v>CVD装置部品</x:v>
      </x:c>
      <x:c r="E393" s="9" t="n">
        <x:v>7912710</x:v>
      </x:c>
      <x:c r="F393" s="9" t="n">
        <x:f>IF(G393="利用可",E393,"")</x:f>
        <x:v>7912710</x:v>
      </x:c>
      <x:c r="G393" s="2" t="str">
        <x:v>利用可</x:v>
      </x:c>
      <x:c r="H393" s="9" t="n">
        <x:v>5893500</x:v>
      </x:c>
      <x:c r="I393" s="2" t="str"/>
      <x:c r="J393" s="2" t="n">
        <x:v>11</x:v>
      </x:c>
      <x:c r="K393" s="8" t="n">
        <x:v>46294</x:v>
      </x:c>
    </x:row>
    <x:row r="394" ht="22" customHeight="1">
      <x:c r="A394" s="7" t="n">
        <x:v>46143</x:v>
      </x:c>
      <x:c r="B394" s="2" t="str">
        <x:v>84869000106</x:v>
      </x:c>
      <x:c r="C394" s="2" t="str">
        <x:v>848690</x:v>
      </x:c>
      <x:c r="D394" s="2" t="str">
        <x:v>CVD装置部品</x:v>
      </x:c>
      <x:c r="E394" s="9" t="n">
        <x:v>6114068</x:v>
      </x:c>
      <x:c r="F394" s="9" t="n">
        <x:f>IF(G394="利用可",E394,"")</x:f>
        <x:v>6114068</x:v>
      </x:c>
      <x:c r="G394" s="2" t="str">
        <x:v>利用可</x:v>
      </x:c>
      <x:c r="H394" s="9" t="n">
        <x:v>6186841</x:v>
      </x:c>
      <x:c r="I394" s="2" t="str"/>
      <x:c r="J394" s="2" t="n">
        <x:v>11</x:v>
      </x:c>
      <x:c r="K394" s="8" t="n">
        <x:v>46294</x:v>
      </x:c>
    </x:row>
    <x:row r="395" ht="22" customHeight="1">
      <x:c r="A395" s="7" t="n">
        <x:v>46174</x:v>
      </x:c>
      <x:c r="B395" s="2" t="str">
        <x:v>84869000106</x:v>
      </x:c>
      <x:c r="C395" s="2" t="str">
        <x:v>848690</x:v>
      </x:c>
      <x:c r="D395" s="2" t="str">
        <x:v>CVD装置部品</x:v>
      </x:c>
      <x:c r="E395" s="9" t="n">
        <x:v>8096316</x:v>
      </x:c>
      <x:c r="F395" s="9" t="n">
        <x:f>IF(G395="利用可",E395,"")</x:f>
        <x:v>8096316</x:v>
      </x:c>
      <x:c r="G395" s="2" t="str">
        <x:v>利用可</x:v>
      </x:c>
      <x:c r="H395" s="9" t="n">
        <x:v>7633851</x:v>
      </x:c>
      <x:c r="I395" s="2" t="str"/>
      <x:c r="J395" s="2" t="n">
        <x:v>11</x:v>
      </x:c>
      <x:c r="K395" s="8" t="n">
        <x:v>46294</x:v>
      </x:c>
    </x:row>
    <x:row r="396" ht="22" customHeight="1">
      <x:c r="A396" s="7" t="n">
        <x:v>46204</x:v>
      </x:c>
      <x:c r="B396" s="2" t="str">
        <x:v>84869000106</x:v>
      </x:c>
      <x:c r="C396" s="2" t="str">
        <x:v>848690</x:v>
      </x:c>
      <x:c r="D396" s="2" t="str">
        <x:v>CVD装置部品</x:v>
      </x:c>
      <x:c r="E396" s="9" t="n">
        <x:v>9774205</x:v>
      </x:c>
      <x:c r="F396" s="9" t="n">
        <x:f>IF(G396="利用可",E396,"")</x:f>
        <x:v>9774205</x:v>
      </x:c>
      <x:c r="G396" s="2" t="str">
        <x:v>利用可</x:v>
      </x:c>
      <x:c r="H396" s="9" t="n">
        <x:v>5263861</x:v>
      </x:c>
      <x:c r="I396" s="2" t="str"/>
      <x:c r="J396" s="2" t="n">
        <x:v>11</x:v>
      </x:c>
      <x:c r="K396" s="8" t="n">
        <x:v>46294</x:v>
      </x:c>
    </x:row>
    <x:row r="397" ht="22" customHeight="1">
      <x:c r="A397" s="7" t="n">
        <x:v>46235</x:v>
      </x:c>
      <x:c r="B397" s="2" t="str">
        <x:v>84869000106</x:v>
      </x:c>
      <x:c r="C397" s="2" t="str">
        <x:v>848690</x:v>
      </x:c>
      <x:c r="D397" s="2" t="str">
        <x:v>CVD装置部品</x:v>
      </x:c>
      <x:c r="E397" s="9" t="n">
        <x:v>5996413</x:v>
      </x:c>
      <x:c r="F397" s="9" t="n">
        <x:f>IF(G397="利用可",E397,"")</x:f>
        <x:v>5996413</x:v>
      </x:c>
      <x:c r="G397" s="2" t="str">
        <x:v>利用可</x:v>
      </x:c>
      <x:c r="H397" s="9" t="n">
        <x:v>8016909</x:v>
      </x:c>
      <x:c r="I397" s="2" t="str"/>
      <x:c r="J397" s="2" t="n">
        <x:v>11</x:v>
      </x:c>
      <x:c r="K397" s="8" t="n">
        <x:v>46294</x:v>
      </x:c>
    </x:row>
    <x:row r="398" ht="22" customHeight="1">
      <x:c r="A398" s="7" t="n">
        <x:v>44927</x:v>
      </x:c>
      <x:c r="B398" s="2" t="str">
        <x:v>84869000400</x:v>
      </x:c>
      <x:c r="C398" s="2" t="str">
        <x:v>848690</x:v>
      </x:c>
      <x:c r="D398" s="2" t="str">
        <x:v>ドライエッチ装置部品</x:v>
      </x:c>
      <x:c r="E398" s="9" t="n">
        <x:v>19006833</x:v>
      </x:c>
      <x:c r="F398" s="9" t="n">
        <x:f>IF(G398="利用可",E398,"")</x:f>
        <x:v>19006833</x:v>
      </x:c>
      <x:c r="G398" s="2" t="str">
        <x:v>利用可</x:v>
      </x:c>
      <x:c r="H398" s="9" t="n">
        <x:v>27267369</x:v>
      </x:c>
      <x:c r="I398" s="2" t="str"/>
      <x:c r="J398" s="2" t="n">
        <x:v>11</x:v>
      </x:c>
      <x:c r="K398" s="8" t="n">
        <x:v>46294</x:v>
      </x:c>
    </x:row>
    <x:row r="399" ht="22" customHeight="1">
      <x:c r="A399" s="7" t="n">
        <x:v>44958</x:v>
      </x:c>
      <x:c r="B399" s="2" t="str">
        <x:v>84869000400</x:v>
      </x:c>
      <x:c r="C399" s="2" t="str">
        <x:v>848690</x:v>
      </x:c>
      <x:c r="D399" s="2" t="str">
        <x:v>ドライエッチ装置部品</x:v>
      </x:c>
      <x:c r="E399" s="9" t="n">
        <x:v>24376010</x:v>
      </x:c>
      <x:c r="F399" s="9" t="n">
        <x:f>IF(G399="利用可",E399,"")</x:f>
        <x:v>24376010</x:v>
      </x:c>
      <x:c r="G399" s="2" t="str">
        <x:v>利用可</x:v>
      </x:c>
      <x:c r="H399" s="9" t="n">
        <x:v>34611072</x:v>
      </x:c>
      <x:c r="I399" s="2" t="str"/>
      <x:c r="J399" s="2" t="n">
        <x:v>11</x:v>
      </x:c>
      <x:c r="K399" s="8" t="n">
        <x:v>46294</x:v>
      </x:c>
    </x:row>
    <x:row r="400" ht="22" customHeight="1">
      <x:c r="A400" s="7" t="n">
        <x:v>44986</x:v>
      </x:c>
      <x:c r="B400" s="2" t="str">
        <x:v>84869000400</x:v>
      </x:c>
      <x:c r="C400" s="2" t="str">
        <x:v>848690</x:v>
      </x:c>
      <x:c r="D400" s="2" t="str">
        <x:v>ドライエッチ装置部品</x:v>
      </x:c>
      <x:c r="E400" s="9" t="n">
        <x:v>21305467</x:v>
      </x:c>
      <x:c r="F400" s="9" t="n">
        <x:f>IF(G400="利用可",E400,"")</x:f>
        <x:v>21305467</x:v>
      </x:c>
      <x:c r="G400" s="2" t="str">
        <x:v>利用可</x:v>
      </x:c>
      <x:c r="H400" s="9" t="n">
        <x:v>39234475</x:v>
      </x:c>
      <x:c r="I400" s="2" t="str"/>
      <x:c r="J400" s="2" t="n">
        <x:v>11</x:v>
      </x:c>
      <x:c r="K400" s="8" t="n">
        <x:v>46294</x:v>
      </x:c>
    </x:row>
    <x:row r="401" ht="22" customHeight="1">
      <x:c r="A401" s="7" t="n">
        <x:v>45017</x:v>
      </x:c>
      <x:c r="B401" s="2" t="str">
        <x:v>84869000400</x:v>
      </x:c>
      <x:c r="C401" s="2" t="str">
        <x:v>848690</x:v>
      </x:c>
      <x:c r="D401" s="2" t="str">
        <x:v>ドライエッチ装置部品</x:v>
      </x:c>
      <x:c r="E401" s="9" t="n">
        <x:v>19608283</x:v>
      </x:c>
      <x:c r="F401" s="9" t="n">
        <x:f>IF(G401="利用可",E401,"")</x:f>
        <x:v>19608283</x:v>
      </x:c>
      <x:c r="G401" s="2" t="str">
        <x:v>利用可</x:v>
      </x:c>
      <x:c r="H401" s="9" t="n">
        <x:v>37158000</x:v>
      </x:c>
      <x:c r="I401" s="2" t="str"/>
      <x:c r="J401" s="2" t="n">
        <x:v>11</x:v>
      </x:c>
      <x:c r="K401" s="8" t="n">
        <x:v>46294</x:v>
      </x:c>
    </x:row>
    <x:row r="402" ht="22" customHeight="1">
      <x:c r="A402" s="7" t="n">
        <x:v>45047</x:v>
      </x:c>
      <x:c r="B402" s="2" t="str">
        <x:v>84869000400</x:v>
      </x:c>
      <x:c r="C402" s="2" t="str">
        <x:v>848690</x:v>
      </x:c>
      <x:c r="D402" s="2" t="str">
        <x:v>ドライエッチ装置部品</x:v>
      </x:c>
      <x:c r="E402" s="9" t="n">
        <x:v>16783805</x:v>
      </x:c>
      <x:c r="F402" s="9" t="n">
        <x:f>IF(G402="利用可",E402,"")</x:f>
        <x:v>16783805</x:v>
      </x:c>
      <x:c r="G402" s="2" t="str">
        <x:v>利用可</x:v>
      </x:c>
      <x:c r="H402" s="9" t="n">
        <x:v>32680245</x:v>
      </x:c>
      <x:c r="I402" s="2" t="str"/>
      <x:c r="J402" s="2" t="n">
        <x:v>11</x:v>
      </x:c>
      <x:c r="K402" s="8" t="n">
        <x:v>46294</x:v>
      </x:c>
    </x:row>
    <x:row r="403" ht="22" customHeight="1">
      <x:c r="A403" s="7" t="n">
        <x:v>45078</x:v>
      </x:c>
      <x:c r="B403" s="2" t="str">
        <x:v>84869000400</x:v>
      </x:c>
      <x:c r="C403" s="2" t="str">
        <x:v>848690</x:v>
      </x:c>
      <x:c r="D403" s="2" t="str">
        <x:v>ドライエッチ装置部品</x:v>
      </x:c>
      <x:c r="E403" s="9" t="n">
        <x:v>15005770</x:v>
      </x:c>
      <x:c r="F403" s="9" t="n">
        <x:f>IF(G403="利用可",E403,"")</x:f>
        <x:v>15005770</x:v>
      </x:c>
      <x:c r="G403" s="2" t="str">
        <x:v>利用可</x:v>
      </x:c>
      <x:c r="H403" s="9" t="n">
        <x:v>41157462</x:v>
      </x:c>
      <x:c r="I403" s="2" t="str"/>
      <x:c r="J403" s="2" t="n">
        <x:v>11</x:v>
      </x:c>
      <x:c r="K403" s="8" t="n">
        <x:v>46294</x:v>
      </x:c>
    </x:row>
    <x:row r="404" ht="22" customHeight="1">
      <x:c r="A404" s="7" t="n">
        <x:v>45108</x:v>
      </x:c>
      <x:c r="B404" s="2" t="str">
        <x:v>84869000400</x:v>
      </x:c>
      <x:c r="C404" s="2" t="str">
        <x:v>848690</x:v>
      </x:c>
      <x:c r="D404" s="2" t="str">
        <x:v>ドライエッチ装置部品</x:v>
      </x:c>
      <x:c r="E404" s="9" t="n">
        <x:v>15903262</x:v>
      </x:c>
      <x:c r="F404" s="9" t="n">
        <x:f>IF(G404="利用可",E404,"")</x:f>
        <x:v>15903262</x:v>
      </x:c>
      <x:c r="G404" s="2" t="str">
        <x:v>利用可</x:v>
      </x:c>
      <x:c r="H404" s="9" t="n">
        <x:v>36704210</x:v>
      </x:c>
      <x:c r="I404" s="2" t="str"/>
      <x:c r="J404" s="2" t="n">
        <x:v>11</x:v>
      </x:c>
      <x:c r="K404" s="8" t="n">
        <x:v>46294</x:v>
      </x:c>
    </x:row>
    <x:row r="405" ht="22" customHeight="1">
      <x:c r="A405" s="7" t="n">
        <x:v>45139</x:v>
      </x:c>
      <x:c r="B405" s="2" t="str">
        <x:v>84869000400</x:v>
      </x:c>
      <x:c r="C405" s="2" t="str">
        <x:v>848690</x:v>
      </x:c>
      <x:c r="D405" s="2" t="str">
        <x:v>ドライエッチ装置部品</x:v>
      </x:c>
      <x:c r="E405" s="9" t="n">
        <x:v>13112647</x:v>
      </x:c>
      <x:c r="F405" s="9" t="n">
        <x:f>IF(G405="利用可",E405,"")</x:f>
        <x:v>13112647</x:v>
      </x:c>
      <x:c r="G405" s="2" t="str">
        <x:v>利用可</x:v>
      </x:c>
      <x:c r="H405" s="9" t="n">
        <x:v>24441298</x:v>
      </x:c>
      <x:c r="I405" s="2" t="str"/>
      <x:c r="J405" s="2" t="n">
        <x:v>11</x:v>
      </x:c>
      <x:c r="K405" s="8" t="n">
        <x:v>46294</x:v>
      </x:c>
    </x:row>
    <x:row r="406" ht="22" customHeight="1">
      <x:c r="A406" s="7" t="n">
        <x:v>45170</x:v>
      </x:c>
      <x:c r="B406" s="2" t="str">
        <x:v>84869000400</x:v>
      </x:c>
      <x:c r="C406" s="2" t="str">
        <x:v>848690</x:v>
      </x:c>
      <x:c r="D406" s="2" t="str">
        <x:v>ドライエッチ装置部品</x:v>
      </x:c>
      <x:c r="E406" s="9" t="n">
        <x:v>16475576</x:v>
      </x:c>
      <x:c r="F406" s="9" t="n">
        <x:f>IF(G406="利用可",E406,"")</x:f>
        <x:v>16475576</x:v>
      </x:c>
      <x:c r="G406" s="2" t="str">
        <x:v>利用可</x:v>
      </x:c>
      <x:c r="H406" s="9" t="n">
        <x:v>24298237</x:v>
      </x:c>
      <x:c r="I406" s="2" t="str"/>
      <x:c r="J406" s="2" t="n">
        <x:v>11</x:v>
      </x:c>
      <x:c r="K406" s="8" t="n">
        <x:v>46294</x:v>
      </x:c>
    </x:row>
    <x:row r="407" ht="22" customHeight="1">
      <x:c r="A407" s="7" t="n">
        <x:v>45200</x:v>
      </x:c>
      <x:c r="B407" s="2" t="str">
        <x:v>84869000400</x:v>
      </x:c>
      <x:c r="C407" s="2" t="str">
        <x:v>848690</x:v>
      </x:c>
      <x:c r="D407" s="2" t="str">
        <x:v>ドライエッチ装置部品</x:v>
      </x:c>
      <x:c r="E407" s="9" t="n">
        <x:v>21016452</x:v>
      </x:c>
      <x:c r="F407" s="9" t="n">
        <x:f>IF(G407="利用可",E407,"")</x:f>
        <x:v>21016452</x:v>
      </x:c>
      <x:c r="G407" s="2" t="str">
        <x:v>利用可</x:v>
      </x:c>
      <x:c r="H407" s="9" t="n">
        <x:v>34964759</x:v>
      </x:c>
      <x:c r="I407" s="2" t="str"/>
      <x:c r="J407" s="2" t="n">
        <x:v>11</x:v>
      </x:c>
      <x:c r="K407" s="8" t="n">
        <x:v>46294</x:v>
      </x:c>
    </x:row>
    <x:row r="408" ht="22" customHeight="1">
      <x:c r="A408" s="7" t="n">
        <x:v>45231</x:v>
      </x:c>
      <x:c r="B408" s="2" t="str">
        <x:v>84869000400</x:v>
      </x:c>
      <x:c r="C408" s="2" t="str">
        <x:v>848690</x:v>
      </x:c>
      <x:c r="D408" s="2" t="str">
        <x:v>ドライエッチ装置部品</x:v>
      </x:c>
      <x:c r="E408" s="9" t="n">
        <x:v>12130877</x:v>
      </x:c>
      <x:c r="F408" s="9" t="n">
        <x:f>IF(G408="利用可",E408,"")</x:f>
        <x:v>12130877</x:v>
      </x:c>
      <x:c r="G408" s="2" t="str">
        <x:v>利用可</x:v>
      </x:c>
      <x:c r="H408" s="9" t="n">
        <x:v>24465941</x:v>
      </x:c>
      <x:c r="I408" s="2" t="str"/>
      <x:c r="J408" s="2" t="n">
        <x:v>11</x:v>
      </x:c>
      <x:c r="K408" s="8" t="n">
        <x:v>46294</x:v>
      </x:c>
    </x:row>
    <x:row r="409" ht="22" customHeight="1">
      <x:c r="A409" s="7" t="n">
        <x:v>45261</x:v>
      </x:c>
      <x:c r="B409" s="2" t="str">
        <x:v>84869000400</x:v>
      </x:c>
      <x:c r="C409" s="2" t="str">
        <x:v>848690</x:v>
      </x:c>
      <x:c r="D409" s="2" t="str">
        <x:v>ドライエッチ装置部品</x:v>
      </x:c>
      <x:c r="E409" s="9" t="n">
        <x:v>20625734</x:v>
      </x:c>
      <x:c r="F409" s="9" t="n">
        <x:f>IF(G409="利用可",E409,"")</x:f>
        <x:v>20625734</x:v>
      </x:c>
      <x:c r="G409" s="2" t="str">
        <x:v>利用可</x:v>
      </x:c>
      <x:c r="H409" s="9" t="n">
        <x:v>27134650</x:v>
      </x:c>
      <x:c r="I409" s="2" t="str"/>
      <x:c r="J409" s="2" t="n">
        <x:v>11</x:v>
      </x:c>
      <x:c r="K409" s="8" t="n">
        <x:v>46294</x:v>
      </x:c>
    </x:row>
    <x:row r="410" ht="22" customHeight="1">
      <x:c r="A410" s="7" t="n">
        <x:v>45292</x:v>
      </x:c>
      <x:c r="B410" s="2" t="str">
        <x:v>84869000400</x:v>
      </x:c>
      <x:c r="C410" s="2" t="str">
        <x:v>848690</x:v>
      </x:c>
      <x:c r="D410" s="2" t="str">
        <x:v>ドライエッチ装置部品</x:v>
      </x:c>
      <x:c r="E410" s="9" t="n">
        <x:v>18518389</x:v>
      </x:c>
      <x:c r="F410" s="9" t="n">
        <x:f>IF(G410="利用可",E410,"")</x:f>
        <x:v>18518389</x:v>
      </x:c>
      <x:c r="G410" s="2" t="str">
        <x:v>利用可</x:v>
      </x:c>
      <x:c r="H410" s="9" t="n">
        <x:v>19006833</x:v>
      </x:c>
      <x:c r="I410" s="2" t="str"/>
      <x:c r="J410" s="2" t="n">
        <x:v>11</x:v>
      </x:c>
      <x:c r="K410" s="8" t="n">
        <x:v>46294</x:v>
      </x:c>
    </x:row>
    <x:row r="411" ht="22" customHeight="1">
      <x:c r="A411" s="7" t="n">
        <x:v>45323</x:v>
      </x:c>
      <x:c r="B411" s="2" t="str">
        <x:v>84869000400</x:v>
      </x:c>
      <x:c r="C411" s="2" t="str">
        <x:v>848690</x:v>
      </x:c>
      <x:c r="D411" s="2" t="str">
        <x:v>ドライエッチ装置部品</x:v>
      </x:c>
      <x:c r="E411" s="9" t="n">
        <x:v>22213471</x:v>
      </x:c>
      <x:c r="F411" s="9" t="n">
        <x:f>IF(G411="利用可",E411,"")</x:f>
        <x:v>22213471</x:v>
      </x:c>
      <x:c r="G411" s="2" t="str">
        <x:v>利用可</x:v>
      </x:c>
      <x:c r="H411" s="9" t="n">
        <x:v>24376010</x:v>
      </x:c>
      <x:c r="I411" s="2" t="str"/>
      <x:c r="J411" s="2" t="n">
        <x:v>11</x:v>
      </x:c>
      <x:c r="K411" s="8" t="n">
        <x:v>46294</x:v>
      </x:c>
    </x:row>
    <x:row r="412" ht="22" customHeight="1">
      <x:c r="A412" s="7" t="n">
        <x:v>45352</x:v>
      </x:c>
      <x:c r="B412" s="2" t="str">
        <x:v>84869000400</x:v>
      </x:c>
      <x:c r="C412" s="2" t="str">
        <x:v>848690</x:v>
      </x:c>
      <x:c r="D412" s="2" t="str">
        <x:v>ドライエッチ装置部品</x:v>
      </x:c>
      <x:c r="E412" s="9" t="n">
        <x:v>19580245</x:v>
      </x:c>
      <x:c r="F412" s="9" t="n">
        <x:f>IF(G412="利用可",E412,"")</x:f>
        <x:v>19580245</x:v>
      </x:c>
      <x:c r="G412" s="2" t="str">
        <x:v>利用可</x:v>
      </x:c>
      <x:c r="H412" s="9" t="n">
        <x:v>21305467</x:v>
      </x:c>
      <x:c r="I412" s="2" t="str"/>
      <x:c r="J412" s="2" t="n">
        <x:v>11</x:v>
      </x:c>
      <x:c r="K412" s="8" t="n">
        <x:v>46294</x:v>
      </x:c>
    </x:row>
    <x:row r="413" ht="22" customHeight="1">
      <x:c r="A413" s="7" t="n">
        <x:v>45383</x:v>
      </x:c>
      <x:c r="B413" s="2" t="str">
        <x:v>84869000400</x:v>
      </x:c>
      <x:c r="C413" s="2" t="str">
        <x:v>848690</x:v>
      </x:c>
      <x:c r="D413" s="2" t="str">
        <x:v>ドライエッチ装置部品</x:v>
      </x:c>
      <x:c r="E413" s="9" t="n">
        <x:v>24978449</x:v>
      </x:c>
      <x:c r="F413" s="9" t="n">
        <x:f>IF(G413="利用可",E413,"")</x:f>
        <x:v>24978449</x:v>
      </x:c>
      <x:c r="G413" s="2" t="str">
        <x:v>利用可</x:v>
      </x:c>
      <x:c r="H413" s="9" t="n">
        <x:v>19608283</x:v>
      </x:c>
      <x:c r="I413" s="2" t="str"/>
      <x:c r="J413" s="2" t="n">
        <x:v>11</x:v>
      </x:c>
      <x:c r="K413" s="8" t="n">
        <x:v>46294</x:v>
      </x:c>
    </x:row>
    <x:row r="414" ht="22" customHeight="1">
      <x:c r="A414" s="7" t="n">
        <x:v>45413</x:v>
      </x:c>
      <x:c r="B414" s="2" t="str">
        <x:v>84869000400</x:v>
      </x:c>
      <x:c r="C414" s="2" t="str">
        <x:v>848690</x:v>
      </x:c>
      <x:c r="D414" s="2" t="str">
        <x:v>ドライエッチ装置部品</x:v>
      </x:c>
      <x:c r="E414" s="9" t="n">
        <x:v>16600833</x:v>
      </x:c>
      <x:c r="F414" s="9" t="n">
        <x:f>IF(G414="利用可",E414,"")</x:f>
        <x:v>16600833</x:v>
      </x:c>
      <x:c r="G414" s="2" t="str">
        <x:v>利用可</x:v>
      </x:c>
      <x:c r="H414" s="9" t="n">
        <x:v>16783805</x:v>
      </x:c>
      <x:c r="I414" s="2" t="str"/>
      <x:c r="J414" s="2" t="n">
        <x:v>11</x:v>
      </x:c>
      <x:c r="K414" s="8" t="n">
        <x:v>46294</x:v>
      </x:c>
    </x:row>
    <x:row r="415" ht="22" customHeight="1">
      <x:c r="A415" s="7" t="n">
        <x:v>45444</x:v>
      </x:c>
      <x:c r="B415" s="2" t="str">
        <x:v>84869000400</x:v>
      </x:c>
      <x:c r="C415" s="2" t="str">
        <x:v>848690</x:v>
      </x:c>
      <x:c r="D415" s="2" t="str">
        <x:v>ドライエッチ装置部品</x:v>
      </x:c>
      <x:c r="E415" s="9" t="n">
        <x:v>16993150</x:v>
      </x:c>
      <x:c r="F415" s="9" t="n">
        <x:f>IF(G415="利用可",E415,"")</x:f>
        <x:v>16993150</x:v>
      </x:c>
      <x:c r="G415" s="2" t="str">
        <x:v>利用可</x:v>
      </x:c>
      <x:c r="H415" s="9" t="n">
        <x:v>15005770</x:v>
      </x:c>
      <x:c r="I415" s="2" t="str"/>
      <x:c r="J415" s="2" t="n">
        <x:v>11</x:v>
      </x:c>
      <x:c r="K415" s="8" t="n">
        <x:v>46294</x:v>
      </x:c>
    </x:row>
    <x:row r="416" ht="22" customHeight="1">
      <x:c r="A416" s="7" t="n">
        <x:v>45474</x:v>
      </x:c>
      <x:c r="B416" s="2" t="str">
        <x:v>84869000400</x:v>
      </x:c>
      <x:c r="C416" s="2" t="str">
        <x:v>848690</x:v>
      </x:c>
      <x:c r="D416" s="2" t="str">
        <x:v>ドライエッチ装置部品</x:v>
      </x:c>
      <x:c r="E416" s="9" t="n">
        <x:v>19127117</x:v>
      </x:c>
      <x:c r="F416" s="9" t="n">
        <x:f>IF(G416="利用可",E416,"")</x:f>
        <x:v>19127117</x:v>
      </x:c>
      <x:c r="G416" s="2" t="str">
        <x:v>利用可</x:v>
      </x:c>
      <x:c r="H416" s="9" t="n">
        <x:v>15903262</x:v>
      </x:c>
      <x:c r="I416" s="2" t="str"/>
      <x:c r="J416" s="2" t="n">
        <x:v>11</x:v>
      </x:c>
      <x:c r="K416" s="8" t="n">
        <x:v>46294</x:v>
      </x:c>
    </x:row>
    <x:row r="417" ht="22" customHeight="1">
      <x:c r="A417" s="7" t="n">
        <x:v>45505</x:v>
      </x:c>
      <x:c r="B417" s="2" t="str">
        <x:v>84869000400</x:v>
      </x:c>
      <x:c r="C417" s="2" t="str">
        <x:v>848690</x:v>
      </x:c>
      <x:c r="D417" s="2" t="str">
        <x:v>ドライエッチ装置部品</x:v>
      </x:c>
      <x:c r="E417" s="9" t="n">
        <x:v>21657993</x:v>
      </x:c>
      <x:c r="F417" s="9" t="n">
        <x:f>IF(G417="利用可",E417,"")</x:f>
        <x:v>21657993</x:v>
      </x:c>
      <x:c r="G417" s="2" t="str">
        <x:v>利用可</x:v>
      </x:c>
      <x:c r="H417" s="9" t="n">
        <x:v>13112647</x:v>
      </x:c>
      <x:c r="I417" s="2" t="str"/>
      <x:c r="J417" s="2" t="n">
        <x:v>11</x:v>
      </x:c>
      <x:c r="K417" s="8" t="n">
        <x:v>46294</x:v>
      </x:c>
    </x:row>
    <x:row r="418" ht="22" customHeight="1">
      <x:c r="A418" s="7" t="n">
        <x:v>45536</x:v>
      </x:c>
      <x:c r="B418" s="2" t="str">
        <x:v>84869000400</x:v>
      </x:c>
      <x:c r="C418" s="2" t="str">
        <x:v>848690</x:v>
      </x:c>
      <x:c r="D418" s="2" t="str">
        <x:v>ドライエッチ装置部品</x:v>
      </x:c>
      <x:c r="E418" s="9" t="n">
        <x:v>22189363</x:v>
      </x:c>
      <x:c r="F418" s="9" t="n">
        <x:f>IF(G418="利用可",E418,"")</x:f>
        <x:v>22189363</x:v>
      </x:c>
      <x:c r="G418" s="2" t="str">
        <x:v>利用可</x:v>
      </x:c>
      <x:c r="H418" s="9" t="n">
        <x:v>16475576</x:v>
      </x:c>
      <x:c r="I418" s="2" t="str"/>
      <x:c r="J418" s="2" t="n">
        <x:v>11</x:v>
      </x:c>
      <x:c r="K418" s="8" t="n">
        <x:v>46294</x:v>
      </x:c>
    </x:row>
    <x:row r="419" ht="22" customHeight="1">
      <x:c r="A419" s="7" t="n">
        <x:v>45566</x:v>
      </x:c>
      <x:c r="B419" s="2" t="str">
        <x:v>84869000400</x:v>
      </x:c>
      <x:c r="C419" s="2" t="str">
        <x:v>848690</x:v>
      </x:c>
      <x:c r="D419" s="2" t="str">
        <x:v>ドライエッチ装置部品</x:v>
      </x:c>
      <x:c r="E419" s="9" t="n">
        <x:v>19644277</x:v>
      </x:c>
      <x:c r="F419" s="9" t="n">
        <x:f>IF(G419="利用可",E419,"")</x:f>
        <x:v>19644277</x:v>
      </x:c>
      <x:c r="G419" s="2" t="str">
        <x:v>利用可</x:v>
      </x:c>
      <x:c r="H419" s="9" t="n">
        <x:v>21016452</x:v>
      </x:c>
      <x:c r="I419" s="2" t="str"/>
      <x:c r="J419" s="2" t="n">
        <x:v>11</x:v>
      </x:c>
      <x:c r="K419" s="8" t="n">
        <x:v>46294</x:v>
      </x:c>
    </x:row>
    <x:row r="420" ht="22" customHeight="1">
      <x:c r="A420" s="7" t="n">
        <x:v>45597</x:v>
      </x:c>
      <x:c r="B420" s="2" t="str">
        <x:v>84869000400</x:v>
      </x:c>
      <x:c r="C420" s="2" t="str">
        <x:v>848690</x:v>
      </x:c>
      <x:c r="D420" s="2" t="str">
        <x:v>ドライエッチ装置部品</x:v>
      </x:c>
      <x:c r="E420" s="9" t="n">
        <x:v>27697795</x:v>
      </x:c>
      <x:c r="F420" s="9" t="n">
        <x:f>IF(G420="利用可",E420,"")</x:f>
        <x:v>27697795</x:v>
      </x:c>
      <x:c r="G420" s="2" t="str">
        <x:v>利用可</x:v>
      </x:c>
      <x:c r="H420" s="9" t="n">
        <x:v>12130877</x:v>
      </x:c>
      <x:c r="I420" s="2" t="str"/>
      <x:c r="J420" s="2" t="n">
        <x:v>11</x:v>
      </x:c>
      <x:c r="K420" s="8" t="n">
        <x:v>46294</x:v>
      </x:c>
    </x:row>
    <x:row r="421" ht="22" customHeight="1">
      <x:c r="A421" s="7" t="n">
        <x:v>45627</x:v>
      </x:c>
      <x:c r="B421" s="2" t="str">
        <x:v>84869000400</x:v>
      </x:c>
      <x:c r="C421" s="2" t="str">
        <x:v>848690</x:v>
      </x:c>
      <x:c r="D421" s="2" t="str">
        <x:v>ドライエッチ装置部品</x:v>
      </x:c>
      <x:c r="E421" s="9" t="n">
        <x:v>32099500</x:v>
      </x:c>
      <x:c r="F421" s="9" t="n">
        <x:f>IF(G421="利用可",E421,"")</x:f>
        <x:v>32099500</x:v>
      </x:c>
      <x:c r="G421" s="2" t="str">
        <x:v>利用可</x:v>
      </x:c>
      <x:c r="H421" s="9" t="n">
        <x:v>20625734</x:v>
      </x:c>
      <x:c r="I421" s="2" t="str"/>
      <x:c r="J421" s="2" t="n">
        <x:v>11</x:v>
      </x:c>
      <x:c r="K421" s="8" t="n">
        <x:v>46294</x:v>
      </x:c>
    </x:row>
    <x:row r="422" ht="22" customHeight="1">
      <x:c r="A422" s="7" t="n">
        <x:v>45658</x:v>
      </x:c>
      <x:c r="B422" s="2" t="str">
        <x:v>84869000400</x:v>
      </x:c>
      <x:c r="C422" s="2" t="str">
        <x:v>848690</x:v>
      </x:c>
      <x:c r="D422" s="2" t="str">
        <x:v>ドライエッチ装置部品</x:v>
      </x:c>
      <x:c r="E422" s="9" t="n">
        <x:v>16419924</x:v>
      </x:c>
      <x:c r="F422" s="9" t="n">
        <x:f>IF(G422="利用可",E422,"")</x:f>
        <x:v>16419924</x:v>
      </x:c>
      <x:c r="G422" s="2" t="str">
        <x:v>利用可</x:v>
      </x:c>
      <x:c r="H422" s="9" t="n">
        <x:v>18518389</x:v>
      </x:c>
      <x:c r="I422" s="2" t="str"/>
      <x:c r="J422" s="2" t="n">
        <x:v>11</x:v>
      </x:c>
      <x:c r="K422" s="8" t="n">
        <x:v>46294</x:v>
      </x:c>
    </x:row>
    <x:row r="423" ht="22" customHeight="1">
      <x:c r="A423" s="7" t="n">
        <x:v>45689</x:v>
      </x:c>
      <x:c r="B423" s="2" t="str">
        <x:v>84869000400</x:v>
      </x:c>
      <x:c r="C423" s="2" t="str">
        <x:v>848690</x:v>
      </x:c>
      <x:c r="D423" s="2" t="str">
        <x:v>ドライエッチ装置部品</x:v>
      </x:c>
      <x:c r="E423" s="9" t="n">
        <x:v>24468430</x:v>
      </x:c>
      <x:c r="F423" s="9" t="n">
        <x:f>IF(G423="利用可",E423,"")</x:f>
        <x:v>24468430</x:v>
      </x:c>
      <x:c r="G423" s="2" t="str">
        <x:v>利用可</x:v>
      </x:c>
      <x:c r="H423" s="9" t="n">
        <x:v>22213471</x:v>
      </x:c>
      <x:c r="I423" s="2" t="str"/>
      <x:c r="J423" s="2" t="n">
        <x:v>11</x:v>
      </x:c>
      <x:c r="K423" s="8" t="n">
        <x:v>46294</x:v>
      </x:c>
    </x:row>
    <x:row r="424" ht="22" customHeight="1">
      <x:c r="A424" s="7" t="n">
        <x:v>45717</x:v>
      </x:c>
      <x:c r="B424" s="2" t="str">
        <x:v>84869000400</x:v>
      </x:c>
      <x:c r="C424" s="2" t="str">
        <x:v>848690</x:v>
      </x:c>
      <x:c r="D424" s="2" t="str">
        <x:v>ドライエッチ装置部品</x:v>
      </x:c>
      <x:c r="E424" s="9" t="n">
        <x:v>30141420</x:v>
      </x:c>
      <x:c r="F424" s="9" t="n">
        <x:f>IF(G424="利用可",E424,"")</x:f>
        <x:v>30141420</x:v>
      </x:c>
      <x:c r="G424" s="2" t="str">
        <x:v>利用可</x:v>
      </x:c>
      <x:c r="H424" s="9" t="n">
        <x:v>19580245</x:v>
      </x:c>
      <x:c r="I424" s="2" t="str"/>
      <x:c r="J424" s="2" t="n">
        <x:v>11</x:v>
      </x:c>
      <x:c r="K424" s="8" t="n">
        <x:v>46294</x:v>
      </x:c>
    </x:row>
    <x:row r="425" ht="22" customHeight="1">
      <x:c r="A425" s="7" t="n">
        <x:v>45748</x:v>
      </x:c>
      <x:c r="B425" s="2" t="str">
        <x:v>84869000400</x:v>
      </x:c>
      <x:c r="C425" s="2" t="str">
        <x:v>848690</x:v>
      </x:c>
      <x:c r="D425" s="2" t="str">
        <x:v>ドライエッチ装置部品</x:v>
      </x:c>
      <x:c r="E425" s="9" t="n">
        <x:v>28331412</x:v>
      </x:c>
      <x:c r="F425" s="9" t="n">
        <x:f>IF(G425="利用可",E425,"")</x:f>
        <x:v>28331412</x:v>
      </x:c>
      <x:c r="G425" s="2" t="str">
        <x:v>利用可</x:v>
      </x:c>
      <x:c r="H425" s="9" t="n">
        <x:v>24978449</x:v>
      </x:c>
      <x:c r="I425" s="2" t="str"/>
      <x:c r="J425" s="2" t="n">
        <x:v>11</x:v>
      </x:c>
      <x:c r="K425" s="8" t="n">
        <x:v>46294</x:v>
      </x:c>
    </x:row>
    <x:row r="426" ht="22" customHeight="1">
      <x:c r="A426" s="7" t="n">
        <x:v>45778</x:v>
      </x:c>
      <x:c r="B426" s="2" t="str">
        <x:v>84869000400</x:v>
      </x:c>
      <x:c r="C426" s="2" t="str">
        <x:v>848690</x:v>
      </x:c>
      <x:c r="D426" s="2" t="str">
        <x:v>ドライエッチ装置部品</x:v>
      </x:c>
      <x:c r="E426" s="9" t="n">
        <x:v>33295655</x:v>
      </x:c>
      <x:c r="F426" s="9" t="n">
        <x:f>IF(G426="利用可",E426,"")</x:f>
        <x:v>33295655</x:v>
      </x:c>
      <x:c r="G426" s="2" t="str">
        <x:v>利用可</x:v>
      </x:c>
      <x:c r="H426" s="9" t="n">
        <x:v>16600833</x:v>
      </x:c>
      <x:c r="I426" s="2" t="str"/>
      <x:c r="J426" s="2" t="n">
        <x:v>11</x:v>
      </x:c>
      <x:c r="K426" s="8" t="n">
        <x:v>46294</x:v>
      </x:c>
    </x:row>
    <x:row r="427" ht="22" customHeight="1">
      <x:c r="A427" s="7" t="n">
        <x:v>45809</x:v>
      </x:c>
      <x:c r="B427" s="2" t="str">
        <x:v>84869000400</x:v>
      </x:c>
      <x:c r="C427" s="2" t="str">
        <x:v>848690</x:v>
      </x:c>
      <x:c r="D427" s="2" t="str">
        <x:v>ドライエッチ装置部品</x:v>
      </x:c>
      <x:c r="E427" s="9" t="n">
        <x:v>31501685</x:v>
      </x:c>
      <x:c r="F427" s="9" t="n">
        <x:f>IF(G427="利用可",E427,"")</x:f>
        <x:v>31501685</x:v>
      </x:c>
      <x:c r="G427" s="2" t="str">
        <x:v>利用可</x:v>
      </x:c>
      <x:c r="H427" s="9" t="n">
        <x:v>16993150</x:v>
      </x:c>
      <x:c r="I427" s="2" t="str"/>
      <x:c r="J427" s="2" t="n">
        <x:v>11</x:v>
      </x:c>
      <x:c r="K427" s="8" t="n">
        <x:v>46294</x:v>
      </x:c>
    </x:row>
    <x:row r="428" ht="22" customHeight="1">
      <x:c r="A428" s="7" t="n">
        <x:v>45839</x:v>
      </x:c>
      <x:c r="B428" s="2" t="str">
        <x:v>84869000400</x:v>
      </x:c>
      <x:c r="C428" s="2" t="str">
        <x:v>848690</x:v>
      </x:c>
      <x:c r="D428" s="2" t="str">
        <x:v>ドライエッチ装置部品</x:v>
      </x:c>
      <x:c r="E428" s="9" t="n">
        <x:v>25193881</x:v>
      </x:c>
      <x:c r="F428" s="9" t="n">
        <x:f>IF(G428="利用可",E428,"")</x:f>
        <x:v>25193881</x:v>
      </x:c>
      <x:c r="G428" s="2" t="str">
        <x:v>利用可</x:v>
      </x:c>
      <x:c r="H428" s="9" t="n">
        <x:v>19127117</x:v>
      </x:c>
      <x:c r="I428" s="2" t="str"/>
      <x:c r="J428" s="2" t="n">
        <x:v>11</x:v>
      </x:c>
      <x:c r="K428" s="8" t="n">
        <x:v>46294</x:v>
      </x:c>
    </x:row>
    <x:row r="429" ht="22" customHeight="1">
      <x:c r="A429" s="7" t="n">
        <x:v>45870</x:v>
      </x:c>
      <x:c r="B429" s="2" t="str">
        <x:v>84869000400</x:v>
      </x:c>
      <x:c r="C429" s="2" t="str">
        <x:v>848690</x:v>
      </x:c>
      <x:c r="D429" s="2" t="str">
        <x:v>ドライエッチ装置部品</x:v>
      </x:c>
      <x:c r="E429" s="9" t="n">
        <x:v>29104952</x:v>
      </x:c>
      <x:c r="F429" s="9" t="n">
        <x:f>IF(G429="利用可",E429,"")</x:f>
        <x:v>29104952</x:v>
      </x:c>
      <x:c r="G429" s="2" t="str">
        <x:v>利用可</x:v>
      </x:c>
      <x:c r="H429" s="9" t="n">
        <x:v>21657993</x:v>
      </x:c>
      <x:c r="I429" s="2" t="str"/>
      <x:c r="J429" s="2" t="n">
        <x:v>11</x:v>
      </x:c>
      <x:c r="K429" s="8" t="n">
        <x:v>46294</x:v>
      </x:c>
    </x:row>
    <x:row r="430" ht="22" customHeight="1">
      <x:c r="A430" s="7" t="n">
        <x:v>45901</x:v>
      </x:c>
      <x:c r="B430" s="2" t="str">
        <x:v>84869000400</x:v>
      </x:c>
      <x:c r="C430" s="2" t="str">
        <x:v>848690</x:v>
      </x:c>
      <x:c r="D430" s="2" t="str">
        <x:v>ドライエッチ装置部品</x:v>
      </x:c>
      <x:c r="E430" s="9" t="n">
        <x:v>29562640</x:v>
      </x:c>
      <x:c r="F430" s="9" t="n">
        <x:f>IF(G430="利用可",E430,"")</x:f>
        <x:v>29562640</x:v>
      </x:c>
      <x:c r="G430" s="2" t="str">
        <x:v>利用可</x:v>
      </x:c>
      <x:c r="H430" s="9" t="n">
        <x:v>22189363</x:v>
      </x:c>
      <x:c r="I430" s="2" t="str"/>
      <x:c r="J430" s="2" t="n">
        <x:v>11</x:v>
      </x:c>
      <x:c r="K430" s="8" t="n">
        <x:v>46294</x:v>
      </x:c>
    </x:row>
    <x:row r="431" ht="22" customHeight="1">
      <x:c r="A431" s="7" t="n">
        <x:v>45931</x:v>
      </x:c>
      <x:c r="B431" s="2" t="str">
        <x:v>84869000400</x:v>
      </x:c>
      <x:c r="C431" s="2" t="str">
        <x:v>848690</x:v>
      </x:c>
      <x:c r="D431" s="2" t="str">
        <x:v>ドライエッチ装置部品</x:v>
      </x:c>
      <x:c r="E431" s="9" t="n">
        <x:v>25110681</x:v>
      </x:c>
      <x:c r="F431" s="9" t="n">
        <x:f>IF(G431="利用可",E431,"")</x:f>
        <x:v>25110681</x:v>
      </x:c>
      <x:c r="G431" s="2" t="str">
        <x:v>利用可</x:v>
      </x:c>
      <x:c r="H431" s="9" t="n">
        <x:v>19644277</x:v>
      </x:c>
      <x:c r="I431" s="2" t="str"/>
      <x:c r="J431" s="2" t="n">
        <x:v>11</x:v>
      </x:c>
      <x:c r="K431" s="8" t="n">
        <x:v>46294</x:v>
      </x:c>
    </x:row>
    <x:row r="432" ht="22" customHeight="1">
      <x:c r="A432" s="7" t="n">
        <x:v>45962</x:v>
      </x:c>
      <x:c r="B432" s="2" t="str">
        <x:v>84869000400</x:v>
      </x:c>
      <x:c r="C432" s="2" t="str">
        <x:v>848690</x:v>
      </x:c>
      <x:c r="D432" s="2" t="str">
        <x:v>ドライエッチ装置部品</x:v>
      </x:c>
      <x:c r="E432" s="9" t="n">
        <x:v>31859803</x:v>
      </x:c>
      <x:c r="F432" s="9" t="n">
        <x:f>IF(G432="利用可",E432,"")</x:f>
        <x:v>31859803</x:v>
      </x:c>
      <x:c r="G432" s="2" t="str">
        <x:v>利用可</x:v>
      </x:c>
      <x:c r="H432" s="9" t="n">
        <x:v>27697795</x:v>
      </x:c>
      <x:c r="I432" s="2" t="str"/>
      <x:c r="J432" s="2" t="n">
        <x:v>11</x:v>
      </x:c>
      <x:c r="K432" s="8" t="n">
        <x:v>46294</x:v>
      </x:c>
    </x:row>
    <x:row r="433" ht="22" customHeight="1">
      <x:c r="A433" s="7" t="n">
        <x:v>45992</x:v>
      </x:c>
      <x:c r="B433" s="2" t="str">
        <x:v>84869000400</x:v>
      </x:c>
      <x:c r="C433" s="2" t="str">
        <x:v>848690</x:v>
      </x:c>
      <x:c r="D433" s="2" t="str">
        <x:v>ドライエッチ装置部品</x:v>
      </x:c>
      <x:c r="E433" s="9" t="n">
        <x:v>30662509</x:v>
      </x:c>
      <x:c r="F433" s="9" t="n">
        <x:f>IF(G433="利用可",E433,"")</x:f>
        <x:v>30662509</x:v>
      </x:c>
      <x:c r="G433" s="2" t="str">
        <x:v>利用可</x:v>
      </x:c>
      <x:c r="H433" s="9" t="n">
        <x:v>32099500</x:v>
      </x:c>
      <x:c r="I433" s="2" t="str"/>
      <x:c r="J433" s="2" t="n">
        <x:v>11</x:v>
      </x:c>
      <x:c r="K433" s="8" t="n">
        <x:v>46294</x:v>
      </x:c>
    </x:row>
    <x:row r="434" ht="22" customHeight="1">
      <x:c r="A434" s="7" t="n">
        <x:v>46023</x:v>
      </x:c>
      <x:c r="B434" s="2" t="str">
        <x:v>84869000400</x:v>
      </x:c>
      <x:c r="C434" s="2" t="str">
        <x:v>848690</x:v>
      </x:c>
      <x:c r="D434" s="2" t="str">
        <x:v>ドライエッチ装置部品</x:v>
      </x:c>
      <x:c r="E434" s="9" t="n">
        <x:v>35443881</x:v>
      </x:c>
      <x:c r="F434" s="9" t="n">
        <x:f>IF(G434="利用可",E434,"")</x:f>
        <x:v>35443881</x:v>
      </x:c>
      <x:c r="G434" s="2" t="str">
        <x:v>利用可</x:v>
      </x:c>
      <x:c r="H434" s="9" t="n">
        <x:v>16419924</x:v>
      </x:c>
      <x:c r="I434" s="2" t="str"/>
      <x:c r="J434" s="2" t="n">
        <x:v>11</x:v>
      </x:c>
      <x:c r="K434" s="8" t="n">
        <x:v>46294</x:v>
      </x:c>
    </x:row>
    <x:row r="435" ht="22" customHeight="1">
      <x:c r="A435" s="7" t="n">
        <x:v>46054</x:v>
      </x:c>
      <x:c r="B435" s="2" t="str">
        <x:v>84869000400</x:v>
      </x:c>
      <x:c r="C435" s="2" t="str">
        <x:v>848690</x:v>
      </x:c>
      <x:c r="D435" s="2" t="str">
        <x:v>ドライエッチ装置部品</x:v>
      </x:c>
      <x:c r="E435" s="9" t="n">
        <x:v>29335399</x:v>
      </x:c>
      <x:c r="F435" s="9" t="n">
        <x:f>IF(G435="利用可",E435,"")</x:f>
        <x:v>29335399</x:v>
      </x:c>
      <x:c r="G435" s="2" t="str">
        <x:v>利用可</x:v>
      </x:c>
      <x:c r="H435" s="9" t="n">
        <x:v>24468430</x:v>
      </x:c>
      <x:c r="I435" s="2" t="str"/>
      <x:c r="J435" s="2" t="n">
        <x:v>11</x:v>
      </x:c>
      <x:c r="K435" s="8" t="n">
        <x:v>46294</x:v>
      </x:c>
    </x:row>
    <x:row r="436" ht="22" customHeight="1">
      <x:c r="A436" s="7" t="n">
        <x:v>46082</x:v>
      </x:c>
      <x:c r="B436" s="2" t="str">
        <x:v>84869000400</x:v>
      </x:c>
      <x:c r="C436" s="2" t="str">
        <x:v>848690</x:v>
      </x:c>
      <x:c r="D436" s="2" t="str">
        <x:v>ドライエッチ装置部品</x:v>
      </x:c>
      <x:c r="E436" s="9" t="n">
        <x:v>55515209</x:v>
      </x:c>
      <x:c r="F436" s="9" t="n">
        <x:f>IF(G436="利用可",E436,"")</x:f>
        <x:v>55515209</x:v>
      </x:c>
      <x:c r="G436" s="2" t="str">
        <x:v>利用可</x:v>
      </x:c>
      <x:c r="H436" s="9" t="n">
        <x:v>30141420</x:v>
      </x:c>
      <x:c r="I436" s="2" t="str"/>
      <x:c r="J436" s="2" t="n">
        <x:v>11</x:v>
      </x:c>
      <x:c r="K436" s="8" t="n">
        <x:v>46294</x:v>
      </x:c>
    </x:row>
    <x:row r="437" ht="22" customHeight="1">
      <x:c r="A437" s="7" t="n">
        <x:v>46113</x:v>
      </x:c>
      <x:c r="B437" s="2" t="str">
        <x:v>84869000400</x:v>
      </x:c>
      <x:c r="C437" s="2" t="str">
        <x:v>848690</x:v>
      </x:c>
      <x:c r="D437" s="2" t="str">
        <x:v>ドライエッチ装置部品</x:v>
      </x:c>
      <x:c r="E437" s="9" t="n">
        <x:v>41649816</x:v>
      </x:c>
      <x:c r="F437" s="9" t="n">
        <x:f>IF(G437="利用可",E437,"")</x:f>
        <x:v>41649816</x:v>
      </x:c>
      <x:c r="G437" s="2" t="str">
        <x:v>利用可</x:v>
      </x:c>
      <x:c r="H437" s="9" t="n">
        <x:v>28331412</x:v>
      </x:c>
      <x:c r="I437" s="2" t="str"/>
      <x:c r="J437" s="2" t="n">
        <x:v>11</x:v>
      </x:c>
      <x:c r="K437" s="8" t="n">
        <x:v>46294</x:v>
      </x:c>
    </x:row>
    <x:row r="438" ht="22" customHeight="1">
      <x:c r="A438" s="7" t="n">
        <x:v>46143</x:v>
      </x:c>
      <x:c r="B438" s="2" t="str">
        <x:v>84869000400</x:v>
      </x:c>
      <x:c r="C438" s="2" t="str">
        <x:v>848690</x:v>
      </x:c>
      <x:c r="D438" s="2" t="str">
        <x:v>ドライエッチ装置部品</x:v>
      </x:c>
      <x:c r="E438" s="9" t="n">
        <x:v>44288017</x:v>
      </x:c>
      <x:c r="F438" s="9" t="n">
        <x:f>IF(G438="利用可",E438,"")</x:f>
        <x:v>44288017</x:v>
      </x:c>
      <x:c r="G438" s="2" t="str">
        <x:v>利用可</x:v>
      </x:c>
      <x:c r="H438" s="9" t="n">
        <x:v>33295655</x:v>
      </x:c>
      <x:c r="I438" s="2" t="str"/>
      <x:c r="J438" s="2" t="n">
        <x:v>11</x:v>
      </x:c>
      <x:c r="K438" s="8" t="n">
        <x:v>46294</x:v>
      </x:c>
    </x:row>
    <x:row r="439" ht="22" customHeight="1">
      <x:c r="A439" s="7" t="n">
        <x:v>46174</x:v>
      </x:c>
      <x:c r="B439" s="2" t="str">
        <x:v>84869000400</x:v>
      </x:c>
      <x:c r="C439" s="2" t="str">
        <x:v>848690</x:v>
      </x:c>
      <x:c r="D439" s="2" t="str">
        <x:v>ドライエッチ装置部品</x:v>
      </x:c>
      <x:c r="E439" s="9" t="n">
        <x:v>44594962</x:v>
      </x:c>
      <x:c r="F439" s="9" t="n">
        <x:f>IF(G439="利用可",E439,"")</x:f>
        <x:v>44594962</x:v>
      </x:c>
      <x:c r="G439" s="2" t="str">
        <x:v>利用可</x:v>
      </x:c>
      <x:c r="H439" s="9" t="n">
        <x:v>31501685</x:v>
      </x:c>
      <x:c r="I439" s="2" t="str"/>
      <x:c r="J439" s="2" t="n">
        <x:v>11</x:v>
      </x:c>
      <x:c r="K439" s="8" t="n">
        <x:v>46294</x:v>
      </x:c>
    </x:row>
    <x:row r="440" ht="22" customHeight="1">
      <x:c r="A440" s="7" t="n">
        <x:v>46204</x:v>
      </x:c>
      <x:c r="B440" s="2" t="str">
        <x:v>84869000400</x:v>
      </x:c>
      <x:c r="C440" s="2" t="str">
        <x:v>848690</x:v>
      </x:c>
      <x:c r="D440" s="2" t="str">
        <x:v>ドライエッチ装置部品</x:v>
      </x:c>
      <x:c r="E440" s="9" t="n">
        <x:v>41949568</x:v>
      </x:c>
      <x:c r="F440" s="9" t="n">
        <x:f>IF(G440="利用可",E440,"")</x:f>
        <x:v>41949568</x:v>
      </x:c>
      <x:c r="G440" s="2" t="str">
        <x:v>利用可</x:v>
      </x:c>
      <x:c r="H440" s="9" t="n">
        <x:v>25193881</x:v>
      </x:c>
      <x:c r="I440" s="2" t="str"/>
      <x:c r="J440" s="2" t="n">
        <x:v>11</x:v>
      </x:c>
      <x:c r="K440" s="8" t="n">
        <x:v>46294</x:v>
      </x:c>
    </x:row>
    <x:row r="441" ht="22" customHeight="1">
      <x:c r="A441" s="7" t="n">
        <x:v>46235</x:v>
      </x:c>
      <x:c r="B441" s="2" t="str">
        <x:v>84869000400</x:v>
      </x:c>
      <x:c r="C441" s="2" t="str">
        <x:v>848690</x:v>
      </x:c>
      <x:c r="D441" s="2" t="str">
        <x:v>ドライエッチ装置部品</x:v>
      </x:c>
      <x:c r="E441" s="9" t="n">
        <x:v>33802690</x:v>
      </x:c>
      <x:c r="F441" s="9" t="n">
        <x:f>IF(G441="利用可",E441,"")</x:f>
        <x:v>33802690</x:v>
      </x:c>
      <x:c r="G441" s="2" t="str">
        <x:v>利用可</x:v>
      </x:c>
      <x:c r="H441" s="9" t="n">
        <x:v>29104952</x:v>
      </x:c>
      <x:c r="I441" s="2" t="str"/>
      <x:c r="J441" s="2" t="n">
        <x:v>11</x:v>
      </x:c>
      <x:c r="K441" s="8" t="n">
        <x:v>46294</x:v>
      </x:c>
    </x:row>
    <x:row r="442" ht="22" customHeight="1">
      <x:c r="A442" s="7" t="n">
        <x:v>44927</x:v>
      </x:c>
      <x:c r="B442" s="2" t="str">
        <x:v>84869000605</x:v>
      </x:c>
      <x:c r="C442" s="2" t="str">
        <x:v>848690</x:v>
      </x:c>
      <x:c r="D442" s="2" t="str">
        <x:v>PVD装置部品</x:v>
      </x:c>
      <x:c r="E442" s="9" t="n">
        <x:v>869742</x:v>
      </x:c>
      <x:c r="F442" s="9" t="n">
        <x:f>IF(G442="利用可",E442,"")</x:f>
        <x:v>869742</x:v>
      </x:c>
      <x:c r="G442" s="2" t="str">
        <x:v>利用可</x:v>
      </x:c>
      <x:c r="H442" s="9" t="n">
        <x:v>1135119</x:v>
      </x:c>
      <x:c r="I442" s="2" t="str"/>
      <x:c r="J442" s="2" t="n">
        <x:v>11</x:v>
      </x:c>
      <x:c r="K442" s="8" t="n">
        <x:v>46294</x:v>
      </x:c>
    </x:row>
    <x:row r="443" ht="22" customHeight="1">
      <x:c r="A443" s="7" t="n">
        <x:v>44958</x:v>
      </x:c>
      <x:c r="B443" s="2" t="str">
        <x:v>84869000605</x:v>
      </x:c>
      <x:c r="C443" s="2" t="str">
        <x:v>848690</x:v>
      </x:c>
      <x:c r="D443" s="2" t="str">
        <x:v>PVD装置部品</x:v>
      </x:c>
      <x:c r="E443" s="9" t="n">
        <x:v>843096</x:v>
      </x:c>
      <x:c r="F443" s="9" t="n">
        <x:f>IF(G443="利用可",E443,"")</x:f>
        <x:v>843096</x:v>
      </x:c>
      <x:c r="G443" s="2" t="str">
        <x:v>利用可</x:v>
      </x:c>
      <x:c r="H443" s="9" t="n">
        <x:v>621683</x:v>
      </x:c>
      <x:c r="I443" s="2" t="str"/>
      <x:c r="J443" s="2" t="n">
        <x:v>11</x:v>
      </x:c>
      <x:c r="K443" s="8" t="n">
        <x:v>46294</x:v>
      </x:c>
    </x:row>
    <x:row r="444" ht="22" customHeight="1">
      <x:c r="A444" s="7" t="n">
        <x:v>44986</x:v>
      </x:c>
      <x:c r="B444" s="2" t="str">
        <x:v>84869000605</x:v>
      </x:c>
      <x:c r="C444" s="2" t="str">
        <x:v>848690</x:v>
      </x:c>
      <x:c r="D444" s="2" t="str">
        <x:v>PVD装置部品</x:v>
      </x:c>
      <x:c r="E444" s="9" t="n">
        <x:v>662153</x:v>
      </x:c>
      <x:c r="F444" s="9" t="n">
        <x:f>IF(G444="利用可",E444,"")</x:f>
        <x:v>662153</x:v>
      </x:c>
      <x:c r="G444" s="2" t="str">
        <x:v>利用可</x:v>
      </x:c>
      <x:c r="H444" s="9" t="n">
        <x:v>581982</x:v>
      </x:c>
      <x:c r="I444" s="2" t="str"/>
      <x:c r="J444" s="2" t="n">
        <x:v>11</x:v>
      </x:c>
      <x:c r="K444" s="8" t="n">
        <x:v>46294</x:v>
      </x:c>
    </x:row>
    <x:row r="445" ht="22" customHeight="1">
      <x:c r="A445" s="7" t="n">
        <x:v>45017</x:v>
      </x:c>
      <x:c r="B445" s="2" t="str">
        <x:v>84869000605</x:v>
      </x:c>
      <x:c r="C445" s="2" t="str">
        <x:v>848690</x:v>
      </x:c>
      <x:c r="D445" s="2" t="str">
        <x:v>PVD装置部品</x:v>
      </x:c>
      <x:c r="E445" s="9" t="n">
        <x:v>933805</x:v>
      </x:c>
      <x:c r="F445" s="9" t="n">
        <x:f>IF(G445="利用可",E445,"")</x:f>
        <x:v>933805</x:v>
      </x:c>
      <x:c r="G445" s="2" t="str">
        <x:v>利用可</x:v>
      </x:c>
      <x:c r="H445" s="9" t="n">
        <x:v>459354</x:v>
      </x:c>
      <x:c r="I445" s="2" t="str"/>
      <x:c r="J445" s="2" t="n">
        <x:v>11</x:v>
      </x:c>
      <x:c r="K445" s="8" t="n">
        <x:v>46294</x:v>
      </x:c>
    </x:row>
    <x:row r="446" ht="22" customHeight="1">
      <x:c r="A446" s="7" t="n">
        <x:v>45047</x:v>
      </x:c>
      <x:c r="B446" s="2" t="str">
        <x:v>84869000605</x:v>
      </x:c>
      <x:c r="C446" s="2" t="str">
        <x:v>848690</x:v>
      </x:c>
      <x:c r="D446" s="2" t="str">
        <x:v>PVD装置部品</x:v>
      </x:c>
      <x:c r="E446" s="9" t="n">
        <x:v>515890</x:v>
      </x:c>
      <x:c r="F446" s="9" t="n">
        <x:f>IF(G446="利用可",E446,"")</x:f>
        <x:v>515890</x:v>
      </x:c>
      <x:c r="G446" s="2" t="str">
        <x:v>利用可</x:v>
      </x:c>
      <x:c r="H446" s="9" t="n">
        <x:v>513700</x:v>
      </x:c>
      <x:c r="I446" s="2" t="str"/>
      <x:c r="J446" s="2" t="n">
        <x:v>11</x:v>
      </x:c>
      <x:c r="K446" s="8" t="n">
        <x:v>46294</x:v>
      </x:c>
    </x:row>
    <x:row r="447" ht="22" customHeight="1">
      <x:c r="A447" s="7" t="n">
        <x:v>45078</x:v>
      </x:c>
      <x:c r="B447" s="2" t="str">
        <x:v>84869000605</x:v>
      </x:c>
      <x:c r="C447" s="2" t="str">
        <x:v>848690</x:v>
      </x:c>
      <x:c r="D447" s="2" t="str">
        <x:v>PVD装置部品</x:v>
      </x:c>
      <x:c r="E447" s="9" t="n">
        <x:v>1180475</x:v>
      </x:c>
      <x:c r="F447" s="9" t="n">
        <x:f>IF(G447="利用可",E447,"")</x:f>
        <x:v>1180475</x:v>
      </x:c>
      <x:c r="G447" s="2" t="str">
        <x:v>利用可</x:v>
      </x:c>
      <x:c r="H447" s="9" t="n">
        <x:v>204735</x:v>
      </x:c>
      <x:c r="I447" s="2" t="str"/>
      <x:c r="J447" s="2" t="n">
        <x:v>11</x:v>
      </x:c>
      <x:c r="K447" s="8" t="n">
        <x:v>46294</x:v>
      </x:c>
    </x:row>
    <x:row r="448" ht="22" customHeight="1">
      <x:c r="A448" s="7" t="n">
        <x:v>45108</x:v>
      </x:c>
      <x:c r="B448" s="2" t="str">
        <x:v>84869000605</x:v>
      </x:c>
      <x:c r="C448" s="2" t="str">
        <x:v>848690</x:v>
      </x:c>
      <x:c r="D448" s="2" t="str">
        <x:v>PVD装置部品</x:v>
      </x:c>
      <x:c r="E448" s="9" t="n">
        <x:v>1207973</x:v>
      </x:c>
      <x:c r="F448" s="9" t="n">
        <x:f>IF(G448="利用可",E448,"")</x:f>
        <x:v>1207973</x:v>
      </x:c>
      <x:c r="G448" s="2" t="str">
        <x:v>利用可</x:v>
      </x:c>
      <x:c r="H448" s="9" t="n">
        <x:v>3250471</x:v>
      </x:c>
      <x:c r="I448" s="2" t="str"/>
      <x:c r="J448" s="2" t="n">
        <x:v>11</x:v>
      </x:c>
      <x:c r="K448" s="8" t="n">
        <x:v>46294</x:v>
      </x:c>
    </x:row>
    <x:row r="449" ht="22" customHeight="1">
      <x:c r="A449" s="7" t="n">
        <x:v>45139</x:v>
      </x:c>
      <x:c r="B449" s="2" t="str">
        <x:v>84869000605</x:v>
      </x:c>
      <x:c r="C449" s="2" t="str">
        <x:v>848690</x:v>
      </x:c>
      <x:c r="D449" s="2" t="str">
        <x:v>PVD装置部品</x:v>
      </x:c>
      <x:c r="E449" s="9" t="n">
        <x:v>1198925</x:v>
      </x:c>
      <x:c r="F449" s="9" t="n">
        <x:f>IF(G449="利用可",E449,"")</x:f>
        <x:v>1198925</x:v>
      </x:c>
      <x:c r="G449" s="2" t="str">
        <x:v>利用可</x:v>
      </x:c>
      <x:c r="H449" s="9" t="n">
        <x:v>398598</x:v>
      </x:c>
      <x:c r="I449" s="2" t="str"/>
      <x:c r="J449" s="2" t="n">
        <x:v>11</x:v>
      </x:c>
      <x:c r="K449" s="8" t="n">
        <x:v>46294</x:v>
      </x:c>
    </x:row>
    <x:row r="450" ht="22" customHeight="1">
      <x:c r="A450" s="7" t="n">
        <x:v>45170</x:v>
      </x:c>
      <x:c r="B450" s="2" t="str">
        <x:v>84869000605</x:v>
      </x:c>
      <x:c r="C450" s="2" t="str">
        <x:v>848690</x:v>
      </x:c>
      <x:c r="D450" s="2" t="str">
        <x:v>PVD装置部品</x:v>
      </x:c>
      <x:c r="E450" s="9" t="n">
        <x:v>1887554</x:v>
      </x:c>
      <x:c r="F450" s="9" t="n">
        <x:f>IF(G450="利用可",E450,"")</x:f>
        <x:v>1887554</x:v>
      </x:c>
      <x:c r="G450" s="2" t="str">
        <x:v>利用可</x:v>
      </x:c>
      <x:c r="H450" s="9" t="n">
        <x:v>832529</x:v>
      </x:c>
      <x:c r="I450" s="2" t="str"/>
      <x:c r="J450" s="2" t="n">
        <x:v>11</x:v>
      </x:c>
      <x:c r="K450" s="8" t="n">
        <x:v>46294</x:v>
      </x:c>
    </x:row>
    <x:row r="451" ht="22" customHeight="1">
      <x:c r="A451" s="7" t="n">
        <x:v>45200</x:v>
      </x:c>
      <x:c r="B451" s="2" t="str">
        <x:v>84869000605</x:v>
      </x:c>
      <x:c r="C451" s="2" t="str">
        <x:v>848690</x:v>
      </x:c>
      <x:c r="D451" s="2" t="str">
        <x:v>PVD装置部品</x:v>
      </x:c>
      <x:c r="E451" s="9" t="n">
        <x:v>1792958</x:v>
      </x:c>
      <x:c r="F451" s="9" t="n">
        <x:f>IF(G451="利用可",E451,"")</x:f>
        <x:v>1792958</x:v>
      </x:c>
      <x:c r="G451" s="2" t="str">
        <x:v>利用可</x:v>
      </x:c>
      <x:c r="H451" s="9" t="n">
        <x:v>622861</x:v>
      </x:c>
      <x:c r="I451" s="2" t="str"/>
      <x:c r="J451" s="2" t="n">
        <x:v>11</x:v>
      </x:c>
      <x:c r="K451" s="8" t="n">
        <x:v>46294</x:v>
      </x:c>
    </x:row>
    <x:row r="452" ht="22" customHeight="1">
      <x:c r="A452" s="7" t="n">
        <x:v>45231</x:v>
      </x:c>
      <x:c r="B452" s="2" t="str">
        <x:v>84869000605</x:v>
      </x:c>
      <x:c r="C452" s="2" t="str">
        <x:v>848690</x:v>
      </x:c>
      <x:c r="D452" s="2" t="str">
        <x:v>PVD装置部品</x:v>
      </x:c>
      <x:c r="E452" s="9" t="n">
        <x:v>2199006</x:v>
      </x:c>
      <x:c r="F452" s="9" t="n">
        <x:f>IF(G452="利用可",E452,"")</x:f>
        <x:v>2199006</x:v>
      </x:c>
      <x:c r="G452" s="2" t="str">
        <x:v>利用可</x:v>
      </x:c>
      <x:c r="H452" s="9" t="n">
        <x:v>305932</x:v>
      </x:c>
      <x:c r="I452" s="2" t="str"/>
      <x:c r="J452" s="2" t="n">
        <x:v>11</x:v>
      </x:c>
      <x:c r="K452" s="8" t="n">
        <x:v>46294</x:v>
      </x:c>
    </x:row>
    <x:row r="453" ht="22" customHeight="1">
      <x:c r="A453" s="7" t="n">
        <x:v>45261</x:v>
      </x:c>
      <x:c r="B453" s="2" t="str">
        <x:v>84869000605</x:v>
      </x:c>
      <x:c r="C453" s="2" t="str">
        <x:v>848690</x:v>
      </x:c>
      <x:c r="D453" s="2" t="str">
        <x:v>PVD装置部品</x:v>
      </x:c>
      <x:c r="E453" s="9" t="n">
        <x:v>499428</x:v>
      </x:c>
      <x:c r="F453" s="9" t="n">
        <x:f>IF(G453="利用可",E453,"")</x:f>
        <x:v>499428</x:v>
      </x:c>
      <x:c r="G453" s="2" t="str">
        <x:v>利用可</x:v>
      </x:c>
      <x:c r="H453" s="9" t="n">
        <x:v>482875</x:v>
      </x:c>
      <x:c r="I453" s="2" t="str"/>
      <x:c r="J453" s="2" t="n">
        <x:v>11</x:v>
      </x:c>
      <x:c r="K453" s="8" t="n">
        <x:v>46294</x:v>
      </x:c>
    </x:row>
    <x:row r="454" ht="22" customHeight="1">
      <x:c r="A454" s="7" t="n">
        <x:v>45292</x:v>
      </x:c>
      <x:c r="B454" s="2" t="str">
        <x:v>84869000605</x:v>
      </x:c>
      <x:c r="C454" s="2" t="str">
        <x:v>848690</x:v>
      </x:c>
      <x:c r="D454" s="2" t="str">
        <x:v>PVD装置部品</x:v>
      </x:c>
      <x:c r="E454" s="9" t="n">
        <x:v>907876</x:v>
      </x:c>
      <x:c r="F454" s="9" t="n">
        <x:f>IF(G454="利用可",E454,"")</x:f>
        <x:v>907876</x:v>
      </x:c>
      <x:c r="G454" s="2" t="str">
        <x:v>利用可</x:v>
      </x:c>
      <x:c r="H454" s="9" t="n">
        <x:v>869742</x:v>
      </x:c>
      <x:c r="I454" s="2" t="str"/>
      <x:c r="J454" s="2" t="n">
        <x:v>11</x:v>
      </x:c>
      <x:c r="K454" s="8" t="n">
        <x:v>46294</x:v>
      </x:c>
    </x:row>
    <x:row r="455" ht="22" customHeight="1">
      <x:c r="A455" s="7" t="n">
        <x:v>45323</x:v>
      </x:c>
      <x:c r="B455" s="2" t="str">
        <x:v>84869000605</x:v>
      </x:c>
      <x:c r="C455" s="2" t="str">
        <x:v>848690</x:v>
      </x:c>
      <x:c r="D455" s="2" t="str">
        <x:v>PVD装置部品</x:v>
      </x:c>
      <x:c r="E455" s="9" t="n">
        <x:v>654607</x:v>
      </x:c>
      <x:c r="F455" s="9" t="n">
        <x:f>IF(G455="利用可",E455,"")</x:f>
        <x:v>654607</x:v>
      </x:c>
      <x:c r="G455" s="2" t="str">
        <x:v>利用可</x:v>
      </x:c>
      <x:c r="H455" s="9" t="n">
        <x:v>843096</x:v>
      </x:c>
      <x:c r="I455" s="2" t="str"/>
      <x:c r="J455" s="2" t="n">
        <x:v>11</x:v>
      </x:c>
      <x:c r="K455" s="8" t="n">
        <x:v>46294</x:v>
      </x:c>
    </x:row>
    <x:row r="456" ht="22" customHeight="1">
      <x:c r="A456" s="7" t="n">
        <x:v>45352</x:v>
      </x:c>
      <x:c r="B456" s="2" t="str">
        <x:v>84869000605</x:v>
      </x:c>
      <x:c r="C456" s="2" t="str">
        <x:v>848690</x:v>
      </x:c>
      <x:c r="D456" s="2" t="str">
        <x:v>PVD装置部品</x:v>
      </x:c>
      <x:c r="E456" s="9" t="n">
        <x:v>548592</x:v>
      </x:c>
      <x:c r="F456" s="9" t="n">
        <x:f>IF(G456="利用可",E456,"")</x:f>
        <x:v>548592</x:v>
      </x:c>
      <x:c r="G456" s="2" t="str">
        <x:v>利用可</x:v>
      </x:c>
      <x:c r="H456" s="9" t="n">
        <x:v>662153</x:v>
      </x:c>
      <x:c r="I456" s="2" t="str"/>
      <x:c r="J456" s="2" t="n">
        <x:v>11</x:v>
      </x:c>
      <x:c r="K456" s="8" t="n">
        <x:v>46294</x:v>
      </x:c>
    </x:row>
    <x:row r="457" ht="22" customHeight="1">
      <x:c r="A457" s="7" t="n">
        <x:v>45383</x:v>
      </x:c>
      <x:c r="B457" s="2" t="str">
        <x:v>84869000605</x:v>
      </x:c>
      <x:c r="C457" s="2" t="str">
        <x:v>848690</x:v>
      </x:c>
      <x:c r="D457" s="2" t="str">
        <x:v>PVD装置部品</x:v>
      </x:c>
      <x:c r="E457" s="9" t="n">
        <x:v>626917</x:v>
      </x:c>
      <x:c r="F457" s="9" t="n">
        <x:f>IF(G457="利用可",E457,"")</x:f>
        <x:v>626917</x:v>
      </x:c>
      <x:c r="G457" s="2" t="str">
        <x:v>利用可</x:v>
      </x:c>
      <x:c r="H457" s="9" t="n">
        <x:v>933805</x:v>
      </x:c>
      <x:c r="I457" s="2" t="str"/>
      <x:c r="J457" s="2" t="n">
        <x:v>11</x:v>
      </x:c>
      <x:c r="K457" s="8" t="n">
        <x:v>46294</x:v>
      </x:c>
    </x:row>
    <x:row r="458" ht="22" customHeight="1">
      <x:c r="A458" s="7" t="n">
        <x:v>45413</x:v>
      </x:c>
      <x:c r="B458" s="2" t="str">
        <x:v>84869000605</x:v>
      </x:c>
      <x:c r="C458" s="2" t="str">
        <x:v>848690</x:v>
      </x:c>
      <x:c r="D458" s="2" t="str">
        <x:v>PVD装置部品</x:v>
      </x:c>
      <x:c r="E458" s="9" t="n">
        <x:v>1259808</x:v>
      </x:c>
      <x:c r="F458" s="9" t="n">
        <x:f>IF(G458="利用可",E458,"")</x:f>
        <x:v>1259808</x:v>
      </x:c>
      <x:c r="G458" s="2" t="str">
        <x:v>利用可</x:v>
      </x:c>
      <x:c r="H458" s="9" t="n">
        <x:v>515890</x:v>
      </x:c>
      <x:c r="I458" s="2" t="str"/>
      <x:c r="J458" s="2" t="n">
        <x:v>11</x:v>
      </x:c>
      <x:c r="K458" s="8" t="n">
        <x:v>46294</x:v>
      </x:c>
    </x:row>
    <x:row r="459" ht="22" customHeight="1">
      <x:c r="A459" s="7" t="n">
        <x:v>45444</x:v>
      </x:c>
      <x:c r="B459" s="2" t="str">
        <x:v>84869000605</x:v>
      </x:c>
      <x:c r="C459" s="2" t="str">
        <x:v>848690</x:v>
      </x:c>
      <x:c r="D459" s="2" t="str">
        <x:v>PVD装置部品</x:v>
      </x:c>
      <x:c r="E459" s="9" t="n">
        <x:v>1742633</x:v>
      </x:c>
      <x:c r="F459" s="9" t="n">
        <x:f>IF(G459="利用可",E459,"")</x:f>
        <x:v>1742633</x:v>
      </x:c>
      <x:c r="G459" s="2" t="str">
        <x:v>利用可</x:v>
      </x:c>
      <x:c r="H459" s="9" t="n">
        <x:v>1180475</x:v>
      </x:c>
      <x:c r="I459" s="2" t="str"/>
      <x:c r="J459" s="2" t="n">
        <x:v>11</x:v>
      </x:c>
      <x:c r="K459" s="8" t="n">
        <x:v>46294</x:v>
      </x:c>
    </x:row>
    <x:row r="460" ht="22" customHeight="1">
      <x:c r="A460" s="7" t="n">
        <x:v>45474</x:v>
      </x:c>
      <x:c r="B460" s="2" t="str">
        <x:v>84869000605</x:v>
      </x:c>
      <x:c r="C460" s="2" t="str">
        <x:v>848690</x:v>
      </x:c>
      <x:c r="D460" s="2" t="str">
        <x:v>PVD装置部品</x:v>
      </x:c>
      <x:c r="E460" s="9" t="n">
        <x:v>613233</x:v>
      </x:c>
      <x:c r="F460" s="9" t="n">
        <x:f>IF(G460="利用可",E460,"")</x:f>
        <x:v>613233</x:v>
      </x:c>
      <x:c r="G460" s="2" t="str">
        <x:v>利用可</x:v>
      </x:c>
      <x:c r="H460" s="9" t="n">
        <x:v>1207973</x:v>
      </x:c>
      <x:c r="I460" s="2" t="str"/>
      <x:c r="J460" s="2" t="n">
        <x:v>11</x:v>
      </x:c>
      <x:c r="K460" s="8" t="n">
        <x:v>46294</x:v>
      </x:c>
    </x:row>
    <x:row r="461" ht="22" customHeight="1">
      <x:c r="A461" s="7" t="n">
        <x:v>45505</x:v>
      </x:c>
      <x:c r="B461" s="2" t="str">
        <x:v>84869000605</x:v>
      </x:c>
      <x:c r="C461" s="2" t="str">
        <x:v>848690</x:v>
      </x:c>
      <x:c r="D461" s="2" t="str">
        <x:v>PVD装置部品</x:v>
      </x:c>
      <x:c r="E461" s="9" t="n">
        <x:v>644431</x:v>
      </x:c>
      <x:c r="F461" s="9" t="n">
        <x:f>IF(G461="利用可",E461,"")</x:f>
        <x:v>644431</x:v>
      </x:c>
      <x:c r="G461" s="2" t="str">
        <x:v>利用可</x:v>
      </x:c>
      <x:c r="H461" s="9" t="n">
        <x:v>1198925</x:v>
      </x:c>
      <x:c r="I461" s="2" t="str"/>
      <x:c r="J461" s="2" t="n">
        <x:v>11</x:v>
      </x:c>
      <x:c r="K461" s="8" t="n">
        <x:v>46294</x:v>
      </x:c>
    </x:row>
    <x:row r="462" ht="22" customHeight="1">
      <x:c r="A462" s="7" t="n">
        <x:v>45536</x:v>
      </x:c>
      <x:c r="B462" s="2" t="str">
        <x:v>84869000605</x:v>
      </x:c>
      <x:c r="C462" s="2" t="str">
        <x:v>848690</x:v>
      </x:c>
      <x:c r="D462" s="2" t="str">
        <x:v>PVD装置部品</x:v>
      </x:c>
      <x:c r="E462" s="9" t="n">
        <x:v>1158044</x:v>
      </x:c>
      <x:c r="F462" s="9" t="n">
        <x:f>IF(G462="利用可",E462,"")</x:f>
        <x:v>1158044</x:v>
      </x:c>
      <x:c r="G462" s="2" t="str">
        <x:v>利用可</x:v>
      </x:c>
      <x:c r="H462" s="9" t="n">
        <x:v>1887554</x:v>
      </x:c>
      <x:c r="I462" s="2" t="str"/>
      <x:c r="J462" s="2" t="n">
        <x:v>11</x:v>
      </x:c>
      <x:c r="K462" s="8" t="n">
        <x:v>46294</x:v>
      </x:c>
    </x:row>
    <x:row r="463" ht="22" customHeight="1">
      <x:c r="A463" s="7" t="n">
        <x:v>45566</x:v>
      </x:c>
      <x:c r="B463" s="2" t="str">
        <x:v>84869000605</x:v>
      </x:c>
      <x:c r="C463" s="2" t="str">
        <x:v>848690</x:v>
      </x:c>
      <x:c r="D463" s="2" t="str">
        <x:v>PVD装置部品</x:v>
      </x:c>
      <x:c r="E463" s="9" t="n">
        <x:v>1247142</x:v>
      </x:c>
      <x:c r="F463" s="9" t="n">
        <x:f>IF(G463="利用可",E463,"")</x:f>
        <x:v>1247142</x:v>
      </x:c>
      <x:c r="G463" s="2" t="str">
        <x:v>利用可</x:v>
      </x:c>
      <x:c r="H463" s="9" t="n">
        <x:v>1792958</x:v>
      </x:c>
      <x:c r="I463" s="2" t="str"/>
      <x:c r="J463" s="2" t="n">
        <x:v>11</x:v>
      </x:c>
      <x:c r="K463" s="8" t="n">
        <x:v>46294</x:v>
      </x:c>
    </x:row>
    <x:row r="464" ht="22" customHeight="1">
      <x:c r="A464" s="7" t="n">
        <x:v>45597</x:v>
      </x:c>
      <x:c r="B464" s="2" t="str">
        <x:v>84869000605</x:v>
      </x:c>
      <x:c r="C464" s="2" t="str">
        <x:v>848690</x:v>
      </x:c>
      <x:c r="D464" s="2" t="str">
        <x:v>PVD装置部品</x:v>
      </x:c>
      <x:c r="E464" s="9" t="n">
        <x:v>1266242</x:v>
      </x:c>
      <x:c r="F464" s="9" t="n">
        <x:f>IF(G464="利用可",E464,"")</x:f>
        <x:v>1266242</x:v>
      </x:c>
      <x:c r="G464" s="2" t="str">
        <x:v>利用可</x:v>
      </x:c>
      <x:c r="H464" s="9" t="n">
        <x:v>2199006</x:v>
      </x:c>
      <x:c r="I464" s="2" t="str"/>
      <x:c r="J464" s="2" t="n">
        <x:v>11</x:v>
      </x:c>
      <x:c r="K464" s="8" t="n">
        <x:v>46294</x:v>
      </x:c>
    </x:row>
    <x:row r="465" ht="22" customHeight="1">
      <x:c r="A465" s="7" t="n">
        <x:v>45627</x:v>
      </x:c>
      <x:c r="B465" s="2" t="str">
        <x:v>84869000605</x:v>
      </x:c>
      <x:c r="C465" s="2" t="str">
        <x:v>848690</x:v>
      </x:c>
      <x:c r="D465" s="2" t="str">
        <x:v>PVD装置部品</x:v>
      </x:c>
      <x:c r="E465" s="9" t="n">
        <x:v>798091</x:v>
      </x:c>
      <x:c r="F465" s="9" t="n">
        <x:f>IF(G465="利用可",E465,"")</x:f>
        <x:v>798091</x:v>
      </x:c>
      <x:c r="G465" s="2" t="str">
        <x:v>利用可</x:v>
      </x:c>
      <x:c r="H465" s="9" t="n">
        <x:v>499428</x:v>
      </x:c>
      <x:c r="I465" s="2" t="str"/>
      <x:c r="J465" s="2" t="n">
        <x:v>11</x:v>
      </x:c>
      <x:c r="K465" s="8" t="n">
        <x:v>46294</x:v>
      </x:c>
    </x:row>
    <x:row r="466" ht="22" customHeight="1">
      <x:c r="A466" s="7" t="n">
        <x:v>45658</x:v>
      </x:c>
      <x:c r="B466" s="2" t="str">
        <x:v>84869000605</x:v>
      </x:c>
      <x:c r="C466" s="2" t="str">
        <x:v>848690</x:v>
      </x:c>
      <x:c r="D466" s="2" t="str">
        <x:v>PVD装置部品</x:v>
      </x:c>
      <x:c r="E466" s="9" t="n">
        <x:v>578231</x:v>
      </x:c>
      <x:c r="F466" s="9" t="n">
        <x:f>IF(G466="利用可",E466,"")</x:f>
        <x:v>578231</x:v>
      </x:c>
      <x:c r="G466" s="2" t="str">
        <x:v>利用可</x:v>
      </x:c>
      <x:c r="H466" s="9" t="n">
        <x:v>907876</x:v>
      </x:c>
      <x:c r="I466" s="2" t="str"/>
      <x:c r="J466" s="2" t="n">
        <x:v>11</x:v>
      </x:c>
      <x:c r="K466" s="8" t="n">
        <x:v>46294</x:v>
      </x:c>
    </x:row>
    <x:row r="467" ht="22" customHeight="1">
      <x:c r="A467" s="7" t="n">
        <x:v>45689</x:v>
      </x:c>
      <x:c r="B467" s="2" t="str">
        <x:v>84869000605</x:v>
      </x:c>
      <x:c r="C467" s="2" t="str">
        <x:v>848690</x:v>
      </x:c>
      <x:c r="D467" s="2" t="str">
        <x:v>PVD装置部品</x:v>
      </x:c>
      <x:c r="E467" s="9" t="n">
        <x:v>1379556</x:v>
      </x:c>
      <x:c r="F467" s="9" t="n">
        <x:f>IF(G467="利用可",E467,"")</x:f>
        <x:v>1379556</x:v>
      </x:c>
      <x:c r="G467" s="2" t="str">
        <x:v>利用可</x:v>
      </x:c>
      <x:c r="H467" s="9" t="n">
        <x:v>654607</x:v>
      </x:c>
      <x:c r="I467" s="2" t="str"/>
      <x:c r="J467" s="2" t="n">
        <x:v>11</x:v>
      </x:c>
      <x:c r="K467" s="8" t="n">
        <x:v>46294</x:v>
      </x:c>
    </x:row>
    <x:row r="468" ht="22" customHeight="1">
      <x:c r="A468" s="7" t="n">
        <x:v>45717</x:v>
      </x:c>
      <x:c r="B468" s="2" t="str">
        <x:v>84869000605</x:v>
      </x:c>
      <x:c r="C468" s="2" t="str">
        <x:v>848690</x:v>
      </x:c>
      <x:c r="D468" s="2" t="str">
        <x:v>PVD装置部品</x:v>
      </x:c>
      <x:c r="E468" s="9" t="n">
        <x:v>1732347</x:v>
      </x:c>
      <x:c r="F468" s="9" t="n">
        <x:f>IF(G468="利用可",E468,"")</x:f>
        <x:v>1732347</x:v>
      </x:c>
      <x:c r="G468" s="2" t="str">
        <x:v>利用可</x:v>
      </x:c>
      <x:c r="H468" s="9" t="n">
        <x:v>548592</x:v>
      </x:c>
      <x:c r="I468" s="2" t="str"/>
      <x:c r="J468" s="2" t="n">
        <x:v>11</x:v>
      </x:c>
      <x:c r="K468" s="8" t="n">
        <x:v>46294</x:v>
      </x:c>
    </x:row>
    <x:row r="469" ht="22" customHeight="1">
      <x:c r="A469" s="7" t="n">
        <x:v>45748</x:v>
      </x:c>
      <x:c r="B469" s="2" t="str">
        <x:v>84869000605</x:v>
      </x:c>
      <x:c r="C469" s="2" t="str">
        <x:v>848690</x:v>
      </x:c>
      <x:c r="D469" s="2" t="str">
        <x:v>PVD装置部品</x:v>
      </x:c>
      <x:c r="E469" s="9" t="n">
        <x:v>2092882</x:v>
      </x:c>
      <x:c r="F469" s="9" t="n">
        <x:f>IF(G469="利用可",E469,"")</x:f>
        <x:v>2092882</x:v>
      </x:c>
      <x:c r="G469" s="2" t="str">
        <x:v>利用可</x:v>
      </x:c>
      <x:c r="H469" s="9" t="n">
        <x:v>626917</x:v>
      </x:c>
      <x:c r="I469" s="2" t="str"/>
      <x:c r="J469" s="2" t="n">
        <x:v>11</x:v>
      </x:c>
      <x:c r="K469" s="8" t="n">
        <x:v>46294</x:v>
      </x:c>
    </x:row>
    <x:row r="470" ht="22" customHeight="1">
      <x:c r="A470" s="7" t="n">
        <x:v>45778</x:v>
      </x:c>
      <x:c r="B470" s="2" t="str">
        <x:v>84869000605</x:v>
      </x:c>
      <x:c r="C470" s="2" t="str">
        <x:v>848690</x:v>
      </x:c>
      <x:c r="D470" s="2" t="str">
        <x:v>PVD装置部品</x:v>
      </x:c>
      <x:c r="E470" s="9" t="n">
        <x:v>1461840</x:v>
      </x:c>
      <x:c r="F470" s="9" t="n">
        <x:f>IF(G470="利用可",E470,"")</x:f>
        <x:v>1461840</x:v>
      </x:c>
      <x:c r="G470" s="2" t="str">
        <x:v>利用可</x:v>
      </x:c>
      <x:c r="H470" s="9" t="n">
        <x:v>1259808</x:v>
      </x:c>
      <x:c r="I470" s="2" t="str"/>
      <x:c r="J470" s="2" t="n">
        <x:v>11</x:v>
      </x:c>
      <x:c r="K470" s="8" t="n">
        <x:v>46294</x:v>
      </x:c>
    </x:row>
    <x:row r="471" ht="22" customHeight="1">
      <x:c r="A471" s="7" t="n">
        <x:v>45809</x:v>
      </x:c>
      <x:c r="B471" s="2" t="str">
        <x:v>84869000605</x:v>
      </x:c>
      <x:c r="C471" s="2" t="str">
        <x:v>848690</x:v>
      </x:c>
      <x:c r="D471" s="2" t="str">
        <x:v>PVD装置部品</x:v>
      </x:c>
      <x:c r="E471" s="9" t="n">
        <x:v>1944576</x:v>
      </x:c>
      <x:c r="F471" s="9" t="n">
        <x:f>IF(G471="利用可",E471,"")</x:f>
        <x:v>1944576</x:v>
      </x:c>
      <x:c r="G471" s="2" t="str">
        <x:v>利用可</x:v>
      </x:c>
      <x:c r="H471" s="9" t="n">
        <x:v>1742633</x:v>
      </x:c>
      <x:c r="I471" s="2" t="str"/>
      <x:c r="J471" s="2" t="n">
        <x:v>11</x:v>
      </x:c>
      <x:c r="K471" s="8" t="n">
        <x:v>46294</x:v>
      </x:c>
    </x:row>
    <x:row r="472" ht="22" customHeight="1">
      <x:c r="A472" s="7" t="n">
        <x:v>45839</x:v>
      </x:c>
      <x:c r="B472" s="2" t="str">
        <x:v>84869000605</x:v>
      </x:c>
      <x:c r="C472" s="2" t="str">
        <x:v>848690</x:v>
      </x:c>
      <x:c r="D472" s="2" t="str">
        <x:v>PVD装置部品</x:v>
      </x:c>
      <x:c r="E472" s="9" t="n">
        <x:v>2238062</x:v>
      </x:c>
      <x:c r="F472" s="9" t="n">
        <x:f>IF(G472="利用可",E472,"")</x:f>
        <x:v>2238062</x:v>
      </x:c>
      <x:c r="G472" s="2" t="str">
        <x:v>利用可</x:v>
      </x:c>
      <x:c r="H472" s="9" t="n">
        <x:v>613233</x:v>
      </x:c>
      <x:c r="I472" s="2" t="str"/>
      <x:c r="J472" s="2" t="n">
        <x:v>11</x:v>
      </x:c>
      <x:c r="K472" s="8" t="n">
        <x:v>46294</x:v>
      </x:c>
    </x:row>
    <x:row r="473" ht="22" customHeight="1">
      <x:c r="A473" s="7" t="n">
        <x:v>45870</x:v>
      </x:c>
      <x:c r="B473" s="2" t="str">
        <x:v>84869000605</x:v>
      </x:c>
      <x:c r="C473" s="2" t="str">
        <x:v>848690</x:v>
      </x:c>
      <x:c r="D473" s="2" t="str">
        <x:v>PVD装置部品</x:v>
      </x:c>
      <x:c r="E473" s="9" t="n">
        <x:v>1895164</x:v>
      </x:c>
      <x:c r="F473" s="9" t="n">
        <x:f>IF(G473="利用可",E473,"")</x:f>
        <x:v>1895164</x:v>
      </x:c>
      <x:c r="G473" s="2" t="str">
        <x:v>利用可</x:v>
      </x:c>
      <x:c r="H473" s="9" t="n">
        <x:v>644431</x:v>
      </x:c>
      <x:c r="I473" s="2" t="str"/>
      <x:c r="J473" s="2" t="n">
        <x:v>11</x:v>
      </x:c>
      <x:c r="K473" s="8" t="n">
        <x:v>46294</x:v>
      </x:c>
    </x:row>
    <x:row r="474" ht="22" customHeight="1">
      <x:c r="A474" s="7" t="n">
        <x:v>45901</x:v>
      </x:c>
      <x:c r="B474" s="2" t="str">
        <x:v>84869000605</x:v>
      </x:c>
      <x:c r="C474" s="2" t="str">
        <x:v>848690</x:v>
      </x:c>
      <x:c r="D474" s="2" t="str">
        <x:v>PVD装置部品</x:v>
      </x:c>
      <x:c r="E474" s="9" t="n">
        <x:v>1477269</x:v>
      </x:c>
      <x:c r="F474" s="9" t="n">
        <x:f>IF(G474="利用可",E474,"")</x:f>
        <x:v>1477269</x:v>
      </x:c>
      <x:c r="G474" s="2" t="str">
        <x:v>利用可</x:v>
      </x:c>
      <x:c r="H474" s="9" t="n">
        <x:v>1158044</x:v>
      </x:c>
      <x:c r="I474" s="2" t="str"/>
      <x:c r="J474" s="2" t="n">
        <x:v>11</x:v>
      </x:c>
      <x:c r="K474" s="8" t="n">
        <x:v>46294</x:v>
      </x:c>
    </x:row>
    <x:row r="475" ht="22" customHeight="1">
      <x:c r="A475" s="7" t="n">
        <x:v>45931</x:v>
      </x:c>
      <x:c r="B475" s="2" t="str">
        <x:v>84869000605</x:v>
      </x:c>
      <x:c r="C475" s="2" t="str">
        <x:v>848690</x:v>
      </x:c>
      <x:c r="D475" s="2" t="str">
        <x:v>PVD装置部品</x:v>
      </x:c>
      <x:c r="E475" s="9" t="n">
        <x:v>1331738</x:v>
      </x:c>
      <x:c r="F475" s="9" t="n">
        <x:f>IF(G475="利用可",E475,"")</x:f>
        <x:v>1331738</x:v>
      </x:c>
      <x:c r="G475" s="2" t="str">
        <x:v>利用可</x:v>
      </x:c>
      <x:c r="H475" s="9" t="n">
        <x:v>1247142</x:v>
      </x:c>
      <x:c r="I475" s="2" t="str"/>
      <x:c r="J475" s="2" t="n">
        <x:v>11</x:v>
      </x:c>
      <x:c r="K475" s="8" t="n">
        <x:v>46294</x:v>
      </x:c>
    </x:row>
    <x:row r="476" ht="22" customHeight="1">
      <x:c r="A476" s="7" t="n">
        <x:v>45962</x:v>
      </x:c>
      <x:c r="B476" s="2" t="str">
        <x:v>84869000605</x:v>
      </x:c>
      <x:c r="C476" s="2" t="str">
        <x:v>848690</x:v>
      </x:c>
      <x:c r="D476" s="2" t="str">
        <x:v>PVD装置部品</x:v>
      </x:c>
      <x:c r="E476" s="9" t="n">
        <x:v>2399996</x:v>
      </x:c>
      <x:c r="F476" s="9" t="n">
        <x:f>IF(G476="利用可",E476,"")</x:f>
        <x:v>2399996</x:v>
      </x:c>
      <x:c r="G476" s="2" t="str">
        <x:v>利用可</x:v>
      </x:c>
      <x:c r="H476" s="9" t="n">
        <x:v>1266242</x:v>
      </x:c>
      <x:c r="I476" s="2" t="str"/>
      <x:c r="J476" s="2" t="n">
        <x:v>11</x:v>
      </x:c>
      <x:c r="K476" s="8" t="n">
        <x:v>46294</x:v>
      </x:c>
    </x:row>
    <x:row r="477" ht="22" customHeight="1">
      <x:c r="A477" s="7" t="n">
        <x:v>45992</x:v>
      </x:c>
      <x:c r="B477" s="2" t="str">
        <x:v>84869000605</x:v>
      </x:c>
      <x:c r="C477" s="2" t="str">
        <x:v>848690</x:v>
      </x:c>
      <x:c r="D477" s="2" t="str">
        <x:v>PVD装置部品</x:v>
      </x:c>
      <x:c r="E477" s="9" t="n">
        <x:v>1627498</x:v>
      </x:c>
      <x:c r="F477" s="9" t="n">
        <x:f>IF(G477="利用可",E477,"")</x:f>
        <x:v>1627498</x:v>
      </x:c>
      <x:c r="G477" s="2" t="str">
        <x:v>利用可</x:v>
      </x:c>
      <x:c r="H477" s="9" t="n">
        <x:v>798091</x:v>
      </x:c>
      <x:c r="I477" s="2" t="str"/>
      <x:c r="J477" s="2" t="n">
        <x:v>11</x:v>
      </x:c>
      <x:c r="K477" s="8" t="n">
        <x:v>46294</x:v>
      </x:c>
    </x:row>
    <x:row r="478" ht="22" customHeight="1">
      <x:c r="A478" s="7" t="n">
        <x:v>46023</x:v>
      </x:c>
      <x:c r="B478" s="2" t="str">
        <x:v>84869000605</x:v>
      </x:c>
      <x:c r="C478" s="2" t="str">
        <x:v>848690</x:v>
      </x:c>
      <x:c r="D478" s="2" t="str">
        <x:v>PVD装置部品</x:v>
      </x:c>
      <x:c r="E478" s="9" t="n">
        <x:v>1431493</x:v>
      </x:c>
      <x:c r="F478" s="9" t="n">
        <x:f>IF(G478="利用可",E478,"")</x:f>
        <x:v>1431493</x:v>
      </x:c>
      <x:c r="G478" s="2" t="str">
        <x:v>利用可</x:v>
      </x:c>
      <x:c r="H478" s="9" t="n">
        <x:v>578231</x:v>
      </x:c>
      <x:c r="I478" s="2" t="str"/>
      <x:c r="J478" s="2" t="n">
        <x:v>11</x:v>
      </x:c>
      <x:c r="K478" s="8" t="n">
        <x:v>46294</x:v>
      </x:c>
    </x:row>
    <x:row r="479" ht="22" customHeight="1">
      <x:c r="A479" s="7" t="n">
        <x:v>46054</x:v>
      </x:c>
      <x:c r="B479" s="2" t="str">
        <x:v>84869000605</x:v>
      </x:c>
      <x:c r="C479" s="2" t="str">
        <x:v>848690</x:v>
      </x:c>
      <x:c r="D479" s="2" t="str">
        <x:v>PVD装置部品</x:v>
      </x:c>
      <x:c r="E479" s="9" t="n">
        <x:v>2047859</x:v>
      </x:c>
      <x:c r="F479" s="9" t="n">
        <x:f>IF(G479="利用可",E479,"")</x:f>
        <x:v>2047859</x:v>
      </x:c>
      <x:c r="G479" s="2" t="str">
        <x:v>利用可</x:v>
      </x:c>
      <x:c r="H479" s="9" t="n">
        <x:v>1379556</x:v>
      </x:c>
      <x:c r="I479" s="2" t="str"/>
      <x:c r="J479" s="2" t="n">
        <x:v>11</x:v>
      </x:c>
      <x:c r="K479" s="8" t="n">
        <x:v>46294</x:v>
      </x:c>
    </x:row>
    <x:row r="480" ht="22" customHeight="1">
      <x:c r="A480" s="7" t="n">
        <x:v>46082</x:v>
      </x:c>
      <x:c r="B480" s="2" t="str">
        <x:v>84869000605</x:v>
      </x:c>
      <x:c r="C480" s="2" t="str">
        <x:v>848690</x:v>
      </x:c>
      <x:c r="D480" s="2" t="str">
        <x:v>PVD装置部品</x:v>
      </x:c>
      <x:c r="E480" s="9" t="n">
        <x:v>3171078</x:v>
      </x:c>
      <x:c r="F480" s="9" t="n">
        <x:f>IF(G480="利用可",E480,"")</x:f>
        <x:v>3171078</x:v>
      </x:c>
      <x:c r="G480" s="2" t="str">
        <x:v>利用可</x:v>
      </x:c>
      <x:c r="H480" s="9" t="n">
        <x:v>1732347</x:v>
      </x:c>
      <x:c r="I480" s="2" t="str"/>
      <x:c r="J480" s="2" t="n">
        <x:v>11</x:v>
      </x:c>
      <x:c r="K480" s="8" t="n">
        <x:v>46294</x:v>
      </x:c>
    </x:row>
    <x:row r="481" ht="22" customHeight="1">
      <x:c r="A481" s="7" t="n">
        <x:v>46113</x:v>
      </x:c>
      <x:c r="B481" s="2" t="str">
        <x:v>84869000605</x:v>
      </x:c>
      <x:c r="C481" s="2" t="str">
        <x:v>848690</x:v>
      </x:c>
      <x:c r="D481" s="2" t="str">
        <x:v>PVD装置部品</x:v>
      </x:c>
      <x:c r="E481" s="9" t="n">
        <x:v>1804497</x:v>
      </x:c>
      <x:c r="F481" s="9" t="n">
        <x:f>IF(G481="利用可",E481,"")</x:f>
        <x:v>1804497</x:v>
      </x:c>
      <x:c r="G481" s="2" t="str">
        <x:v>利用可</x:v>
      </x:c>
      <x:c r="H481" s="9" t="n">
        <x:v>2092882</x:v>
      </x:c>
      <x:c r="I481" s="2" t="str"/>
      <x:c r="J481" s="2" t="n">
        <x:v>11</x:v>
      </x:c>
      <x:c r="K481" s="8" t="n">
        <x:v>46294</x:v>
      </x:c>
    </x:row>
    <x:row r="482" ht="22" customHeight="1">
      <x:c r="A482" s="7" t="n">
        <x:v>46143</x:v>
      </x:c>
      <x:c r="B482" s="2" t="str">
        <x:v>84869000605</x:v>
      </x:c>
      <x:c r="C482" s="2" t="str">
        <x:v>848690</x:v>
      </x:c>
      <x:c r="D482" s="2" t="str">
        <x:v>PVD装置部品</x:v>
      </x:c>
      <x:c r="E482" s="9" t="n">
        <x:v>2756706</x:v>
      </x:c>
      <x:c r="F482" s="9" t="n">
        <x:f>IF(G482="利用可",E482,"")</x:f>
        <x:v>2756706</x:v>
      </x:c>
      <x:c r="G482" s="2" t="str">
        <x:v>利用可</x:v>
      </x:c>
      <x:c r="H482" s="9" t="n">
        <x:v>1461840</x:v>
      </x:c>
      <x:c r="I482" s="2" t="str"/>
      <x:c r="J482" s="2" t="n">
        <x:v>11</x:v>
      </x:c>
      <x:c r="K482" s="8" t="n">
        <x:v>46294</x:v>
      </x:c>
    </x:row>
    <x:row r="483" ht="22" customHeight="1">
      <x:c r="A483" s="7" t="n">
        <x:v>46174</x:v>
      </x:c>
      <x:c r="B483" s="2" t="str">
        <x:v>84869000605</x:v>
      </x:c>
      <x:c r="C483" s="2" t="str">
        <x:v>848690</x:v>
      </x:c>
      <x:c r="D483" s="2" t="str">
        <x:v>PVD装置部品</x:v>
      </x:c>
      <x:c r="E483" s="9" t="n">
        <x:v>2203781</x:v>
      </x:c>
      <x:c r="F483" s="9" t="n">
        <x:f>IF(G483="利用可",E483,"")</x:f>
        <x:v>2203781</x:v>
      </x:c>
      <x:c r="G483" s="2" t="str">
        <x:v>利用可</x:v>
      </x:c>
      <x:c r="H483" s="9" t="n">
        <x:v>1944576</x:v>
      </x:c>
      <x:c r="I483" s="2" t="str"/>
      <x:c r="J483" s="2" t="n">
        <x:v>11</x:v>
      </x:c>
      <x:c r="K483" s="8" t="n">
        <x:v>46294</x:v>
      </x:c>
    </x:row>
    <x:row r="484" ht="22" customHeight="1">
      <x:c r="A484" s="7" t="n">
        <x:v>46204</x:v>
      </x:c>
      <x:c r="B484" s="2" t="str">
        <x:v>84869000605</x:v>
      </x:c>
      <x:c r="C484" s="2" t="str">
        <x:v>848690</x:v>
      </x:c>
      <x:c r="D484" s="2" t="str">
        <x:v>PVD装置部品</x:v>
      </x:c>
      <x:c r="E484" s="9" t="n">
        <x:v>2878985</x:v>
      </x:c>
      <x:c r="F484" s="9" t="n">
        <x:f>IF(G484="利用可",E484,"")</x:f>
        <x:v>2878985</x:v>
      </x:c>
      <x:c r="G484" s="2" t="str">
        <x:v>利用可</x:v>
      </x:c>
      <x:c r="H484" s="9" t="n">
        <x:v>2238062</x:v>
      </x:c>
      <x:c r="I484" s="2" t="str"/>
      <x:c r="J484" s="2" t="n">
        <x:v>11</x:v>
      </x:c>
      <x:c r="K484" s="8" t="n">
        <x:v>46294</x:v>
      </x:c>
    </x:row>
    <x:row r="485" ht="22" customHeight="1">
      <x:c r="A485" s="7" t="n">
        <x:v>46235</x:v>
      </x:c>
      <x:c r="B485" s="2" t="str">
        <x:v>84869000605</x:v>
      </x:c>
      <x:c r="C485" s="2" t="str">
        <x:v>848690</x:v>
      </x:c>
      <x:c r="D485" s="2" t="str">
        <x:v>PVD装置部品</x:v>
      </x:c>
      <x:c r="E485" s="9" t="n">
        <x:v>1746231</x:v>
      </x:c>
      <x:c r="F485" s="9" t="n">
        <x:f>IF(G485="利用可",E485,"")</x:f>
        <x:v>1746231</x:v>
      </x:c>
      <x:c r="G485" s="2" t="str">
        <x:v>利用可</x:v>
      </x:c>
      <x:c r="H485" s="9" t="n">
        <x:v>1895164</x:v>
      </x:c>
      <x:c r="I485" s="2" t="str"/>
      <x:c r="J485" s="2" t="n">
        <x:v>11</x:v>
      </x:c>
      <x:c r="K485" s="8" t="n">
        <x:v>46294</x:v>
      </x:c>
    </x:row>
    <x:row r="486" ht="22" customHeight="1">
      <x:c r="A486" s="7" t="n">
        <x:v>44927</x:v>
      </x:c>
      <x:c r="B486" s="2" t="str">
        <x:v>84869000909</x:v>
      </x:c>
      <x:c r="C486" s="2" t="str">
        <x:v>848690</x:v>
      </x:c>
      <x:c r="D486" s="2" t="str">
        <x:v>その他製造装置部品</x:v>
      </x:c>
      <x:c r="E486" s="9" t="n">
        <x:v>33608064</x:v>
      </x:c>
      <x:c r="F486" s="9" t="n">
        <x:f>IF(G486="利用可",E486,"")</x:f>
        <x:v>33608064</x:v>
      </x:c>
      <x:c r="G486" s="2" t="str">
        <x:v>利用可</x:v>
      </x:c>
      <x:c r="H486" s="9" t="n">
        <x:v>54725398</x:v>
      </x:c>
      <x:c r="I486" s="2" t="str"/>
      <x:c r="J486" s="2" t="n">
        <x:v>11</x:v>
      </x:c>
      <x:c r="K486" s="8" t="n">
        <x:v>46294</x:v>
      </x:c>
    </x:row>
    <x:row r="487" ht="22" customHeight="1">
      <x:c r="A487" s="7" t="n">
        <x:v>44958</x:v>
      </x:c>
      <x:c r="B487" s="2" t="str">
        <x:v>84869000909</x:v>
      </x:c>
      <x:c r="C487" s="2" t="str">
        <x:v>848690</x:v>
      </x:c>
      <x:c r="D487" s="2" t="str">
        <x:v>その他製造装置部品</x:v>
      </x:c>
      <x:c r="E487" s="9" t="n">
        <x:v>55102061</x:v>
      </x:c>
      <x:c r="F487" s="9" t="n">
        <x:f>IF(G487="利用可",E487,"")</x:f>
        <x:v>55102061</x:v>
      </x:c>
      <x:c r="G487" s="2" t="str">
        <x:v>利用可</x:v>
      </x:c>
      <x:c r="H487" s="9" t="n">
        <x:v>50059573</x:v>
      </x:c>
      <x:c r="I487" s="2" t="str"/>
      <x:c r="J487" s="2" t="n">
        <x:v>11</x:v>
      </x:c>
      <x:c r="K487" s="8" t="n">
        <x:v>46294</x:v>
      </x:c>
    </x:row>
    <x:row r="488" ht="22" customHeight="1">
      <x:c r="A488" s="7" t="n">
        <x:v>44986</x:v>
      </x:c>
      <x:c r="B488" s="2" t="str">
        <x:v>84869000909</x:v>
      </x:c>
      <x:c r="C488" s="2" t="str">
        <x:v>848690</x:v>
      </x:c>
      <x:c r="D488" s="2" t="str">
        <x:v>その他製造装置部品</x:v>
      </x:c>
      <x:c r="E488" s="9" t="n">
        <x:v>74474599</x:v>
      </x:c>
      <x:c r="F488" s="9" t="n">
        <x:f>IF(G488="利用可",E488,"")</x:f>
        <x:v>74474599</x:v>
      </x:c>
      <x:c r="G488" s="2" t="str">
        <x:v>利用可</x:v>
      </x:c>
      <x:c r="H488" s="9" t="n">
        <x:v>54569259</x:v>
      </x:c>
      <x:c r="I488" s="2" t="str"/>
      <x:c r="J488" s="2" t="n">
        <x:v>11</x:v>
      </x:c>
      <x:c r="K488" s="8" t="n">
        <x:v>46294</x:v>
      </x:c>
    </x:row>
    <x:row r="489" ht="22" customHeight="1">
      <x:c r="A489" s="7" t="n">
        <x:v>45017</x:v>
      </x:c>
      <x:c r="B489" s="2" t="str">
        <x:v>84869000909</x:v>
      </x:c>
      <x:c r="C489" s="2" t="str">
        <x:v>848690</x:v>
      </x:c>
      <x:c r="D489" s="2" t="str">
        <x:v>その他製造装置部品</x:v>
      </x:c>
      <x:c r="E489" s="9" t="n">
        <x:v>44830141</x:v>
      </x:c>
      <x:c r="F489" s="9" t="n">
        <x:f>IF(G489="利用可",E489,"")</x:f>
        <x:v>44830141</x:v>
      </x:c>
      <x:c r="G489" s="2" t="str">
        <x:v>利用可</x:v>
      </x:c>
      <x:c r="H489" s="9" t="n">
        <x:v>55832646</x:v>
      </x:c>
      <x:c r="I489" s="2" t="str"/>
      <x:c r="J489" s="2" t="n">
        <x:v>11</x:v>
      </x:c>
      <x:c r="K489" s="8" t="n">
        <x:v>46294</x:v>
      </x:c>
    </x:row>
    <x:row r="490" ht="22" customHeight="1">
      <x:c r="A490" s="7" t="n">
        <x:v>45047</x:v>
      </x:c>
      <x:c r="B490" s="2" t="str">
        <x:v>84869000909</x:v>
      </x:c>
      <x:c r="C490" s="2" t="str">
        <x:v>848690</x:v>
      </x:c>
      <x:c r="D490" s="2" t="str">
        <x:v>その他製造装置部品</x:v>
      </x:c>
      <x:c r="E490" s="9" t="n">
        <x:v>47416479</x:v>
      </x:c>
      <x:c r="F490" s="9" t="n">
        <x:f>IF(G490="利用可",E490,"")</x:f>
        <x:v>47416479</x:v>
      </x:c>
      <x:c r="G490" s="2" t="str">
        <x:v>利用可</x:v>
      </x:c>
      <x:c r="H490" s="9" t="n">
        <x:v>51007277</x:v>
      </x:c>
      <x:c r="I490" s="2" t="str"/>
      <x:c r="J490" s="2" t="n">
        <x:v>11</x:v>
      </x:c>
      <x:c r="K490" s="8" t="n">
        <x:v>46294</x:v>
      </x:c>
    </x:row>
    <x:row r="491" ht="22" customHeight="1">
      <x:c r="A491" s="7" t="n">
        <x:v>45078</x:v>
      </x:c>
      <x:c r="B491" s="2" t="str">
        <x:v>84869000909</x:v>
      </x:c>
      <x:c r="C491" s="2" t="str">
        <x:v>848690</x:v>
      </x:c>
      <x:c r="D491" s="2" t="str">
        <x:v>その他製造装置部品</x:v>
      </x:c>
      <x:c r="E491" s="9" t="n">
        <x:v>53291768</x:v>
      </x:c>
      <x:c r="F491" s="9" t="n">
        <x:f>IF(G491="利用可",E491,"")</x:f>
        <x:v>53291768</x:v>
      </x:c>
      <x:c r="G491" s="2" t="str">
        <x:v>利用可</x:v>
      </x:c>
      <x:c r="H491" s="9" t="n">
        <x:v>64929284</x:v>
      </x:c>
      <x:c r="I491" s="2" t="str"/>
      <x:c r="J491" s="2" t="n">
        <x:v>11</x:v>
      </x:c>
      <x:c r="K491" s="8" t="n">
        <x:v>46294</x:v>
      </x:c>
    </x:row>
    <x:row r="492" ht="22" customHeight="1">
      <x:c r="A492" s="7" t="n">
        <x:v>45108</x:v>
      </x:c>
      <x:c r="B492" s="2" t="str">
        <x:v>84869000909</x:v>
      </x:c>
      <x:c r="C492" s="2" t="str">
        <x:v>848690</x:v>
      </x:c>
      <x:c r="D492" s="2" t="str">
        <x:v>その他製造装置部品</x:v>
      </x:c>
      <x:c r="E492" s="9" t="n">
        <x:v>51424145</x:v>
      </x:c>
      <x:c r="F492" s="9" t="n">
        <x:f>IF(G492="利用可",E492,"")</x:f>
        <x:v>51424145</x:v>
      </x:c>
      <x:c r="G492" s="2" t="str">
        <x:v>利用可</x:v>
      </x:c>
      <x:c r="H492" s="9" t="n">
        <x:v>56364256</x:v>
      </x:c>
      <x:c r="I492" s="2" t="str"/>
      <x:c r="J492" s="2" t="n">
        <x:v>11</x:v>
      </x:c>
      <x:c r="K492" s="8" t="n">
        <x:v>46294</x:v>
      </x:c>
    </x:row>
    <x:row r="493" ht="22" customHeight="1">
      <x:c r="A493" s="7" t="n">
        <x:v>45139</x:v>
      </x:c>
      <x:c r="B493" s="2" t="str">
        <x:v>84869000909</x:v>
      </x:c>
      <x:c r="C493" s="2" t="str">
        <x:v>848690</x:v>
      </x:c>
      <x:c r="D493" s="2" t="str">
        <x:v>その他製造装置部品</x:v>
      </x:c>
      <x:c r="E493" s="9" t="n">
        <x:v>43688030</x:v>
      </x:c>
      <x:c r="F493" s="9" t="n">
        <x:f>IF(G493="利用可",E493,"")</x:f>
        <x:v>43688030</x:v>
      </x:c>
      <x:c r="G493" s="2" t="str">
        <x:v>利用可</x:v>
      </x:c>
      <x:c r="H493" s="9" t="n">
        <x:v>64645233</x:v>
      </x:c>
      <x:c r="I493" s="2" t="str"/>
      <x:c r="J493" s="2" t="n">
        <x:v>11</x:v>
      </x:c>
      <x:c r="K493" s="8" t="n">
        <x:v>46294</x:v>
      </x:c>
    </x:row>
    <x:row r="494" ht="22" customHeight="1">
      <x:c r="A494" s="7" t="n">
        <x:v>45170</x:v>
      </x:c>
      <x:c r="B494" s="2" t="str">
        <x:v>84869000909</x:v>
      </x:c>
      <x:c r="C494" s="2" t="str">
        <x:v>848690</x:v>
      </x:c>
      <x:c r="D494" s="2" t="str">
        <x:v>その他製造装置部品</x:v>
      </x:c>
      <x:c r="E494" s="9" t="n">
        <x:v>50807710</x:v>
      </x:c>
      <x:c r="F494" s="9" t="n">
        <x:f>IF(G494="利用可",E494,"")</x:f>
        <x:v>50807710</x:v>
      </x:c>
      <x:c r="G494" s="2" t="str">
        <x:v>利用可</x:v>
      </x:c>
      <x:c r="H494" s="9" t="n">
        <x:v>63508841</x:v>
      </x:c>
      <x:c r="I494" s="2" t="str"/>
      <x:c r="J494" s="2" t="n">
        <x:v>11</x:v>
      </x:c>
      <x:c r="K494" s="8" t="n">
        <x:v>46294</x:v>
      </x:c>
    </x:row>
    <x:row r="495" ht="22" customHeight="1">
      <x:c r="A495" s="7" t="n">
        <x:v>45200</x:v>
      </x:c>
      <x:c r="B495" s="2" t="str">
        <x:v>84869000909</x:v>
      </x:c>
      <x:c r="C495" s="2" t="str">
        <x:v>848690</x:v>
      </x:c>
      <x:c r="D495" s="2" t="str">
        <x:v>その他製造装置部品</x:v>
      </x:c>
      <x:c r="E495" s="9" t="n">
        <x:v>48663895</x:v>
      </x:c>
      <x:c r="F495" s="9" t="n">
        <x:f>IF(G495="利用可",E495,"")</x:f>
        <x:v>48663895</x:v>
      </x:c>
      <x:c r="G495" s="2" t="str">
        <x:v>利用可</x:v>
      </x:c>
      <x:c r="H495" s="9" t="n">
        <x:v>63464362</x:v>
      </x:c>
      <x:c r="I495" s="2" t="str"/>
      <x:c r="J495" s="2" t="n">
        <x:v>11</x:v>
      </x:c>
      <x:c r="K495" s="8" t="n">
        <x:v>46294</x:v>
      </x:c>
    </x:row>
    <x:row r="496" ht="22" customHeight="1">
      <x:c r="A496" s="7" t="n">
        <x:v>45231</x:v>
      </x:c>
      <x:c r="B496" s="2" t="str">
        <x:v>84869000909</x:v>
      </x:c>
      <x:c r="C496" s="2" t="str">
        <x:v>848690</x:v>
      </x:c>
      <x:c r="D496" s="2" t="str">
        <x:v>その他製造装置部品</x:v>
      </x:c>
      <x:c r="E496" s="9" t="n">
        <x:v>37129206</x:v>
      </x:c>
      <x:c r="F496" s="9" t="n">
        <x:f>IF(G496="利用可",E496,"")</x:f>
        <x:v>37129206</x:v>
      </x:c>
      <x:c r="G496" s="2" t="str">
        <x:v>利用可</x:v>
      </x:c>
      <x:c r="H496" s="9" t="n">
        <x:v>74690388</x:v>
      </x:c>
      <x:c r="I496" s="2" t="str"/>
      <x:c r="J496" s="2" t="n">
        <x:v>11</x:v>
      </x:c>
      <x:c r="K496" s="8" t="n">
        <x:v>46294</x:v>
      </x:c>
    </x:row>
    <x:row r="497" ht="22" customHeight="1">
      <x:c r="A497" s="7" t="n">
        <x:v>45261</x:v>
      </x:c>
      <x:c r="B497" s="2" t="str">
        <x:v>84869000909</x:v>
      </x:c>
      <x:c r="C497" s="2" t="str">
        <x:v>848690</x:v>
      </x:c>
      <x:c r="D497" s="2" t="str">
        <x:v>その他製造装置部品</x:v>
      </x:c>
      <x:c r="E497" s="9" t="n">
        <x:v>42998971</x:v>
      </x:c>
      <x:c r="F497" s="9" t="n">
        <x:f>IF(G497="利用可",E497,"")</x:f>
        <x:v>42998971</x:v>
      </x:c>
      <x:c r="G497" s="2" t="str">
        <x:v>利用可</x:v>
      </x:c>
      <x:c r="H497" s="9" t="n">
        <x:v>67508516</x:v>
      </x:c>
      <x:c r="I497" s="2" t="str"/>
      <x:c r="J497" s="2" t="n">
        <x:v>11</x:v>
      </x:c>
      <x:c r="K497" s="8" t="n">
        <x:v>46294</x:v>
      </x:c>
    </x:row>
    <x:row r="498" ht="22" customHeight="1">
      <x:c r="A498" s="7" t="n">
        <x:v>45292</x:v>
      </x:c>
      <x:c r="B498" s="2" t="str">
        <x:v>84869000909</x:v>
      </x:c>
      <x:c r="C498" s="2" t="str">
        <x:v>848690</x:v>
      </x:c>
      <x:c r="D498" s="2" t="str">
        <x:v>その他製造装置部品</x:v>
      </x:c>
      <x:c r="E498" s="9" t="n">
        <x:v>47102376</x:v>
      </x:c>
      <x:c r="F498" s="9" t="n">
        <x:f>IF(G498="利用可",E498,"")</x:f>
        <x:v>47102376</x:v>
      </x:c>
      <x:c r="G498" s="2" t="str">
        <x:v>利用可</x:v>
      </x:c>
      <x:c r="H498" s="9" t="n">
        <x:v>33608064</x:v>
      </x:c>
      <x:c r="I498" s="2" t="str"/>
      <x:c r="J498" s="2" t="n">
        <x:v>11</x:v>
      </x:c>
      <x:c r="K498" s="8" t="n">
        <x:v>46294</x:v>
      </x:c>
    </x:row>
    <x:row r="499" ht="22" customHeight="1">
      <x:c r="A499" s="7" t="n">
        <x:v>45323</x:v>
      </x:c>
      <x:c r="B499" s="2" t="str">
        <x:v>84869000909</x:v>
      </x:c>
      <x:c r="C499" s="2" t="str">
        <x:v>848690</x:v>
      </x:c>
      <x:c r="D499" s="2" t="str">
        <x:v>その他製造装置部品</x:v>
      </x:c>
      <x:c r="E499" s="9" t="n">
        <x:v>49194219</x:v>
      </x:c>
      <x:c r="F499" s="9" t="n">
        <x:f>IF(G499="利用可",E499,"")</x:f>
        <x:v>49194219</x:v>
      </x:c>
      <x:c r="G499" s="2" t="str">
        <x:v>利用可</x:v>
      </x:c>
      <x:c r="H499" s="9" t="n">
        <x:v>55102061</x:v>
      </x:c>
      <x:c r="I499" s="2" t="str"/>
      <x:c r="J499" s="2" t="n">
        <x:v>11</x:v>
      </x:c>
      <x:c r="K499" s="8" t="n">
        <x:v>46294</x:v>
      </x:c>
    </x:row>
    <x:row r="500" ht="22" customHeight="1">
      <x:c r="A500" s="7" t="n">
        <x:v>45352</x:v>
      </x:c>
      <x:c r="B500" s="2" t="str">
        <x:v>84869000909</x:v>
      </x:c>
      <x:c r="C500" s="2" t="str">
        <x:v>848690</x:v>
      </x:c>
      <x:c r="D500" s="2" t="str">
        <x:v>その他製造装置部品</x:v>
      </x:c>
      <x:c r="E500" s="9" t="n">
        <x:v>69230730</x:v>
      </x:c>
      <x:c r="F500" s="9" t="n">
        <x:f>IF(G500="利用可",E500,"")</x:f>
        <x:v>69230730</x:v>
      </x:c>
      <x:c r="G500" s="2" t="str">
        <x:v>利用可</x:v>
      </x:c>
      <x:c r="H500" s="9" t="n">
        <x:v>74474599</x:v>
      </x:c>
      <x:c r="I500" s="2" t="str"/>
      <x:c r="J500" s="2" t="n">
        <x:v>11</x:v>
      </x:c>
      <x:c r="K500" s="8" t="n">
        <x:v>46294</x:v>
      </x:c>
    </x:row>
    <x:row r="501" ht="22" customHeight="1">
      <x:c r="A501" s="7" t="n">
        <x:v>45383</x:v>
      </x:c>
      <x:c r="B501" s="2" t="str">
        <x:v>84869000909</x:v>
      </x:c>
      <x:c r="C501" s="2" t="str">
        <x:v>848690</x:v>
      </x:c>
      <x:c r="D501" s="2" t="str">
        <x:v>その他製造装置部品</x:v>
      </x:c>
      <x:c r="E501" s="9" t="n">
        <x:v>65136708</x:v>
      </x:c>
      <x:c r="F501" s="9" t="n">
        <x:f>IF(G501="利用可",E501,"")</x:f>
        <x:v>65136708</x:v>
      </x:c>
      <x:c r="G501" s="2" t="str">
        <x:v>利用可</x:v>
      </x:c>
      <x:c r="H501" s="9" t="n">
        <x:v>44830141</x:v>
      </x:c>
      <x:c r="I501" s="2" t="str"/>
      <x:c r="J501" s="2" t="n">
        <x:v>11</x:v>
      </x:c>
      <x:c r="K501" s="8" t="n">
        <x:v>46294</x:v>
      </x:c>
    </x:row>
    <x:row r="502" ht="22" customHeight="1">
      <x:c r="A502" s="7" t="n">
        <x:v>45413</x:v>
      </x:c>
      <x:c r="B502" s="2" t="str">
        <x:v>84869000909</x:v>
      </x:c>
      <x:c r="C502" s="2" t="str">
        <x:v>848690</x:v>
      </x:c>
      <x:c r="D502" s="2" t="str">
        <x:v>その他製造装置部品</x:v>
      </x:c>
      <x:c r="E502" s="9" t="n">
        <x:v>59467906</x:v>
      </x:c>
      <x:c r="F502" s="9" t="n">
        <x:f>IF(G502="利用可",E502,"")</x:f>
        <x:v>59467906</x:v>
      </x:c>
      <x:c r="G502" s="2" t="str">
        <x:v>利用可</x:v>
      </x:c>
      <x:c r="H502" s="9" t="n">
        <x:v>47416479</x:v>
      </x:c>
      <x:c r="I502" s="2" t="str"/>
      <x:c r="J502" s="2" t="n">
        <x:v>11</x:v>
      </x:c>
      <x:c r="K502" s="8" t="n">
        <x:v>46294</x:v>
      </x:c>
    </x:row>
    <x:row r="503" ht="22" customHeight="1">
      <x:c r="A503" s="7" t="n">
        <x:v>45444</x:v>
      </x:c>
      <x:c r="B503" s="2" t="str">
        <x:v>84869000909</x:v>
      </x:c>
      <x:c r="C503" s="2" t="str">
        <x:v>848690</x:v>
      </x:c>
      <x:c r="D503" s="2" t="str">
        <x:v>その他製造装置部品</x:v>
      </x:c>
      <x:c r="E503" s="9" t="n">
        <x:v>74591515</x:v>
      </x:c>
      <x:c r="F503" s="9" t="n">
        <x:f>IF(G503="利用可",E503,"")</x:f>
        <x:v>74591515</x:v>
      </x:c>
      <x:c r="G503" s="2" t="str">
        <x:v>利用可</x:v>
      </x:c>
      <x:c r="H503" s="9" t="n">
        <x:v>53291768</x:v>
      </x:c>
      <x:c r="I503" s="2" t="str"/>
      <x:c r="J503" s="2" t="n">
        <x:v>11</x:v>
      </x:c>
      <x:c r="K503" s="8" t="n">
        <x:v>46294</x:v>
      </x:c>
    </x:row>
    <x:row r="504" ht="22" customHeight="1">
      <x:c r="A504" s="7" t="n">
        <x:v>45474</x:v>
      </x:c>
      <x:c r="B504" s="2" t="str">
        <x:v>84869000909</x:v>
      </x:c>
      <x:c r="C504" s="2" t="str">
        <x:v>848690</x:v>
      </x:c>
      <x:c r="D504" s="2" t="str">
        <x:v>その他製造装置部品</x:v>
      </x:c>
      <x:c r="E504" s="9" t="n">
        <x:v>83462130</x:v>
      </x:c>
      <x:c r="F504" s="9" t="n">
        <x:f>IF(G504="利用可",E504,"")</x:f>
        <x:v>83462130</x:v>
      </x:c>
      <x:c r="G504" s="2" t="str">
        <x:v>利用可</x:v>
      </x:c>
      <x:c r="H504" s="9" t="n">
        <x:v>51424145</x:v>
      </x:c>
      <x:c r="I504" s="2" t="str"/>
      <x:c r="J504" s="2" t="n">
        <x:v>11</x:v>
      </x:c>
      <x:c r="K504" s="8" t="n">
        <x:v>46294</x:v>
      </x:c>
    </x:row>
    <x:row r="505" ht="22" customHeight="1">
      <x:c r="A505" s="7" t="n">
        <x:v>45505</x:v>
      </x:c>
      <x:c r="B505" s="2" t="str">
        <x:v>84869000909</x:v>
      </x:c>
      <x:c r="C505" s="2" t="str">
        <x:v>848690</x:v>
      </x:c>
      <x:c r="D505" s="2" t="str">
        <x:v>その他製造装置部品</x:v>
      </x:c>
      <x:c r="E505" s="9" t="n">
        <x:v>52442343</x:v>
      </x:c>
      <x:c r="F505" s="9" t="n">
        <x:f>IF(G505="利用可",E505,"")</x:f>
        <x:v>52442343</x:v>
      </x:c>
      <x:c r="G505" s="2" t="str">
        <x:v>利用可</x:v>
      </x:c>
      <x:c r="H505" s="9" t="n">
        <x:v>43688030</x:v>
      </x:c>
      <x:c r="I505" s="2" t="str"/>
      <x:c r="J505" s="2" t="n">
        <x:v>11</x:v>
      </x:c>
      <x:c r="K505" s="8" t="n">
        <x:v>46294</x:v>
      </x:c>
    </x:row>
    <x:row r="506" ht="22" customHeight="1">
      <x:c r="A506" s="7" t="n">
        <x:v>45536</x:v>
      </x:c>
      <x:c r="B506" s="2" t="str">
        <x:v>84869000909</x:v>
      </x:c>
      <x:c r="C506" s="2" t="str">
        <x:v>848690</x:v>
      </x:c>
      <x:c r="D506" s="2" t="str">
        <x:v>その他製造装置部品</x:v>
      </x:c>
      <x:c r="E506" s="9" t="n">
        <x:v>52018868</x:v>
      </x:c>
      <x:c r="F506" s="9" t="n">
        <x:f>IF(G506="利用可",E506,"")</x:f>
        <x:v>52018868</x:v>
      </x:c>
      <x:c r="G506" s="2" t="str">
        <x:v>利用可</x:v>
      </x:c>
      <x:c r="H506" s="9" t="n">
        <x:v>50807710</x:v>
      </x:c>
      <x:c r="I506" s="2" t="str"/>
      <x:c r="J506" s="2" t="n">
        <x:v>11</x:v>
      </x:c>
      <x:c r="K506" s="8" t="n">
        <x:v>46294</x:v>
      </x:c>
    </x:row>
    <x:row r="507" ht="22" customHeight="1">
      <x:c r="A507" s="7" t="n">
        <x:v>45566</x:v>
      </x:c>
      <x:c r="B507" s="2" t="str">
        <x:v>84869000909</x:v>
      </x:c>
      <x:c r="C507" s="2" t="str">
        <x:v>848690</x:v>
      </x:c>
      <x:c r="D507" s="2" t="str">
        <x:v>その他製造装置部品</x:v>
      </x:c>
      <x:c r="E507" s="9" t="n">
        <x:v>64342126</x:v>
      </x:c>
      <x:c r="F507" s="9" t="n">
        <x:f>IF(G507="利用可",E507,"")</x:f>
        <x:v>64342126</x:v>
      </x:c>
      <x:c r="G507" s="2" t="str">
        <x:v>利用可</x:v>
      </x:c>
      <x:c r="H507" s="9" t="n">
        <x:v>48663895</x:v>
      </x:c>
      <x:c r="I507" s="2" t="str"/>
      <x:c r="J507" s="2" t="n">
        <x:v>11</x:v>
      </x:c>
      <x:c r="K507" s="8" t="n">
        <x:v>46294</x:v>
      </x:c>
    </x:row>
    <x:row r="508" ht="22" customHeight="1">
      <x:c r="A508" s="7" t="n">
        <x:v>45597</x:v>
      </x:c>
      <x:c r="B508" s="2" t="str">
        <x:v>84869000909</x:v>
      </x:c>
      <x:c r="C508" s="2" t="str">
        <x:v>848690</x:v>
      </x:c>
      <x:c r="D508" s="2" t="str">
        <x:v>その他製造装置部品</x:v>
      </x:c>
      <x:c r="E508" s="9" t="n">
        <x:v>64506689</x:v>
      </x:c>
      <x:c r="F508" s="9" t="n">
        <x:f>IF(G508="利用可",E508,"")</x:f>
        <x:v>64506689</x:v>
      </x:c>
      <x:c r="G508" s="2" t="str">
        <x:v>利用可</x:v>
      </x:c>
      <x:c r="H508" s="9" t="n">
        <x:v>37129206</x:v>
      </x:c>
      <x:c r="I508" s="2" t="str"/>
      <x:c r="J508" s="2" t="n">
        <x:v>11</x:v>
      </x:c>
      <x:c r="K508" s="8" t="n">
        <x:v>46294</x:v>
      </x:c>
    </x:row>
    <x:row r="509" ht="22" customHeight="1">
      <x:c r="A509" s="7" t="n">
        <x:v>45627</x:v>
      </x:c>
      <x:c r="B509" s="2" t="str">
        <x:v>84869000909</x:v>
      </x:c>
      <x:c r="C509" s="2" t="str">
        <x:v>848690</x:v>
      </x:c>
      <x:c r="D509" s="2" t="str">
        <x:v>その他製造装置部品</x:v>
      </x:c>
      <x:c r="E509" s="9" t="n">
        <x:v>86663948</x:v>
      </x:c>
      <x:c r="F509" s="9" t="n">
        <x:f>IF(G509="利用可",E509,"")</x:f>
        <x:v>86663948</x:v>
      </x:c>
      <x:c r="G509" s="2" t="str">
        <x:v>利用可</x:v>
      </x:c>
      <x:c r="H509" s="9" t="n">
        <x:v>42998971</x:v>
      </x:c>
      <x:c r="I509" s="2" t="str"/>
      <x:c r="J509" s="2" t="n">
        <x:v>11</x:v>
      </x:c>
      <x:c r="K509" s="8" t="n">
        <x:v>46294</x:v>
      </x:c>
    </x:row>
    <x:row r="510" ht="22" customHeight="1">
      <x:c r="A510" s="7" t="n">
        <x:v>45658</x:v>
      </x:c>
      <x:c r="B510" s="2" t="str">
        <x:v>84869000909</x:v>
      </x:c>
      <x:c r="C510" s="2" t="str">
        <x:v>848690</x:v>
      </x:c>
      <x:c r="D510" s="2" t="str">
        <x:v>その他製造装置部品</x:v>
      </x:c>
      <x:c r="E510" s="9" t="n">
        <x:v>57581023</x:v>
      </x:c>
      <x:c r="F510" s="9" t="n">
        <x:f>IF(G510="利用可",E510,"")</x:f>
        <x:v>57581023</x:v>
      </x:c>
      <x:c r="G510" s="2" t="str">
        <x:v>利用可</x:v>
      </x:c>
      <x:c r="H510" s="9" t="n">
        <x:v>47102376</x:v>
      </x:c>
      <x:c r="I510" s="2" t="str"/>
      <x:c r="J510" s="2" t="n">
        <x:v>11</x:v>
      </x:c>
      <x:c r="K510" s="8" t="n">
        <x:v>46294</x:v>
      </x:c>
    </x:row>
    <x:row r="511" ht="22" customHeight="1">
      <x:c r="A511" s="7" t="n">
        <x:v>45689</x:v>
      </x:c>
      <x:c r="B511" s="2" t="str">
        <x:v>84869000909</x:v>
      </x:c>
      <x:c r="C511" s="2" t="str">
        <x:v>848690</x:v>
      </x:c>
      <x:c r="D511" s="2" t="str">
        <x:v>その他製造装置部品</x:v>
      </x:c>
      <x:c r="E511" s="9" t="n">
        <x:v>91229276</x:v>
      </x:c>
      <x:c r="F511" s="9" t="n">
        <x:f>IF(G511="利用可",E511,"")</x:f>
        <x:v>91229276</x:v>
      </x:c>
      <x:c r="G511" s="2" t="str">
        <x:v>利用可</x:v>
      </x:c>
      <x:c r="H511" s="9" t="n">
        <x:v>49194219</x:v>
      </x:c>
      <x:c r="I511" s="2" t="str"/>
      <x:c r="J511" s="2" t="n">
        <x:v>11</x:v>
      </x:c>
      <x:c r="K511" s="8" t="n">
        <x:v>46294</x:v>
      </x:c>
    </x:row>
    <x:row r="512" ht="22" customHeight="1">
      <x:c r="A512" s="7" t="n">
        <x:v>45717</x:v>
      </x:c>
      <x:c r="B512" s="2" t="str">
        <x:v>84869000909</x:v>
      </x:c>
      <x:c r="C512" s="2" t="str">
        <x:v>848690</x:v>
      </x:c>
      <x:c r="D512" s="2" t="str">
        <x:v>その他製造装置部品</x:v>
      </x:c>
      <x:c r="E512" s="9" t="n">
        <x:v>116807795</x:v>
      </x:c>
      <x:c r="F512" s="9" t="n">
        <x:f>IF(G512="利用可",E512,"")</x:f>
        <x:v>116807795</x:v>
      </x:c>
      <x:c r="G512" s="2" t="str">
        <x:v>利用可</x:v>
      </x:c>
      <x:c r="H512" s="9" t="n">
        <x:v>69230730</x:v>
      </x:c>
      <x:c r="I512" s="2" t="str"/>
      <x:c r="J512" s="2" t="n">
        <x:v>11</x:v>
      </x:c>
      <x:c r="K512" s="8" t="n">
        <x:v>46294</x:v>
      </x:c>
    </x:row>
    <x:row r="513" ht="22" customHeight="1">
      <x:c r="A513" s="7" t="n">
        <x:v>45748</x:v>
      </x:c>
      <x:c r="B513" s="2" t="str">
        <x:v>84869000909</x:v>
      </x:c>
      <x:c r="C513" s="2" t="str">
        <x:v>848690</x:v>
      </x:c>
      <x:c r="D513" s="2" t="str">
        <x:v>その他製造装置部品</x:v>
      </x:c>
      <x:c r="E513" s="9" t="n">
        <x:v>96338355</x:v>
      </x:c>
      <x:c r="F513" s="9" t="n">
        <x:f>IF(G513="利用可",E513,"")</x:f>
        <x:v>96338355</x:v>
      </x:c>
      <x:c r="G513" s="2" t="str">
        <x:v>利用可</x:v>
      </x:c>
      <x:c r="H513" s="9" t="n">
        <x:v>65136708</x:v>
      </x:c>
      <x:c r="I513" s="2" t="str"/>
      <x:c r="J513" s="2" t="n">
        <x:v>11</x:v>
      </x:c>
      <x:c r="K513" s="8" t="n">
        <x:v>46294</x:v>
      </x:c>
    </x:row>
    <x:row r="514" ht="22" customHeight="1">
      <x:c r="A514" s="7" t="n">
        <x:v>45778</x:v>
      </x:c>
      <x:c r="B514" s="2" t="str">
        <x:v>84869000909</x:v>
      </x:c>
      <x:c r="C514" s="2" t="str">
        <x:v>848690</x:v>
      </x:c>
      <x:c r="D514" s="2" t="str">
        <x:v>その他製造装置部品</x:v>
      </x:c>
      <x:c r="E514" s="9" t="n">
        <x:v>103568676</x:v>
      </x:c>
      <x:c r="F514" s="9" t="n">
        <x:f>IF(G514="利用可",E514,"")</x:f>
        <x:v>103568676</x:v>
      </x:c>
      <x:c r="G514" s="2" t="str">
        <x:v>利用可</x:v>
      </x:c>
      <x:c r="H514" s="9" t="n">
        <x:v>59467906</x:v>
      </x:c>
      <x:c r="I514" s="2" t="str"/>
      <x:c r="J514" s="2" t="n">
        <x:v>11</x:v>
      </x:c>
      <x:c r="K514" s="8" t="n">
        <x:v>46294</x:v>
      </x:c>
    </x:row>
    <x:row r="515" ht="22" customHeight="1">
      <x:c r="A515" s="7" t="n">
        <x:v>45809</x:v>
      </x:c>
      <x:c r="B515" s="2" t="str">
        <x:v>84869000909</x:v>
      </x:c>
      <x:c r="C515" s="2" t="str">
        <x:v>848690</x:v>
      </x:c>
      <x:c r="D515" s="2" t="str">
        <x:v>その他製造装置部品</x:v>
      </x:c>
      <x:c r="E515" s="9" t="n">
        <x:v>104169698</x:v>
      </x:c>
      <x:c r="F515" s="9" t="n">
        <x:f>IF(G515="利用可",E515,"")</x:f>
        <x:v>104169698</x:v>
      </x:c>
      <x:c r="G515" s="2" t="str">
        <x:v>利用可</x:v>
      </x:c>
      <x:c r="H515" s="9" t="n">
        <x:v>74591515</x:v>
      </x:c>
      <x:c r="I515" s="2" t="str"/>
      <x:c r="J515" s="2" t="n">
        <x:v>11</x:v>
      </x:c>
      <x:c r="K515" s="8" t="n">
        <x:v>46294</x:v>
      </x:c>
    </x:row>
    <x:row r="516" ht="22" customHeight="1">
      <x:c r="A516" s="7" t="n">
        <x:v>45839</x:v>
      </x:c>
      <x:c r="B516" s="2" t="str">
        <x:v>84869000909</x:v>
      </x:c>
      <x:c r="C516" s="2" t="str">
        <x:v>848690</x:v>
      </x:c>
      <x:c r="D516" s="2" t="str">
        <x:v>その他製造装置部品</x:v>
      </x:c>
      <x:c r="E516" s="9" t="n">
        <x:v>92182047</x:v>
      </x:c>
      <x:c r="F516" s="9" t="n">
        <x:f>IF(G516="利用可",E516,"")</x:f>
        <x:v>92182047</x:v>
      </x:c>
      <x:c r="G516" s="2" t="str">
        <x:v>利用可</x:v>
      </x:c>
      <x:c r="H516" s="9" t="n">
        <x:v>83462130</x:v>
      </x:c>
      <x:c r="I516" s="2" t="str"/>
      <x:c r="J516" s="2" t="n">
        <x:v>11</x:v>
      </x:c>
      <x:c r="K516" s="8" t="n">
        <x:v>46294</x:v>
      </x:c>
    </x:row>
    <x:row r="517" ht="22" customHeight="1">
      <x:c r="A517" s="7" t="n">
        <x:v>45870</x:v>
      </x:c>
      <x:c r="B517" s="2" t="str">
        <x:v>84869000909</x:v>
      </x:c>
      <x:c r="C517" s="2" t="str">
        <x:v>848690</x:v>
      </x:c>
      <x:c r="D517" s="2" t="str">
        <x:v>その他製造装置部品</x:v>
      </x:c>
      <x:c r="E517" s="9" t="n">
        <x:v>81530132</x:v>
      </x:c>
      <x:c r="F517" s="9" t="n">
        <x:f>IF(G517="利用可",E517,"")</x:f>
        <x:v>81530132</x:v>
      </x:c>
      <x:c r="G517" s="2" t="str">
        <x:v>利用可</x:v>
      </x:c>
      <x:c r="H517" s="9" t="n">
        <x:v>52442343</x:v>
      </x:c>
      <x:c r="I517" s="2" t="str"/>
      <x:c r="J517" s="2" t="n">
        <x:v>11</x:v>
      </x:c>
      <x:c r="K517" s="8" t="n">
        <x:v>46294</x:v>
      </x:c>
    </x:row>
    <x:row r="518" ht="22" customHeight="1">
      <x:c r="A518" s="7" t="n">
        <x:v>45901</x:v>
      </x:c>
      <x:c r="B518" s="2" t="str">
        <x:v>84869000909</x:v>
      </x:c>
      <x:c r="C518" s="2" t="str">
        <x:v>848690</x:v>
      </x:c>
      <x:c r="D518" s="2" t="str">
        <x:v>その他製造装置部品</x:v>
      </x:c>
      <x:c r="E518" s="9" t="n">
        <x:v>64150563</x:v>
      </x:c>
      <x:c r="F518" s="9" t="n">
        <x:f>IF(G518="利用可",E518,"")</x:f>
        <x:v>64150563</x:v>
      </x:c>
      <x:c r="G518" s="2" t="str">
        <x:v>利用可</x:v>
      </x:c>
      <x:c r="H518" s="9" t="n">
        <x:v>52018868</x:v>
      </x:c>
      <x:c r="I518" s="2" t="str"/>
      <x:c r="J518" s="2" t="n">
        <x:v>11</x:v>
      </x:c>
      <x:c r="K518" s="8" t="n">
        <x:v>46294</x:v>
      </x:c>
    </x:row>
    <x:row r="519" ht="22" customHeight="1">
      <x:c r="A519" s="7" t="n">
        <x:v>45931</x:v>
      </x:c>
      <x:c r="B519" s="2" t="str">
        <x:v>84869000909</x:v>
      </x:c>
      <x:c r="C519" s="2" t="str">
        <x:v>848690</x:v>
      </x:c>
      <x:c r="D519" s="2" t="str">
        <x:v>その他製造装置部品</x:v>
      </x:c>
      <x:c r="E519" s="9" t="n">
        <x:v>80607157</x:v>
      </x:c>
      <x:c r="F519" s="9" t="n">
        <x:f>IF(G519="利用可",E519,"")</x:f>
        <x:v>80607157</x:v>
      </x:c>
      <x:c r="G519" s="2" t="str">
        <x:v>利用可</x:v>
      </x:c>
      <x:c r="H519" s="9" t="n">
        <x:v>64342126</x:v>
      </x:c>
      <x:c r="I519" s="2" t="str"/>
      <x:c r="J519" s="2" t="n">
        <x:v>11</x:v>
      </x:c>
      <x:c r="K519" s="8" t="n">
        <x:v>46294</x:v>
      </x:c>
    </x:row>
    <x:row r="520" ht="22" customHeight="1">
      <x:c r="A520" s="7" t="n">
        <x:v>45962</x:v>
      </x:c>
      <x:c r="B520" s="2" t="str">
        <x:v>84869000909</x:v>
      </x:c>
      <x:c r="C520" s="2" t="str">
        <x:v>848690</x:v>
      </x:c>
      <x:c r="D520" s="2" t="str">
        <x:v>その他製造装置部品</x:v>
      </x:c>
      <x:c r="E520" s="9" t="n">
        <x:v>73637693</x:v>
      </x:c>
      <x:c r="F520" s="9" t="n">
        <x:f>IF(G520="利用可",E520,"")</x:f>
        <x:v>73637693</x:v>
      </x:c>
      <x:c r="G520" s="2" t="str">
        <x:v>利用可</x:v>
      </x:c>
      <x:c r="H520" s="9" t="n">
        <x:v>64506689</x:v>
      </x:c>
      <x:c r="I520" s="2" t="str"/>
      <x:c r="J520" s="2" t="n">
        <x:v>11</x:v>
      </x:c>
      <x:c r="K520" s="8" t="n">
        <x:v>46294</x:v>
      </x:c>
    </x:row>
    <x:row r="521" ht="22" customHeight="1">
      <x:c r="A521" s="7" t="n">
        <x:v>45992</x:v>
      </x:c>
      <x:c r="B521" s="2" t="str">
        <x:v>84869000909</x:v>
      </x:c>
      <x:c r="C521" s="2" t="str">
        <x:v>848690</x:v>
      </x:c>
      <x:c r="D521" s="2" t="str">
        <x:v>その他製造装置部品</x:v>
      </x:c>
      <x:c r="E521" s="9" t="n">
        <x:v>74424703</x:v>
      </x:c>
      <x:c r="F521" s="9" t="n">
        <x:f>IF(G521="利用可",E521,"")</x:f>
        <x:v>74424703</x:v>
      </x:c>
      <x:c r="G521" s="2" t="str">
        <x:v>利用可</x:v>
      </x:c>
      <x:c r="H521" s="9" t="n">
        <x:v>86663948</x:v>
      </x:c>
      <x:c r="I521" s="2" t="str"/>
      <x:c r="J521" s="2" t="n">
        <x:v>11</x:v>
      </x:c>
      <x:c r="K521" s="8" t="n">
        <x:v>46294</x:v>
      </x:c>
    </x:row>
    <x:row r="522" ht="22" customHeight="1">
      <x:c r="A522" s="7" t="n">
        <x:v>46023</x:v>
      </x:c>
      <x:c r="B522" s="2" t="str">
        <x:v>84869000909</x:v>
      </x:c>
      <x:c r="C522" s="2" t="str">
        <x:v>848690</x:v>
      </x:c>
      <x:c r="D522" s="2" t="str">
        <x:v>その他製造装置部品</x:v>
      </x:c>
      <x:c r="E522" s="9" t="n">
        <x:v>60746631</x:v>
      </x:c>
      <x:c r="F522" s="9" t="n">
        <x:f>IF(G522="利用可",E522,"")</x:f>
        <x:v>60746631</x:v>
      </x:c>
      <x:c r="G522" s="2" t="str">
        <x:v>利用可</x:v>
      </x:c>
      <x:c r="H522" s="9" t="n">
        <x:v>57581023</x:v>
      </x:c>
      <x:c r="I522" s="2" t="str"/>
      <x:c r="J522" s="2" t="n">
        <x:v>11</x:v>
      </x:c>
      <x:c r="K522" s="8" t="n">
        <x:v>46294</x:v>
      </x:c>
    </x:row>
    <x:row r="523" ht="22" customHeight="1">
      <x:c r="A523" s="7" t="n">
        <x:v>46054</x:v>
      </x:c>
      <x:c r="B523" s="2" t="str">
        <x:v>84869000909</x:v>
      </x:c>
      <x:c r="C523" s="2" t="str">
        <x:v>848690</x:v>
      </x:c>
      <x:c r="D523" s="2" t="str">
        <x:v>その他製造装置部品</x:v>
      </x:c>
      <x:c r="E523" s="9" t="n">
        <x:v>59660807</x:v>
      </x:c>
      <x:c r="F523" s="9" t="n">
        <x:f>IF(G523="利用可",E523,"")</x:f>
        <x:v>59660807</x:v>
      </x:c>
      <x:c r="G523" s="2" t="str">
        <x:v>利用可</x:v>
      </x:c>
      <x:c r="H523" s="9" t="n">
        <x:v>91229276</x:v>
      </x:c>
      <x:c r="I523" s="2" t="str"/>
      <x:c r="J523" s="2" t="n">
        <x:v>11</x:v>
      </x:c>
      <x:c r="K523" s="8" t="n">
        <x:v>46294</x:v>
      </x:c>
    </x:row>
    <x:row r="524" ht="22" customHeight="1">
      <x:c r="A524" s="7" t="n">
        <x:v>46082</x:v>
      </x:c>
      <x:c r="B524" s="2" t="str">
        <x:v>84869000909</x:v>
      </x:c>
      <x:c r="C524" s="2" t="str">
        <x:v>848690</x:v>
      </x:c>
      <x:c r="D524" s="2" t="str">
        <x:v>その他製造装置部品</x:v>
      </x:c>
      <x:c r="E524" s="9" t="n">
        <x:v>80438254</x:v>
      </x:c>
      <x:c r="F524" s="9" t="n">
        <x:f>IF(G524="利用可",E524,"")</x:f>
        <x:v>80438254</x:v>
      </x:c>
      <x:c r="G524" s="2" t="str">
        <x:v>利用可</x:v>
      </x:c>
      <x:c r="H524" s="9" t="n">
        <x:v>116807795</x:v>
      </x:c>
      <x:c r="I524" s="2" t="str"/>
      <x:c r="J524" s="2" t="n">
        <x:v>11</x:v>
      </x:c>
      <x:c r="K524" s="8" t="n">
        <x:v>46294</x:v>
      </x:c>
    </x:row>
    <x:row r="525" ht="22" customHeight="1">
      <x:c r="A525" s="7" t="n">
        <x:v>46113</x:v>
      </x:c>
      <x:c r="B525" s="2" t="str">
        <x:v>84869000909</x:v>
      </x:c>
      <x:c r="C525" s="2" t="str">
        <x:v>848690</x:v>
      </x:c>
      <x:c r="D525" s="2" t="str">
        <x:v>その他製造装置部品</x:v>
      </x:c>
      <x:c r="E525" s="9" t="n">
        <x:v>91763111</x:v>
      </x:c>
      <x:c r="F525" s="9" t="n">
        <x:f>IF(G525="利用可",E525,"")</x:f>
        <x:v>91763111</x:v>
      </x:c>
      <x:c r="G525" s="2" t="str">
        <x:v>利用可</x:v>
      </x:c>
      <x:c r="H525" s="9" t="n">
        <x:v>96338355</x:v>
      </x:c>
      <x:c r="I525" s="2" t="str"/>
      <x:c r="J525" s="2" t="n">
        <x:v>11</x:v>
      </x:c>
      <x:c r="K525" s="8" t="n">
        <x:v>46294</x:v>
      </x:c>
    </x:row>
    <x:row r="526" ht="22" customHeight="1">
      <x:c r="A526" s="7" t="n">
        <x:v>46143</x:v>
      </x:c>
      <x:c r="B526" s="2" t="str">
        <x:v>84869000909</x:v>
      </x:c>
      <x:c r="C526" s="2" t="str">
        <x:v>848690</x:v>
      </x:c>
      <x:c r="D526" s="2" t="str">
        <x:v>その他製造装置部品</x:v>
      </x:c>
      <x:c r="E526" s="9" t="n">
        <x:v>83439713</x:v>
      </x:c>
      <x:c r="F526" s="9" t="n">
        <x:f>IF(G526="利用可",E526,"")</x:f>
        <x:v>83439713</x:v>
      </x:c>
      <x:c r="G526" s="2" t="str">
        <x:v>利用可</x:v>
      </x:c>
      <x:c r="H526" s="9" t="n">
        <x:v>103568676</x:v>
      </x:c>
      <x:c r="I526" s="2" t="str"/>
      <x:c r="J526" s="2" t="n">
        <x:v>11</x:v>
      </x:c>
      <x:c r="K526" s="8" t="n">
        <x:v>46294</x:v>
      </x:c>
    </x:row>
    <x:row r="527" ht="22" customHeight="1">
      <x:c r="A527" s="7" t="n">
        <x:v>46174</x:v>
      </x:c>
      <x:c r="B527" s="2" t="str">
        <x:v>84869000909</x:v>
      </x:c>
      <x:c r="C527" s="2" t="str">
        <x:v>848690</x:v>
      </x:c>
      <x:c r="D527" s="2" t="str">
        <x:v>その他製造装置部品</x:v>
      </x:c>
      <x:c r="E527" s="9" t="n">
        <x:v>90363859</x:v>
      </x:c>
      <x:c r="F527" s="9" t="n">
        <x:f>IF(G527="利用可",E527,"")</x:f>
        <x:v>90363859</x:v>
      </x:c>
      <x:c r="G527" s="2" t="str">
        <x:v>利用可</x:v>
      </x:c>
      <x:c r="H527" s="9" t="n">
        <x:v>104169698</x:v>
      </x:c>
      <x:c r="I527" s="2" t="str"/>
      <x:c r="J527" s="2" t="n">
        <x:v>11</x:v>
      </x:c>
      <x:c r="K527" s="8" t="n">
        <x:v>46294</x:v>
      </x:c>
    </x:row>
    <x:row r="528" ht="22" customHeight="1">
      <x:c r="A528" s="7" t="n">
        <x:v>46204</x:v>
      </x:c>
      <x:c r="B528" s="2" t="str">
        <x:v>84869000909</x:v>
      </x:c>
      <x:c r="C528" s="2" t="str">
        <x:v>848690</x:v>
      </x:c>
      <x:c r="D528" s="2" t="str">
        <x:v>その他製造装置部品</x:v>
      </x:c>
      <x:c r="E528" s="9" t="n">
        <x:v>82815772</x:v>
      </x:c>
      <x:c r="F528" s="9" t="n">
        <x:f>IF(G528="利用可",E528,"")</x:f>
        <x:v>82815772</x:v>
      </x:c>
      <x:c r="G528" s="2" t="str">
        <x:v>利用可</x:v>
      </x:c>
      <x:c r="H528" s="9" t="n">
        <x:v>92182047</x:v>
      </x:c>
      <x:c r="I528" s="2" t="str"/>
      <x:c r="J528" s="2" t="n">
        <x:v>11</x:v>
      </x:c>
      <x:c r="K528" s="8" t="n">
        <x:v>46294</x:v>
      </x:c>
    </x:row>
    <x:row r="529" ht="22" customHeight="1">
      <x:c r="A529" s="7" t="n">
        <x:v>46235</x:v>
      </x:c>
      <x:c r="B529" s="2" t="str">
        <x:v>84869000909</x:v>
      </x:c>
      <x:c r="C529" s="2" t="str">
        <x:v>848690</x:v>
      </x:c>
      <x:c r="D529" s="2" t="str">
        <x:v>その他製造装置部品</x:v>
      </x:c>
      <x:c r="E529" s="9" t="n">
        <x:v>98329167</x:v>
      </x:c>
      <x:c r="F529" s="9" t="n">
        <x:f>IF(G529="利用可",E529,"")</x:f>
        <x:v>98329167</x:v>
      </x:c>
      <x:c r="G529" s="2" t="str">
        <x:v>利用可</x:v>
      </x:c>
      <x:c r="H529" s="9" t="n">
        <x:v>81530132</x:v>
      </x:c>
      <x:c r="I529" s="2" t="str"/>
      <x:c r="J529" s="2" t="n">
        <x:v>11</x:v>
      </x:c>
      <x:c r="K529" s="8" t="n">
        <x:v>46294</x:v>
      </x:c>
    </x:row>
  </x:sheetData>
  <x:conditionalFormatting sqref="G2:G529">
    <x:cfRule type="containsText" dxfId="0" priority="1" operator="containsText" text="除外"/>
  </x:conditionalFormatting>
  <x:pageMargins left="0.7" right="0.7" top="0.75" bottom="0.75" header="0.3" footer="0.3"/>
  <x:tableParts count="1">
    <x:tablePart xmlns:r="http://schemas.openxmlformats.org/officeDocument/2006/relationships" r:id="R3d3619de8e8b44a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8" hidden="0" customWidth="1"/>
    <x:col min="3" max="3" width="85" hidden="0" customWidth="1"/>
    <x:col min="4" max="4" width="25" hidden="0" customWidth="1"/>
    <x:col min="5" max="5" width="27" hidden="0" customWidth="1"/>
  </x:cols>
  <x:sheetData>
    <x:row r="1" ht="34" customHeight="1">
      <x:c r="A1" s="6" t="str">
        <x:v>CCCコード</x:v>
      </x:c>
      <x:c r="B1" s="6" t="str">
        <x:v>日本語要約</x:v>
      </x:c>
      <x:c r="C1" s="6" t="str">
        <x:v>公表英語品名</x:v>
      </x:c>
      <x:c r="D1" s="6" t="str">
        <x:v>2023/1〜2026/8 表示額 USD</x:v>
      </x:c>
      <x:c r="E1" s="6" t="str">
        <x:v>取得・利用状態</x:v>
      </x:c>
    </x:row>
    <x:row r="2" ht="45" customHeight="1">
      <x:c r="A2" s="2" t="str">
        <x:v>84862000ZZZ</x:v>
      </x:c>
      <x:c r="B2" s="2" t="str">
        <x:v>秘匿集約コード</x:v>
      </x:c>
      <x:c r="C2" s="11" t="str">
        <x:v>Pseudo Commodity Code</x:v>
      </x:c>
      <x:c r="D2" s="9" t="n">
        <x:v>27093845095</x:v>
      </x:c>
      <x:c r="E2" s="2" t="str">
        <x:v>日本分として利用不可</x:v>
      </x:c>
    </x:row>
    <x:row r="3" ht="45" customHeight="1">
      <x:c r="A3" s="2" t="str">
        <x:v>84869000909</x:v>
      </x:c>
      <x:c r="B3" s="2" t="str">
        <x:v>その他製造装置部品</x:v>
      </x:c>
      <x:c r="C3" s="11" t="str">
        <x:v>Other parts and accessories of machines of heading No. 84.86</x:v>
      </x:c>
      <x:c r="D3" s="9" t="n">
        <x:v>3035379059</x:v>
      </x:c>
      <x:c r="E3" s="2" t="str">
        <x:v>月次取得済</x:v>
      </x:c>
    </x:row>
    <x:row r="4" ht="45" customHeight="1">
      <x:c r="A4" s="2" t="str">
        <x:v>84862000735</x:v>
      </x:c>
      <x:c r="B4" s="2" t="str">
        <x:v>フォトレジスト塗布装置</x:v>
      </x:c>
      <x:c r="C4" s="11" t="str">
        <x:v>Photo-resist coaters for semiconductor wafers</x:v>
      </x:c>
      <x:c r="D4" s="9" t="n">
        <x:v>2463345494</x:v>
      </x:c>
      <x:c r="E4" s="2" t="str">
        <x:v>月次取得済</x:v>
      </x:c>
    </x:row>
    <x:row r="5" ht="45" customHeight="1">
      <x:c r="A5" s="2" t="str">
        <x:v>84862000904</x:v>
      </x:c>
      <x:c r="B5" s="2" t="str">
        <x:v>その他半導体前工程装置</x:v>
      </x:c>
      <x:c r="C5" s="11" t="str">
        <x:v>Other machines and apparatus for the manufacture of semiconductor devices or of electronic integrated circuits</x:v>
      </x:c>
      <x:c r="D5" s="9" t="n">
        <x:v>1535285163</x:v>
      </x:c>
      <x:c r="E5" s="2" t="str">
        <x:v>月次取得済</x:v>
      </x:c>
    </x:row>
    <x:row r="6" ht="45" customHeight="1">
      <x:c r="A6" s="2" t="str">
        <x:v>84861000201</x:v>
      </x:c>
      <x:c r="B6" s="2" t="str">
        <x:v>ウエハー研削・研磨・ラッピング</x:v>
      </x:c>
      <x:c r="C6" s="11" t="str">
        <x:v>Grinding, polishing and lapping machines for processing of semiconductor wafers</x:v>
      </x:c>
      <x:c r="D6" s="9" t="n">
        <x:v>1474057586</x:v>
      </x:c>
      <x:c r="E6" s="2" t="str">
        <x:v>月次取得済</x:v>
      </x:c>
    </x:row>
    <x:row r="7" ht="45" customHeight="1">
      <x:c r="A7" s="2" t="str">
        <x:v>84869000400</x:v>
      </x:c>
      <x:c r="B7" s="2" t="str">
        <x:v>ドライエッチ装置部品</x:v>
      </x:c>
      <x:c r="C7" s="11" t="str">
        <x:v>Parts of machines for dry-etching patterns on semiconductor materials</x:v>
      </x:c>
      <x:c r="D7" s="9" t="n">
        <x:v>1138883832</x:v>
      </x:c>
      <x:c r="E7" s="2" t="str">
        <x:v>月次取得済</x:v>
      </x:c>
    </x:row>
    <x:row r="8" ht="45" customHeight="1">
      <x:c r="A8" s="2" t="str">
        <x:v>84861000ZZZ</x:v>
      </x:c>
      <x:c r="B8" s="2" t="str">
        <x:v>秘匿集約コード</x:v>
      </x:c>
      <x:c r="C8" s="11" t="str">
        <x:v>Pseudo Commodity Code</x:v>
      </x:c>
      <x:c r="D8" s="9" t="n">
        <x:v>703819347</x:v>
      </x:c>
      <x:c r="E8" s="2" t="str">
        <x:v>日本分として利用不可</x:v>
      </x:c>
    </x:row>
    <x:row r="9" ht="45" customHeight="1">
      <x:c r="A9" s="2" t="str">
        <x:v>84862000325</x:v>
      </x:c>
      <x:c r="B9" s="2" t="str">
        <x:v>洗浄・剥離・エッチング用噴霧装置</x:v>
      </x:c>
      <x:c r="C9" s="11" t="str">
        <x:v>Spraying appliances for etching, stripping or cleaning semiconductor wafers</x:v>
      </x:c>
      <x:c r="D9" s="9" t="n">
        <x:v>675770927</x:v>
      </x:c>
      <x:c r="E9" s="2" t="str">
        <x:v>月次取得済</x:v>
      </x:c>
    </x:row>
    <x:row r="10" ht="45" customHeight="1">
      <x:c r="A10" s="2" t="str">
        <x:v>84864000900</x:v>
      </x:c>
      <x:c r="B10" s="2" t="str">
        <x:v>組立・搬送等の装置（類注11C）</x:v>
      </x:c>
      <x:c r="C10" s="11" t="str">
        <x:v>Machines and apparatus specified in Note 11(C) to this Chapter</x:v>
      </x:c>
      <x:c r="D10" s="9" t="n">
        <x:v>444622925</x:v>
      </x:c>
      <x:c r="E10" s="2" t="str">
        <x:v>月次取得済</x:v>
      </x:c>
    </x:row>
    <x:row r="11" ht="45" customHeight="1">
      <x:c r="A11" s="2" t="str">
        <x:v>84862000619</x:v>
      </x:c>
      <x:c r="B11" s="2" t="str">
        <x:v>露光装置（ステップ・アンド・リピート）</x:v>
      </x:c>
      <x:c r="C11" s="11" t="str">
        <x:v>Step and repeat aligners for semiconductor wafers</x:v>
      </x:c>
      <x:c r="D11" s="9" t="n">
        <x:v>425940858</x:v>
      </x:c>
      <x:c r="E11" s="2" t="str">
        <x:v>月次取得済</x:v>
      </x:c>
    </x:row>
    <x:row r="12" ht="45" customHeight="1">
      <x:c r="A12" s="2" t="str">
        <x:v>84862000209</x:v>
      </x:c>
      <x:c r="B12" s="2" t="str">
        <x:v>ウエハーのレーザー等加工装置</x:v>
      </x:c>
      <x:c r="C12" s="11" t="str">
        <x:v>Machines for semiconductor wafers processing by removal of material, by laser or other light or photo beam</x:v>
      </x:c>
      <x:c r="D12" s="9" t="n">
        <x:v>352723683</x:v>
      </x:c>
      <x:c r="E12" s="2" t="str">
        <x:v>月次取得済</x:v>
      </x:c>
    </x:row>
    <x:row r="13" ht="45" customHeight="1">
      <x:c r="A13" s="2" t="str">
        <x:v>84863000902</x:v>
      </x:c>
      <x:c r="B13" s="2" t="str">
        <x:v>その他FPD製造装置</x:v>
      </x:c>
      <x:c r="C13" s="11" t="str">
        <x:v>Other machines and apparatus for the manufacture of flat panel displays</x:v>
      </x:c>
      <x:c r="D13" s="9" t="n">
        <x:v>278430464</x:v>
      </x:c>
      <x:c r="E13" s="2" t="str">
        <x:v>月次未取得</x:v>
      </x:c>
    </x:row>
    <x:row r="14" ht="45" customHeight="1">
      <x:c r="A14" s="2" t="str">
        <x:v>84869000106</x:v>
      </x:c>
      <x:c r="B14" s="2" t="str">
        <x:v>CVD装置部品</x:v>
      </x:c>
      <x:c r="C14" s="11" t="str">
        <x:v>Parts of chemical vapor deposition apparatus for semiconductor production</x:v>
      </x:c>
      <x:c r="D14" s="9" t="n">
        <x:v>254483557</x:v>
      </x:c>
      <x:c r="E14" s="2" t="str">
        <x:v>月次取得済</x:v>
      </x:c>
    </x:row>
    <x:row r="15" ht="45" customHeight="1">
      <x:c r="A15" s="2" t="str">
        <x:v>84864000107</x:v>
      </x:c>
      <x:c r="B15" s="2" t="str">
        <x:v>レーザー等による半導体刻印装置</x:v>
      </x:c>
      <x:c r="C15" s="11" t="str">
        <x:v>Engraving machines for semiconductor devices or integrated circuits processing by laser or other light or photo beam</x:v>
      </x:c>
      <x:c r="D15" s="9" t="n">
        <x:v>157563575</x:v>
      </x:c>
      <x:c r="E15" s="2" t="str">
        <x:v>月次未取得</x:v>
      </x:c>
    </x:row>
    <x:row r="16" ht="45" customHeight="1">
      <x:c r="A16" s="2" t="str">
        <x:v>84863000109</x:v>
      </x:c>
      <x:c r="B16" s="2" t="str">
        <x:v>FPD用露光装置</x:v>
      </x:c>
      <x:c r="C16" s="11" t="str">
        <x:v>Lithography equipments for flat panel displays</x:v>
      </x:c>
      <x:c r="D16" s="9" t="n">
        <x:v>114726232</x:v>
      </x:c>
      <x:c r="E16" s="2" t="str">
        <x:v>月次未取得</x:v>
      </x:c>
    </x:row>
    <x:row r="17" ht="45" customHeight="1">
      <x:c r="A17" s="2" t="str">
        <x:v>84869000605</x:v>
      </x:c>
      <x:c r="B17" s="2" t="str">
        <x:v>PVD装置部品</x:v>
      </x:c>
      <x:c r="C17" s="11" t="str">
        <x:v>Parts of physical deposition apparatus for semiconductor production</x:v>
      </x:c>
      <x:c r="D17" s="9" t="n">
        <x:v>63458410</x:v>
      </x:c>
      <x:c r="E17" s="2" t="str">
        <x:v>月次取得済</x:v>
      </x:c>
    </x:row>
    <x:row r="18" ht="45" customHeight="1">
      <x:c r="A18" s="2" t="str">
        <x:v>84861000906</x:v>
      </x:c>
      <x:c r="B18" s="2" t="str">
        <x:v>その他の結晶・ウエハー製造装置</x:v>
      </x:c>
      <x:c r="C18" s="11" t="str">
        <x:v>Other machines and apparatus for the manufacture of boules or wafers</x:v>
      </x:c>
      <x:c r="D18" s="9" t="n">
        <x:v>62436293</x:v>
      </x:c>
      <x:c r="E18" s="2" t="str">
        <x:v>月次未取得</x:v>
      </x:c>
    </x:row>
    <x:row r="19" ht="45" customHeight="1">
      <x:c r="A19" s="2" t="str">
        <x:v>84869000204</x:v>
      </x:c>
      <x:c r="B19" s="2" t="str">
        <x:v>洗浄・剥離等の噴霧装置部品</x:v>
      </x:c>
      <x:c r="C19" s="11" t="str">
        <x:v>Parts of spraying appliances for etching, stripping or cleaning semiconductor wafers</x:v>
      </x:c>
      <x:c r="D19" s="9" t="n">
        <x:v>50650131</x:v>
      </x:c>
      <x:c r="E19" s="2" t="str">
        <x:v>月次未取得</x:v>
      </x:c>
    </x:row>
    <x:row r="20" ht="45" customHeight="1">
      <x:c r="A20" s="2" t="str">
        <x:v>84869000507</x:v>
      </x:c>
      <x:c r="B20" s="2" t="str">
        <x:v>ウエハー急速加熱装置部品</x:v>
      </x:c>
      <x:c r="C20" s="11" t="str">
        <x:v>Parts of apparatus for rapid heating of wafers</x:v>
      </x:c>
      <x:c r="D20" s="9" t="n">
        <x:v>36324569</x:v>
      </x:c>
      <x:c r="E20" s="2" t="str">
        <x:v>月次未取得</x:v>
      </x:c>
    </x:row>
    <x:row r="21" ht="45" customHeight="1">
      <x:c r="A21" s="2" t="str">
        <x:v>84864000205</x:v>
      </x:c>
      <x:c r="B21" s="2" t="str">
        <x:v>マスク修正用FIB加工装置</x:v>
      </x:c>
      <x:c r="C21" s="11" t="str">
        <x:v>Focused ion beam milling machines to repair masks and reticles for patterns on semiconductor devices</x:v>
      </x:c>
      <x:c r="D21" s="9" t="n">
        <x:v>16145214</x:v>
      </x:c>
      <x:c r="E21" s="2" t="str">
        <x:v>月次未取得</x:v>
      </x:c>
    </x:row>
    <x:row r="22" ht="45" customHeight="1">
      <x:c r="A22" s="2" t="str">
        <x:v>84869000302</x:v>
      </x:c>
      <x:c r="B22" s="2" t="str">
        <x:v>レーザー等加工装置部品</x:v>
      </x:c>
      <x:c r="C22" s="11" t="str">
        <x:v>Parts of machines for working any material by removal of material, by laser or other light or photo beam in the production of semiconductor wafers</x:v>
      </x:c>
      <x:c r="D22" s="9" t="n">
        <x:v>5670074</x:v>
      </x:c>
      <x:c r="E22" s="2" t="str">
        <x:v>月次未取得</x:v>
      </x:c>
    </x:row>
    <x:row r="23" ht="45" customHeight="1">
      <x:c r="A23" s="2" t="str">
        <x:v>84862000717</x:v>
      </x:c>
      <x:c r="B23" s="2" t="str">
        <x:v>ウエハースピン乾燥装置</x:v>
      </x:c>
      <x:c r="C23" s="11" t="str">
        <x:v>Spin dryers for semiconductor wafer processing</x:v>
      </x:c>
      <x:c r="D23" s="9" t="n">
        <x:v>1811313</x:v>
      </x:c>
      <x:c r="E23" s="2" t="str">
        <x:v>月次未取得</x:v>
      </x:c>
    </x:row>
    <x:row r="24" ht="45" customHeight="1">
      <x:c r="A24" s="2" t="str">
        <x:v>84862000726</x:v>
      </x:c>
      <x:c r="B24" s="2" t="str">
        <x:v>感光乳剤塗布用スピナー</x:v>
      </x:c>
      <x:c r="C24" s="11" t="str">
        <x:v>Spinners for coating photographic emulsions on semiconductor wafers</x:v>
      </x:c>
      <x:c r="D24" s="9" t="n">
        <x:v>58246</x:v>
      </x:c>
      <x:c r="E24" s="2" t="str">
        <x:v>月次未取得</x:v>
      </x:c>
    </x:row>
  </x:sheetData>
  <x:pageMargins left="0.7" right="0.7" top="0.75" bottom="0.75" header="0.3" footer="0.3"/>
  <x:tableParts count="1">
    <x:tablePart xmlns:r="http://schemas.openxmlformats.org/officeDocument/2006/relationships" r:id="R669f0861e7c94d2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0" hidden="0" customWidth="1"/>
    <x:col min="3" max="3" width="40" hidden="0" customWidth="1"/>
    <x:col min="4" max="4" width="40" hidden="0" customWidth="1"/>
    <x:col min="5" max="5" width="40" hidden="0" customWidth="1"/>
    <x:col min="6" max="6" width="40" hidden="0" customWidth="1"/>
  </x:cols>
  <x:sheetData>
    <x:row r="1" ht="34" customHeight="1">
      <x:c r="A1" s="6" t="str">
        <x:v>照会コード</x:v>
      </x:c>
      <x:c r="B1" s="6" t="str">
        <x:v>原表第1列</x:v>
      </x:c>
      <x:c r="C1" s="6" t="str">
        <x:v>原表第2列</x:v>
      </x:c>
      <x:c r="D1" s="6" t="str">
        <x:v>原表第3列</x:v>
      </x:c>
      <x:c r="E1" s="6" t="str">
        <x:v>原表第4列</x:v>
      </x:c>
      <x:c r="F1" s="6" t="str">
        <x:v>原表第5列</x:v>
      </x:c>
    </x:row>
    <x:row r="2" ht="36" customHeight="1">
      <x:c r="A2" s="2" t="str">
        <x:v>84861000201</x:v>
      </x:c>
      <x:c r="B2" s="11" t="str">
        <x:v>Time Period : 2023/01 - 2026/08</x:v>
      </x:c>
      <x:c r="C2" s="11"/>
      <x:c r="D2" s="11"/>
      <x:c r="E2" s="11"/>
      <x:c r="F2" s="11"/>
    </x:row>
    <x:row r="3" ht="36" customHeight="1">
      <x:c r="A3" s="2" t="str">
        <x:v>84861000201</x:v>
      </x:c>
      <x:c r="B3" s="11" t="str">
        <x:v>MONTH</x:v>
      </x:c>
      <x:c r="C3" s="11" t="str">
        <x:v>2022/01 - 2025/08
                            Effected Period(202203 - 202405)</x:v>
      </x:c>
      <x:c r="D3" s="11" t="str">
        <x:v>2023/01 - 2026/08
                            Effected Period(202301 - 202405)</x:v>
      </x:c>
      <x:c r="E3" s="11"/>
      <x:c r="F3" s="11"/>
    </x:row>
    <x:row r="4" ht="36" customHeight="1">
      <x:c r="A4" s="2" t="str">
        <x:v>84861000201</x:v>
      </x:c>
      <x:c r="B4" s="11" t="str">
        <x:v>TOTAL</x:v>
      </x:c>
      <x:c r="C4" s="11" t="str">
        <x:v>1,507,716,413</x:v>
      </x:c>
      <x:c r="D4" s="11" t="str">
        <x:v>2,177,876,933</x:v>
      </x:c>
      <x:c r="E4" s="11"/>
      <x:c r="F4" s="11"/>
    </x:row>
    <x:row r="5" ht="36" customHeight="1">
      <x:c r="A5" s="2" t="str">
        <x:v>84861000201</x:v>
      </x:c>
      <x:c r="B5" s="11" t="str">
        <x:v>2022/2023(01-12)</x:v>
      </x:c>
      <x:c r="C5" s="11" t="str">
        <x:v>439,038,885</x:v>
      </x:c>
      <x:c r="D5" s="11" t="str">
        <x:v>528,899,250</x:v>
      </x:c>
      <x:c r="E5" s="11"/>
      <x:c r="F5" s="11"/>
    </x:row>
    <x:row r="6" ht="36" customHeight="1">
      <x:c r="A6" s="2" t="str">
        <x:v>84861000201</x:v>
      </x:c>
      <x:c r="B6" s="11" t="str">
        <x:v>2022/2023 (01)</x:v>
      </x:c>
      <x:c r="C6" s="11" t="str">
        <x:v>38,021,049</x:v>
      </x:c>
      <x:c r="D6" s="11" t="str">
        <x:v>78,085,491</x:v>
      </x:c>
      <x:c r="E6" s="11"/>
      <x:c r="F6" s="11"/>
    </x:row>
    <x:row r="7" ht="36" customHeight="1">
      <x:c r="A7" s="2" t="str">
        <x:v>84861000201</x:v>
      </x:c>
      <x:c r="B7" s="11" t="str">
        <x:v>2022/2023 (02)</x:v>
      </x:c>
      <x:c r="C7" s="11" t="str">
        <x:v>34,966,594</x:v>
      </x:c>
      <x:c r="D7" s="11" t="str">
        <x:v>62,251,938</x:v>
      </x:c>
      <x:c r="E7" s="11"/>
      <x:c r="F7" s="11"/>
    </x:row>
    <x:row r="8" ht="36" customHeight="1">
      <x:c r="A8" s="2" t="str">
        <x:v>84861000201</x:v>
      </x:c>
      <x:c r="B8" s="11" t="str">
        <x:v>2022/2023 (03)</x:v>
      </x:c>
      <x:c r="C8" s="11" t="str">
        <x:v>42,227,788</x:v>
      </x:c>
      <x:c r="D8" s="11" t="str">
        <x:v>56,268,499</x:v>
      </x:c>
      <x:c r="E8" s="11"/>
      <x:c r="F8" s="11"/>
    </x:row>
    <x:row r="9" ht="36" customHeight="1">
      <x:c r="A9" s="2" t="str">
        <x:v>84861000201</x:v>
      </x:c>
      <x:c r="B9" s="11" t="str">
        <x:v>2022/2023 (04)</x:v>
      </x:c>
      <x:c r="C9" s="11" t="str">
        <x:v>23,337,520</x:v>
      </x:c>
      <x:c r="D9" s="11" t="str">
        <x:v>47,000,458</x:v>
      </x:c>
      <x:c r="E9" s="11"/>
      <x:c r="F9" s="11"/>
    </x:row>
    <x:row r="10" ht="36" customHeight="1">
      <x:c r="A10" s="2" t="str">
        <x:v>84861000201</x:v>
      </x:c>
      <x:c r="B10" s="11" t="str">
        <x:v>2022/2023 (05)</x:v>
      </x:c>
      <x:c r="C10" s="11" t="str">
        <x:v>39,597,934</x:v>
      </x:c>
      <x:c r="D10" s="11" t="str">
        <x:v>53,549,332</x:v>
      </x:c>
      <x:c r="E10" s="11"/>
      <x:c r="F10" s="11"/>
    </x:row>
    <x:row r="11" ht="36" customHeight="1">
      <x:c r="A11" s="2" t="str">
        <x:v>84861000201</x:v>
      </x:c>
      <x:c r="B11" s="11" t="str">
        <x:v>2022/2023 (06)</x:v>
      </x:c>
      <x:c r="C11" s="11" t="str">
        <x:v>28,507,919</x:v>
      </x:c>
      <x:c r="D11" s="11" t="str">
        <x:v>39,550,406</x:v>
      </x:c>
      <x:c r="E11" s="11"/>
      <x:c r="F11" s="11"/>
    </x:row>
    <x:row r="12" ht="36" customHeight="1">
      <x:c r="A12" s="2" t="str">
        <x:v>84861000201</x:v>
      </x:c>
      <x:c r="B12" s="11" t="str">
        <x:v>2022/2023 (07)</x:v>
      </x:c>
      <x:c r="C12" s="11" t="str">
        <x:v>29,222,534</x:v>
      </x:c>
      <x:c r="D12" s="11" t="str">
        <x:v>39,889,413</x:v>
      </x:c>
      <x:c r="E12" s="11"/>
      <x:c r="F12" s="11"/>
    </x:row>
    <x:row r="13" ht="36" customHeight="1">
      <x:c r="A13" s="2" t="str">
        <x:v>84861000201</x:v>
      </x:c>
      <x:c r="B13" s="11" t="str">
        <x:v>2022/2023 (08)</x:v>
      </x:c>
      <x:c r="C13" s="11" t="str">
        <x:v>39,814,388</x:v>
      </x:c>
      <x:c r="D13" s="11" t="str">
        <x:v>14,624,179</x:v>
      </x:c>
      <x:c r="E13" s="11"/>
      <x:c r="F13" s="11"/>
    </x:row>
    <x:row r="14" ht="36" customHeight="1">
      <x:c r="A14" s="2" t="str">
        <x:v>84861000201</x:v>
      </x:c>
      <x:c r="B14" s="11" t="str">
        <x:v>2022/2023 (09)</x:v>
      </x:c>
      <x:c r="C14" s="11" t="str">
        <x:v>39,021,448</x:v>
      </x:c>
      <x:c r="D14" s="11" t="str">
        <x:v>23,643,181</x:v>
      </x:c>
      <x:c r="E14" s="11"/>
      <x:c r="F14" s="11"/>
    </x:row>
    <x:row r="15" ht="36" customHeight="1">
      <x:c r="A15" s="2" t="str">
        <x:v>84861000201</x:v>
      </x:c>
      <x:c r="B15" s="11" t="str">
        <x:v>2022/2023 (10)</x:v>
      </x:c>
      <x:c r="C15" s="11" t="str">
        <x:v>39,339,515</x:v>
      </x:c>
      <x:c r="D15" s="11" t="str">
        <x:v>45,043,202</x:v>
      </x:c>
      <x:c r="E15" s="11"/>
      <x:c r="F15" s="11"/>
    </x:row>
    <x:row r="16" ht="36" customHeight="1">
      <x:c r="A16" s="2" t="str">
        <x:v>84861000201</x:v>
      </x:c>
      <x:c r="B16" s="11" t="str">
        <x:v>2022/2023 (11)</x:v>
      </x:c>
      <x:c r="C16" s="11" t="str">
        <x:v>47,118,804</x:v>
      </x:c>
      <x:c r="D16" s="11" t="str">
        <x:v>29,697,983</x:v>
      </x:c>
      <x:c r="E16" s="11"/>
      <x:c r="F16" s="11"/>
    </x:row>
    <x:row r="17" ht="36" customHeight="1">
      <x:c r="A17" s="2" t="str">
        <x:v>84861000201</x:v>
      </x:c>
      <x:c r="B17" s="11" t="str">
        <x:v>2022/2023 (12)</x:v>
      </x:c>
      <x:c r="C17" s="11" t="str">
        <x:v>37,863,392</x:v>
      </x:c>
      <x:c r="D17" s="11" t="str">
        <x:v>39,295,168</x:v>
      </x:c>
      <x:c r="E17" s="11"/>
      <x:c r="F17" s="11"/>
    </x:row>
    <x:row r="18" ht="36" customHeight="1">
      <x:c r="A18" s="2" t="str">
        <x:v>84861000201</x:v>
      </x:c>
      <x:c r="B18" s="11" t="str">
        <x:v>2023/2024(01-12)</x:v>
      </x:c>
      <x:c r="C18" s="11" t="str">
        <x:v>349,034,886</x:v>
      </x:c>
      <x:c r="D18" s="11" t="str">
        <x:v>385,848,299</x:v>
      </x:c>
      <x:c r="E18" s="11"/>
      <x:c r="F18" s="11"/>
    </x:row>
    <x:row r="19" ht="36" customHeight="1">
      <x:c r="A19" s="2" t="str">
        <x:v>84861000201</x:v>
      </x:c>
      <x:c r="B19" s="11" t="str">
        <x:v>2023/2024 (01)</x:v>
      </x:c>
      <x:c r="C19" s="11" t="str">
        <x:v>42,059,150</x:v>
      </x:c>
      <x:c r="D19" s="11" t="str">
        <x:v>39,582,069</x:v>
      </x:c>
      <x:c r="E19" s="11"/>
      <x:c r="F19" s="11"/>
    </x:row>
    <x:row r="20" ht="36" customHeight="1">
      <x:c r="A20" s="2" t="str">
        <x:v>84861000201</x:v>
      </x:c>
      <x:c r="B20" s="11" t="str">
        <x:v>2023/2024 (02)</x:v>
      </x:c>
      <x:c r="C20" s="11" t="str">
        <x:v>55,097,548</x:v>
      </x:c>
      <x:c r="D20" s="11" t="str">
        <x:v>30,576,187</x:v>
      </x:c>
      <x:c r="E20" s="11"/>
      <x:c r="F20" s="11"/>
    </x:row>
    <x:row r="21" ht="36" customHeight="1">
      <x:c r="A21" s="2" t="str">
        <x:v>84861000201</x:v>
      </x:c>
      <x:c r="B21" s="11" t="str">
        <x:v>2023/2024 (03)</x:v>
      </x:c>
      <x:c r="C21" s="11" t="str">
        <x:v>43,653,910</x:v>
      </x:c>
      <x:c r="D21" s="11" t="str">
        <x:v>37,993,128</x:v>
      </x:c>
      <x:c r="E21" s="11"/>
      <x:c r="F21" s="11"/>
    </x:row>
    <x:row r="22" ht="36" customHeight="1">
      <x:c r="A22" s="2" t="str">
        <x:v>84861000201</x:v>
      </x:c>
      <x:c r="B22" s="11" t="str">
        <x:v>2023/2024 (04)</x:v>
      </x:c>
      <x:c r="C22" s="11" t="str">
        <x:v>23,354,269</x:v>
      </x:c>
      <x:c r="D22" s="11" t="str">
        <x:v>37,280,000</x:v>
      </x:c>
      <x:c r="E22" s="11"/>
      <x:c r="F22" s="11"/>
    </x:row>
    <x:row r="23" ht="36" customHeight="1">
      <x:c r="A23" s="2" t="str">
        <x:v>84861000201</x:v>
      </x:c>
      <x:c r="B23" s="11" t="str">
        <x:v>2023/2024 (05)</x:v>
      </x:c>
      <x:c r="C23" s="11" t="str">
        <x:v>49,314,719</x:v>
      </x:c>
      <x:c r="D23" s="11" t="str">
        <x:v>29,488,713</x:v>
      </x:c>
      <x:c r="E23" s="11"/>
      <x:c r="F23" s="11"/>
    </x:row>
    <x:row r="24" ht="36" customHeight="1">
      <x:c r="A24" s="2" t="str">
        <x:v>84861000201</x:v>
      </x:c>
      <x:c r="B24" s="11" t="str">
        <x:v>2023/2024 (06)</x:v>
      </x:c>
      <x:c r="C24" s="11" t="str">
        <x:v>26,406,833</x:v>
      </x:c>
      <x:c r="D24" s="11" t="str">
        <x:v>27,196,939</x:v>
      </x:c>
      <x:c r="E24" s="11"/>
      <x:c r="F24" s="11"/>
    </x:row>
    <x:row r="25" ht="36" customHeight="1">
      <x:c r="A25" s="2" t="str">
        <x:v>84861000201</x:v>
      </x:c>
      <x:c r="B25" s="11" t="str">
        <x:v>2023/2024 (07)</x:v>
      </x:c>
      <x:c r="C25" s="11" t="str">
        <x:v>18,647,515</x:v>
      </x:c>
      <x:c r="D25" s="11" t="str">
        <x:v>20,619,906</x:v>
      </x:c>
      <x:c r="E25" s="11"/>
      <x:c r="F25" s="11"/>
    </x:row>
    <x:row r="26" ht="36" customHeight="1">
      <x:c r="A26" s="2" t="str">
        <x:v>84861000201</x:v>
      </x:c>
      <x:c r="B26" s="11" t="str">
        <x:v>2023/2024 (08)</x:v>
      </x:c>
      <x:c r="C26" s="11" t="str">
        <x:v>12,091,403</x:v>
      </x:c>
      <x:c r="D26" s="11" t="str">
        <x:v>37,486,776</x:v>
      </x:c>
      <x:c r="E26" s="11"/>
      <x:c r="F26" s="11"/>
    </x:row>
    <x:row r="27" ht="36" customHeight="1">
      <x:c r="A27" s="2" t="str">
        <x:v>84861000201</x:v>
      </x:c>
      <x:c r="B27" s="11" t="str">
        <x:v>2023/2024 (09)</x:v>
      </x:c>
      <x:c r="C27" s="11" t="str">
        <x:v>15,065,570</x:v>
      </x:c>
      <x:c r="D27" s="11" t="str">
        <x:v>24,835,115</x:v>
      </x:c>
      <x:c r="E27" s="11"/>
      <x:c r="F27" s="11"/>
    </x:row>
    <x:row r="28" ht="36" customHeight="1">
      <x:c r="A28" s="2" t="str">
        <x:v>84861000201</x:v>
      </x:c>
      <x:c r="B28" s="11" t="str">
        <x:v>2023/2024 (10)</x:v>
      </x:c>
      <x:c r="C28" s="11" t="str">
        <x:v>19,448,572</x:v>
      </x:c>
      <x:c r="D28" s="11" t="str">
        <x:v>25,536,228</x:v>
      </x:c>
      <x:c r="E28" s="11"/>
      <x:c r="F28" s="11"/>
    </x:row>
    <x:row r="29" ht="36" customHeight="1">
      <x:c r="A29" s="2" t="str">
        <x:v>84861000201</x:v>
      </x:c>
      <x:c r="B29" s="11" t="str">
        <x:v>2023/2024 (11)</x:v>
      </x:c>
      <x:c r="C29" s="11" t="str">
        <x:v>18,924,712</x:v>
      </x:c>
      <x:c r="D29" s="11" t="str">
        <x:v>32,748,896</x:v>
      </x:c>
      <x:c r="E29" s="11"/>
      <x:c r="F29" s="11"/>
    </x:row>
    <x:row r="30" ht="36" customHeight="1">
      <x:c r="A30" s="2" t="str">
        <x:v>84861000201</x:v>
      </x:c>
      <x:c r="B30" s="11" t="str">
        <x:v>2023/2024 (12)</x:v>
      </x:c>
      <x:c r="C30" s="11" t="str">
        <x:v>24,970,685</x:v>
      </x:c>
      <x:c r="D30" s="11" t="str">
        <x:v>42,504,342</x:v>
      </x:c>
      <x:c r="E30" s="11"/>
      <x:c r="F30" s="11"/>
    </x:row>
    <x:row r="31" ht="36" customHeight="1">
      <x:c r="A31" s="2" t="str">
        <x:v>84861000201</x:v>
      </x:c>
      <x:c r="B31" s="11" t="str">
        <x:v>2024/2025(01-12)</x:v>
      </x:c>
      <x:c r="C31" s="11" t="str">
        <x:v>294,812,269</x:v>
      </x:c>
      <x:c r="D31" s="11" t="str">
        <x:v>679,447,586</x:v>
      </x:c>
      <x:c r="E31" s="11"/>
      <x:c r="F31" s="11"/>
    </x:row>
    <x:row r="32" ht="36" customHeight="1">
      <x:c r="A32" s="2" t="str">
        <x:v>84861000201</x:v>
      </x:c>
      <x:c r="B32" s="11" t="str">
        <x:v>2024/2025 (01)</x:v>
      </x:c>
      <x:c r="C32" s="11" t="str">
        <x:v>20,952,861</x:v>
      </x:c>
      <x:c r="D32" s="11" t="str">
        <x:v>27,950,441</x:v>
      </x:c>
      <x:c r="E32" s="11"/>
      <x:c r="F32" s="11"/>
    </x:row>
    <x:row r="33" ht="36" customHeight="1">
      <x:c r="A33" s="2" t="str">
        <x:v>84861000201</x:v>
      </x:c>
      <x:c r="B33" s="11" t="str">
        <x:v>2024/2025 (02)</x:v>
      </x:c>
      <x:c r="C33" s="11" t="str">
        <x:v>15,956,774</x:v>
      </x:c>
      <x:c r="D33" s="11" t="str">
        <x:v>41,377,266</x:v>
      </x:c>
      <x:c r="E33" s="11"/>
      <x:c r="F33" s="11"/>
    </x:row>
    <x:row r="34" ht="36" customHeight="1">
      <x:c r="A34" s="2" t="str">
        <x:v>84861000201</x:v>
      </x:c>
      <x:c r="B34" s="11" t="str">
        <x:v>2024/2025 (03)</x:v>
      </x:c>
      <x:c r="C34" s="11" t="str">
        <x:v>12,217,010</x:v>
      </x:c>
      <x:c r="D34" s="11" t="str">
        <x:v>53,227,057</x:v>
      </x:c>
      <x:c r="E34" s="11"/>
      <x:c r="F34" s="11"/>
    </x:row>
    <x:row r="35" ht="36" customHeight="1">
      <x:c r="A35" s="2" t="str">
        <x:v>84861000201</x:v>
      </x:c>
      <x:c r="B35" s="11" t="str">
        <x:v>2024/2025 (04)</x:v>
      </x:c>
      <x:c r="C35" s="11" t="str">
        <x:v>18,651,745</x:v>
      </x:c>
      <x:c r="D35" s="11" t="str">
        <x:v>87,920,825</x:v>
      </x:c>
      <x:c r="E35" s="11"/>
      <x:c r="F35" s="11"/>
    </x:row>
    <x:row r="36" ht="36" customHeight="1">
      <x:c r="A36" s="2" t="str">
        <x:v>84861000201</x:v>
      </x:c>
      <x:c r="B36" s="11" t="str">
        <x:v>2024/2025 (05)</x:v>
      </x:c>
      <x:c r="C36" s="11" t="str">
        <x:v>16,105,677</x:v>
      </x:c>
      <x:c r="D36" s="11" t="str">
        <x:v>71,288,756</x:v>
      </x:c>
      <x:c r="E36" s="11"/>
      <x:c r="F36" s="11"/>
    </x:row>
    <x:row r="37" ht="36" customHeight="1">
      <x:c r="A37" s="2" t="str">
        <x:v>84861000201</x:v>
      </x:c>
      <x:c r="B37" s="11" t="str">
        <x:v>2024/2025 (06)</x:v>
      </x:c>
      <x:c r="C37" s="11" t="str">
        <x:v>27,196,939</x:v>
      </x:c>
      <x:c r="D37" s="11" t="str">
        <x:v>40,681,848</x:v>
      </x:c>
      <x:c r="E37" s="11"/>
      <x:c r="F37" s="11"/>
    </x:row>
    <x:row r="38" ht="36" customHeight="1">
      <x:c r="A38" s="2" t="str">
        <x:v>84861000201</x:v>
      </x:c>
      <x:c r="B38" s="11" t="str">
        <x:v>2024/2025 (07)</x:v>
      </x:c>
      <x:c r="C38" s="11" t="str">
        <x:v>20,619,906</x:v>
      </x:c>
      <x:c r="D38" s="11" t="str">
        <x:v>57,715,004</x:v>
      </x:c>
      <x:c r="E38" s="11"/>
      <x:c r="F38" s="11"/>
    </x:row>
    <x:row r="39" ht="36" customHeight="1">
      <x:c r="A39" s="2" t="str">
        <x:v>84861000201</x:v>
      </x:c>
      <x:c r="B39" s="11" t="str">
        <x:v>2024/2025 (08)</x:v>
      </x:c>
      <x:c r="C39" s="11" t="str">
        <x:v>37,486,776</x:v>
      </x:c>
      <x:c r="D39" s="11" t="str">
        <x:v>44,669,176</x:v>
      </x:c>
      <x:c r="E39" s="11"/>
      <x:c r="F39" s="11"/>
    </x:row>
    <x:row r="40" ht="36" customHeight="1">
      <x:c r="A40" s="2" t="str">
        <x:v>84861000201</x:v>
      </x:c>
      <x:c r="B40" s="11" t="str">
        <x:v>2024/2025 (09)</x:v>
      </x:c>
      <x:c r="C40" s="11" t="str">
        <x:v>24,835,115</x:v>
      </x:c>
      <x:c r="D40" s="11" t="str">
        <x:v>61,385,069</x:v>
      </x:c>
      <x:c r="E40" s="11"/>
      <x:c r="F40" s="11"/>
    </x:row>
    <x:row r="41" ht="36" customHeight="1">
      <x:c r="A41" s="2" t="str">
        <x:v>84861000201</x:v>
      </x:c>
      <x:c r="B41" s="11" t="str">
        <x:v>2024/2025 (10)</x:v>
      </x:c>
      <x:c r="C41" s="11" t="str">
        <x:v>25,536,228</x:v>
      </x:c>
      <x:c r="D41" s="11" t="str">
        <x:v>50,537,313</x:v>
      </x:c>
      <x:c r="E41" s="11"/>
      <x:c r="F41" s="11"/>
    </x:row>
    <x:row r="42" ht="36" customHeight="1">
      <x:c r="A42" s="2" t="str">
        <x:v>84861000201</x:v>
      </x:c>
      <x:c r="B42" s="11" t="str">
        <x:v>2024/2025 (11)</x:v>
      </x:c>
      <x:c r="C42" s="11" t="str">
        <x:v>32,748,896</x:v>
      </x:c>
      <x:c r="D42" s="11" t="str">
        <x:v>52,710,336</x:v>
      </x:c>
      <x:c r="E42" s="11"/>
      <x:c r="F42" s="11"/>
    </x:row>
    <x:row r="43" ht="36" customHeight="1">
      <x:c r="A43" s="2" t="str">
        <x:v>84861000201</x:v>
      </x:c>
      <x:c r="B43" s="11" t="str">
        <x:v>2024/2025 (12)</x:v>
      </x:c>
      <x:c r="C43" s="11" t="str">
        <x:v>42,504,342</x:v>
      </x:c>
      <x:c r="D43" s="11" t="str">
        <x:v>89,984,495</x:v>
      </x:c>
      <x:c r="E43" s="11"/>
      <x:c r="F43" s="11"/>
    </x:row>
    <x:row r="44" ht="36" customHeight="1">
      <x:c r="A44" s="2" t="str">
        <x:v>84861000201</x:v>
      </x:c>
      <x:c r="B44" s="11" t="str">
        <x:v>2025/2026(01-08)</x:v>
      </x:c>
      <x:c r="C44" s="11" t="str">
        <x:v>424,830,373</x:v>
      </x:c>
      <x:c r="D44" s="11" t="str">
        <x:v>583,681,798</x:v>
      </x:c>
      <x:c r="E44" s="11"/>
      <x:c r="F44" s="11"/>
    </x:row>
    <x:row r="45" ht="36" customHeight="1">
      <x:c r="A45" s="2" t="str">
        <x:v>84861000201</x:v>
      </x:c>
      <x:c r="B45" s="11" t="str">
        <x:v>2025/2026 (01)</x:v>
      </x:c>
      <x:c r="C45" s="11" t="str">
        <x:v>27,950,441</x:v>
      </x:c>
      <x:c r="D45" s="11" t="str">
        <x:v>41,290,581</x:v>
      </x:c>
      <x:c r="E45" s="11"/>
      <x:c r="F45" s="11"/>
    </x:row>
    <x:row r="46" ht="36" customHeight="1">
      <x:c r="A46" s="2" t="str">
        <x:v>84861000201</x:v>
      </x:c>
      <x:c r="B46" s="11" t="str">
        <x:v>2025/2026 (02)</x:v>
      </x:c>
      <x:c r="C46" s="11" t="str">
        <x:v>41,377,266</x:v>
      </x:c>
      <x:c r="D46" s="11" t="str">
        <x:v>37,951,031</x:v>
      </x:c>
      <x:c r="E46" s="11"/>
      <x:c r="F46" s="11"/>
    </x:row>
    <x:row r="47" ht="36" customHeight="1">
      <x:c r="A47" s="2" t="str">
        <x:v>84861000201</x:v>
      </x:c>
      <x:c r="B47" s="11" t="str">
        <x:v>2025/2026 (03)</x:v>
      </x:c>
      <x:c r="C47" s="11" t="str">
        <x:v>53,227,057</x:v>
      </x:c>
      <x:c r="D47" s="11" t="str">
        <x:v>80,862,515</x:v>
      </x:c>
      <x:c r="E47" s="11"/>
      <x:c r="F47" s="11"/>
    </x:row>
    <x:row r="48" ht="36" customHeight="1">
      <x:c r="A48" s="2" t="str">
        <x:v>84861000201</x:v>
      </x:c>
      <x:c r="B48" s="11" t="str">
        <x:v>2025/2026 (04)</x:v>
      </x:c>
      <x:c r="C48" s="11" t="str">
        <x:v>87,920,825</x:v>
      </x:c>
      <x:c r="D48" s="11" t="str">
        <x:v>108,876,138</x:v>
      </x:c>
      <x:c r="E48" s="11"/>
      <x:c r="F48" s="11"/>
    </x:row>
    <x:row r="49" ht="36" customHeight="1">
      <x:c r="A49" s="2" t="str">
        <x:v>84861000201</x:v>
      </x:c>
      <x:c r="B49" s="11" t="str">
        <x:v>2025/2026 (05)</x:v>
      </x:c>
      <x:c r="C49" s="11" t="str">
        <x:v>71,288,756</x:v>
      </x:c>
      <x:c r="D49" s="11" t="str">
        <x:v>63,200,568</x:v>
      </x:c>
      <x:c r="E49" s="11"/>
      <x:c r="F49" s="11"/>
    </x:row>
    <x:row r="50" ht="36" customHeight="1">
      <x:c r="A50" s="2" t="str">
        <x:v>84861000201</x:v>
      </x:c>
      <x:c r="B50" s="11" t="str">
        <x:v>2025/2026 (06)</x:v>
      </x:c>
      <x:c r="C50" s="11" t="str">
        <x:v>40,681,848</x:v>
      </x:c>
      <x:c r="D50" s="11" t="str">
        <x:v>110,168,159</x:v>
      </x:c>
      <x:c r="E50" s="11"/>
      <x:c r="F50" s="11"/>
    </x:row>
    <x:row r="51" ht="36" customHeight="1">
      <x:c r="A51" s="2" t="str">
        <x:v>84861000201</x:v>
      </x:c>
      <x:c r="B51" s="11" t="str">
        <x:v>2025/2026 (07)</x:v>
      </x:c>
      <x:c r="C51" s="11" t="str">
        <x:v>57,715,004</x:v>
      </x:c>
      <x:c r="D51" s="11" t="str">
        <x:v>67,009,567</x:v>
      </x:c>
      <x:c r="E51" s="11"/>
      <x:c r="F51" s="11"/>
    </x:row>
    <x:row r="52" ht="36" customHeight="1">
      <x:c r="A52" s="2" t="str">
        <x:v>84861000201</x:v>
      </x:c>
      <x:c r="B52" s="11" t="str">
        <x:v>2025/2026 (08)</x:v>
      </x:c>
      <x:c r="C52" s="11" t="str">
        <x:v>44,669,176</x:v>
      </x:c>
      <x:c r="D52" s="11" t="str">
        <x:v>74,323,239</x:v>
      </x:c>
      <x:c r="E52" s="11"/>
      <x:c r="F52" s="11"/>
    </x:row>
    <x:row r="53" ht="36" customHeight="1">
      <x:c r="A53" s="2" t="str">
        <x:v>84862000209</x:v>
      </x:c>
      <x:c r="B53" s="11" t="str">
        <x:v>Time Period : 2023/01 - 2026/08</x:v>
      </x:c>
      <x:c r="C53" s="11"/>
      <x:c r="D53" s="11"/>
      <x:c r="E53" s="11"/>
      <x:c r="F53" s="11"/>
    </x:row>
    <x:row r="54" ht="36" customHeight="1">
      <x:c r="A54" s="2" t="str">
        <x:v>84862000209</x:v>
      </x:c>
      <x:c r="B54" s="11" t="str">
        <x:v>MONTH</x:v>
      </x:c>
      <x:c r="C54" s="11" t="str">
        <x:v>2022/01 - 2025/08</x:v>
      </x:c>
      <x:c r="D54" s="11" t="str">
        <x:v>2023/01 - 2026/08</x:v>
      </x:c>
      <x:c r="E54" s="11"/>
      <x:c r="F54" s="11"/>
    </x:row>
    <x:row r="55" ht="36" customHeight="1">
      <x:c r="A55" s="2" t="str">
        <x:v>84862000209</x:v>
      </x:c>
      <x:c r="B55" s="11" t="str">
        <x:v>TOTAL</x:v>
      </x:c>
      <x:c r="C55" s="11" t="str">
        <x:v>276,530,450</x:v>
      </x:c>
      <x:c r="D55" s="11" t="str">
        <x:v>352,723,683</x:v>
      </x:c>
      <x:c r="E55" s="11"/>
      <x:c r="F55" s="11"/>
    </x:row>
    <x:row r="56" ht="36" customHeight="1">
      <x:c r="A56" s="2" t="str">
        <x:v>84862000209</x:v>
      </x:c>
      <x:c r="B56" s="11" t="str">
        <x:v>2022/2023(01-12)</x:v>
      </x:c>
      <x:c r="C56" s="11" t="str">
        <x:v>54,337,551</x:v>
      </x:c>
      <x:c r="D56" s="11" t="str">
        <x:v>32,572,587</x:v>
      </x:c>
      <x:c r="E56" s="11"/>
      <x:c r="F56" s="11"/>
    </x:row>
    <x:row r="57" ht="36" customHeight="1">
      <x:c r="A57" s="2" t="str">
        <x:v>84862000209</x:v>
      </x:c>
      <x:c r="B57" s="11" t="str">
        <x:v>2022/2023 (01)</x:v>
      </x:c>
      <x:c r="C57" s="11" t="str">
        <x:v>9,132,477</x:v>
      </x:c>
      <x:c r="D57" s="11" t="str">
        <x:v>2,483,987</x:v>
      </x:c>
      <x:c r="E57" s="11"/>
      <x:c r="F57" s="11"/>
    </x:row>
    <x:row r="58" ht="36" customHeight="1">
      <x:c r="A58" s="2" t="str">
        <x:v>84862000209</x:v>
      </x:c>
      <x:c r="B58" s="11" t="str">
        <x:v>2022/2023 (02)</x:v>
      </x:c>
      <x:c r="C58" s="11" t="str">
        <x:v>3,368,213</x:v>
      </x:c>
      <x:c r="D58" s="11" t="str">
        <x:v>19,874</x:v>
      </x:c>
      <x:c r="E58" s="11"/>
      <x:c r="F58" s="11"/>
    </x:row>
    <x:row r="59" ht="36" customHeight="1">
      <x:c r="A59" s="2" t="str">
        <x:v>84862000209</x:v>
      </x:c>
      <x:c r="B59" s="11" t="str">
        <x:v>2022/2023 (03)</x:v>
      </x:c>
      <x:c r="C59" s="11" t="str">
        <x:v>6,235,894</x:v>
      </x:c>
      <x:c r="D59" s="11" t="str">
        <x:v>7,469,775</x:v>
      </x:c>
      <x:c r="E59" s="11"/>
      <x:c r="F59" s="11"/>
    </x:row>
    <x:row r="60" ht="36" customHeight="1">
      <x:c r="A60" s="2" t="str">
        <x:v>84862000209</x:v>
      </x:c>
      <x:c r="B60" s="11" t="str">
        <x:v>2022/2023 (04)</x:v>
      </x:c>
      <x:c r="C60" s="11" t="str">
        <x:v>7,572,126</x:v>
      </x:c>
      <x:c r="D60" s="11" t="str">
        <x:v>3,144,909</x:v>
      </x:c>
      <x:c r="E60" s="11"/>
      <x:c r="F60" s="11"/>
    </x:row>
    <x:row r="61" ht="36" customHeight="1">
      <x:c r="A61" s="2" t="str">
        <x:v>84862000209</x:v>
      </x:c>
      <x:c r="B61" s="11" t="str">
        <x:v>2022/2023 (05)</x:v>
      </x:c>
      <x:c r="C61" s="11" t="str">
        <x:v>2,783,289</x:v>
      </x:c>
      <x:c r="D61" s="11" t="str">
        <x:v>356,920</x:v>
      </x:c>
      <x:c r="E61" s="11"/>
      <x:c r="F61" s="11"/>
    </x:row>
    <x:row r="62" ht="36" customHeight="1">
      <x:c r="A62" s="2" t="str">
        <x:v>84862000209</x:v>
      </x:c>
      <x:c r="B62" s="11" t="str">
        <x:v>2022/2023 (06)</x:v>
      </x:c>
      <x:c r="C62" s="11" t="str">
        <x:v>4,779,729</x:v>
      </x:c>
      <x:c r="D62" s="11" t="str">
        <x:v>4,763,651</x:v>
      </x:c>
      <x:c r="E62" s="11"/>
      <x:c r="F62" s="11"/>
    </x:row>
    <x:row r="63" ht="36" customHeight="1">
      <x:c r="A63" s="2" t="str">
        <x:v>84862000209</x:v>
      </x:c>
      <x:c r="B63" s="11" t="str">
        <x:v>2022/2023 (07)</x:v>
      </x:c>
      <x:c r="C63" s="11" t="str">
        <x:v>4,643,863</x:v>
      </x:c>
      <x:c r="D63" s="11" t="str">
        <x:v>3,357,295</x:v>
      </x:c>
      <x:c r="E63" s="11"/>
      <x:c r="F63" s="11"/>
    </x:row>
    <x:row r="64" ht="36" customHeight="1">
      <x:c r="A64" s="2" t="str">
        <x:v>84862000209</x:v>
      </x:c>
      <x:c r="B64" s="11" t="str">
        <x:v>2022/2023 (08)</x:v>
      </x:c>
      <x:c r="C64" s="11" t="str">
        <x:v>1,926,077</x:v>
      </x:c>
      <x:c r="D64" s="11" t="str">
        <x:v>---</x:v>
      </x:c>
      <x:c r="E64" s="11"/>
      <x:c r="F64" s="11"/>
    </x:row>
    <x:row r="65" ht="36" customHeight="1">
      <x:c r="A65" s="2" t="str">
        <x:v>84862000209</x:v>
      </x:c>
      <x:c r="B65" s="11" t="str">
        <x:v>2022/2023 (09)</x:v>
      </x:c>
      <x:c r="C65" s="11" t="str">
        <x:v>2,680,541</x:v>
      </x:c>
      <x:c r="D65" s="11" t="str">
        <x:v>2,303,543</x:v>
      </x:c>
      <x:c r="E65" s="11"/>
      <x:c r="F65" s="11"/>
    </x:row>
    <x:row r="66" ht="36" customHeight="1">
      <x:c r="A66" s="2" t="str">
        <x:v>84862000209</x:v>
      </x:c>
      <x:c r="B66" s="11" t="str">
        <x:v>2022/2023 (10)</x:v>
      </x:c>
      <x:c r="C66" s="11" t="str">
        <x:v>667,770</x:v>
      </x:c>
      <x:c r="D66" s="11" t="str">
        <x:v>1,961,174</x:v>
      </x:c>
      <x:c r="E66" s="11"/>
      <x:c r="F66" s="11"/>
    </x:row>
    <x:row r="67" ht="36" customHeight="1">
      <x:c r="A67" s="2" t="str">
        <x:v>84862000209</x:v>
      </x:c>
      <x:c r="B67" s="11" t="str">
        <x:v>2022/2023 (11)</x:v>
      </x:c>
      <x:c r="C67" s="11" t="str">
        <x:v>3,120,590</x:v>
      </x:c>
      <x:c r="D67" s="11" t="str">
        <x:v>5,176,992</x:v>
      </x:c>
      <x:c r="E67" s="11"/>
      <x:c r="F67" s="11"/>
    </x:row>
    <x:row r="68" ht="36" customHeight="1">
      <x:c r="A68" s="2" t="str">
        <x:v>84862000209</x:v>
      </x:c>
      <x:c r="B68" s="11" t="str">
        <x:v>2022/2023 (12)</x:v>
      </x:c>
      <x:c r="C68" s="11" t="str">
        <x:v>7,426,982</x:v>
      </x:c>
      <x:c r="D68" s="11" t="str">
        <x:v>1,534,467</x:v>
      </x:c>
      <x:c r="E68" s="11"/>
      <x:c r="F68" s="11"/>
    </x:row>
    <x:row r="69" ht="36" customHeight="1">
      <x:c r="A69" s="2" t="str">
        <x:v>84862000209</x:v>
      </x:c>
      <x:c r="B69" s="11" t="str">
        <x:v>2023/2024(01-12)</x:v>
      </x:c>
      <x:c r="C69" s="11" t="str">
        <x:v>32,572,587</x:v>
      </x:c>
      <x:c r="D69" s="11" t="str">
        <x:v>90,669,618</x:v>
      </x:c>
      <x:c r="E69" s="11"/>
      <x:c r="F69" s="11"/>
    </x:row>
    <x:row r="70" ht="36" customHeight="1">
      <x:c r="A70" s="2" t="str">
        <x:v>84862000209</x:v>
      </x:c>
      <x:c r="B70" s="11" t="str">
        <x:v>2023/2024 (01)</x:v>
      </x:c>
      <x:c r="C70" s="11" t="str">
        <x:v>2,483,987</x:v>
      </x:c>
      <x:c r="D70" s="11" t="str">
        <x:v>1,729,081</x:v>
      </x:c>
      <x:c r="E70" s="11"/>
      <x:c r="F70" s="11"/>
    </x:row>
    <x:row r="71" ht="36" customHeight="1">
      <x:c r="A71" s="2" t="str">
        <x:v>84862000209</x:v>
      </x:c>
      <x:c r="B71" s="11" t="str">
        <x:v>2023/2024 (02)</x:v>
      </x:c>
      <x:c r="C71" s="11" t="str">
        <x:v>19,874</x:v>
      </x:c>
      <x:c r="D71" s="11" t="str">
        <x:v>1,711,763</x:v>
      </x:c>
      <x:c r="E71" s="11"/>
      <x:c r="F71" s="11"/>
    </x:row>
    <x:row r="72" ht="36" customHeight="1">
      <x:c r="A72" s="2" t="str">
        <x:v>84862000209</x:v>
      </x:c>
      <x:c r="B72" s="11" t="str">
        <x:v>2023/2024 (03)</x:v>
      </x:c>
      <x:c r="C72" s="11" t="str">
        <x:v>7,469,775</x:v>
      </x:c>
      <x:c r="D72" s="11" t="str">
        <x:v>9,858,949</x:v>
      </x:c>
      <x:c r="E72" s="11"/>
      <x:c r="F72" s="11"/>
    </x:row>
    <x:row r="73" ht="36" customHeight="1">
      <x:c r="A73" s="2" t="str">
        <x:v>84862000209</x:v>
      </x:c>
      <x:c r="B73" s="11" t="str">
        <x:v>2023/2024 (04)</x:v>
      </x:c>
      <x:c r="C73" s="11" t="str">
        <x:v>3,144,909</x:v>
      </x:c>
      <x:c r="D73" s="11" t="str">
        <x:v>6,882,243</x:v>
      </x:c>
      <x:c r="E73" s="11"/>
      <x:c r="F73" s="11"/>
    </x:row>
    <x:row r="74" ht="36" customHeight="1">
      <x:c r="A74" s="2" t="str">
        <x:v>84862000209</x:v>
      </x:c>
      <x:c r="B74" s="11" t="str">
        <x:v>2023/2024 (05)</x:v>
      </x:c>
      <x:c r="C74" s="11" t="str">
        <x:v>356,920</x:v>
      </x:c>
      <x:c r="D74" s="11" t="str">
        <x:v>4,930,290</x:v>
      </x:c>
      <x:c r="E74" s="11"/>
      <x:c r="F74" s="11"/>
    </x:row>
    <x:row r="75" ht="36" customHeight="1">
      <x:c r="A75" s="2" t="str">
        <x:v>84862000209</x:v>
      </x:c>
      <x:c r="B75" s="11" t="str">
        <x:v>2023/2024 (06)</x:v>
      </x:c>
      <x:c r="C75" s="11" t="str">
        <x:v>4,763,651</x:v>
      </x:c>
      <x:c r="D75" s="11" t="str">
        <x:v>6,016,677</x:v>
      </x:c>
      <x:c r="E75" s="11"/>
      <x:c r="F75" s="11"/>
    </x:row>
    <x:row r="76" ht="36" customHeight="1">
      <x:c r="A76" s="2" t="str">
        <x:v>84862000209</x:v>
      </x:c>
      <x:c r="B76" s="11" t="str">
        <x:v>2023/2024 (07)</x:v>
      </x:c>
      <x:c r="C76" s="11" t="str">
        <x:v>3,357,295</x:v>
      </x:c>
      <x:c r="D76" s="11" t="str">
        <x:v>5,633,969</x:v>
      </x:c>
      <x:c r="E76" s="11"/>
      <x:c r="F76" s="11"/>
    </x:row>
    <x:row r="77" ht="36" customHeight="1">
      <x:c r="A77" s="2" t="str">
        <x:v>84862000209</x:v>
      </x:c>
      <x:c r="B77" s="11" t="str">
        <x:v>2023/2024 (08)</x:v>
      </x:c>
      <x:c r="C77" s="11" t="str">
        <x:v>---</x:v>
      </x:c>
      <x:c r="D77" s="11" t="str">
        <x:v>8,692,052</x:v>
      </x:c>
      <x:c r="E77" s="11"/>
      <x:c r="F77" s="11"/>
    </x:row>
    <x:row r="78" ht="36" customHeight="1">
      <x:c r="A78" s="2" t="str">
        <x:v>84862000209</x:v>
      </x:c>
      <x:c r="B78" s="11" t="str">
        <x:v>2023/2024 (09)</x:v>
      </x:c>
      <x:c r="C78" s="11" t="str">
        <x:v>2,303,543</x:v>
      </x:c>
      <x:c r="D78" s="11" t="str">
        <x:v>10,171,135</x:v>
      </x:c>
      <x:c r="E78" s="11"/>
      <x:c r="F78" s="11"/>
    </x:row>
    <x:row r="79" ht="36" customHeight="1">
      <x:c r="A79" s="2" t="str">
        <x:v>84862000209</x:v>
      </x:c>
      <x:c r="B79" s="11" t="str">
        <x:v>2023/2024 (10)</x:v>
      </x:c>
      <x:c r="C79" s="11" t="str">
        <x:v>1,961,174</x:v>
      </x:c>
      <x:c r="D79" s="11" t="str">
        <x:v>10,026,884</x:v>
      </x:c>
      <x:c r="E79" s="11"/>
      <x:c r="F79" s="11"/>
    </x:row>
    <x:row r="80" ht="36" customHeight="1">
      <x:c r="A80" s="2" t="str">
        <x:v>84862000209</x:v>
      </x:c>
      <x:c r="B80" s="11" t="str">
        <x:v>2023/2024 (11)</x:v>
      </x:c>
      <x:c r="C80" s="11" t="str">
        <x:v>5,176,992</x:v>
      </x:c>
      <x:c r="D80" s="11" t="str">
        <x:v>13,859,186</x:v>
      </x:c>
      <x:c r="E80" s="11"/>
      <x:c r="F80" s="11"/>
    </x:row>
    <x:row r="81" ht="36" customHeight="1">
      <x:c r="A81" s="2" t="str">
        <x:v>84862000209</x:v>
      </x:c>
      <x:c r="B81" s="11" t="str">
        <x:v>2023/2024 (12)</x:v>
      </x:c>
      <x:c r="C81" s="11" t="str">
        <x:v>1,534,467</x:v>
      </x:c>
      <x:c r="D81" s="11" t="str">
        <x:v>11,157,389</x:v>
      </x:c>
      <x:c r="E81" s="11"/>
      <x:c r="F81" s="11"/>
    </x:row>
    <x:row r="82" ht="36" customHeight="1">
      <x:c r="A82" s="2" t="str">
        <x:v>84862000209</x:v>
      </x:c>
      <x:c r="B82" s="11" t="str">
        <x:v>2024/2025(01-12)</x:v>
      </x:c>
      <x:c r="C82" s="11" t="str">
        <x:v>90,669,618</x:v>
      </x:c>
      <x:c r="D82" s="11" t="str">
        <x:v>133,557,382</x:v>
      </x:c>
      <x:c r="E82" s="11"/>
      <x:c r="F82" s="11"/>
    </x:row>
    <x:row r="83" ht="36" customHeight="1">
      <x:c r="A83" s="2" t="str">
        <x:v>84862000209</x:v>
      </x:c>
      <x:c r="B83" s="11" t="str">
        <x:v>2024/2025 (01)</x:v>
      </x:c>
      <x:c r="C83" s="11" t="str">
        <x:v>1,729,081</x:v>
      </x:c>
      <x:c r="D83" s="11" t="str">
        <x:v>1,875,829</x:v>
      </x:c>
      <x:c r="E83" s="11"/>
      <x:c r="F83" s="11"/>
    </x:row>
    <x:row r="84" ht="36" customHeight="1">
      <x:c r="A84" s="2" t="str">
        <x:v>84862000209</x:v>
      </x:c>
      <x:c r="B84" s="11" t="str">
        <x:v>2024/2025 (02)</x:v>
      </x:c>
      <x:c r="C84" s="11" t="str">
        <x:v>1,711,763</x:v>
      </x:c>
      <x:c r="D84" s="11" t="str">
        <x:v>13,469,850</x:v>
      </x:c>
      <x:c r="E84" s="11"/>
      <x:c r="F84" s="11"/>
    </x:row>
    <x:row r="85" ht="36" customHeight="1">
      <x:c r="A85" s="2" t="str">
        <x:v>84862000209</x:v>
      </x:c>
      <x:c r="B85" s="11" t="str">
        <x:v>2024/2025 (03)</x:v>
      </x:c>
      <x:c r="C85" s="11" t="str">
        <x:v>9,858,949</x:v>
      </x:c>
      <x:c r="D85" s="11" t="str">
        <x:v>23,246,529</x:v>
      </x:c>
      <x:c r="E85" s="11"/>
      <x:c r="F85" s="11"/>
    </x:row>
    <x:row r="86" ht="36" customHeight="1">
      <x:c r="A86" s="2" t="str">
        <x:v>84862000209</x:v>
      </x:c>
      <x:c r="B86" s="11" t="str">
        <x:v>2024/2025 (04)</x:v>
      </x:c>
      <x:c r="C86" s="11" t="str">
        <x:v>6,882,243</x:v>
      </x:c>
      <x:c r="D86" s="11" t="str">
        <x:v>9,967,588</x:v>
      </x:c>
      <x:c r="E86" s="11"/>
      <x:c r="F86" s="11"/>
    </x:row>
    <x:row r="87" ht="36" customHeight="1">
      <x:c r="A87" s="2" t="str">
        <x:v>84862000209</x:v>
      </x:c>
      <x:c r="B87" s="11" t="str">
        <x:v>2024/2025 (05)</x:v>
      </x:c>
      <x:c r="C87" s="11" t="str">
        <x:v>4,930,290</x:v>
      </x:c>
      <x:c r="D87" s="11" t="str">
        <x:v>9,239,515</x:v>
      </x:c>
      <x:c r="E87" s="11"/>
      <x:c r="F87" s="11"/>
    </x:row>
    <x:row r="88" ht="36" customHeight="1">
      <x:c r="A88" s="2" t="str">
        <x:v>84862000209</x:v>
      </x:c>
      <x:c r="B88" s="11" t="str">
        <x:v>2024/2025 (06)</x:v>
      </x:c>
      <x:c r="C88" s="11" t="str">
        <x:v>6,016,677</x:v>
      </x:c>
      <x:c r="D88" s="11" t="str">
        <x:v>15,779,536</x:v>
      </x:c>
      <x:c r="E88" s="11"/>
      <x:c r="F88" s="11"/>
    </x:row>
    <x:row r="89" ht="36" customHeight="1">
      <x:c r="A89" s="2" t="str">
        <x:v>84862000209</x:v>
      </x:c>
      <x:c r="B89" s="11" t="str">
        <x:v>2024/2025 (07)</x:v>
      </x:c>
      <x:c r="C89" s="11" t="str">
        <x:v>5,633,969</x:v>
      </x:c>
      <x:c r="D89" s="11" t="str">
        <x:v>14,779,033</x:v>
      </x:c>
      <x:c r="E89" s="11"/>
      <x:c r="F89" s="11"/>
    </x:row>
    <x:row r="90" ht="36" customHeight="1">
      <x:c r="A90" s="2" t="str">
        <x:v>84862000209</x:v>
      </x:c>
      <x:c r="B90" s="11" t="str">
        <x:v>2024/2025 (08)</x:v>
      </x:c>
      <x:c r="C90" s="11" t="str">
        <x:v>8,692,052</x:v>
      </x:c>
      <x:c r="D90" s="11" t="str">
        <x:v>10,592,814</x:v>
      </x:c>
      <x:c r="E90" s="11"/>
      <x:c r="F90" s="11"/>
    </x:row>
    <x:row r="91" ht="36" customHeight="1">
      <x:c r="A91" s="2" t="str">
        <x:v>84862000209</x:v>
      </x:c>
      <x:c r="B91" s="11" t="str">
        <x:v>2024/2025 (09)</x:v>
      </x:c>
      <x:c r="C91" s="11" t="str">
        <x:v>10,171,135</x:v>
      </x:c>
      <x:c r="D91" s="11" t="str">
        <x:v>7,301,021</x:v>
      </x:c>
      <x:c r="E91" s="11"/>
      <x:c r="F91" s="11"/>
    </x:row>
    <x:row r="92" ht="36" customHeight="1">
      <x:c r="A92" s="2" t="str">
        <x:v>84862000209</x:v>
      </x:c>
      <x:c r="B92" s="11" t="str">
        <x:v>2024/2025 (10)</x:v>
      </x:c>
      <x:c r="C92" s="11" t="str">
        <x:v>10,026,884</x:v>
      </x:c>
      <x:c r="D92" s="11" t="str">
        <x:v>3,543,256</x:v>
      </x:c>
      <x:c r="E92" s="11"/>
      <x:c r="F92" s="11"/>
    </x:row>
    <x:row r="93" ht="36" customHeight="1">
      <x:c r="A93" s="2" t="str">
        <x:v>84862000209</x:v>
      </x:c>
      <x:c r="B93" s="11" t="str">
        <x:v>2024/2025 (11)</x:v>
      </x:c>
      <x:c r="C93" s="11" t="str">
        <x:v>13,859,186</x:v>
      </x:c>
      <x:c r="D93" s="11" t="str">
        <x:v>9,150,128</x:v>
      </x:c>
      <x:c r="E93" s="11"/>
      <x:c r="F93" s="11"/>
    </x:row>
    <x:row r="94" ht="36" customHeight="1">
      <x:c r="A94" s="2" t="str">
        <x:v>84862000209</x:v>
      </x:c>
      <x:c r="B94" s="11" t="str">
        <x:v>2024/2025 (12)</x:v>
      </x:c>
      <x:c r="C94" s="11" t="str">
        <x:v>11,157,389</x:v>
      </x:c>
      <x:c r="D94" s="11" t="str">
        <x:v>14,612,283</x:v>
      </x:c>
      <x:c r="E94" s="11"/>
      <x:c r="F94" s="11"/>
    </x:row>
    <x:row r="95" ht="36" customHeight="1">
      <x:c r="A95" s="2" t="str">
        <x:v>84862000209</x:v>
      </x:c>
      <x:c r="B95" s="11" t="str">
        <x:v>2025/2026(01-08)</x:v>
      </x:c>
      <x:c r="C95" s="11" t="str">
        <x:v>98,950,694</x:v>
      </x:c>
      <x:c r="D95" s="11" t="str">
        <x:v>95,924,096</x:v>
      </x:c>
      <x:c r="E95" s="11"/>
      <x:c r="F95" s="11"/>
    </x:row>
    <x:row r="96" ht="36" customHeight="1">
      <x:c r="A96" s="2" t="str">
        <x:v>84862000209</x:v>
      </x:c>
      <x:c r="B96" s="11" t="str">
        <x:v>2025/2026 (01)</x:v>
      </x:c>
      <x:c r="C96" s="11" t="str">
        <x:v>1,875,829</x:v>
      </x:c>
      <x:c r="D96" s="11" t="str">
        <x:v>2,410,626</x:v>
      </x:c>
      <x:c r="E96" s="11"/>
      <x:c r="F96" s="11"/>
    </x:row>
    <x:row r="97" ht="36" customHeight="1">
      <x:c r="A97" s="2" t="str">
        <x:v>84862000209</x:v>
      </x:c>
      <x:c r="B97" s="11" t="str">
        <x:v>2025/2026 (02)</x:v>
      </x:c>
      <x:c r="C97" s="11" t="str">
        <x:v>13,469,850</x:v>
      </x:c>
      <x:c r="D97" s="11" t="str">
        <x:v>880,298</x:v>
      </x:c>
      <x:c r="E97" s="11"/>
      <x:c r="F97" s="11"/>
    </x:row>
    <x:row r="98" ht="36" customHeight="1">
      <x:c r="A98" s="2" t="str">
        <x:v>84862000209</x:v>
      </x:c>
      <x:c r="B98" s="11" t="str">
        <x:v>2025/2026 (03)</x:v>
      </x:c>
      <x:c r="C98" s="11" t="str">
        <x:v>23,246,529</x:v>
      </x:c>
      <x:c r="D98" s="11" t="str">
        <x:v>10,940,014</x:v>
      </x:c>
      <x:c r="E98" s="11"/>
      <x:c r="F98" s="11"/>
    </x:row>
    <x:row r="99" ht="36" customHeight="1">
      <x:c r="A99" s="2" t="str">
        <x:v>84862000209</x:v>
      </x:c>
      <x:c r="B99" s="11" t="str">
        <x:v>2025/2026 (04)</x:v>
      </x:c>
      <x:c r="C99" s="11" t="str">
        <x:v>9,967,588</x:v>
      </x:c>
      <x:c r="D99" s="11" t="str">
        <x:v>20,455,038</x:v>
      </x:c>
      <x:c r="E99" s="11"/>
      <x:c r="F99" s="11"/>
    </x:row>
    <x:row r="100" ht="36" customHeight="1">
      <x:c r="A100" s="2" t="str">
        <x:v>84862000209</x:v>
      </x:c>
      <x:c r="B100" s="11" t="str">
        <x:v>2025/2026 (05)</x:v>
      </x:c>
      <x:c r="C100" s="11" t="str">
        <x:v>9,239,515</x:v>
      </x:c>
      <x:c r="D100" s="11" t="str">
        <x:v>6,263,583</x:v>
      </x:c>
      <x:c r="E100" s="11"/>
      <x:c r="F100" s="11"/>
    </x:row>
    <x:row r="101" ht="36" customHeight="1">
      <x:c r="A101" s="2" t="str">
        <x:v>84862000209</x:v>
      </x:c>
      <x:c r="B101" s="11" t="str">
        <x:v>2025/2026 (06)</x:v>
      </x:c>
      <x:c r="C101" s="11" t="str">
        <x:v>15,779,536</x:v>
      </x:c>
      <x:c r="D101" s="11" t="str">
        <x:v>15,156,761</x:v>
      </x:c>
      <x:c r="E101" s="11"/>
      <x:c r="F101" s="11"/>
    </x:row>
    <x:row r="102" ht="36" customHeight="1">
      <x:c r="A102" s="2" t="str">
        <x:v>84862000209</x:v>
      </x:c>
      <x:c r="B102" s="11" t="str">
        <x:v>2025/2026 (07)</x:v>
      </x:c>
      <x:c r="C102" s="11" t="str">
        <x:v>14,779,033</x:v>
      </x:c>
      <x:c r="D102" s="11" t="str">
        <x:v>22,716,628</x:v>
      </x:c>
      <x:c r="E102" s="11"/>
      <x:c r="F102" s="11"/>
    </x:row>
    <x:row r="103" ht="36" customHeight="1">
      <x:c r="A103" s="2" t="str">
        <x:v>84862000209</x:v>
      </x:c>
      <x:c r="B103" s="11" t="str">
        <x:v>2025/2026 (08)</x:v>
      </x:c>
      <x:c r="C103" s="11" t="str">
        <x:v>10,592,814</x:v>
      </x:c>
      <x:c r="D103" s="11" t="str">
        <x:v>17,101,148</x:v>
      </x:c>
      <x:c r="E103" s="11"/>
      <x:c r="F103" s="11"/>
    </x:row>
    <x:row r="104" ht="36" customHeight="1">
      <x:c r="A104" s="2" t="str">
        <x:v>84862000325</x:v>
      </x:c>
      <x:c r="B104" s="11" t="str">
        <x:v>Time Period : 2023/01 - 2026/08</x:v>
      </x:c>
      <x:c r="C104" s="11"/>
      <x:c r="D104" s="11"/>
      <x:c r="E104" s="11"/>
      <x:c r="F104" s="11"/>
    </x:row>
    <x:row r="105" ht="36" customHeight="1">
      <x:c r="A105" s="2" t="str">
        <x:v>84862000325</x:v>
      </x:c>
      <x:c r="B105" s="11" t="str">
        <x:v>MONTH</x:v>
      </x:c>
      <x:c r="C105" s="11" t="str">
        <x:v>2022/01 - 2025/08</x:v>
      </x:c>
      <x:c r="D105" s="11" t="str">
        <x:v>2023/01 - 2026/08</x:v>
      </x:c>
      <x:c r="E105" s="11"/>
      <x:c r="F105" s="11"/>
    </x:row>
    <x:row r="106" ht="36" customHeight="1">
      <x:c r="A106" s="2" t="str">
        <x:v>84862000325</x:v>
      </x:c>
      <x:c r="B106" s="11" t="str">
        <x:v>TOTAL</x:v>
      </x:c>
      <x:c r="C106" s="11" t="str">
        <x:v>640,743,896</x:v>
      </x:c>
      <x:c r="D106" s="11" t="str">
        <x:v>675,770,927</x:v>
      </x:c>
      <x:c r="E106" s="11"/>
      <x:c r="F106" s="11"/>
    </x:row>
    <x:row r="107" ht="36" customHeight="1">
      <x:c r="A107" s="2" t="str">
        <x:v>84862000325</x:v>
      </x:c>
      <x:c r="B107" s="11" t="str">
        <x:v>2022/2023(01-12)</x:v>
      </x:c>
      <x:c r="C107" s="11" t="str">
        <x:v>161,932,659</x:v>
      </x:c>
      <x:c r="D107" s="11" t="str">
        <x:v>70,761,317</x:v>
      </x:c>
      <x:c r="E107" s="11"/>
      <x:c r="F107" s="11"/>
    </x:row>
    <x:row r="108" ht="36" customHeight="1">
      <x:c r="A108" s="2" t="str">
        <x:v>84862000325</x:v>
      </x:c>
      <x:c r="B108" s="11" t="str">
        <x:v>2022/2023 (01)</x:v>
      </x:c>
      <x:c r="C108" s="11" t="str">
        <x:v>10,383,436</x:v>
      </x:c>
      <x:c r="D108" s="11" t="str">
        <x:v>12,733,628</x:v>
      </x:c>
      <x:c r="E108" s="11"/>
      <x:c r="F108" s="11"/>
    </x:row>
    <x:row r="109" ht="36" customHeight="1">
      <x:c r="A109" s="2" t="str">
        <x:v>84862000325</x:v>
      </x:c>
      <x:c r="B109" s="11" t="str">
        <x:v>2022/2023 (02)</x:v>
      </x:c>
      <x:c r="C109" s="11" t="str">
        <x:v>15,510,608</x:v>
      </x:c>
      <x:c r="D109" s="11" t="str">
        <x:v>1,175,422</x:v>
      </x:c>
      <x:c r="E109" s="11"/>
      <x:c r="F109" s="11"/>
    </x:row>
    <x:row r="110" ht="36" customHeight="1">
      <x:c r="A110" s="2" t="str">
        <x:v>84862000325</x:v>
      </x:c>
      <x:c r="B110" s="11" t="str">
        <x:v>2022/2023 (03)</x:v>
      </x:c>
      <x:c r="C110" s="11" t="str">
        <x:v>12,365,239</x:v>
      </x:c>
      <x:c r="D110" s="11" t="str">
        <x:v>10,138,175</x:v>
      </x:c>
      <x:c r="E110" s="11"/>
      <x:c r="F110" s="11"/>
    </x:row>
    <x:row r="111" ht="36" customHeight="1">
      <x:c r="A111" s="2" t="str">
        <x:v>84862000325</x:v>
      </x:c>
      <x:c r="B111" s="11" t="str">
        <x:v>2022/2023 (04)</x:v>
      </x:c>
      <x:c r="C111" s="11" t="str">
        <x:v>18,697,605</x:v>
      </x:c>
      <x:c r="D111" s="11" t="str">
        <x:v>12,699,671</x:v>
      </x:c>
      <x:c r="E111" s="11"/>
      <x:c r="F111" s="11"/>
    </x:row>
    <x:row r="112" ht="36" customHeight="1">
      <x:c r="A112" s="2" t="str">
        <x:v>84862000325</x:v>
      </x:c>
      <x:c r="B112" s="11" t="str">
        <x:v>2022/2023 (05)</x:v>
      </x:c>
      <x:c r="C112" s="11" t="str">
        <x:v>7,761,874</x:v>
      </x:c>
      <x:c r="D112" s="11" t="str">
        <x:v>---</x:v>
      </x:c>
      <x:c r="E112" s="11"/>
      <x:c r="F112" s="11"/>
    </x:row>
    <x:row r="113" ht="36" customHeight="1">
      <x:c r="A113" s="2" t="str">
        <x:v>84862000325</x:v>
      </x:c>
      <x:c r="B113" s="11" t="str">
        <x:v>2022/2023 (06)</x:v>
      </x:c>
      <x:c r="C113" s="11" t="str">
        <x:v>14,755,973</x:v>
      </x:c>
      <x:c r="D113" s="11" t="str">
        <x:v>178,034</x:v>
      </x:c>
      <x:c r="E113" s="11"/>
      <x:c r="F113" s="11"/>
    </x:row>
    <x:row r="114" ht="36" customHeight="1">
      <x:c r="A114" s="2" t="str">
        <x:v>84862000325</x:v>
      </x:c>
      <x:c r="B114" s="11" t="str">
        <x:v>2022/2023 (07)</x:v>
      </x:c>
      <x:c r="C114" s="11" t="str">
        <x:v>4,183,501</x:v>
      </x:c>
      <x:c r="D114" s="11" t="str">
        <x:v>6,644,061</x:v>
      </x:c>
      <x:c r="E114" s="11"/>
      <x:c r="F114" s="11"/>
    </x:row>
    <x:row r="115" ht="36" customHeight="1">
      <x:c r="A115" s="2" t="str">
        <x:v>84862000325</x:v>
      </x:c>
      <x:c r="B115" s="11" t="str">
        <x:v>2022/2023 (08)</x:v>
      </x:c>
      <x:c r="C115" s="11" t="str">
        <x:v>22,913,056</x:v>
      </x:c>
      <x:c r="D115" s="11" t="str">
        <x:v>2,650,569</x:v>
      </x:c>
      <x:c r="E115" s="11"/>
      <x:c r="F115" s="11"/>
    </x:row>
    <x:row r="116" ht="36" customHeight="1">
      <x:c r="A116" s="2" t="str">
        <x:v>84862000325</x:v>
      </x:c>
      <x:c r="B116" s="11" t="str">
        <x:v>2022/2023 (09)</x:v>
      </x:c>
      <x:c r="C116" s="11" t="str">
        <x:v>2,663,266</x:v>
      </x:c>
      <x:c r="D116" s="11" t="str">
        <x:v>7,108,436</x:v>
      </x:c>
      <x:c r="E116" s="11"/>
      <x:c r="F116" s="11"/>
    </x:row>
    <x:row r="117" ht="36" customHeight="1">
      <x:c r="A117" s="2" t="str">
        <x:v>84862000325</x:v>
      </x:c>
      <x:c r="B117" s="11" t="str">
        <x:v>2022/2023 (10)</x:v>
      </x:c>
      <x:c r="C117" s="11" t="str">
        <x:v>23,005,613</x:v>
      </x:c>
      <x:c r="D117" s="11" t="str">
        <x:v>6,458,411</x:v>
      </x:c>
      <x:c r="E117" s="11"/>
      <x:c r="F117" s="11"/>
    </x:row>
    <x:row r="118" ht="36" customHeight="1">
      <x:c r="A118" s="2" t="str">
        <x:v>84862000325</x:v>
      </x:c>
      <x:c r="B118" s="11" t="str">
        <x:v>2022/2023 (11)</x:v>
      </x:c>
      <x:c r="C118" s="11" t="str">
        <x:v>15,851,444</x:v>
      </x:c>
      <x:c r="D118" s="11" t="str">
        <x:v>7,597</x:v>
      </x:c>
      <x:c r="E118" s="11"/>
      <x:c r="F118" s="11"/>
    </x:row>
    <x:row r="119" ht="36" customHeight="1">
      <x:c r="A119" s="2" t="str">
        <x:v>84862000325</x:v>
      </x:c>
      <x:c r="B119" s="11" t="str">
        <x:v>2022/2023 (12)</x:v>
      </x:c>
      <x:c r="C119" s="11" t="str">
        <x:v>13,841,044</x:v>
      </x:c>
      <x:c r="D119" s="11" t="str">
        <x:v>10,967,313</x:v>
      </x:c>
      <x:c r="E119" s="11"/>
      <x:c r="F119" s="11"/>
    </x:row>
    <x:row r="120" ht="36" customHeight="1">
      <x:c r="A120" s="2" t="str">
        <x:v>84862000325</x:v>
      </x:c>
      <x:c r="B120" s="11" t="str">
        <x:v>2023/2024(01-12)</x:v>
      </x:c>
      <x:c r="C120" s="11" t="str">
        <x:v>70,761,317</x:v>
      </x:c>
      <x:c r="D120" s="11" t="str">
        <x:v>152,867,677</x:v>
      </x:c>
      <x:c r="E120" s="11"/>
      <x:c r="F120" s="11"/>
    </x:row>
    <x:row r="121" ht="36" customHeight="1">
      <x:c r="A121" s="2" t="str">
        <x:v>84862000325</x:v>
      </x:c>
      <x:c r="B121" s="11" t="str">
        <x:v>2023/2024 (01)</x:v>
      </x:c>
      <x:c r="C121" s="11" t="str">
        <x:v>12,733,628</x:v>
      </x:c>
      <x:c r="D121" s="11" t="str">
        <x:v>7,127,763</x:v>
      </x:c>
      <x:c r="E121" s="11"/>
      <x:c r="F121" s="11"/>
    </x:row>
    <x:row r="122" ht="36" customHeight="1">
      <x:c r="A122" s="2" t="str">
        <x:v>84862000325</x:v>
      </x:c>
      <x:c r="B122" s="11" t="str">
        <x:v>2023/2024 (02)</x:v>
      </x:c>
      <x:c r="C122" s="11" t="str">
        <x:v>1,175,422</x:v>
      </x:c>
      <x:c r="D122" s="11" t="str">
        <x:v>11,266,656</x:v>
      </x:c>
      <x:c r="E122" s="11"/>
      <x:c r="F122" s="11"/>
    </x:row>
    <x:row r="123" ht="36" customHeight="1">
      <x:c r="A123" s="2" t="str">
        <x:v>84862000325</x:v>
      </x:c>
      <x:c r="B123" s="11" t="str">
        <x:v>2023/2024 (03)</x:v>
      </x:c>
      <x:c r="C123" s="11" t="str">
        <x:v>10,138,175</x:v>
      </x:c>
      <x:c r="D123" s="11" t="str">
        <x:v>2,930,155</x:v>
      </x:c>
      <x:c r="E123" s="11"/>
      <x:c r="F123" s="11"/>
    </x:row>
    <x:row r="124" ht="36" customHeight="1">
      <x:c r="A124" s="2" t="str">
        <x:v>84862000325</x:v>
      </x:c>
      <x:c r="B124" s="11" t="str">
        <x:v>2023/2024 (04)</x:v>
      </x:c>
      <x:c r="C124" s="11" t="str">
        <x:v>12,699,671</x:v>
      </x:c>
      <x:c r="D124" s="11" t="str">
        <x:v>7,276,262</x:v>
      </x:c>
      <x:c r="E124" s="11"/>
      <x:c r="F124" s="11"/>
    </x:row>
    <x:row r="125" ht="36" customHeight="1">
      <x:c r="A125" s="2" t="str">
        <x:v>84862000325</x:v>
      </x:c>
      <x:c r="B125" s="11" t="str">
        <x:v>2023/2024 (05)</x:v>
      </x:c>
      <x:c r="C125" s="11" t="str">
        <x:v>---</x:v>
      </x:c>
      <x:c r="D125" s="11" t="str">
        <x:v>6,138,896</x:v>
      </x:c>
      <x:c r="E125" s="11"/>
      <x:c r="F125" s="11"/>
    </x:row>
    <x:row r="126" ht="36" customHeight="1">
      <x:c r="A126" s="2" t="str">
        <x:v>84862000325</x:v>
      </x:c>
      <x:c r="B126" s="11" t="str">
        <x:v>2023/2024 (06)</x:v>
      </x:c>
      <x:c r="C126" s="11" t="str">
        <x:v>178,034</x:v>
      </x:c>
      <x:c r="D126" s="11" t="str">
        <x:v>20,626,177</x:v>
      </x:c>
      <x:c r="E126" s="11"/>
      <x:c r="F126" s="11"/>
    </x:row>
    <x:row r="127" ht="36" customHeight="1">
      <x:c r="A127" s="2" t="str">
        <x:v>84862000325</x:v>
      </x:c>
      <x:c r="B127" s="11" t="str">
        <x:v>2023/2024 (07)</x:v>
      </x:c>
      <x:c r="C127" s="11" t="str">
        <x:v>6,644,061</x:v>
      </x:c>
      <x:c r="D127" s="11" t="str">
        <x:v>18,372,891</x:v>
      </x:c>
      <x:c r="E127" s="11"/>
      <x:c r="F127" s="11"/>
    </x:row>
    <x:row r="128" ht="36" customHeight="1">
      <x:c r="A128" s="2" t="str">
        <x:v>84862000325</x:v>
      </x:c>
      <x:c r="B128" s="11" t="str">
        <x:v>2023/2024 (08)</x:v>
      </x:c>
      <x:c r="C128" s="11" t="str">
        <x:v>2,650,569</x:v>
      </x:c>
      <x:c r="D128" s="11" t="str">
        <x:v>11,957,256</x:v>
      </x:c>
      <x:c r="E128" s="11"/>
      <x:c r="F128" s="11"/>
    </x:row>
    <x:row r="129" ht="36" customHeight="1">
      <x:c r="A129" s="2" t="str">
        <x:v>84862000325</x:v>
      </x:c>
      <x:c r="B129" s="11" t="str">
        <x:v>2023/2024 (09)</x:v>
      </x:c>
      <x:c r="C129" s="11" t="str">
        <x:v>7,108,436</x:v>
      </x:c>
      <x:c r="D129" s="11" t="str">
        <x:v>40,120,679</x:v>
      </x:c>
      <x:c r="E129" s="11"/>
      <x:c r="F129" s="11"/>
    </x:row>
    <x:row r="130" ht="36" customHeight="1">
      <x:c r="A130" s="2" t="str">
        <x:v>84862000325</x:v>
      </x:c>
      <x:c r="B130" s="11" t="str">
        <x:v>2023/2024 (10)</x:v>
      </x:c>
      <x:c r="C130" s="11" t="str">
        <x:v>6,458,411</x:v>
      </x:c>
      <x:c r="D130" s="11" t="str">
        <x:v>7,509,471</x:v>
      </x:c>
      <x:c r="E130" s="11"/>
      <x:c r="F130" s="11"/>
    </x:row>
    <x:row r="131" ht="36" customHeight="1">
      <x:c r="A131" s="2" t="str">
        <x:v>84862000325</x:v>
      </x:c>
      <x:c r="B131" s="11" t="str">
        <x:v>2023/2024 (11)</x:v>
      </x:c>
      <x:c r="C131" s="11" t="str">
        <x:v>7,597</x:v>
      </x:c>
      <x:c r="D131" s="11" t="str">
        <x:v>1,609,667</x:v>
      </x:c>
      <x:c r="E131" s="11"/>
      <x:c r="F131" s="11"/>
    </x:row>
    <x:row r="132" ht="36" customHeight="1">
      <x:c r="A132" s="2" t="str">
        <x:v>84862000325</x:v>
      </x:c>
      <x:c r="B132" s="11" t="str">
        <x:v>2023/2024 (12)</x:v>
      </x:c>
      <x:c r="C132" s="11" t="str">
        <x:v>10,967,313</x:v>
      </x:c>
      <x:c r="D132" s="11" t="str">
        <x:v>17,931,804</x:v>
      </x:c>
      <x:c r="E132" s="11"/>
      <x:c r="F132" s="11"/>
    </x:row>
    <x:row r="133" ht="36" customHeight="1">
      <x:c r="A133" s="2" t="str">
        <x:v>84862000325</x:v>
      </x:c>
      <x:c r="B133" s="11" t="str">
        <x:v>2024/2025(01-12)</x:v>
      </x:c>
      <x:c r="C133" s="11" t="str">
        <x:v>152,867,677</x:v>
      </x:c>
      <x:c r="D133" s="11" t="str">
        <x:v>326,413,138</x:v>
      </x:c>
      <x:c r="E133" s="11"/>
      <x:c r="F133" s="11"/>
    </x:row>
    <x:row r="134" ht="36" customHeight="1">
      <x:c r="A134" s="2" t="str">
        <x:v>84862000325</x:v>
      </x:c>
      <x:c r="B134" s="11" t="str">
        <x:v>2024/2025 (01)</x:v>
      </x:c>
      <x:c r="C134" s="11" t="str">
        <x:v>7,127,763</x:v>
      </x:c>
      <x:c r="D134" s="11" t="str">
        <x:v>7,532,107</x:v>
      </x:c>
      <x:c r="E134" s="11"/>
      <x:c r="F134" s="11"/>
    </x:row>
    <x:row r="135" ht="36" customHeight="1">
      <x:c r="A135" s="2" t="str">
        <x:v>84862000325</x:v>
      </x:c>
      <x:c r="B135" s="11" t="str">
        <x:v>2024/2025 (02)</x:v>
      </x:c>
      <x:c r="C135" s="11" t="str">
        <x:v>11,266,656</x:v>
      </x:c>
      <x:c r="D135" s="11" t="str">
        <x:v>44,097,009</x:v>
      </x:c>
      <x:c r="E135" s="11"/>
      <x:c r="F135" s="11"/>
    </x:row>
    <x:row r="136" ht="36" customHeight="1">
      <x:c r="A136" s="2" t="str">
        <x:v>84862000325</x:v>
      </x:c>
      <x:c r="B136" s="11" t="str">
        <x:v>2024/2025 (03)</x:v>
      </x:c>
      <x:c r="C136" s="11" t="str">
        <x:v>2,930,155</x:v>
      </x:c>
      <x:c r="D136" s="11" t="str">
        <x:v>27,078,850</x:v>
      </x:c>
      <x:c r="E136" s="11"/>
      <x:c r="F136" s="11"/>
    </x:row>
    <x:row r="137" ht="36" customHeight="1">
      <x:c r="A137" s="2" t="str">
        <x:v>84862000325</x:v>
      </x:c>
      <x:c r="B137" s="11" t="str">
        <x:v>2024/2025 (04)</x:v>
      </x:c>
      <x:c r="C137" s="11" t="str">
        <x:v>7,276,262</x:v>
      </x:c>
      <x:c r="D137" s="11" t="str">
        <x:v>49,879,173</x:v>
      </x:c>
      <x:c r="E137" s="11"/>
      <x:c r="F137" s="11"/>
    </x:row>
    <x:row r="138" ht="36" customHeight="1">
      <x:c r="A138" s="2" t="str">
        <x:v>84862000325</x:v>
      </x:c>
      <x:c r="B138" s="11" t="str">
        <x:v>2024/2025 (05)</x:v>
      </x:c>
      <x:c r="C138" s="11" t="str">
        <x:v>6,138,896</x:v>
      </x:c>
      <x:c r="D138" s="11" t="str">
        <x:v>38,732,377</x:v>
      </x:c>
      <x:c r="E138" s="11"/>
      <x:c r="F138" s="11"/>
    </x:row>
    <x:row r="139" ht="36" customHeight="1">
      <x:c r="A139" s="2" t="str">
        <x:v>84862000325</x:v>
      </x:c>
      <x:c r="B139" s="11" t="str">
        <x:v>2024/2025 (06)</x:v>
      </x:c>
      <x:c r="C139" s="11" t="str">
        <x:v>20,626,177</x:v>
      </x:c>
      <x:c r="D139" s="11" t="str">
        <x:v>52,066,110</x:v>
      </x:c>
      <x:c r="E139" s="11"/>
      <x:c r="F139" s="11"/>
    </x:row>
    <x:row r="140" ht="36" customHeight="1">
      <x:c r="A140" s="2" t="str">
        <x:v>84862000325</x:v>
      </x:c>
      <x:c r="B140" s="11" t="str">
        <x:v>2024/2025 (07)</x:v>
      </x:c>
      <x:c r="C140" s="11" t="str">
        <x:v>18,372,891</x:v>
      </x:c>
      <x:c r="D140" s="11" t="str">
        <x:v>18,588,558</x:v>
      </x:c>
      <x:c r="E140" s="11"/>
      <x:c r="F140" s="11"/>
    </x:row>
    <x:row r="141" ht="36" customHeight="1">
      <x:c r="A141" s="2" t="str">
        <x:v>84862000325</x:v>
      </x:c>
      <x:c r="B141" s="11" t="str">
        <x:v>2024/2025 (08)</x:v>
      </x:c>
      <x:c r="C141" s="11" t="str">
        <x:v>11,957,256</x:v>
      </x:c>
      <x:c r="D141" s="11" t="str">
        <x:v>17,208,059</x:v>
      </x:c>
      <x:c r="E141" s="11"/>
      <x:c r="F141" s="11"/>
    </x:row>
    <x:row r="142" ht="36" customHeight="1">
      <x:c r="A142" s="2" t="str">
        <x:v>84862000325</x:v>
      </x:c>
      <x:c r="B142" s="11" t="str">
        <x:v>2024/2025 (09)</x:v>
      </x:c>
      <x:c r="C142" s="11" t="str">
        <x:v>40,120,679</x:v>
      </x:c>
      <x:c r="D142" s="11" t="str">
        <x:v>7,618,190</x:v>
      </x:c>
      <x:c r="E142" s="11"/>
      <x:c r="F142" s="11"/>
    </x:row>
    <x:row r="143" ht="36" customHeight="1">
      <x:c r="A143" s="2" t="str">
        <x:v>84862000325</x:v>
      </x:c>
      <x:c r="B143" s="11" t="str">
        <x:v>2024/2025 (10)</x:v>
      </x:c>
      <x:c r="C143" s="11" t="str">
        <x:v>7,509,471</x:v>
      </x:c>
      <x:c r="D143" s="11" t="str">
        <x:v>38,695,110</x:v>
      </x:c>
      <x:c r="E143" s="11"/>
      <x:c r="F143" s="11"/>
    </x:row>
    <x:row r="144" ht="36" customHeight="1">
      <x:c r="A144" s="2" t="str">
        <x:v>84862000325</x:v>
      </x:c>
      <x:c r="B144" s="11" t="str">
        <x:v>2024/2025 (11)</x:v>
      </x:c>
      <x:c r="C144" s="11" t="str">
        <x:v>1,609,667</x:v>
      </x:c>
      <x:c r="D144" s="11" t="str">
        <x:v>9,496,318</x:v>
      </x:c>
      <x:c r="E144" s="11"/>
      <x:c r="F144" s="11"/>
    </x:row>
    <x:row r="145" ht="36" customHeight="1">
      <x:c r="A145" s="2" t="str">
        <x:v>84862000325</x:v>
      </x:c>
      <x:c r="B145" s="11" t="str">
        <x:v>2024/2025 (12)</x:v>
      </x:c>
      <x:c r="C145" s="11" t="str">
        <x:v>17,931,804</x:v>
      </x:c>
      <x:c r="D145" s="11" t="str">
        <x:v>15,421,277</x:v>
      </x:c>
      <x:c r="E145" s="11"/>
      <x:c r="F145" s="11"/>
    </x:row>
    <x:row r="146" ht="36" customHeight="1">
      <x:c r="A146" s="2" t="str">
        <x:v>84862000325</x:v>
      </x:c>
      <x:c r="B146" s="11" t="str">
        <x:v>2025/2026(01-08)</x:v>
      </x:c>
      <x:c r="C146" s="11" t="str">
        <x:v>255,182,243</x:v>
      </x:c>
      <x:c r="D146" s="11" t="str">
        <x:v>125,728,795</x:v>
      </x:c>
      <x:c r="E146" s="11"/>
      <x:c r="F146" s="11"/>
    </x:row>
    <x:row r="147" ht="36" customHeight="1">
      <x:c r="A147" s="2" t="str">
        <x:v>84862000325</x:v>
      </x:c>
      <x:c r="B147" s="11" t="str">
        <x:v>2025/2026 (01)</x:v>
      </x:c>
      <x:c r="C147" s="11" t="str">
        <x:v>7,532,107</x:v>
      </x:c>
      <x:c r="D147" s="11" t="str">
        <x:v>1,996,828</x:v>
      </x:c>
      <x:c r="E147" s="11"/>
      <x:c r="F147" s="11"/>
    </x:row>
    <x:row r="148" ht="36" customHeight="1">
      <x:c r="A148" s="2" t="str">
        <x:v>84862000325</x:v>
      </x:c>
      <x:c r="B148" s="11" t="str">
        <x:v>2025/2026 (02)</x:v>
      </x:c>
      <x:c r="C148" s="11" t="str">
        <x:v>44,097,009</x:v>
      </x:c>
      <x:c r="D148" s="11" t="str">
        <x:v>6,505,670</x:v>
      </x:c>
      <x:c r="E148" s="11"/>
      <x:c r="F148" s="11"/>
    </x:row>
    <x:row r="149" ht="36" customHeight="1">
      <x:c r="A149" s="2" t="str">
        <x:v>84862000325</x:v>
      </x:c>
      <x:c r="B149" s="11" t="str">
        <x:v>2025/2026 (03)</x:v>
      </x:c>
      <x:c r="C149" s="11" t="str">
        <x:v>27,078,850</x:v>
      </x:c>
      <x:c r="D149" s="11" t="str">
        <x:v>3,289,949</x:v>
      </x:c>
      <x:c r="E149" s="11"/>
      <x:c r="F149" s="11"/>
    </x:row>
    <x:row r="150" ht="36" customHeight="1">
      <x:c r="A150" s="2" t="str">
        <x:v>84862000325</x:v>
      </x:c>
      <x:c r="B150" s="11" t="str">
        <x:v>2025/2026 (04)</x:v>
      </x:c>
      <x:c r="C150" s="11" t="str">
        <x:v>49,879,173</x:v>
      </x:c>
      <x:c r="D150" s="11" t="str">
        <x:v>21,462,857</x:v>
      </x:c>
      <x:c r="E150" s="11"/>
      <x:c r="F150" s="11"/>
    </x:row>
    <x:row r="151" ht="36" customHeight="1">
      <x:c r="A151" s="2" t="str">
        <x:v>84862000325</x:v>
      </x:c>
      <x:c r="B151" s="11" t="str">
        <x:v>2025/2026 (05)</x:v>
      </x:c>
      <x:c r="C151" s="11" t="str">
        <x:v>38,732,377</x:v>
      </x:c>
      <x:c r="D151" s="11" t="str">
        <x:v>13,784,882</x:v>
      </x:c>
      <x:c r="E151" s="11"/>
      <x:c r="F151" s="11"/>
    </x:row>
    <x:row r="152" ht="36" customHeight="1">
      <x:c r="A152" s="2" t="str">
        <x:v>84862000325</x:v>
      </x:c>
      <x:c r="B152" s="11" t="str">
        <x:v>2025/2026 (06)</x:v>
      </x:c>
      <x:c r="C152" s="11" t="str">
        <x:v>52,066,110</x:v>
      </x:c>
      <x:c r="D152" s="11" t="str">
        <x:v>11,848,350</x:v>
      </x:c>
      <x:c r="E152" s="11"/>
      <x:c r="F152" s="11"/>
    </x:row>
    <x:row r="153" ht="36" customHeight="1">
      <x:c r="A153" s="2" t="str">
        <x:v>84862000325</x:v>
      </x:c>
      <x:c r="B153" s="11" t="str">
        <x:v>2025/2026 (07)</x:v>
      </x:c>
      <x:c r="C153" s="11" t="str">
        <x:v>18,588,558</x:v>
      </x:c>
      <x:c r="D153" s="11" t="str">
        <x:v>23,206,595</x:v>
      </x:c>
      <x:c r="E153" s="11"/>
      <x:c r="F153" s="11"/>
    </x:row>
    <x:row r="154" ht="36" customHeight="1">
      <x:c r="A154" s="2" t="str">
        <x:v>84862000325</x:v>
      </x:c>
      <x:c r="B154" s="11" t="str">
        <x:v>2025/2026 (08)</x:v>
      </x:c>
      <x:c r="C154" s="11" t="str">
        <x:v>17,208,059</x:v>
      </x:c>
      <x:c r="D154" s="11" t="str">
        <x:v>43,633,664</x:v>
      </x:c>
      <x:c r="E154" s="11"/>
      <x:c r="F154" s="11"/>
    </x:row>
    <x:row r="155" ht="36" customHeight="1">
      <x:c r="A155" s="2" t="str">
        <x:v>84862000619</x:v>
      </x:c>
      <x:c r="B155" s="11" t="str">
        <x:v>Time Period : 2023/01 - 2026/08</x:v>
      </x:c>
      <x:c r="C155" s="11"/>
      <x:c r="D155" s="11"/>
      <x:c r="E155" s="11"/>
      <x:c r="F155" s="11"/>
    </x:row>
    <x:row r="156" ht="36" customHeight="1">
      <x:c r="A156" s="2" t="str">
        <x:v>84862000619</x:v>
      </x:c>
      <x:c r="B156" s="11" t="str">
        <x:v>MONTH</x:v>
      </x:c>
      <x:c r="C156" s="11" t="str">
        <x:v>2022/01 - 2025/08</x:v>
      </x:c>
      <x:c r="D156" s="11" t="str">
        <x:v>2023/01 - 2026/08</x:v>
      </x:c>
      <x:c r="E156" s="11"/>
      <x:c r="F156" s="11"/>
    </x:row>
    <x:row r="157" ht="36" customHeight="1">
      <x:c r="A157" s="2" t="str">
        <x:v>84862000619</x:v>
      </x:c>
      <x:c r="B157" s="11" t="str">
        <x:v>TOTAL</x:v>
      </x:c>
      <x:c r="C157" s="11" t="str">
        <x:v>269,278,887</x:v>
      </x:c>
      <x:c r="D157" s="11" t="str">
        <x:v>425,940,858</x:v>
      </x:c>
      <x:c r="E157" s="11"/>
      <x:c r="F157" s="11"/>
    </x:row>
    <x:row r="158" ht="36" customHeight="1">
      <x:c r="A158" s="2" t="str">
        <x:v>84862000619</x:v>
      </x:c>
      <x:c r="B158" s="11" t="str">
        <x:v>2022/2023(01-12)</x:v>
      </x:c>
      <x:c r="C158" s="11" t="str">
        <x:v>51,158,698</x:v>
      </x:c>
      <x:c r="D158" s="11" t="str">
        <x:v>20,041,636</x:v>
      </x:c>
      <x:c r="E158" s="11"/>
      <x:c r="F158" s="11"/>
    </x:row>
    <x:row r="159" ht="36" customHeight="1">
      <x:c r="A159" s="2" t="str">
        <x:v>84862000619</x:v>
      </x:c>
      <x:c r="B159" s="11" t="str">
        <x:v>2022/2023 (01)</x:v>
      </x:c>
      <x:c r="C159" s="11" t="str">
        <x:v>---</x:v>
      </x:c>
      <x:c r="D159" s="11" t="str">
        <x:v>---</x:v>
      </x:c>
      <x:c r="E159" s="11"/>
      <x:c r="F159" s="11"/>
    </x:row>
    <x:row r="160" ht="36" customHeight="1">
      <x:c r="A160" s="2" t="str">
        <x:v>84862000619</x:v>
      </x:c>
      <x:c r="B160" s="11" t="str">
        <x:v>2022/2023 (02)</x:v>
      </x:c>
      <x:c r="C160" s="11" t="str">
        <x:v>7,682,560</x:v>
      </x:c>
      <x:c r="D160" s="11" t="str">
        <x:v>2,549,420</x:v>
      </x:c>
      <x:c r="E160" s="11"/>
      <x:c r="F160" s="11"/>
    </x:row>
    <x:row r="161" ht="36" customHeight="1">
      <x:c r="A161" s="2" t="str">
        <x:v>84862000619</x:v>
      </x:c>
      <x:c r="B161" s="11" t="str">
        <x:v>2022/2023 (03)</x:v>
      </x:c>
      <x:c r="C161" s="11" t="str">
        <x:v>17,854,088</x:v>
      </x:c>
      <x:c r="D161" s="11" t="str">
        <x:v>4,025,777</x:v>
      </x:c>
      <x:c r="E161" s="11"/>
      <x:c r="F161" s="11"/>
    </x:row>
    <x:row r="162" ht="36" customHeight="1">
      <x:c r="A162" s="2" t="str">
        <x:v>84862000619</x:v>
      </x:c>
      <x:c r="B162" s="11" t="str">
        <x:v>2022/2023 (04)</x:v>
      </x:c>
      <x:c r="C162" s="11" t="str">
        <x:v>6,512,739</x:v>
      </x:c>
      <x:c r="D162" s="11" t="str">
        <x:v>---</x:v>
      </x:c>
      <x:c r="E162" s="11"/>
      <x:c r="F162" s="11"/>
    </x:row>
    <x:row r="163" ht="36" customHeight="1">
      <x:c r="A163" s="2" t="str">
        <x:v>84862000619</x:v>
      </x:c>
      <x:c r="B163" s="11" t="str">
        <x:v>2022/2023 (05)</x:v>
      </x:c>
      <x:c r="C163" s="11" t="str">
        <x:v>4,544,689</x:v>
      </x:c>
      <x:c r="D163" s="11" t="str">
        <x:v>---</x:v>
      </x:c>
      <x:c r="E163" s="11"/>
      <x:c r="F163" s="11"/>
    </x:row>
    <x:row r="164" ht="36" customHeight="1">
      <x:c r="A164" s="2" t="str">
        <x:v>84862000619</x:v>
      </x:c>
      <x:c r="B164" s="11" t="str">
        <x:v>2022/2023 (06)</x:v>
      </x:c>
      <x:c r="C164" s="11" t="str">
        <x:v>5,605,008</x:v>
      </x:c>
      <x:c r="D164" s="11" t="str">
        <x:v>2,677,547</x:v>
      </x:c>
      <x:c r="E164" s="11"/>
      <x:c r="F164" s="11"/>
    </x:row>
    <x:row r="165" ht="36" customHeight="1">
      <x:c r="A165" s="2" t="str">
        <x:v>84862000619</x:v>
      </x:c>
      <x:c r="B165" s="11" t="str">
        <x:v>2022/2023 (07)</x:v>
      </x:c>
      <x:c r="C165" s="11" t="str">
        <x:v>3,215,225</x:v>
      </x:c>
      <x:c r="D165" s="11" t="str">
        <x:v>2,591,543</x:v>
      </x:c>
      <x:c r="E165" s="11"/>
      <x:c r="F165" s="11"/>
    </x:row>
    <x:row r="166" ht="36" customHeight="1">
      <x:c r="A166" s="2" t="str">
        <x:v>84862000619</x:v>
      </x:c>
      <x:c r="B166" s="11" t="str">
        <x:v>2022/2023 (08)</x:v>
      </x:c>
      <x:c r="C166" s="11" t="str">
        <x:v>---</x:v>
      </x:c>
      <x:c r="D166" s="11" t="str">
        <x:v>1,451,707</x:v>
      </x:c>
      <x:c r="E166" s="11"/>
      <x:c r="F166" s="11"/>
    </x:row>
    <x:row r="167" ht="36" customHeight="1">
      <x:c r="A167" s="2" t="str">
        <x:v>84862000619</x:v>
      </x:c>
      <x:c r="B167" s="11" t="str">
        <x:v>2022/2023 (09)</x:v>
      </x:c>
      <x:c r="C167" s="11" t="str">
        <x:v>---</x:v>
      </x:c>
      <x:c r="D167" s="11" t="str">
        <x:v>---</x:v>
      </x:c>
      <x:c r="E167" s="11"/>
      <x:c r="F167" s="11"/>
    </x:row>
    <x:row r="168" ht="36" customHeight="1">
      <x:c r="A168" s="2" t="str">
        <x:v>84862000619</x:v>
      </x:c>
      <x:c r="B168" s="11" t="str">
        <x:v>2022/2023 (10)</x:v>
      </x:c>
      <x:c r="C168" s="11" t="str">
        <x:v>2,734,847</x:v>
      </x:c>
      <x:c r="D168" s="11" t="str">
        <x:v>---</x:v>
      </x:c>
      <x:c r="E168" s="11"/>
      <x:c r="F168" s="11"/>
    </x:row>
    <x:row r="169" ht="36" customHeight="1">
      <x:c r="A169" s="2" t="str">
        <x:v>84862000619</x:v>
      </x:c>
      <x:c r="B169" s="11" t="str">
        <x:v>2022/2023 (11)</x:v>
      </x:c>
      <x:c r="C169" s="11" t="str">
        <x:v>3,009,542</x:v>
      </x:c>
      <x:c r="D169" s="11" t="str">
        <x:v>2,484,434</x:v>
      </x:c>
      <x:c r="E169" s="11"/>
      <x:c r="F169" s="11"/>
    </x:row>
    <x:row r="170" ht="36" customHeight="1">
      <x:c r="A170" s="2" t="str">
        <x:v>84862000619</x:v>
      </x:c>
      <x:c r="B170" s="11" t="str">
        <x:v>2022/2023 (12)</x:v>
      </x:c>
      <x:c r="C170" s="11" t="str">
        <x:v>---</x:v>
      </x:c>
      <x:c r="D170" s="11" t="str">
        <x:v>4,261,208</x:v>
      </x:c>
      <x:c r="E170" s="11"/>
      <x:c r="F170" s="11"/>
    </x:row>
    <x:row r="171" ht="36" customHeight="1">
      <x:c r="A171" s="2" t="str">
        <x:v>84862000619</x:v>
      </x:c>
      <x:c r="B171" s="11" t="str">
        <x:v>2023/2024(01-12)</x:v>
      </x:c>
      <x:c r="C171" s="11" t="str">
        <x:v>20,041,636</x:v>
      </x:c>
      <x:c r="D171" s="11" t="str">
        <x:v>93,079,198</x:v>
      </x:c>
      <x:c r="E171" s="11"/>
      <x:c r="F171" s="11"/>
    </x:row>
    <x:row r="172" ht="36" customHeight="1">
      <x:c r="A172" s="2" t="str">
        <x:v>84862000619</x:v>
      </x:c>
      <x:c r="B172" s="11" t="str">
        <x:v>2023/2024 (01)</x:v>
      </x:c>
      <x:c r="C172" s="11" t="str">
        <x:v>---</x:v>
      </x:c>
      <x:c r="D172" s="11" t="str">
        <x:v>2,612,629</x:v>
      </x:c>
      <x:c r="E172" s="11"/>
      <x:c r="F172" s="11"/>
    </x:row>
    <x:row r="173" ht="36" customHeight="1">
      <x:c r="A173" s="2" t="str">
        <x:v>84862000619</x:v>
      </x:c>
      <x:c r="B173" s="11" t="str">
        <x:v>2023/2024 (02)</x:v>
      </x:c>
      <x:c r="C173" s="11" t="str">
        <x:v>2,549,420</x:v>
      </x:c>
      <x:c r="D173" s="11" t="str">
        <x:v>5,005,260</x:v>
      </x:c>
      <x:c r="E173" s="11"/>
      <x:c r="F173" s="11"/>
    </x:row>
    <x:row r="174" ht="36" customHeight="1">
      <x:c r="A174" s="2" t="str">
        <x:v>84862000619</x:v>
      </x:c>
      <x:c r="B174" s="11" t="str">
        <x:v>2023/2024 (03)</x:v>
      </x:c>
      <x:c r="C174" s="11" t="str">
        <x:v>4,025,777</x:v>
      </x:c>
      <x:c r="D174" s="11" t="str">
        <x:v>7,437,504</x:v>
      </x:c>
      <x:c r="E174" s="11"/>
      <x:c r="F174" s="11"/>
    </x:row>
    <x:row r="175" ht="36" customHeight="1">
      <x:c r="A175" s="2" t="str">
        <x:v>84862000619</x:v>
      </x:c>
      <x:c r="B175" s="11" t="str">
        <x:v>2023/2024 (04)</x:v>
      </x:c>
      <x:c r="C175" s="11" t="str">
        <x:v>---</x:v>
      </x:c>
      <x:c r="D175" s="11" t="str">
        <x:v>11,227,975</x:v>
      </x:c>
      <x:c r="E175" s="11"/>
      <x:c r="F175" s="11"/>
    </x:row>
    <x:row r="176" ht="36" customHeight="1">
      <x:c r="A176" s="2" t="str">
        <x:v>84862000619</x:v>
      </x:c>
      <x:c r="B176" s="11" t="str">
        <x:v>2023/2024 (05)</x:v>
      </x:c>
      <x:c r="C176" s="11" t="str">
        <x:v>---</x:v>
      </x:c>
      <x:c r="D176" s="11" t="str">
        <x:v>4,786,551</x:v>
      </x:c>
      <x:c r="E176" s="11"/>
      <x:c r="F176" s="11"/>
    </x:row>
    <x:row r="177" ht="36" customHeight="1">
      <x:c r="A177" s="2" t="str">
        <x:v>84862000619</x:v>
      </x:c>
      <x:c r="B177" s="11" t="str">
        <x:v>2023/2024 (06)</x:v>
      </x:c>
      <x:c r="C177" s="11" t="str">
        <x:v>2,677,547</x:v>
      </x:c>
      <x:c r="D177" s="11" t="str">
        <x:v>6,002</x:v>
      </x:c>
      <x:c r="E177" s="11"/>
      <x:c r="F177" s="11"/>
    </x:row>
    <x:row r="178" ht="36" customHeight="1">
      <x:c r="A178" s="2" t="str">
        <x:v>84862000619</x:v>
      </x:c>
      <x:c r="B178" s="11" t="str">
        <x:v>2023/2024 (07)</x:v>
      </x:c>
      <x:c r="C178" s="11" t="str">
        <x:v>2,591,543</x:v>
      </x:c>
      <x:c r="D178" s="11" t="str">
        <x:v>4,709,170</x:v>
      </x:c>
      <x:c r="E178" s="11"/>
      <x:c r="F178" s="11"/>
    </x:row>
    <x:row r="179" ht="36" customHeight="1">
      <x:c r="A179" s="2" t="str">
        <x:v>84862000619</x:v>
      </x:c>
      <x:c r="B179" s="11" t="str">
        <x:v>2023/2024 (08)</x:v>
      </x:c>
      <x:c r="C179" s="11" t="str">
        <x:v>1,451,707</x:v>
      </x:c>
      <x:c r="D179" s="11" t="str">
        <x:v>---</x:v>
      </x:c>
      <x:c r="E179" s="11"/>
      <x:c r="F179" s="11"/>
    </x:row>
    <x:row r="180" ht="36" customHeight="1">
      <x:c r="A180" s="2" t="str">
        <x:v>84862000619</x:v>
      </x:c>
      <x:c r="B180" s="11" t="str">
        <x:v>2023/2024 (09)</x:v>
      </x:c>
      <x:c r="C180" s="11" t="str">
        <x:v>---</x:v>
      </x:c>
      <x:c r="D180" s="11" t="str">
        <x:v>4,924,554</x:v>
      </x:c>
      <x:c r="E180" s="11"/>
      <x:c r="F180" s="11"/>
    </x:row>
    <x:row r="181" ht="36" customHeight="1">
      <x:c r="A181" s="2" t="str">
        <x:v>84862000619</x:v>
      </x:c>
      <x:c r="B181" s="11" t="str">
        <x:v>2023/2024 (10)</x:v>
      </x:c>
      <x:c r="C181" s="11" t="str">
        <x:v>---</x:v>
      </x:c>
      <x:c r="D181" s="11" t="str">
        <x:v>19,270,616</x:v>
      </x:c>
      <x:c r="E181" s="11"/>
      <x:c r="F181" s="11"/>
    </x:row>
    <x:row r="182" ht="36" customHeight="1">
      <x:c r="A182" s="2" t="str">
        <x:v>84862000619</x:v>
      </x:c>
      <x:c r="B182" s="11" t="str">
        <x:v>2023/2024 (11)</x:v>
      </x:c>
      <x:c r="C182" s="11" t="str">
        <x:v>2,484,434</x:v>
      </x:c>
      <x:c r="D182" s="11" t="str">
        <x:v>16,101,431</x:v>
      </x:c>
      <x:c r="E182" s="11"/>
      <x:c r="F182" s="11"/>
    </x:row>
    <x:row r="183" ht="36" customHeight="1">
      <x:c r="A183" s="2" t="str">
        <x:v>84862000619</x:v>
      </x:c>
      <x:c r="B183" s="11" t="str">
        <x:v>2023/2024 (12)</x:v>
      </x:c>
      <x:c r="C183" s="11" t="str">
        <x:v>4,261,208</x:v>
      </x:c>
      <x:c r="D183" s="11" t="str">
        <x:v>16,997,506</x:v>
      </x:c>
      <x:c r="E183" s="11"/>
      <x:c r="F183" s="11"/>
    </x:row>
    <x:row r="184" ht="36" customHeight="1">
      <x:c r="A184" s="2" t="str">
        <x:v>84862000619</x:v>
      </x:c>
      <x:c r="B184" s="11" t="str">
        <x:v>2024/2025(01-12)</x:v>
      </x:c>
      <x:c r="C184" s="11" t="str">
        <x:v>93,079,198</x:v>
      </x:c>
      <x:c r="D184" s="11" t="str">
        <x:v>194,165,683</x:v>
      </x:c>
      <x:c r="E184" s="11"/>
      <x:c r="F184" s="11"/>
    </x:row>
    <x:row r="185" ht="36" customHeight="1">
      <x:c r="A185" s="2" t="str">
        <x:v>84862000619</x:v>
      </x:c>
      <x:c r="B185" s="11" t="str">
        <x:v>2024/2025 (01)</x:v>
      </x:c>
      <x:c r="C185" s="11" t="str">
        <x:v>2,612,629</x:v>
      </x:c>
      <x:c r="D185" s="11" t="str">
        <x:v>11,508,696</x:v>
      </x:c>
      <x:c r="E185" s="11"/>
      <x:c r="F185" s="11"/>
    </x:row>
    <x:row r="186" ht="36" customHeight="1">
      <x:c r="A186" s="2" t="str">
        <x:v>84862000619</x:v>
      </x:c>
      <x:c r="B186" s="11" t="str">
        <x:v>2024/2025 (02)</x:v>
      </x:c>
      <x:c r="C186" s="11" t="str">
        <x:v>5,005,260</x:v>
      </x:c>
      <x:c r="D186" s="11" t="str">
        <x:v>7,199,482</x:v>
      </x:c>
      <x:c r="E186" s="11"/>
      <x:c r="F186" s="11"/>
    </x:row>
    <x:row r="187" ht="36" customHeight="1">
      <x:c r="A187" s="2" t="str">
        <x:v>84862000619</x:v>
      </x:c>
      <x:c r="B187" s="11" t="str">
        <x:v>2024/2025 (03)</x:v>
      </x:c>
      <x:c r="C187" s="11" t="str">
        <x:v>7,437,504</x:v>
      </x:c>
      <x:c r="D187" s="11" t="str">
        <x:v>13,383,109</x:v>
      </x:c>
      <x:c r="E187" s="11"/>
      <x:c r="F187" s="11"/>
    </x:row>
    <x:row r="188" ht="36" customHeight="1">
      <x:c r="A188" s="2" t="str">
        <x:v>84862000619</x:v>
      </x:c>
      <x:c r="B188" s="11" t="str">
        <x:v>2024/2025 (04)</x:v>
      </x:c>
      <x:c r="C188" s="11" t="str">
        <x:v>11,227,975</x:v>
      </x:c>
      <x:c r="D188" s="11" t="str">
        <x:v>8,078,717</x:v>
      </x:c>
      <x:c r="E188" s="11"/>
      <x:c r="F188" s="11"/>
    </x:row>
    <x:row r="189" ht="36" customHeight="1">
      <x:c r="A189" s="2" t="str">
        <x:v>84862000619</x:v>
      </x:c>
      <x:c r="B189" s="11" t="str">
        <x:v>2024/2025 (05)</x:v>
      </x:c>
      <x:c r="C189" s="11" t="str">
        <x:v>4,786,551</x:v>
      </x:c>
      <x:c r="D189" s="11" t="str">
        <x:v>17,946,075</x:v>
      </x:c>
      <x:c r="E189" s="11"/>
      <x:c r="F189" s="11"/>
    </x:row>
    <x:row r="190" ht="36" customHeight="1">
      <x:c r="A190" s="2" t="str">
        <x:v>84862000619</x:v>
      </x:c>
      <x:c r="B190" s="11" t="str">
        <x:v>2024/2025 (06)</x:v>
      </x:c>
      <x:c r="C190" s="11" t="str">
        <x:v>6,002</x:v>
      </x:c>
      <x:c r="D190" s="11" t="str">
        <x:v>24,872,873</x:v>
      </x:c>
      <x:c r="E190" s="11"/>
      <x:c r="F190" s="11"/>
    </x:row>
    <x:row r="191" ht="36" customHeight="1">
      <x:c r="A191" s="2" t="str">
        <x:v>84862000619</x:v>
      </x:c>
      <x:c r="B191" s="11" t="str">
        <x:v>2024/2025 (07)</x:v>
      </x:c>
      <x:c r="C191" s="11" t="str">
        <x:v>4,709,170</x:v>
      </x:c>
      <x:c r="D191" s="11" t="str">
        <x:v>9,043,850</x:v>
      </x:c>
      <x:c r="E191" s="11"/>
      <x:c r="F191" s="11"/>
    </x:row>
    <x:row r="192" ht="36" customHeight="1">
      <x:c r="A192" s="2" t="str">
        <x:v>84862000619</x:v>
      </x:c>
      <x:c r="B192" s="11" t="str">
        <x:v>2024/2025 (08)</x:v>
      </x:c>
      <x:c r="C192" s="11" t="str">
        <x:v>---</x:v>
      </x:c>
      <x:c r="D192" s="11" t="str">
        <x:v>12,966,553</x:v>
      </x:c>
      <x:c r="E192" s="11"/>
      <x:c r="F192" s="11"/>
    </x:row>
    <x:row r="193" ht="36" customHeight="1">
      <x:c r="A193" s="2" t="str">
        <x:v>84862000619</x:v>
      </x:c>
      <x:c r="B193" s="11" t="str">
        <x:v>2024/2025 (09)</x:v>
      </x:c>
      <x:c r="C193" s="11" t="str">
        <x:v>4,924,554</x:v>
      </x:c>
      <x:c r="D193" s="11" t="str">
        <x:v>2,148,026</x:v>
      </x:c>
      <x:c r="E193" s="11"/>
      <x:c r="F193" s="11"/>
    </x:row>
    <x:row r="194" ht="36" customHeight="1">
      <x:c r="A194" s="2" t="str">
        <x:v>84862000619</x:v>
      </x:c>
      <x:c r="B194" s="11" t="str">
        <x:v>2024/2025 (10)</x:v>
      </x:c>
      <x:c r="C194" s="11" t="str">
        <x:v>19,270,616</x:v>
      </x:c>
      <x:c r="D194" s="11" t="str">
        <x:v>6,267,575</x:v>
      </x:c>
      <x:c r="E194" s="11"/>
      <x:c r="F194" s="11"/>
    </x:row>
    <x:row r="195" ht="36" customHeight="1">
      <x:c r="A195" s="2" t="str">
        <x:v>84862000619</x:v>
      </x:c>
      <x:c r="B195" s="11" t="str">
        <x:v>2024/2025 (11)</x:v>
      </x:c>
      <x:c r="C195" s="11" t="str">
        <x:v>16,101,431</x:v>
      </x:c>
      <x:c r="D195" s="11" t="str">
        <x:v>44,544,348</x:v>
      </x:c>
      <x:c r="E195" s="11"/>
      <x:c r="F195" s="11"/>
    </x:row>
    <x:row r="196" ht="36" customHeight="1">
      <x:c r="A196" s="2" t="str">
        <x:v>84862000619</x:v>
      </x:c>
      <x:c r="B196" s="11" t="str">
        <x:v>2024/2025 (12)</x:v>
      </x:c>
      <x:c r="C196" s="11" t="str">
        <x:v>16,997,506</x:v>
      </x:c>
      <x:c r="D196" s="11" t="str">
        <x:v>36,206,379</x:v>
      </x:c>
      <x:c r="E196" s="11"/>
      <x:c r="F196" s="11"/>
    </x:row>
    <x:row r="197" ht="36" customHeight="1">
      <x:c r="A197" s="2" t="str">
        <x:v>84862000619</x:v>
      </x:c>
      <x:c r="B197" s="11" t="str">
        <x:v>2025/2026(01-08)</x:v>
      </x:c>
      <x:c r="C197" s="11" t="str">
        <x:v>104,999,355</x:v>
      </x:c>
      <x:c r="D197" s="11" t="str">
        <x:v>118,654,341</x:v>
      </x:c>
      <x:c r="E197" s="11"/>
      <x:c r="F197" s="11"/>
    </x:row>
    <x:row r="198" ht="36" customHeight="1">
      <x:c r="A198" s="2" t="str">
        <x:v>84862000619</x:v>
      </x:c>
      <x:c r="B198" s="11" t="str">
        <x:v>2025/2026 (01)</x:v>
      </x:c>
      <x:c r="C198" s="11" t="str">
        <x:v>11,508,696</x:v>
      </x:c>
      <x:c r="D198" s="11" t="str">
        <x:v>4,535,839</x:v>
      </x:c>
      <x:c r="E198" s="11"/>
      <x:c r="F198" s="11"/>
    </x:row>
    <x:row r="199" ht="36" customHeight="1">
      <x:c r="A199" s="2" t="str">
        <x:v>84862000619</x:v>
      </x:c>
      <x:c r="B199" s="11" t="str">
        <x:v>2025/2026 (02)</x:v>
      </x:c>
      <x:c r="C199" s="11" t="str">
        <x:v>7,199,482</x:v>
      </x:c>
      <x:c r="D199" s="11" t="str">
        <x:v>20,707,825</x:v>
      </x:c>
      <x:c r="E199" s="11"/>
      <x:c r="F199" s="11"/>
    </x:row>
    <x:row r="200" ht="36" customHeight="1">
      <x:c r="A200" s="2" t="str">
        <x:v>84862000619</x:v>
      </x:c>
      <x:c r="B200" s="11" t="str">
        <x:v>2025/2026 (03)</x:v>
      </x:c>
      <x:c r="C200" s="11" t="str">
        <x:v>13,383,109</x:v>
      </x:c>
      <x:c r="D200" s="11" t="str">
        <x:v>25,872,822</x:v>
      </x:c>
      <x:c r="E200" s="11"/>
      <x:c r="F200" s="11"/>
    </x:row>
    <x:row r="201" ht="36" customHeight="1">
      <x:c r="A201" s="2" t="str">
        <x:v>84862000619</x:v>
      </x:c>
      <x:c r="B201" s="11" t="str">
        <x:v>2025/2026 (04)</x:v>
      </x:c>
      <x:c r="C201" s="11" t="str">
        <x:v>8,078,717</x:v>
      </x:c>
      <x:c r="D201" s="11" t="str">
        <x:v>18,186,971</x:v>
      </x:c>
      <x:c r="E201" s="11"/>
      <x:c r="F201" s="11"/>
    </x:row>
    <x:row r="202" ht="36" customHeight="1">
      <x:c r="A202" s="2" t="str">
        <x:v>84862000619</x:v>
      </x:c>
      <x:c r="B202" s="11" t="str">
        <x:v>2025/2026 (05)</x:v>
      </x:c>
      <x:c r="C202" s="11" t="str">
        <x:v>17,946,075</x:v>
      </x:c>
      <x:c r="D202" s="11" t="str">
        <x:v>13,598,447</x:v>
      </x:c>
      <x:c r="E202" s="11"/>
      <x:c r="F202" s="11"/>
    </x:row>
    <x:row r="203" ht="36" customHeight="1">
      <x:c r="A203" s="2" t="str">
        <x:v>84862000619</x:v>
      </x:c>
      <x:c r="B203" s="11" t="str">
        <x:v>2025/2026 (06)</x:v>
      </x:c>
      <x:c r="C203" s="11" t="str">
        <x:v>24,872,873</x:v>
      </x:c>
      <x:c r="D203" s="11" t="str">
        <x:v>11,151,111</x:v>
      </x:c>
      <x:c r="E203" s="11"/>
      <x:c r="F203" s="11"/>
    </x:row>
    <x:row r="204" ht="36" customHeight="1">
      <x:c r="A204" s="2" t="str">
        <x:v>84862000619</x:v>
      </x:c>
      <x:c r="B204" s="11" t="str">
        <x:v>2025/2026 (07)</x:v>
      </x:c>
      <x:c r="C204" s="11" t="str">
        <x:v>9,043,850</x:v>
      </x:c>
      <x:c r="D204" s="11" t="str">
        <x:v>4,550,907</x:v>
      </x:c>
      <x:c r="E204" s="11"/>
      <x:c r="F204" s="11"/>
    </x:row>
    <x:row r="205" ht="36" customHeight="1">
      <x:c r="A205" s="2" t="str">
        <x:v>84862000619</x:v>
      </x:c>
      <x:c r="B205" s="11" t="str">
        <x:v>2025/2026 (08)</x:v>
      </x:c>
      <x:c r="C205" s="11" t="str">
        <x:v>12,966,553</x:v>
      </x:c>
      <x:c r="D205" s="11" t="str">
        <x:v>20,050,419</x:v>
      </x:c>
      <x:c r="E205" s="11"/>
      <x:c r="F205" s="11"/>
    </x:row>
    <x:row r="206" ht="36" customHeight="1">
      <x:c r="A206" s="2" t="str">
        <x:v>84862000735</x:v>
      </x:c>
      <x:c r="B206" s="11" t="str">
        <x:v>Time Period : 2023/01 - 2026/08</x:v>
      </x:c>
      <x:c r="C206" s="11"/>
      <x:c r="D206" s="11"/>
      <x:c r="E206" s="11"/>
      <x:c r="F206" s="11"/>
    </x:row>
    <x:row r="207" ht="36" customHeight="1">
      <x:c r="A207" s="2" t="str">
        <x:v>84862000735</x:v>
      </x:c>
      <x:c r="B207" s="11" t="str">
        <x:v>MONTH</x:v>
      </x:c>
      <x:c r="C207" s="11" t="str">
        <x:v>2022/01 - 2025/08</x:v>
      </x:c>
      <x:c r="D207" s="11" t="str">
        <x:v>2023/01 - 2026/08</x:v>
      </x:c>
      <x:c r="E207" s="11"/>
      <x:c r="F207" s="11"/>
    </x:row>
    <x:row r="208" ht="36" customHeight="1">
      <x:c r="A208" s="2" t="str">
        <x:v>84862000735</x:v>
      </x:c>
      <x:c r="B208" s="11" t="str">
        <x:v>TOTAL</x:v>
      </x:c>
      <x:c r="C208" s="11" t="str">
        <x:v>2,469,500,918</x:v>
      </x:c>
      <x:c r="D208" s="11" t="str">
        <x:v>2,463,345,494</x:v>
      </x:c>
      <x:c r="E208" s="11"/>
      <x:c r="F208" s="11"/>
    </x:row>
    <x:row r="209" ht="36" customHeight="1">
      <x:c r="A209" s="2" t="str">
        <x:v>84862000735</x:v>
      </x:c>
      <x:c r="B209" s="11" t="str">
        <x:v>2022/2023(01-12)</x:v>
      </x:c>
      <x:c r="C209" s="11" t="str">
        <x:v>949,867,656</x:v>
      </x:c>
      <x:c r="D209" s="11" t="str">
        <x:v>506,004,081</x:v>
      </x:c>
      <x:c r="E209" s="11"/>
      <x:c r="F209" s="11"/>
    </x:row>
    <x:row r="210" ht="36" customHeight="1">
      <x:c r="A210" s="2" t="str">
        <x:v>84862000735</x:v>
      </x:c>
      <x:c r="B210" s="11" t="str">
        <x:v>2022/2023 (01)</x:v>
      </x:c>
      <x:c r="C210" s="11" t="str">
        <x:v>13,754,322</x:v>
      </x:c>
      <x:c r="D210" s="11" t="str">
        <x:v>89,711,766</x:v>
      </x:c>
      <x:c r="E210" s="11"/>
      <x:c r="F210" s="11"/>
    </x:row>
    <x:row r="211" ht="36" customHeight="1">
      <x:c r="A211" s="2" t="str">
        <x:v>84862000735</x:v>
      </x:c>
      <x:c r="B211" s="11" t="str">
        <x:v>2022/2023 (02)</x:v>
      </x:c>
      <x:c r="C211" s="11" t="str">
        <x:v>48,486,121</x:v>
      </x:c>
      <x:c r="D211" s="11" t="str">
        <x:v>89,791,125</x:v>
      </x:c>
      <x:c r="E211" s="11"/>
      <x:c r="F211" s="11"/>
    </x:row>
    <x:row r="212" ht="36" customHeight="1">
      <x:c r="A212" s="2" t="str">
        <x:v>84862000735</x:v>
      </x:c>
      <x:c r="B212" s="11" t="str">
        <x:v>2022/2023 (03)</x:v>
      </x:c>
      <x:c r="C212" s="11" t="str">
        <x:v>65,395,576</x:v>
      </x:c>
      <x:c r="D212" s="11" t="str">
        <x:v>69,012,169</x:v>
      </x:c>
      <x:c r="E212" s="11"/>
      <x:c r="F212" s="11"/>
    </x:row>
    <x:row r="213" ht="36" customHeight="1">
      <x:c r="A213" s="2" t="str">
        <x:v>84862000735</x:v>
      </x:c>
      <x:c r="B213" s="11" t="str">
        <x:v>2022/2023 (04)</x:v>
      </x:c>
      <x:c r="C213" s="11" t="str">
        <x:v>79,404,759</x:v>
      </x:c>
      <x:c r="D213" s="11" t="str">
        <x:v>30,953,845</x:v>
      </x:c>
      <x:c r="E213" s="11"/>
      <x:c r="F213" s="11"/>
    </x:row>
    <x:row r="214" ht="36" customHeight="1">
      <x:c r="A214" s="2" t="str">
        <x:v>84862000735</x:v>
      </x:c>
      <x:c r="B214" s="11" t="str">
        <x:v>2022/2023 (05)</x:v>
      </x:c>
      <x:c r="C214" s="11" t="str">
        <x:v>89,922,700</x:v>
      </x:c>
      <x:c r="D214" s="11" t="str">
        <x:v>88,930,447</x:v>
      </x:c>
      <x:c r="E214" s="11"/>
      <x:c r="F214" s="11"/>
    </x:row>
    <x:row r="215" ht="36" customHeight="1">
      <x:c r="A215" s="2" t="str">
        <x:v>84862000735</x:v>
      </x:c>
      <x:c r="B215" s="11" t="str">
        <x:v>2022/2023 (06)</x:v>
      </x:c>
      <x:c r="C215" s="11" t="str">
        <x:v>52,595,668</x:v>
      </x:c>
      <x:c r="D215" s="11" t="str">
        <x:v>12,217,930</x:v>
      </x:c>
      <x:c r="E215" s="11"/>
      <x:c r="F215" s="11"/>
    </x:row>
    <x:row r="216" ht="36" customHeight="1">
      <x:c r="A216" s="2" t="str">
        <x:v>84862000735</x:v>
      </x:c>
      <x:c r="B216" s="11" t="str">
        <x:v>2022/2023 (07)</x:v>
      </x:c>
      <x:c r="C216" s="11" t="str">
        <x:v>62,092,789</x:v>
      </x:c>
      <x:c r="D216" s="11" t="str">
        <x:v>40,411,427</x:v>
      </x:c>
      <x:c r="E216" s="11"/>
      <x:c r="F216" s="11"/>
    </x:row>
    <x:row r="217" ht="36" customHeight="1">
      <x:c r="A217" s="2" t="str">
        <x:v>84862000735</x:v>
      </x:c>
      <x:c r="B217" s="11" t="str">
        <x:v>2022/2023 (08)</x:v>
      </x:c>
      <x:c r="C217" s="11" t="str">
        <x:v>111,636,996</x:v>
      </x:c>
      <x:c r="D217" s="11" t="str">
        <x:v>11,962,928</x:v>
      </x:c>
      <x:c r="E217" s="11"/>
      <x:c r="F217" s="11"/>
    </x:row>
    <x:row r="218" ht="36" customHeight="1">
      <x:c r="A218" s="2" t="str">
        <x:v>84862000735</x:v>
      </x:c>
      <x:c r="B218" s="11" t="str">
        <x:v>2022/2023 (09)</x:v>
      </x:c>
      <x:c r="C218" s="11" t="str">
        <x:v>63,968,089</x:v>
      </x:c>
      <x:c r="D218" s="11" t="str">
        <x:v>9,288,428</x:v>
      </x:c>
      <x:c r="E218" s="11"/>
      <x:c r="F218" s="11"/>
    </x:row>
    <x:row r="219" ht="36" customHeight="1">
      <x:c r="A219" s="2" t="str">
        <x:v>84862000735</x:v>
      </x:c>
      <x:c r="B219" s="11" t="str">
        <x:v>2022/2023 (10)</x:v>
      </x:c>
      <x:c r="C219" s="11" t="str">
        <x:v>111,527,878</x:v>
      </x:c>
      <x:c r="D219" s="11" t="str">
        <x:v>40,418,962</x:v>
      </x:c>
      <x:c r="E219" s="11"/>
      <x:c r="F219" s="11"/>
    </x:row>
    <x:row r="220" ht="36" customHeight="1">
      <x:c r="A220" s="2" t="str">
        <x:v>84862000735</x:v>
      </x:c>
      <x:c r="B220" s="11" t="str">
        <x:v>2022/2023 (11)</x:v>
      </x:c>
      <x:c r="C220" s="11" t="str">
        <x:v>143,224,326</x:v>
      </x:c>
      <x:c r="D220" s="11" t="str">
        <x:v>4,705,023</x:v>
      </x:c>
      <x:c r="E220" s="11"/>
      <x:c r="F220" s="11"/>
    </x:row>
    <x:row r="221" ht="36" customHeight="1">
      <x:c r="A221" s="2" t="str">
        <x:v>84862000735</x:v>
      </x:c>
      <x:c r="B221" s="11" t="str">
        <x:v>2022/2023 (12)</x:v>
      </x:c>
      <x:c r="C221" s="11" t="str">
        <x:v>107,858,432</x:v>
      </x:c>
      <x:c r="D221" s="11" t="str">
        <x:v>18,600,031</x:v>
      </x:c>
      <x:c r="E221" s="11"/>
      <x:c r="F221" s="11"/>
    </x:row>
    <x:row r="222" ht="36" customHeight="1">
      <x:c r="A222" s="2" t="str">
        <x:v>84862000735</x:v>
      </x:c>
      <x:c r="B222" s="11" t="str">
        <x:v>2023/2024(01-12)</x:v>
      </x:c>
      <x:c r="C222" s="11" t="str">
        <x:v>506,004,081</x:v>
      </x:c>
      <x:c r="D222" s="11" t="str">
        <x:v>442,868,770</x:v>
      </x:c>
      <x:c r="E222" s="11"/>
      <x:c r="F222" s="11"/>
    </x:row>
    <x:row r="223" ht="36" customHeight="1">
      <x:c r="A223" s="2" t="str">
        <x:v>84862000735</x:v>
      </x:c>
      <x:c r="B223" s="11" t="str">
        <x:v>2023/2024 (01)</x:v>
      </x:c>
      <x:c r="C223" s="11" t="str">
        <x:v>89,711,766</x:v>
      </x:c>
      <x:c r="D223" s="11" t="str">
        <x:v>32,494,538</x:v>
      </x:c>
      <x:c r="E223" s="11"/>
      <x:c r="F223" s="11"/>
    </x:row>
    <x:row r="224" ht="36" customHeight="1">
      <x:c r="A224" s="2" t="str">
        <x:v>84862000735</x:v>
      </x:c>
      <x:c r="B224" s="11" t="str">
        <x:v>2023/2024 (02)</x:v>
      </x:c>
      <x:c r="C224" s="11" t="str">
        <x:v>89,791,125</x:v>
      </x:c>
      <x:c r="D224" s="11" t="str">
        <x:v>4,175,677</x:v>
      </x:c>
      <x:c r="E224" s="11"/>
      <x:c r="F224" s="11"/>
    </x:row>
    <x:row r="225" ht="36" customHeight="1">
      <x:c r="A225" s="2" t="str">
        <x:v>84862000735</x:v>
      </x:c>
      <x:c r="B225" s="11" t="str">
        <x:v>2023/2024 (03)</x:v>
      </x:c>
      <x:c r="C225" s="11" t="str">
        <x:v>69,012,169</x:v>
      </x:c>
      <x:c r="D225" s="11" t="str">
        <x:v>6,710,231</x:v>
      </x:c>
      <x:c r="E225" s="11"/>
      <x:c r="F225" s="11"/>
    </x:row>
    <x:row r="226" ht="36" customHeight="1">
      <x:c r="A226" s="2" t="str">
        <x:v>84862000735</x:v>
      </x:c>
      <x:c r="B226" s="11" t="str">
        <x:v>2023/2024 (04)</x:v>
      </x:c>
      <x:c r="C226" s="11" t="str">
        <x:v>30,953,845</x:v>
      </x:c>
      <x:c r="D226" s="11" t="str">
        <x:v>44,073,021</x:v>
      </x:c>
      <x:c r="E226" s="11"/>
      <x:c r="F226" s="11"/>
    </x:row>
    <x:row r="227" ht="36" customHeight="1">
      <x:c r="A227" s="2" t="str">
        <x:v>84862000735</x:v>
      </x:c>
      <x:c r="B227" s="11" t="str">
        <x:v>2023/2024 (05)</x:v>
      </x:c>
      <x:c r="C227" s="11" t="str">
        <x:v>88,930,447</x:v>
      </x:c>
      <x:c r="D227" s="11" t="str">
        <x:v>3,635,688</x:v>
      </x:c>
      <x:c r="E227" s="11"/>
      <x:c r="F227" s="11"/>
    </x:row>
    <x:row r="228" ht="36" customHeight="1">
      <x:c r="A228" s="2" t="str">
        <x:v>84862000735</x:v>
      </x:c>
      <x:c r="B228" s="11" t="str">
        <x:v>2023/2024 (06)</x:v>
      </x:c>
      <x:c r="C228" s="11" t="str">
        <x:v>12,217,930</x:v>
      </x:c>
      <x:c r="D228" s="11" t="str">
        <x:v>44,987,994</x:v>
      </x:c>
      <x:c r="E228" s="11"/>
      <x:c r="F228" s="11"/>
    </x:row>
    <x:row r="229" ht="36" customHeight="1">
      <x:c r="A229" s="2" t="str">
        <x:v>84862000735</x:v>
      </x:c>
      <x:c r="B229" s="11" t="str">
        <x:v>2023/2024 (07)</x:v>
      </x:c>
      <x:c r="C229" s="11" t="str">
        <x:v>40,411,427</x:v>
      </x:c>
      <x:c r="D229" s="11" t="str">
        <x:v>55,221,446</x:v>
      </x:c>
      <x:c r="E229" s="11"/>
      <x:c r="F229" s="11"/>
    </x:row>
    <x:row r="230" ht="36" customHeight="1">
      <x:c r="A230" s="2" t="str">
        <x:v>84862000735</x:v>
      </x:c>
      <x:c r="B230" s="11" t="str">
        <x:v>2023/2024 (08)</x:v>
      </x:c>
      <x:c r="C230" s="11" t="str">
        <x:v>11,962,928</x:v>
      </x:c>
      <x:c r="D230" s="11" t="str">
        <x:v>26,667,383</x:v>
      </x:c>
      <x:c r="E230" s="11"/>
      <x:c r="F230" s="11"/>
    </x:row>
    <x:row r="231" ht="36" customHeight="1">
      <x:c r="A231" s="2" t="str">
        <x:v>84862000735</x:v>
      </x:c>
      <x:c r="B231" s="11" t="str">
        <x:v>2023/2024 (09)</x:v>
      </x:c>
      <x:c r="C231" s="11" t="str">
        <x:v>9,288,428</x:v>
      </x:c>
      <x:c r="D231" s="11" t="str">
        <x:v>52,722,116</x:v>
      </x:c>
      <x:c r="E231" s="11"/>
      <x:c r="F231" s="11"/>
    </x:row>
    <x:row r="232" ht="36" customHeight="1">
      <x:c r="A232" s="2" t="str">
        <x:v>84862000735</x:v>
      </x:c>
      <x:c r="B232" s="11" t="str">
        <x:v>2023/2024 (10)</x:v>
      </x:c>
      <x:c r="C232" s="11" t="str">
        <x:v>40,418,962</x:v>
      </x:c>
      <x:c r="D232" s="11" t="str">
        <x:v>40,304,531</x:v>
      </x:c>
      <x:c r="E232" s="11"/>
      <x:c r="F232" s="11"/>
    </x:row>
    <x:row r="233" ht="36" customHeight="1">
      <x:c r="A233" s="2" t="str">
        <x:v>84862000735</x:v>
      </x:c>
      <x:c r="B233" s="11" t="str">
        <x:v>2023/2024 (11)</x:v>
      </x:c>
      <x:c r="C233" s="11" t="str">
        <x:v>4,705,023</x:v>
      </x:c>
      <x:c r="D233" s="11" t="str">
        <x:v>38,581,381</x:v>
      </x:c>
      <x:c r="E233" s="11"/>
      <x:c r="F233" s="11"/>
    </x:row>
    <x:row r="234" ht="36" customHeight="1">
      <x:c r="A234" s="2" t="str">
        <x:v>84862000735</x:v>
      </x:c>
      <x:c r="B234" s="11" t="str">
        <x:v>2023/2024 (12)</x:v>
      </x:c>
      <x:c r="C234" s="11" t="str">
        <x:v>18,600,031</x:v>
      </x:c>
      <x:c r="D234" s="11" t="str">
        <x:v>93,294,764</x:v>
      </x:c>
      <x:c r="E234" s="11"/>
      <x:c r="F234" s="11"/>
    </x:row>
    <x:row r="235" ht="36" customHeight="1">
      <x:c r="A235" s="2" t="str">
        <x:v>84862000735</x:v>
      </x:c>
      <x:c r="B235" s="11" t="str">
        <x:v>2024/2025(01-12)</x:v>
      </x:c>
      <x:c r="C235" s="11" t="str">
        <x:v>442,868,770</x:v>
      </x:c>
      <x:c r="D235" s="11" t="str">
        <x:v>813,772,816</x:v>
      </x:c>
      <x:c r="E235" s="11"/>
      <x:c r="F235" s="11"/>
    </x:row>
    <x:row r="236" ht="36" customHeight="1">
      <x:c r="A236" s="2" t="str">
        <x:v>84862000735</x:v>
      </x:c>
      <x:c r="B236" s="11" t="str">
        <x:v>2024/2025 (01)</x:v>
      </x:c>
      <x:c r="C236" s="11" t="str">
        <x:v>32,494,538</x:v>
      </x:c>
      <x:c r="D236" s="11" t="str">
        <x:v>33,326,360</x:v>
      </x:c>
      <x:c r="E236" s="11"/>
      <x:c r="F236" s="11"/>
    </x:row>
    <x:row r="237" ht="36" customHeight="1">
      <x:c r="A237" s="2" t="str">
        <x:v>84862000735</x:v>
      </x:c>
      <x:c r="B237" s="11" t="str">
        <x:v>2024/2025 (02)</x:v>
      </x:c>
      <x:c r="C237" s="11" t="str">
        <x:v>4,175,677</x:v>
      </x:c>
      <x:c r="D237" s="11" t="str">
        <x:v>82,208,549</x:v>
      </x:c>
      <x:c r="E237" s="11"/>
      <x:c r="F237" s="11"/>
    </x:row>
    <x:row r="238" ht="36" customHeight="1">
      <x:c r="A238" s="2" t="str">
        <x:v>84862000735</x:v>
      </x:c>
      <x:c r="B238" s="11" t="str">
        <x:v>2024/2025 (03)</x:v>
      </x:c>
      <x:c r="C238" s="11" t="str">
        <x:v>6,710,231</x:v>
      </x:c>
      <x:c r="D238" s="11" t="str">
        <x:v>132,379,336</x:v>
      </x:c>
      <x:c r="E238" s="11"/>
      <x:c r="F238" s="11"/>
    </x:row>
    <x:row r="239" ht="36" customHeight="1">
      <x:c r="A239" s="2" t="str">
        <x:v>84862000735</x:v>
      </x:c>
      <x:c r="B239" s="11" t="str">
        <x:v>2024/2025 (04)</x:v>
      </x:c>
      <x:c r="C239" s="11" t="str">
        <x:v>44,073,021</x:v>
      </x:c>
      <x:c r="D239" s="11" t="str">
        <x:v>49,145,454</x:v>
      </x:c>
      <x:c r="E239" s="11"/>
      <x:c r="F239" s="11"/>
    </x:row>
    <x:row r="240" ht="36" customHeight="1">
      <x:c r="A240" s="2" t="str">
        <x:v>84862000735</x:v>
      </x:c>
      <x:c r="B240" s="11" t="str">
        <x:v>2024/2025 (05)</x:v>
      </x:c>
      <x:c r="C240" s="11" t="str">
        <x:v>3,635,688</x:v>
      </x:c>
      <x:c r="D240" s="11" t="str">
        <x:v>65,257,479</x:v>
      </x:c>
      <x:c r="E240" s="11"/>
      <x:c r="F240" s="11"/>
    </x:row>
    <x:row r="241" ht="36" customHeight="1">
      <x:c r="A241" s="2" t="str">
        <x:v>84862000735</x:v>
      </x:c>
      <x:c r="B241" s="11" t="str">
        <x:v>2024/2025 (06)</x:v>
      </x:c>
      <x:c r="C241" s="11" t="str">
        <x:v>44,987,994</x:v>
      </x:c>
      <x:c r="D241" s="11" t="str">
        <x:v>88,604,256</x:v>
      </x:c>
      <x:c r="E241" s="11"/>
      <x:c r="F241" s="11"/>
    </x:row>
    <x:row r="242" ht="36" customHeight="1">
      <x:c r="A242" s="2" t="str">
        <x:v>84862000735</x:v>
      </x:c>
      <x:c r="B242" s="11" t="str">
        <x:v>2024/2025 (07)</x:v>
      </x:c>
      <x:c r="C242" s="11" t="str">
        <x:v>55,221,446</x:v>
      </x:c>
      <x:c r="D242" s="11" t="str">
        <x:v>53,272,490</x:v>
      </x:c>
      <x:c r="E242" s="11"/>
      <x:c r="F242" s="11"/>
    </x:row>
    <x:row r="243" ht="36" customHeight="1">
      <x:c r="A243" s="2" t="str">
        <x:v>84862000735</x:v>
      </x:c>
      <x:c r="B243" s="11" t="str">
        <x:v>2024/2025 (08)</x:v>
      </x:c>
      <x:c r="C243" s="11" t="str">
        <x:v>26,667,383</x:v>
      </x:c>
      <x:c r="D243" s="11" t="str">
        <x:v>66,566,487</x:v>
      </x:c>
      <x:c r="E243" s="11"/>
      <x:c r="F243" s="11"/>
    </x:row>
    <x:row r="244" ht="36" customHeight="1">
      <x:c r="A244" s="2" t="str">
        <x:v>84862000735</x:v>
      </x:c>
      <x:c r="B244" s="11" t="str">
        <x:v>2024/2025 (09)</x:v>
      </x:c>
      <x:c r="C244" s="11" t="str">
        <x:v>52,722,116</x:v>
      </x:c>
      <x:c r="D244" s="11" t="str">
        <x:v>51,170,098</x:v>
      </x:c>
      <x:c r="E244" s="11"/>
      <x:c r="F244" s="11"/>
    </x:row>
    <x:row r="245" ht="36" customHeight="1">
      <x:c r="A245" s="2" t="str">
        <x:v>84862000735</x:v>
      </x:c>
      <x:c r="B245" s="11" t="str">
        <x:v>2024/2025 (10)</x:v>
      </x:c>
      <x:c r="C245" s="11" t="str">
        <x:v>40,304,531</x:v>
      </x:c>
      <x:c r="D245" s="11" t="str">
        <x:v>25,740,367</x:v>
      </x:c>
      <x:c r="E245" s="11"/>
      <x:c r="F245" s="11"/>
    </x:row>
    <x:row r="246" ht="36" customHeight="1">
      <x:c r="A246" s="2" t="str">
        <x:v>84862000735</x:v>
      </x:c>
      <x:c r="B246" s="11" t="str">
        <x:v>2024/2025 (11)</x:v>
      </x:c>
      <x:c r="C246" s="11" t="str">
        <x:v>38,581,381</x:v>
      </x:c>
      <x:c r="D246" s="11" t="str">
        <x:v>109,548,286</x:v>
      </x:c>
      <x:c r="E246" s="11"/>
      <x:c r="F246" s="11"/>
    </x:row>
    <x:row r="247" ht="36" customHeight="1">
      <x:c r="A247" s="2" t="str">
        <x:v>84862000735</x:v>
      </x:c>
      <x:c r="B247" s="11" t="str">
        <x:v>2024/2025 (12)</x:v>
      </x:c>
      <x:c r="C247" s="11" t="str">
        <x:v>93,294,764</x:v>
      </x:c>
      <x:c r="D247" s="11" t="str">
        <x:v>56,553,654</x:v>
      </x:c>
      <x:c r="E247" s="11"/>
      <x:c r="F247" s="11"/>
    </x:row>
    <x:row r="248" ht="36" customHeight="1">
      <x:c r="A248" s="2" t="str">
        <x:v>84862000735</x:v>
      </x:c>
      <x:c r="B248" s="11" t="str">
        <x:v>2025/2026(01-08)</x:v>
      </x:c>
      <x:c r="C248" s="11" t="str">
        <x:v>570,760,411</x:v>
      </x:c>
      <x:c r="D248" s="11" t="str">
        <x:v>700,699,827</x:v>
      </x:c>
      <x:c r="E248" s="11"/>
      <x:c r="F248" s="11"/>
    </x:row>
    <x:row r="249" ht="36" customHeight="1">
      <x:c r="A249" s="2" t="str">
        <x:v>84862000735</x:v>
      </x:c>
      <x:c r="B249" s="11" t="str">
        <x:v>2025/2026 (01)</x:v>
      </x:c>
      <x:c r="C249" s="11" t="str">
        <x:v>33,326,360</x:v>
      </x:c>
      <x:c r="D249" s="11" t="str">
        <x:v>72,335,555</x:v>
      </x:c>
      <x:c r="E249" s="11"/>
      <x:c r="F249" s="11"/>
    </x:row>
    <x:row r="250" ht="36" customHeight="1">
      <x:c r="A250" s="2" t="str">
        <x:v>84862000735</x:v>
      </x:c>
      <x:c r="B250" s="11" t="str">
        <x:v>2025/2026 (02)</x:v>
      </x:c>
      <x:c r="C250" s="11" t="str">
        <x:v>82,208,549</x:v>
      </x:c>
      <x:c r="D250" s="11" t="str">
        <x:v>67,839,403</x:v>
      </x:c>
      <x:c r="E250" s="11"/>
      <x:c r="F250" s="11"/>
    </x:row>
    <x:row r="251" ht="36" customHeight="1">
      <x:c r="A251" s="2" t="str">
        <x:v>84862000735</x:v>
      </x:c>
      <x:c r="B251" s="11" t="str">
        <x:v>2025/2026 (03)</x:v>
      </x:c>
      <x:c r="C251" s="11" t="str">
        <x:v>132,379,336</x:v>
      </x:c>
      <x:c r="D251" s="11" t="str">
        <x:v>95,399,810</x:v>
      </x:c>
      <x:c r="E251" s="11"/>
      <x:c r="F251" s="11"/>
    </x:row>
    <x:row r="252" ht="36" customHeight="1">
      <x:c r="A252" s="2" t="str">
        <x:v>84862000735</x:v>
      </x:c>
      <x:c r="B252" s="11" t="str">
        <x:v>2025/2026 (04)</x:v>
      </x:c>
      <x:c r="C252" s="11" t="str">
        <x:v>49,145,454</x:v>
      </x:c>
      <x:c r="D252" s="11" t="str">
        <x:v>65,548,164</x:v>
      </x:c>
      <x:c r="E252" s="11"/>
      <x:c r="F252" s="11"/>
    </x:row>
    <x:row r="253" ht="36" customHeight="1">
      <x:c r="A253" s="2" t="str">
        <x:v>84862000735</x:v>
      </x:c>
      <x:c r="B253" s="11" t="str">
        <x:v>2025/2026 (05)</x:v>
      </x:c>
      <x:c r="C253" s="11" t="str">
        <x:v>65,257,479</x:v>
      </x:c>
      <x:c r="D253" s="11" t="str">
        <x:v>58,295,624</x:v>
      </x:c>
      <x:c r="E253" s="11"/>
      <x:c r="F253" s="11"/>
    </x:row>
    <x:row r="254" ht="36" customHeight="1">
      <x:c r="A254" s="2" t="str">
        <x:v>84862000735</x:v>
      </x:c>
      <x:c r="B254" s="11" t="str">
        <x:v>2025/2026 (06)</x:v>
      </x:c>
      <x:c r="C254" s="11" t="str">
        <x:v>88,604,256</x:v>
      </x:c>
      <x:c r="D254" s="11" t="str">
        <x:v>182,052,978</x:v>
      </x:c>
      <x:c r="E254" s="11"/>
      <x:c r="F254" s="11"/>
    </x:row>
    <x:row r="255" ht="36" customHeight="1">
      <x:c r="A255" s="2" t="str">
        <x:v>84862000735</x:v>
      </x:c>
      <x:c r="B255" s="11" t="str">
        <x:v>2025/2026 (07)</x:v>
      </x:c>
      <x:c r="C255" s="11" t="str">
        <x:v>53,272,490</x:v>
      </x:c>
      <x:c r="D255" s="11" t="str">
        <x:v>86,151,314</x:v>
      </x:c>
      <x:c r="E255" s="11"/>
      <x:c r="F255" s="11"/>
    </x:row>
    <x:row r="256" ht="36" customHeight="1">
      <x:c r="A256" s="2" t="str">
        <x:v>84862000735</x:v>
      </x:c>
      <x:c r="B256" s="11" t="str">
        <x:v>2025/2026 (08)</x:v>
      </x:c>
      <x:c r="C256" s="11" t="str">
        <x:v>66,566,487</x:v>
      </x:c>
      <x:c r="D256" s="11" t="str">
        <x:v>73,076,979</x:v>
      </x:c>
      <x:c r="E256" s="11"/>
      <x:c r="F256" s="11"/>
    </x:row>
    <x:row r="257" ht="36" customHeight="1">
      <x:c r="A257" s="2" t="str">
        <x:v>84862000904</x:v>
      </x:c>
      <x:c r="B257" s="11" t="str">
        <x:v>Time Period : 2023/01 - 2026/08</x:v>
      </x:c>
      <x:c r="C257" s="11"/>
      <x:c r="D257" s="11"/>
      <x:c r="E257" s="11"/>
      <x:c r="F257" s="11"/>
    </x:row>
    <x:row r="258" ht="36" customHeight="1">
      <x:c r="A258" s="2" t="str">
        <x:v>84862000904</x:v>
      </x:c>
      <x:c r="B258" s="11" t="str">
        <x:v>MONTH</x:v>
      </x:c>
      <x:c r="C258" s="11" t="str">
        <x:v>2022/01 - 2025/08</x:v>
      </x:c>
      <x:c r="D258" s="11" t="str">
        <x:v>2023/01 - 2026/08</x:v>
      </x:c>
      <x:c r="E258" s="11"/>
      <x:c r="F258" s="11"/>
    </x:row>
    <x:row r="259" ht="36" customHeight="1">
      <x:c r="A259" s="2" t="str">
        <x:v>84862000904</x:v>
      </x:c>
      <x:c r="B259" s="11" t="str">
        <x:v>TOTAL</x:v>
      </x:c>
      <x:c r="C259" s="11" t="str">
        <x:v>975,995,949</x:v>
      </x:c>
      <x:c r="D259" s="11" t="str">
        <x:v>1,535,285,163</x:v>
      </x:c>
      <x:c r="E259" s="11"/>
      <x:c r="F259" s="11"/>
    </x:row>
    <x:row r="260" ht="36" customHeight="1">
      <x:c r="A260" s="2" t="str">
        <x:v>84862000904</x:v>
      </x:c>
      <x:c r="B260" s="11" t="str">
        <x:v>2022/2023(01-12)</x:v>
      </x:c>
      <x:c r="C260" s="11" t="str">
        <x:v>285,885,280</x:v>
      </x:c>
      <x:c r="D260" s="11" t="str">
        <x:v>142,577,073</x:v>
      </x:c>
      <x:c r="E260" s="11"/>
      <x:c r="F260" s="11"/>
    </x:row>
    <x:row r="261" ht="36" customHeight="1">
      <x:c r="A261" s="2" t="str">
        <x:v>84862000904</x:v>
      </x:c>
      <x:c r="B261" s="11" t="str">
        <x:v>2022/2023 (01)</x:v>
      </x:c>
      <x:c r="C261" s="11" t="str">
        <x:v>25,560,647</x:v>
      </x:c>
      <x:c r="D261" s="11" t="str">
        <x:v>18,638,986</x:v>
      </x:c>
      <x:c r="E261" s="11"/>
      <x:c r="F261" s="11"/>
    </x:row>
    <x:row r="262" ht="36" customHeight="1">
      <x:c r="A262" s="2" t="str">
        <x:v>84862000904</x:v>
      </x:c>
      <x:c r="B262" s="11" t="str">
        <x:v>2022/2023 (02)</x:v>
      </x:c>
      <x:c r="C262" s="11" t="str">
        <x:v>34,726,890</x:v>
      </x:c>
      <x:c r="D262" s="11" t="str">
        <x:v>13,188,045</x:v>
      </x:c>
      <x:c r="E262" s="11"/>
      <x:c r="F262" s="11"/>
    </x:row>
    <x:row r="263" ht="36" customHeight="1">
      <x:c r="A263" s="2" t="str">
        <x:v>84862000904</x:v>
      </x:c>
      <x:c r="B263" s="11" t="str">
        <x:v>2022/2023 (03)</x:v>
      </x:c>
      <x:c r="C263" s="11" t="str">
        <x:v>22,722,946</x:v>
      </x:c>
      <x:c r="D263" s="11" t="str">
        <x:v>8,335,360</x:v>
      </x:c>
      <x:c r="E263" s="11"/>
      <x:c r="F263" s="11"/>
    </x:row>
    <x:row r="264" ht="36" customHeight="1">
      <x:c r="A264" s="2" t="str">
        <x:v>84862000904</x:v>
      </x:c>
      <x:c r="B264" s="11" t="str">
        <x:v>2022/2023 (04)</x:v>
      </x:c>
      <x:c r="C264" s="11" t="str">
        <x:v>28,783,622</x:v>
      </x:c>
      <x:c r="D264" s="11" t="str">
        <x:v>12,731,633</x:v>
      </x:c>
      <x:c r="E264" s="11"/>
      <x:c r="F264" s="11"/>
    </x:row>
    <x:row r="265" ht="36" customHeight="1">
      <x:c r="A265" s="2" t="str">
        <x:v>84862000904</x:v>
      </x:c>
      <x:c r="B265" s="11" t="str">
        <x:v>2022/2023 (05)</x:v>
      </x:c>
      <x:c r="C265" s="11" t="str">
        <x:v>29,262,037</x:v>
      </x:c>
      <x:c r="D265" s="11" t="str">
        <x:v>9,335,333</x:v>
      </x:c>
      <x:c r="E265" s="11"/>
      <x:c r="F265" s="11"/>
    </x:row>
    <x:row r="266" ht="36" customHeight="1">
      <x:c r="A266" s="2" t="str">
        <x:v>84862000904</x:v>
      </x:c>
      <x:c r="B266" s="11" t="str">
        <x:v>2022/2023 (06)</x:v>
      </x:c>
      <x:c r="C266" s="11" t="str">
        <x:v>44,102,137</x:v>
      </x:c>
      <x:c r="D266" s="11" t="str">
        <x:v>8,789,425</x:v>
      </x:c>
      <x:c r="E266" s="11"/>
      <x:c r="F266" s="11"/>
    </x:row>
    <x:row r="267" ht="36" customHeight="1">
      <x:c r="A267" s="2" t="str">
        <x:v>84862000904</x:v>
      </x:c>
      <x:c r="B267" s="11" t="str">
        <x:v>2022/2023 (07)</x:v>
      </x:c>
      <x:c r="C267" s="11" t="str">
        <x:v>25,137,158</x:v>
      </x:c>
      <x:c r="D267" s="11" t="str">
        <x:v>13,181,380</x:v>
      </x:c>
      <x:c r="E267" s="11"/>
      <x:c r="F267" s="11"/>
    </x:row>
    <x:row r="268" ht="36" customHeight="1">
      <x:c r="A268" s="2" t="str">
        <x:v>84862000904</x:v>
      </x:c>
      <x:c r="B268" s="11" t="str">
        <x:v>2022/2023 (08)</x:v>
      </x:c>
      <x:c r="C268" s="11" t="str">
        <x:v>20,880,273</x:v>
      </x:c>
      <x:c r="D268" s="11" t="str">
        <x:v>6,057,902</x:v>
      </x:c>
      <x:c r="E268" s="11"/>
      <x:c r="F268" s="11"/>
    </x:row>
    <x:row r="269" ht="36" customHeight="1">
      <x:c r="A269" s="2" t="str">
        <x:v>84862000904</x:v>
      </x:c>
      <x:c r="B269" s="11" t="str">
        <x:v>2022/2023 (09)</x:v>
      </x:c>
      <x:c r="C269" s="11" t="str">
        <x:v>11,613,757</x:v>
      </x:c>
      <x:c r="D269" s="11" t="str">
        <x:v>8,333,171</x:v>
      </x:c>
      <x:c r="E269" s="11"/>
      <x:c r="F269" s="11"/>
    </x:row>
    <x:row r="270" ht="36" customHeight="1">
      <x:c r="A270" s="2" t="str">
        <x:v>84862000904</x:v>
      </x:c>
      <x:c r="B270" s="11" t="str">
        <x:v>2022/2023 (10)</x:v>
      </x:c>
      <x:c r="C270" s="11" t="str">
        <x:v>12,071,497</x:v>
      </x:c>
      <x:c r="D270" s="11" t="str">
        <x:v>11,081,630</x:v>
      </x:c>
      <x:c r="E270" s="11"/>
      <x:c r="F270" s="11"/>
    </x:row>
    <x:row r="271" ht="36" customHeight="1">
      <x:c r="A271" s="2" t="str">
        <x:v>84862000904</x:v>
      </x:c>
      <x:c r="B271" s="11" t="str">
        <x:v>2022/2023 (11)</x:v>
      </x:c>
      <x:c r="C271" s="11" t="str">
        <x:v>14,468,230</x:v>
      </x:c>
      <x:c r="D271" s="11" t="str">
        <x:v>13,950,313</x:v>
      </x:c>
      <x:c r="E271" s="11"/>
      <x:c r="F271" s="11"/>
    </x:row>
    <x:row r="272" ht="36" customHeight="1">
      <x:c r="A272" s="2" t="str">
        <x:v>84862000904</x:v>
      </x:c>
      <x:c r="B272" s="11" t="str">
        <x:v>2022/2023 (12)</x:v>
      </x:c>
      <x:c r="C272" s="11" t="str">
        <x:v>16,556,086</x:v>
      </x:c>
      <x:c r="D272" s="11" t="str">
        <x:v>18,953,895</x:v>
      </x:c>
      <x:c r="E272" s="11"/>
      <x:c r="F272" s="11"/>
    </x:row>
    <x:row r="273" ht="36" customHeight="1">
      <x:c r="A273" s="2" t="str">
        <x:v>84862000904</x:v>
      </x:c>
      <x:c r="B273" s="11" t="str">
        <x:v>2023/2024(01-12)</x:v>
      </x:c>
      <x:c r="C273" s="11" t="str">
        <x:v>142,577,073</x:v>
      </x:c>
      <x:c r="D273" s="11" t="str">
        <x:v>237,879,563</x:v>
      </x:c>
      <x:c r="E273" s="11"/>
      <x:c r="F273" s="11"/>
    </x:row>
    <x:row r="274" ht="36" customHeight="1">
      <x:c r="A274" s="2" t="str">
        <x:v>84862000904</x:v>
      </x:c>
      <x:c r="B274" s="11" t="str">
        <x:v>2023/2024 (01)</x:v>
      </x:c>
      <x:c r="C274" s="11" t="str">
        <x:v>18,638,986</x:v>
      </x:c>
      <x:c r="D274" s="11" t="str">
        <x:v>14,629,500</x:v>
      </x:c>
      <x:c r="E274" s="11"/>
      <x:c r="F274" s="11"/>
    </x:row>
    <x:row r="275" ht="36" customHeight="1">
      <x:c r="A275" s="2" t="str">
        <x:v>84862000904</x:v>
      </x:c>
      <x:c r="B275" s="11" t="str">
        <x:v>2023/2024 (02)</x:v>
      </x:c>
      <x:c r="C275" s="11" t="str">
        <x:v>13,188,045</x:v>
      </x:c>
      <x:c r="D275" s="11" t="str">
        <x:v>16,180,812</x:v>
      </x:c>
      <x:c r="E275" s="11"/>
      <x:c r="F275" s="11"/>
    </x:row>
    <x:row r="276" ht="36" customHeight="1">
      <x:c r="A276" s="2" t="str">
        <x:v>84862000904</x:v>
      </x:c>
      <x:c r="B276" s="11" t="str">
        <x:v>2023/2024 (03)</x:v>
      </x:c>
      <x:c r="C276" s="11" t="str">
        <x:v>8,335,360</x:v>
      </x:c>
      <x:c r="D276" s="11" t="str">
        <x:v>16,925,500</x:v>
      </x:c>
      <x:c r="E276" s="11"/>
      <x:c r="F276" s="11"/>
    </x:row>
    <x:row r="277" ht="36" customHeight="1">
      <x:c r="A277" s="2" t="str">
        <x:v>84862000904</x:v>
      </x:c>
      <x:c r="B277" s="11" t="str">
        <x:v>2023/2024 (04)</x:v>
      </x:c>
      <x:c r="C277" s="11" t="str">
        <x:v>12,731,633</x:v>
      </x:c>
      <x:c r="D277" s="11" t="str">
        <x:v>15,968,814</x:v>
      </x:c>
      <x:c r="E277" s="11"/>
      <x:c r="F277" s="11"/>
    </x:row>
    <x:row r="278" ht="36" customHeight="1">
      <x:c r="A278" s="2" t="str">
        <x:v>84862000904</x:v>
      </x:c>
      <x:c r="B278" s="11" t="str">
        <x:v>2023/2024 (05)</x:v>
      </x:c>
      <x:c r="C278" s="11" t="str">
        <x:v>9,335,333</x:v>
      </x:c>
      <x:c r="D278" s="11" t="str">
        <x:v>8,413,239</x:v>
      </x:c>
      <x:c r="E278" s="11"/>
      <x:c r="F278" s="11"/>
    </x:row>
    <x:row r="279" ht="36" customHeight="1">
      <x:c r="A279" s="2" t="str">
        <x:v>84862000904</x:v>
      </x:c>
      <x:c r="B279" s="11" t="str">
        <x:v>2023/2024 (06)</x:v>
      </x:c>
      <x:c r="C279" s="11" t="str">
        <x:v>8,789,425</x:v>
      </x:c>
      <x:c r="D279" s="11" t="str">
        <x:v>24,107,858</x:v>
      </x:c>
      <x:c r="E279" s="11"/>
      <x:c r="F279" s="11"/>
    </x:row>
    <x:row r="280" ht="36" customHeight="1">
      <x:c r="A280" s="2" t="str">
        <x:v>84862000904</x:v>
      </x:c>
      <x:c r="B280" s="11" t="str">
        <x:v>2023/2024 (07)</x:v>
      </x:c>
      <x:c r="C280" s="11" t="str">
        <x:v>13,181,380</x:v>
      </x:c>
      <x:c r="D280" s="11" t="str">
        <x:v>26,696,059</x:v>
      </x:c>
      <x:c r="E280" s="11"/>
      <x:c r="F280" s="11"/>
    </x:row>
    <x:row r="281" ht="36" customHeight="1">
      <x:c r="A281" s="2" t="str">
        <x:v>84862000904</x:v>
      </x:c>
      <x:c r="B281" s="11" t="str">
        <x:v>2023/2024 (08)</x:v>
      </x:c>
      <x:c r="C281" s="11" t="str">
        <x:v>6,057,902</x:v>
      </x:c>
      <x:c r="D281" s="11" t="str">
        <x:v>24,298,404</x:v>
      </x:c>
      <x:c r="E281" s="11"/>
      <x:c r="F281" s="11"/>
    </x:row>
    <x:row r="282" ht="36" customHeight="1">
      <x:c r="A282" s="2" t="str">
        <x:v>84862000904</x:v>
      </x:c>
      <x:c r="B282" s="11" t="str">
        <x:v>2023/2024 (09)</x:v>
      </x:c>
      <x:c r="C282" s="11" t="str">
        <x:v>8,333,171</x:v>
      </x:c>
      <x:c r="D282" s="11" t="str">
        <x:v>19,153,300</x:v>
      </x:c>
      <x:c r="E282" s="11"/>
      <x:c r="F282" s="11"/>
    </x:row>
    <x:row r="283" ht="36" customHeight="1">
      <x:c r="A283" s="2" t="str">
        <x:v>84862000904</x:v>
      </x:c>
      <x:c r="B283" s="11" t="str">
        <x:v>2023/2024 (10)</x:v>
      </x:c>
      <x:c r="C283" s="11" t="str">
        <x:v>11,081,630</x:v>
      </x:c>
      <x:c r="D283" s="11" t="str">
        <x:v>22,268,207</x:v>
      </x:c>
      <x:c r="E283" s="11"/>
      <x:c r="F283" s="11"/>
    </x:row>
    <x:row r="284" ht="36" customHeight="1">
      <x:c r="A284" s="2" t="str">
        <x:v>84862000904</x:v>
      </x:c>
      <x:c r="B284" s="11" t="str">
        <x:v>2023/2024 (11)</x:v>
      </x:c>
      <x:c r="C284" s="11" t="str">
        <x:v>13,950,313</x:v>
      </x:c>
      <x:c r="D284" s="11" t="str">
        <x:v>24,321,482</x:v>
      </x:c>
      <x:c r="E284" s="11"/>
      <x:c r="F284" s="11"/>
    </x:row>
    <x:row r="285" ht="36" customHeight="1">
      <x:c r="A285" s="2" t="str">
        <x:v>84862000904</x:v>
      </x:c>
      <x:c r="B285" s="11" t="str">
        <x:v>2023/2024 (12)</x:v>
      </x:c>
      <x:c r="C285" s="11" t="str">
        <x:v>18,953,895</x:v>
      </x:c>
      <x:c r="D285" s="11" t="str">
        <x:v>24,916,388</x:v>
      </x:c>
      <x:c r="E285" s="11"/>
      <x:c r="F285" s="11"/>
    </x:row>
    <x:row r="286" ht="36" customHeight="1">
      <x:c r="A286" s="2" t="str">
        <x:v>84862000904</x:v>
      </x:c>
      <x:c r="B286" s="11" t="str">
        <x:v>2024/2025(01-12)</x:v>
      </x:c>
      <x:c r="C286" s="11" t="str">
        <x:v>237,879,563</x:v>
      </x:c>
      <x:c r="D286" s="11" t="str">
        <x:v>536,151,583</x:v>
      </x:c>
      <x:c r="E286" s="11"/>
      <x:c r="F286" s="11"/>
    </x:row>
    <x:row r="287" ht="36" customHeight="1">
      <x:c r="A287" s="2" t="str">
        <x:v>84862000904</x:v>
      </x:c>
      <x:c r="B287" s="11" t="str">
        <x:v>2024/2025 (01)</x:v>
      </x:c>
      <x:c r="C287" s="11" t="str">
        <x:v>14,629,500</x:v>
      </x:c>
      <x:c r="D287" s="11" t="str">
        <x:v>11,809,968</x:v>
      </x:c>
      <x:c r="E287" s="11"/>
      <x:c r="F287" s="11"/>
    </x:row>
    <x:row r="288" ht="36" customHeight="1">
      <x:c r="A288" s="2" t="str">
        <x:v>84862000904</x:v>
      </x:c>
      <x:c r="B288" s="11" t="str">
        <x:v>2024/2025 (02)</x:v>
      </x:c>
      <x:c r="C288" s="11" t="str">
        <x:v>16,180,812</x:v>
      </x:c>
      <x:c r="D288" s="11" t="str">
        <x:v>22,180,097</x:v>
      </x:c>
      <x:c r="E288" s="11"/>
      <x:c r="F288" s="11"/>
    </x:row>
    <x:row r="289" ht="36" customHeight="1">
      <x:c r="A289" s="2" t="str">
        <x:v>84862000904</x:v>
      </x:c>
      <x:c r="B289" s="11" t="str">
        <x:v>2024/2025 (03)</x:v>
      </x:c>
      <x:c r="C289" s="11" t="str">
        <x:v>16,925,500</x:v>
      </x:c>
      <x:c r="D289" s="11" t="str">
        <x:v>42,419,874</x:v>
      </x:c>
      <x:c r="E289" s="11"/>
      <x:c r="F289" s="11"/>
    </x:row>
    <x:row r="290" ht="36" customHeight="1">
      <x:c r="A290" s="2" t="str">
        <x:v>84862000904</x:v>
      </x:c>
      <x:c r="B290" s="11" t="str">
        <x:v>2024/2025 (04)</x:v>
      </x:c>
      <x:c r="C290" s="11" t="str">
        <x:v>15,968,814</x:v>
      </x:c>
      <x:c r="D290" s="11" t="str">
        <x:v>50,848,278</x:v>
      </x:c>
      <x:c r="E290" s="11"/>
      <x:c r="F290" s="11"/>
    </x:row>
    <x:row r="291" ht="36" customHeight="1">
      <x:c r="A291" s="2" t="str">
        <x:v>84862000904</x:v>
      </x:c>
      <x:c r="B291" s="11" t="str">
        <x:v>2024/2025 (05)</x:v>
      </x:c>
      <x:c r="C291" s="11" t="str">
        <x:v>8,413,239</x:v>
      </x:c>
      <x:c r="D291" s="11" t="str">
        <x:v>57,746,527</x:v>
      </x:c>
      <x:c r="E291" s="11"/>
      <x:c r="F291" s="11"/>
    </x:row>
    <x:row r="292" ht="36" customHeight="1">
      <x:c r="A292" s="2" t="str">
        <x:v>84862000904</x:v>
      </x:c>
      <x:c r="B292" s="11" t="str">
        <x:v>2024/2025 (06)</x:v>
      </x:c>
      <x:c r="C292" s="11" t="str">
        <x:v>24,107,858</x:v>
      </x:c>
      <x:c r="D292" s="11" t="str">
        <x:v>60,965,331</x:v>
      </x:c>
      <x:c r="E292" s="11"/>
      <x:c r="F292" s="11"/>
    </x:row>
    <x:row r="293" ht="36" customHeight="1">
      <x:c r="A293" s="2" t="str">
        <x:v>84862000904</x:v>
      </x:c>
      <x:c r="B293" s="11" t="str">
        <x:v>2024/2025 (07)</x:v>
      </x:c>
      <x:c r="C293" s="11" t="str">
        <x:v>26,696,059</x:v>
      </x:c>
      <x:c r="D293" s="11" t="str">
        <x:v>39,397,051</x:v>
      </x:c>
      <x:c r="E293" s="11"/>
      <x:c r="F293" s="11"/>
    </x:row>
    <x:row r="294" ht="36" customHeight="1">
      <x:c r="A294" s="2" t="str">
        <x:v>84862000904</x:v>
      </x:c>
      <x:c r="B294" s="11" t="str">
        <x:v>2024/2025 (08)</x:v>
      </x:c>
      <x:c r="C294" s="11" t="str">
        <x:v>24,298,404</x:v>
      </x:c>
      <x:c r="D294" s="11" t="str">
        <x:v>24,286,907</x:v>
      </x:c>
      <x:c r="E294" s="11"/>
      <x:c r="F294" s="11"/>
    </x:row>
    <x:row r="295" ht="36" customHeight="1">
      <x:c r="A295" s="2" t="str">
        <x:v>84862000904</x:v>
      </x:c>
      <x:c r="B295" s="11" t="str">
        <x:v>2024/2025 (09)</x:v>
      </x:c>
      <x:c r="C295" s="11" t="str">
        <x:v>19,153,300</x:v>
      </x:c>
      <x:c r="D295" s="11" t="str">
        <x:v>39,478,742</x:v>
      </x:c>
      <x:c r="E295" s="11"/>
      <x:c r="F295" s="11"/>
    </x:row>
    <x:row r="296" ht="36" customHeight="1">
      <x:c r="A296" s="2" t="str">
        <x:v>84862000904</x:v>
      </x:c>
      <x:c r="B296" s="11" t="str">
        <x:v>2024/2025 (10)</x:v>
      </x:c>
      <x:c r="C296" s="11" t="str">
        <x:v>22,268,207</x:v>
      </x:c>
      <x:c r="D296" s="11" t="str">
        <x:v>38,024,146</x:v>
      </x:c>
      <x:c r="E296" s="11"/>
      <x:c r="F296" s="11"/>
    </x:row>
    <x:row r="297" ht="36" customHeight="1">
      <x:c r="A297" s="2" t="str">
        <x:v>84862000904</x:v>
      </x:c>
      <x:c r="B297" s="11" t="str">
        <x:v>2024/2025 (11)</x:v>
      </x:c>
      <x:c r="C297" s="11" t="str">
        <x:v>24,321,482</x:v>
      </x:c>
      <x:c r="D297" s="11" t="str">
        <x:v>72,224,773</x:v>
      </x:c>
      <x:c r="E297" s="11"/>
      <x:c r="F297" s="11"/>
    </x:row>
    <x:row r="298" ht="36" customHeight="1">
      <x:c r="A298" s="2" t="str">
        <x:v>84862000904</x:v>
      </x:c>
      <x:c r="B298" s="11" t="str">
        <x:v>2024/2025 (12)</x:v>
      </x:c>
      <x:c r="C298" s="11" t="str">
        <x:v>24,916,388</x:v>
      </x:c>
      <x:c r="D298" s="11" t="str">
        <x:v>76,769,889</x:v>
      </x:c>
      <x:c r="E298" s="11"/>
      <x:c r="F298" s="11"/>
    </x:row>
    <x:row r="299" ht="36" customHeight="1">
      <x:c r="A299" s="2" t="str">
        <x:v>84862000904</x:v>
      </x:c>
      <x:c r="B299" s="11" t="str">
        <x:v>2025/2026(01-08)</x:v>
      </x:c>
      <x:c r="C299" s="11" t="str">
        <x:v>309,654,033</x:v>
      </x:c>
      <x:c r="D299" s="11" t="str">
        <x:v>618,676,944</x:v>
      </x:c>
      <x:c r="E299" s="11"/>
      <x:c r="F299" s="11"/>
    </x:row>
    <x:row r="300" ht="36" customHeight="1">
      <x:c r="A300" s="2" t="str">
        <x:v>84862000904</x:v>
      </x:c>
      <x:c r="B300" s="11" t="str">
        <x:v>2025/2026 (01)</x:v>
      </x:c>
      <x:c r="C300" s="11" t="str">
        <x:v>11,809,968</x:v>
      </x:c>
      <x:c r="D300" s="11" t="str">
        <x:v>44,491,982</x:v>
      </x:c>
      <x:c r="E300" s="11"/>
      <x:c r="F300" s="11"/>
    </x:row>
    <x:row r="301" ht="36" customHeight="1">
      <x:c r="A301" s="2" t="str">
        <x:v>84862000904</x:v>
      </x:c>
      <x:c r="B301" s="11" t="str">
        <x:v>2025/2026 (02)</x:v>
      </x:c>
      <x:c r="C301" s="11" t="str">
        <x:v>22,180,097</x:v>
      </x:c>
      <x:c r="D301" s="11" t="str">
        <x:v>38,680,046</x:v>
      </x:c>
      <x:c r="E301" s="11"/>
      <x:c r="F301" s="11"/>
    </x:row>
    <x:row r="302" ht="36" customHeight="1">
      <x:c r="A302" s="2" t="str">
        <x:v>84862000904</x:v>
      </x:c>
      <x:c r="B302" s="11" t="str">
        <x:v>2025/2026 (03)</x:v>
      </x:c>
      <x:c r="C302" s="11" t="str">
        <x:v>42,419,874</x:v>
      </x:c>
      <x:c r="D302" s="11" t="str">
        <x:v>106,927,784</x:v>
      </x:c>
      <x:c r="E302" s="11"/>
      <x:c r="F302" s="11"/>
    </x:row>
    <x:row r="303" ht="36" customHeight="1">
      <x:c r="A303" s="2" t="str">
        <x:v>84862000904</x:v>
      </x:c>
      <x:c r="B303" s="11" t="str">
        <x:v>2025/2026 (04)</x:v>
      </x:c>
      <x:c r="C303" s="11" t="str">
        <x:v>50,848,278</x:v>
      </x:c>
      <x:c r="D303" s="11" t="str">
        <x:v>64,231,753</x:v>
      </x:c>
      <x:c r="E303" s="11"/>
      <x:c r="F303" s="11"/>
    </x:row>
    <x:row r="304" ht="36" customHeight="1">
      <x:c r="A304" s="2" t="str">
        <x:v>84862000904</x:v>
      </x:c>
      <x:c r="B304" s="11" t="str">
        <x:v>2025/2026 (05)</x:v>
      </x:c>
      <x:c r="C304" s="11" t="str">
        <x:v>57,746,527</x:v>
      </x:c>
      <x:c r="D304" s="11" t="str">
        <x:v>58,948,075</x:v>
      </x:c>
      <x:c r="E304" s="11"/>
      <x:c r="F304" s="11"/>
    </x:row>
    <x:row r="305" ht="36" customHeight="1">
      <x:c r="A305" s="2" t="str">
        <x:v>84862000904</x:v>
      </x:c>
      <x:c r="B305" s="11" t="str">
        <x:v>2025/2026 (06)</x:v>
      </x:c>
      <x:c r="C305" s="11" t="str">
        <x:v>60,965,331</x:v>
      </x:c>
      <x:c r="D305" s="11" t="str">
        <x:v>91,861,302</x:v>
      </x:c>
      <x:c r="E305" s="11"/>
      <x:c r="F305" s="11"/>
    </x:row>
    <x:row r="306" ht="36" customHeight="1">
      <x:c r="A306" s="2" t="str">
        <x:v>84862000904</x:v>
      </x:c>
      <x:c r="B306" s="11" t="str">
        <x:v>2025/2026 (07)</x:v>
      </x:c>
      <x:c r="C306" s="11" t="str">
        <x:v>39,397,051</x:v>
      </x:c>
      <x:c r="D306" s="11" t="str">
        <x:v>135,651,607</x:v>
      </x:c>
      <x:c r="E306" s="11"/>
      <x:c r="F306" s="11"/>
    </x:row>
    <x:row r="307" ht="36" customHeight="1">
      <x:c r="A307" s="2" t="str">
        <x:v>84862000904</x:v>
      </x:c>
      <x:c r="B307" s="11" t="str">
        <x:v>2025/2026 (08)</x:v>
      </x:c>
      <x:c r="C307" s="11" t="str">
        <x:v>24,286,907</x:v>
      </x:c>
      <x:c r="D307" s="11" t="str">
        <x:v>77,884,395</x:v>
      </x:c>
      <x:c r="E307" s="11"/>
      <x:c r="F307" s="11"/>
    </x:row>
    <x:row r="308" ht="36" customHeight="1">
      <x:c r="A308" s="2" t="str">
        <x:v>84864000900</x:v>
      </x:c>
      <x:c r="B308" s="11" t="str">
        <x:v>Time Period : 2023/01 - 2026/08</x:v>
      </x:c>
      <x:c r="C308" s="11"/>
      <x:c r="D308" s="11"/>
      <x:c r="E308" s="11"/>
      <x:c r="F308" s="11"/>
    </x:row>
    <x:row r="309" ht="36" customHeight="1">
      <x:c r="A309" s="2" t="str">
        <x:v>84864000900</x:v>
      </x:c>
      <x:c r="B309" s="11" t="str">
        <x:v>MONTH</x:v>
      </x:c>
      <x:c r="C309" s="11" t="str">
        <x:v>2022/01 - 2025/08</x:v>
      </x:c>
      <x:c r="D309" s="11" t="str">
        <x:v>2023/01 - 2026/08</x:v>
      </x:c>
      <x:c r="E309" s="11"/>
      <x:c r="F309" s="11"/>
    </x:row>
    <x:row r="310" ht="36" customHeight="1">
      <x:c r="A310" s="2" t="str">
        <x:v>84864000900</x:v>
      </x:c>
      <x:c r="B310" s="11" t="str">
        <x:v>TOTAL</x:v>
      </x:c>
      <x:c r="C310" s="11" t="str">
        <x:v>475,098,446</x:v>
      </x:c>
      <x:c r="D310" s="11" t="str">
        <x:v>444,622,925</x:v>
      </x:c>
      <x:c r="E310" s="11"/>
      <x:c r="F310" s="11"/>
    </x:row>
    <x:row r="311" ht="36" customHeight="1">
      <x:c r="A311" s="2" t="str">
        <x:v>84864000900</x:v>
      </x:c>
      <x:c r="B311" s="11" t="str">
        <x:v>2022/2023(01-12)</x:v>
      </x:c>
      <x:c r="C311" s="11" t="str">
        <x:v>177,158,264</x:v>
      </x:c>
      <x:c r="D311" s="11" t="str">
        <x:v>92,333,112</x:v>
      </x:c>
      <x:c r="E311" s="11"/>
      <x:c r="F311" s="11"/>
    </x:row>
    <x:row r="312" ht="36" customHeight="1">
      <x:c r="A312" s="2" t="str">
        <x:v>84864000900</x:v>
      </x:c>
      <x:c r="B312" s="11" t="str">
        <x:v>2022/2023 (01)</x:v>
      </x:c>
      <x:c r="C312" s="11" t="str">
        <x:v>11,915,041</x:v>
      </x:c>
      <x:c r="D312" s="11" t="str">
        <x:v>4,366,305</x:v>
      </x:c>
      <x:c r="E312" s="11"/>
      <x:c r="F312" s="11"/>
    </x:row>
    <x:row r="313" ht="36" customHeight="1">
      <x:c r="A313" s="2" t="str">
        <x:v>84864000900</x:v>
      </x:c>
      <x:c r="B313" s="11" t="str">
        <x:v>2022/2023 (02)</x:v>
      </x:c>
      <x:c r="C313" s="11" t="str">
        <x:v>42,096,477</x:v>
      </x:c>
      <x:c r="D313" s="11" t="str">
        <x:v>9,344,852</x:v>
      </x:c>
      <x:c r="E313" s="11"/>
      <x:c r="F313" s="11"/>
    </x:row>
    <x:row r="314" ht="36" customHeight="1">
      <x:c r="A314" s="2" t="str">
        <x:v>84864000900</x:v>
      </x:c>
      <x:c r="B314" s="11" t="str">
        <x:v>2022/2023 (03)</x:v>
      </x:c>
      <x:c r="C314" s="11" t="str">
        <x:v>26,996,961</x:v>
      </x:c>
      <x:c r="D314" s="11" t="str">
        <x:v>8,691,202</x:v>
      </x:c>
      <x:c r="E314" s="11"/>
      <x:c r="F314" s="11"/>
    </x:row>
    <x:row r="315" ht="36" customHeight="1">
      <x:c r="A315" s="2" t="str">
        <x:v>84864000900</x:v>
      </x:c>
      <x:c r="B315" s="11" t="str">
        <x:v>2022/2023 (04)</x:v>
      </x:c>
      <x:c r="C315" s="11" t="str">
        <x:v>8,584,966</x:v>
      </x:c>
      <x:c r="D315" s="11" t="str">
        <x:v>9,400,695</x:v>
      </x:c>
      <x:c r="E315" s="11"/>
      <x:c r="F315" s="11"/>
    </x:row>
    <x:row r="316" ht="36" customHeight="1">
      <x:c r="A316" s="2" t="str">
        <x:v>84864000900</x:v>
      </x:c>
      <x:c r="B316" s="11" t="str">
        <x:v>2022/2023 (05)</x:v>
      </x:c>
      <x:c r="C316" s="11" t="str">
        <x:v>9,541,948</x:v>
      </x:c>
      <x:c r="D316" s="11" t="str">
        <x:v>8,836,441</x:v>
      </x:c>
      <x:c r="E316" s="11"/>
      <x:c r="F316" s="11"/>
    </x:row>
    <x:row r="317" ht="36" customHeight="1">
      <x:c r="A317" s="2" t="str">
        <x:v>84864000900</x:v>
      </x:c>
      <x:c r="B317" s="11" t="str">
        <x:v>2022/2023 (06)</x:v>
      </x:c>
      <x:c r="C317" s="11" t="str">
        <x:v>16,253,909</x:v>
      </x:c>
      <x:c r="D317" s="11" t="str">
        <x:v>4,423,202</x:v>
      </x:c>
      <x:c r="E317" s="11"/>
      <x:c r="F317" s="11"/>
    </x:row>
    <x:row r="318" ht="36" customHeight="1">
      <x:c r="A318" s="2" t="str">
        <x:v>84864000900</x:v>
      </x:c>
      <x:c r="B318" s="11" t="str">
        <x:v>2022/2023 (07)</x:v>
      </x:c>
      <x:c r="C318" s="11" t="str">
        <x:v>15,910,662</x:v>
      </x:c>
      <x:c r="D318" s="11" t="str">
        <x:v>10,542,841</x:v>
      </x:c>
      <x:c r="E318" s="11"/>
      <x:c r="F318" s="11"/>
    </x:row>
    <x:row r="319" ht="36" customHeight="1">
      <x:c r="A319" s="2" t="str">
        <x:v>84864000900</x:v>
      </x:c>
      <x:c r="B319" s="11" t="str">
        <x:v>2022/2023 (08)</x:v>
      </x:c>
      <x:c r="C319" s="11" t="str">
        <x:v>6,768,317</x:v>
      </x:c>
      <x:c r="D319" s="11" t="str">
        <x:v>9,283,536</x:v>
      </x:c>
      <x:c r="E319" s="11"/>
      <x:c r="F319" s="11"/>
    </x:row>
    <x:row r="320" ht="36" customHeight="1">
      <x:c r="A320" s="2" t="str">
        <x:v>84864000900</x:v>
      </x:c>
      <x:c r="B320" s="11" t="str">
        <x:v>2022/2023 (09)</x:v>
      </x:c>
      <x:c r="C320" s="11" t="str">
        <x:v>8,207,821</x:v>
      </x:c>
      <x:c r="D320" s="11" t="str">
        <x:v>5,736,975</x:v>
      </x:c>
      <x:c r="E320" s="11"/>
      <x:c r="F320" s="11"/>
    </x:row>
    <x:row r="321" ht="36" customHeight="1">
      <x:c r="A321" s="2" t="str">
        <x:v>84864000900</x:v>
      </x:c>
      <x:c r="B321" s="11" t="str">
        <x:v>2022/2023 (10)</x:v>
      </x:c>
      <x:c r="C321" s="11" t="str">
        <x:v>13,304,604</x:v>
      </x:c>
      <x:c r="D321" s="11" t="str">
        <x:v>9,878,772</x:v>
      </x:c>
      <x:c r="E321" s="11"/>
      <x:c r="F321" s="11"/>
    </x:row>
    <x:row r="322" ht="36" customHeight="1">
      <x:c r="A322" s="2" t="str">
        <x:v>84864000900</x:v>
      </x:c>
      <x:c r="B322" s="11" t="str">
        <x:v>2022/2023 (11)</x:v>
      </x:c>
      <x:c r="C322" s="11" t="str">
        <x:v>8,663,622</x:v>
      </x:c>
      <x:c r="D322" s="11" t="str">
        <x:v>5,060,341</x:v>
      </x:c>
      <x:c r="E322" s="11"/>
      <x:c r="F322" s="11"/>
    </x:row>
    <x:row r="323" ht="36" customHeight="1">
      <x:c r="A323" s="2" t="str">
        <x:v>84864000900</x:v>
      </x:c>
      <x:c r="B323" s="11" t="str">
        <x:v>2022/2023 (12)</x:v>
      </x:c>
      <x:c r="C323" s="11" t="str">
        <x:v>8,913,936</x:v>
      </x:c>
      <x:c r="D323" s="11" t="str">
        <x:v>6,767,950</x:v>
      </x:c>
      <x:c r="E323" s="11"/>
      <x:c r="F323" s="11"/>
    </x:row>
    <x:row r="324" ht="36" customHeight="1">
      <x:c r="A324" s="2" t="str">
        <x:v>84864000900</x:v>
      </x:c>
      <x:c r="B324" s="11" t="str">
        <x:v>2023/2024(01-12)</x:v>
      </x:c>
      <x:c r="C324" s="11" t="str">
        <x:v>92,333,112</x:v>
      </x:c>
      <x:c r="D324" s="11" t="str">
        <x:v>111,850,878</x:v>
      </x:c>
      <x:c r="E324" s="11"/>
      <x:c r="F324" s="11"/>
    </x:row>
    <x:row r="325" ht="36" customHeight="1">
      <x:c r="A325" s="2" t="str">
        <x:v>84864000900</x:v>
      </x:c>
      <x:c r="B325" s="11" t="str">
        <x:v>2023/2024 (01)</x:v>
      </x:c>
      <x:c r="C325" s="11" t="str">
        <x:v>4,366,305</x:v>
      </x:c>
      <x:c r="D325" s="11" t="str">
        <x:v>2,644,410</x:v>
      </x:c>
      <x:c r="E325" s="11"/>
      <x:c r="F325" s="11"/>
    </x:row>
    <x:row r="326" ht="36" customHeight="1">
      <x:c r="A326" s="2" t="str">
        <x:v>84864000900</x:v>
      </x:c>
      <x:c r="B326" s="11" t="str">
        <x:v>2023/2024 (02)</x:v>
      </x:c>
      <x:c r="C326" s="11" t="str">
        <x:v>9,344,852</x:v>
      </x:c>
      <x:c r="D326" s="11" t="str">
        <x:v>11,694,422</x:v>
      </x:c>
      <x:c r="E326" s="11"/>
      <x:c r="F326" s="11"/>
    </x:row>
    <x:row r="327" ht="36" customHeight="1">
      <x:c r="A327" s="2" t="str">
        <x:v>84864000900</x:v>
      </x:c>
      <x:c r="B327" s="11" t="str">
        <x:v>2023/2024 (03)</x:v>
      </x:c>
      <x:c r="C327" s="11" t="str">
        <x:v>8,691,202</x:v>
      </x:c>
      <x:c r="D327" s="11" t="str">
        <x:v>9,031,518</x:v>
      </x:c>
      <x:c r="E327" s="11"/>
      <x:c r="F327" s="11"/>
    </x:row>
    <x:row r="328" ht="36" customHeight="1">
      <x:c r="A328" s="2" t="str">
        <x:v>84864000900</x:v>
      </x:c>
      <x:c r="B328" s="11" t="str">
        <x:v>2023/2024 (04)</x:v>
      </x:c>
      <x:c r="C328" s="11" t="str">
        <x:v>9,400,695</x:v>
      </x:c>
      <x:c r="D328" s="11" t="str">
        <x:v>8,728,067</x:v>
      </x:c>
      <x:c r="E328" s="11"/>
      <x:c r="F328" s="11"/>
    </x:row>
    <x:row r="329" ht="36" customHeight="1">
      <x:c r="A329" s="2" t="str">
        <x:v>84864000900</x:v>
      </x:c>
      <x:c r="B329" s="11" t="str">
        <x:v>2023/2024 (05)</x:v>
      </x:c>
      <x:c r="C329" s="11" t="str">
        <x:v>8,836,441</x:v>
      </x:c>
      <x:c r="D329" s="11" t="str">
        <x:v>9,079,213</x:v>
      </x:c>
      <x:c r="E329" s="11"/>
      <x:c r="F329" s="11"/>
    </x:row>
    <x:row r="330" ht="36" customHeight="1">
      <x:c r="A330" s="2" t="str">
        <x:v>84864000900</x:v>
      </x:c>
      <x:c r="B330" s="11" t="str">
        <x:v>2023/2024 (06)</x:v>
      </x:c>
      <x:c r="C330" s="11" t="str">
        <x:v>4,423,202</x:v>
      </x:c>
      <x:c r="D330" s="11" t="str">
        <x:v>6,725,344</x:v>
      </x:c>
      <x:c r="E330" s="11"/>
      <x:c r="F330" s="11"/>
    </x:row>
    <x:row r="331" ht="36" customHeight="1">
      <x:c r="A331" s="2" t="str">
        <x:v>84864000900</x:v>
      </x:c>
      <x:c r="B331" s="11" t="str">
        <x:v>2023/2024 (07)</x:v>
      </x:c>
      <x:c r="C331" s="11" t="str">
        <x:v>10,542,841</x:v>
      </x:c>
      <x:c r="D331" s="11" t="str">
        <x:v>7,759,603</x:v>
      </x:c>
      <x:c r="E331" s="11"/>
      <x:c r="F331" s="11"/>
    </x:row>
    <x:row r="332" ht="36" customHeight="1">
      <x:c r="A332" s="2" t="str">
        <x:v>84864000900</x:v>
      </x:c>
      <x:c r="B332" s="11" t="str">
        <x:v>2023/2024 (08)</x:v>
      </x:c>
      <x:c r="C332" s="11" t="str">
        <x:v>9,283,536</x:v>
      </x:c>
      <x:c r="D332" s="11" t="str">
        <x:v>9,179,014</x:v>
      </x:c>
      <x:c r="E332" s="11"/>
      <x:c r="F332" s="11"/>
    </x:row>
    <x:row r="333" ht="36" customHeight="1">
      <x:c r="A333" s="2" t="str">
        <x:v>84864000900</x:v>
      </x:c>
      <x:c r="B333" s="11" t="str">
        <x:v>2023/2024 (09)</x:v>
      </x:c>
      <x:c r="C333" s="11" t="str">
        <x:v>5,736,975</x:v>
      </x:c>
      <x:c r="D333" s="11" t="str">
        <x:v>9,549,449</x:v>
      </x:c>
      <x:c r="E333" s="11"/>
      <x:c r="F333" s="11"/>
    </x:row>
    <x:row r="334" ht="36" customHeight="1">
      <x:c r="A334" s="2" t="str">
        <x:v>84864000900</x:v>
      </x:c>
      <x:c r="B334" s="11" t="str">
        <x:v>2023/2024 (10)</x:v>
      </x:c>
      <x:c r="C334" s="11" t="str">
        <x:v>9,878,772</x:v>
      </x:c>
      <x:c r="D334" s="11" t="str">
        <x:v>12,331,414</x:v>
      </x:c>
      <x:c r="E334" s="11"/>
      <x:c r="F334" s="11"/>
    </x:row>
    <x:row r="335" ht="36" customHeight="1">
      <x:c r="A335" s="2" t="str">
        <x:v>84864000900</x:v>
      </x:c>
      <x:c r="B335" s="11" t="str">
        <x:v>2023/2024 (11)</x:v>
      </x:c>
      <x:c r="C335" s="11" t="str">
        <x:v>5,060,341</x:v>
      </x:c>
      <x:c r="D335" s="11" t="str">
        <x:v>10,175,472</x:v>
      </x:c>
      <x:c r="E335" s="11"/>
      <x:c r="F335" s="11"/>
    </x:row>
    <x:row r="336" ht="36" customHeight="1">
      <x:c r="A336" s="2" t="str">
        <x:v>84864000900</x:v>
      </x:c>
      <x:c r="B336" s="11" t="str">
        <x:v>2023/2024 (12)</x:v>
      </x:c>
      <x:c r="C336" s="11" t="str">
        <x:v>6,767,950</x:v>
      </x:c>
      <x:c r="D336" s="11" t="str">
        <x:v>14,952,952</x:v>
      </x:c>
      <x:c r="E336" s="11"/>
      <x:c r="F336" s="11"/>
    </x:row>
    <x:row r="337" ht="36" customHeight="1">
      <x:c r="A337" s="2" t="str">
        <x:v>84864000900</x:v>
      </x:c>
      <x:c r="B337" s="11" t="str">
        <x:v>2024/2025(01-12)</x:v>
      </x:c>
      <x:c r="C337" s="11" t="str">
        <x:v>111,850,878</x:v>
      </x:c>
      <x:c r="D337" s="11" t="str">
        <x:v>139,593,939</x:v>
      </x:c>
      <x:c r="E337" s="11"/>
      <x:c r="F337" s="11"/>
    </x:row>
    <x:row r="338" ht="36" customHeight="1">
      <x:c r="A338" s="2" t="str">
        <x:v>84864000900</x:v>
      </x:c>
      <x:c r="B338" s="11" t="str">
        <x:v>2024/2025 (01)</x:v>
      </x:c>
      <x:c r="C338" s="11" t="str">
        <x:v>2,644,410</x:v>
      </x:c>
      <x:c r="D338" s="11" t="str">
        <x:v>5,131,709</x:v>
      </x:c>
      <x:c r="E338" s="11"/>
      <x:c r="F338" s="11"/>
    </x:row>
    <x:row r="339" ht="36" customHeight="1">
      <x:c r="A339" s="2" t="str">
        <x:v>84864000900</x:v>
      </x:c>
      <x:c r="B339" s="11" t="str">
        <x:v>2024/2025 (02)</x:v>
      </x:c>
      <x:c r="C339" s="11" t="str">
        <x:v>11,694,422</x:v>
      </x:c>
      <x:c r="D339" s="11" t="str">
        <x:v>10,862,554</x:v>
      </x:c>
      <x:c r="E339" s="11"/>
      <x:c r="F339" s="11"/>
    </x:row>
    <x:row r="340" ht="36" customHeight="1">
      <x:c r="A340" s="2" t="str">
        <x:v>84864000900</x:v>
      </x:c>
      <x:c r="B340" s="11" t="str">
        <x:v>2024/2025 (03)</x:v>
      </x:c>
      <x:c r="C340" s="11" t="str">
        <x:v>9,031,518</x:v>
      </x:c>
      <x:c r="D340" s="11" t="str">
        <x:v>9,358,366</x:v>
      </x:c>
      <x:c r="E340" s="11"/>
      <x:c r="F340" s="11"/>
    </x:row>
    <x:row r="341" ht="36" customHeight="1">
      <x:c r="A341" s="2" t="str">
        <x:v>84864000900</x:v>
      </x:c>
      <x:c r="B341" s="11" t="str">
        <x:v>2024/2025 (04)</x:v>
      </x:c>
      <x:c r="C341" s="11" t="str">
        <x:v>8,728,067</x:v>
      </x:c>
      <x:c r="D341" s="11" t="str">
        <x:v>8,739,343</x:v>
      </x:c>
      <x:c r="E341" s="11"/>
      <x:c r="F341" s="11"/>
    </x:row>
    <x:row r="342" ht="36" customHeight="1">
      <x:c r="A342" s="2" t="str">
        <x:v>84864000900</x:v>
      </x:c>
      <x:c r="B342" s="11" t="str">
        <x:v>2024/2025 (05)</x:v>
      </x:c>
      <x:c r="C342" s="11" t="str">
        <x:v>9,079,213</x:v>
      </x:c>
      <x:c r="D342" s="11" t="str">
        <x:v>15,675,645</x:v>
      </x:c>
      <x:c r="E342" s="11"/>
      <x:c r="F342" s="11"/>
    </x:row>
    <x:row r="343" ht="36" customHeight="1">
      <x:c r="A343" s="2" t="str">
        <x:v>84864000900</x:v>
      </x:c>
      <x:c r="B343" s="11" t="str">
        <x:v>2024/2025 (06)</x:v>
      </x:c>
      <x:c r="C343" s="11" t="str">
        <x:v>6,725,344</x:v>
      </x:c>
      <x:c r="D343" s="11" t="str">
        <x:v>18,839,279</x:v>
      </x:c>
      <x:c r="E343" s="11"/>
      <x:c r="F343" s="11"/>
    </x:row>
    <x:row r="344" ht="36" customHeight="1">
      <x:c r="A344" s="2" t="str">
        <x:v>84864000900</x:v>
      </x:c>
      <x:c r="B344" s="11" t="str">
        <x:v>2024/2025 (07)</x:v>
      </x:c>
      <x:c r="C344" s="11" t="str">
        <x:v>7,759,603</x:v>
      </x:c>
      <x:c r="D344" s="11" t="str">
        <x:v>11,744,059</x:v>
      </x:c>
      <x:c r="E344" s="11"/>
      <x:c r="F344" s="11"/>
    </x:row>
    <x:row r="345" ht="36" customHeight="1">
      <x:c r="A345" s="2" t="str">
        <x:v>84864000900</x:v>
      </x:c>
      <x:c r="B345" s="11" t="str">
        <x:v>2024/2025 (08)</x:v>
      </x:c>
      <x:c r="C345" s="11" t="str">
        <x:v>9,179,014</x:v>
      </x:c>
      <x:c r="D345" s="11" t="str">
        <x:v>13,405,237</x:v>
      </x:c>
      <x:c r="E345" s="11"/>
      <x:c r="F345" s="11"/>
    </x:row>
    <x:row r="346" ht="36" customHeight="1">
      <x:c r="A346" s="2" t="str">
        <x:v>84864000900</x:v>
      </x:c>
      <x:c r="B346" s="11" t="str">
        <x:v>2024/2025 (09)</x:v>
      </x:c>
      <x:c r="C346" s="11" t="str">
        <x:v>9,549,449</x:v>
      </x:c>
      <x:c r="D346" s="11" t="str">
        <x:v>11,752,339</x:v>
      </x:c>
      <x:c r="E346" s="11"/>
      <x:c r="F346" s="11"/>
    </x:row>
    <x:row r="347" ht="36" customHeight="1">
      <x:c r="A347" s="2" t="str">
        <x:v>84864000900</x:v>
      </x:c>
      <x:c r="B347" s="11" t="str">
        <x:v>2024/2025 (10)</x:v>
      </x:c>
      <x:c r="C347" s="11" t="str">
        <x:v>12,331,414</x:v>
      </x:c>
      <x:c r="D347" s="11" t="str">
        <x:v>13,349,006</x:v>
      </x:c>
      <x:c r="E347" s="11"/>
      <x:c r="F347" s="11"/>
    </x:row>
    <x:row r="348" ht="36" customHeight="1">
      <x:c r="A348" s="2" t="str">
        <x:v>84864000900</x:v>
      </x:c>
      <x:c r="B348" s="11" t="str">
        <x:v>2024/2025 (11)</x:v>
      </x:c>
      <x:c r="C348" s="11" t="str">
        <x:v>10,175,472</x:v>
      </x:c>
      <x:c r="D348" s="11" t="str">
        <x:v>10,200,936</x:v>
      </x:c>
      <x:c r="E348" s="11"/>
      <x:c r="F348" s="11"/>
    </x:row>
    <x:row r="349" ht="36" customHeight="1">
      <x:c r="A349" s="2" t="str">
        <x:v>84864000900</x:v>
      </x:c>
      <x:c r="B349" s="11" t="str">
        <x:v>2024/2025 (12)</x:v>
      </x:c>
      <x:c r="C349" s="11" t="str">
        <x:v>14,952,952</x:v>
      </x:c>
      <x:c r="D349" s="11" t="str">
        <x:v>10,535,466</x:v>
      </x:c>
      <x:c r="E349" s="11"/>
      <x:c r="F349" s="11"/>
    </x:row>
    <x:row r="350" ht="36" customHeight="1">
      <x:c r="A350" s="2" t="str">
        <x:v>84864000900</x:v>
      </x:c>
      <x:c r="B350" s="11" t="str">
        <x:v>2025/2026(01-08)</x:v>
      </x:c>
      <x:c r="C350" s="11" t="str">
        <x:v>93,756,192</x:v>
      </x:c>
      <x:c r="D350" s="11" t="str">
        <x:v>100,844,996</x:v>
      </x:c>
      <x:c r="E350" s="11"/>
      <x:c r="F350" s="11"/>
    </x:row>
    <x:row r="351" ht="36" customHeight="1">
      <x:c r="A351" s="2" t="str">
        <x:v>84864000900</x:v>
      </x:c>
      <x:c r="B351" s="11" t="str">
        <x:v>2025/2026 (01)</x:v>
      </x:c>
      <x:c r="C351" s="11" t="str">
        <x:v>5,131,709</x:v>
      </x:c>
      <x:c r="D351" s="11" t="str">
        <x:v>8,096,540</x:v>
      </x:c>
      <x:c r="E351" s="11"/>
      <x:c r="F351" s="11"/>
    </x:row>
    <x:row r="352" ht="36" customHeight="1">
      <x:c r="A352" s="2" t="str">
        <x:v>84864000900</x:v>
      </x:c>
      <x:c r="B352" s="11" t="str">
        <x:v>2025/2026 (02)</x:v>
      </x:c>
      <x:c r="C352" s="11" t="str">
        <x:v>10,862,554</x:v>
      </x:c>
      <x:c r="D352" s="11" t="str">
        <x:v>5,403,325</x:v>
      </x:c>
      <x:c r="E352" s="11"/>
      <x:c r="F352" s="11"/>
    </x:row>
    <x:row r="353" ht="36" customHeight="1">
      <x:c r="A353" s="2" t="str">
        <x:v>84864000900</x:v>
      </x:c>
      <x:c r="B353" s="11" t="str">
        <x:v>2025/2026 (03)</x:v>
      </x:c>
      <x:c r="C353" s="11" t="str">
        <x:v>9,358,366</x:v>
      </x:c>
      <x:c r="D353" s="11" t="str">
        <x:v>12,934,515</x:v>
      </x:c>
      <x:c r="E353" s="11"/>
      <x:c r="F353" s="11"/>
    </x:row>
    <x:row r="354" ht="36" customHeight="1">
      <x:c r="A354" s="2" t="str">
        <x:v>84864000900</x:v>
      </x:c>
      <x:c r="B354" s="11" t="str">
        <x:v>2025/2026 (04)</x:v>
      </x:c>
      <x:c r="C354" s="11" t="str">
        <x:v>8,739,343</x:v>
      </x:c>
      <x:c r="D354" s="11" t="str">
        <x:v>9,852,994</x:v>
      </x:c>
      <x:c r="E354" s="11"/>
      <x:c r="F354" s="11"/>
    </x:row>
    <x:row r="355" ht="36" customHeight="1">
      <x:c r="A355" s="2" t="str">
        <x:v>84864000900</x:v>
      </x:c>
      <x:c r="B355" s="11" t="str">
        <x:v>2025/2026 (05)</x:v>
      </x:c>
      <x:c r="C355" s="11" t="str">
        <x:v>15,675,645</x:v>
      </x:c>
      <x:c r="D355" s="11" t="str">
        <x:v>14,736,892</x:v>
      </x:c>
      <x:c r="E355" s="11"/>
      <x:c r="F355" s="11"/>
    </x:row>
    <x:row r="356" ht="36" customHeight="1">
      <x:c r="A356" s="2" t="str">
        <x:v>84864000900</x:v>
      </x:c>
      <x:c r="B356" s="11" t="str">
        <x:v>2025/2026 (06)</x:v>
      </x:c>
      <x:c r="C356" s="11" t="str">
        <x:v>18,839,279</x:v>
      </x:c>
      <x:c r="D356" s="11" t="str">
        <x:v>19,144,319</x:v>
      </x:c>
      <x:c r="E356" s="11"/>
      <x:c r="F356" s="11"/>
    </x:row>
    <x:row r="357" ht="36" customHeight="1">
      <x:c r="A357" s="2" t="str">
        <x:v>84864000900</x:v>
      </x:c>
      <x:c r="B357" s="11" t="str">
        <x:v>2025/2026 (07)</x:v>
      </x:c>
      <x:c r="C357" s="11" t="str">
        <x:v>11,744,059</x:v>
      </x:c>
      <x:c r="D357" s="11" t="str">
        <x:v>16,723,853</x:v>
      </x:c>
      <x:c r="E357" s="11"/>
      <x:c r="F357" s="11"/>
    </x:row>
    <x:row r="358" ht="36" customHeight="1">
      <x:c r="A358" s="2" t="str">
        <x:v>84864000900</x:v>
      </x:c>
      <x:c r="B358" s="11" t="str">
        <x:v>2025/2026 (08)</x:v>
      </x:c>
      <x:c r="C358" s="11" t="str">
        <x:v>13,405,237</x:v>
      </x:c>
      <x:c r="D358" s="11" t="str">
        <x:v>13,952,558</x:v>
      </x:c>
      <x:c r="E358" s="11"/>
      <x:c r="F358" s="11"/>
    </x:row>
    <x:row r="359" ht="36" customHeight="1">
      <x:c r="A359" s="2" t="str">
        <x:v>84869000106</x:v>
      </x:c>
      <x:c r="B359" s="11" t="str">
        <x:v>Time Period : 2023/01 - 2026/08</x:v>
      </x:c>
      <x:c r="C359" s="11"/>
      <x:c r="D359" s="11"/>
      <x:c r="E359" s="11"/>
      <x:c r="F359" s="11"/>
    </x:row>
    <x:row r="360" ht="36" customHeight="1">
      <x:c r="A360" s="2" t="str">
        <x:v>84869000106</x:v>
      </x:c>
      <x:c r="B360" s="11" t="str">
        <x:v>MONTH</x:v>
      </x:c>
      <x:c r="C360" s="11" t="str">
        <x:v>2022/01 - 2025/08</x:v>
      </x:c>
      <x:c r="D360" s="11" t="str">
        <x:v>2023/01 - 2026/08</x:v>
      </x:c>
      <x:c r="E360" s="11"/>
      <x:c r="F360" s="11"/>
    </x:row>
    <x:row r="361" ht="36" customHeight="1">
      <x:c r="A361" s="2" t="str">
        <x:v>84869000106</x:v>
      </x:c>
      <x:c r="B361" s="11" t="str">
        <x:v>TOTAL</x:v>
      </x:c>
      <x:c r="C361" s="11" t="str">
        <x:v>235,334,885</x:v>
      </x:c>
      <x:c r="D361" s="11" t="str">
        <x:v>254,483,557</x:v>
      </x:c>
      <x:c r="E361" s="11"/>
      <x:c r="F361" s="11"/>
    </x:row>
    <x:row r="362" ht="36" customHeight="1">
      <x:c r="A362" s="2" t="str">
        <x:v>84869000106</x:v>
      </x:c>
      <x:c r="B362" s="11" t="str">
        <x:v>2022/2023(01-12)</x:v>
      </x:c>
      <x:c r="C362" s="11" t="str">
        <x:v>67,679,815</x:v>
      </x:c>
      <x:c r="D362" s="11" t="str">
        <x:v>58,026,553</x:v>
      </x:c>
      <x:c r="E362" s="11"/>
      <x:c r="F362" s="11"/>
    </x:row>
    <x:row r="363" ht="36" customHeight="1">
      <x:c r="A363" s="2" t="str">
        <x:v>84869000106</x:v>
      </x:c>
      <x:c r="B363" s="11" t="str">
        <x:v>2022/2023 (01)</x:v>
      </x:c>
      <x:c r="C363" s="11" t="str">
        <x:v>5,718,514</x:v>
      </x:c>
      <x:c r="D363" s="11" t="str">
        <x:v>10,344,169</x:v>
      </x:c>
      <x:c r="E363" s="11"/>
      <x:c r="F363" s="11"/>
    </x:row>
    <x:row r="364" ht="36" customHeight="1">
      <x:c r="A364" s="2" t="str">
        <x:v>84869000106</x:v>
      </x:c>
      <x:c r="B364" s="11" t="str">
        <x:v>2022/2023 (02)</x:v>
      </x:c>
      <x:c r="C364" s="11" t="str">
        <x:v>6,731,154</x:v>
      </x:c>
      <x:c r="D364" s="11" t="str">
        <x:v>6,292,776</x:v>
      </x:c>
      <x:c r="E364" s="11"/>
      <x:c r="F364" s="11"/>
    </x:row>
    <x:row r="365" ht="36" customHeight="1">
      <x:c r="A365" s="2" t="str">
        <x:v>84869000106</x:v>
      </x:c>
      <x:c r="B365" s="11" t="str">
        <x:v>2022/2023 (03)</x:v>
      </x:c>
      <x:c r="C365" s="11" t="str">
        <x:v>4,862,011</x:v>
      </x:c>
      <x:c r="D365" s="11" t="str">
        <x:v>3,406,855</x:v>
      </x:c>
      <x:c r="E365" s="11"/>
      <x:c r="F365" s="11"/>
    </x:row>
    <x:row r="366" ht="36" customHeight="1">
      <x:c r="A366" s="2" t="str">
        <x:v>84869000106</x:v>
      </x:c>
      <x:c r="B366" s="11" t="str">
        <x:v>2022/2023 (04)</x:v>
      </x:c>
      <x:c r="C366" s="11" t="str">
        <x:v>5,621,844</x:v>
      </x:c>
      <x:c r="D366" s="11" t="str">
        <x:v>3,046,719</x:v>
      </x:c>
      <x:c r="E366" s="11"/>
      <x:c r="F366" s="11"/>
    </x:row>
    <x:row r="367" ht="36" customHeight="1">
      <x:c r="A367" s="2" t="str">
        <x:v>84869000106</x:v>
      </x:c>
      <x:c r="B367" s="11" t="str">
        <x:v>2022/2023 (05)</x:v>
      </x:c>
      <x:c r="C367" s="11" t="str">
        <x:v>4,271,241</x:v>
      </x:c>
      <x:c r="D367" s="11" t="str">
        <x:v>2,772,316</x:v>
      </x:c>
      <x:c r="E367" s="11"/>
      <x:c r="F367" s="11"/>
    </x:row>
    <x:row r="368" ht="36" customHeight="1">
      <x:c r="A368" s="2" t="str">
        <x:v>84869000106</x:v>
      </x:c>
      <x:c r="B368" s="11" t="str">
        <x:v>2022/2023 (06)</x:v>
      </x:c>
      <x:c r="C368" s="11" t="str">
        <x:v>4,881,184</x:v>
      </x:c>
      <x:c r="D368" s="11" t="str">
        <x:v>5,106,408</x:v>
      </x:c>
      <x:c r="E368" s="11"/>
      <x:c r="F368" s="11"/>
    </x:row>
    <x:row r="369" ht="36" customHeight="1">
      <x:c r="A369" s="2" t="str">
        <x:v>84869000106</x:v>
      </x:c>
      <x:c r="B369" s="11" t="str">
        <x:v>2022/2023 (07)</x:v>
      </x:c>
      <x:c r="C369" s="11" t="str">
        <x:v>4,429,047</x:v>
      </x:c>
      <x:c r="D369" s="11" t="str">
        <x:v>4,958,533</x:v>
      </x:c>
      <x:c r="E369" s="11"/>
      <x:c r="F369" s="11"/>
    </x:row>
    <x:row r="370" ht="36" customHeight="1">
      <x:c r="A370" s="2" t="str">
        <x:v>84869000106</x:v>
      </x:c>
      <x:c r="B370" s="11" t="str">
        <x:v>2022/2023 (08)</x:v>
      </x:c>
      <x:c r="C370" s="11" t="str">
        <x:v>4,608,436</x:v>
      </x:c>
      <x:c r="D370" s="11" t="str">
        <x:v>5,220,613</x:v>
      </x:c>
      <x:c r="E370" s="11"/>
      <x:c r="F370" s="11"/>
    </x:row>
    <x:row r="371" ht="36" customHeight="1">
      <x:c r="A371" s="2" t="str">
        <x:v>84869000106</x:v>
      </x:c>
      <x:c r="B371" s="11" t="str">
        <x:v>2022/2023 (09)</x:v>
      </x:c>
      <x:c r="C371" s="11" t="str">
        <x:v>5,476,179</x:v>
      </x:c>
      <x:c r="D371" s="11" t="str">
        <x:v>4,024,621</x:v>
      </x:c>
      <x:c r="E371" s="11"/>
      <x:c r="F371" s="11"/>
    </x:row>
    <x:row r="372" ht="36" customHeight="1">
      <x:c r="A372" s="2" t="str">
        <x:v>84869000106</x:v>
      </x:c>
      <x:c r="B372" s="11" t="str">
        <x:v>2022/2023 (10)</x:v>
      </x:c>
      <x:c r="C372" s="11" t="str">
        <x:v>8,522,251</x:v>
      </x:c>
      <x:c r="D372" s="11" t="str">
        <x:v>4,374,490</x:v>
      </x:c>
      <x:c r="E372" s="11"/>
      <x:c r="F372" s="11"/>
    </x:row>
    <x:row r="373" ht="36" customHeight="1">
      <x:c r="A373" s="2" t="str">
        <x:v>84869000106</x:v>
      </x:c>
      <x:c r="B373" s="11" t="str">
        <x:v>2022/2023 (11)</x:v>
      </x:c>
      <x:c r="C373" s="11" t="str">
        <x:v>5,237,860</x:v>
      </x:c>
      <x:c r="D373" s="11" t="str">
        <x:v>4,127,735</x:v>
      </x:c>
      <x:c r="E373" s="11"/>
      <x:c r="F373" s="11"/>
    </x:row>
    <x:row r="374" ht="36" customHeight="1">
      <x:c r="A374" s="2" t="str">
        <x:v>84869000106</x:v>
      </x:c>
      <x:c r="B374" s="11" t="str">
        <x:v>2022/2023 (12)</x:v>
      </x:c>
      <x:c r="C374" s="11" t="str">
        <x:v>7,320,094</x:v>
      </x:c>
      <x:c r="D374" s="11" t="str">
        <x:v>4,351,318</x:v>
      </x:c>
      <x:c r="E374" s="11"/>
      <x:c r="F374" s="11"/>
    </x:row>
    <x:row r="375" ht="36" customHeight="1">
      <x:c r="A375" s="2" t="str">
        <x:v>84869000106</x:v>
      </x:c>
      <x:c r="B375" s="11" t="str">
        <x:v>2023/2024(01-12)</x:v>
      </x:c>
      <x:c r="C375" s="11" t="str">
        <x:v>58,026,553</x:v>
      </x:c>
      <x:c r="D375" s="11" t="str">
        <x:v>61,425,550</x:v>
      </x:c>
      <x:c r="E375" s="11"/>
      <x:c r="F375" s="11"/>
    </x:row>
    <x:row r="376" ht="36" customHeight="1">
      <x:c r="A376" s="2" t="str">
        <x:v>84869000106</x:v>
      </x:c>
      <x:c r="B376" s="11" t="str">
        <x:v>2023/2024 (01)</x:v>
      </x:c>
      <x:c r="C376" s="11" t="str">
        <x:v>10,344,169</x:v>
      </x:c>
      <x:c r="D376" s="11" t="str">
        <x:v>4,113,113</x:v>
      </x:c>
      <x:c r="E376" s="11"/>
      <x:c r="F376" s="11"/>
    </x:row>
    <x:row r="377" ht="36" customHeight="1">
      <x:c r="A377" s="2" t="str">
        <x:v>84869000106</x:v>
      </x:c>
      <x:c r="B377" s="11" t="str">
        <x:v>2023/2024 (02)</x:v>
      </x:c>
      <x:c r="C377" s="11" t="str">
        <x:v>6,292,776</x:v>
      </x:c>
      <x:c r="D377" s="11" t="str">
        <x:v>4,704,275</x:v>
      </x:c>
      <x:c r="E377" s="11"/>
      <x:c r="F377" s="11"/>
    </x:row>
    <x:row r="378" ht="36" customHeight="1">
      <x:c r="A378" s="2" t="str">
        <x:v>84869000106</x:v>
      </x:c>
      <x:c r="B378" s="11" t="str">
        <x:v>2023/2024 (03)</x:v>
      </x:c>
      <x:c r="C378" s="11" t="str">
        <x:v>3,406,855</x:v>
      </x:c>
      <x:c r="D378" s="11" t="str">
        <x:v>5,010,213</x:v>
      </x:c>
      <x:c r="E378" s="11"/>
      <x:c r="F378" s="11"/>
    </x:row>
    <x:row r="379" ht="36" customHeight="1">
      <x:c r="A379" s="2" t="str">
        <x:v>84869000106</x:v>
      </x:c>
      <x:c r="B379" s="11" t="str">
        <x:v>2023/2024 (04)</x:v>
      </x:c>
      <x:c r="C379" s="11" t="str">
        <x:v>3,046,719</x:v>
      </x:c>
      <x:c r="D379" s="11" t="str">
        <x:v>7,645,687</x:v>
      </x:c>
      <x:c r="E379" s="11"/>
      <x:c r="F379" s="11"/>
    </x:row>
    <x:row r="380" ht="36" customHeight="1">
      <x:c r="A380" s="2" t="str">
        <x:v>84869000106</x:v>
      </x:c>
      <x:c r="B380" s="11" t="str">
        <x:v>2023/2024 (05)</x:v>
      </x:c>
      <x:c r="C380" s="11" t="str">
        <x:v>2,772,316</x:v>
      </x:c>
      <x:c r="D380" s="11" t="str">
        <x:v>4,705,007</x:v>
      </x:c>
      <x:c r="E380" s="11"/>
      <x:c r="F380" s="11"/>
    </x:row>
    <x:row r="381" ht="36" customHeight="1">
      <x:c r="A381" s="2" t="str">
        <x:v>84869000106</x:v>
      </x:c>
      <x:c r="B381" s="11" t="str">
        <x:v>2023/2024 (06)</x:v>
      </x:c>
      <x:c r="C381" s="11" t="str">
        <x:v>5,106,408</x:v>
      </x:c>
      <x:c r="D381" s="11" t="str">
        <x:v>4,825,134</x:v>
      </x:c>
      <x:c r="E381" s="11"/>
      <x:c r="F381" s="11"/>
    </x:row>
    <x:row r="382" ht="36" customHeight="1">
      <x:c r="A382" s="2" t="str">
        <x:v>84869000106</x:v>
      </x:c>
      <x:c r="B382" s="11" t="str">
        <x:v>2023/2024 (07)</x:v>
      </x:c>
      <x:c r="C382" s="11" t="str">
        <x:v>4,958,533</x:v>
      </x:c>
      <x:c r="D382" s="11" t="str">
        <x:v>6,554,613</x:v>
      </x:c>
      <x:c r="E382" s="11"/>
      <x:c r="F382" s="11"/>
    </x:row>
    <x:row r="383" ht="36" customHeight="1">
      <x:c r="A383" s="2" t="str">
        <x:v>84869000106</x:v>
      </x:c>
      <x:c r="B383" s="11" t="str">
        <x:v>2023/2024 (08)</x:v>
      </x:c>
      <x:c r="C383" s="11" t="str">
        <x:v>5,220,613</x:v>
      </x:c>
      <x:c r="D383" s="11" t="str">
        <x:v>4,175,850</x:v>
      </x:c>
      <x:c r="E383" s="11"/>
      <x:c r="F383" s="11"/>
    </x:row>
    <x:row r="384" ht="36" customHeight="1">
      <x:c r="A384" s="2" t="str">
        <x:v>84869000106</x:v>
      </x:c>
      <x:c r="B384" s="11" t="str">
        <x:v>2023/2024 (09)</x:v>
      </x:c>
      <x:c r="C384" s="11" t="str">
        <x:v>4,024,621</x:v>
      </x:c>
      <x:c r="D384" s="11" t="str">
        <x:v>3,422,512</x:v>
      </x:c>
      <x:c r="E384" s="11"/>
      <x:c r="F384" s="11"/>
    </x:row>
    <x:row r="385" ht="36" customHeight="1">
      <x:c r="A385" s="2" t="str">
        <x:v>84869000106</x:v>
      </x:c>
      <x:c r="B385" s="11" t="str">
        <x:v>2023/2024 (10)</x:v>
      </x:c>
      <x:c r="C385" s="11" t="str">
        <x:v>4,374,490</x:v>
      </x:c>
      <x:c r="D385" s="11" t="str">
        <x:v>4,089,826</x:v>
      </x:c>
      <x:c r="E385" s="11"/>
      <x:c r="F385" s="11"/>
    </x:row>
    <x:row r="386" ht="36" customHeight="1">
      <x:c r="A386" s="2" t="str">
        <x:v>84869000106</x:v>
      </x:c>
      <x:c r="B386" s="11" t="str">
        <x:v>2023/2024 (11)</x:v>
      </x:c>
      <x:c r="C386" s="11" t="str">
        <x:v>4,127,735</x:v>
      </x:c>
      <x:c r="D386" s="11" t="str">
        <x:v>6,055,153</x:v>
      </x:c>
      <x:c r="E386" s="11"/>
      <x:c r="F386" s="11"/>
    </x:row>
    <x:row r="387" ht="36" customHeight="1">
      <x:c r="A387" s="2" t="str">
        <x:v>84869000106</x:v>
      </x:c>
      <x:c r="B387" s="11" t="str">
        <x:v>2023/2024 (12)</x:v>
      </x:c>
      <x:c r="C387" s="11" t="str">
        <x:v>4,351,318</x:v>
      </x:c>
      <x:c r="D387" s="11" t="str">
        <x:v>6,124,167</x:v>
      </x:c>
      <x:c r="E387" s="11"/>
      <x:c r="F387" s="11"/>
    </x:row>
    <x:row r="388" ht="36" customHeight="1">
      <x:c r="A388" s="2" t="str">
        <x:v>84869000106</x:v>
      </x:c>
      <x:c r="B388" s="11" t="str">
        <x:v>2024/2025(01-12)</x:v>
      </x:c>
      <x:c r="C388" s="11" t="str">
        <x:v>61,425,550</x:v>
      </x:c>
      <x:c r="D388" s="11" t="str">
        <x:v>75,616,413</x:v>
      </x:c>
      <x:c r="E388" s="11"/>
      <x:c r="F388" s="11"/>
    </x:row>
    <x:row r="389" ht="36" customHeight="1">
      <x:c r="A389" s="2" t="str">
        <x:v>84869000106</x:v>
      </x:c>
      <x:c r="B389" s="11" t="str">
        <x:v>2024/2025 (01)</x:v>
      </x:c>
      <x:c r="C389" s="11" t="str">
        <x:v>4,113,113</x:v>
      </x:c>
      <x:c r="D389" s="11" t="str">
        <x:v>4,262,267</x:v>
      </x:c>
      <x:c r="E389" s="11"/>
      <x:c r="F389" s="11"/>
    </x:row>
    <x:row r="390" ht="36" customHeight="1">
      <x:c r="A390" s="2" t="str">
        <x:v>84869000106</x:v>
      </x:c>
      <x:c r="B390" s="11" t="str">
        <x:v>2024/2025 (02)</x:v>
      </x:c>
      <x:c r="C390" s="11" t="str">
        <x:v>4,704,275</x:v>
      </x:c>
      <x:c r="D390" s="11" t="str">
        <x:v>4,176,991</x:v>
      </x:c>
      <x:c r="E390" s="11"/>
      <x:c r="F390" s="11"/>
    </x:row>
    <x:row r="391" ht="36" customHeight="1">
      <x:c r="A391" s="2" t="str">
        <x:v>84869000106</x:v>
      </x:c>
      <x:c r="B391" s="11" t="str">
        <x:v>2024/2025 (03)</x:v>
      </x:c>
      <x:c r="C391" s="11" t="str">
        <x:v>5,010,213</x:v>
      </x:c>
      <x:c r="D391" s="11" t="str">
        <x:v>6,768,747</x:v>
      </x:c>
      <x:c r="E391" s="11"/>
      <x:c r="F391" s="11"/>
    </x:row>
    <x:row r="392" ht="36" customHeight="1">
      <x:c r="A392" s="2" t="str">
        <x:v>84869000106</x:v>
      </x:c>
      <x:c r="B392" s="11" t="str">
        <x:v>2024/2025 (04)</x:v>
      </x:c>
      <x:c r="C392" s="11" t="str">
        <x:v>7,645,687</x:v>
      </x:c>
      <x:c r="D392" s="11" t="str">
        <x:v>5,893,500</x:v>
      </x:c>
      <x:c r="E392" s="11"/>
      <x:c r="F392" s="11"/>
    </x:row>
    <x:row r="393" ht="36" customHeight="1">
      <x:c r="A393" s="2" t="str">
        <x:v>84869000106</x:v>
      </x:c>
      <x:c r="B393" s="11" t="str">
        <x:v>2024/2025 (05)</x:v>
      </x:c>
      <x:c r="C393" s="11" t="str">
        <x:v>4,705,007</x:v>
      </x:c>
      <x:c r="D393" s="11" t="str">
        <x:v>6,186,841</x:v>
      </x:c>
      <x:c r="E393" s="11"/>
      <x:c r="F393" s="11"/>
    </x:row>
    <x:row r="394" ht="36" customHeight="1">
      <x:c r="A394" s="2" t="str">
        <x:v>84869000106</x:v>
      </x:c>
      <x:c r="B394" s="11" t="str">
        <x:v>2024/2025 (06)</x:v>
      </x:c>
      <x:c r="C394" s="11" t="str">
        <x:v>4,825,134</x:v>
      </x:c>
      <x:c r="D394" s="11" t="str">
        <x:v>7,633,851</x:v>
      </x:c>
      <x:c r="E394" s="11"/>
      <x:c r="F394" s="11"/>
    </x:row>
    <x:row r="395" ht="36" customHeight="1">
      <x:c r="A395" s="2" t="str">
        <x:v>84869000106</x:v>
      </x:c>
      <x:c r="B395" s="11" t="str">
        <x:v>2024/2025 (07)</x:v>
      </x:c>
      <x:c r="C395" s="11" t="str">
        <x:v>6,554,613</x:v>
      </x:c>
      <x:c r="D395" s="11" t="str">
        <x:v>5,263,861</x:v>
      </x:c>
      <x:c r="E395" s="11"/>
      <x:c r="F395" s="11"/>
    </x:row>
    <x:row r="396" ht="36" customHeight="1">
      <x:c r="A396" s="2" t="str">
        <x:v>84869000106</x:v>
      </x:c>
      <x:c r="B396" s="11" t="str">
        <x:v>2024/2025 (08)</x:v>
      </x:c>
      <x:c r="C396" s="11" t="str">
        <x:v>4,175,850</x:v>
      </x:c>
      <x:c r="D396" s="11" t="str">
        <x:v>8,016,909</x:v>
      </x:c>
      <x:c r="E396" s="11"/>
      <x:c r="F396" s="11"/>
    </x:row>
    <x:row r="397" ht="36" customHeight="1">
      <x:c r="A397" s="2" t="str">
        <x:v>84869000106</x:v>
      </x:c>
      <x:c r="B397" s="11" t="str">
        <x:v>2024/2025 (09)</x:v>
      </x:c>
      <x:c r="C397" s="11" t="str">
        <x:v>3,422,512</x:v>
      </x:c>
      <x:c r="D397" s="11" t="str">
        <x:v>7,640,974</x:v>
      </x:c>
      <x:c r="E397" s="11"/>
      <x:c r="F397" s="11"/>
    </x:row>
    <x:row r="398" ht="36" customHeight="1">
      <x:c r="A398" s="2" t="str">
        <x:v>84869000106</x:v>
      </x:c>
      <x:c r="B398" s="11" t="str">
        <x:v>2024/2025 (10)</x:v>
      </x:c>
      <x:c r="C398" s="11" t="str">
        <x:v>4,089,826</x:v>
      </x:c>
      <x:c r="D398" s="11" t="str">
        <x:v>7,350,303</x:v>
      </x:c>
      <x:c r="E398" s="11"/>
      <x:c r="F398" s="11"/>
    </x:row>
    <x:row r="399" ht="36" customHeight="1">
      <x:c r="A399" s="2" t="str">
        <x:v>84869000106</x:v>
      </x:c>
      <x:c r="B399" s="11" t="str">
        <x:v>2024/2025 (11)</x:v>
      </x:c>
      <x:c r="C399" s="11" t="str">
        <x:v>6,055,153</x:v>
      </x:c>
      <x:c r="D399" s="11" t="str">
        <x:v>6,054,991</x:v>
      </x:c>
      <x:c r="E399" s="11"/>
      <x:c r="F399" s="11"/>
    </x:row>
    <x:row r="400" ht="36" customHeight="1">
      <x:c r="A400" s="2" t="str">
        <x:v>84869000106</x:v>
      </x:c>
      <x:c r="B400" s="11" t="str">
        <x:v>2024/2025 (12)</x:v>
      </x:c>
      <x:c r="C400" s="11" t="str">
        <x:v>6,124,167</x:v>
      </x:c>
      <x:c r="D400" s="11" t="str">
        <x:v>6,367,178</x:v>
      </x:c>
      <x:c r="E400" s="11"/>
      <x:c r="F400" s="11"/>
    </x:row>
    <x:row r="401" ht="36" customHeight="1">
      <x:c r="A401" s="2" t="str">
        <x:v>84869000106</x:v>
      </x:c>
      <x:c r="B401" s="11" t="str">
        <x:v>2025/2026(01-08)</x:v>
      </x:c>
      <x:c r="C401" s="11" t="str">
        <x:v>48,202,967</x:v>
      </x:c>
      <x:c r="D401" s="11" t="str">
        <x:v>59,415,041</x:v>
      </x:c>
      <x:c r="E401" s="11"/>
      <x:c r="F401" s="11"/>
    </x:row>
    <x:row r="402" ht="36" customHeight="1">
      <x:c r="A402" s="2" t="str">
        <x:v>84869000106</x:v>
      </x:c>
      <x:c r="B402" s="11" t="str">
        <x:v>2025/2026 (01)</x:v>
      </x:c>
      <x:c r="C402" s="11" t="str">
        <x:v>4,262,267</x:v>
      </x:c>
      <x:c r="D402" s="11" t="str">
        <x:v>6,118,368</x:v>
      </x:c>
      <x:c r="E402" s="11"/>
      <x:c r="F402" s="11"/>
    </x:row>
    <x:row r="403" ht="36" customHeight="1">
      <x:c r="A403" s="2" t="str">
        <x:v>84869000106</x:v>
      </x:c>
      <x:c r="B403" s="11" t="str">
        <x:v>2025/2026 (02)</x:v>
      </x:c>
      <x:c r="C403" s="11" t="str">
        <x:v>4,176,991</x:v>
      </x:c>
      <x:c r="D403" s="11" t="str">
        <x:v>6,915,728</x:v>
      </x:c>
      <x:c r="E403" s="11"/>
      <x:c r="F403" s="11"/>
    </x:row>
    <x:row r="404" ht="36" customHeight="1">
      <x:c r="A404" s="2" t="str">
        <x:v>84869000106</x:v>
      </x:c>
      <x:c r="B404" s="11" t="str">
        <x:v>2025/2026 (03)</x:v>
      </x:c>
      <x:c r="C404" s="11" t="str">
        <x:v>6,768,747</x:v>
      </x:c>
      <x:c r="D404" s="11" t="str">
        <x:v>8,487,233</x:v>
      </x:c>
      <x:c r="E404" s="11"/>
      <x:c r="F404" s="11"/>
    </x:row>
    <x:row r="405" ht="36" customHeight="1">
      <x:c r="A405" s="2" t="str">
        <x:v>84869000106</x:v>
      </x:c>
      <x:c r="B405" s="11" t="str">
        <x:v>2025/2026 (04)</x:v>
      </x:c>
      <x:c r="C405" s="11" t="str">
        <x:v>5,893,500</x:v>
      </x:c>
      <x:c r="D405" s="11" t="str">
        <x:v>7,912,710</x:v>
      </x:c>
      <x:c r="E405" s="11"/>
      <x:c r="F405" s="11"/>
    </x:row>
    <x:row r="406" ht="36" customHeight="1">
      <x:c r="A406" s="2" t="str">
        <x:v>84869000106</x:v>
      </x:c>
      <x:c r="B406" s="11" t="str">
        <x:v>2025/2026 (05)</x:v>
      </x:c>
      <x:c r="C406" s="11" t="str">
        <x:v>6,186,841</x:v>
      </x:c>
      <x:c r="D406" s="11" t="str">
        <x:v>6,114,068</x:v>
      </x:c>
      <x:c r="E406" s="11"/>
      <x:c r="F406" s="11"/>
    </x:row>
    <x:row r="407" ht="36" customHeight="1">
      <x:c r="A407" s="2" t="str">
        <x:v>84869000106</x:v>
      </x:c>
      <x:c r="B407" s="11" t="str">
        <x:v>2025/2026 (06)</x:v>
      </x:c>
      <x:c r="C407" s="11" t="str">
        <x:v>7,633,851</x:v>
      </x:c>
      <x:c r="D407" s="11" t="str">
        <x:v>8,096,316</x:v>
      </x:c>
      <x:c r="E407" s="11"/>
      <x:c r="F407" s="11"/>
    </x:row>
    <x:row r="408" ht="36" customHeight="1">
      <x:c r="A408" s="2" t="str">
        <x:v>84869000106</x:v>
      </x:c>
      <x:c r="B408" s="11" t="str">
        <x:v>2025/2026 (07)</x:v>
      </x:c>
      <x:c r="C408" s="11" t="str">
        <x:v>5,263,861</x:v>
      </x:c>
      <x:c r="D408" s="11" t="str">
        <x:v>9,774,205</x:v>
      </x:c>
      <x:c r="E408" s="11"/>
      <x:c r="F408" s="11"/>
    </x:row>
    <x:row r="409" ht="36" customHeight="1">
      <x:c r="A409" s="2" t="str">
        <x:v>84869000106</x:v>
      </x:c>
      <x:c r="B409" s="11" t="str">
        <x:v>2025/2026 (08)</x:v>
      </x:c>
      <x:c r="C409" s="11" t="str">
        <x:v>8,016,909</x:v>
      </x:c>
      <x:c r="D409" s="11" t="str">
        <x:v>5,996,413</x:v>
      </x:c>
      <x:c r="E409" s="11"/>
      <x:c r="F409" s="11"/>
    </x:row>
    <x:row r="410" ht="36" customHeight="1">
      <x:c r="A410" s="2" t="str">
        <x:v>84869000400</x:v>
      </x:c>
      <x:c r="B410" s="11" t="str">
        <x:v>Time Period : 2023/01 - 2026/08</x:v>
      </x:c>
      <x:c r="C410" s="11"/>
      <x:c r="D410" s="11"/>
      <x:c r="E410" s="11"/>
      <x:c r="F410" s="11"/>
    </x:row>
    <x:row r="411" ht="36" customHeight="1">
      <x:c r="A411" s="2" t="str">
        <x:v>84869000400</x:v>
      </x:c>
      <x:c r="B411" s="11" t="str">
        <x:v>MONTH</x:v>
      </x:c>
      <x:c r="C411" s="11" t="str">
        <x:v>2022/01 - 2025/08</x:v>
      </x:c>
      <x:c r="D411" s="11" t="str">
        <x:v>2023/01 - 2026/08</x:v>
      </x:c>
      <x:c r="E411" s="11"/>
      <x:c r="F411" s="11"/>
    </x:row>
    <x:row r="412" ht="36" customHeight="1">
      <x:c r="A412" s="2" t="str">
        <x:v>84869000400</x:v>
      </x:c>
      <x:c r="B412" s="11" t="str">
        <x:v>TOTAL</x:v>
      </x:c>
      <x:c r="C412" s="11" t="str">
        <x:v>1,079,226,375</x:v>
      </x:c>
      <x:c r="D412" s="11" t="str">
        <x:v>1,138,883,832</x:v>
      </x:c>
      <x:c r="E412" s="11"/>
      <x:c r="F412" s="11"/>
    </x:row>
    <x:row r="413" ht="36" customHeight="1">
      <x:c r="A413" s="2" t="str">
        <x:v>84869000400</x:v>
      </x:c>
      <x:c r="B413" s="11" t="str">
        <x:v>2022/2023(01-12)</x:v>
      </x:c>
      <x:c r="C413" s="11" t="str">
        <x:v>384,117,718</x:v>
      </x:c>
      <x:c r="D413" s="11" t="str">
        <x:v>215,350,716</x:v>
      </x:c>
      <x:c r="E413" s="11"/>
      <x:c r="F413" s="11"/>
    </x:row>
    <x:row r="414" ht="36" customHeight="1">
      <x:c r="A414" s="2" t="str">
        <x:v>84869000400</x:v>
      </x:c>
      <x:c r="B414" s="11" t="str">
        <x:v>2022/2023 (01)</x:v>
      </x:c>
      <x:c r="C414" s="11" t="str">
        <x:v>27,267,369</x:v>
      </x:c>
      <x:c r="D414" s="11" t="str">
        <x:v>19,006,833</x:v>
      </x:c>
      <x:c r="E414" s="11"/>
      <x:c r="F414" s="11"/>
    </x:row>
    <x:row r="415" ht="36" customHeight="1">
      <x:c r="A415" s="2" t="str">
        <x:v>84869000400</x:v>
      </x:c>
      <x:c r="B415" s="11" t="str">
        <x:v>2022/2023 (02)</x:v>
      </x:c>
      <x:c r="C415" s="11" t="str">
        <x:v>34,611,072</x:v>
      </x:c>
      <x:c r="D415" s="11" t="str">
        <x:v>24,376,010</x:v>
      </x:c>
      <x:c r="E415" s="11"/>
      <x:c r="F415" s="11"/>
    </x:row>
    <x:row r="416" ht="36" customHeight="1">
      <x:c r="A416" s="2" t="str">
        <x:v>84869000400</x:v>
      </x:c>
      <x:c r="B416" s="11" t="str">
        <x:v>2022/2023 (03)</x:v>
      </x:c>
      <x:c r="C416" s="11" t="str">
        <x:v>39,234,475</x:v>
      </x:c>
      <x:c r="D416" s="11" t="str">
        <x:v>21,305,467</x:v>
      </x:c>
      <x:c r="E416" s="11"/>
      <x:c r="F416" s="11"/>
    </x:row>
    <x:row r="417" ht="36" customHeight="1">
      <x:c r="A417" s="2" t="str">
        <x:v>84869000400</x:v>
      </x:c>
      <x:c r="B417" s="11" t="str">
        <x:v>2022/2023 (04)</x:v>
      </x:c>
      <x:c r="C417" s="11" t="str">
        <x:v>37,158,000</x:v>
      </x:c>
      <x:c r="D417" s="11" t="str">
        <x:v>19,608,283</x:v>
      </x:c>
      <x:c r="E417" s="11"/>
      <x:c r="F417" s="11"/>
    </x:row>
    <x:row r="418" ht="36" customHeight="1">
      <x:c r="A418" s="2" t="str">
        <x:v>84869000400</x:v>
      </x:c>
      <x:c r="B418" s="11" t="str">
        <x:v>2022/2023 (05)</x:v>
      </x:c>
      <x:c r="C418" s="11" t="str">
        <x:v>32,680,245</x:v>
      </x:c>
      <x:c r="D418" s="11" t="str">
        <x:v>16,783,805</x:v>
      </x:c>
      <x:c r="E418" s="11"/>
      <x:c r="F418" s="11"/>
    </x:row>
    <x:row r="419" ht="36" customHeight="1">
      <x:c r="A419" s="2" t="str">
        <x:v>84869000400</x:v>
      </x:c>
      <x:c r="B419" s="11" t="str">
        <x:v>2022/2023 (06)</x:v>
      </x:c>
      <x:c r="C419" s="11" t="str">
        <x:v>41,157,462</x:v>
      </x:c>
      <x:c r="D419" s="11" t="str">
        <x:v>15,005,770</x:v>
      </x:c>
      <x:c r="E419" s="11"/>
      <x:c r="F419" s="11"/>
    </x:row>
    <x:row r="420" ht="36" customHeight="1">
      <x:c r="A420" s="2" t="str">
        <x:v>84869000400</x:v>
      </x:c>
      <x:c r="B420" s="11" t="str">
        <x:v>2022/2023 (07)</x:v>
      </x:c>
      <x:c r="C420" s="11" t="str">
        <x:v>36,704,210</x:v>
      </x:c>
      <x:c r="D420" s="11" t="str">
        <x:v>15,903,262</x:v>
      </x:c>
      <x:c r="E420" s="11"/>
      <x:c r="F420" s="11"/>
    </x:row>
    <x:row r="421" ht="36" customHeight="1">
      <x:c r="A421" s="2" t="str">
        <x:v>84869000400</x:v>
      </x:c>
      <x:c r="B421" s="11" t="str">
        <x:v>2022/2023 (08)</x:v>
      </x:c>
      <x:c r="C421" s="11" t="str">
        <x:v>24,441,298</x:v>
      </x:c>
      <x:c r="D421" s="11" t="str">
        <x:v>13,112,647</x:v>
      </x:c>
      <x:c r="E421" s="11"/>
      <x:c r="F421" s="11"/>
    </x:row>
    <x:row r="422" ht="36" customHeight="1">
      <x:c r="A422" s="2" t="str">
        <x:v>84869000400</x:v>
      </x:c>
      <x:c r="B422" s="11" t="str">
        <x:v>2022/2023 (09)</x:v>
      </x:c>
      <x:c r="C422" s="11" t="str">
        <x:v>24,298,237</x:v>
      </x:c>
      <x:c r="D422" s="11" t="str">
        <x:v>16,475,576</x:v>
      </x:c>
      <x:c r="E422" s="11"/>
      <x:c r="F422" s="11"/>
    </x:row>
    <x:row r="423" ht="36" customHeight="1">
      <x:c r="A423" s="2" t="str">
        <x:v>84869000400</x:v>
      </x:c>
      <x:c r="B423" s="11" t="str">
        <x:v>2022/2023 (10)</x:v>
      </x:c>
      <x:c r="C423" s="11" t="str">
        <x:v>34,964,759</x:v>
      </x:c>
      <x:c r="D423" s="11" t="str">
        <x:v>21,016,452</x:v>
      </x:c>
      <x:c r="E423" s="11"/>
      <x:c r="F423" s="11"/>
    </x:row>
    <x:row r="424" ht="36" customHeight="1">
      <x:c r="A424" s="2" t="str">
        <x:v>84869000400</x:v>
      </x:c>
      <x:c r="B424" s="11" t="str">
        <x:v>2022/2023 (11)</x:v>
      </x:c>
      <x:c r="C424" s="11" t="str">
        <x:v>24,465,941</x:v>
      </x:c>
      <x:c r="D424" s="11" t="str">
        <x:v>12,130,877</x:v>
      </x:c>
      <x:c r="E424" s="11"/>
      <x:c r="F424" s="11"/>
    </x:row>
    <x:row r="425" ht="36" customHeight="1">
      <x:c r="A425" s="2" t="str">
        <x:v>84869000400</x:v>
      </x:c>
      <x:c r="B425" s="11" t="str">
        <x:v>2022/2023 (12)</x:v>
      </x:c>
      <x:c r="C425" s="11" t="str">
        <x:v>27,134,650</x:v>
      </x:c>
      <x:c r="D425" s="11" t="str">
        <x:v>20,625,734</x:v>
      </x:c>
      <x:c r="E425" s="11"/>
      <x:c r="F425" s="11"/>
    </x:row>
    <x:row r="426" ht="36" customHeight="1">
      <x:c r="A426" s="2" t="str">
        <x:v>84869000400</x:v>
      </x:c>
      <x:c r="B426" s="11" t="str">
        <x:v>2023/2024(01-12)</x:v>
      </x:c>
      <x:c r="C426" s="11" t="str">
        <x:v>215,350,716</x:v>
      </x:c>
      <x:c r="D426" s="11" t="str">
        <x:v>261,300,582</x:v>
      </x:c>
      <x:c r="E426" s="11"/>
      <x:c r="F426" s="11"/>
    </x:row>
    <x:row r="427" ht="36" customHeight="1">
      <x:c r="A427" s="2" t="str">
        <x:v>84869000400</x:v>
      </x:c>
      <x:c r="B427" s="11" t="str">
        <x:v>2023/2024 (01)</x:v>
      </x:c>
      <x:c r="C427" s="11" t="str">
        <x:v>19,006,833</x:v>
      </x:c>
      <x:c r="D427" s="11" t="str">
        <x:v>18,518,389</x:v>
      </x:c>
      <x:c r="E427" s="11"/>
      <x:c r="F427" s="11"/>
    </x:row>
    <x:row r="428" ht="36" customHeight="1">
      <x:c r="A428" s="2" t="str">
        <x:v>84869000400</x:v>
      </x:c>
      <x:c r="B428" s="11" t="str">
        <x:v>2023/2024 (02)</x:v>
      </x:c>
      <x:c r="C428" s="11" t="str">
        <x:v>24,376,010</x:v>
      </x:c>
      <x:c r="D428" s="11" t="str">
        <x:v>22,213,471</x:v>
      </x:c>
      <x:c r="E428" s="11"/>
      <x:c r="F428" s="11"/>
    </x:row>
    <x:row r="429" ht="36" customHeight="1">
      <x:c r="A429" s="2" t="str">
        <x:v>84869000400</x:v>
      </x:c>
      <x:c r="B429" s="11" t="str">
        <x:v>2023/2024 (03)</x:v>
      </x:c>
      <x:c r="C429" s="11" t="str">
        <x:v>21,305,467</x:v>
      </x:c>
      <x:c r="D429" s="11" t="str">
        <x:v>19,580,245</x:v>
      </x:c>
      <x:c r="E429" s="11"/>
      <x:c r="F429" s="11"/>
    </x:row>
    <x:row r="430" ht="36" customHeight="1">
      <x:c r="A430" s="2" t="str">
        <x:v>84869000400</x:v>
      </x:c>
      <x:c r="B430" s="11" t="str">
        <x:v>2023/2024 (04)</x:v>
      </x:c>
      <x:c r="C430" s="11" t="str">
        <x:v>19,608,283</x:v>
      </x:c>
      <x:c r="D430" s="11" t="str">
        <x:v>24,978,449</x:v>
      </x:c>
      <x:c r="E430" s="11"/>
      <x:c r="F430" s="11"/>
    </x:row>
    <x:row r="431" ht="36" customHeight="1">
      <x:c r="A431" s="2" t="str">
        <x:v>84869000400</x:v>
      </x:c>
      <x:c r="B431" s="11" t="str">
        <x:v>2023/2024 (05)</x:v>
      </x:c>
      <x:c r="C431" s="11" t="str">
        <x:v>16,783,805</x:v>
      </x:c>
      <x:c r="D431" s="11" t="str">
        <x:v>16,600,833</x:v>
      </x:c>
      <x:c r="E431" s="11"/>
      <x:c r="F431" s="11"/>
    </x:row>
    <x:row r="432" ht="36" customHeight="1">
      <x:c r="A432" s="2" t="str">
        <x:v>84869000400</x:v>
      </x:c>
      <x:c r="B432" s="11" t="str">
        <x:v>2023/2024 (06)</x:v>
      </x:c>
      <x:c r="C432" s="11" t="str">
        <x:v>15,005,770</x:v>
      </x:c>
      <x:c r="D432" s="11" t="str">
        <x:v>16,993,150</x:v>
      </x:c>
      <x:c r="E432" s="11"/>
      <x:c r="F432" s="11"/>
    </x:row>
    <x:row r="433" ht="36" customHeight="1">
      <x:c r="A433" s="2" t="str">
        <x:v>84869000400</x:v>
      </x:c>
      <x:c r="B433" s="11" t="str">
        <x:v>2023/2024 (07)</x:v>
      </x:c>
      <x:c r="C433" s="11" t="str">
        <x:v>15,903,262</x:v>
      </x:c>
      <x:c r="D433" s="11" t="str">
        <x:v>19,127,117</x:v>
      </x:c>
      <x:c r="E433" s="11"/>
      <x:c r="F433" s="11"/>
    </x:row>
    <x:row r="434" ht="36" customHeight="1">
      <x:c r="A434" s="2" t="str">
        <x:v>84869000400</x:v>
      </x:c>
      <x:c r="B434" s="11" t="str">
        <x:v>2023/2024 (08)</x:v>
      </x:c>
      <x:c r="C434" s="11" t="str">
        <x:v>13,112,647</x:v>
      </x:c>
      <x:c r="D434" s="11" t="str">
        <x:v>21,657,993</x:v>
      </x:c>
      <x:c r="E434" s="11"/>
      <x:c r="F434" s="11"/>
    </x:row>
    <x:row r="435" ht="36" customHeight="1">
      <x:c r="A435" s="2" t="str">
        <x:v>84869000400</x:v>
      </x:c>
      <x:c r="B435" s="11" t="str">
        <x:v>2023/2024 (09)</x:v>
      </x:c>
      <x:c r="C435" s="11" t="str">
        <x:v>16,475,576</x:v>
      </x:c>
      <x:c r="D435" s="11" t="str">
        <x:v>22,189,363</x:v>
      </x:c>
      <x:c r="E435" s="11"/>
      <x:c r="F435" s="11"/>
    </x:row>
    <x:row r="436" ht="36" customHeight="1">
      <x:c r="A436" s="2" t="str">
        <x:v>84869000400</x:v>
      </x:c>
      <x:c r="B436" s="11" t="str">
        <x:v>2023/2024 (10)</x:v>
      </x:c>
      <x:c r="C436" s="11" t="str">
        <x:v>21,016,452</x:v>
      </x:c>
      <x:c r="D436" s="11" t="str">
        <x:v>19,644,277</x:v>
      </x:c>
      <x:c r="E436" s="11"/>
      <x:c r="F436" s="11"/>
    </x:row>
    <x:row r="437" ht="36" customHeight="1">
      <x:c r="A437" s="2" t="str">
        <x:v>84869000400</x:v>
      </x:c>
      <x:c r="B437" s="11" t="str">
        <x:v>2023/2024 (11)</x:v>
      </x:c>
      <x:c r="C437" s="11" t="str">
        <x:v>12,130,877</x:v>
      </x:c>
      <x:c r="D437" s="11" t="str">
        <x:v>27,697,795</x:v>
      </x:c>
      <x:c r="E437" s="11"/>
      <x:c r="F437" s="11"/>
    </x:row>
    <x:row r="438" ht="36" customHeight="1">
      <x:c r="A438" s="2" t="str">
        <x:v>84869000400</x:v>
      </x:c>
      <x:c r="B438" s="11" t="str">
        <x:v>2023/2024 (12)</x:v>
      </x:c>
      <x:c r="C438" s="11" t="str">
        <x:v>20,625,734</x:v>
      </x:c>
      <x:c r="D438" s="11" t="str">
        <x:v>32,099,500</x:v>
      </x:c>
      <x:c r="E438" s="11"/>
      <x:c r="F438" s="11"/>
    </x:row>
    <x:row r="439" ht="36" customHeight="1">
      <x:c r="A439" s="2" t="str">
        <x:v>84869000400</x:v>
      </x:c>
      <x:c r="B439" s="11" t="str">
        <x:v>2024/2025(01-12)</x:v>
      </x:c>
      <x:c r="C439" s="11" t="str">
        <x:v>261,300,582</x:v>
      </x:c>
      <x:c r="D439" s="11" t="str">
        <x:v>335,652,992</x:v>
      </x:c>
      <x:c r="E439" s="11"/>
      <x:c r="F439" s="11"/>
    </x:row>
    <x:row r="440" ht="36" customHeight="1">
      <x:c r="A440" s="2" t="str">
        <x:v>84869000400</x:v>
      </x:c>
      <x:c r="B440" s="11" t="str">
        <x:v>2024/2025 (01)</x:v>
      </x:c>
      <x:c r="C440" s="11" t="str">
        <x:v>18,518,389</x:v>
      </x:c>
      <x:c r="D440" s="11" t="str">
        <x:v>16,419,924</x:v>
      </x:c>
      <x:c r="E440" s="11"/>
      <x:c r="F440" s="11"/>
    </x:row>
    <x:row r="441" ht="36" customHeight="1">
      <x:c r="A441" s="2" t="str">
        <x:v>84869000400</x:v>
      </x:c>
      <x:c r="B441" s="11" t="str">
        <x:v>2024/2025 (02)</x:v>
      </x:c>
      <x:c r="C441" s="11" t="str">
        <x:v>22,213,471</x:v>
      </x:c>
      <x:c r="D441" s="11" t="str">
        <x:v>24,468,430</x:v>
      </x:c>
      <x:c r="E441" s="11"/>
      <x:c r="F441" s="11"/>
    </x:row>
    <x:row r="442" ht="36" customHeight="1">
      <x:c r="A442" s="2" t="str">
        <x:v>84869000400</x:v>
      </x:c>
      <x:c r="B442" s="11" t="str">
        <x:v>2024/2025 (03)</x:v>
      </x:c>
      <x:c r="C442" s="11" t="str">
        <x:v>19,580,245</x:v>
      </x:c>
      <x:c r="D442" s="11" t="str">
        <x:v>30,141,420</x:v>
      </x:c>
      <x:c r="E442" s="11"/>
      <x:c r="F442" s="11"/>
    </x:row>
    <x:row r="443" ht="36" customHeight="1">
      <x:c r="A443" s="2" t="str">
        <x:v>84869000400</x:v>
      </x:c>
      <x:c r="B443" s="11" t="str">
        <x:v>2024/2025 (04)</x:v>
      </x:c>
      <x:c r="C443" s="11" t="str">
        <x:v>24,978,449</x:v>
      </x:c>
      <x:c r="D443" s="11" t="str">
        <x:v>28,331,412</x:v>
      </x:c>
      <x:c r="E443" s="11"/>
      <x:c r="F443" s="11"/>
    </x:row>
    <x:row r="444" ht="36" customHeight="1">
      <x:c r="A444" s="2" t="str">
        <x:v>84869000400</x:v>
      </x:c>
      <x:c r="B444" s="11" t="str">
        <x:v>2024/2025 (05)</x:v>
      </x:c>
      <x:c r="C444" s="11" t="str">
        <x:v>16,600,833</x:v>
      </x:c>
      <x:c r="D444" s="11" t="str">
        <x:v>33,295,655</x:v>
      </x:c>
      <x:c r="E444" s="11"/>
      <x:c r="F444" s="11"/>
    </x:row>
    <x:row r="445" ht="36" customHeight="1">
      <x:c r="A445" s="2" t="str">
        <x:v>84869000400</x:v>
      </x:c>
      <x:c r="B445" s="11" t="str">
        <x:v>2024/2025 (06)</x:v>
      </x:c>
      <x:c r="C445" s="11" t="str">
        <x:v>16,993,150</x:v>
      </x:c>
      <x:c r="D445" s="11" t="str">
        <x:v>31,501,685</x:v>
      </x:c>
      <x:c r="E445" s="11"/>
      <x:c r="F445" s="11"/>
    </x:row>
    <x:row r="446" ht="36" customHeight="1">
      <x:c r="A446" s="2" t="str">
        <x:v>84869000400</x:v>
      </x:c>
      <x:c r="B446" s="11" t="str">
        <x:v>2024/2025 (07)</x:v>
      </x:c>
      <x:c r="C446" s="11" t="str">
        <x:v>19,127,117</x:v>
      </x:c>
      <x:c r="D446" s="11" t="str">
        <x:v>25,193,881</x:v>
      </x:c>
      <x:c r="E446" s="11"/>
      <x:c r="F446" s="11"/>
    </x:row>
    <x:row r="447" ht="36" customHeight="1">
      <x:c r="A447" s="2" t="str">
        <x:v>84869000400</x:v>
      </x:c>
      <x:c r="B447" s="11" t="str">
        <x:v>2024/2025 (08)</x:v>
      </x:c>
      <x:c r="C447" s="11" t="str">
        <x:v>21,657,993</x:v>
      </x:c>
      <x:c r="D447" s="11" t="str">
        <x:v>29,104,952</x:v>
      </x:c>
      <x:c r="E447" s="11"/>
      <x:c r="F447" s="11"/>
    </x:row>
    <x:row r="448" ht="36" customHeight="1">
      <x:c r="A448" s="2" t="str">
        <x:v>84869000400</x:v>
      </x:c>
      <x:c r="B448" s="11" t="str">
        <x:v>2024/2025 (09)</x:v>
      </x:c>
      <x:c r="C448" s="11" t="str">
        <x:v>22,189,363</x:v>
      </x:c>
      <x:c r="D448" s="11" t="str">
        <x:v>29,562,640</x:v>
      </x:c>
      <x:c r="E448" s="11"/>
      <x:c r="F448" s="11"/>
    </x:row>
    <x:row r="449" ht="36" customHeight="1">
      <x:c r="A449" s="2" t="str">
        <x:v>84869000400</x:v>
      </x:c>
      <x:c r="B449" s="11" t="str">
        <x:v>2024/2025 (10)</x:v>
      </x:c>
      <x:c r="C449" s="11" t="str">
        <x:v>19,644,277</x:v>
      </x:c>
      <x:c r="D449" s="11" t="str">
        <x:v>25,110,681</x:v>
      </x:c>
      <x:c r="E449" s="11"/>
      <x:c r="F449" s="11"/>
    </x:row>
    <x:row r="450" ht="36" customHeight="1">
      <x:c r="A450" s="2" t="str">
        <x:v>84869000400</x:v>
      </x:c>
      <x:c r="B450" s="11" t="str">
        <x:v>2024/2025 (11)</x:v>
      </x:c>
      <x:c r="C450" s="11" t="str">
        <x:v>27,697,795</x:v>
      </x:c>
      <x:c r="D450" s="11" t="str">
        <x:v>31,859,803</x:v>
      </x:c>
      <x:c r="E450" s="11"/>
      <x:c r="F450" s="11"/>
    </x:row>
    <x:row r="451" ht="36" customHeight="1">
      <x:c r="A451" s="2" t="str">
        <x:v>84869000400</x:v>
      </x:c>
      <x:c r="B451" s="11" t="str">
        <x:v>2024/2025 (12)</x:v>
      </x:c>
      <x:c r="C451" s="11" t="str">
        <x:v>32,099,500</x:v>
      </x:c>
      <x:c r="D451" s="11" t="str">
        <x:v>30,662,509</x:v>
      </x:c>
      <x:c r="E451" s="11"/>
      <x:c r="F451" s="11"/>
    </x:row>
    <x:row r="452" ht="36" customHeight="1">
      <x:c r="A452" s="2" t="str">
        <x:v>84869000400</x:v>
      </x:c>
      <x:c r="B452" s="11" t="str">
        <x:v>2025/2026(01-08)</x:v>
      </x:c>
      <x:c r="C452" s="11" t="str">
        <x:v>218,457,359</x:v>
      </x:c>
      <x:c r="D452" s="11" t="str">
        <x:v>326,579,542</x:v>
      </x:c>
      <x:c r="E452" s="11"/>
      <x:c r="F452" s="11"/>
    </x:row>
    <x:row r="453" ht="36" customHeight="1">
      <x:c r="A453" s="2" t="str">
        <x:v>84869000400</x:v>
      </x:c>
      <x:c r="B453" s="11" t="str">
        <x:v>2025/2026 (01)</x:v>
      </x:c>
      <x:c r="C453" s="11" t="str">
        <x:v>16,419,924</x:v>
      </x:c>
      <x:c r="D453" s="11" t="str">
        <x:v>35,443,881</x:v>
      </x:c>
      <x:c r="E453" s="11"/>
      <x:c r="F453" s="11"/>
    </x:row>
    <x:row r="454" ht="36" customHeight="1">
      <x:c r="A454" s="2" t="str">
        <x:v>84869000400</x:v>
      </x:c>
      <x:c r="B454" s="11" t="str">
        <x:v>2025/2026 (02)</x:v>
      </x:c>
      <x:c r="C454" s="11" t="str">
        <x:v>24,468,430</x:v>
      </x:c>
      <x:c r="D454" s="11" t="str">
        <x:v>29,335,399</x:v>
      </x:c>
      <x:c r="E454" s="11"/>
      <x:c r="F454" s="11"/>
    </x:row>
    <x:row r="455" ht="36" customHeight="1">
      <x:c r="A455" s="2" t="str">
        <x:v>84869000400</x:v>
      </x:c>
      <x:c r="B455" s="11" t="str">
        <x:v>2025/2026 (03)</x:v>
      </x:c>
      <x:c r="C455" s="11" t="str">
        <x:v>30,141,420</x:v>
      </x:c>
      <x:c r="D455" s="11" t="str">
        <x:v>55,515,209</x:v>
      </x:c>
      <x:c r="E455" s="11"/>
      <x:c r="F455" s="11"/>
    </x:row>
    <x:row r="456" ht="36" customHeight="1">
      <x:c r="A456" s="2" t="str">
        <x:v>84869000400</x:v>
      </x:c>
      <x:c r="B456" s="11" t="str">
        <x:v>2025/2026 (04)</x:v>
      </x:c>
      <x:c r="C456" s="11" t="str">
        <x:v>28,331,412</x:v>
      </x:c>
      <x:c r="D456" s="11" t="str">
        <x:v>41,649,816</x:v>
      </x:c>
      <x:c r="E456" s="11"/>
      <x:c r="F456" s="11"/>
    </x:row>
    <x:row r="457" ht="36" customHeight="1">
      <x:c r="A457" s="2" t="str">
        <x:v>84869000400</x:v>
      </x:c>
      <x:c r="B457" s="11" t="str">
        <x:v>2025/2026 (05)</x:v>
      </x:c>
      <x:c r="C457" s="11" t="str">
        <x:v>33,295,655</x:v>
      </x:c>
      <x:c r="D457" s="11" t="str">
        <x:v>44,288,017</x:v>
      </x:c>
      <x:c r="E457" s="11"/>
      <x:c r="F457" s="11"/>
    </x:row>
    <x:row r="458" ht="36" customHeight="1">
      <x:c r="A458" s="2" t="str">
        <x:v>84869000400</x:v>
      </x:c>
      <x:c r="B458" s="11" t="str">
        <x:v>2025/2026 (06)</x:v>
      </x:c>
      <x:c r="C458" s="11" t="str">
        <x:v>31,501,685</x:v>
      </x:c>
      <x:c r="D458" s="11" t="str">
        <x:v>44,594,962</x:v>
      </x:c>
      <x:c r="E458" s="11"/>
      <x:c r="F458" s="11"/>
    </x:row>
    <x:row r="459" ht="36" customHeight="1">
      <x:c r="A459" s="2" t="str">
        <x:v>84869000400</x:v>
      </x:c>
      <x:c r="B459" s="11" t="str">
        <x:v>2025/2026 (07)</x:v>
      </x:c>
      <x:c r="C459" s="11" t="str">
        <x:v>25,193,881</x:v>
      </x:c>
      <x:c r="D459" s="11" t="str">
        <x:v>41,949,568</x:v>
      </x:c>
      <x:c r="E459" s="11"/>
      <x:c r="F459" s="11"/>
    </x:row>
    <x:row r="460" ht="36" customHeight="1">
      <x:c r="A460" s="2" t="str">
        <x:v>84869000400</x:v>
      </x:c>
      <x:c r="B460" s="11" t="str">
        <x:v>2025/2026 (08)</x:v>
      </x:c>
      <x:c r="C460" s="11" t="str">
        <x:v>29,104,952</x:v>
      </x:c>
      <x:c r="D460" s="11" t="str">
        <x:v>33,802,690</x:v>
      </x:c>
      <x:c r="E460" s="11"/>
      <x:c r="F460" s="11"/>
    </x:row>
    <x:row r="461" ht="36" customHeight="1">
      <x:c r="A461" s="2" t="str">
        <x:v>84869000605</x:v>
      </x:c>
      <x:c r="B461" s="11" t="str">
        <x:v>Time Period : 2023/01 - 2026/08</x:v>
      </x:c>
      <x:c r="C461" s="11"/>
      <x:c r="D461" s="11"/>
      <x:c r="E461" s="11"/>
      <x:c r="F461" s="11"/>
    </x:row>
    <x:row r="462" ht="36" customHeight="1">
      <x:c r="A462" s="2" t="str">
        <x:v>84869000605</x:v>
      </x:c>
      <x:c r="B462" s="11" t="str">
        <x:v>MONTH</x:v>
      </x:c>
      <x:c r="C462" s="11" t="str">
        <x:v>2022/01 - 2025/08</x:v>
      </x:c>
      <x:c r="D462" s="11" t="str">
        <x:v>2023/01 - 2026/08</x:v>
      </x:c>
      <x:c r="E462" s="11"/>
      <x:c r="F462" s="11"/>
    </x:row>
    <x:row r="463" ht="36" customHeight="1">
      <x:c r="A463" s="2" t="str">
        <x:v>84869000605</x:v>
      </x:c>
      <x:c r="B463" s="11" t="str">
        <x:v>TOTAL</x:v>
      </x:c>
      <x:c r="C463" s="11" t="str">
        <x:v>47,991,118</x:v>
      </x:c>
      <x:c r="D463" s="11" t="str">
        <x:v>63,458,410</x:v>
      </x:c>
      <x:c r="E463" s="11"/>
      <x:c r="F463" s="11"/>
    </x:row>
    <x:row r="464" ht="36" customHeight="1">
      <x:c r="A464" s="2" t="str">
        <x:v>84869000605</x:v>
      </x:c>
      <x:c r="B464" s="11" t="str">
        <x:v>2022/2023(01-12)</x:v>
      </x:c>
      <x:c r="C464" s="11" t="str">
        <x:v>9,409,839</x:v>
      </x:c>
      <x:c r="D464" s="11" t="str">
        <x:v>13,791,005</x:v>
      </x:c>
      <x:c r="E464" s="11"/>
      <x:c r="F464" s="11"/>
    </x:row>
    <x:row r="465" ht="36" customHeight="1">
      <x:c r="A465" s="2" t="str">
        <x:v>84869000605</x:v>
      </x:c>
      <x:c r="B465" s="11" t="str">
        <x:v>2022/2023 (01)</x:v>
      </x:c>
      <x:c r="C465" s="11" t="str">
        <x:v>1,135,119</x:v>
      </x:c>
      <x:c r="D465" s="11" t="str">
        <x:v>869,742</x:v>
      </x:c>
      <x:c r="E465" s="11"/>
      <x:c r="F465" s="11"/>
    </x:row>
    <x:row r="466" ht="36" customHeight="1">
      <x:c r="A466" s="2" t="str">
        <x:v>84869000605</x:v>
      </x:c>
      <x:c r="B466" s="11" t="str">
        <x:v>2022/2023 (02)</x:v>
      </x:c>
      <x:c r="C466" s="11" t="str">
        <x:v>621,683</x:v>
      </x:c>
      <x:c r="D466" s="11" t="str">
        <x:v>843,096</x:v>
      </x:c>
      <x:c r="E466" s="11"/>
      <x:c r="F466" s="11"/>
    </x:row>
    <x:row r="467" ht="36" customHeight="1">
      <x:c r="A467" s="2" t="str">
        <x:v>84869000605</x:v>
      </x:c>
      <x:c r="B467" s="11" t="str">
        <x:v>2022/2023 (03)</x:v>
      </x:c>
      <x:c r="C467" s="11" t="str">
        <x:v>581,982</x:v>
      </x:c>
      <x:c r="D467" s="11" t="str">
        <x:v>662,153</x:v>
      </x:c>
      <x:c r="E467" s="11"/>
      <x:c r="F467" s="11"/>
    </x:row>
    <x:row r="468" ht="36" customHeight="1">
      <x:c r="A468" s="2" t="str">
        <x:v>84869000605</x:v>
      </x:c>
      <x:c r="B468" s="11" t="str">
        <x:v>2022/2023 (04)</x:v>
      </x:c>
      <x:c r="C468" s="11" t="str">
        <x:v>459,354</x:v>
      </x:c>
      <x:c r="D468" s="11" t="str">
        <x:v>933,805</x:v>
      </x:c>
      <x:c r="E468" s="11"/>
      <x:c r="F468" s="11"/>
    </x:row>
    <x:row r="469" ht="36" customHeight="1">
      <x:c r="A469" s="2" t="str">
        <x:v>84869000605</x:v>
      </x:c>
      <x:c r="B469" s="11" t="str">
        <x:v>2022/2023 (05)</x:v>
      </x:c>
      <x:c r="C469" s="11" t="str">
        <x:v>513,700</x:v>
      </x:c>
      <x:c r="D469" s="11" t="str">
        <x:v>515,890</x:v>
      </x:c>
      <x:c r="E469" s="11"/>
      <x:c r="F469" s="11"/>
    </x:row>
    <x:row r="470" ht="36" customHeight="1">
      <x:c r="A470" s="2" t="str">
        <x:v>84869000605</x:v>
      </x:c>
      <x:c r="B470" s="11" t="str">
        <x:v>2022/2023 (06)</x:v>
      </x:c>
      <x:c r="C470" s="11" t="str">
        <x:v>204,735</x:v>
      </x:c>
      <x:c r="D470" s="11" t="str">
        <x:v>1,180,475</x:v>
      </x:c>
      <x:c r="E470" s="11"/>
      <x:c r="F470" s="11"/>
    </x:row>
    <x:row r="471" ht="36" customHeight="1">
      <x:c r="A471" s="2" t="str">
        <x:v>84869000605</x:v>
      </x:c>
      <x:c r="B471" s="11" t="str">
        <x:v>2022/2023 (07)</x:v>
      </x:c>
      <x:c r="C471" s="11" t="str">
        <x:v>3,250,471</x:v>
      </x:c>
      <x:c r="D471" s="11" t="str">
        <x:v>1,207,973</x:v>
      </x:c>
      <x:c r="E471" s="11"/>
      <x:c r="F471" s="11"/>
    </x:row>
    <x:row r="472" ht="36" customHeight="1">
      <x:c r="A472" s="2" t="str">
        <x:v>84869000605</x:v>
      </x:c>
      <x:c r="B472" s="11" t="str">
        <x:v>2022/2023 (08)</x:v>
      </x:c>
      <x:c r="C472" s="11" t="str">
        <x:v>398,598</x:v>
      </x:c>
      <x:c r="D472" s="11" t="str">
        <x:v>1,198,925</x:v>
      </x:c>
      <x:c r="E472" s="11"/>
      <x:c r="F472" s="11"/>
    </x:row>
    <x:row r="473" ht="36" customHeight="1">
      <x:c r="A473" s="2" t="str">
        <x:v>84869000605</x:v>
      </x:c>
      <x:c r="B473" s="11" t="str">
        <x:v>2022/2023 (09)</x:v>
      </x:c>
      <x:c r="C473" s="11" t="str">
        <x:v>832,529</x:v>
      </x:c>
      <x:c r="D473" s="11" t="str">
        <x:v>1,887,554</x:v>
      </x:c>
      <x:c r="E473" s="11"/>
      <x:c r="F473" s="11"/>
    </x:row>
    <x:row r="474" ht="36" customHeight="1">
      <x:c r="A474" s="2" t="str">
        <x:v>84869000605</x:v>
      </x:c>
      <x:c r="B474" s="11" t="str">
        <x:v>2022/2023 (10)</x:v>
      </x:c>
      <x:c r="C474" s="11" t="str">
        <x:v>622,861</x:v>
      </x:c>
      <x:c r="D474" s="11" t="str">
        <x:v>1,792,958</x:v>
      </x:c>
      <x:c r="E474" s="11"/>
      <x:c r="F474" s="11"/>
    </x:row>
    <x:row r="475" ht="36" customHeight="1">
      <x:c r="A475" s="2" t="str">
        <x:v>84869000605</x:v>
      </x:c>
      <x:c r="B475" s="11" t="str">
        <x:v>2022/2023 (11)</x:v>
      </x:c>
      <x:c r="C475" s="11" t="str">
        <x:v>305,932</x:v>
      </x:c>
      <x:c r="D475" s="11" t="str">
        <x:v>2,199,006</x:v>
      </x:c>
      <x:c r="E475" s="11"/>
      <x:c r="F475" s="11"/>
    </x:row>
    <x:row r="476" ht="36" customHeight="1">
      <x:c r="A476" s="2" t="str">
        <x:v>84869000605</x:v>
      </x:c>
      <x:c r="B476" s="11" t="str">
        <x:v>2022/2023 (12)</x:v>
      </x:c>
      <x:c r="C476" s="11" t="str">
        <x:v>482,875</x:v>
      </x:c>
      <x:c r="D476" s="11" t="str">
        <x:v>499,428</x:v>
      </x:c>
      <x:c r="E476" s="11"/>
      <x:c r="F476" s="11"/>
    </x:row>
    <x:row r="477" ht="36" customHeight="1">
      <x:c r="A477" s="2" t="str">
        <x:v>84869000605</x:v>
      </x:c>
      <x:c r="B477" s="11" t="str">
        <x:v>2023/2024(01-12)</x:v>
      </x:c>
      <x:c r="C477" s="11" t="str">
        <x:v>13,791,005</x:v>
      </x:c>
      <x:c r="D477" s="11" t="str">
        <x:v>11,467,616</x:v>
      </x:c>
      <x:c r="E477" s="11"/>
      <x:c r="F477" s="11"/>
    </x:row>
    <x:row r="478" ht="36" customHeight="1">
      <x:c r="A478" s="2" t="str">
        <x:v>84869000605</x:v>
      </x:c>
      <x:c r="B478" s="11" t="str">
        <x:v>2023/2024 (01)</x:v>
      </x:c>
      <x:c r="C478" s="11" t="str">
        <x:v>869,742</x:v>
      </x:c>
      <x:c r="D478" s="11" t="str">
        <x:v>907,876</x:v>
      </x:c>
      <x:c r="E478" s="11"/>
      <x:c r="F478" s="11"/>
    </x:row>
    <x:row r="479" ht="36" customHeight="1">
      <x:c r="A479" s="2" t="str">
        <x:v>84869000605</x:v>
      </x:c>
      <x:c r="B479" s="11" t="str">
        <x:v>2023/2024 (02)</x:v>
      </x:c>
      <x:c r="C479" s="11" t="str">
        <x:v>843,096</x:v>
      </x:c>
      <x:c r="D479" s="11" t="str">
        <x:v>654,607</x:v>
      </x:c>
      <x:c r="E479" s="11"/>
      <x:c r="F479" s="11"/>
    </x:row>
    <x:row r="480" ht="36" customHeight="1">
      <x:c r="A480" s="2" t="str">
        <x:v>84869000605</x:v>
      </x:c>
      <x:c r="B480" s="11" t="str">
        <x:v>2023/2024 (03)</x:v>
      </x:c>
      <x:c r="C480" s="11" t="str">
        <x:v>662,153</x:v>
      </x:c>
      <x:c r="D480" s="11" t="str">
        <x:v>548,592</x:v>
      </x:c>
      <x:c r="E480" s="11"/>
      <x:c r="F480" s="11"/>
    </x:row>
    <x:row r="481" ht="36" customHeight="1">
      <x:c r="A481" s="2" t="str">
        <x:v>84869000605</x:v>
      </x:c>
      <x:c r="B481" s="11" t="str">
        <x:v>2023/2024 (04)</x:v>
      </x:c>
      <x:c r="C481" s="11" t="str">
        <x:v>933,805</x:v>
      </x:c>
      <x:c r="D481" s="11" t="str">
        <x:v>626,917</x:v>
      </x:c>
      <x:c r="E481" s="11"/>
      <x:c r="F481" s="11"/>
    </x:row>
    <x:row r="482" ht="36" customHeight="1">
      <x:c r="A482" s="2" t="str">
        <x:v>84869000605</x:v>
      </x:c>
      <x:c r="B482" s="11" t="str">
        <x:v>2023/2024 (05)</x:v>
      </x:c>
      <x:c r="C482" s="11" t="str">
        <x:v>515,890</x:v>
      </x:c>
      <x:c r="D482" s="11" t="str">
        <x:v>1,259,808</x:v>
      </x:c>
      <x:c r="E482" s="11"/>
      <x:c r="F482" s="11"/>
    </x:row>
    <x:row r="483" ht="36" customHeight="1">
      <x:c r="A483" s="2" t="str">
        <x:v>84869000605</x:v>
      </x:c>
      <x:c r="B483" s="11" t="str">
        <x:v>2023/2024 (06)</x:v>
      </x:c>
      <x:c r="C483" s="11" t="str">
        <x:v>1,180,475</x:v>
      </x:c>
      <x:c r="D483" s="11" t="str">
        <x:v>1,742,633</x:v>
      </x:c>
      <x:c r="E483" s="11"/>
      <x:c r="F483" s="11"/>
    </x:row>
    <x:row r="484" ht="36" customHeight="1">
      <x:c r="A484" s="2" t="str">
        <x:v>84869000605</x:v>
      </x:c>
      <x:c r="B484" s="11" t="str">
        <x:v>2023/2024 (07)</x:v>
      </x:c>
      <x:c r="C484" s="11" t="str">
        <x:v>1,207,973</x:v>
      </x:c>
      <x:c r="D484" s="11" t="str">
        <x:v>613,233</x:v>
      </x:c>
      <x:c r="E484" s="11"/>
      <x:c r="F484" s="11"/>
    </x:row>
    <x:row r="485" ht="36" customHeight="1">
      <x:c r="A485" s="2" t="str">
        <x:v>84869000605</x:v>
      </x:c>
      <x:c r="B485" s="11" t="str">
        <x:v>2023/2024 (08)</x:v>
      </x:c>
      <x:c r="C485" s="11" t="str">
        <x:v>1,198,925</x:v>
      </x:c>
      <x:c r="D485" s="11" t="str">
        <x:v>644,431</x:v>
      </x:c>
      <x:c r="E485" s="11"/>
      <x:c r="F485" s="11"/>
    </x:row>
    <x:row r="486" ht="36" customHeight="1">
      <x:c r="A486" s="2" t="str">
        <x:v>84869000605</x:v>
      </x:c>
      <x:c r="B486" s="11" t="str">
        <x:v>2023/2024 (09)</x:v>
      </x:c>
      <x:c r="C486" s="11" t="str">
        <x:v>1,887,554</x:v>
      </x:c>
      <x:c r="D486" s="11" t="str">
        <x:v>1,158,044</x:v>
      </x:c>
      <x:c r="E486" s="11"/>
      <x:c r="F486" s="11"/>
    </x:row>
    <x:row r="487" ht="36" customHeight="1">
      <x:c r="A487" s="2" t="str">
        <x:v>84869000605</x:v>
      </x:c>
      <x:c r="B487" s="11" t="str">
        <x:v>2023/2024 (10)</x:v>
      </x:c>
      <x:c r="C487" s="11" t="str">
        <x:v>1,792,958</x:v>
      </x:c>
      <x:c r="D487" s="11" t="str">
        <x:v>1,247,142</x:v>
      </x:c>
      <x:c r="E487" s="11"/>
      <x:c r="F487" s="11"/>
    </x:row>
    <x:row r="488" ht="36" customHeight="1">
      <x:c r="A488" s="2" t="str">
        <x:v>84869000605</x:v>
      </x:c>
      <x:c r="B488" s="11" t="str">
        <x:v>2023/2024 (11)</x:v>
      </x:c>
      <x:c r="C488" s="11" t="str">
        <x:v>2,199,006</x:v>
      </x:c>
      <x:c r="D488" s="11" t="str">
        <x:v>1,266,242</x:v>
      </x:c>
      <x:c r="E488" s="11"/>
      <x:c r="F488" s="11"/>
    </x:row>
    <x:row r="489" ht="36" customHeight="1">
      <x:c r="A489" s="2" t="str">
        <x:v>84869000605</x:v>
      </x:c>
      <x:c r="B489" s="11" t="str">
        <x:v>2023/2024 (12)</x:v>
      </x:c>
      <x:c r="C489" s="11" t="str">
        <x:v>499,428</x:v>
      </x:c>
      <x:c r="D489" s="11" t="str">
        <x:v>798,091</x:v>
      </x:c>
      <x:c r="E489" s="11"/>
      <x:c r="F489" s="11"/>
    </x:row>
    <x:row r="490" ht="36" customHeight="1">
      <x:c r="A490" s="2" t="str">
        <x:v>84869000605</x:v>
      </x:c>
      <x:c r="B490" s="11" t="str">
        <x:v>2024/2025(01-12)</x:v>
      </x:c>
      <x:c r="C490" s="11" t="str">
        <x:v>11,467,616</x:v>
      </x:c>
      <x:c r="D490" s="11" t="str">
        <x:v>20,159,159</x:v>
      </x:c>
      <x:c r="E490" s="11"/>
      <x:c r="F490" s="11"/>
    </x:row>
    <x:row r="491" ht="36" customHeight="1">
      <x:c r="A491" s="2" t="str">
        <x:v>84869000605</x:v>
      </x:c>
      <x:c r="B491" s="11" t="str">
        <x:v>2024/2025 (01)</x:v>
      </x:c>
      <x:c r="C491" s="11" t="str">
        <x:v>907,876</x:v>
      </x:c>
      <x:c r="D491" s="11" t="str">
        <x:v>578,231</x:v>
      </x:c>
      <x:c r="E491" s="11"/>
      <x:c r="F491" s="11"/>
    </x:row>
    <x:row r="492" ht="36" customHeight="1">
      <x:c r="A492" s="2" t="str">
        <x:v>84869000605</x:v>
      </x:c>
      <x:c r="B492" s="11" t="str">
        <x:v>2024/2025 (02)</x:v>
      </x:c>
      <x:c r="C492" s="11" t="str">
        <x:v>654,607</x:v>
      </x:c>
      <x:c r="D492" s="11" t="str">
        <x:v>1,379,556</x:v>
      </x:c>
      <x:c r="E492" s="11"/>
      <x:c r="F492" s="11"/>
    </x:row>
    <x:row r="493" ht="36" customHeight="1">
      <x:c r="A493" s="2" t="str">
        <x:v>84869000605</x:v>
      </x:c>
      <x:c r="B493" s="11" t="str">
        <x:v>2024/2025 (03)</x:v>
      </x:c>
      <x:c r="C493" s="11" t="str">
        <x:v>548,592</x:v>
      </x:c>
      <x:c r="D493" s="11" t="str">
        <x:v>1,732,347</x:v>
      </x:c>
      <x:c r="E493" s="11"/>
      <x:c r="F493" s="11"/>
    </x:row>
    <x:row r="494" ht="36" customHeight="1">
      <x:c r="A494" s="2" t="str">
        <x:v>84869000605</x:v>
      </x:c>
      <x:c r="B494" s="11" t="str">
        <x:v>2024/2025 (04)</x:v>
      </x:c>
      <x:c r="C494" s="11" t="str">
        <x:v>626,917</x:v>
      </x:c>
      <x:c r="D494" s="11" t="str">
        <x:v>2,092,882</x:v>
      </x:c>
      <x:c r="E494" s="11"/>
      <x:c r="F494" s="11"/>
    </x:row>
    <x:row r="495" ht="36" customHeight="1">
      <x:c r="A495" s="2" t="str">
        <x:v>84869000605</x:v>
      </x:c>
      <x:c r="B495" s="11" t="str">
        <x:v>2024/2025 (05)</x:v>
      </x:c>
      <x:c r="C495" s="11" t="str">
        <x:v>1,259,808</x:v>
      </x:c>
      <x:c r="D495" s="11" t="str">
        <x:v>1,461,840</x:v>
      </x:c>
      <x:c r="E495" s="11"/>
      <x:c r="F495" s="11"/>
    </x:row>
    <x:row r="496" ht="36" customHeight="1">
      <x:c r="A496" s="2" t="str">
        <x:v>84869000605</x:v>
      </x:c>
      <x:c r="B496" s="11" t="str">
        <x:v>2024/2025 (06)</x:v>
      </x:c>
      <x:c r="C496" s="11" t="str">
        <x:v>1,742,633</x:v>
      </x:c>
      <x:c r="D496" s="11" t="str">
        <x:v>1,944,576</x:v>
      </x:c>
      <x:c r="E496" s="11"/>
      <x:c r="F496" s="11"/>
    </x:row>
    <x:row r="497" ht="36" customHeight="1">
      <x:c r="A497" s="2" t="str">
        <x:v>84869000605</x:v>
      </x:c>
      <x:c r="B497" s="11" t="str">
        <x:v>2024/2025 (07)</x:v>
      </x:c>
      <x:c r="C497" s="11" t="str">
        <x:v>613,233</x:v>
      </x:c>
      <x:c r="D497" s="11" t="str">
        <x:v>2,238,062</x:v>
      </x:c>
      <x:c r="E497" s="11"/>
      <x:c r="F497" s="11"/>
    </x:row>
    <x:row r="498" ht="36" customHeight="1">
      <x:c r="A498" s="2" t="str">
        <x:v>84869000605</x:v>
      </x:c>
      <x:c r="B498" s="11" t="str">
        <x:v>2024/2025 (08)</x:v>
      </x:c>
      <x:c r="C498" s="11" t="str">
        <x:v>644,431</x:v>
      </x:c>
      <x:c r="D498" s="11" t="str">
        <x:v>1,895,164</x:v>
      </x:c>
      <x:c r="E498" s="11"/>
      <x:c r="F498" s="11"/>
    </x:row>
    <x:row r="499" ht="36" customHeight="1">
      <x:c r="A499" s="2" t="str">
        <x:v>84869000605</x:v>
      </x:c>
      <x:c r="B499" s="11" t="str">
        <x:v>2024/2025 (09)</x:v>
      </x:c>
      <x:c r="C499" s="11" t="str">
        <x:v>1,158,044</x:v>
      </x:c>
      <x:c r="D499" s="11" t="str">
        <x:v>1,477,269</x:v>
      </x:c>
      <x:c r="E499" s="11"/>
      <x:c r="F499" s="11"/>
    </x:row>
    <x:row r="500" ht="36" customHeight="1">
      <x:c r="A500" s="2" t="str">
        <x:v>84869000605</x:v>
      </x:c>
      <x:c r="B500" s="11" t="str">
        <x:v>2024/2025 (10)</x:v>
      </x:c>
      <x:c r="C500" s="11" t="str">
        <x:v>1,247,142</x:v>
      </x:c>
      <x:c r="D500" s="11" t="str">
        <x:v>1,331,738</x:v>
      </x:c>
      <x:c r="E500" s="11"/>
      <x:c r="F500" s="11"/>
    </x:row>
    <x:row r="501" ht="36" customHeight="1">
      <x:c r="A501" s="2" t="str">
        <x:v>84869000605</x:v>
      </x:c>
      <x:c r="B501" s="11" t="str">
        <x:v>2024/2025 (11)</x:v>
      </x:c>
      <x:c r="C501" s="11" t="str">
        <x:v>1,266,242</x:v>
      </x:c>
      <x:c r="D501" s="11" t="str">
        <x:v>2,399,996</x:v>
      </x:c>
      <x:c r="E501" s="11"/>
      <x:c r="F501" s="11"/>
    </x:row>
    <x:row r="502" ht="36" customHeight="1">
      <x:c r="A502" s="2" t="str">
        <x:v>84869000605</x:v>
      </x:c>
      <x:c r="B502" s="11" t="str">
        <x:v>2024/2025 (12)</x:v>
      </x:c>
      <x:c r="C502" s="11" t="str">
        <x:v>798,091</x:v>
      </x:c>
      <x:c r="D502" s="11" t="str">
        <x:v>1,627,498</x:v>
      </x:c>
      <x:c r="E502" s="11"/>
      <x:c r="F502" s="11"/>
    </x:row>
    <x:row r="503" ht="36" customHeight="1">
      <x:c r="A503" s="2" t="str">
        <x:v>84869000605</x:v>
      </x:c>
      <x:c r="B503" s="11" t="str">
        <x:v>2025/2026(01-08)</x:v>
      </x:c>
      <x:c r="C503" s="11" t="str">
        <x:v>13,322,658</x:v>
      </x:c>
      <x:c r="D503" s="11" t="str">
        <x:v>18,040,630</x:v>
      </x:c>
      <x:c r="E503" s="11"/>
      <x:c r="F503" s="11"/>
    </x:row>
    <x:row r="504" ht="36" customHeight="1">
      <x:c r="A504" s="2" t="str">
        <x:v>84869000605</x:v>
      </x:c>
      <x:c r="B504" s="11" t="str">
        <x:v>2025/2026 (01)</x:v>
      </x:c>
      <x:c r="C504" s="11" t="str">
        <x:v>578,231</x:v>
      </x:c>
      <x:c r="D504" s="11" t="str">
        <x:v>1,431,493</x:v>
      </x:c>
      <x:c r="E504" s="11"/>
      <x:c r="F504" s="11"/>
    </x:row>
    <x:row r="505" ht="36" customHeight="1">
      <x:c r="A505" s="2" t="str">
        <x:v>84869000605</x:v>
      </x:c>
      <x:c r="B505" s="11" t="str">
        <x:v>2025/2026 (02)</x:v>
      </x:c>
      <x:c r="C505" s="11" t="str">
        <x:v>1,379,556</x:v>
      </x:c>
      <x:c r="D505" s="11" t="str">
        <x:v>2,047,859</x:v>
      </x:c>
      <x:c r="E505" s="11"/>
      <x:c r="F505" s="11"/>
    </x:row>
    <x:row r="506" ht="36" customHeight="1">
      <x:c r="A506" s="2" t="str">
        <x:v>84869000605</x:v>
      </x:c>
      <x:c r="B506" s="11" t="str">
        <x:v>2025/2026 (03)</x:v>
      </x:c>
      <x:c r="C506" s="11" t="str">
        <x:v>1,732,347</x:v>
      </x:c>
      <x:c r="D506" s="11" t="str">
        <x:v>3,171,078</x:v>
      </x:c>
      <x:c r="E506" s="11"/>
      <x:c r="F506" s="11"/>
    </x:row>
    <x:row r="507" ht="36" customHeight="1">
      <x:c r="A507" s="2" t="str">
        <x:v>84869000605</x:v>
      </x:c>
      <x:c r="B507" s="11" t="str">
        <x:v>2025/2026 (04)</x:v>
      </x:c>
      <x:c r="C507" s="11" t="str">
        <x:v>2,092,882</x:v>
      </x:c>
      <x:c r="D507" s="11" t="str">
        <x:v>1,804,497</x:v>
      </x:c>
      <x:c r="E507" s="11"/>
      <x:c r="F507" s="11"/>
    </x:row>
    <x:row r="508" ht="36" customHeight="1">
      <x:c r="A508" s="2" t="str">
        <x:v>84869000605</x:v>
      </x:c>
      <x:c r="B508" s="11" t="str">
        <x:v>2025/2026 (05)</x:v>
      </x:c>
      <x:c r="C508" s="11" t="str">
        <x:v>1,461,840</x:v>
      </x:c>
      <x:c r="D508" s="11" t="str">
        <x:v>2,756,706</x:v>
      </x:c>
      <x:c r="E508" s="11"/>
      <x:c r="F508" s="11"/>
    </x:row>
    <x:row r="509" ht="36" customHeight="1">
      <x:c r="A509" s="2" t="str">
        <x:v>84869000605</x:v>
      </x:c>
      <x:c r="B509" s="11" t="str">
        <x:v>2025/2026 (06)</x:v>
      </x:c>
      <x:c r="C509" s="11" t="str">
        <x:v>1,944,576</x:v>
      </x:c>
      <x:c r="D509" s="11" t="str">
        <x:v>2,203,781</x:v>
      </x:c>
      <x:c r="E509" s="11"/>
      <x:c r="F509" s="11"/>
    </x:row>
    <x:row r="510" ht="36" customHeight="1">
      <x:c r="A510" s="2" t="str">
        <x:v>84869000605</x:v>
      </x:c>
      <x:c r="B510" s="11" t="str">
        <x:v>2025/2026 (07)</x:v>
      </x:c>
      <x:c r="C510" s="11" t="str">
        <x:v>2,238,062</x:v>
      </x:c>
      <x:c r="D510" s="11" t="str">
        <x:v>2,878,985</x:v>
      </x:c>
      <x:c r="E510" s="11"/>
      <x:c r="F510" s="11"/>
    </x:row>
    <x:row r="511" ht="36" customHeight="1">
      <x:c r="A511" s="2" t="str">
        <x:v>84869000605</x:v>
      </x:c>
      <x:c r="B511" s="11" t="str">
        <x:v>2025/2026 (08)</x:v>
      </x:c>
      <x:c r="C511" s="11" t="str">
        <x:v>1,895,164</x:v>
      </x:c>
      <x:c r="D511" s="11" t="str">
        <x:v>1,746,231</x:v>
      </x:c>
      <x:c r="E511" s="11"/>
      <x:c r="F511" s="11"/>
    </x:row>
    <x:row r="512" ht="36" customHeight="1">
      <x:c r="A512" s="2" t="str">
        <x:v>84869000909</x:v>
      </x:c>
      <x:c r="B512" s="11" t="str">
        <x:v>Time Period : 2023/01 - 2026/08</x:v>
      </x:c>
      <x:c r="C512" s="11"/>
      <x:c r="D512" s="11"/>
      <x:c r="E512" s="11"/>
      <x:c r="F512" s="11"/>
    </x:row>
    <x:row r="513" ht="36" customHeight="1">
      <x:c r="A513" s="2" t="str">
        <x:v>84869000909</x:v>
      </x:c>
      <x:c r="B513" s="11" t="str">
        <x:v>MONTH</x:v>
      </x:c>
      <x:c r="C513" s="11" t="str">
        <x:v>2022/01 - 2025/08</x:v>
      </x:c>
      <x:c r="D513" s="11" t="str">
        <x:v>2023/01 - 2026/08</x:v>
      </x:c>
      <x:c r="E513" s="11"/>
      <x:c r="F513" s="11"/>
    </x:row>
    <x:row r="514" ht="36" customHeight="1">
      <x:c r="A514" s="2" t="str">
        <x:v>84869000909</x:v>
      </x:c>
      <x:c r="B514" s="11" t="str">
        <x:v>TOTAL</x:v>
      </x:c>
      <x:c r="C514" s="11" t="str">
        <x:v>2,816,306,662</x:v>
      </x:c>
      <x:c r="D514" s="11" t="str">
        <x:v>3,035,379,059</x:v>
      </x:c>
      <x:c r="E514" s="11"/>
      <x:c r="F514" s="11"/>
    </x:row>
    <x:row r="515" ht="36" customHeight="1">
      <x:c r="A515" s="2" t="str">
        <x:v>84869000909</x:v>
      </x:c>
      <x:c r="B515" s="11" t="str">
        <x:v>2022/2023(01-12)</x:v>
      </x:c>
      <x:c r="C515" s="11" t="str">
        <x:v>721,305,033</x:v>
      </x:c>
      <x:c r="D515" s="11" t="str">
        <x:v>583,435,069</x:v>
      </x:c>
      <x:c r="E515" s="11"/>
      <x:c r="F515" s="11"/>
    </x:row>
    <x:row r="516" ht="36" customHeight="1">
      <x:c r="A516" s="2" t="str">
        <x:v>84869000909</x:v>
      </x:c>
      <x:c r="B516" s="11" t="str">
        <x:v>2022/2023 (01)</x:v>
      </x:c>
      <x:c r="C516" s="11" t="str">
        <x:v>54,725,398</x:v>
      </x:c>
      <x:c r="D516" s="11" t="str">
        <x:v>33,608,064</x:v>
      </x:c>
      <x:c r="E516" s="11"/>
      <x:c r="F516" s="11"/>
    </x:row>
    <x:row r="517" ht="36" customHeight="1">
      <x:c r="A517" s="2" t="str">
        <x:v>84869000909</x:v>
      </x:c>
      <x:c r="B517" s="11" t="str">
        <x:v>2022/2023 (02)</x:v>
      </x:c>
      <x:c r="C517" s="11" t="str">
        <x:v>50,059,573</x:v>
      </x:c>
      <x:c r="D517" s="11" t="str">
        <x:v>55,102,061</x:v>
      </x:c>
      <x:c r="E517" s="11"/>
      <x:c r="F517" s="11"/>
    </x:row>
    <x:row r="518" ht="36" customHeight="1">
      <x:c r="A518" s="2" t="str">
        <x:v>84869000909</x:v>
      </x:c>
      <x:c r="B518" s="11" t="str">
        <x:v>2022/2023 (03)</x:v>
      </x:c>
      <x:c r="C518" s="11" t="str">
        <x:v>54,569,259</x:v>
      </x:c>
      <x:c r="D518" s="11" t="str">
        <x:v>74,474,599</x:v>
      </x:c>
      <x:c r="E518" s="11"/>
      <x:c r="F518" s="11"/>
    </x:row>
    <x:row r="519" ht="36" customHeight="1">
      <x:c r="A519" s="2" t="str">
        <x:v>84869000909</x:v>
      </x:c>
      <x:c r="B519" s="11" t="str">
        <x:v>2022/2023 (04)</x:v>
      </x:c>
      <x:c r="C519" s="11" t="str">
        <x:v>55,832,646</x:v>
      </x:c>
      <x:c r="D519" s="11" t="str">
        <x:v>44,830,141</x:v>
      </x:c>
      <x:c r="E519" s="11"/>
      <x:c r="F519" s="11"/>
    </x:row>
    <x:row r="520" ht="36" customHeight="1">
      <x:c r="A520" s="2" t="str">
        <x:v>84869000909</x:v>
      </x:c>
      <x:c r="B520" s="11" t="str">
        <x:v>2022/2023 (05)</x:v>
      </x:c>
      <x:c r="C520" s="11" t="str">
        <x:v>51,007,277</x:v>
      </x:c>
      <x:c r="D520" s="11" t="str">
        <x:v>47,416,479</x:v>
      </x:c>
      <x:c r="E520" s="11"/>
      <x:c r="F520" s="11"/>
    </x:row>
    <x:row r="521" ht="36" customHeight="1">
      <x:c r="A521" s="2" t="str">
        <x:v>84869000909</x:v>
      </x:c>
      <x:c r="B521" s="11" t="str">
        <x:v>2022/2023 (06)</x:v>
      </x:c>
      <x:c r="C521" s="11" t="str">
        <x:v>64,929,284</x:v>
      </x:c>
      <x:c r="D521" s="11" t="str">
        <x:v>53,291,768</x:v>
      </x:c>
      <x:c r="E521" s="11"/>
      <x:c r="F521" s="11"/>
    </x:row>
    <x:row r="522" ht="36" customHeight="1">
      <x:c r="A522" s="2" t="str">
        <x:v>84869000909</x:v>
      </x:c>
      <x:c r="B522" s="11" t="str">
        <x:v>2022/2023 (07)</x:v>
      </x:c>
      <x:c r="C522" s="11" t="str">
        <x:v>56,364,256</x:v>
      </x:c>
      <x:c r="D522" s="11" t="str">
        <x:v>51,424,145</x:v>
      </x:c>
      <x:c r="E522" s="11"/>
      <x:c r="F522" s="11"/>
    </x:row>
    <x:row r="523" ht="36" customHeight="1">
      <x:c r="A523" s="2" t="str">
        <x:v>84869000909</x:v>
      </x:c>
      <x:c r="B523" s="11" t="str">
        <x:v>2022/2023 (08)</x:v>
      </x:c>
      <x:c r="C523" s="11" t="str">
        <x:v>64,645,233</x:v>
      </x:c>
      <x:c r="D523" s="11" t="str">
        <x:v>43,688,030</x:v>
      </x:c>
      <x:c r="E523" s="11"/>
      <x:c r="F523" s="11"/>
    </x:row>
    <x:row r="524" ht="36" customHeight="1">
      <x:c r="A524" s="2" t="str">
        <x:v>84869000909</x:v>
      </x:c>
      <x:c r="B524" s="11" t="str">
        <x:v>2022/2023 (09)</x:v>
      </x:c>
      <x:c r="C524" s="11" t="str">
        <x:v>63,508,841</x:v>
      </x:c>
      <x:c r="D524" s="11" t="str">
        <x:v>50,807,710</x:v>
      </x:c>
      <x:c r="E524" s="11"/>
      <x:c r="F524" s="11"/>
    </x:row>
    <x:row r="525" ht="36" customHeight="1">
      <x:c r="A525" s="2" t="str">
        <x:v>84869000909</x:v>
      </x:c>
      <x:c r="B525" s="11" t="str">
        <x:v>2022/2023 (10)</x:v>
      </x:c>
      <x:c r="C525" s="11" t="str">
        <x:v>63,464,362</x:v>
      </x:c>
      <x:c r="D525" s="11" t="str">
        <x:v>48,663,895</x:v>
      </x:c>
      <x:c r="E525" s="11"/>
      <x:c r="F525" s="11"/>
    </x:row>
    <x:row r="526" ht="36" customHeight="1">
      <x:c r="A526" s="2" t="str">
        <x:v>84869000909</x:v>
      </x:c>
      <x:c r="B526" s="11" t="str">
        <x:v>2022/2023 (11)</x:v>
      </x:c>
      <x:c r="C526" s="11" t="str">
        <x:v>74,690,388</x:v>
      </x:c>
      <x:c r="D526" s="11" t="str">
        <x:v>37,129,206</x:v>
      </x:c>
      <x:c r="E526" s="11"/>
      <x:c r="F526" s="11"/>
    </x:row>
    <x:row r="527" ht="36" customHeight="1">
      <x:c r="A527" s="2" t="str">
        <x:v>84869000909</x:v>
      </x:c>
      <x:c r="B527" s="11" t="str">
        <x:v>2022/2023 (12)</x:v>
      </x:c>
      <x:c r="C527" s="11" t="str">
        <x:v>67,508,516</x:v>
      </x:c>
      <x:c r="D527" s="11" t="str">
        <x:v>42,998,971</x:v>
      </x:c>
      <x:c r="E527" s="11"/>
      <x:c r="F527" s="11"/>
    </x:row>
    <x:row r="528" ht="36" customHeight="1">
      <x:c r="A528" s="2" t="str">
        <x:v>84869000909</x:v>
      </x:c>
      <x:c r="B528" s="11" t="str">
        <x:v>2023/2024(01-12)</x:v>
      </x:c>
      <x:c r="C528" s="11" t="str">
        <x:v>583,435,069</x:v>
      </x:c>
      <x:c r="D528" s="11" t="str">
        <x:v>768,159,558</x:v>
      </x:c>
      <x:c r="E528" s="11"/>
      <x:c r="F528" s="11"/>
    </x:row>
    <x:row r="529" ht="36" customHeight="1">
      <x:c r="A529" s="2" t="str">
        <x:v>84869000909</x:v>
      </x:c>
      <x:c r="B529" s="11" t="str">
        <x:v>2023/2024 (01)</x:v>
      </x:c>
      <x:c r="C529" s="11" t="str">
        <x:v>33,608,064</x:v>
      </x:c>
      <x:c r="D529" s="11" t="str">
        <x:v>47,102,376</x:v>
      </x:c>
      <x:c r="E529" s="11"/>
      <x:c r="F529" s="11"/>
    </x:row>
    <x:row r="530" ht="36" customHeight="1">
      <x:c r="A530" s="2" t="str">
        <x:v>84869000909</x:v>
      </x:c>
      <x:c r="B530" s="11" t="str">
        <x:v>2023/2024 (02)</x:v>
      </x:c>
      <x:c r="C530" s="11" t="str">
        <x:v>55,102,061</x:v>
      </x:c>
      <x:c r="D530" s="11" t="str">
        <x:v>49,194,219</x:v>
      </x:c>
      <x:c r="E530" s="11"/>
      <x:c r="F530" s="11"/>
    </x:row>
    <x:row r="531" ht="36" customHeight="1">
      <x:c r="A531" s="2" t="str">
        <x:v>84869000909</x:v>
      </x:c>
      <x:c r="B531" s="11" t="str">
        <x:v>2023/2024 (03)</x:v>
      </x:c>
      <x:c r="C531" s="11" t="str">
        <x:v>74,474,599</x:v>
      </x:c>
      <x:c r="D531" s="11" t="str">
        <x:v>69,230,730</x:v>
      </x:c>
      <x:c r="E531" s="11"/>
      <x:c r="F531" s="11"/>
    </x:row>
    <x:row r="532" ht="36" customHeight="1">
      <x:c r="A532" s="2" t="str">
        <x:v>84869000909</x:v>
      </x:c>
      <x:c r="B532" s="11" t="str">
        <x:v>2023/2024 (04)</x:v>
      </x:c>
      <x:c r="C532" s="11" t="str">
        <x:v>44,830,141</x:v>
      </x:c>
      <x:c r="D532" s="11" t="str">
        <x:v>65,136,708</x:v>
      </x:c>
      <x:c r="E532" s="11"/>
      <x:c r="F532" s="11"/>
    </x:row>
    <x:row r="533" ht="36" customHeight="1">
      <x:c r="A533" s="2" t="str">
        <x:v>84869000909</x:v>
      </x:c>
      <x:c r="B533" s="11" t="str">
        <x:v>2023/2024 (05)</x:v>
      </x:c>
      <x:c r="C533" s="11" t="str">
        <x:v>47,416,479</x:v>
      </x:c>
      <x:c r="D533" s="11" t="str">
        <x:v>59,467,906</x:v>
      </x:c>
      <x:c r="E533" s="11"/>
      <x:c r="F533" s="11"/>
    </x:row>
    <x:row r="534" ht="36" customHeight="1">
      <x:c r="A534" s="2" t="str">
        <x:v>84869000909</x:v>
      </x:c>
      <x:c r="B534" s="11" t="str">
        <x:v>2023/2024 (06)</x:v>
      </x:c>
      <x:c r="C534" s="11" t="str">
        <x:v>53,291,768</x:v>
      </x:c>
      <x:c r="D534" s="11" t="str">
        <x:v>74,591,515</x:v>
      </x:c>
      <x:c r="E534" s="11"/>
      <x:c r="F534" s="11"/>
    </x:row>
    <x:row r="535" ht="36" customHeight="1">
      <x:c r="A535" s="2" t="str">
        <x:v>84869000909</x:v>
      </x:c>
      <x:c r="B535" s="11" t="str">
        <x:v>2023/2024 (07)</x:v>
      </x:c>
      <x:c r="C535" s="11" t="str">
        <x:v>51,424,145</x:v>
      </x:c>
      <x:c r="D535" s="11" t="str">
        <x:v>83,462,130</x:v>
      </x:c>
      <x:c r="E535" s="11"/>
      <x:c r="F535" s="11"/>
    </x:row>
    <x:row r="536" ht="36" customHeight="1">
      <x:c r="A536" s="2" t="str">
        <x:v>84869000909</x:v>
      </x:c>
      <x:c r="B536" s="11" t="str">
        <x:v>2023/2024 (08)</x:v>
      </x:c>
      <x:c r="C536" s="11" t="str">
        <x:v>43,688,030</x:v>
      </x:c>
      <x:c r="D536" s="11" t="str">
        <x:v>52,442,343</x:v>
      </x:c>
      <x:c r="E536" s="11"/>
      <x:c r="F536" s="11"/>
    </x:row>
    <x:row r="537" ht="36" customHeight="1">
      <x:c r="A537" s="2" t="str">
        <x:v>84869000909</x:v>
      </x:c>
      <x:c r="B537" s="11" t="str">
        <x:v>2023/2024 (09)</x:v>
      </x:c>
      <x:c r="C537" s="11" t="str">
        <x:v>50,807,710</x:v>
      </x:c>
      <x:c r="D537" s="11" t="str">
        <x:v>52,018,868</x:v>
      </x:c>
      <x:c r="E537" s="11"/>
      <x:c r="F537" s="11"/>
    </x:row>
    <x:row r="538" ht="36" customHeight="1">
      <x:c r="A538" s="2" t="str">
        <x:v>84869000909</x:v>
      </x:c>
      <x:c r="B538" s="11" t="str">
        <x:v>2023/2024 (10)</x:v>
      </x:c>
      <x:c r="C538" s="11" t="str">
        <x:v>48,663,895</x:v>
      </x:c>
      <x:c r="D538" s="11" t="str">
        <x:v>64,342,126</x:v>
      </x:c>
      <x:c r="E538" s="11"/>
      <x:c r="F538" s="11"/>
    </x:row>
    <x:row r="539" ht="36" customHeight="1">
      <x:c r="A539" s="2" t="str">
        <x:v>84869000909</x:v>
      </x:c>
      <x:c r="B539" s="11" t="str">
        <x:v>2023/2024 (11)</x:v>
      </x:c>
      <x:c r="C539" s="11" t="str">
        <x:v>37,129,206</x:v>
      </x:c>
      <x:c r="D539" s="11" t="str">
        <x:v>64,506,689</x:v>
      </x:c>
      <x:c r="E539" s="11"/>
      <x:c r="F539" s="11"/>
    </x:row>
    <x:row r="540" ht="36" customHeight="1">
      <x:c r="A540" s="2" t="str">
        <x:v>84869000909</x:v>
      </x:c>
      <x:c r="B540" s="11" t="str">
        <x:v>2023/2024 (12)</x:v>
      </x:c>
      <x:c r="C540" s="11" t="str">
        <x:v>42,998,971</x:v>
      </x:c>
      <x:c r="D540" s="11" t="str">
        <x:v>86,663,948</x:v>
      </x:c>
      <x:c r="E540" s="11"/>
      <x:c r="F540" s="11"/>
    </x:row>
    <x:row r="541" ht="36" customHeight="1">
      <x:c r="A541" s="2" t="str">
        <x:v>84869000909</x:v>
      </x:c>
      <x:c r="B541" s="11" t="str">
        <x:v>2024/2025(01-12)</x:v>
      </x:c>
      <x:c r="C541" s="11" t="str">
        <x:v>768,159,558</x:v>
      </x:c>
      <x:c r="D541" s="11" t="str">
        <x:v>1,036,227,118</x:v>
      </x:c>
      <x:c r="E541" s="11"/>
      <x:c r="F541" s="11"/>
    </x:row>
    <x:row r="542" ht="36" customHeight="1">
      <x:c r="A542" s="2" t="str">
        <x:v>84869000909</x:v>
      </x:c>
      <x:c r="B542" s="11" t="str">
        <x:v>2024/2025 (01)</x:v>
      </x:c>
      <x:c r="C542" s="11" t="str">
        <x:v>47,102,376</x:v>
      </x:c>
      <x:c r="D542" s="11" t="str">
        <x:v>57,581,023</x:v>
      </x:c>
      <x:c r="E542" s="11"/>
      <x:c r="F542" s="11"/>
    </x:row>
    <x:row r="543" ht="36" customHeight="1">
      <x:c r="A543" s="2" t="str">
        <x:v>84869000909</x:v>
      </x:c>
      <x:c r="B543" s="11" t="str">
        <x:v>2024/2025 (02)</x:v>
      </x:c>
      <x:c r="C543" s="11" t="str">
        <x:v>49,194,219</x:v>
      </x:c>
      <x:c r="D543" s="11" t="str">
        <x:v>91,229,276</x:v>
      </x:c>
      <x:c r="E543" s="11"/>
      <x:c r="F543" s="11"/>
    </x:row>
    <x:row r="544" ht="36" customHeight="1">
      <x:c r="A544" s="2" t="str">
        <x:v>84869000909</x:v>
      </x:c>
      <x:c r="B544" s="11" t="str">
        <x:v>2024/2025 (03)</x:v>
      </x:c>
      <x:c r="C544" s="11" t="str">
        <x:v>69,230,730</x:v>
      </x:c>
      <x:c r="D544" s="11" t="str">
        <x:v>116,807,795</x:v>
      </x:c>
      <x:c r="E544" s="11"/>
      <x:c r="F544" s="11"/>
    </x:row>
    <x:row r="545" ht="36" customHeight="1">
      <x:c r="A545" s="2" t="str">
        <x:v>84869000909</x:v>
      </x:c>
      <x:c r="B545" s="11" t="str">
        <x:v>2024/2025 (04)</x:v>
      </x:c>
      <x:c r="C545" s="11" t="str">
        <x:v>65,136,708</x:v>
      </x:c>
      <x:c r="D545" s="11" t="str">
        <x:v>96,338,355</x:v>
      </x:c>
      <x:c r="E545" s="11"/>
      <x:c r="F545" s="11"/>
    </x:row>
    <x:row r="546" ht="36" customHeight="1">
      <x:c r="A546" s="2" t="str">
        <x:v>84869000909</x:v>
      </x:c>
      <x:c r="B546" s="11" t="str">
        <x:v>2024/2025 (05)</x:v>
      </x:c>
      <x:c r="C546" s="11" t="str">
        <x:v>59,467,906</x:v>
      </x:c>
      <x:c r="D546" s="11" t="str">
        <x:v>103,568,676</x:v>
      </x:c>
      <x:c r="E546" s="11"/>
      <x:c r="F546" s="11"/>
    </x:row>
    <x:row r="547" ht="36" customHeight="1">
      <x:c r="A547" s="2" t="str">
        <x:v>84869000909</x:v>
      </x:c>
      <x:c r="B547" s="11" t="str">
        <x:v>2024/2025 (06)</x:v>
      </x:c>
      <x:c r="C547" s="11" t="str">
        <x:v>74,591,515</x:v>
      </x:c>
      <x:c r="D547" s="11" t="str">
        <x:v>104,169,698</x:v>
      </x:c>
      <x:c r="E547" s="11"/>
      <x:c r="F547" s="11"/>
    </x:row>
    <x:row r="548" ht="36" customHeight="1">
      <x:c r="A548" s="2" t="str">
        <x:v>84869000909</x:v>
      </x:c>
      <x:c r="B548" s="11" t="str">
        <x:v>2024/2025 (07)</x:v>
      </x:c>
      <x:c r="C548" s="11" t="str">
        <x:v>83,462,130</x:v>
      </x:c>
      <x:c r="D548" s="11" t="str">
        <x:v>92,182,047</x:v>
      </x:c>
      <x:c r="E548" s="11"/>
      <x:c r="F548" s="11"/>
    </x:row>
    <x:row r="549" ht="36" customHeight="1">
      <x:c r="A549" s="2" t="str">
        <x:v>84869000909</x:v>
      </x:c>
      <x:c r="B549" s="11" t="str">
        <x:v>2024/2025 (08)</x:v>
      </x:c>
      <x:c r="C549" s="11" t="str">
        <x:v>52,442,343</x:v>
      </x:c>
      <x:c r="D549" s="11" t="str">
        <x:v>81,530,132</x:v>
      </x:c>
      <x:c r="E549" s="11"/>
      <x:c r="F549" s="11"/>
    </x:row>
    <x:row r="550" ht="36" customHeight="1">
      <x:c r="A550" s="2" t="str">
        <x:v>84869000909</x:v>
      </x:c>
      <x:c r="B550" s="11" t="str">
        <x:v>2024/2025 (09)</x:v>
      </x:c>
      <x:c r="C550" s="11" t="str">
        <x:v>52,018,868</x:v>
      </x:c>
      <x:c r="D550" s="11" t="str">
        <x:v>64,150,563</x:v>
      </x:c>
      <x:c r="E550" s="11"/>
      <x:c r="F550" s="11"/>
    </x:row>
    <x:row r="551" ht="36" customHeight="1">
      <x:c r="A551" s="2" t="str">
        <x:v>84869000909</x:v>
      </x:c>
      <x:c r="B551" s="11" t="str">
        <x:v>2024/2025 (10)</x:v>
      </x:c>
      <x:c r="C551" s="11" t="str">
        <x:v>64,342,126</x:v>
      </x:c>
      <x:c r="D551" s="11" t="str">
        <x:v>80,607,157</x:v>
      </x:c>
      <x:c r="E551" s="11"/>
      <x:c r="F551" s="11"/>
    </x:row>
    <x:row r="552" ht="36" customHeight="1">
      <x:c r="A552" s="2" t="str">
        <x:v>84869000909</x:v>
      </x:c>
      <x:c r="B552" s="11" t="str">
        <x:v>2024/2025 (11)</x:v>
      </x:c>
      <x:c r="C552" s="11" t="str">
        <x:v>64,506,689</x:v>
      </x:c>
      <x:c r="D552" s="11" t="str">
        <x:v>73,637,693</x:v>
      </x:c>
      <x:c r="E552" s="11"/>
      <x:c r="F552" s="11"/>
    </x:row>
    <x:row r="553" ht="36" customHeight="1">
      <x:c r="A553" s="2" t="str">
        <x:v>84869000909</x:v>
      </x:c>
      <x:c r="B553" s="11" t="str">
        <x:v>2024/2025 (12)</x:v>
      </x:c>
      <x:c r="C553" s="11" t="str">
        <x:v>86,663,948</x:v>
      </x:c>
      <x:c r="D553" s="11" t="str">
        <x:v>74,424,703</x:v>
      </x:c>
      <x:c r="E553" s="11"/>
      <x:c r="F553" s="11"/>
    </x:row>
    <x:row r="554" ht="36" customHeight="1">
      <x:c r="A554" s="2" t="str">
        <x:v>84869000909</x:v>
      </x:c>
      <x:c r="B554" s="11" t="str">
        <x:v>2025/2026(01-08)</x:v>
      </x:c>
      <x:c r="C554" s="11" t="str">
        <x:v>743,407,002</x:v>
      </x:c>
      <x:c r="D554" s="11" t="str">
        <x:v>647,557,314</x:v>
      </x:c>
      <x:c r="E554" s="11"/>
      <x:c r="F554" s="11"/>
    </x:row>
    <x:row r="555" ht="36" customHeight="1">
      <x:c r="A555" s="2" t="str">
        <x:v>84869000909</x:v>
      </x:c>
      <x:c r="B555" s="11" t="str">
        <x:v>2025/2026 (01)</x:v>
      </x:c>
      <x:c r="C555" s="11" t="str">
        <x:v>57,581,023</x:v>
      </x:c>
      <x:c r="D555" s="11" t="str">
        <x:v>60,746,631</x:v>
      </x:c>
      <x:c r="E555" s="11"/>
      <x:c r="F555" s="11"/>
    </x:row>
    <x:row r="556" ht="36" customHeight="1">
      <x:c r="A556" s="2" t="str">
        <x:v>84869000909</x:v>
      </x:c>
      <x:c r="B556" s="11" t="str">
        <x:v>2025/2026 (02)</x:v>
      </x:c>
      <x:c r="C556" s="11" t="str">
        <x:v>91,229,276</x:v>
      </x:c>
      <x:c r="D556" s="11" t="str">
        <x:v>59,660,807</x:v>
      </x:c>
      <x:c r="E556" s="11"/>
      <x:c r="F556" s="11"/>
    </x:row>
    <x:row r="557" ht="36" customHeight="1">
      <x:c r="A557" s="2" t="str">
        <x:v>84869000909</x:v>
      </x:c>
      <x:c r="B557" s="11" t="str">
        <x:v>2025/2026 (03)</x:v>
      </x:c>
      <x:c r="C557" s="11" t="str">
        <x:v>116,807,795</x:v>
      </x:c>
      <x:c r="D557" s="11" t="str">
        <x:v>80,438,254</x:v>
      </x:c>
      <x:c r="E557" s="11"/>
      <x:c r="F557" s="11"/>
    </x:row>
    <x:row r="558" ht="36" customHeight="1">
      <x:c r="A558" s="2" t="str">
        <x:v>84869000909</x:v>
      </x:c>
      <x:c r="B558" s="11" t="str">
        <x:v>2025/2026 (04)</x:v>
      </x:c>
      <x:c r="C558" s="11" t="str">
        <x:v>96,338,355</x:v>
      </x:c>
      <x:c r="D558" s="11" t="str">
        <x:v>91,763,111</x:v>
      </x:c>
      <x:c r="E558" s="11"/>
      <x:c r="F558" s="11"/>
    </x:row>
    <x:row r="559" ht="36" customHeight="1">
      <x:c r="A559" s="2" t="str">
        <x:v>84869000909</x:v>
      </x:c>
      <x:c r="B559" s="11" t="str">
        <x:v>2025/2026 (05)</x:v>
      </x:c>
      <x:c r="C559" s="11" t="str">
        <x:v>103,568,676</x:v>
      </x:c>
      <x:c r="D559" s="11" t="str">
        <x:v>83,439,713</x:v>
      </x:c>
      <x:c r="E559" s="11"/>
      <x:c r="F559" s="11"/>
    </x:row>
    <x:row r="560" ht="36" customHeight="1">
      <x:c r="A560" s="2" t="str">
        <x:v>84869000909</x:v>
      </x:c>
      <x:c r="B560" s="11" t="str">
        <x:v>2025/2026 (06)</x:v>
      </x:c>
      <x:c r="C560" s="11" t="str">
        <x:v>104,169,698</x:v>
      </x:c>
      <x:c r="D560" s="11" t="str">
        <x:v>90,363,859</x:v>
      </x:c>
      <x:c r="E560" s="11"/>
      <x:c r="F560" s="11"/>
    </x:row>
    <x:row r="561" ht="36" customHeight="1">
      <x:c r="A561" s="2" t="str">
        <x:v>84869000909</x:v>
      </x:c>
      <x:c r="B561" s="11" t="str">
        <x:v>2025/2026 (07)</x:v>
      </x:c>
      <x:c r="C561" s="11" t="str">
        <x:v>92,182,047</x:v>
      </x:c>
      <x:c r="D561" s="11" t="str">
        <x:v>82,815,772</x:v>
      </x:c>
      <x:c r="E561" s="11"/>
      <x:c r="F561" s="11"/>
    </x:row>
    <x:row r="562" ht="36" customHeight="1">
      <x:c r="A562" s="2" t="str">
        <x:v>84869000909</x:v>
      </x:c>
      <x:c r="B562" s="11" t="str">
        <x:v>2025/2026 (08)</x:v>
      </x:c>
      <x:c r="C562" s="11" t="str">
        <x:v>81,530,132</x:v>
      </x:c>
      <x:c r="D562" s="11" t="str">
        <x:v>98,329,167</x:v>
      </x:c>
      <x:c r="E562" s="11"/>
      <x:c r="F562" s="11"/>
    </x:row>
    <x:row r="563" ht="36" customHeight="1">
      <x:c r="A563" s="2" t="str">
        <x:v>8486</x:v>
      </x:c>
      <x:c r="B563" s="11" t="str">
        <x:v>Time Period : 2023/01 - 2026/08</x:v>
      </x:c>
      <x:c r="C563" s="11"/>
      <x:c r="D563" s="11"/>
      <x:c r="E563" s="11"/>
      <x:c r="F563" s="11"/>
    </x:row>
    <x:row r="564" ht="36" customHeight="1">
      <x:c r="A564" s="2" t="str">
        <x:v>8486</x:v>
      </x:c>
      <x:c r="B564" s="11" t="str">
        <x:v>MONTH</x:v>
      </x:c>
      <x:c r="C564" s="11" t="str">
        <x:v>2022/01 - 2025/08</x:v>
      </x:c>
      <x:c r="D564" s="11" t="str">
        <x:v>2023/01 - 2026/08</x:v>
      </x:c>
      <x:c r="E564" s="11" t="str">
        <x:v>GROWTH RATE(%)</x:v>
      </x:c>
      <x:c r="F564" s="11"/>
    </x:row>
    <x:row r="565" ht="36" customHeight="1">
      <x:c r="A565" s="2" t="str">
        <x:v>8486</x:v>
      </x:c>
      <x:c r="B565" s="11" t="str">
        <x:v>TOTAL</x:v>
      </x:c>
      <x:c r="C565" s="11" t="str">
        <x:v>20,019,903,743</x:v>
      </x:c>
      <x:c r="D565" s="11" t="str">
        <x:v>20,897,346,818</x:v>
      </x:c>
      <x:c r="E565" s="11" t="str">
        <x:v>4.383</x:v>
      </x:c>
      <x:c r="F565" s="11"/>
    </x:row>
    <x:row r="566" ht="36" customHeight="1">
      <x:c r="A566" s="2" t="str">
        <x:v>8486</x:v>
      </x:c>
      <x:c r="B566" s="11" t="str">
        <x:v>2022/2023(01-12)</x:v>
      </x:c>
      <x:c r="C566" s="11" t="str">
        <x:v>6,691,774,327</x:v>
      </x:c>
      <x:c r="D566" s="11" t="str">
        <x:v>4,013,927,771</x:v>
      </x:c>
      <x:c r="E566" s="11" t="str">
        <x:v>-40.017</x:v>
      </x:c>
      <x:c r="F566" s="11"/>
    </x:row>
    <x:row r="567" ht="36" customHeight="1">
      <x:c r="A567" s="2" t="str">
        <x:v>8486</x:v>
      </x:c>
      <x:c r="B567" s="11" t="str">
        <x:v>2022/2023 (01)</x:v>
      </x:c>
      <x:c r="C567" s="11" t="str">
        <x:v>412,452,103</x:v>
      </x:c>
      <x:c r="D567" s="11" t="str">
        <x:v>491,979,231</x:v>
      </x:c>
      <x:c r="E567" s="11" t="str">
        <x:v>19.282</x:v>
      </x:c>
      <x:c r="F567" s="11"/>
    </x:row>
    <x:row r="568" ht="36" customHeight="1">
      <x:c r="A568" s="2" t="str">
        <x:v>8486</x:v>
      </x:c>
      <x:c r="B568" s="11" t="str">
        <x:v>2022/2023 (02)</x:v>
      </x:c>
      <x:c r="C568" s="11" t="str">
        <x:v>480,031,967</x:v>
      </x:c>
      <x:c r="D568" s="11" t="str">
        <x:v>504,745,637</x:v>
      </x:c>
      <x:c r="E568" s="11" t="str">
        <x:v>5.148</x:v>
      </x:c>
      <x:c r="F568" s="11"/>
    </x:row>
    <x:row r="569" ht="36" customHeight="1">
      <x:c r="A569" s="2" t="str">
        <x:v>8486</x:v>
      </x:c>
      <x:c r="B569" s="11" t="str">
        <x:v>2022/2023 (03)</x:v>
      </x:c>
      <x:c r="C569" s="11" t="str">
        <x:v>575,669,008</x:v>
      </x:c>
      <x:c r="D569" s="11" t="str">
        <x:v>502,856,760</x:v>
      </x:c>
      <x:c r="E569" s="11" t="str">
        <x:v>-12.648</x:v>
      </x:c>
      <x:c r="F569" s="11"/>
    </x:row>
    <x:row r="570" ht="36" customHeight="1">
      <x:c r="A570" s="2" t="str">
        <x:v>8486</x:v>
      </x:c>
      <x:c r="B570" s="11" t="str">
        <x:v>2022/2023 (04)</x:v>
      </x:c>
      <x:c r="C570" s="11" t="str">
        <x:v>599,085,685</x:v>
      </x:c>
      <x:c r="D570" s="11" t="str">
        <x:v>344,651,016</x:v>
      </x:c>
      <x:c r="E570" s="11" t="str">
        <x:v>-42.470</x:v>
      </x:c>
      <x:c r="F570" s="11"/>
    </x:row>
    <x:row r="571" ht="36" customHeight="1">
      <x:c r="A571" s="2" t="str">
        <x:v>8486</x:v>
      </x:c>
      <x:c r="B571" s="11" t="str">
        <x:v>2022/2023 (05)</x:v>
      </x:c>
      <x:c r="C571" s="11" t="str">
        <x:v>480,742,243</x:v>
      </x:c>
      <x:c r="D571" s="11" t="str">
        <x:v>478,045,743</x:v>
      </x:c>
      <x:c r="E571" s="11" t="str">
        <x:v>-0.561</x:v>
      </x:c>
      <x:c r="F571" s="11"/>
    </x:row>
    <x:row r="572" ht="36" customHeight="1">
      <x:c r="A572" s="2" t="str">
        <x:v>8486</x:v>
      </x:c>
      <x:c r="B572" s="11" t="str">
        <x:v>2022/2023 (06)</x:v>
      </x:c>
      <x:c r="C572" s="11" t="str">
        <x:v>556,979,096</x:v>
      </x:c>
      <x:c r="D572" s="11" t="str">
        <x:v>296,115,358</x:v>
      </x:c>
      <x:c r="E572" s="11" t="str">
        <x:v>-46.835</x:v>
      </x:c>
      <x:c r="F572" s="11"/>
    </x:row>
    <x:row r="573" ht="36" customHeight="1">
      <x:c r="A573" s="2" t="str">
        <x:v>8486</x:v>
      </x:c>
      <x:c r="B573" s="11" t="str">
        <x:v>2022/2023 (07)</x:v>
      </x:c>
      <x:c r="C573" s="11" t="str">
        <x:v>569,890,160</x:v>
      </x:c>
      <x:c r="D573" s="11" t="str">
        <x:v>281,048,307</x:v>
      </x:c>
      <x:c r="E573" s="11" t="str">
        <x:v>-50.684</x:v>
      </x:c>
      <x:c r="F573" s="11"/>
    </x:row>
    <x:row r="574" ht="36" customHeight="1">
      <x:c r="A574" s="2" t="str">
        <x:v>8486</x:v>
      </x:c>
      <x:c r="B574" s="11" t="str">
        <x:v>2022/2023 (08)</x:v>
      </x:c>
      <x:c r="C574" s="11" t="str">
        <x:v>655,674,538</x:v>
      </x:c>
      <x:c r="D574" s="11" t="str">
        <x:v>167,344,017</x:v>
      </x:c>
      <x:c r="E574" s="11" t="str">
        <x:v>-74.478</x:v>
      </x:c>
      <x:c r="F574" s="11"/>
    </x:row>
    <x:row r="575" ht="36" customHeight="1">
      <x:c r="A575" s="2" t="str">
        <x:v>8486</x:v>
      </x:c>
      <x:c r="B575" s="11" t="str">
        <x:v>2022/2023 (09)</x:v>
      </x:c>
      <x:c r="C575" s="11" t="str">
        <x:v>398,334,797</x:v>
      </x:c>
      <x:c r="D575" s="11" t="str">
        <x:v>181,885,144</x:v>
      </x:c>
      <x:c r="E575" s="11" t="str">
        <x:v>-54.339</x:v>
      </x:c>
      <x:c r="F575" s="11"/>
    </x:row>
    <x:row r="576" ht="36" customHeight="1">
      <x:c r="A576" s="2" t="str">
        <x:v>8486</x:v>
      </x:c>
      <x:c r="B576" s="11" t="str">
        <x:v>2022/2023 (10)</x:v>
      </x:c>
      <x:c r="C576" s="11" t="str">
        <x:v>631,260,544</x:v>
      </x:c>
      <x:c r="D576" s="11" t="str">
        <x:v>236,236,817</x:v>
      </x:c>
      <x:c r="E576" s="11" t="str">
        <x:v>-62.577</x:v>
      </x:c>
      <x:c r="F576" s="11"/>
    </x:row>
    <x:row r="577" ht="36" customHeight="1">
      <x:c r="A577" s="2" t="str">
        <x:v>8486</x:v>
      </x:c>
      <x:c r="B577" s="11" t="str">
        <x:v>2022/2023 (11)</x:v>
      </x:c>
      <x:c r="C577" s="11" t="str">
        <x:v>684,091,735</x:v>
      </x:c>
      <x:c r="D577" s="11" t="str">
        <x:v>236,798,470</x:v>
      </x:c>
      <x:c r="E577" s="11" t="str">
        <x:v>-65.385</x:v>
      </x:c>
      <x:c r="F577" s="11"/>
    </x:row>
    <x:row r="578" ht="36" customHeight="1">
      <x:c r="A578" s="2" t="str">
        <x:v>8486</x:v>
      </x:c>
      <x:c r="B578" s="11" t="str">
        <x:v>2022/2023 (12)</x:v>
      </x:c>
      <x:c r="C578" s="11" t="str">
        <x:v>647,562,451</x:v>
      </x:c>
      <x:c r="D578" s="11" t="str">
        <x:v>292,221,271</x:v>
      </x:c>
      <x:c r="E578" s="11" t="str">
        <x:v>-54.874</x:v>
      </x:c>
      <x:c r="F578" s="11"/>
    </x:row>
    <x:row r="579" ht="36" customHeight="1">
      <x:c r="A579" s="2" t="str">
        <x:v>8486</x:v>
      </x:c>
      <x:c r="B579" s="11" t="str">
        <x:v>2023/2024(01-12)</x:v>
      </x:c>
      <x:c r="C579" s="11" t="str">
        <x:v>4,013,927,771</x:v>
      </x:c>
      <x:c r="D579" s="11" t="str">
        <x:v>4,534,924,500</x:v>
      </x:c>
      <x:c r="E579" s="11" t="str">
        <x:v>12.980</x:v>
      </x:c>
      <x:c r="F579" s="11"/>
    </x:row>
    <x:row r="580" ht="36" customHeight="1">
      <x:c r="A580" s="2" t="str">
        <x:v>8486</x:v>
      </x:c>
      <x:c r="B580" s="11" t="str">
        <x:v>2023/2024 (01)</x:v>
      </x:c>
      <x:c r="C580" s="11" t="str">
        <x:v>491,979,231</x:v>
      </x:c>
      <x:c r="D580" s="11" t="str">
        <x:v>257,692,564</x:v>
      </x:c>
      <x:c r="E580" s="11" t="str">
        <x:v>-47.621</x:v>
      </x:c>
      <x:c r="F580" s="11"/>
    </x:row>
    <x:row r="581" ht="36" customHeight="1">
      <x:c r="A581" s="2" t="str">
        <x:v>8486</x:v>
      </x:c>
      <x:c r="B581" s="11" t="str">
        <x:v>2023/2024 (02)</x:v>
      </x:c>
      <x:c r="C581" s="11" t="str">
        <x:v>504,745,637</x:v>
      </x:c>
      <x:c r="D581" s="11" t="str">
        <x:v>202,843,270</x:v>
      </x:c>
      <x:c r="E581" s="11" t="str">
        <x:v>-59.813</x:v>
      </x:c>
      <x:c r="F581" s="11"/>
    </x:row>
    <x:row r="582" ht="36" customHeight="1">
      <x:c r="A582" s="2" t="str">
        <x:v>8486</x:v>
      </x:c>
      <x:c r="B582" s="11" t="str">
        <x:v>2023/2024 (03)</x:v>
      </x:c>
      <x:c r="C582" s="11" t="str">
        <x:v>502,856,760</x:v>
      </x:c>
      <x:c r="D582" s="11" t="str">
        <x:v>321,322,461</x:v>
      </x:c>
      <x:c r="E582" s="11" t="str">
        <x:v>-36.101</x:v>
      </x:c>
      <x:c r="F582" s="11"/>
    </x:row>
    <x:row r="583" ht="36" customHeight="1">
      <x:c r="A583" s="2" t="str">
        <x:v>8486</x:v>
      </x:c>
      <x:c r="B583" s="11" t="str">
        <x:v>2023/2024 (04)</x:v>
      </x:c>
      <x:c r="C583" s="11" t="str">
        <x:v>344,651,016</x:v>
      </x:c>
      <x:c r="D583" s="11" t="str">
        <x:v>476,701,988</x:v>
      </x:c>
      <x:c r="E583" s="11" t="str">
        <x:v>38.314</x:v>
      </x:c>
      <x:c r="F583" s="11"/>
    </x:row>
    <x:row r="584" ht="36" customHeight="1">
      <x:c r="A584" s="2" t="str">
        <x:v>8486</x:v>
      </x:c>
      <x:c r="B584" s="11" t="str">
        <x:v>2023/2024 (05)</x:v>
      </x:c>
      <x:c r="C584" s="11" t="str">
        <x:v>478,045,743</x:v>
      </x:c>
      <x:c r="D584" s="11" t="str">
        <x:v>261,502,165</x:v>
      </x:c>
      <x:c r="E584" s="11" t="str">
        <x:v>-45.298</x:v>
      </x:c>
      <x:c r="F584" s="11"/>
    </x:row>
    <x:row r="585" ht="36" customHeight="1">
      <x:c r="A585" s="2" t="str">
        <x:v>8486</x:v>
      </x:c>
      <x:c r="B585" s="11" t="str">
        <x:v>2023/2024 (06)</x:v>
      </x:c>
      <x:c r="C585" s="11" t="str">
        <x:v>296,115,358</x:v>
      </x:c>
      <x:c r="D585" s="11" t="str">
        <x:v>401,189,320</x:v>
      </x:c>
      <x:c r="E585" s="11" t="str">
        <x:v>35.484</x:v>
      </x:c>
      <x:c r="F585" s="11"/>
    </x:row>
    <x:row r="586" ht="36" customHeight="1">
      <x:c r="A586" s="2" t="str">
        <x:v>8486</x:v>
      </x:c>
      <x:c r="B586" s="11" t="str">
        <x:v>2023/2024 (07)</x:v>
      </x:c>
      <x:c r="C586" s="11" t="str">
        <x:v>281,048,307</x:v>
      </x:c>
      <x:c r="D586" s="11" t="str">
        <x:v>478,422,539</x:v>
      </x:c>
      <x:c r="E586" s="11" t="str">
        <x:v>70.228</x:v>
      </x:c>
      <x:c r="F586" s="11"/>
    </x:row>
    <x:row r="587" ht="36" customHeight="1">
      <x:c r="A587" s="2" t="str">
        <x:v>8486</x:v>
      </x:c>
      <x:c r="B587" s="11" t="str">
        <x:v>2023/2024 (08)</x:v>
      </x:c>
      <x:c r="C587" s="11" t="str">
        <x:v>167,344,017</x:v>
      </x:c>
      <x:c r="D587" s="11" t="str">
        <x:v>327,945,386</x:v>
      </x:c>
      <x:c r="E587" s="11" t="str">
        <x:v>95.971</x:v>
      </x:c>
      <x:c r="F587" s="11"/>
    </x:row>
    <x:row r="588" ht="36" customHeight="1">
      <x:c r="A588" s="2" t="str">
        <x:v>8486</x:v>
      </x:c>
      <x:c r="B588" s="11" t="str">
        <x:v>2023/2024 (09)</x:v>
      </x:c>
      <x:c r="C588" s="11" t="str">
        <x:v>181,885,144</x:v>
      </x:c>
      <x:c r="D588" s="11" t="str">
        <x:v>375,366,513</x:v>
      </x:c>
      <x:c r="E588" s="11" t="str">
        <x:v>106.376</x:v>
      </x:c>
      <x:c r="F588" s="11"/>
    </x:row>
    <x:row r="589" ht="36" customHeight="1">
      <x:c r="A589" s="2" t="str">
        <x:v>8486</x:v>
      </x:c>
      <x:c r="B589" s="11" t="str">
        <x:v>2023/2024 (10)</x:v>
      </x:c>
      <x:c r="C589" s="11" t="str">
        <x:v>236,236,817</x:v>
      </x:c>
      <x:c r="D589" s="11" t="str">
        <x:v>361,868,627</x:v>
      </x:c>
      <x:c r="E589" s="11" t="str">
        <x:v>53.180</x:v>
      </x:c>
      <x:c r="F589" s="11"/>
    </x:row>
    <x:row r="590" ht="36" customHeight="1">
      <x:c r="A590" s="2" t="str">
        <x:v>8486</x:v>
      </x:c>
      <x:c r="B590" s="11" t="str">
        <x:v>2023/2024 (11)</x:v>
      </x:c>
      <x:c r="C590" s="11" t="str">
        <x:v>236,798,470</x:v>
      </x:c>
      <x:c r="D590" s="11" t="str">
        <x:v>397,543,635</x:v>
      </x:c>
      <x:c r="E590" s="11" t="str">
        <x:v>67.883</x:v>
      </x:c>
      <x:c r="F590" s="11"/>
    </x:row>
    <x:row r="591" ht="36" customHeight="1">
      <x:c r="A591" s="2" t="str">
        <x:v>8486</x:v>
      </x:c>
      <x:c r="B591" s="11" t="str">
        <x:v>2023/2024 (12)</x:v>
      </x:c>
      <x:c r="C591" s="11" t="str">
        <x:v>292,221,271</x:v>
      </x:c>
      <x:c r="D591" s="11" t="str">
        <x:v>672,526,032</x:v>
      </x:c>
      <x:c r="E591" s="11" t="str">
        <x:v>130.143</x:v>
      </x:c>
      <x:c r="F591" s="11"/>
    </x:row>
    <x:row r="592" ht="36" customHeight="1">
      <x:c r="A592" s="2" t="str">
        <x:v>8486</x:v>
      </x:c>
      <x:c r="B592" s="11" t="str">
        <x:v>2024/2025(01-12)</x:v>
      </x:c>
      <x:c r="C592" s="11" t="str">
        <x:v>4,534,924,500</x:v>
      </x:c>
      <x:c r="D592" s="11" t="str">
        <x:v>6,947,350,957</x:v>
      </x:c>
      <x:c r="E592" s="11" t="str">
        <x:v>53.197</x:v>
      </x:c>
      <x:c r="F592" s="11"/>
    </x:row>
    <x:row r="593" ht="36" customHeight="1">
      <x:c r="A593" s="2" t="str">
        <x:v>8486</x:v>
      </x:c>
      <x:c r="B593" s="11" t="str">
        <x:v>2024/2025 (01)</x:v>
      </x:c>
      <x:c r="C593" s="11" t="str">
        <x:v>257,692,564</x:v>
      </x:c>
      <x:c r="D593" s="11" t="str">
        <x:v>368,188,866</x:v>
      </x:c>
      <x:c r="E593" s="11" t="str">
        <x:v>42.879</x:v>
      </x:c>
      <x:c r="F593" s="11"/>
    </x:row>
    <x:row r="594" ht="36" customHeight="1">
      <x:c r="A594" s="2" t="str">
        <x:v>8486</x:v>
      </x:c>
      <x:c r="B594" s="11" t="str">
        <x:v>2024/2025 (02)</x:v>
      </x:c>
      <x:c r="C594" s="11" t="str">
        <x:v>202,843,270</x:v>
      </x:c>
      <x:c r="D594" s="11" t="str">
        <x:v>603,694,414</x:v>
      </x:c>
      <x:c r="E594" s="11" t="str">
        <x:v>197.616</x:v>
      </x:c>
      <x:c r="F594" s="11"/>
    </x:row>
    <x:row r="595" ht="36" customHeight="1">
      <x:c r="A595" s="2" t="str">
        <x:v>8486</x:v>
      </x:c>
      <x:c r="B595" s="11" t="str">
        <x:v>2024/2025 (03)</x:v>
      </x:c>
      <x:c r="C595" s="11" t="str">
        <x:v>321,322,461</x:v>
      </x:c>
      <x:c r="D595" s="11" t="str">
        <x:v>867,596,063</x:v>
      </x:c>
      <x:c r="E595" s="11" t="str">
        <x:v>170.008</x:v>
      </x:c>
      <x:c r="F595" s="11"/>
    </x:row>
    <x:row r="596" ht="36" customHeight="1">
      <x:c r="A596" s="2" t="str">
        <x:v>8486</x:v>
      </x:c>
      <x:c r="B596" s="11" t="str">
        <x:v>2024/2025 (04)</x:v>
      </x:c>
      <x:c r="C596" s="11" t="str">
        <x:v>476,701,988</x:v>
      </x:c>
      <x:c r="D596" s="11" t="str">
        <x:v>661,414,543</x:v>
      </x:c>
      <x:c r="E596" s="11" t="str">
        <x:v>38.748</x:v>
      </x:c>
      <x:c r="F596" s="11"/>
    </x:row>
    <x:row r="597" ht="36" customHeight="1">
      <x:c r="A597" s="2" t="str">
        <x:v>8486</x:v>
      </x:c>
      <x:c r="B597" s="11" t="str">
        <x:v>2024/2025 (05)</x:v>
      </x:c>
      <x:c r="C597" s="11" t="str">
        <x:v>261,502,165</x:v>
      </x:c>
      <x:c r="D597" s="11" t="str">
        <x:v>564,960,939</x:v>
      </x:c>
      <x:c r="E597" s="11" t="str">
        <x:v>116.044</x:v>
      </x:c>
      <x:c r="F597" s="11"/>
    </x:row>
    <x:row r="598" ht="36" customHeight="1">
      <x:c r="A598" s="2" t="str">
        <x:v>8486</x:v>
      </x:c>
      <x:c r="B598" s="11" t="str">
        <x:v>2024/2025 (06)</x:v>
      </x:c>
      <x:c r="C598" s="11" t="str">
        <x:v>401,189,320</x:v>
      </x:c>
      <x:c r="D598" s="11" t="str">
        <x:v>674,719,358</x:v>
      </x:c>
      <x:c r="E598" s="11" t="str">
        <x:v>68.180</x:v>
      </x:c>
      <x:c r="F598" s="11"/>
    </x:row>
    <x:row r="599" ht="36" customHeight="1">
      <x:c r="A599" s="2" t="str">
        <x:v>8486</x:v>
      </x:c>
      <x:c r="B599" s="11" t="str">
        <x:v>2024/2025 (07)</x:v>
      </x:c>
      <x:c r="C599" s="11" t="str">
        <x:v>478,422,539</x:v>
      </x:c>
      <x:c r="D599" s="11" t="str">
        <x:v>481,458,420</x:v>
      </x:c>
      <x:c r="E599" s="11" t="str">
        <x:v>0.635</x:v>
      </x:c>
      <x:c r="F599" s="11"/>
    </x:row>
    <x:row r="600" ht="36" customHeight="1">
      <x:c r="A600" s="2" t="str">
        <x:v>8486</x:v>
      </x:c>
      <x:c r="B600" s="11" t="str">
        <x:v>2024/2025 (08)</x:v>
      </x:c>
      <x:c r="C600" s="11" t="str">
        <x:v>327,945,386</x:v>
      </x:c>
      <x:c r="D600" s="11" t="str">
        <x:v>557,244,542</x:v>
      </x:c>
      <x:c r="E600" s="11" t="str">
        <x:v>69.920</x:v>
      </x:c>
      <x:c r="F600" s="11"/>
    </x:row>
    <x:row r="601" ht="36" customHeight="1">
      <x:c r="A601" s="2" t="str">
        <x:v>8486</x:v>
      </x:c>
      <x:c r="B601" s="11" t="str">
        <x:v>2024/2025 (09)</x:v>
      </x:c>
      <x:c r="C601" s="11" t="str">
        <x:v>375,366,513</x:v>
      </x:c>
      <x:c r="D601" s="11" t="str">
        <x:v>443,259,531</x:v>
      </x:c>
      <x:c r="E601" s="11" t="str">
        <x:v>18.087</x:v>
      </x:c>
      <x:c r="F601" s="11"/>
    </x:row>
    <x:row r="602" ht="36" customHeight="1">
      <x:c r="A602" s="2" t="str">
        <x:v>8486</x:v>
      </x:c>
      <x:c r="B602" s="11" t="str">
        <x:v>2024/2025 (10)</x:v>
      </x:c>
      <x:c r="C602" s="11" t="str">
        <x:v>361,868,627</x:v>
      </x:c>
      <x:c r="D602" s="11" t="str">
        <x:v>411,374,962</x:v>
      </x:c>
      <x:c r="E602" s="11" t="str">
        <x:v>13.681</x:v>
      </x:c>
      <x:c r="F602" s="11"/>
    </x:row>
    <x:row r="603" ht="36" customHeight="1">
      <x:c r="A603" s="2" t="str">
        <x:v>8486</x:v>
      </x:c>
      <x:c r="B603" s="11" t="str">
        <x:v>2024/2025 (11)</x:v>
      </x:c>
      <x:c r="C603" s="11" t="str">
        <x:v>397,543,635</x:v>
      </x:c>
      <x:c r="D603" s="11" t="str">
        <x:v>688,542,985</x:v>
      </x:c>
      <x:c r="E603" s="11" t="str">
        <x:v>73.199</x:v>
      </x:c>
      <x:c r="F603" s="11"/>
    </x:row>
    <x:row r="604" ht="36" customHeight="1">
      <x:c r="A604" s="2" t="str">
        <x:v>8486</x:v>
      </x:c>
      <x:c r="B604" s="11" t="str">
        <x:v>2024/2025 (12)</x:v>
      </x:c>
      <x:c r="C604" s="11" t="str">
        <x:v>672,526,032</x:v>
      </x:c>
      <x:c r="D604" s="11" t="str">
        <x:v>624,896,334</x:v>
      </x:c>
      <x:c r="E604" s="11" t="str">
        <x:v>-7.082</x:v>
      </x:c>
      <x:c r="F604" s="11"/>
    </x:row>
    <x:row r="605" ht="36" customHeight="1">
      <x:c r="A605" s="2" t="str">
        <x:v>8486</x:v>
      </x:c>
      <x:c r="B605" s="11" t="str">
        <x:v>2025/2026(01-08)</x:v>
      </x:c>
      <x:c r="C605" s="11" t="str">
        <x:v>4,779,277,145</x:v>
      </x:c>
      <x:c r="D605" s="11" t="str">
        <x:v>5,401,143,590</x:v>
      </x:c>
      <x:c r="E605" s="11" t="str">
        <x:v>13.012</x:v>
      </x:c>
      <x:c r="F605" s="11"/>
    </x:row>
    <x:row r="606" ht="36" customHeight="1">
      <x:c r="A606" s="2" t="str">
        <x:v>8486</x:v>
      </x:c>
      <x:c r="B606" s="11" t="str">
        <x:v>2025/2026 (01)</x:v>
      </x:c>
      <x:c r="C606" s="11" t="str">
        <x:v>368,188,866</x:v>
      </x:c>
      <x:c r="D606" s="11" t="str">
        <x:v>470,215,956</x:v>
      </x:c>
      <x:c r="E606" s="11" t="str">
        <x:v>27.711</x:v>
      </x:c>
      <x:c r="F606" s="11"/>
    </x:row>
    <x:row r="607" ht="36" customHeight="1">
      <x:c r="A607" s="2" t="str">
        <x:v>8486</x:v>
      </x:c>
      <x:c r="B607" s="11" t="str">
        <x:v>2025/2026 (02)</x:v>
      </x:c>
      <x:c r="C607" s="11" t="str">
        <x:v>603,694,414</x:v>
      </x:c>
      <x:c r="D607" s="11" t="str">
        <x:v>455,342,721</x:v>
      </x:c>
      <x:c r="E607" s="11" t="str">
        <x:v>-24.574</x:v>
      </x:c>
      <x:c r="F607" s="11"/>
    </x:row>
    <x:row r="608" ht="36" customHeight="1">
      <x:c r="A608" s="2" t="str">
        <x:v>8486</x:v>
      </x:c>
      <x:c r="B608" s="11" t="str">
        <x:v>2025/2026 (03)</x:v>
      </x:c>
      <x:c r="C608" s="11" t="str">
        <x:v>867,596,063</x:v>
      </x:c>
      <x:c r="D608" s="11" t="str">
        <x:v>871,080,489</x:v>
      </x:c>
      <x:c r="E608" s="11" t="str">
        <x:v>0.402</x:v>
      </x:c>
      <x:c r="F608" s="11"/>
    </x:row>
    <x:row r="609" ht="36" customHeight="1">
      <x:c r="A609" s="2" t="str">
        <x:v>8486</x:v>
      </x:c>
      <x:c r="B609" s="11" t="str">
        <x:v>2025/2026 (04)</x:v>
      </x:c>
      <x:c r="C609" s="11" t="str">
        <x:v>661,414,543</x:v>
      </x:c>
      <x:c r="D609" s="11" t="str">
        <x:v>699,231,649</x:v>
      </x:c>
      <x:c r="E609" s="11" t="str">
        <x:v>5.718</x:v>
      </x:c>
      <x:c r="F609" s="11"/>
    </x:row>
    <x:row r="610" ht="36" customHeight="1">
      <x:c r="A610" s="2" t="str">
        <x:v>8486</x:v>
      </x:c>
      <x:c r="B610" s="11" t="str">
        <x:v>2025/2026 (05)</x:v>
      </x:c>
      <x:c r="C610" s="11" t="str">
        <x:v>564,960,939</x:v>
      </x:c>
      <x:c r="D610" s="11" t="str">
        <x:v>561,532,252</x:v>
      </x:c>
      <x:c r="E610" s="11" t="str">
        <x:v>-0.607</x:v>
      </x:c>
      <x:c r="F610" s="11"/>
    </x:row>
    <x:row r="611" ht="36" customHeight="1">
      <x:c r="A611" s="2" t="str">
        <x:v>8486</x:v>
      </x:c>
      <x:c r="B611" s="11" t="str">
        <x:v>2025/2026 (06)</x:v>
      </x:c>
      <x:c r="C611" s="11" t="str">
        <x:v>674,719,358</x:v>
      </x:c>
      <x:c r="D611" s="11" t="str">
        <x:v>973,012,182</x:v>
      </x:c>
      <x:c r="E611" s="11" t="str">
        <x:v>44.210</x:v>
      </x:c>
      <x:c r="F611" s="11"/>
    </x:row>
    <x:row r="612" ht="36" customHeight="1">
      <x:c r="A612" s="2" t="str">
        <x:v>8486</x:v>
      </x:c>
      <x:c r="B612" s="11" t="str">
        <x:v>2025/2026 (07)</x:v>
      </x:c>
      <x:c r="C612" s="11" t="str">
        <x:v>481,458,420</x:v>
      </x:c>
      <x:c r="D612" s="11" t="str">
        <x:v>718,801,408</x:v>
      </x:c>
      <x:c r="E612" s="11" t="str">
        <x:v>49.297</x:v>
      </x:c>
      <x:c r="F612" s="11"/>
    </x:row>
    <x:row r="613" ht="36" customHeight="1">
      <x:c r="A613" s="2" t="str">
        <x:v>8486</x:v>
      </x:c>
      <x:c r="B613" s="11" t="str">
        <x:v>2025/2026 (08)</x:v>
      </x:c>
      <x:c r="C613" s="11" t="str">
        <x:v>557,244,542</x:v>
      </x:c>
      <x:c r="D613" s="11" t="str">
        <x:v>651,926,933</x:v>
      </x:c>
      <x:c r="E613" s="11" t="str">
        <x:v>16.991</x:v>
      </x:c>
      <x:c r="F613" s="11"/>
    </x:row>
  </x:sheetData>
  <x:pageMargins left="0.7" right="0.7" top="0.75" bottom="0.75" header="0.3" footer="0.3"/>
  <x:tableParts count="1">
    <x:tablePart xmlns:r="http://schemas.openxmlformats.org/officeDocument/2006/relationships" r:id="R23957744016b4328"/>
  </x:tableParts>
</x:worksheet>
</file>