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手順書" sheetId="1" state="visible" r:id="rId3"/>
    <sheet name="設定" sheetId="2" state="visible" r:id="rId4"/>
    <sheet name="四半期比較" sheetId="3" state="visible" r:id="rId5"/>
    <sheet name="raw_月次輸入実績" sheetId="4" state="visible" r:id="rId6"/>
    <sheet name="raw_台湾月次" sheetId="5" state="visible" r:id="rId7"/>
    <sheet name="月次集計" sheetId="6" state="visible" r:id="rId8"/>
    <sheet name="企業売上" sheetId="7" state="visible" r:id="rId9"/>
    <sheet name="ラグ走査_作業" sheetId="8" state="visible" r:id="rId10"/>
    <sheet name="ラグ相関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<sst xmlns="http://schemas.openxmlformats.org/spreadsheetml/2006/main" count="11670" uniqueCount="229">
  <si>
    <r>
      <rPr>
        <b val="true"/>
        <sz val="13"/>
        <rFont val="Arial"/>
        <family val="0"/>
        <charset val="1"/>
      </rPr>
      <t xml:space="preserve">SPE</t>
    </r>
    <r>
      <rPr>
        <b val="true"/>
        <sz val="13"/>
        <rFont val="Noto Sans CJK SC"/>
        <family val="2"/>
      </rPr>
      <t xml:space="preserve">輸入統計と企業売上の比較：</t>
    </r>
    <r>
      <rPr>
        <b val="true"/>
        <sz val="13"/>
        <rFont val="Arial"/>
        <family val="0"/>
        <charset val="1"/>
      </rPr>
      <t xml:space="preserve">Excel</t>
    </r>
    <r>
      <rPr>
        <b val="true"/>
        <sz val="13"/>
        <rFont val="Noto Sans CJK SC"/>
        <family val="2"/>
      </rPr>
      <t xml:space="preserve">での再現手順書</t>
    </r>
  </si>
  <si>
    <t xml:space="preserve">まとめ</t>
  </si>
  <si>
    <r>
      <rPr>
        <sz val="10"/>
        <rFont val="Noto Sans CJK SC"/>
        <family val="2"/>
      </rPr>
      <t xml:space="preserve">日本発の半導体製造装置の輸入額（台湾・韓国・</t>
    </r>
    <r>
      <rPr>
        <sz val="10"/>
        <rFont val="Arial"/>
        <family val="0"/>
        <charset val="1"/>
      </rPr>
      <t xml:space="preserve">EU</t>
    </r>
    <r>
      <rPr>
        <sz val="10"/>
        <rFont val="Noto Sans CJK SC"/>
        <family val="2"/>
      </rPr>
      <t xml:space="preserve">・米国）を月次で集計し、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か月窓の</t>
    </r>
    <r>
      <rPr>
        <sz val="10"/>
        <rFont val="Arial"/>
        <family val="0"/>
        <charset val="1"/>
      </rPr>
      <t xml:space="preserve">QoQ</t>
    </r>
    <r>
      <rPr>
        <sz val="10"/>
        <rFont val="Noto Sans CJK SC"/>
        <family val="2"/>
      </rPr>
      <t xml:space="preserve">を企業の四半期</t>
    </r>
    <r>
      <rPr>
        <sz val="10"/>
        <rFont val="Arial"/>
        <family val="0"/>
        <charset val="1"/>
      </rPr>
      <t xml:space="preserve">QoQ</t>
    </r>
    <r>
      <rPr>
        <sz val="10"/>
        <rFont val="Noto Sans CJK SC"/>
        <family val="2"/>
      </rPr>
      <t xml:space="preserve">と相関させる。ラグ（シフト月）を変えて、輸入が企業売上に先行するか、同時か、遅行するかを見る。マクロは使わず、下記の関数だけで再現できる。</t>
    </r>
  </si>
  <si>
    <t xml:space="preserve">使用関数</t>
  </si>
  <si>
    <r>
      <rPr>
        <sz val="10"/>
        <rFont val="Arial"/>
        <family val="0"/>
        <charset val="1"/>
      </rPr>
      <t xml:space="preserve">SUMIFS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COUNTIFS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COUNT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SUM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INDEX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MATCH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MAX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LN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IFERROR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IF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AND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OR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ISNUMBER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SUMPRODUCT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CORREL</t>
    </r>
  </si>
  <si>
    <t xml:space="preserve">必要なもの</t>
  </si>
  <si>
    <r>
      <rPr>
        <sz val="10"/>
        <rFont val="Arial"/>
        <family val="0"/>
        <charset val="1"/>
      </rPr>
      <t xml:space="preserve">Excel 2010</t>
    </r>
    <r>
      <rPr>
        <sz val="10"/>
        <rFont val="Noto Sans CJK SC"/>
        <family val="2"/>
      </rPr>
      <t xml:space="preserve">以降（</t>
    </r>
    <r>
      <rPr>
        <sz val="10"/>
        <rFont val="Arial"/>
        <family val="0"/>
        <charset val="1"/>
      </rPr>
      <t xml:space="preserve">Excel 2007</t>
    </r>
    <r>
      <rPr>
        <sz val="10"/>
        <rFont val="Noto Sans CJK SC"/>
        <family val="2"/>
      </rPr>
      <t xml:space="preserve">でも動作する関数のみ）。新しい関数（</t>
    </r>
    <r>
      <rPr>
        <sz val="10"/>
        <rFont val="Arial"/>
        <family val="0"/>
        <charset val="1"/>
      </rPr>
      <t xml:space="preserve">XLOOKUP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FILTER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LET</t>
    </r>
    <r>
      <rPr>
        <sz val="10"/>
        <rFont val="Noto Sans CJK SC"/>
        <family val="2"/>
      </rPr>
      <t xml:space="preserve">等）は使っていない。</t>
    </r>
  </si>
  <si>
    <t xml:space="preserve">1</t>
  </si>
  <si>
    <t xml:space="preserve">シート構成</t>
  </si>
  <si>
    <r>
      <rPr>
        <sz val="10"/>
        <rFont val="Noto Sans CJK SC"/>
        <family val="2"/>
      </rPr>
      <t xml:space="preserve">手順書／設定／四半期比較／月次集計／企業売上／ラグ走査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作業／ラグ相関／</t>
    </r>
    <r>
      <rPr>
        <sz val="10"/>
        <rFont val="Arial"/>
        <family val="0"/>
        <charset val="1"/>
      </rPr>
      <t xml:space="preserve">raw_</t>
    </r>
    <r>
      <rPr>
        <sz val="10"/>
        <rFont val="Noto Sans CJK SC"/>
        <family val="2"/>
      </rPr>
      <t xml:space="preserve">月次輸入実績／</t>
    </r>
    <r>
      <rPr>
        <sz val="10"/>
        <rFont val="Arial"/>
        <family val="0"/>
        <charset val="1"/>
      </rPr>
      <t xml:space="preserve">raw_</t>
    </r>
    <r>
      <rPr>
        <sz val="10"/>
        <rFont val="Noto Sans CJK SC"/>
        <family val="2"/>
      </rPr>
      <t xml:space="preserve">台湾月次。青字は入力値、黒字は数式。</t>
    </r>
  </si>
  <si>
    <t xml:space="preserve">2</t>
  </si>
  <si>
    <t xml:space="preserve">生データを貼る</t>
  </si>
  <si>
    <r>
      <rPr>
        <sz val="10"/>
        <rFont val="Arial"/>
        <family val="0"/>
        <charset val="1"/>
      </rPr>
      <t xml:space="preserve">raw_</t>
    </r>
    <r>
      <rPr>
        <sz val="10"/>
        <rFont val="Noto Sans CJK SC"/>
        <family val="2"/>
      </rPr>
      <t xml:space="preserve">月次輸入実績：</t>
    </r>
    <r>
      <rPr>
        <sz val="10"/>
        <rFont val="Arial"/>
        <family val="0"/>
        <charset val="1"/>
      </rPr>
      <t xml:space="preserve">A</t>
    </r>
    <r>
      <rPr>
        <sz val="10"/>
        <rFont val="Noto Sans CJK SC"/>
        <family val="2"/>
      </rPr>
      <t xml:space="preserve">列＝月（例 </t>
    </r>
    <r>
      <rPr>
        <sz val="10"/>
        <rFont val="Arial"/>
        <family val="0"/>
        <charset val="1"/>
      </rPr>
      <t xml:space="preserve">2023-01-01</t>
    </r>
    <r>
      <rPr>
        <sz val="10"/>
        <rFont val="Noto Sans CJK SC"/>
        <family val="2"/>
      </rPr>
      <t xml:space="preserve">、書式 </t>
    </r>
    <r>
      <rPr>
        <sz val="10"/>
        <rFont val="Arial"/>
        <family val="0"/>
        <charset val="1"/>
      </rPr>
      <t xml:space="preserve">yyyy-mm</t>
    </r>
    <r>
      <rPr>
        <sz val="10"/>
        <rFont val="Noto Sans CJK SC"/>
        <family val="2"/>
      </rPr>
      <t xml:space="preserve">）、</t>
    </r>
    <r>
      <rPr>
        <sz val="10"/>
        <rFont val="Arial"/>
        <family val="0"/>
        <charset val="1"/>
      </rPr>
      <t xml:space="preserve">B</t>
    </r>
    <r>
      <rPr>
        <sz val="10"/>
        <rFont val="Noto Sans CJK SC"/>
        <family val="2"/>
      </rPr>
      <t xml:space="preserve">列＝輸入地域（韓国／</t>
    </r>
    <r>
      <rPr>
        <sz val="10"/>
        <rFont val="Arial"/>
        <family val="0"/>
        <charset val="1"/>
      </rPr>
      <t xml:space="preserve">EU27</t>
    </r>
    <r>
      <rPr>
        <sz val="10"/>
        <rFont val="Noto Sans CJK SC"/>
        <family val="2"/>
      </rPr>
      <t xml:space="preserve">／米国／中国）、</t>
    </r>
    <r>
      <rPr>
        <sz val="10"/>
        <rFont val="Arial"/>
        <family val="0"/>
        <charset val="1"/>
      </rPr>
      <t xml:space="preserve">C</t>
    </r>
    <r>
      <rPr>
        <sz val="10"/>
        <rFont val="Noto Sans CJK SC"/>
        <family val="2"/>
      </rPr>
      <t xml:space="preserve">列＝</t>
    </r>
    <r>
      <rPr>
        <sz val="10"/>
        <rFont val="Arial"/>
        <family val="0"/>
        <charset val="1"/>
      </rPr>
      <t xml:space="preserve">HS6</t>
    </r>
    <r>
      <rPr>
        <sz val="10"/>
        <rFont val="Noto Sans CJK SC"/>
        <family val="2"/>
      </rPr>
      <t xml:space="preserve">（文字列）、</t>
    </r>
    <r>
      <rPr>
        <sz val="10"/>
        <rFont val="Arial"/>
        <family val="0"/>
        <charset val="1"/>
      </rPr>
      <t xml:space="preserve">D</t>
    </r>
    <r>
      <rPr>
        <sz val="10"/>
        <rFont val="Noto Sans CJK SC"/>
        <family val="2"/>
      </rPr>
      <t xml:space="preserve">列＝輸入額（通貨単位）、</t>
    </r>
    <r>
      <rPr>
        <sz val="10"/>
        <rFont val="Arial"/>
        <family val="0"/>
        <charset val="1"/>
      </rPr>
      <t xml:space="preserve">E</t>
    </r>
    <r>
      <rPr>
        <sz val="10"/>
        <rFont val="Noto Sans CJK SC"/>
        <family val="2"/>
      </rPr>
      <t xml:space="preserve">列＝通貨、</t>
    </r>
    <r>
      <rPr>
        <sz val="10"/>
        <rFont val="Arial"/>
        <family val="0"/>
        <charset val="1"/>
      </rPr>
      <t xml:space="preserve">F</t>
    </r>
    <r>
      <rPr>
        <sz val="10"/>
        <rFont val="Noto Sans CJK SC"/>
        <family val="2"/>
      </rPr>
      <t xml:space="preserve">列＝</t>
    </r>
    <r>
      <rPr>
        <sz val="10"/>
        <rFont val="Arial"/>
        <family val="0"/>
        <charset val="1"/>
      </rPr>
      <t xml:space="preserve">FPD</t>
    </r>
    <r>
      <rPr>
        <sz val="10"/>
        <rFont val="Noto Sans CJK SC"/>
        <family val="2"/>
      </rPr>
      <t xml:space="preserve">除外フラグ。元ファイル「月次輸入実績」シートの</t>
    </r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列（輸入額）を</t>
    </r>
    <r>
      <rPr>
        <sz val="10"/>
        <rFont val="Arial"/>
        <family val="0"/>
        <charset val="1"/>
      </rPr>
      <t xml:space="preserve">D</t>
    </r>
    <r>
      <rPr>
        <sz val="10"/>
        <rFont val="Noto Sans CJK SC"/>
        <family val="2"/>
      </rPr>
      <t xml:space="preserve">列に貼る。</t>
    </r>
  </si>
  <si>
    <r>
      <rPr>
        <sz val="10"/>
        <rFont val="Arial"/>
        <family val="0"/>
        <charset val="1"/>
      </rPr>
      <t xml:space="preserve">F</t>
    </r>
    <r>
      <rPr>
        <sz val="10"/>
        <rFont val="Noto Sans CJK SC"/>
        <family val="2"/>
      </rPr>
      <t xml:space="preserve">列の式（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行目）：</t>
    </r>
    <r>
      <rPr>
        <sz val="10"/>
        <rFont val="Arial"/>
        <family val="0"/>
        <charset val="1"/>
      </rPr>
      <t xml:space="preserve">=IF(C2="848630",0,1)</t>
    </r>
    <r>
      <rPr>
        <sz val="10"/>
        <rFont val="Noto Sans CJK SC"/>
        <family val="2"/>
      </rPr>
      <t xml:space="preserve">　※</t>
    </r>
    <r>
      <rPr>
        <sz val="10"/>
        <rFont val="Arial"/>
        <family val="0"/>
        <charset val="1"/>
      </rPr>
      <t xml:space="preserve">FPD</t>
    </r>
    <r>
      <rPr>
        <sz val="10"/>
        <rFont val="Noto Sans CJK SC"/>
        <family val="2"/>
      </rPr>
      <t xml:space="preserve">製造装置（</t>
    </r>
    <r>
      <rPr>
        <sz val="10"/>
        <rFont val="Arial"/>
        <family val="0"/>
        <charset val="1"/>
      </rPr>
      <t xml:space="preserve">848630</t>
    </r>
    <r>
      <rPr>
        <sz val="10"/>
        <rFont val="Noto Sans CJK SC"/>
        <family val="2"/>
      </rPr>
      <t xml:space="preserve">）を除外するためのフラグ。行を追加したら下へコピーする。</t>
    </r>
  </si>
  <si>
    <r>
      <rPr>
        <sz val="10"/>
        <rFont val="Arial"/>
        <family val="0"/>
        <charset val="1"/>
      </rPr>
      <t xml:space="preserve">raw_</t>
    </r>
    <r>
      <rPr>
        <sz val="10"/>
        <rFont val="Noto Sans CJK SC"/>
        <family val="2"/>
      </rPr>
      <t xml:space="preserve">台湾月次：</t>
    </r>
    <r>
      <rPr>
        <sz val="10"/>
        <rFont val="Arial"/>
        <family val="0"/>
        <charset val="1"/>
      </rPr>
      <t xml:space="preserve">A</t>
    </r>
    <r>
      <rPr>
        <sz val="10"/>
        <rFont val="Noto Sans CJK SC"/>
        <family val="2"/>
      </rPr>
      <t xml:space="preserve">列＝年月、</t>
    </r>
    <r>
      <rPr>
        <sz val="10"/>
        <rFont val="Arial"/>
        <family val="0"/>
        <charset val="1"/>
      </rPr>
      <t xml:space="preserve">B</t>
    </r>
    <r>
      <rPr>
        <sz val="10"/>
        <rFont val="Noto Sans CJK SC"/>
        <family val="2"/>
      </rPr>
      <t xml:space="preserve">列＝</t>
    </r>
    <r>
      <rPr>
        <sz val="10"/>
        <rFont val="Arial"/>
        <family val="0"/>
        <charset val="1"/>
      </rPr>
      <t xml:space="preserve">CCC</t>
    </r>
    <r>
      <rPr>
        <sz val="10"/>
        <rFont val="Noto Sans CJK SC"/>
        <family val="2"/>
      </rPr>
      <t xml:space="preserve">コード（文字列）、</t>
    </r>
    <r>
      <rPr>
        <sz val="10"/>
        <rFont val="Arial"/>
        <family val="0"/>
        <charset val="1"/>
      </rPr>
      <t xml:space="preserve">C</t>
    </r>
    <r>
      <rPr>
        <sz val="10"/>
        <rFont val="Noto Sans CJK SC"/>
        <family val="2"/>
      </rPr>
      <t xml:space="preserve">列＝分析用金額（</t>
    </r>
    <r>
      <rPr>
        <sz val="10"/>
        <rFont val="Arial"/>
        <family val="0"/>
        <charset val="1"/>
      </rPr>
      <t xml:space="preserve">USD</t>
    </r>
    <r>
      <rPr>
        <sz val="10"/>
        <rFont val="Noto Sans CJK SC"/>
        <family val="2"/>
      </rPr>
      <t xml:space="preserve">）、</t>
    </r>
    <r>
      <rPr>
        <sz val="10"/>
        <rFont val="Arial"/>
        <family val="0"/>
        <charset val="1"/>
      </rPr>
      <t xml:space="preserve">D</t>
    </r>
    <r>
      <rPr>
        <sz val="10"/>
        <rFont val="Noto Sans CJK SC"/>
        <family val="2"/>
      </rPr>
      <t xml:space="preserve">列＝利用状態。元ファイル「月次データ」シートの</t>
    </r>
    <r>
      <rPr>
        <sz val="10"/>
        <rFont val="Arial"/>
        <family val="0"/>
        <charset val="1"/>
      </rPr>
      <t xml:space="preserve">F</t>
    </r>
    <r>
      <rPr>
        <sz val="10"/>
        <rFont val="Noto Sans CJK SC"/>
        <family val="2"/>
      </rPr>
      <t xml:space="preserve">列を貼る。台湾は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桁「</t>
    </r>
    <r>
      <rPr>
        <sz val="10"/>
        <rFont val="Arial"/>
        <family val="0"/>
        <charset val="1"/>
      </rPr>
      <t xml:space="preserve">8486</t>
    </r>
    <r>
      <rPr>
        <sz val="10"/>
        <rFont val="Noto Sans CJK SC"/>
        <family val="2"/>
      </rPr>
      <t xml:space="preserve">」の合計行のみを使う（</t>
    </r>
    <r>
      <rPr>
        <sz val="10"/>
        <rFont val="Arial"/>
        <family val="0"/>
        <charset val="1"/>
      </rPr>
      <t xml:space="preserve">11</t>
    </r>
    <r>
      <rPr>
        <sz val="10"/>
        <rFont val="Noto Sans CJK SC"/>
        <family val="2"/>
      </rPr>
      <t xml:space="preserve">桁の内訳と足すと二重計上になる）。</t>
    </r>
  </si>
  <si>
    <t xml:space="preserve">3</t>
  </si>
  <si>
    <t xml:space="preserve">設定する</t>
  </si>
  <si>
    <r>
      <rPr>
        <sz val="10"/>
        <rFont val="Noto Sans CJK SC"/>
        <family val="2"/>
      </rPr>
      <t xml:space="preserve">設定</t>
    </r>
    <r>
      <rPr>
        <sz val="10"/>
        <rFont val="Arial"/>
        <family val="0"/>
        <charset val="1"/>
      </rPr>
      <t xml:space="preserve">!B3</t>
    </r>
    <r>
      <rPr>
        <sz val="10"/>
        <rFont val="Noto Sans CJK SC"/>
        <family val="2"/>
      </rPr>
      <t xml:space="preserve">に</t>
    </r>
    <r>
      <rPr>
        <sz val="10"/>
        <rFont val="Arial"/>
        <family val="0"/>
        <charset val="1"/>
      </rPr>
      <t xml:space="preserve">EUR→USD</t>
    </r>
    <r>
      <rPr>
        <sz val="10"/>
        <rFont val="Noto Sans CJK SC"/>
        <family val="2"/>
      </rPr>
      <t xml:space="preserve">の換算レート（初期値</t>
    </r>
    <r>
      <rPr>
        <sz val="10"/>
        <rFont val="Arial"/>
        <family val="0"/>
        <charset val="1"/>
      </rPr>
      <t xml:space="preserve">1.10</t>
    </r>
    <r>
      <rPr>
        <sz val="10"/>
        <rFont val="Noto Sans CJK SC"/>
        <family val="2"/>
      </rPr>
      <t xml:space="preserve">）、設定</t>
    </r>
    <r>
      <rPr>
        <sz val="10"/>
        <rFont val="Arial"/>
        <family val="0"/>
        <charset val="1"/>
      </rPr>
      <t xml:space="preserve">!B4</t>
    </r>
    <r>
      <rPr>
        <sz val="10"/>
        <rFont val="Noto Sans CJK SC"/>
        <family val="2"/>
      </rPr>
      <t xml:space="preserve">に比較用シフト月</t>
    </r>
    <r>
      <rPr>
        <sz val="10"/>
        <rFont val="Arial"/>
        <family val="0"/>
        <charset val="1"/>
      </rPr>
      <t xml:space="preserve">s</t>
    </r>
    <r>
      <rPr>
        <sz val="10"/>
        <rFont val="Noto Sans CJK SC"/>
        <family val="2"/>
      </rPr>
      <t xml:space="preserve">（初期値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）を入れる。</t>
    </r>
  </si>
  <si>
    <t xml:space="preserve">4</t>
  </si>
  <si>
    <t xml:space="preserve">月次集計（地域別の月次合計）</t>
  </si>
  <si>
    <r>
      <rPr>
        <sz val="10"/>
        <rFont val="Noto Sans CJK SC"/>
        <family val="2"/>
      </rPr>
      <t xml:space="preserve">月次集計</t>
    </r>
    <r>
      <rPr>
        <sz val="10"/>
        <rFont val="Arial"/>
        <family val="0"/>
        <charset val="1"/>
      </rPr>
      <t xml:space="preserve">!B2</t>
    </r>
    <r>
      <rPr>
        <sz val="10"/>
        <rFont val="Noto Sans CJK SC"/>
        <family val="2"/>
      </rPr>
      <t xml:space="preserve">（韓国）の式：</t>
    </r>
  </si>
  <si>
    <r>
      <rPr>
        <sz val="10"/>
        <rFont val="Arial"/>
        <family val="0"/>
        <charset val="1"/>
      </rPr>
      <t xml:space="preserve">=IF(COUNTIFS(raw_</t>
    </r>
    <r>
      <rPr>
        <sz val="10"/>
        <rFont val="Noto Sans CJK SC"/>
        <family val="2"/>
      </rPr>
      <t xml:space="preserve">月次輸入実績</t>
    </r>
    <r>
      <rPr>
        <sz val="10"/>
        <rFont val="Arial"/>
        <family val="0"/>
        <charset val="1"/>
      </rPr>
      <t xml:space="preserve">!$A$2:$A$20000,$A2,raw_</t>
    </r>
    <r>
      <rPr>
        <sz val="10"/>
        <rFont val="Noto Sans CJK SC"/>
        <family val="2"/>
      </rPr>
      <t xml:space="preserve">月次輸入実績</t>
    </r>
    <r>
      <rPr>
        <sz val="10"/>
        <rFont val="Arial"/>
        <family val="0"/>
        <charset val="1"/>
      </rPr>
      <t xml:space="preserve">!$B$2:$B$20000,"</t>
    </r>
    <r>
      <rPr>
        <sz val="10"/>
        <rFont val="Noto Sans CJK SC"/>
        <family val="2"/>
      </rPr>
      <t xml:space="preserve">韓国</t>
    </r>
    <r>
      <rPr>
        <sz val="10"/>
        <rFont val="Arial"/>
        <family val="0"/>
        <charset val="1"/>
      </rPr>
      <t xml:space="preserve">",raw_</t>
    </r>
    <r>
      <rPr>
        <sz val="10"/>
        <rFont val="Noto Sans CJK SC"/>
        <family val="2"/>
      </rPr>
      <t xml:space="preserve">月次輸入実績</t>
    </r>
    <r>
      <rPr>
        <sz val="10"/>
        <rFont val="Arial"/>
        <family val="0"/>
        <charset val="1"/>
      </rPr>
      <t xml:space="preserve">!$F$2:$F$20000,1)=0,"",SUMIFS(raw_</t>
    </r>
    <r>
      <rPr>
        <sz val="10"/>
        <rFont val="Noto Sans CJK SC"/>
        <family val="2"/>
      </rPr>
      <t xml:space="preserve">月次輸入実績</t>
    </r>
    <r>
      <rPr>
        <sz val="10"/>
        <rFont val="Arial"/>
        <family val="0"/>
        <charset val="1"/>
      </rPr>
      <t xml:space="preserve">!$D$2:$D$20000,raw_</t>
    </r>
    <r>
      <rPr>
        <sz val="10"/>
        <rFont val="Noto Sans CJK SC"/>
        <family val="2"/>
      </rPr>
      <t xml:space="preserve">月次輸入実績</t>
    </r>
    <r>
      <rPr>
        <sz val="10"/>
        <rFont val="Arial"/>
        <family val="0"/>
        <charset val="1"/>
      </rPr>
      <t xml:space="preserve">!$A$2:$A$20000,$A2,raw_</t>
    </r>
    <r>
      <rPr>
        <sz val="10"/>
        <rFont val="Noto Sans CJK SC"/>
        <family val="2"/>
      </rPr>
      <t xml:space="preserve">月次輸入実績</t>
    </r>
    <r>
      <rPr>
        <sz val="10"/>
        <rFont val="Arial"/>
        <family val="0"/>
        <charset val="1"/>
      </rPr>
      <t xml:space="preserve">!$B$2:$B$20000,"</t>
    </r>
    <r>
      <rPr>
        <sz val="10"/>
        <rFont val="Noto Sans CJK SC"/>
        <family val="2"/>
      </rPr>
      <t xml:space="preserve">韓国</t>
    </r>
    <r>
      <rPr>
        <sz val="10"/>
        <rFont val="Arial"/>
        <family val="0"/>
        <charset val="1"/>
      </rPr>
      <t xml:space="preserve">",raw_</t>
    </r>
    <r>
      <rPr>
        <sz val="10"/>
        <rFont val="Noto Sans CJK SC"/>
        <family val="2"/>
      </rPr>
      <t xml:space="preserve">月次輸入実績</t>
    </r>
    <r>
      <rPr>
        <sz val="10"/>
        <rFont val="Arial"/>
        <family val="0"/>
        <charset val="1"/>
      </rPr>
      <t xml:space="preserve">!$F$2:$F$20000,1))</t>
    </r>
  </si>
  <si>
    <r>
      <rPr>
        <sz val="10"/>
        <rFont val="Noto Sans CJK SC"/>
        <family val="2"/>
      </rPr>
      <t xml:space="preserve">要点：該当行が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件もない月は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ではなく空白にする（欠測を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にしない）。</t>
    </r>
    <r>
      <rPr>
        <sz val="10"/>
        <rFont val="Arial"/>
        <family val="0"/>
        <charset val="1"/>
      </rPr>
      <t xml:space="preserve">EU27</t>
    </r>
    <r>
      <rPr>
        <sz val="10"/>
        <rFont val="Noto Sans CJK SC"/>
        <family val="2"/>
      </rPr>
      <t xml:space="preserve">・米国は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韓国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を</t>
    </r>
    <r>
      <rPr>
        <sz val="10"/>
        <rFont val="Arial"/>
        <family val="0"/>
        <charset val="1"/>
      </rPr>
      <t xml:space="preserve">"EU27"</t>
    </r>
    <r>
      <rPr>
        <sz val="10"/>
        <rFont val="Noto Sans CJK SC"/>
        <family val="2"/>
      </rPr>
      <t xml:space="preserve">・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米国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に替える。</t>
    </r>
  </si>
  <si>
    <r>
      <rPr>
        <sz val="10"/>
        <rFont val="Noto Sans CJK SC"/>
        <family val="2"/>
      </rPr>
      <t xml:space="preserve">台湾（</t>
    </r>
    <r>
      <rPr>
        <sz val="10"/>
        <rFont val="Arial"/>
        <family val="0"/>
        <charset val="1"/>
      </rPr>
      <t xml:space="preserve">E2</t>
    </r>
    <r>
      <rPr>
        <sz val="10"/>
        <rFont val="Noto Sans CJK SC"/>
        <family val="2"/>
      </rPr>
      <t xml:space="preserve">）：</t>
    </r>
    <r>
      <rPr>
        <sz val="10"/>
        <rFont val="Arial"/>
        <family val="0"/>
        <charset val="1"/>
      </rPr>
      <t xml:space="preserve">=IF(COUNTIFS(raw_</t>
    </r>
    <r>
      <rPr>
        <sz val="10"/>
        <rFont val="Noto Sans CJK SC"/>
        <family val="2"/>
      </rPr>
      <t xml:space="preserve">台湾月次</t>
    </r>
    <r>
      <rPr>
        <sz val="10"/>
        <rFont val="Arial"/>
        <family val="0"/>
        <charset val="1"/>
      </rPr>
      <t xml:space="preserve">!$A$2:$A$20000,$A2,raw_</t>
    </r>
    <r>
      <rPr>
        <sz val="10"/>
        <rFont val="Noto Sans CJK SC"/>
        <family val="2"/>
      </rPr>
      <t xml:space="preserve">台湾月次</t>
    </r>
    <r>
      <rPr>
        <sz val="10"/>
        <rFont val="Arial"/>
        <family val="0"/>
        <charset val="1"/>
      </rPr>
      <t xml:space="preserve">!$B$2:$B$20000,"8486",raw_</t>
    </r>
    <r>
      <rPr>
        <sz val="10"/>
        <rFont val="Noto Sans CJK SC"/>
        <family val="2"/>
      </rPr>
      <t xml:space="preserve">台湾月次</t>
    </r>
    <r>
      <rPr>
        <sz val="10"/>
        <rFont val="Arial"/>
        <family val="0"/>
        <charset val="1"/>
      </rPr>
      <t xml:space="preserve">!$D$2:$D$20000,"</t>
    </r>
    <r>
      <rPr>
        <sz val="10"/>
        <rFont val="Noto Sans CJK SC"/>
        <family val="2"/>
      </rPr>
      <t xml:space="preserve">利用可</t>
    </r>
    <r>
      <rPr>
        <sz val="10"/>
        <rFont val="Arial"/>
        <family val="0"/>
        <charset val="1"/>
      </rPr>
      <t xml:space="preserve">")=0,"",SUMIFS(raw_</t>
    </r>
    <r>
      <rPr>
        <sz val="10"/>
        <rFont val="Noto Sans CJK SC"/>
        <family val="2"/>
      </rPr>
      <t xml:space="preserve">台湾月次</t>
    </r>
    <r>
      <rPr>
        <sz val="10"/>
        <rFont val="Arial"/>
        <family val="0"/>
        <charset val="1"/>
      </rPr>
      <t xml:space="preserve">!$C$2:$C$20000,raw_</t>
    </r>
    <r>
      <rPr>
        <sz val="10"/>
        <rFont val="Noto Sans CJK SC"/>
        <family val="2"/>
      </rPr>
      <t xml:space="preserve">台湾月次</t>
    </r>
    <r>
      <rPr>
        <sz val="10"/>
        <rFont val="Arial"/>
        <family val="0"/>
        <charset val="1"/>
      </rPr>
      <t xml:space="preserve">!$A$2:$A$20000,$A2,raw_</t>
    </r>
    <r>
      <rPr>
        <sz val="10"/>
        <rFont val="Noto Sans CJK SC"/>
        <family val="2"/>
      </rPr>
      <t xml:space="preserve">台湾月次</t>
    </r>
    <r>
      <rPr>
        <sz val="10"/>
        <rFont val="Arial"/>
        <family val="0"/>
        <charset val="1"/>
      </rPr>
      <t xml:space="preserve">!$B$2:$B$20000,"8486",raw_</t>
    </r>
    <r>
      <rPr>
        <sz val="10"/>
        <rFont val="Noto Sans CJK SC"/>
        <family val="2"/>
      </rPr>
      <t xml:space="preserve">台湾月次</t>
    </r>
    <r>
      <rPr>
        <sz val="10"/>
        <rFont val="Arial"/>
        <family val="0"/>
        <charset val="1"/>
      </rPr>
      <t xml:space="preserve">!$D$2:$D$20000,"</t>
    </r>
    <r>
      <rPr>
        <sz val="10"/>
        <rFont val="Noto Sans CJK SC"/>
        <family val="2"/>
      </rPr>
      <t xml:space="preserve">利用可</t>
    </r>
    <r>
      <rPr>
        <sz val="10"/>
        <rFont val="Arial"/>
        <family val="0"/>
        <charset val="1"/>
      </rPr>
      <t xml:space="preserve">"))</t>
    </r>
  </si>
  <si>
    <r>
      <rPr>
        <sz val="10"/>
        <rFont val="Arial"/>
        <family val="0"/>
        <charset val="1"/>
      </rPr>
      <t xml:space="preserve">EU27</t>
    </r>
    <r>
      <rPr>
        <sz val="10"/>
        <rFont val="Noto Sans CJK SC"/>
        <family val="2"/>
      </rPr>
      <t xml:space="preserve">の</t>
    </r>
    <r>
      <rPr>
        <sz val="10"/>
        <rFont val="Arial"/>
        <family val="0"/>
        <charset val="1"/>
      </rPr>
      <t xml:space="preserve">USD</t>
    </r>
    <r>
      <rPr>
        <sz val="10"/>
        <rFont val="Noto Sans CJK SC"/>
        <family val="2"/>
      </rPr>
      <t xml:space="preserve">換算（</t>
    </r>
    <r>
      <rPr>
        <sz val="10"/>
        <rFont val="Arial"/>
        <family val="0"/>
        <charset val="1"/>
      </rPr>
      <t xml:space="preserve">F2</t>
    </r>
    <r>
      <rPr>
        <sz val="10"/>
        <rFont val="Noto Sans CJK SC"/>
        <family val="2"/>
      </rPr>
      <t xml:space="preserve">）：</t>
    </r>
    <r>
      <rPr>
        <sz val="10"/>
        <rFont val="Arial"/>
        <family val="0"/>
        <charset val="1"/>
      </rPr>
      <t xml:space="preserve">=IF(C2="","",C2*</t>
    </r>
    <r>
      <rPr>
        <sz val="10"/>
        <rFont val="Noto Sans CJK SC"/>
        <family val="2"/>
      </rPr>
      <t xml:space="preserve">設定</t>
    </r>
    <r>
      <rPr>
        <sz val="10"/>
        <rFont val="Arial"/>
        <family val="0"/>
        <charset val="1"/>
      </rPr>
      <t xml:space="preserve">!$B$3)</t>
    </r>
    <r>
      <rPr>
        <sz val="10"/>
        <rFont val="Noto Sans CJK SC"/>
        <family val="2"/>
      </rPr>
      <t xml:space="preserve">　／　</t>
    </r>
    <r>
      <rPr>
        <sz val="10"/>
        <rFont val="Arial"/>
        <family val="0"/>
        <charset val="1"/>
      </rPr>
      <t xml:space="preserve">CORE3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G2</t>
    </r>
    <r>
      <rPr>
        <sz val="10"/>
        <rFont val="Noto Sans CJK SC"/>
        <family val="2"/>
      </rPr>
      <t xml:space="preserve">）：</t>
    </r>
    <r>
      <rPr>
        <sz val="10"/>
        <rFont val="Arial"/>
        <family val="0"/>
        <charset val="1"/>
      </rPr>
      <t xml:space="preserve">=IF(COUNT(B2,E2,F2)=3,B2+E2+F2,"")</t>
    </r>
  </si>
  <si>
    <t xml:space="preserve">5</t>
  </si>
  <si>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か月ローリング合計</t>
    </r>
  </si>
  <si>
    <r>
      <rPr>
        <sz val="10"/>
        <rFont val="Noto Sans CJK SC"/>
        <family val="2"/>
      </rPr>
      <t xml:space="preserve">月次集計</t>
    </r>
    <r>
      <rPr>
        <sz val="10"/>
        <rFont val="Arial"/>
        <family val="0"/>
        <charset val="1"/>
      </rPr>
      <t xml:space="preserve">!H4</t>
    </r>
    <r>
      <rPr>
        <sz val="10"/>
        <rFont val="Noto Sans CJK SC"/>
        <family val="2"/>
      </rPr>
      <t xml:space="preserve">（韓国</t>
    </r>
    <r>
      <rPr>
        <sz val="10"/>
        <rFont val="Arial"/>
        <family val="0"/>
        <charset val="1"/>
      </rPr>
      <t xml:space="preserve">_3M</t>
    </r>
    <r>
      <rPr>
        <sz val="10"/>
        <rFont val="Noto Sans CJK SC"/>
        <family val="2"/>
      </rPr>
      <t xml:space="preserve">）：</t>
    </r>
    <r>
      <rPr>
        <sz val="10"/>
        <rFont val="Arial"/>
        <family val="0"/>
        <charset val="1"/>
      </rPr>
      <t xml:space="preserve">=IF(COUNT(B2:B4)=3,SUM(B2:B4),"")</t>
    </r>
    <r>
      <rPr>
        <sz val="10"/>
        <rFont val="Noto Sans CJK SC"/>
        <family val="2"/>
      </rPr>
      <t xml:space="preserve">　※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か月のうち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か月でも欠けたら空白。台湾は</t>
    </r>
    <r>
      <rPr>
        <sz val="10"/>
        <rFont val="Arial"/>
        <family val="0"/>
        <charset val="1"/>
      </rPr>
      <t xml:space="preserve">E</t>
    </r>
    <r>
      <rPr>
        <sz val="10"/>
        <rFont val="Noto Sans CJK SC"/>
        <family val="2"/>
      </rPr>
      <t xml:space="preserve">列、</t>
    </r>
    <r>
      <rPr>
        <sz val="10"/>
        <rFont val="Arial"/>
        <family val="0"/>
        <charset val="1"/>
      </rPr>
      <t xml:space="preserve">EU</t>
    </r>
    <r>
      <rPr>
        <sz val="10"/>
        <rFont val="Noto Sans CJK SC"/>
        <family val="2"/>
      </rPr>
      <t xml:space="preserve">は</t>
    </r>
    <r>
      <rPr>
        <sz val="10"/>
        <rFont val="Arial"/>
        <family val="0"/>
        <charset val="1"/>
      </rPr>
      <t xml:space="preserve">F</t>
    </r>
    <r>
      <rPr>
        <sz val="10"/>
        <rFont val="Noto Sans CJK SC"/>
        <family val="2"/>
      </rPr>
      <t xml:space="preserve">列、米国は</t>
    </r>
    <r>
      <rPr>
        <sz val="10"/>
        <rFont val="Arial"/>
        <family val="0"/>
        <charset val="1"/>
      </rPr>
      <t xml:space="preserve">D</t>
    </r>
    <r>
      <rPr>
        <sz val="10"/>
        <rFont val="Noto Sans CJK SC"/>
        <family val="2"/>
      </rPr>
      <t xml:space="preserve">列、</t>
    </r>
    <r>
      <rPr>
        <sz val="10"/>
        <rFont val="Arial"/>
        <family val="0"/>
        <charset val="1"/>
      </rPr>
      <t xml:space="preserve">CORE3</t>
    </r>
    <r>
      <rPr>
        <sz val="10"/>
        <rFont val="Noto Sans CJK SC"/>
        <family val="2"/>
      </rPr>
      <t xml:space="preserve">は</t>
    </r>
    <r>
      <rPr>
        <sz val="10"/>
        <rFont val="Arial"/>
        <family val="0"/>
        <charset val="1"/>
      </rPr>
      <t xml:space="preserve">G</t>
    </r>
    <r>
      <rPr>
        <sz val="10"/>
        <rFont val="Noto Sans CJK SC"/>
        <family val="2"/>
      </rPr>
      <t xml:space="preserve">列を使う。</t>
    </r>
  </si>
  <si>
    <t xml:space="preserve">6</t>
  </si>
  <si>
    <t xml:space="preserve">企業売上を入力する</t>
  </si>
  <si>
    <r>
      <rPr>
        <sz val="10"/>
        <rFont val="Noto Sans CJK SC"/>
        <family val="2"/>
      </rPr>
      <t xml:space="preserve">企業売上シートの</t>
    </r>
    <r>
      <rPr>
        <sz val="10"/>
        <rFont val="Arial"/>
        <family val="0"/>
        <charset val="1"/>
      </rPr>
      <t xml:space="preserve">B</t>
    </r>
    <r>
      <rPr>
        <sz val="10"/>
        <rFont val="Noto Sans CJK SC"/>
        <family val="2"/>
      </rPr>
      <t xml:space="preserve">〜</t>
    </r>
    <r>
      <rPr>
        <sz val="10"/>
        <rFont val="Arial"/>
        <family val="0"/>
        <charset val="1"/>
      </rPr>
      <t xml:space="preserve">E</t>
    </r>
    <r>
      <rPr>
        <sz val="10"/>
        <rFont val="Noto Sans CJK SC"/>
        <family val="2"/>
      </rPr>
      <t xml:space="preserve">列（暦四半期の売上、億円）に決算資料の値を入れる。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社合計（</t>
    </r>
    <r>
      <rPr>
        <sz val="10"/>
        <rFont val="Arial"/>
        <family val="0"/>
        <charset val="1"/>
      </rPr>
      <t xml:space="preserve">F</t>
    </r>
    <r>
      <rPr>
        <sz val="10"/>
        <rFont val="Noto Sans CJK SC"/>
        <family val="2"/>
      </rPr>
      <t xml:space="preserve">列）：</t>
    </r>
    <r>
      <rPr>
        <sz val="10"/>
        <rFont val="Arial"/>
        <family val="0"/>
        <charset val="1"/>
      </rPr>
      <t xml:space="preserve">=IF(COUNT(B4,C4,E4)=3,B4+C4+E4,"")</t>
    </r>
    <r>
      <rPr>
        <sz val="10"/>
        <rFont val="Noto Sans CJK SC"/>
        <family val="2"/>
      </rPr>
      <t xml:space="preserve">　／　</t>
    </r>
    <r>
      <rPr>
        <sz val="10"/>
        <rFont val="Arial"/>
        <family val="0"/>
        <charset val="1"/>
      </rPr>
      <t xml:space="preserve">QoQ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H5</t>
    </r>
    <r>
      <rPr>
        <sz val="10"/>
        <rFont val="Noto Sans CJK SC"/>
        <family val="2"/>
      </rPr>
      <t xml:space="preserve">）：</t>
    </r>
    <r>
      <rPr>
        <sz val="10"/>
        <rFont val="Arial"/>
        <family val="0"/>
        <charset val="1"/>
      </rPr>
      <t xml:space="preserve">=IF(AND(ISNUMBER(B5),ISNUMBER(B4)),LN(B5/B4),"")</t>
    </r>
  </si>
  <si>
    <r>
      <rPr>
        <sz val="10"/>
        <rFont val="Noto Sans CJK SC"/>
        <family val="2"/>
      </rPr>
      <t xml:space="preserve">東京エレクトロン・</t>
    </r>
    <r>
      <rPr>
        <sz val="10"/>
        <rFont val="Arial"/>
        <family val="0"/>
        <charset val="1"/>
      </rPr>
      <t xml:space="preserve">SCREEN</t>
    </r>
    <r>
      <rPr>
        <sz val="10"/>
        <rFont val="Noto Sans CJK SC"/>
        <family val="2"/>
      </rPr>
      <t xml:space="preserve">・</t>
    </r>
    <r>
      <rPr>
        <sz val="10"/>
        <rFont val="Arial"/>
        <family val="0"/>
        <charset val="1"/>
      </rPr>
      <t xml:space="preserve">KOKUSAI</t>
    </r>
    <r>
      <rPr>
        <sz val="10"/>
        <rFont val="Noto Sans CJK SC"/>
        <family val="2"/>
      </rPr>
      <t xml:space="preserve">は決算期が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月で、四半期末が暦の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・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・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・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月と一致するため、そのまま暦四半期として扱える。</t>
    </r>
  </si>
  <si>
    <t xml:space="preserve">7</t>
  </si>
  <si>
    <r>
      <rPr>
        <b val="true"/>
        <sz val="10"/>
        <rFont val="Noto Sans CJK SC"/>
        <family val="2"/>
      </rPr>
      <t xml:space="preserve">輸入</t>
    </r>
    <r>
      <rPr>
        <b val="true"/>
        <sz val="10"/>
        <rFont val="Arial"/>
        <family val="0"/>
        <charset val="1"/>
      </rPr>
      <t xml:space="preserve">QoQ</t>
    </r>
    <r>
      <rPr>
        <b val="true"/>
        <sz val="10"/>
        <rFont val="Noto Sans CJK SC"/>
        <family val="2"/>
      </rPr>
      <t xml:space="preserve">をシフトして作る</t>
    </r>
  </si>
  <si>
    <r>
      <rPr>
        <sz val="10"/>
        <rFont val="Noto Sans CJK SC"/>
        <family val="2"/>
      </rPr>
      <t xml:space="preserve">ラグ走査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作業の各列は、地域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シフト月</t>
    </r>
    <r>
      <rPr>
        <sz val="10"/>
        <rFont val="Arial"/>
        <family val="0"/>
        <charset val="1"/>
      </rPr>
      <t xml:space="preserve">s</t>
    </r>
    <r>
      <rPr>
        <sz val="10"/>
        <rFont val="Noto Sans CJK SC"/>
        <family val="2"/>
      </rPr>
      <t xml:space="preserve">ごとの輸入</t>
    </r>
    <r>
      <rPr>
        <sz val="10"/>
        <rFont val="Arial"/>
        <family val="0"/>
        <charset val="1"/>
      </rPr>
      <t xml:space="preserve">QoQ</t>
    </r>
    <r>
      <rPr>
        <sz val="10"/>
        <rFont val="Noto Sans CJK SC"/>
        <family val="2"/>
      </rPr>
      <t xml:space="preserve">である。四半期末の月番号</t>
    </r>
    <r>
      <rPr>
        <sz val="10"/>
        <rFont val="Arial"/>
        <family val="0"/>
        <charset val="1"/>
      </rPr>
      <t xml:space="preserve">e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B</t>
    </r>
    <r>
      <rPr>
        <sz val="10"/>
        <rFont val="Noto Sans CJK SC"/>
        <family val="2"/>
      </rPr>
      <t xml:space="preserve">列）に対して次の式を使う。</t>
    </r>
  </si>
  <si>
    <r>
      <rPr>
        <sz val="10"/>
        <rFont val="Arial"/>
        <family val="0"/>
        <charset val="1"/>
      </rPr>
      <t xml:space="preserve">=IF(OR($B4+C$2-3&lt;1,$B4+C$2&gt;</t>
    </r>
    <r>
      <rPr>
        <sz val="10"/>
        <rFont val="Noto Sans CJK SC"/>
        <family val="2"/>
      </rPr>
      <t xml:space="preserve">設定</t>
    </r>
    <r>
      <rPr>
        <sz val="10"/>
        <rFont val="Arial"/>
        <family val="0"/>
        <charset val="1"/>
      </rPr>
      <t xml:space="preserve">!$B$5),"",IFERROR(LN(INDEX(</t>
    </r>
    <r>
      <rPr>
        <sz val="10"/>
        <rFont val="Noto Sans CJK SC"/>
        <family val="2"/>
      </rPr>
      <t xml:space="preserve">月次集計</t>
    </r>
    <r>
      <rPr>
        <sz val="10"/>
        <rFont val="Arial"/>
        <family val="0"/>
        <charset val="1"/>
      </rPr>
      <t xml:space="preserve">!$H$2:$H$45,$B4+C$2)/INDEX(</t>
    </r>
    <r>
      <rPr>
        <sz val="10"/>
        <rFont val="Noto Sans CJK SC"/>
        <family val="2"/>
      </rPr>
      <t xml:space="preserve">月次集計</t>
    </r>
    <r>
      <rPr>
        <sz val="10"/>
        <rFont val="Arial"/>
        <family val="0"/>
        <charset val="1"/>
      </rPr>
      <t xml:space="preserve">!$H$2:$H$45,$B4+C$2-3)),""))</t>
    </r>
  </si>
  <si>
    <r>
      <rPr>
        <sz val="10"/>
        <rFont val="Noto Sans CJK SC"/>
        <family val="2"/>
      </rPr>
      <t xml:space="preserve">意味：月次の</t>
    </r>
    <r>
      <rPr>
        <sz val="10"/>
        <rFont val="Arial"/>
        <family val="0"/>
        <charset val="1"/>
      </rPr>
      <t xml:space="preserve">3M</t>
    </r>
    <r>
      <rPr>
        <sz val="10"/>
        <rFont val="Noto Sans CJK SC"/>
        <family val="2"/>
      </rPr>
      <t xml:space="preserve">合計のうち、「</t>
    </r>
    <r>
      <rPr>
        <sz val="10"/>
        <rFont val="Arial"/>
        <family val="0"/>
        <charset val="1"/>
      </rPr>
      <t xml:space="preserve">e</t>
    </r>
    <r>
      <rPr>
        <sz val="10"/>
        <rFont val="Noto Sans CJK SC"/>
        <family val="2"/>
      </rPr>
      <t xml:space="preserve">に</t>
    </r>
    <r>
      <rPr>
        <sz val="10"/>
        <rFont val="Arial"/>
        <family val="0"/>
        <charset val="1"/>
      </rPr>
      <t xml:space="preserve">s</t>
    </r>
    <r>
      <rPr>
        <sz val="10"/>
        <rFont val="Noto Sans CJK SC"/>
        <family val="2"/>
      </rPr>
      <t xml:space="preserve">を足した月」までの窓の合計を、その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か月前の窓の合計で割り、</t>
    </r>
    <r>
      <rPr>
        <sz val="10"/>
        <rFont val="Arial"/>
        <family val="0"/>
        <charset val="1"/>
      </rPr>
      <t xml:space="preserve">LN</t>
    </r>
    <r>
      <rPr>
        <sz val="10"/>
        <rFont val="Noto Sans CJK SC"/>
        <family val="2"/>
      </rPr>
      <t xml:space="preserve">を取る。</t>
    </r>
    <r>
      <rPr>
        <sz val="10"/>
        <rFont val="Arial"/>
        <family val="0"/>
        <charset val="1"/>
      </rPr>
      <t xml:space="preserve">s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は暦四半期そのもの、</t>
    </r>
    <r>
      <rPr>
        <sz val="10"/>
        <rFont val="Arial"/>
        <family val="0"/>
        <charset val="1"/>
      </rPr>
      <t xml:space="preserve">s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は次の四半期、</t>
    </r>
    <r>
      <rPr>
        <sz val="10"/>
        <rFont val="Arial"/>
        <family val="0"/>
        <charset val="1"/>
      </rPr>
      <t xml:space="preserve">s</t>
    </r>
    <r>
      <rPr>
        <sz val="10"/>
        <rFont val="Noto Sans CJK SC"/>
        <family val="2"/>
      </rPr>
      <t xml:space="preserve">＝−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は前の四半期に相当する。</t>
    </r>
  </si>
  <si>
    <t xml:space="preserve">8</t>
  </si>
  <si>
    <t xml:space="preserve">相関を計算する</t>
  </si>
  <si>
    <r>
      <rPr>
        <sz val="10"/>
        <rFont val="Noto Sans CJK SC"/>
        <family val="2"/>
      </rPr>
      <t xml:space="preserve">ラグ相関シート</t>
    </r>
    <r>
      <rPr>
        <sz val="10"/>
        <rFont val="Arial"/>
        <family val="0"/>
        <charset val="1"/>
      </rPr>
      <t xml:space="preserve">B4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=IF(SUMPRODUCT(--ISNUMBER(x),--ISNUMBER(y))&lt;6,"",IFERROR(CORREL(x,y),""))</t>
    </r>
    <r>
      <rPr>
        <sz val="10"/>
        <rFont val="Noto Sans CJK SC"/>
        <family val="2"/>
      </rPr>
      <t xml:space="preserve">　</t>
    </r>
    <r>
      <rPr>
        <sz val="10"/>
        <rFont val="Arial"/>
        <family val="0"/>
        <charset val="1"/>
      </rPr>
      <t xml:space="preserve">x</t>
    </r>
    <r>
      <rPr>
        <sz val="10"/>
        <rFont val="Noto Sans CJK SC"/>
        <family val="2"/>
      </rPr>
      <t xml:space="preserve">＝ラグ走査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作業の該当列（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〜</t>
    </r>
    <r>
      <rPr>
        <sz val="10"/>
        <rFont val="Arial"/>
        <family val="0"/>
        <charset val="1"/>
      </rPr>
      <t xml:space="preserve">17</t>
    </r>
    <r>
      <rPr>
        <sz val="10"/>
        <rFont val="Noto Sans CJK SC"/>
        <family val="2"/>
      </rPr>
      <t xml:space="preserve">行）、</t>
    </r>
    <r>
      <rPr>
        <sz val="10"/>
        <rFont val="Arial"/>
        <family val="0"/>
        <charset val="1"/>
      </rPr>
      <t xml:space="preserve">y</t>
    </r>
    <r>
      <rPr>
        <sz val="10"/>
        <rFont val="Noto Sans CJK SC"/>
        <family val="2"/>
      </rPr>
      <t xml:space="preserve">＝企業売上の</t>
    </r>
    <r>
      <rPr>
        <sz val="10"/>
        <rFont val="Arial"/>
        <family val="0"/>
        <charset val="1"/>
      </rPr>
      <t xml:space="preserve">QoQ</t>
    </r>
    <r>
      <rPr>
        <sz val="10"/>
        <rFont val="Noto Sans CJK SC"/>
        <family val="2"/>
      </rPr>
      <t xml:space="preserve">列（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〜</t>
    </r>
    <r>
      <rPr>
        <sz val="10"/>
        <rFont val="Arial"/>
        <family val="0"/>
        <charset val="1"/>
      </rPr>
      <t xml:space="preserve">17</t>
    </r>
    <r>
      <rPr>
        <sz val="10"/>
        <rFont val="Noto Sans CJK SC"/>
        <family val="2"/>
      </rPr>
      <t xml:space="preserve">行）。</t>
    </r>
  </si>
  <si>
    <r>
      <rPr>
        <sz val="10"/>
        <rFont val="Noto Sans CJK SC"/>
        <family val="2"/>
      </rPr>
      <t xml:space="preserve">ペアの片方が空白の四半期は</t>
    </r>
    <r>
      <rPr>
        <sz val="10"/>
        <rFont val="Arial"/>
        <family val="0"/>
        <charset val="1"/>
      </rPr>
      <t xml:space="preserve">CORREL</t>
    </r>
    <r>
      <rPr>
        <sz val="10"/>
        <rFont val="Noto Sans CJK SC"/>
        <family val="2"/>
      </rPr>
      <t xml:space="preserve">が自動的に除外する。使えた四半期数（</t>
    </r>
    <r>
      <rPr>
        <sz val="10"/>
        <rFont val="Arial"/>
        <family val="0"/>
        <charset val="1"/>
      </rPr>
      <t xml:space="preserve">N</t>
    </r>
    <r>
      <rPr>
        <sz val="10"/>
        <rFont val="Noto Sans CJK SC"/>
        <family val="2"/>
      </rPr>
      <t xml:space="preserve">）は同シート</t>
    </r>
    <r>
      <rPr>
        <sz val="10"/>
        <rFont val="Arial"/>
        <family val="0"/>
        <charset val="1"/>
      </rPr>
      <t xml:space="preserve">20</t>
    </r>
    <r>
      <rPr>
        <sz val="10"/>
        <rFont val="Noto Sans CJK SC"/>
        <family val="2"/>
      </rPr>
      <t xml:space="preserve">行目以降に表示され、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未満なら相関を出さない。</t>
    </r>
  </si>
  <si>
    <t xml:space="preserve">9</t>
  </si>
  <si>
    <t xml:space="preserve">結果の読み方</t>
  </si>
  <si>
    <r>
      <rPr>
        <sz val="10"/>
        <rFont val="Noto Sans CJK SC"/>
        <family val="2"/>
      </rPr>
      <t xml:space="preserve">負のシフトで相関が高い＝輸入が企業売上に先行（フォーキャスト向き）。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付近＝同時（ナウキャスト向き）。正のシフトで高い＝輸入が遅行（企業売上の確認用）。ラグ相関シートの</t>
    </r>
    <r>
      <rPr>
        <sz val="10"/>
        <rFont val="Arial"/>
        <family val="0"/>
        <charset val="1"/>
      </rPr>
      <t xml:space="preserve">35</t>
    </r>
    <r>
      <rPr>
        <sz val="10"/>
        <rFont val="Noto Sans CJK SC"/>
        <family val="2"/>
      </rPr>
      <t xml:space="preserve">〜</t>
    </r>
    <r>
      <rPr>
        <sz val="10"/>
        <rFont val="Arial"/>
        <family val="0"/>
        <charset val="1"/>
      </rPr>
      <t xml:space="preserve">36</t>
    </r>
    <r>
      <rPr>
        <sz val="10"/>
        <rFont val="Noto Sans CJK SC"/>
        <family val="2"/>
      </rPr>
      <t xml:space="preserve">行目に最大相関のシフトと値を出す。</t>
    </r>
  </si>
  <si>
    <r>
      <rPr>
        <sz val="10"/>
        <rFont val="Noto Sans CJK SC"/>
        <family val="2"/>
      </rPr>
      <t xml:space="preserve">注意：</t>
    </r>
    <r>
      <rPr>
        <sz val="10"/>
        <rFont val="Arial"/>
        <family val="0"/>
        <charset val="1"/>
      </rPr>
      <t xml:space="preserve">N</t>
    </r>
    <r>
      <rPr>
        <sz val="10"/>
        <rFont val="Noto Sans CJK SC"/>
        <family val="2"/>
      </rPr>
      <t xml:space="preserve">は</t>
    </r>
    <r>
      <rPr>
        <sz val="10"/>
        <rFont val="Arial"/>
        <family val="0"/>
        <charset val="1"/>
      </rPr>
      <t xml:space="preserve">11</t>
    </r>
    <r>
      <rPr>
        <sz val="10"/>
        <rFont val="Noto Sans CJK SC"/>
        <family val="2"/>
      </rPr>
      <t xml:space="preserve">〜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四半期と小さく、シフトを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通り走査しているため、最大値には偶然の相関が含まれる。</t>
    </r>
    <r>
      <rPr>
        <sz val="10"/>
        <rFont val="Arial"/>
        <family val="0"/>
        <charset val="1"/>
      </rPr>
      <t xml:space="preserve">Python</t>
    </r>
    <r>
      <rPr>
        <sz val="10"/>
        <rFont val="Noto Sans CJK SC"/>
        <family val="2"/>
      </rPr>
      <t xml:space="preserve">版の置換検定では、台湾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東京エレクトロンの</t>
    </r>
    <r>
      <rPr>
        <sz val="10"/>
        <rFont val="Arial"/>
        <family val="0"/>
        <charset val="1"/>
      </rPr>
      <t xml:space="preserve">p</t>
    </r>
    <r>
      <rPr>
        <sz val="10"/>
        <rFont val="Noto Sans CJK SC"/>
        <family val="2"/>
      </rPr>
      <t xml:space="preserve">値は</t>
    </r>
    <r>
      <rPr>
        <sz val="10"/>
        <rFont val="Arial"/>
        <family val="0"/>
        <charset val="1"/>
      </rPr>
      <t xml:space="preserve">0.004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QoQ</t>
    </r>
    <r>
      <rPr>
        <sz val="10"/>
        <rFont val="Noto Sans CJK SC"/>
        <family val="2"/>
      </rPr>
      <t xml:space="preserve">）だった。この検定は</t>
    </r>
    <r>
      <rPr>
        <sz val="10"/>
        <rFont val="Arial"/>
        <family val="0"/>
        <charset val="1"/>
      </rPr>
      <t xml:space="preserve">Excel</t>
    </r>
    <r>
      <rPr>
        <sz val="10"/>
        <rFont val="Noto Sans CJK SC"/>
        <family val="2"/>
      </rPr>
      <t xml:space="preserve">には入れていない。</t>
    </r>
  </si>
  <si>
    <t xml:space="preserve">10</t>
  </si>
  <si>
    <t xml:space="preserve">四半期比較で個別に確認する</t>
  </si>
  <si>
    <r>
      <rPr>
        <sz val="10"/>
        <rFont val="Noto Sans CJK SC"/>
        <family val="2"/>
      </rPr>
      <t xml:space="preserve">設定</t>
    </r>
    <r>
      <rPr>
        <sz val="10"/>
        <rFont val="Arial"/>
        <family val="0"/>
        <charset val="1"/>
      </rPr>
      <t xml:space="preserve">!B4</t>
    </r>
    <r>
      <rPr>
        <sz val="10"/>
        <rFont val="Noto Sans CJK SC"/>
        <family val="2"/>
      </rPr>
      <t xml:space="preserve">の</t>
    </r>
    <r>
      <rPr>
        <sz val="10"/>
        <rFont val="Arial"/>
        <family val="0"/>
        <charset val="1"/>
      </rPr>
      <t xml:space="preserve">s</t>
    </r>
    <r>
      <rPr>
        <sz val="10"/>
        <rFont val="Noto Sans CJK SC"/>
        <family val="2"/>
      </rPr>
      <t xml:space="preserve">を変えると、四半期比較シートの輸入</t>
    </r>
    <r>
      <rPr>
        <sz val="10"/>
        <rFont val="Arial"/>
        <family val="0"/>
        <charset val="1"/>
      </rPr>
      <t xml:space="preserve">QoQ</t>
    </r>
    <r>
      <rPr>
        <sz val="10"/>
        <rFont val="Noto Sans CJK SC"/>
        <family val="2"/>
      </rPr>
      <t xml:space="preserve">・企業</t>
    </r>
    <r>
      <rPr>
        <sz val="10"/>
        <rFont val="Arial"/>
        <family val="0"/>
        <charset val="1"/>
      </rPr>
      <t xml:space="preserve">QoQ</t>
    </r>
    <r>
      <rPr>
        <sz val="10"/>
        <rFont val="Noto Sans CJK SC"/>
        <family val="2"/>
      </rPr>
      <t xml:space="preserve">・相関が更新される。</t>
    </r>
  </si>
  <si>
    <t xml:space="preserve">11</t>
  </si>
  <si>
    <t xml:space="preserve">データを更新する</t>
  </si>
  <si>
    <r>
      <rPr>
        <sz val="10"/>
        <rFont val="Arial"/>
        <family val="0"/>
        <charset val="1"/>
      </rPr>
      <t xml:space="preserve">(a) raw_</t>
    </r>
    <r>
      <rPr>
        <sz val="10"/>
        <rFont val="Noto Sans CJK SC"/>
        <family val="2"/>
      </rPr>
      <t xml:space="preserve">月次輸入実績、</t>
    </r>
    <r>
      <rPr>
        <sz val="10"/>
        <rFont val="Arial"/>
        <family val="0"/>
        <charset val="1"/>
      </rPr>
      <t xml:space="preserve">raw_</t>
    </r>
    <r>
      <rPr>
        <sz val="10"/>
        <rFont val="Noto Sans CJK SC"/>
        <family val="2"/>
      </rPr>
      <t xml:space="preserve">台湾月次の末尾に新しい月の行を追加する（範囲は</t>
    </r>
    <r>
      <rPr>
        <sz val="10"/>
        <rFont val="Arial"/>
        <family val="0"/>
        <charset val="1"/>
      </rPr>
      <t xml:space="preserve">20000</t>
    </r>
    <r>
      <rPr>
        <sz val="10"/>
        <rFont val="Noto Sans CJK SC"/>
        <family val="2"/>
      </rPr>
      <t xml:space="preserve">行まで対応）。</t>
    </r>
    <r>
      <rPr>
        <sz val="10"/>
        <rFont val="Arial"/>
        <family val="0"/>
        <charset val="1"/>
      </rPr>
      <t xml:space="preserve">(b) </t>
    </r>
    <r>
      <rPr>
        <sz val="10"/>
        <rFont val="Noto Sans CJK SC"/>
        <family val="2"/>
      </rPr>
      <t xml:space="preserve">月次集計の最終行を下へコピーし、月の列に翌月を入れる。</t>
    </r>
    <r>
      <rPr>
        <sz val="10"/>
        <rFont val="Arial"/>
        <family val="0"/>
        <charset val="1"/>
      </rPr>
      <t xml:space="preserve">(c) </t>
    </r>
    <r>
      <rPr>
        <sz val="10"/>
        <rFont val="Noto Sans CJK SC"/>
        <family val="2"/>
      </rPr>
      <t xml:space="preserve">月次集計の参照範囲</t>
    </r>
    <r>
      <rPr>
        <sz val="10"/>
        <rFont val="Arial"/>
        <family val="0"/>
        <charset val="1"/>
      </rPr>
      <t xml:space="preserve">$2:$45</t>
    </r>
    <r>
      <rPr>
        <sz val="10"/>
        <rFont val="Noto Sans CJK SC"/>
        <family val="2"/>
      </rPr>
      <t xml:space="preserve">と設定</t>
    </r>
    <r>
      <rPr>
        <sz val="10"/>
        <rFont val="Arial"/>
        <family val="0"/>
        <charset val="1"/>
      </rPr>
      <t xml:space="preserve">!B5</t>
    </r>
    <r>
      <rPr>
        <sz val="10"/>
        <rFont val="Noto Sans CJK SC"/>
        <family val="2"/>
      </rPr>
      <t xml:space="preserve">の</t>
    </r>
    <r>
      <rPr>
        <sz val="10"/>
        <rFont val="Arial"/>
        <family val="0"/>
        <charset val="1"/>
      </rPr>
      <t xml:space="preserve">COUNT</t>
    </r>
    <r>
      <rPr>
        <sz val="10"/>
        <rFont val="Noto Sans CJK SC"/>
        <family val="2"/>
      </rPr>
      <t xml:space="preserve">範囲を広げる。</t>
    </r>
    <r>
      <rPr>
        <sz val="10"/>
        <rFont val="Arial"/>
        <family val="0"/>
        <charset val="1"/>
      </rPr>
      <t xml:space="preserve">(d) </t>
    </r>
    <r>
      <rPr>
        <sz val="10"/>
        <rFont val="Noto Sans CJK SC"/>
        <family val="2"/>
      </rPr>
      <t xml:space="preserve">企業売上に新しい四半期の行を追加し、ラグ走査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作業に行と月番号</t>
    </r>
    <r>
      <rPr>
        <sz val="10"/>
        <rFont val="Arial"/>
        <family val="0"/>
        <charset val="1"/>
      </rPr>
      <t xml:space="preserve">e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ずつ増える）を追加する。</t>
    </r>
  </si>
  <si>
    <t xml:space="preserve">12</t>
  </si>
  <si>
    <t xml:space="preserve">注意点</t>
  </si>
  <si>
    <r>
      <rPr>
        <sz val="10"/>
        <rFont val="Noto Sans CJK SC"/>
        <family val="2"/>
      </rPr>
      <t xml:space="preserve">輸入データは取得時点の改訂値で、初回公表値ではない。</t>
    </r>
    <r>
      <rPr>
        <sz val="10"/>
        <rFont val="Arial"/>
        <family val="0"/>
        <charset val="1"/>
      </rPr>
      <t xml:space="preserve">EUR</t>
    </r>
    <r>
      <rPr>
        <sz val="10"/>
        <rFont val="Noto Sans CJK SC"/>
        <family val="2"/>
      </rPr>
      <t xml:space="preserve">換算は固定レート。米国は一部の月が欠測。中国は</t>
    </r>
    <r>
      <rPr>
        <sz val="10"/>
        <rFont val="Arial"/>
        <family val="0"/>
        <charset val="1"/>
      </rPr>
      <t xml:space="preserve">2024</t>
    </r>
    <r>
      <rPr>
        <sz val="10"/>
        <rFont val="Noto Sans CJK SC"/>
        <family val="2"/>
      </rPr>
      <t xml:space="preserve">年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月までの収録のため月次集計に含めていない。輸入額は企業売上ではなく、国別・品目別の統計である。</t>
    </r>
  </si>
  <si>
    <t xml:space="preserve">設定</t>
  </si>
  <si>
    <r>
      <rPr>
        <sz val="10"/>
        <color theme="1"/>
        <rFont val="Arial"/>
        <family val="0"/>
        <charset val="1"/>
      </rPr>
      <t xml:space="preserve">EUR→USD </t>
    </r>
    <r>
      <rPr>
        <sz val="10"/>
        <color theme="1"/>
        <rFont val="Noto Sans CJK SC"/>
        <family val="2"/>
      </rPr>
      <t xml:space="preserve">固定換算レート</t>
    </r>
  </si>
  <si>
    <r>
      <rPr>
        <sz val="10"/>
        <color theme="1"/>
        <rFont val="Arial"/>
        <family val="0"/>
        <charset val="1"/>
      </rPr>
      <t xml:space="preserve">EU</t>
    </r>
    <r>
      <rPr>
        <sz val="10"/>
        <color theme="1"/>
        <rFont val="Noto Sans CJK SC"/>
        <family val="2"/>
      </rPr>
      <t xml:space="preserve">輸入額を</t>
    </r>
    <r>
      <rPr>
        <sz val="10"/>
        <color theme="1"/>
        <rFont val="Arial"/>
        <family val="0"/>
        <charset val="1"/>
      </rPr>
      <t xml:space="preserve">USD</t>
    </r>
    <r>
      <rPr>
        <sz val="10"/>
        <color theme="1"/>
        <rFont val="Noto Sans CJK SC"/>
        <family val="2"/>
      </rPr>
      <t xml:space="preserve">に揃えるための仮定値。四半期ごとの平均為替は使っていない。</t>
    </r>
  </si>
  <si>
    <r>
      <rPr>
        <sz val="10"/>
        <color theme="1"/>
        <rFont val="Noto Sans CJK SC"/>
        <family val="2"/>
      </rPr>
      <t xml:space="preserve">比較用シフト月 </t>
    </r>
    <r>
      <rPr>
        <sz val="10"/>
        <color theme="1"/>
        <rFont val="Arial"/>
        <family val="0"/>
        <charset val="1"/>
      </rPr>
      <t xml:space="preserve">s</t>
    </r>
  </si>
  <si>
    <r>
      <rPr>
        <sz val="10"/>
        <color theme="1"/>
        <rFont val="Noto Sans CJK SC"/>
        <family val="2"/>
      </rPr>
      <t xml:space="preserve">四半期比較シートで使う。正の値は輸入の</t>
    </r>
    <r>
      <rPr>
        <sz val="10"/>
        <color theme="1"/>
        <rFont val="Arial"/>
        <family val="0"/>
        <charset val="1"/>
      </rPr>
      <t xml:space="preserve">3</t>
    </r>
    <r>
      <rPr>
        <sz val="10"/>
        <color theme="1"/>
        <rFont val="Noto Sans CJK SC"/>
        <family val="2"/>
      </rPr>
      <t xml:space="preserve">か月窓を企業の四半期末より後ろへずらす（輸入が遅行）。負は先行。</t>
    </r>
  </si>
  <si>
    <t xml:space="preserve">月次データの行数</t>
  </si>
  <si>
    <t xml:space="preserve">月次集計シートの月の数。月を追加したら範囲も広げる。</t>
  </si>
  <si>
    <t xml:space="preserve">青字は入力値、黒字は数式である。</t>
  </si>
  <si>
    <r>
      <rPr>
        <b val="true"/>
        <sz val="10"/>
        <rFont val="Noto Sans CJK SC"/>
        <family val="2"/>
      </rPr>
      <t xml:space="preserve">四半期比較（設定シートのシフト月</t>
    </r>
    <r>
      <rPr>
        <b val="true"/>
        <sz val="10"/>
        <rFont val="Arial"/>
        <family val="0"/>
        <charset val="1"/>
      </rPr>
      <t xml:space="preserve">s</t>
    </r>
    <r>
      <rPr>
        <b val="true"/>
        <sz val="10"/>
        <rFont val="Noto Sans CJK SC"/>
        <family val="2"/>
      </rPr>
      <t xml:space="preserve">で表示）</t>
    </r>
  </si>
  <si>
    <r>
      <rPr>
        <sz val="10"/>
        <color theme="1"/>
        <rFont val="Noto Sans CJK SC"/>
        <family val="2"/>
      </rPr>
      <t xml:space="preserve">現在の</t>
    </r>
    <r>
      <rPr>
        <sz val="10"/>
        <color theme="1"/>
        <rFont val="Arial"/>
        <family val="0"/>
        <charset val="1"/>
      </rPr>
      <t xml:space="preserve">s</t>
    </r>
  </si>
  <si>
    <t xml:space="preserve">四半期</t>
  </si>
  <si>
    <r>
      <rPr>
        <b val="true"/>
        <sz val="10"/>
        <rFont val="Noto Sans CJK SC"/>
        <family val="2"/>
      </rPr>
      <t xml:space="preserve">韓国</t>
    </r>
    <r>
      <rPr>
        <b val="true"/>
        <sz val="10"/>
        <rFont val="Arial"/>
        <family val="0"/>
        <charset val="1"/>
      </rPr>
      <t xml:space="preserve">QoQ</t>
    </r>
  </si>
  <si>
    <r>
      <rPr>
        <b val="true"/>
        <sz val="10"/>
        <rFont val="Noto Sans CJK SC"/>
        <family val="2"/>
      </rPr>
      <t xml:space="preserve">台湾</t>
    </r>
    <r>
      <rPr>
        <b val="true"/>
        <sz val="10"/>
        <rFont val="Arial"/>
        <family val="0"/>
        <charset val="1"/>
      </rPr>
      <t xml:space="preserve">QoQ</t>
    </r>
  </si>
  <si>
    <t xml:space="preserve">EU27QoQ</t>
  </si>
  <si>
    <r>
      <rPr>
        <b val="true"/>
        <sz val="10"/>
        <rFont val="Noto Sans CJK SC"/>
        <family val="2"/>
      </rPr>
      <t xml:space="preserve">米国</t>
    </r>
    <r>
      <rPr>
        <b val="true"/>
        <sz val="10"/>
        <rFont val="Arial"/>
        <family val="0"/>
        <charset val="1"/>
      </rPr>
      <t xml:space="preserve">QoQ</t>
    </r>
  </si>
  <si>
    <t xml:space="preserve">CORE3 QoQ</t>
  </si>
  <si>
    <t xml:space="preserve">TEL QoQ</t>
  </si>
  <si>
    <t xml:space="preserve">SCREEN QoQ</t>
  </si>
  <si>
    <t xml:space="preserve">KOKUSAI QoQ</t>
  </si>
  <si>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社合計</t>
    </r>
    <r>
      <rPr>
        <b val="true"/>
        <sz val="10"/>
        <rFont val="Arial"/>
        <family val="0"/>
        <charset val="1"/>
      </rPr>
      <t xml:space="preserve">QoQ</t>
    </r>
  </si>
  <si>
    <t xml:space="preserve">2023Q1</t>
  </si>
  <si>
    <t xml:space="preserve">2023Q2</t>
  </si>
  <si>
    <t xml:space="preserve">2023Q3</t>
  </si>
  <si>
    <t xml:space="preserve">2023Q4</t>
  </si>
  <si>
    <t xml:space="preserve">2024Q1</t>
  </si>
  <si>
    <t xml:space="preserve">2024Q2</t>
  </si>
  <si>
    <t xml:space="preserve">2024Q3</t>
  </si>
  <si>
    <t xml:space="preserve">2024Q4</t>
  </si>
  <si>
    <t xml:space="preserve">2025Q1</t>
  </si>
  <si>
    <t xml:space="preserve">2025Q2</t>
  </si>
  <si>
    <t xml:space="preserve">2025Q3</t>
  </si>
  <si>
    <t xml:space="preserve">2025Q4</t>
  </si>
  <si>
    <t xml:space="preserve">2026Q1</t>
  </si>
  <si>
    <t xml:space="preserve">2026Q2</t>
  </si>
  <si>
    <t xml:space="preserve">相関</t>
  </si>
  <si>
    <t xml:space="preserve">TEL</t>
  </si>
  <si>
    <t xml:space="preserve">SCREEN</t>
  </si>
  <si>
    <t xml:space="preserve">KOKUSAI</t>
  </si>
  <si>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社合計</t>
    </r>
  </si>
  <si>
    <t xml:space="preserve">韓国</t>
  </si>
  <si>
    <t xml:space="preserve">台湾</t>
  </si>
  <si>
    <t xml:space="preserve">EU27</t>
  </si>
  <si>
    <t xml:space="preserve">米国</t>
  </si>
  <si>
    <t xml:space="preserve">CORE3</t>
  </si>
  <si>
    <r>
      <rPr>
        <sz val="10"/>
        <color theme="1"/>
        <rFont val="Noto Sans CJK SC"/>
        <family val="2"/>
      </rPr>
      <t xml:space="preserve">使い方：設定シートの</t>
    </r>
    <r>
      <rPr>
        <sz val="10"/>
        <color theme="1"/>
        <rFont val="Arial"/>
        <family val="0"/>
        <charset val="1"/>
      </rPr>
      <t xml:space="preserve">B4</t>
    </r>
    <r>
      <rPr>
        <sz val="10"/>
        <color theme="1"/>
        <rFont val="Noto Sans CJK SC"/>
        <family val="2"/>
      </rPr>
      <t xml:space="preserve">（</t>
    </r>
    <r>
      <rPr>
        <sz val="10"/>
        <color theme="1"/>
        <rFont val="Arial"/>
        <family val="0"/>
        <charset val="1"/>
      </rPr>
      <t xml:space="preserve">s</t>
    </r>
    <r>
      <rPr>
        <sz val="10"/>
        <color theme="1"/>
        <rFont val="Noto Sans CJK SC"/>
        <family val="2"/>
      </rPr>
      <t xml:space="preserve">）を変えると、この表と相関が更新される。</t>
    </r>
  </si>
  <si>
    <t xml:space="preserve">月</t>
  </si>
  <si>
    <t xml:space="preserve">輸入地域</t>
  </si>
  <si>
    <t xml:space="preserve">HS6</t>
  </si>
  <si>
    <t xml:space="preserve">輸入額（通貨単位）</t>
  </si>
  <si>
    <t xml:space="preserve">通貨</t>
  </si>
  <si>
    <r>
      <rPr>
        <b val="true"/>
        <sz val="10"/>
        <rFont val="Arial"/>
        <family val="0"/>
        <charset val="1"/>
      </rPr>
      <t xml:space="preserve">FPD</t>
    </r>
    <r>
      <rPr>
        <b val="true"/>
        <sz val="10"/>
        <rFont val="Noto Sans CJK SC"/>
        <family val="2"/>
      </rPr>
      <t xml:space="preserve">除外フラグ</t>
    </r>
  </si>
  <si>
    <t xml:space="preserve">848610</t>
  </si>
  <si>
    <t xml:space="preserve">EUR</t>
  </si>
  <si>
    <t xml:space="preserve">848620</t>
  </si>
  <si>
    <t xml:space="preserve">848640</t>
  </si>
  <si>
    <t xml:space="preserve">848690</t>
  </si>
  <si>
    <t xml:space="preserve">903082</t>
  </si>
  <si>
    <t xml:space="preserve">903141</t>
  </si>
  <si>
    <t xml:space="preserve">848630</t>
  </si>
  <si>
    <t xml:space="preserve">中国</t>
  </si>
  <si>
    <t xml:space="preserve">USD</t>
  </si>
  <si>
    <t xml:space="preserve">年月</t>
  </si>
  <si>
    <r>
      <rPr>
        <b val="true"/>
        <sz val="10"/>
        <rFont val="Arial"/>
        <family val="0"/>
        <charset val="1"/>
      </rPr>
      <t xml:space="preserve">CCC</t>
    </r>
    <r>
      <rPr>
        <b val="true"/>
        <sz val="10"/>
        <rFont val="Noto Sans CJK SC"/>
        <family val="2"/>
      </rPr>
      <t xml:space="preserve">コード</t>
    </r>
  </si>
  <si>
    <r>
      <rPr>
        <b val="true"/>
        <sz val="10"/>
        <rFont val="Noto Sans CJK SC"/>
        <family val="2"/>
      </rPr>
      <t xml:space="preserve">分析用金額（</t>
    </r>
    <r>
      <rPr>
        <b val="true"/>
        <sz val="10"/>
        <rFont val="Arial"/>
        <family val="0"/>
        <charset val="1"/>
      </rPr>
      <t xml:space="preserve">USD</t>
    </r>
    <r>
      <rPr>
        <b val="true"/>
        <sz val="10"/>
        <rFont val="Noto Sans CJK SC"/>
        <family val="2"/>
      </rPr>
      <t xml:space="preserve">）</t>
    </r>
  </si>
  <si>
    <t xml:space="preserve">利用状態</t>
  </si>
  <si>
    <t xml:space="preserve">8486</t>
  </si>
  <si>
    <t xml:space="preserve">利用可</t>
  </si>
  <si>
    <t xml:space="preserve">84861000201</t>
  </si>
  <si>
    <t xml:space="preserve">秘匿影響・利用除外</t>
  </si>
  <si>
    <t xml:space="preserve">84862000209</t>
  </si>
  <si>
    <t xml:space="preserve">原表欠測</t>
  </si>
  <si>
    <t xml:space="preserve">84862000325</t>
  </si>
  <si>
    <t xml:space="preserve">84862000619</t>
  </si>
  <si>
    <t xml:space="preserve">84862000735</t>
  </si>
  <si>
    <t xml:space="preserve">84862000904</t>
  </si>
  <si>
    <t xml:space="preserve">84864000900</t>
  </si>
  <si>
    <t xml:space="preserve">84869000106</t>
  </si>
  <si>
    <t xml:space="preserve">84869000400</t>
  </si>
  <si>
    <t xml:space="preserve">84869000605</t>
  </si>
  <si>
    <t xml:space="preserve">84869000909</t>
  </si>
  <si>
    <r>
      <rPr>
        <b val="true"/>
        <sz val="10"/>
        <rFont val="Noto Sans CJK SC"/>
        <family val="2"/>
      </rPr>
      <t xml:space="preserve">韓国</t>
    </r>
    <r>
      <rPr>
        <b val="true"/>
        <sz val="10"/>
        <rFont val="Arial"/>
        <family val="0"/>
        <charset val="1"/>
      </rPr>
      <t xml:space="preserve">(USD)</t>
    </r>
  </si>
  <si>
    <t xml:space="preserve">EU27(EUR)</t>
  </si>
  <si>
    <r>
      <rPr>
        <b val="true"/>
        <sz val="10"/>
        <rFont val="Noto Sans CJK SC"/>
        <family val="2"/>
      </rPr>
      <t xml:space="preserve">米国</t>
    </r>
    <r>
      <rPr>
        <b val="true"/>
        <sz val="10"/>
        <rFont val="Arial"/>
        <family val="0"/>
        <charset val="1"/>
      </rPr>
      <t xml:space="preserve">(USD)</t>
    </r>
  </si>
  <si>
    <r>
      <rPr>
        <b val="true"/>
        <sz val="10"/>
        <rFont val="Noto Sans CJK SC"/>
        <family val="2"/>
      </rPr>
      <t xml:space="preserve">台湾</t>
    </r>
    <r>
      <rPr>
        <b val="true"/>
        <sz val="10"/>
        <rFont val="Arial"/>
        <family val="0"/>
        <charset val="1"/>
      </rPr>
      <t xml:space="preserve">(USD)</t>
    </r>
  </si>
  <si>
    <r>
      <rPr>
        <b val="true"/>
        <sz val="10"/>
        <rFont val="Arial"/>
        <family val="0"/>
        <charset val="1"/>
      </rPr>
      <t xml:space="preserve">EU27(USD</t>
    </r>
    <r>
      <rPr>
        <b val="true"/>
        <sz val="10"/>
        <rFont val="Noto Sans CJK SC"/>
        <family val="2"/>
      </rPr>
      <t xml:space="preserve">換算</t>
    </r>
    <r>
      <rPr>
        <b val="true"/>
        <sz val="10"/>
        <rFont val="Arial"/>
        <family val="0"/>
        <charset val="1"/>
      </rPr>
      <t xml:space="preserve">)</t>
    </r>
  </si>
  <si>
    <t xml:space="preserve">CORE3(KR+TW+EU)</t>
  </si>
  <si>
    <r>
      <rPr>
        <b val="true"/>
        <sz val="10"/>
        <rFont val="Noto Sans CJK SC"/>
        <family val="2"/>
      </rPr>
      <t xml:space="preserve">韓国</t>
    </r>
    <r>
      <rPr>
        <b val="true"/>
        <sz val="10"/>
        <rFont val="Arial"/>
        <family val="0"/>
        <charset val="1"/>
      </rPr>
      <t xml:space="preserve">_3M</t>
    </r>
  </si>
  <si>
    <r>
      <rPr>
        <b val="true"/>
        <sz val="10"/>
        <rFont val="Noto Sans CJK SC"/>
        <family val="2"/>
      </rPr>
      <t xml:space="preserve">台湾</t>
    </r>
    <r>
      <rPr>
        <b val="true"/>
        <sz val="10"/>
        <rFont val="Arial"/>
        <family val="0"/>
        <charset val="1"/>
      </rPr>
      <t xml:space="preserve">_3M</t>
    </r>
  </si>
  <si>
    <t xml:space="preserve">EU27_3M</t>
  </si>
  <si>
    <r>
      <rPr>
        <b val="true"/>
        <sz val="10"/>
        <rFont val="Noto Sans CJK SC"/>
        <family val="2"/>
      </rPr>
      <t xml:space="preserve">米国</t>
    </r>
    <r>
      <rPr>
        <b val="true"/>
        <sz val="10"/>
        <rFont val="Arial"/>
        <family val="0"/>
        <charset val="1"/>
      </rPr>
      <t xml:space="preserve">_3M</t>
    </r>
  </si>
  <si>
    <t xml:space="preserve">CORE3_3M</t>
  </si>
  <si>
    <t xml:space="preserve">企業売上（暦四半期・億円）。青字は決算資料から転記した入力値</t>
  </si>
  <si>
    <t xml:space="preserve">東京エレクトロン</t>
  </si>
  <si>
    <t xml:space="preserve">SCREEN_SPE</t>
  </si>
  <si>
    <t xml:space="preserve">TEL_QoQ</t>
  </si>
  <si>
    <t xml:space="preserve">SCREEN_QoQ</t>
  </si>
  <si>
    <t xml:space="preserve">KOKUSAI_QoQ</t>
  </si>
  <si>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社合計</t>
    </r>
    <r>
      <rPr>
        <b val="true"/>
        <sz val="10"/>
        <rFont val="Arial"/>
        <family val="0"/>
        <charset val="1"/>
      </rPr>
      <t xml:space="preserve">_QoQ</t>
    </r>
  </si>
  <si>
    <r>
      <rPr>
        <sz val="10"/>
        <color theme="1"/>
        <rFont val="Arial"/>
        <family val="0"/>
        <charset val="1"/>
      </rPr>
      <t xml:space="preserve">QoQ</t>
    </r>
    <r>
      <rPr>
        <sz val="10"/>
        <color theme="1"/>
        <rFont val="Noto Sans CJK SC"/>
        <family val="2"/>
      </rPr>
      <t xml:space="preserve">は自然対数の差 </t>
    </r>
    <r>
      <rPr>
        <sz val="10"/>
        <color theme="1"/>
        <rFont val="Arial"/>
        <family val="0"/>
        <charset val="1"/>
      </rPr>
      <t xml:space="preserve">LN(</t>
    </r>
    <r>
      <rPr>
        <sz val="10"/>
        <color theme="1"/>
        <rFont val="Noto Sans CJK SC"/>
        <family val="2"/>
      </rPr>
      <t xml:space="preserve">今期</t>
    </r>
    <r>
      <rPr>
        <sz val="10"/>
        <color theme="1"/>
        <rFont val="Arial"/>
        <family val="0"/>
        <charset val="1"/>
      </rPr>
      <t xml:space="preserve">/</t>
    </r>
    <r>
      <rPr>
        <sz val="10"/>
        <color theme="1"/>
        <rFont val="Noto Sans CJK SC"/>
        <family val="2"/>
      </rPr>
      <t xml:space="preserve">前期</t>
    </r>
    <r>
      <rPr>
        <sz val="10"/>
        <color theme="1"/>
        <rFont val="Arial"/>
        <family val="0"/>
        <charset val="1"/>
      </rPr>
      <t xml:space="preserve">)</t>
    </r>
    <r>
      <rPr>
        <sz val="10"/>
        <color theme="1"/>
        <rFont val="Noto Sans CJK SC"/>
        <family val="2"/>
      </rPr>
      <t xml:space="preserve">。</t>
    </r>
    <r>
      <rPr>
        <sz val="10"/>
        <color theme="1"/>
        <rFont val="Arial"/>
        <family val="0"/>
        <charset val="1"/>
      </rPr>
      <t xml:space="preserve">KOKUSAI</t>
    </r>
    <r>
      <rPr>
        <sz val="10"/>
        <color theme="1"/>
        <rFont val="Noto Sans CJK SC"/>
        <family val="2"/>
      </rPr>
      <t xml:space="preserve">の</t>
    </r>
    <r>
      <rPr>
        <sz val="10"/>
        <color theme="1"/>
        <rFont val="Arial"/>
        <family val="0"/>
        <charset val="1"/>
      </rPr>
      <t xml:space="preserve">2023</t>
    </r>
    <r>
      <rPr>
        <sz val="10"/>
        <color theme="1"/>
        <rFont val="Noto Sans CJK SC"/>
        <family val="2"/>
      </rPr>
      <t xml:space="preserve">年</t>
    </r>
    <r>
      <rPr>
        <sz val="10"/>
        <color theme="1"/>
        <rFont val="Arial"/>
        <family val="0"/>
        <charset val="1"/>
      </rPr>
      <t xml:space="preserve">1</t>
    </r>
    <r>
      <rPr>
        <sz val="10"/>
        <color theme="1"/>
        <rFont val="Noto Sans CJK SC"/>
        <family val="2"/>
      </rPr>
      <t xml:space="preserve">〜</t>
    </r>
    <r>
      <rPr>
        <sz val="10"/>
        <color theme="1"/>
        <rFont val="Arial"/>
        <family val="0"/>
        <charset val="1"/>
      </rPr>
      <t xml:space="preserve">3</t>
    </r>
    <r>
      <rPr>
        <sz val="10"/>
        <color theme="1"/>
        <rFont val="Noto Sans CJK SC"/>
        <family val="2"/>
      </rPr>
      <t xml:space="preserve">月は資料で確認できず空欄。</t>
    </r>
  </si>
  <si>
    <r>
      <rPr>
        <b val="true"/>
        <sz val="10"/>
        <rFont val="Noto Sans CJK SC"/>
        <family val="2"/>
      </rPr>
      <t xml:space="preserve">輸入額の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か月窓</t>
    </r>
    <r>
      <rPr>
        <b val="true"/>
        <sz val="10"/>
        <rFont val="Arial"/>
        <family val="0"/>
        <charset val="1"/>
      </rPr>
      <t xml:space="preserve">QoQ</t>
    </r>
    <r>
      <rPr>
        <b val="true"/>
        <sz val="10"/>
        <rFont val="Noto Sans CJK SC"/>
        <family val="2"/>
      </rPr>
      <t xml:space="preserve">（シフト別）。ラグ相関シートの元データ</t>
    </r>
  </si>
  <si>
    <t xml:space="preserve">KR</t>
  </si>
  <si>
    <t xml:space="preserve">TW</t>
  </si>
  <si>
    <t xml:space="preserve">EU</t>
  </si>
  <si>
    <t xml:space="preserve">US</t>
  </si>
  <si>
    <r>
      <rPr>
        <sz val="10"/>
        <color theme="1"/>
        <rFont val="Noto Sans CJK SC"/>
        <family val="2"/>
      </rPr>
      <t xml:space="preserve">四半期末の月番号</t>
    </r>
    <r>
      <rPr>
        <sz val="10"/>
        <color theme="1"/>
        <rFont val="Arial"/>
        <family val="0"/>
        <charset val="1"/>
      </rPr>
      <t xml:space="preserve">e</t>
    </r>
  </si>
  <si>
    <t xml:space="preserve">KR_s-6</t>
  </si>
  <si>
    <t xml:space="preserve">KR_s-5</t>
  </si>
  <si>
    <t xml:space="preserve">KR_s-4</t>
  </si>
  <si>
    <t xml:space="preserve">KR_s-3</t>
  </si>
  <si>
    <t xml:space="preserve">KR_s-2</t>
  </si>
  <si>
    <t xml:space="preserve">KR_s-1</t>
  </si>
  <si>
    <t xml:space="preserve">KR_s+0</t>
  </si>
  <si>
    <t xml:space="preserve">KR_s+1</t>
  </si>
  <si>
    <t xml:space="preserve">KR_s+2</t>
  </si>
  <si>
    <t xml:space="preserve">KR_s+3</t>
  </si>
  <si>
    <t xml:space="preserve">KR_s+4</t>
  </si>
  <si>
    <t xml:space="preserve">KR_s+5</t>
  </si>
  <si>
    <t xml:space="preserve">KR_s+6</t>
  </si>
  <si>
    <t xml:space="preserve">TW_s-6</t>
  </si>
  <si>
    <t xml:space="preserve">TW_s-5</t>
  </si>
  <si>
    <t xml:space="preserve">TW_s-4</t>
  </si>
  <si>
    <t xml:space="preserve">TW_s-3</t>
  </si>
  <si>
    <t xml:space="preserve">TW_s-2</t>
  </si>
  <si>
    <t xml:space="preserve">TW_s-1</t>
  </si>
  <si>
    <t xml:space="preserve">TW_s+0</t>
  </si>
  <si>
    <t xml:space="preserve">TW_s+1</t>
  </si>
  <si>
    <t xml:space="preserve">TW_s+2</t>
  </si>
  <si>
    <t xml:space="preserve">TW_s+3</t>
  </si>
  <si>
    <t xml:space="preserve">TW_s+4</t>
  </si>
  <si>
    <t xml:space="preserve">TW_s+5</t>
  </si>
  <si>
    <t xml:space="preserve">TW_s+6</t>
  </si>
  <si>
    <t xml:space="preserve">EU_s-6</t>
  </si>
  <si>
    <t xml:space="preserve">EU_s-5</t>
  </si>
  <si>
    <t xml:space="preserve">EU_s-4</t>
  </si>
  <si>
    <t xml:space="preserve">EU_s-3</t>
  </si>
  <si>
    <t xml:space="preserve">EU_s-2</t>
  </si>
  <si>
    <t xml:space="preserve">EU_s-1</t>
  </si>
  <si>
    <t xml:space="preserve">EU_s+0</t>
  </si>
  <si>
    <t xml:space="preserve">EU_s+1</t>
  </si>
  <si>
    <t xml:space="preserve">EU_s+2</t>
  </si>
  <si>
    <t xml:space="preserve">EU_s+3</t>
  </si>
  <si>
    <t xml:space="preserve">EU_s+4</t>
  </si>
  <si>
    <t xml:space="preserve">EU_s+5</t>
  </si>
  <si>
    <t xml:space="preserve">EU_s+6</t>
  </si>
  <si>
    <t xml:space="preserve">US_s-6</t>
  </si>
  <si>
    <t xml:space="preserve">US_s-5</t>
  </si>
  <si>
    <t xml:space="preserve">US_s-4</t>
  </si>
  <si>
    <t xml:space="preserve">US_s-3</t>
  </si>
  <si>
    <t xml:space="preserve">US_s-2</t>
  </si>
  <si>
    <t xml:space="preserve">US_s-1</t>
  </si>
  <si>
    <t xml:space="preserve">US_s+0</t>
  </si>
  <si>
    <t xml:space="preserve">US_s+1</t>
  </si>
  <si>
    <t xml:space="preserve">US_s+2</t>
  </si>
  <si>
    <t xml:space="preserve">US_s+3</t>
  </si>
  <si>
    <t xml:space="preserve">US_s+4</t>
  </si>
  <si>
    <t xml:space="preserve">US_s+5</t>
  </si>
  <si>
    <t xml:space="preserve">US_s+6</t>
  </si>
  <si>
    <t xml:space="preserve">CORE3_s-6</t>
  </si>
  <si>
    <t xml:space="preserve">CORE3_s-5</t>
  </si>
  <si>
    <t xml:space="preserve">CORE3_s-4</t>
  </si>
  <si>
    <t xml:space="preserve">CORE3_s-3</t>
  </si>
  <si>
    <t xml:space="preserve">CORE3_s-2</t>
  </si>
  <si>
    <t xml:space="preserve">CORE3_s-1</t>
  </si>
  <si>
    <t xml:space="preserve">CORE3_s+0</t>
  </si>
  <si>
    <t xml:space="preserve">CORE3_s+1</t>
  </si>
  <si>
    <t xml:space="preserve">CORE3_s+2</t>
  </si>
  <si>
    <t xml:space="preserve">CORE3_s+3</t>
  </si>
  <si>
    <t xml:space="preserve">CORE3_s+4</t>
  </si>
  <si>
    <t xml:space="preserve">CORE3_s+5</t>
  </si>
  <si>
    <t xml:space="preserve">CORE3_s+6</t>
  </si>
  <si>
    <r>
      <rPr>
        <b val="true"/>
        <sz val="10"/>
        <rFont val="Noto Sans CJK SC"/>
        <family val="2"/>
      </rPr>
      <t xml:space="preserve">ラグ相関（</t>
    </r>
    <r>
      <rPr>
        <b val="true"/>
        <sz val="10"/>
        <rFont val="Arial"/>
        <family val="0"/>
        <charset val="1"/>
      </rPr>
      <t xml:space="preserve">QoQ</t>
    </r>
    <r>
      <rPr>
        <b val="true"/>
        <sz val="10"/>
        <rFont val="Noto Sans CJK SC"/>
        <family val="2"/>
      </rPr>
      <t xml:space="preserve">対数差のピアソン相関）。行＝シフト月、正は輸入が企業売上より遅れる</t>
    </r>
  </si>
  <si>
    <t xml:space="preserve">シフト月</t>
  </si>
  <si>
    <r>
      <rPr>
        <b val="true"/>
        <sz val="10"/>
        <rFont val="Noto Sans CJK SC"/>
        <family val="2"/>
      </rPr>
      <t xml:space="preserve">標本数</t>
    </r>
    <r>
      <rPr>
        <b val="true"/>
        <sz val="10"/>
        <rFont val="Arial"/>
        <family val="0"/>
        <charset val="1"/>
      </rPr>
      <t xml:space="preserve">N</t>
    </r>
    <r>
      <rPr>
        <b val="true"/>
        <sz val="10"/>
        <rFont val="Noto Sans CJK SC"/>
        <family val="2"/>
      </rPr>
      <t xml:space="preserve">（相関に使った四半期数）</t>
    </r>
  </si>
  <si>
    <t xml:space="preserve">最大相関のシフト月</t>
  </si>
  <si>
    <t xml:space="preserve">最大相関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</si>
</sst>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0"/>
    <numFmt numFmtId="166" formatCode="0.00"/>
    <numFmt numFmtId="167" formatCode="yyyy\-mm"/>
    <numFmt numFmtId="168" formatCode="#,##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3"/>
      <name val="Noto Sans CJK SC"/>
      <family val="2"/>
    </font>
    <font>
      <sz val="10"/>
      <color theme="1"/>
      <name val="Arial"/>
      <family val="0"/>
      <charset val="1"/>
    </font>
    <font>
      <b val="true"/>
      <sz val="10"/>
      <name val="Noto Sans CJK SC"/>
      <family val="2"/>
    </font>
    <font>
      <sz val="10"/>
      <name val="Noto Sans CJK SC"/>
      <family val="2"/>
    </font>
    <font>
      <sz val="10"/>
      <name val="Arial"/>
      <family val="0"/>
      <charset val="1"/>
    </font>
    <font>
      <sz val="10"/>
      <color theme="1"/>
      <name val="Noto Sans CJK SC"/>
      <family val="2"/>
    </font>
    <font>
      <sz val="10"/>
      <color rgb="FF0000FF"/>
      <name val="Arial"/>
      <family val="0"/>
      <charset val="1"/>
    </font>
    <font>
      <b val="true"/>
      <sz val="18"/>
      <color rgb="FF000000"/>
      <name val="Noto Sans CJK SC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Noto Sans CJK SC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BE4B48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8B855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台湾輸入 × 各社（QoQ相関）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ラグ相関!F3</c:f>
              <c:strCache>
                <c:ptCount val="1"/>
                <c:pt idx="0">
                  <c:v>TEL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ラグ相関!$A$4:$A$16</c:f>
              <c:strCache>
                <c:ptCount val="13"/>
                <c:pt idx="0">
                  <c:v>-6</c:v>
                </c:pt>
                <c:pt idx="1">
                  <c:v>-5</c:v>
                </c:pt>
                <c:pt idx="2">
                  <c:v>-4</c:v>
                </c:pt>
                <c:pt idx="3">
                  <c:v>-3</c:v>
                </c:pt>
                <c:pt idx="4">
                  <c:v>-2</c:v>
                </c:pt>
                <c:pt idx="5">
                  <c:v>-1</c:v>
                </c:pt>
                <c:pt idx="6">
                  <c:v>0</c:v>
                </c:pt>
                <c:pt idx="7">
                  <c:v>1</c:v>
                </c:pt>
                <c:pt idx="8">
                  <c:v>2</c:v>
                </c:pt>
                <c:pt idx="9">
                  <c:v>3</c:v>
                </c:pt>
                <c:pt idx="10">
                  <c:v>4</c:v>
                </c:pt>
                <c:pt idx="11">
                  <c:v>5</c:v>
                </c:pt>
                <c:pt idx="12">
                  <c:v>6</c:v>
                </c:pt>
              </c:strCache>
            </c:strRef>
          </c:cat>
          <c:val>
            <c:numRef>
              <c:f>ラグ相関!$F$4:$F$16</c:f>
              <c:numCache>
                <c:formatCode>0.00</c:formatCode>
                <c:ptCount val="13"/>
                <c:pt idx="0">
                  <c:v>-0.368321324136783</c:v>
                </c:pt>
                <c:pt idx="1">
                  <c:v>-0.299352422299688</c:v>
                </c:pt>
                <c:pt idx="2">
                  <c:v>-0.228831584261488</c:v>
                </c:pt>
                <c:pt idx="3">
                  <c:v>-0.0073078177960911</c:v>
                </c:pt>
                <c:pt idx="4">
                  <c:v>-0.136795818186006</c:v>
                </c:pt>
                <c:pt idx="5">
                  <c:v>-0.29703547102318</c:v>
                </c:pt>
                <c:pt idx="6">
                  <c:v>0.107764509504146</c:v>
                </c:pt>
                <c:pt idx="7">
                  <c:v>0.268501510549153</c:v>
                </c:pt>
                <c:pt idx="8">
                  <c:v>0.791902909550592</c:v>
                </c:pt>
                <c:pt idx="9">
                  <c:v>0.902357863772355</c:v>
                </c:pt>
                <c:pt idx="10">
                  <c:v>0.758192790445411</c:v>
                </c:pt>
                <c:pt idx="11">
                  <c:v>0.345550929265011</c:v>
                </c:pt>
                <c:pt idx="12">
                  <c:v>-0.25436587138487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ラグ相関!G3</c:f>
              <c:strCache>
                <c:ptCount val="1"/>
                <c:pt idx="0">
                  <c:v>SCREEN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ラグ相関!$A$4:$A$16</c:f>
              <c:strCache>
                <c:ptCount val="13"/>
                <c:pt idx="0">
                  <c:v>-6</c:v>
                </c:pt>
                <c:pt idx="1">
                  <c:v>-5</c:v>
                </c:pt>
                <c:pt idx="2">
                  <c:v>-4</c:v>
                </c:pt>
                <c:pt idx="3">
                  <c:v>-3</c:v>
                </c:pt>
                <c:pt idx="4">
                  <c:v>-2</c:v>
                </c:pt>
                <c:pt idx="5">
                  <c:v>-1</c:v>
                </c:pt>
                <c:pt idx="6">
                  <c:v>0</c:v>
                </c:pt>
                <c:pt idx="7">
                  <c:v>1</c:v>
                </c:pt>
                <c:pt idx="8">
                  <c:v>2</c:v>
                </c:pt>
                <c:pt idx="9">
                  <c:v>3</c:v>
                </c:pt>
                <c:pt idx="10">
                  <c:v>4</c:v>
                </c:pt>
                <c:pt idx="11">
                  <c:v>5</c:v>
                </c:pt>
                <c:pt idx="12">
                  <c:v>6</c:v>
                </c:pt>
              </c:strCache>
            </c:strRef>
          </c:cat>
          <c:val>
            <c:numRef>
              <c:f>ラグ相関!$G$4:$G$16</c:f>
              <c:numCache>
                <c:formatCode>0.00</c:formatCode>
                <c:ptCount val="13"/>
                <c:pt idx="0">
                  <c:v>-0.383700474607359</c:v>
                </c:pt>
                <c:pt idx="1">
                  <c:v>-0.540370352010014</c:v>
                </c:pt>
                <c:pt idx="2">
                  <c:v>-0.19002725342616</c:v>
                </c:pt>
                <c:pt idx="3">
                  <c:v>-0.12871174667142</c:v>
                </c:pt>
                <c:pt idx="4">
                  <c:v>-0.280443252260101</c:v>
                </c:pt>
                <c:pt idx="5">
                  <c:v>-0.640753584424488</c:v>
                </c:pt>
                <c:pt idx="6">
                  <c:v>-0.253996613956098</c:v>
                </c:pt>
                <c:pt idx="7">
                  <c:v>0.0558730841717174</c:v>
                </c:pt>
                <c:pt idx="8">
                  <c:v>0.44941464091561</c:v>
                </c:pt>
                <c:pt idx="9">
                  <c:v>0.842991158590962</c:v>
                </c:pt>
                <c:pt idx="10">
                  <c:v>0.812638113746858</c:v>
                </c:pt>
                <c:pt idx="11">
                  <c:v>0.642064478848708</c:v>
                </c:pt>
                <c:pt idx="12">
                  <c:v>-0.147585581268069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ラグ相関!H3</c:f>
              <c:strCache>
                <c:ptCount val="1"/>
                <c:pt idx="0">
                  <c:v>KOKUSAI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ラグ相関!$A$4:$A$16</c:f>
              <c:strCache>
                <c:ptCount val="13"/>
                <c:pt idx="0">
                  <c:v>-6</c:v>
                </c:pt>
                <c:pt idx="1">
                  <c:v>-5</c:v>
                </c:pt>
                <c:pt idx="2">
                  <c:v>-4</c:v>
                </c:pt>
                <c:pt idx="3">
                  <c:v>-3</c:v>
                </c:pt>
                <c:pt idx="4">
                  <c:v>-2</c:v>
                </c:pt>
                <c:pt idx="5">
                  <c:v>-1</c:v>
                </c:pt>
                <c:pt idx="6">
                  <c:v>0</c:v>
                </c:pt>
                <c:pt idx="7">
                  <c:v>1</c:v>
                </c:pt>
                <c:pt idx="8">
                  <c:v>2</c:v>
                </c:pt>
                <c:pt idx="9">
                  <c:v>3</c:v>
                </c:pt>
                <c:pt idx="10">
                  <c:v>4</c:v>
                </c:pt>
                <c:pt idx="11">
                  <c:v>5</c:v>
                </c:pt>
                <c:pt idx="12">
                  <c:v>6</c:v>
                </c:pt>
              </c:strCache>
            </c:strRef>
          </c:cat>
          <c:val>
            <c:numRef>
              <c:f>ラグ相関!$H$4:$H$16</c:f>
              <c:numCache>
                <c:formatCode>0.00</c:formatCode>
                <c:ptCount val="13"/>
                <c:pt idx="0">
                  <c:v>0.243126022898872</c:v>
                </c:pt>
                <c:pt idx="1">
                  <c:v>0.195243465572086</c:v>
                </c:pt>
                <c:pt idx="2">
                  <c:v>-0.252861875335691</c:v>
                </c:pt>
                <c:pt idx="3">
                  <c:v>-0.485428494648325</c:v>
                </c:pt>
                <c:pt idx="4">
                  <c:v>-0.388963886342522</c:v>
                </c:pt>
                <c:pt idx="5">
                  <c:v>-0.323422377940079</c:v>
                </c:pt>
                <c:pt idx="6">
                  <c:v>-0.156568834200494</c:v>
                </c:pt>
                <c:pt idx="7">
                  <c:v>-0.109383170262728</c:v>
                </c:pt>
                <c:pt idx="8">
                  <c:v>0.196144291406724</c:v>
                </c:pt>
                <c:pt idx="9">
                  <c:v>0.204842788084166</c:v>
                </c:pt>
                <c:pt idx="10">
                  <c:v>0.224160703942159</c:v>
                </c:pt>
                <c:pt idx="11">
                  <c:v>-0.205210722729325</c:v>
                </c:pt>
                <c:pt idx="12">
                  <c:v>-0.20219975526315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0122185"/>
        <c:axId val="25585380"/>
      </c:lineChart>
      <c:catAx>
        <c:axId val="8012218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シフト月（正＝輸入が遅行）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585380"/>
        <c:crosses val="autoZero"/>
        <c:auto val="1"/>
        <c:lblAlgn val="ctr"/>
        <c:lblOffset val="100"/>
        <c:noMultiLvlLbl val="0"/>
      </c:catAx>
      <c:valAx>
        <c:axId val="2558538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相関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12218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22</xdr:col>
      <xdr:colOff>0</xdr:colOff>
      <xdr:row>2</xdr:row>
      <xdr:rowOff>0</xdr:rowOff>
    </xdr:from>
    <xdr:to>
      <xdr:col>31</xdr:col>
      <xdr:colOff>600480</xdr:colOff>
      <xdr:row>19</xdr:row>
      <xdr:rowOff>1080</xdr:rowOff>
    </xdr:to>
    <xdr:graphicFrame>
      <xdr:nvGraphicFramePr>
        <xdr:cNvPr id="0" name="Chart 1"/>
        <xdr:cNvGraphicFramePr/>
      </xdr:nvGraphicFramePr>
      <xdr:xfrm>
        <a:off x="21850200" y="38088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110"/>
  </cols>
  <sheetData>
    <row r="1" customFormat="false" ht="20.1" hidden="false" customHeight="false" outlineLevel="0" collapsed="false">
      <c r="A1" s="1"/>
      <c r="B1" s="2" t="s">
        <v>0</v>
      </c>
      <c r="C1" s="3"/>
    </row>
    <row r="2" customFormat="false" ht="29.85" hidden="false" customHeight="false" outlineLevel="0" collapsed="false">
      <c r="A2" s="1"/>
      <c r="B2" s="4" t="s">
        <v>1</v>
      </c>
      <c r="C2" s="5" t="s">
        <v>2</v>
      </c>
    </row>
    <row r="3" customFormat="false" ht="26.85" hidden="false" customHeight="false" outlineLevel="0" collapsed="false">
      <c r="A3" s="1"/>
      <c r="B3" s="6" t="s">
        <v>3</v>
      </c>
      <c r="C3" s="7" t="s">
        <v>4</v>
      </c>
    </row>
    <row r="4" customFormat="false" ht="15" hidden="false" customHeight="false" outlineLevel="0" collapsed="false">
      <c r="A4" s="1"/>
      <c r="B4" s="6" t="s">
        <v>5</v>
      </c>
      <c r="C4" s="7" t="s">
        <v>6</v>
      </c>
    </row>
    <row r="5" customFormat="false" ht="15" hidden="false" customHeight="false" outlineLevel="0" collapsed="false">
      <c r="A5" s="1"/>
      <c r="B5" s="6"/>
      <c r="C5" s="3"/>
    </row>
    <row r="6" customFormat="false" ht="29.85" hidden="false" customHeight="false" outlineLevel="0" collapsed="false">
      <c r="A6" s="1" t="s">
        <v>7</v>
      </c>
      <c r="B6" s="4" t="s">
        <v>8</v>
      </c>
      <c r="C6" s="5" t="s">
        <v>9</v>
      </c>
    </row>
    <row r="7" customFormat="false" ht="29.85" hidden="false" customHeight="false" outlineLevel="0" collapsed="false">
      <c r="A7" s="1" t="s">
        <v>10</v>
      </c>
      <c r="B7" s="4" t="s">
        <v>11</v>
      </c>
      <c r="C7" s="7" t="s">
        <v>12</v>
      </c>
    </row>
    <row r="8" customFormat="false" ht="15" hidden="false" customHeight="false" outlineLevel="0" collapsed="false">
      <c r="A8" s="1"/>
      <c r="B8" s="6"/>
      <c r="C8" s="7" t="s">
        <v>13</v>
      </c>
    </row>
    <row r="9" customFormat="false" ht="29.85" hidden="false" customHeight="false" outlineLevel="0" collapsed="false">
      <c r="A9" s="1"/>
      <c r="B9" s="6"/>
      <c r="C9" s="7" t="s">
        <v>14</v>
      </c>
    </row>
    <row r="10" customFormat="false" ht="15" hidden="false" customHeight="false" outlineLevel="0" collapsed="false">
      <c r="A10" s="1" t="s">
        <v>15</v>
      </c>
      <c r="B10" s="4" t="s">
        <v>16</v>
      </c>
      <c r="C10" s="5" t="s">
        <v>17</v>
      </c>
    </row>
    <row r="11" customFormat="false" ht="15" hidden="false" customHeight="false" outlineLevel="0" collapsed="false">
      <c r="A11" s="1" t="s">
        <v>18</v>
      </c>
      <c r="B11" s="4" t="s">
        <v>19</v>
      </c>
      <c r="C11" s="5" t="s">
        <v>20</v>
      </c>
    </row>
    <row r="12" customFormat="false" ht="44" hidden="false" customHeight="false" outlineLevel="0" collapsed="false">
      <c r="A12" s="1"/>
      <c r="B12" s="6"/>
      <c r="C12" s="7" t="s">
        <v>21</v>
      </c>
    </row>
    <row r="13" customFormat="false" ht="15" hidden="false" customHeight="false" outlineLevel="0" collapsed="false">
      <c r="A13" s="1"/>
      <c r="B13" s="6"/>
      <c r="C13" s="5" t="s">
        <v>22</v>
      </c>
    </row>
    <row r="14" customFormat="false" ht="44" hidden="false" customHeight="false" outlineLevel="0" collapsed="false">
      <c r="A14" s="1"/>
      <c r="B14" s="6"/>
      <c r="C14" s="5" t="s">
        <v>23</v>
      </c>
    </row>
    <row r="15" customFormat="false" ht="15" hidden="false" customHeight="false" outlineLevel="0" collapsed="false">
      <c r="A15" s="1"/>
      <c r="B15" s="6"/>
      <c r="C15" s="7" t="s">
        <v>24</v>
      </c>
    </row>
    <row r="16" customFormat="false" ht="29.85" hidden="false" customHeight="false" outlineLevel="0" collapsed="false">
      <c r="A16" s="1" t="s">
        <v>25</v>
      </c>
      <c r="B16" s="1" t="s">
        <v>26</v>
      </c>
      <c r="C16" s="5" t="s">
        <v>27</v>
      </c>
    </row>
    <row r="17" customFormat="false" ht="29.85" hidden="false" customHeight="false" outlineLevel="0" collapsed="false">
      <c r="A17" s="1" t="s">
        <v>28</v>
      </c>
      <c r="B17" s="4" t="s">
        <v>29</v>
      </c>
      <c r="C17" s="5" t="s">
        <v>30</v>
      </c>
    </row>
    <row r="18" customFormat="false" ht="29.85" hidden="false" customHeight="false" outlineLevel="0" collapsed="false">
      <c r="A18" s="1"/>
      <c r="B18" s="6"/>
      <c r="C18" s="5" t="s">
        <v>31</v>
      </c>
    </row>
    <row r="19" customFormat="false" ht="15" hidden="false" customHeight="false" outlineLevel="0" collapsed="false">
      <c r="A19" s="1" t="s">
        <v>32</v>
      </c>
      <c r="B19" s="4" t="s">
        <v>33</v>
      </c>
      <c r="C19" s="5" t="s">
        <v>34</v>
      </c>
    </row>
    <row r="20" customFormat="false" ht="26.85" hidden="false" customHeight="false" outlineLevel="0" collapsed="false">
      <c r="A20" s="1"/>
      <c r="B20" s="6"/>
      <c r="C20" s="7" t="s">
        <v>35</v>
      </c>
    </row>
    <row r="21" customFormat="false" ht="29.85" hidden="false" customHeight="false" outlineLevel="0" collapsed="false">
      <c r="A21" s="1"/>
      <c r="B21" s="6"/>
      <c r="C21" s="5" t="s">
        <v>36</v>
      </c>
    </row>
    <row r="22" customFormat="false" ht="29.85" hidden="false" customHeight="false" outlineLevel="0" collapsed="false">
      <c r="A22" s="1" t="s">
        <v>37</v>
      </c>
      <c r="B22" s="4" t="s">
        <v>38</v>
      </c>
      <c r="C22" s="5" t="s">
        <v>39</v>
      </c>
    </row>
    <row r="23" customFormat="false" ht="29.85" hidden="false" customHeight="false" outlineLevel="0" collapsed="false">
      <c r="A23" s="1"/>
      <c r="B23" s="6"/>
      <c r="C23" s="5" t="s">
        <v>40</v>
      </c>
    </row>
    <row r="24" customFormat="false" ht="29.85" hidden="false" customHeight="false" outlineLevel="0" collapsed="false">
      <c r="A24" s="1" t="s">
        <v>41</v>
      </c>
      <c r="B24" s="4" t="s">
        <v>42</v>
      </c>
      <c r="C24" s="5" t="s">
        <v>43</v>
      </c>
    </row>
    <row r="25" customFormat="false" ht="29.85" hidden="false" customHeight="false" outlineLevel="0" collapsed="false">
      <c r="A25" s="1"/>
      <c r="B25" s="6"/>
      <c r="C25" s="5" t="s">
        <v>44</v>
      </c>
    </row>
    <row r="26" customFormat="false" ht="15" hidden="false" customHeight="false" outlineLevel="0" collapsed="false">
      <c r="A26" s="1" t="s">
        <v>45</v>
      </c>
      <c r="B26" s="4" t="s">
        <v>46</v>
      </c>
      <c r="C26" s="5" t="s">
        <v>47</v>
      </c>
    </row>
    <row r="27" customFormat="false" ht="44" hidden="false" customHeight="false" outlineLevel="0" collapsed="false">
      <c r="A27" s="1" t="s">
        <v>48</v>
      </c>
      <c r="B27" s="4" t="s">
        <v>49</v>
      </c>
      <c r="C27" s="7" t="s">
        <v>50</v>
      </c>
    </row>
    <row r="28" customFormat="false" ht="29.85" hidden="false" customHeight="false" outlineLevel="0" collapsed="false">
      <c r="A28" s="1" t="s">
        <v>51</v>
      </c>
      <c r="B28" s="4" t="s">
        <v>52</v>
      </c>
      <c r="C28" s="5" t="s">
        <v>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4"/>
    <col collapsed="false" customWidth="true" hidden="false" outlineLevel="0" max="3" min="3" style="0" width="90"/>
    <col collapsed="false" customWidth="true" hidden="false" outlineLevel="0" max="23" min="4" style="0" width="14"/>
  </cols>
  <sheetData>
    <row r="1" customFormat="false" ht="15" hidden="false" customHeight="false" outlineLevel="0" collapsed="false">
      <c r="A1" s="4" t="s">
        <v>54</v>
      </c>
      <c r="B1" s="3"/>
      <c r="C1" s="3"/>
    </row>
    <row r="2" customFormat="false" ht="15" hidden="false" customHeight="false" outlineLevel="0" collapsed="false">
      <c r="A2" s="3"/>
      <c r="B2" s="3"/>
      <c r="C2" s="3"/>
    </row>
    <row r="3" customFormat="false" ht="15" hidden="false" customHeight="false" outlineLevel="0" collapsed="false">
      <c r="A3" s="3" t="s">
        <v>55</v>
      </c>
      <c r="B3" s="8" t="n">
        <v>1.1</v>
      </c>
      <c r="C3" s="3" t="s">
        <v>56</v>
      </c>
    </row>
    <row r="4" customFormat="false" ht="15" hidden="false" customHeight="false" outlineLevel="0" collapsed="false">
      <c r="A4" s="9" t="s">
        <v>57</v>
      </c>
      <c r="B4" s="8" t="n">
        <v>3</v>
      </c>
      <c r="C4" s="9" t="s">
        <v>58</v>
      </c>
    </row>
    <row r="5" customFormat="false" ht="15" hidden="false" customHeight="false" outlineLevel="0" collapsed="false">
      <c r="A5" s="9" t="s">
        <v>59</v>
      </c>
      <c r="B5" s="3" t="n">
        <f aca="false">COUNT(月次集計!A2:A45)</f>
        <v>44</v>
      </c>
      <c r="C5" s="9" t="s">
        <v>60</v>
      </c>
    </row>
    <row r="6" customFormat="false" ht="15" hidden="false" customHeight="false" outlineLevel="0" collapsed="false">
      <c r="A6" s="3"/>
      <c r="B6" s="3"/>
      <c r="C6" s="3"/>
    </row>
    <row r="7" customFormat="false" ht="15" hidden="false" customHeight="false" outlineLevel="0" collapsed="false">
      <c r="A7" s="9" t="s">
        <v>61</v>
      </c>
      <c r="B7" s="3"/>
      <c r="C7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3" min="2" style="0" width="14"/>
  </cols>
  <sheetData>
    <row r="1" customFormat="false" ht="15" hidden="false" customHeight="false" outlineLevel="0" collapsed="false">
      <c r="A1" s="4" t="s">
        <v>62</v>
      </c>
      <c r="B1" s="3"/>
      <c r="C1" s="3"/>
      <c r="D1" s="3"/>
      <c r="E1" s="3"/>
      <c r="F1" s="3"/>
      <c r="G1" s="3"/>
      <c r="H1" s="3"/>
      <c r="I1" s="3"/>
      <c r="J1" s="3"/>
    </row>
    <row r="2" customFormat="false" ht="15" hidden="false" customHeight="false" outlineLevel="0" collapsed="false">
      <c r="A2" s="9" t="s">
        <v>63</v>
      </c>
      <c r="B2" s="3" t="n">
        <f aca="false">設定!B4</f>
        <v>3</v>
      </c>
      <c r="C2" s="3"/>
      <c r="D2" s="3"/>
      <c r="E2" s="3"/>
      <c r="F2" s="3"/>
      <c r="G2" s="3"/>
      <c r="H2" s="3"/>
      <c r="I2" s="3"/>
      <c r="J2" s="3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</row>
    <row r="4" customFormat="false" ht="15" hidden="false" customHeight="false" outlineLevel="0" collapsed="false">
      <c r="A4" s="4" t="s">
        <v>64</v>
      </c>
      <c r="B4" s="4" t="s">
        <v>65</v>
      </c>
      <c r="C4" s="4" t="s">
        <v>66</v>
      </c>
      <c r="D4" s="1" t="s">
        <v>67</v>
      </c>
      <c r="E4" s="4" t="s">
        <v>68</v>
      </c>
      <c r="F4" s="1" t="s">
        <v>69</v>
      </c>
      <c r="G4" s="1" t="s">
        <v>70</v>
      </c>
      <c r="H4" s="1" t="s">
        <v>71</v>
      </c>
      <c r="I4" s="1" t="s">
        <v>72</v>
      </c>
      <c r="J4" s="1" t="s">
        <v>73</v>
      </c>
    </row>
    <row r="5" customFormat="false" ht="15" hidden="false" customHeight="false" outlineLevel="0" collapsed="false">
      <c r="A5" s="3" t="s">
        <v>74</v>
      </c>
      <c r="B5" s="10" t="n">
        <f aca="false">IF(OR(ラグ走査_作業!$B4+$B$2-3&lt;1,ラグ走査_作業!$B4+$B$2&gt;設定!$B$5),"",IFERROR(LN(INDEX(月次集計!$H$2:$H$45,ラグ走査_作業!$B4+$B$2)/INDEX(月次集計!$H$2:$H$45,ラグ走査_作業!$B4+$B$2-3)),""))</f>
        <v>0.0535825665296605</v>
      </c>
      <c r="C5" s="10" t="n">
        <f aca="false">IF(OR(ラグ走査_作業!$B4+$B$2-3&lt;1,ラグ走査_作業!$B4+$B$2&gt;設定!$B$5),"",IFERROR(LN(INDEX(月次集計!$I$2:$I$45,ラグ走査_作業!$B4+$B$2)/INDEX(月次集計!$I$2:$I$45,ラグ走査_作業!$B4+$B$2-3)),""))</f>
        <v>-0.292918641896598</v>
      </c>
      <c r="D5" s="10" t="n">
        <f aca="false">IF(OR(ラグ走査_作業!$B4+$B$2-3&lt;1,ラグ走査_作業!$B4+$B$2&gt;設定!$B$5),"",IFERROR(LN(INDEX(月次集計!$J$2:$J$45,ラグ走査_作業!$B4+$B$2)/INDEX(月次集計!$J$2:$J$45,ラグ走査_作業!$B4+$B$2-3)),""))</f>
        <v>0.442155002207861</v>
      </c>
      <c r="E5" s="10" t="n">
        <f aca="false">IF(OR(ラグ走査_作業!$B4+$B$2-3&lt;1,ラグ走査_作業!$B4+$B$2&gt;設定!$B$5),"",IFERROR(LN(INDEX(月次集計!$K$2:$K$45,ラグ走査_作業!$B4+$B$2)/INDEX(月次集計!$K$2:$K$45,ラグ走査_作業!$B4+$B$2-3)),""))</f>
        <v>0.0567950259574382</v>
      </c>
      <c r="F5" s="10" t="n">
        <f aca="false">IF(OR(ラグ走査_作業!$B4+$B$2-3&lt;1,ラグ走査_作業!$B4+$B$2&gt;設定!$B$5),"",IFERROR(LN(INDEX(月次集計!$L$2:$L$45,ラグ走査_作業!$B4+$B$2)/INDEX(月次集計!$L$2:$L$45,ラグ走査_作業!$B4+$B$2-3)),""))</f>
        <v>-0.00242890342713161</v>
      </c>
      <c r="G5" s="10" t="str">
        <f aca="false">IF(ISNUMBER(企業売上!H4),企業売上!H4,"")</f>
        <v/>
      </c>
      <c r="H5" s="10" t="str">
        <f aca="false">IF(ISNUMBER(企業売上!I4),企業売上!I4,"")</f>
        <v/>
      </c>
      <c r="I5" s="10" t="str">
        <f aca="false">IF(ISNUMBER(企業売上!J4),企業売上!J4,"")</f>
        <v/>
      </c>
      <c r="J5" s="10" t="str">
        <f aca="false">IF(ISNUMBER(企業売上!K4),企業売上!K4,"")</f>
        <v/>
      </c>
    </row>
    <row r="6" customFormat="false" ht="15" hidden="false" customHeight="false" outlineLevel="0" collapsed="false">
      <c r="A6" s="3" t="s">
        <v>75</v>
      </c>
      <c r="B6" s="10" t="n">
        <f aca="false">IF(OR(ラグ走査_作業!$B5+$B$2-3&lt;1,ラグ走査_作業!$B5+$B$2&gt;設定!$B$5),"",IFERROR(LN(INDEX(月次集計!$H$2:$H$45,ラグ走査_作業!$B5+$B$2)/INDEX(月次集計!$H$2:$H$45,ラグ走査_作業!$B5+$B$2-3)),""))</f>
        <v>-0.259669251038164</v>
      </c>
      <c r="C6" s="10" t="n">
        <f aca="false">IF(OR(ラグ走査_作業!$B5+$B$2-3&lt;1,ラグ走査_作業!$B5+$B$2&gt;設定!$B$5),"",IFERROR(LN(INDEX(月次集計!$I$2:$I$45,ラグ走査_作業!$B5+$B$2)/INDEX(月次集計!$I$2:$I$45,ラグ走査_作業!$B5+$B$2-3)),""))</f>
        <v>-0.573862643799501</v>
      </c>
      <c r="D6" s="10" t="n">
        <f aca="false">IF(OR(ラグ走査_作業!$B5+$B$2-3&lt;1,ラグ走査_作業!$B5+$B$2&gt;設定!$B$5),"",IFERROR(LN(INDEX(月次集計!$J$2:$J$45,ラグ走査_作業!$B5+$B$2)/INDEX(月次集計!$J$2:$J$45,ラグ走査_作業!$B5+$B$2-3)),""))</f>
        <v>-0.59726620542033</v>
      </c>
      <c r="E6" s="10" t="str">
        <f aca="false">IF(OR(ラグ走査_作業!$B5+$B$2-3&lt;1,ラグ走査_作業!$B5+$B$2&gt;設定!$B$5),"",IFERROR(LN(INDEX(月次集計!$K$2:$K$45,ラグ走査_作業!$B5+$B$2)/INDEX(月次集計!$K$2:$K$45,ラグ走査_作業!$B5+$B$2-3)),""))</f>
        <v/>
      </c>
      <c r="F6" s="10" t="n">
        <f aca="false">IF(OR(ラグ走査_作業!$B5+$B$2-3&lt;1,ラグ走査_作業!$B5+$B$2&gt;設定!$B$5),"",IFERROR(LN(INDEX(月次集計!$L$2:$L$45,ラグ走査_作業!$B5+$B$2)/INDEX(月次集計!$L$2:$L$45,ラグ走査_作業!$B5+$B$2-3)),""))</f>
        <v>-0.442659429098227</v>
      </c>
      <c r="G6" s="10" t="n">
        <f aca="false">IF(ISNUMBER(企業売上!H5),企業売上!H5,"")</f>
        <v>-0.354221080430436</v>
      </c>
      <c r="H6" s="10" t="n">
        <f aca="false">IF(ISNUMBER(企業売上!I5),企業売上!I5,"")</f>
        <v>-0.231143593981286</v>
      </c>
      <c r="I6" s="10" t="str">
        <f aca="false">IF(ISNUMBER(企業売上!J5),企業売上!J5,"")</f>
        <v/>
      </c>
      <c r="J6" s="10" t="str">
        <f aca="false">IF(ISNUMBER(企業売上!K5),企業売上!K5,"")</f>
        <v/>
      </c>
    </row>
    <row r="7" customFormat="false" ht="15" hidden="false" customHeight="false" outlineLevel="0" collapsed="false">
      <c r="A7" s="3" t="s">
        <v>76</v>
      </c>
      <c r="B7" s="10" t="n">
        <f aca="false">IF(OR(ラグ走査_作業!$B6+$B$2-3&lt;1,ラグ走査_作業!$B6+$B$2&gt;設定!$B$5),"",IFERROR(LN(INDEX(月次集計!$H$2:$H$45,ラグ走査_作業!$B6+$B$2)/INDEX(月次集計!$H$2:$H$45,ラグ走査_作業!$B6+$B$2-3)),""))</f>
        <v>-0.136048509400258</v>
      </c>
      <c r="C7" s="10" t="n">
        <f aca="false">IF(OR(ラグ走査_作業!$B6+$B$2-3&lt;1,ラグ走査_作業!$B6+$B$2&gt;設定!$B$5),"",IFERROR(LN(INDEX(月次集計!$I$2:$I$45,ラグ走査_作業!$B6+$B$2)/INDEX(月次集計!$I$2:$I$45,ラグ走査_作業!$B6+$B$2-3)),""))</f>
        <v>0.194050999713644</v>
      </c>
      <c r="D7" s="10" t="n">
        <f aca="false">IF(OR(ラグ走査_作業!$B6+$B$2-3&lt;1,ラグ走査_作業!$B6+$B$2&gt;設定!$B$5),"",IFERROR(LN(INDEX(月次集計!$J$2:$J$45,ラグ走査_作業!$B6+$B$2)/INDEX(月次集計!$J$2:$J$45,ラグ走査_作業!$B6+$B$2-3)),""))</f>
        <v>-0.262735730240925</v>
      </c>
      <c r="E7" s="10" t="str">
        <f aca="false">IF(OR(ラグ走査_作業!$B6+$B$2-3&lt;1,ラグ走査_作業!$B6+$B$2&gt;設定!$B$5),"",IFERROR(LN(INDEX(月次集計!$K$2:$K$45,ラグ走査_作業!$B6+$B$2)/INDEX(月次集計!$K$2:$K$45,ラグ走査_作業!$B6+$B$2-3)),""))</f>
        <v/>
      </c>
      <c r="F7" s="10" t="n">
        <f aca="false">IF(OR(ラグ走査_作業!$B6+$B$2-3&lt;1,ラグ走査_作業!$B6+$B$2&gt;設定!$B$5),"",IFERROR(LN(INDEX(月次集計!$L$2:$L$45,ラグ走査_作業!$B6+$B$2)/INDEX(月次集計!$L$2:$L$45,ラグ走査_作業!$B6+$B$2-3)),""))</f>
        <v>-0.049143958282034</v>
      </c>
      <c r="G7" s="10" t="n">
        <f aca="false">IF(ISNUMBER(企業売上!H6),企業売上!H6,"")</f>
        <v>0.0881595559765196</v>
      </c>
      <c r="H7" s="10" t="n">
        <f aca="false">IF(ISNUMBER(企業売上!I6),企業売上!I6,"")</f>
        <v>0.215078991477479</v>
      </c>
      <c r="I7" s="10" t="n">
        <f aca="false">IF(ISNUMBER(企業売上!J6),企業売上!J6,"")</f>
        <v>0.319287411867112</v>
      </c>
      <c r="J7" s="10" t="n">
        <f aca="false">IF(ISNUMBER(企業売上!K6),企業売上!K6,"")</f>
        <v>0.129252211808018</v>
      </c>
    </row>
    <row r="8" customFormat="false" ht="15" hidden="false" customHeight="false" outlineLevel="0" collapsed="false">
      <c r="A8" s="3" t="s">
        <v>77</v>
      </c>
      <c r="B8" s="10" t="n">
        <f aca="false">IF(OR(ラグ走査_作業!$B7+$B$2-3&lt;1,ラグ走査_作業!$B7+$B$2&gt;設定!$B$5),"",IFERROR(LN(INDEX(月次集計!$H$2:$H$45,ラグ走査_作業!$B7+$B$2)/INDEX(月次集計!$H$2:$H$45,ラグ走査_作業!$B7+$B$2-3)),""))</f>
        <v>0.316138367218135</v>
      </c>
      <c r="C8" s="10" t="n">
        <f aca="false">IF(OR(ラグ走査_作業!$B7+$B$2-3&lt;1,ラグ走査_作業!$B7+$B$2&gt;設定!$B$5),"",IFERROR(LN(INDEX(月次集計!$I$2:$I$45,ラグ走査_作業!$B7+$B$2)/INDEX(月次集計!$I$2:$I$45,ラグ走査_作業!$B7+$B$2-3)),""))</f>
        <v>0.0214623681479303</v>
      </c>
      <c r="D8" s="10" t="n">
        <f aca="false">IF(OR(ラグ走査_作業!$B7+$B$2-3&lt;1,ラグ走査_作業!$B7+$B$2&gt;設定!$B$5),"",IFERROR(LN(INDEX(月次集計!$J$2:$J$45,ラグ走査_作業!$B7+$B$2)/INDEX(月次集計!$J$2:$J$45,ラグ走査_作業!$B7+$B$2-3)),""))</f>
        <v>0.27642101205102</v>
      </c>
      <c r="E8" s="10" t="n">
        <f aca="false">IF(OR(ラグ走査_作業!$B7+$B$2-3&lt;1,ラグ走査_作業!$B7+$B$2&gt;設定!$B$5),"",IFERROR(LN(INDEX(月次集計!$K$2:$K$45,ラグ走査_作業!$B7+$B$2)/INDEX(月次集計!$K$2:$K$45,ラグ走査_作業!$B7+$B$2-3)),""))</f>
        <v>-0.0494068482755424</v>
      </c>
      <c r="F8" s="10" t="n">
        <f aca="false">IF(OR(ラグ走査_作業!$B7+$B$2-3&lt;1,ラグ走査_作業!$B7+$B$2&gt;設定!$B$5),"",IFERROR(LN(INDEX(月次集計!$L$2:$L$45,ラグ走査_作業!$B7+$B$2)/INDEX(月次集計!$L$2:$L$45,ラグ走査_作業!$B7+$B$2-3)),""))</f>
        <v>0.205444074362875</v>
      </c>
      <c r="G8" s="10" t="n">
        <f aca="false">IF(ISNUMBER(企業売上!H7),企業売上!H7,"")</f>
        <v>0.0803663148172915</v>
      </c>
      <c r="H8" s="10" t="n">
        <f aca="false">IF(ISNUMBER(企業売上!I7),企業売上!I7,"")</f>
        <v>0.0080645598367305</v>
      </c>
      <c r="I8" s="10" t="n">
        <f aca="false">IF(ISNUMBER(企業売上!J7),企業売上!J7,"")</f>
        <v>0.182321556793955</v>
      </c>
      <c r="J8" s="10" t="n">
        <f aca="false">IF(ISNUMBER(企業売上!K7),企業売上!K7,"")</f>
        <v>0.0740001586709424</v>
      </c>
    </row>
    <row r="9" customFormat="false" ht="15" hidden="false" customHeight="false" outlineLevel="0" collapsed="false">
      <c r="A9" s="3" t="s">
        <v>78</v>
      </c>
      <c r="B9" s="10" t="n">
        <f aca="false">IF(OR(ラグ走査_作業!$B8+$B$2-3&lt;1,ラグ走査_作業!$B8+$B$2&gt;設定!$B$5),"",IFERROR(LN(INDEX(月次集計!$H$2:$H$45,ラグ走査_作業!$B8+$B$2)/INDEX(月次集計!$H$2:$H$45,ラグ走査_作業!$B8+$B$2-3)),""))</f>
        <v>-0.182703223766299</v>
      </c>
      <c r="C9" s="10" t="n">
        <f aca="false">IF(OR(ラグ走査_作業!$B8+$B$2-3&lt;1,ラグ走査_作業!$B8+$B$2&gt;設定!$B$5),"",IFERROR(LN(INDEX(月次集計!$I$2:$I$45,ラグ走査_作業!$B8+$B$2)/INDEX(月次集計!$I$2:$I$45,ラグ走査_作業!$B8+$B$2-3)),""))</f>
        <v>0.376577842891135</v>
      </c>
      <c r="D9" s="10" t="n">
        <f aca="false">IF(OR(ラグ走査_作業!$B8+$B$2-3&lt;1,ラグ走査_作業!$B8+$B$2&gt;設定!$B$5),"",IFERROR(LN(INDEX(月次集計!$J$2:$J$45,ラグ走査_作業!$B8+$B$2)/INDEX(月次集計!$J$2:$J$45,ラグ走査_作業!$B8+$B$2-3)),""))</f>
        <v>-0.354347769499569</v>
      </c>
      <c r="E9" s="10" t="n">
        <f aca="false">IF(OR(ラグ走査_作業!$B8+$B$2-3&lt;1,ラグ走査_作業!$B8+$B$2&gt;設定!$B$5),"",IFERROR(LN(INDEX(月次集計!$K$2:$K$45,ラグ走査_作業!$B8+$B$2)/INDEX(月次集計!$K$2:$K$45,ラグ走査_作業!$B8+$B$2-3)),""))</f>
        <v>0.0820359887033025</v>
      </c>
      <c r="F9" s="10" t="n">
        <f aca="false">IF(OR(ラグ走査_作業!$B8+$B$2-3&lt;1,ラグ走査_作業!$B8+$B$2&gt;設定!$B$5),"",IFERROR(LN(INDEX(月次集計!$L$2:$L$45,ラグ走査_作業!$B8+$B$2)/INDEX(月次集計!$L$2:$L$45,ラグ走査_作業!$B8+$B$2-3)),""))</f>
        <v>0.00637620945200817</v>
      </c>
      <c r="G9" s="10" t="n">
        <f aca="false">IF(ISNUMBER(企業売上!H8),企業売上!H8,"")</f>
        <v>0.165792254842744</v>
      </c>
      <c r="H9" s="10" t="n">
        <f aca="false">IF(ISNUMBER(企業売上!I8),企業売上!I8,"")</f>
        <v>0.231940089443546</v>
      </c>
      <c r="I9" s="10" t="n">
        <f aca="false">IF(ISNUMBER(企業売上!J8),企業売上!J8,"")</f>
        <v>-0.093090423066012</v>
      </c>
      <c r="J9" s="10" t="n">
        <f aca="false">IF(ISNUMBER(企業売上!K8),企業売上!K8,"")</f>
        <v>0.159852240457938</v>
      </c>
    </row>
    <row r="10" customFormat="false" ht="15" hidden="false" customHeight="false" outlineLevel="0" collapsed="false">
      <c r="A10" s="3" t="s">
        <v>79</v>
      </c>
      <c r="B10" s="10" t="n">
        <f aca="false">IF(OR(ラグ走査_作業!$B9+$B$2-3&lt;1,ラグ走査_作業!$B9+$B$2&gt;設定!$B$5),"",IFERROR(LN(INDEX(月次集計!$H$2:$H$45,ラグ走査_作業!$B9+$B$2)/INDEX(月次集計!$H$2:$H$45,ラグ走査_作業!$B9+$B$2-3)),""))</f>
        <v>0.247868320296424</v>
      </c>
      <c r="C10" s="10" t="n">
        <f aca="false">IF(OR(ラグ走査_作業!$B9+$B$2-3&lt;1,ラグ走査_作業!$B9+$B$2&gt;設定!$B$5),"",IFERROR(LN(INDEX(月次集計!$I$2:$I$45,ラグ走査_作業!$B9+$B$2)/INDEX(月次集計!$I$2:$I$45,ラグ走査_作業!$B9+$B$2-3)),""))</f>
        <v>0.0364871424044422</v>
      </c>
      <c r="D10" s="10" t="n">
        <f aca="false">IF(OR(ラグ走査_作業!$B9+$B$2-3&lt;1,ラグ走査_作業!$B9+$B$2&gt;設定!$B$5),"",IFERROR(LN(INDEX(月次集計!$J$2:$J$45,ラグ走査_作業!$B9+$B$2)/INDEX(月次集計!$J$2:$J$45,ラグ走査_作業!$B9+$B$2-3)),""))</f>
        <v>0.0552576107595377</v>
      </c>
      <c r="E10" s="10" t="n">
        <f aca="false">IF(OR(ラグ走査_作業!$B9+$B$2-3&lt;1,ラグ走査_作業!$B9+$B$2&gt;設定!$B$5),"",IFERROR(LN(INDEX(月次集計!$K$2:$K$45,ラグ走査_作業!$B9+$B$2)/INDEX(月次集計!$K$2:$K$45,ラグ走査_作業!$B9+$B$2-3)),""))</f>
        <v>0.144528584099481</v>
      </c>
      <c r="F10" s="10" t="n">
        <f aca="false">IF(OR(ラグ走査_作業!$B9+$B$2-3&lt;1,ラグ走査_作業!$B9+$B$2&gt;設定!$B$5),"",IFERROR(LN(INDEX(月次集計!$L$2:$L$45,ラグ走査_作業!$B9+$B$2)/INDEX(月次集計!$L$2:$L$45,ラグ走査_作業!$B9+$B$2-3)),""))</f>
        <v>0.129505699998282</v>
      </c>
      <c r="G10" s="10" t="n">
        <f aca="false">IF(ISNUMBER(企業売上!H9),企業売上!H9,"")</f>
        <v>0.0141537474380938</v>
      </c>
      <c r="H10" s="10" t="n">
        <f aca="false">IF(ISNUMBER(企業売上!I9),企業売上!I9,"")</f>
        <v>-0.156914580810727</v>
      </c>
      <c r="I10" s="10" t="n">
        <f aca="false">IF(ISNUMBER(企業売上!J9),企業売上!J9,"")</f>
        <v>0.281565845434345</v>
      </c>
      <c r="J10" s="10" t="n">
        <f aca="false">IF(ISNUMBER(企業売上!K9),企業売上!K9,"")</f>
        <v>0.00132643606130702</v>
      </c>
    </row>
    <row r="11" customFormat="false" ht="15" hidden="false" customHeight="false" outlineLevel="0" collapsed="false">
      <c r="A11" s="3" t="s">
        <v>80</v>
      </c>
      <c r="B11" s="10" t="n">
        <f aca="false">IF(OR(ラグ走査_作業!$B10+$B$2-3&lt;1,ラグ走査_作業!$B10+$B$2&gt;設定!$B$5),"",IFERROR(LN(INDEX(月次集計!$H$2:$H$45,ラグ走査_作業!$B10+$B$2)/INDEX(月次集計!$H$2:$H$45,ラグ走査_作業!$B10+$B$2-3)),""))</f>
        <v>0.173546171838368</v>
      </c>
      <c r="C11" s="10" t="n">
        <f aca="false">IF(OR(ラグ走査_作業!$B10+$B$2-3&lt;1,ラグ走査_作業!$B10+$B$2&gt;設定!$B$5),"",IFERROR(LN(INDEX(月次集計!$I$2:$I$45,ラグ走査_作業!$B10+$B$2)/INDEX(月次集計!$I$2:$I$45,ラグ走査_作業!$B10+$B$2-3)),""))</f>
        <v>0.192045754829276</v>
      </c>
      <c r="D11" s="10" t="n">
        <f aca="false">IF(OR(ラグ走査_作業!$B10+$B$2-3&lt;1,ラグ走査_作業!$B10+$B$2&gt;設定!$B$5),"",IFERROR(LN(INDEX(月次集計!$J$2:$J$45,ラグ走査_作業!$B10+$B$2)/INDEX(月次集計!$J$2:$J$45,ラグ走査_作業!$B10+$B$2-3)),""))</f>
        <v>-0.118989073437582</v>
      </c>
      <c r="E11" s="10" t="n">
        <f aca="false">IF(OR(ラグ走査_作業!$B10+$B$2-3&lt;1,ラグ走査_作業!$B10+$B$2&gt;設定!$B$5),"",IFERROR(LN(INDEX(月次集計!$K$2:$K$45,ラグ走査_作業!$B10+$B$2)/INDEX(月次集計!$K$2:$K$45,ラグ走査_作業!$B10+$B$2-3)),""))</f>
        <v>0.249706460757958</v>
      </c>
      <c r="F11" s="10" t="n">
        <f aca="false">IF(OR(ラグ走査_作業!$B10+$B$2-3&lt;1,ラグ走査_作業!$B10+$B$2&gt;設定!$B$5),"",IFERROR(LN(INDEX(月次集計!$L$2:$L$45,ラグ走査_作業!$B10+$B$2)/INDEX(月次集計!$L$2:$L$45,ラグ走査_作業!$B10+$B$2-3)),""))</f>
        <v>0.149216473319478</v>
      </c>
      <c r="G11" s="10" t="n">
        <f aca="false">IF(ISNUMBER(企業売上!H10),企業売上!H10,"")</f>
        <v>0.0205089667216265</v>
      </c>
      <c r="H11" s="10" t="n">
        <f aca="false">IF(ISNUMBER(企業売上!I10),企業売上!I10,"")</f>
        <v>0.0642124620248238</v>
      </c>
      <c r="I11" s="10" t="n">
        <f aca="false">IF(ISNUMBER(企業売上!J10),企業売上!J10,"")</f>
        <v>-0.279535387883963</v>
      </c>
      <c r="J11" s="10" t="n">
        <f aca="false">IF(ISNUMBER(企業売上!K10),企業売上!K10,"")</f>
        <v>0.00594728509061933</v>
      </c>
    </row>
    <row r="12" customFormat="false" ht="15" hidden="false" customHeight="false" outlineLevel="0" collapsed="false">
      <c r="A12" s="3" t="s">
        <v>81</v>
      </c>
      <c r="B12" s="10" t="n">
        <f aca="false">IF(OR(ラグ走査_作業!$B11+$B$2-3&lt;1,ラグ走査_作業!$B11+$B$2&gt;設定!$B$5),"",IFERROR(LN(INDEX(月次集計!$H$2:$H$45,ラグ走査_作業!$B11+$B$2)/INDEX(月次集計!$H$2:$H$45,ラグ走査_作業!$B11+$B$2-3)),""))</f>
        <v>0.118705342615815</v>
      </c>
      <c r="C12" s="10" t="n">
        <f aca="false">IF(OR(ラグ走査_作業!$B11+$B$2-3&lt;1,ラグ走査_作業!$B11+$B$2&gt;設定!$B$5),"",IFERROR(LN(INDEX(月次集計!$I$2:$I$45,ラグ走査_作業!$B11+$B$2)/INDEX(月次集計!$I$2:$I$45,ラグ走査_作業!$B11+$B$2-3)),""))</f>
        <v>0.250453588989763</v>
      </c>
      <c r="D12" s="10" t="n">
        <f aca="false">IF(OR(ラグ走査_作業!$B11+$B$2-3&lt;1,ラグ走査_作業!$B11+$B$2&gt;設定!$B$5),"",IFERROR(LN(INDEX(月次集計!$J$2:$J$45,ラグ走査_作業!$B11+$B$2)/INDEX(月次集計!$J$2:$J$45,ラグ走査_作業!$B11+$B$2-3)),""))</f>
        <v>-0.0139874628632832</v>
      </c>
      <c r="E12" s="10" t="n">
        <f aca="false">IF(OR(ラグ走査_作業!$B11+$B$2-3&lt;1,ラグ走査_作業!$B11+$B$2&gt;設定!$B$5),"",IFERROR(LN(INDEX(月次集計!$K$2:$K$45,ラグ走査_作業!$B11+$B$2)/INDEX(月次集計!$K$2:$K$45,ラグ走査_作業!$B11+$B$2-3)),""))</f>
        <v>-0.418873973250833</v>
      </c>
      <c r="F12" s="10" t="n">
        <f aca="false">IF(OR(ラグ走査_作業!$B11+$B$2-3&lt;1,ラグ走査_作業!$B11+$B$2&gt;設定!$B$5),"",IFERROR(LN(INDEX(月次集計!$L$2:$L$45,ラグ走査_作業!$B11+$B$2)/INDEX(月次集計!$L$2:$L$45,ラグ走査_作業!$B11+$B$2-3)),""))</f>
        <v>0.167344064189502</v>
      </c>
      <c r="G12" s="10" t="n">
        <f aca="false">IF(ISNUMBER(企業売上!H11),企業売上!H11,"")</f>
        <v>0.144394504881894</v>
      </c>
      <c r="H12" s="10" t="n">
        <f aca="false">IF(ISNUMBER(企業売上!I11),企業売上!I11,"")</f>
        <v>0.243206486460141</v>
      </c>
      <c r="I12" s="10" t="n">
        <f aca="false">IF(ISNUMBER(企業売上!J11),企業売上!J11,"")</f>
        <v>0.198085760492517</v>
      </c>
      <c r="J12" s="10" t="n">
        <f aca="false">IF(ISNUMBER(企業売上!K11),企業売上!K11,"")</f>
        <v>0.167297322155371</v>
      </c>
    </row>
    <row r="13" customFormat="false" ht="15" hidden="false" customHeight="false" outlineLevel="0" collapsed="false">
      <c r="A13" s="3" t="s">
        <v>82</v>
      </c>
      <c r="B13" s="10" t="n">
        <f aca="false">IF(OR(ラグ走査_作業!$B12+$B$2-3&lt;1,ラグ走査_作業!$B12+$B$2&gt;設定!$B$5),"",IFERROR(LN(INDEX(月次集計!$H$2:$H$45,ラグ走査_作業!$B12+$B$2)/INDEX(月次集計!$H$2:$H$45,ラグ走査_作業!$B12+$B$2-3)),""))</f>
        <v>-0.180034834838936</v>
      </c>
      <c r="C13" s="10" t="n">
        <f aca="false">IF(OR(ラグ走査_作業!$B12+$B$2-3&lt;1,ラグ走査_作業!$B12+$B$2&gt;設定!$B$5),"",IFERROR(LN(INDEX(月次集計!$I$2:$I$45,ラグ走査_作業!$B12+$B$2)/INDEX(月次集計!$I$2:$I$45,ラグ走査_作業!$B12+$B$2-3)),""))</f>
        <v>0.0329473859760162</v>
      </c>
      <c r="D13" s="10" t="n">
        <f aca="false">IF(OR(ラグ走査_作業!$B12+$B$2-3&lt;1,ラグ走査_作業!$B12+$B$2&gt;設定!$B$5),"",IFERROR(LN(INDEX(月次集計!$J$2:$J$45,ラグ走査_作業!$B12+$B$2)/INDEX(月次集計!$J$2:$J$45,ラグ走査_作業!$B12+$B$2-3)),""))</f>
        <v>-0.216820013738218</v>
      </c>
      <c r="E13" s="10" t="n">
        <f aca="false">IF(OR(ラグ走査_作業!$B12+$B$2-3&lt;1,ラグ走査_作業!$B12+$B$2&gt;設定!$B$5),"",IFERROR(LN(INDEX(月次集計!$K$2:$K$45,ラグ走査_作業!$B12+$B$2)/INDEX(月次集計!$K$2:$K$45,ラグ走査_作業!$B12+$B$2-3)),""))</f>
        <v>-0.109254164027872</v>
      </c>
      <c r="F13" s="10" t="n">
        <f aca="false">IF(OR(ラグ走査_作業!$B12+$B$2-3&lt;1,ラグ走査_作業!$B12+$B$2&gt;設定!$B$5),"",IFERROR(LN(INDEX(月次集計!$L$2:$L$45,ラグ走査_作業!$B12+$B$2)/INDEX(月次集計!$L$2:$L$45,ラグ走査_作業!$B12+$B$2-3)),""))</f>
        <v>-0.0754256837422501</v>
      </c>
      <c r="G13" s="10" t="n">
        <f aca="false">IF(ISNUMBER(企業売上!H12),企業売上!H12,"")</f>
        <v>0.00137415091475956</v>
      </c>
      <c r="H13" s="10" t="n">
        <f aca="false">IF(ISNUMBER(企業売上!I12),企業売上!I12,"")</f>
        <v>-0.0989881681955677</v>
      </c>
      <c r="I13" s="10" t="n">
        <f aca="false">IF(ISNUMBER(企業売上!J12),企業売上!J12,"")</f>
        <v>0.0675497897024118</v>
      </c>
      <c r="J13" s="10" t="n">
        <f aca="false">IF(ISNUMBER(企業売上!K12),企業売上!K12,"")</f>
        <v>-0.0135796935573083</v>
      </c>
    </row>
    <row r="14" customFormat="false" ht="15" hidden="false" customHeight="false" outlineLevel="0" collapsed="false">
      <c r="A14" s="3" t="s">
        <v>83</v>
      </c>
      <c r="B14" s="10" t="n">
        <f aca="false">IF(OR(ラグ走査_作業!$B13+$B$2-3&lt;1,ラグ走査_作業!$B13+$B$2&gt;設定!$B$5),"",IFERROR(LN(INDEX(月次集計!$H$2:$H$45,ラグ走査_作業!$B13+$B$2)/INDEX(月次集計!$H$2:$H$45,ラグ走査_作業!$B13+$B$2-3)),""))</f>
        <v>-0.0939512855384088</v>
      </c>
      <c r="C14" s="10" t="n">
        <f aca="false">IF(OR(ラグ走査_作業!$B13+$B$2-3&lt;1,ラグ走査_作業!$B13+$B$2&gt;設定!$B$5),"",IFERROR(LN(INDEX(月次集計!$I$2:$I$45,ラグ走査_作業!$B13+$B$2)/INDEX(月次集計!$I$2:$I$45,ラグ走査_作業!$B13+$B$2-3)),""))</f>
        <v>-0.249062733607115</v>
      </c>
      <c r="D14" s="10" t="n">
        <f aca="false">IF(OR(ラグ走査_作業!$B13+$B$2-3&lt;1,ラグ走査_作業!$B13+$B$2&gt;設定!$B$5),"",IFERROR(LN(INDEX(月次集計!$J$2:$J$45,ラグ走査_作業!$B13+$B$2)/INDEX(月次集計!$J$2:$J$45,ラグ走査_作業!$B13+$B$2-3)),""))</f>
        <v>-0.326769098529147</v>
      </c>
      <c r="E14" s="10" t="n">
        <f aca="false">IF(OR(ラグ走査_作業!$B13+$B$2-3&lt;1,ラグ走査_作業!$B13+$B$2&gt;設定!$B$5),"",IFERROR(LN(INDEX(月次集計!$K$2:$K$45,ラグ走査_作業!$B13+$B$2)/INDEX(月次集計!$K$2:$K$45,ラグ走査_作業!$B13+$B$2-3)),""))</f>
        <v>-0.570810655309807</v>
      </c>
      <c r="F14" s="10" t="n">
        <f aca="false">IF(OR(ラグ走査_作業!$B13+$B$2-3&lt;1,ラグ走査_作業!$B13+$B$2&gt;設定!$B$5),"",IFERROR(LN(INDEX(月次集計!$L$2:$L$45,ラグ走査_作業!$B13+$B$2)/INDEX(月次集計!$L$2:$L$45,ラグ走査_作業!$B13+$B$2-3)),""))</f>
        <v>-0.189150250748899</v>
      </c>
      <c r="G14" s="10" t="n">
        <f aca="false">IF(ISNUMBER(企業売上!H13),企業売上!H13,"")</f>
        <v>-0.176236962421038</v>
      </c>
      <c r="H14" s="10" t="n">
        <f aca="false">IF(ISNUMBER(企業売上!I13),企業売上!I13,"")</f>
        <v>-0.197315437986155</v>
      </c>
      <c r="I14" s="10" t="n">
        <f aca="false">IF(ISNUMBER(企業売上!J13),企業売上!J13,"")</f>
        <v>-0.216169481978136</v>
      </c>
      <c r="J14" s="10" t="n">
        <f aca="false">IF(ISNUMBER(企業売上!K13),企業売上!K13,"")</f>
        <v>-0.182999752818593</v>
      </c>
    </row>
    <row r="15" customFormat="false" ht="15" hidden="false" customHeight="false" outlineLevel="0" collapsed="false">
      <c r="A15" s="3" t="s">
        <v>84</v>
      </c>
      <c r="B15" s="10" t="n">
        <f aca="false">IF(OR(ラグ走査_作業!$B14+$B$2-3&lt;1,ラグ走査_作業!$B14+$B$2&gt;設定!$B$5),"",IFERROR(LN(INDEX(月次集計!$H$2:$H$45,ラグ走査_作業!$B14+$B$2)/INDEX(月次集計!$H$2:$H$45,ラグ走査_作業!$B14+$B$2-3)),""))</f>
        <v>0.145982393505897</v>
      </c>
      <c r="C15" s="10" t="n">
        <f aca="false">IF(OR(ラグ走査_作業!$B14+$B$2-3&lt;1,ラグ走査_作業!$B14+$B$2&gt;設定!$B$5),"",IFERROR(LN(INDEX(月次集計!$I$2:$I$45,ラグ走査_作業!$B14+$B$2)/INDEX(月次集計!$I$2:$I$45,ラグ走査_作業!$B14+$B$2-3)),""))</f>
        <v>0.151752163312259</v>
      </c>
      <c r="D15" s="10" t="n">
        <f aca="false">IF(OR(ラグ走査_作業!$B14+$B$2-3&lt;1,ラグ走査_作業!$B14+$B$2&gt;設定!$B$5),"",IFERROR(LN(INDEX(月次集計!$J$2:$J$45,ラグ走査_作業!$B14+$B$2)/INDEX(月次集計!$J$2:$J$45,ラグ走査_作業!$B14+$B$2-3)),""))</f>
        <v>0.346890654215019</v>
      </c>
      <c r="E15" s="10" t="str">
        <f aca="false">IF(OR(ラグ走査_作業!$B14+$B$2-3&lt;1,ラグ走査_作業!$B14+$B$2&gt;設定!$B$5),"",IFERROR(LN(INDEX(月次集計!$K$2:$K$45,ラグ走査_作業!$B14+$B$2)/INDEX(月次集計!$K$2:$K$45,ラグ走査_作業!$B14+$B$2-3)),""))</f>
        <v/>
      </c>
      <c r="F15" s="10" t="n">
        <f aca="false">IF(OR(ラグ走査_作業!$B14+$B$2-3&lt;1,ラグ走査_作業!$B14+$B$2&gt;設定!$B$5),"",IFERROR(LN(INDEX(月次集計!$L$2:$L$45,ラグ走査_作業!$B14+$B$2)/INDEX(月次集計!$L$2:$L$45,ラグ走査_作業!$B14+$B$2-3)),""))</f>
        <v>0.162245451164834</v>
      </c>
      <c r="G15" s="10" t="n">
        <f aca="false">IF(ISNUMBER(企業売上!H14),企業売上!H14,"")</f>
        <v>0.136711045541902</v>
      </c>
      <c r="H15" s="10" t="n">
        <f aca="false">IF(ISNUMBER(企業売上!I14),企業売上!I14,"")</f>
        <v>0.0204237587865697</v>
      </c>
      <c r="I15" s="10" t="n">
        <f aca="false">IF(ISNUMBER(企業売上!J14),企業売上!J14,"")</f>
        <v>0.233132109197716</v>
      </c>
      <c r="J15" s="10" t="n">
        <f aca="false">IF(ISNUMBER(企業売上!K14),企業売上!K14,"")</f>
        <v>0.123525598903603</v>
      </c>
    </row>
    <row r="16" customFormat="false" ht="15" hidden="false" customHeight="false" outlineLevel="0" collapsed="false">
      <c r="A16" s="3" t="s">
        <v>85</v>
      </c>
      <c r="B16" s="10" t="n">
        <f aca="false">IF(OR(ラグ走査_作業!$B15+$B$2-3&lt;1,ラグ走査_作業!$B15+$B$2&gt;設定!$B$5),"",IFERROR(LN(INDEX(月次集計!$H$2:$H$45,ラグ走査_作業!$B15+$B$2)/INDEX(月次集計!$H$2:$H$45,ラグ走査_作業!$B15+$B$2-3)),""))</f>
        <v>0.206855203041426</v>
      </c>
      <c r="C16" s="10" t="n">
        <f aca="false">IF(OR(ラグ走査_作業!$B15+$B$2-3&lt;1,ラグ走査_作業!$B15+$B$2&gt;設定!$B$5),"",IFERROR(LN(INDEX(月次集計!$I$2:$I$45,ラグ走査_作業!$B15+$B$2)/INDEX(月次集計!$I$2:$I$45,ラグ走査_作業!$B15+$B$2-3)),""))</f>
        <v>0.0407984081433238</v>
      </c>
      <c r="D16" s="10" t="n">
        <f aca="false">IF(OR(ラグ走査_作業!$B15+$B$2-3&lt;1,ラグ走査_作業!$B15+$B$2&gt;設定!$B$5),"",IFERROR(LN(INDEX(月次集計!$J$2:$J$45,ラグ走査_作業!$B15+$B$2)/INDEX(月次集計!$J$2:$J$45,ラグ走査_作業!$B15+$B$2-3)),""))</f>
        <v>0.445841095404169</v>
      </c>
      <c r="E16" s="10" t="str">
        <f aca="false">IF(OR(ラグ走査_作業!$B15+$B$2-3&lt;1,ラグ走査_作業!$B15+$B$2&gt;設定!$B$5),"",IFERROR(LN(INDEX(月次集計!$K$2:$K$45,ラグ走査_作業!$B15+$B$2)/INDEX(月次集計!$K$2:$K$45,ラグ走査_作業!$B15+$B$2-3)),""))</f>
        <v/>
      </c>
      <c r="F16" s="10" t="n">
        <f aca="false">IF(OR(ラグ走査_作業!$B15+$B$2-3&lt;1,ラグ走査_作業!$B15+$B$2&gt;設定!$B$5),"",IFERROR(LN(INDEX(月次集計!$L$2:$L$45,ラグ走査_作業!$B15+$B$2)/INDEX(月次集計!$L$2:$L$45,ラグ走査_作業!$B15+$B$2-3)),""))</f>
        <v>0.149148741720864</v>
      </c>
      <c r="G16" s="10" t="n">
        <f aca="false">IF(ISNUMBER(企業売上!H15),企業売上!H15,"")</f>
        <v>-0.132171773108483</v>
      </c>
      <c r="H16" s="10" t="n">
        <f aca="false">IF(ISNUMBER(企業売上!I15),企業売上!I15,"")</f>
        <v>0.0864095111875311</v>
      </c>
      <c r="I16" s="10" t="n">
        <f aca="false">IF(ISNUMBER(企業売上!J15),企業売上!J15,"")</f>
        <v>-0.1569578783021</v>
      </c>
      <c r="J16" s="10" t="n">
        <f aca="false">IF(ISNUMBER(企業売上!K15),企業売上!K15,"")</f>
        <v>-0.0942434746830726</v>
      </c>
    </row>
    <row r="17" customFormat="false" ht="15" hidden="false" customHeight="false" outlineLevel="0" collapsed="false">
      <c r="A17" s="3" t="s">
        <v>86</v>
      </c>
      <c r="B17" s="10" t="n">
        <f aca="false">IF(OR(ラグ走査_作業!$B16+$B$2-3&lt;1,ラグ走査_作業!$B16+$B$2&gt;設定!$B$5),"",IFERROR(LN(INDEX(月次集計!$H$2:$H$45,ラグ走査_作業!$B16+$B$2)/INDEX(月次集計!$H$2:$H$45,ラグ走査_作業!$B16+$B$2-3)),""))</f>
        <v>-0.0301722065547064</v>
      </c>
      <c r="C17" s="10" t="n">
        <f aca="false">IF(OR(ラグ走査_作業!$B16+$B$2-3&lt;1,ラグ走査_作業!$B16+$B$2&gt;設定!$B$5),"",IFERROR(LN(INDEX(月次集計!$I$2:$I$45,ラグ走査_作業!$B16+$B$2)/INDEX(月次集計!$I$2:$I$45,ラグ走査_作業!$B16+$B$2-3)),""))</f>
        <v>0.217775674557904</v>
      </c>
      <c r="D17" s="10" t="n">
        <f aca="false">IF(OR(ラグ走査_作業!$B16+$B$2-3&lt;1,ラグ走査_作業!$B16+$B$2&gt;設定!$B$5),"",IFERROR(LN(INDEX(月次集計!$J$2:$J$45,ラグ走査_作業!$B16+$B$2)/INDEX(月次集計!$J$2:$J$45,ラグ走査_作業!$B16+$B$2-3)),""))</f>
        <v>0.489052121965813</v>
      </c>
      <c r="E17" s="10" t="str">
        <f aca="false">IF(OR(ラグ走査_作業!$B16+$B$2-3&lt;1,ラグ走査_作業!$B16+$B$2&gt;設定!$B$5),"",IFERROR(LN(INDEX(月次集計!$K$2:$K$45,ラグ走査_作業!$B16+$B$2)/INDEX(月次集計!$K$2:$K$45,ラグ走査_作業!$B16+$B$2-3)),""))</f>
        <v/>
      </c>
      <c r="F17" s="10" t="n">
        <f aca="false">IF(OR(ラグ走査_作業!$B16+$B$2-3&lt;1,ラグ走査_作業!$B16+$B$2&gt;設定!$B$5),"",IFERROR(LN(INDEX(月次集計!$L$2:$L$45,ラグ走査_作業!$B16+$B$2)/INDEX(月次集計!$L$2:$L$45,ラグ走査_作業!$B16+$B$2-3)),""))</f>
        <v>0.145361110860627</v>
      </c>
      <c r="G17" s="10" t="n">
        <f aca="false">IF(ISNUMBER(企業売上!H16),企業売上!H16,"")</f>
        <v>0.254248926798997</v>
      </c>
      <c r="H17" s="10" t="n">
        <f aca="false">IF(ISNUMBER(企業売上!I16),企業売上!I16,"")</f>
        <v>0.177342293394347</v>
      </c>
      <c r="I17" s="10" t="n">
        <f aca="false">IF(ISNUMBER(企業売上!J16),企業売上!J16,"")</f>
        <v>0.103570004884038</v>
      </c>
      <c r="J17" s="10" t="n">
        <f aca="false">IF(ISNUMBER(企業売上!K16),企業売上!K16,"")</f>
        <v>0.228898471347933</v>
      </c>
    </row>
    <row r="18" customFormat="false" ht="15" hidden="false" customHeight="false" outlineLevel="0" collapsed="false">
      <c r="A18" s="3" t="s">
        <v>87</v>
      </c>
      <c r="B18" s="10" t="str">
        <f aca="false">IF(OR(ラグ走査_作業!$B17+$B$2-3&lt;1,ラグ走査_作業!$B17+$B$2&gt;設定!$B$5),"",IFERROR(LN(INDEX(月次集計!$H$2:$H$45,ラグ走査_作業!$B17+$B$2)/INDEX(月次集計!$H$2:$H$45,ラグ走査_作業!$B17+$B$2-3)),""))</f>
        <v/>
      </c>
      <c r="C18" s="10" t="str">
        <f aca="false">IF(OR(ラグ走査_作業!$B17+$B$2-3&lt;1,ラグ走査_作業!$B17+$B$2&gt;設定!$B$5),"",IFERROR(LN(INDEX(月次集計!$I$2:$I$45,ラグ走査_作業!$B17+$B$2)/INDEX(月次集計!$I$2:$I$45,ラグ走査_作業!$B17+$B$2-3)),""))</f>
        <v/>
      </c>
      <c r="D18" s="10" t="str">
        <f aca="false">IF(OR(ラグ走査_作業!$B17+$B$2-3&lt;1,ラグ走査_作業!$B17+$B$2&gt;設定!$B$5),"",IFERROR(LN(INDEX(月次集計!$J$2:$J$45,ラグ走査_作業!$B17+$B$2)/INDEX(月次集計!$J$2:$J$45,ラグ走査_作業!$B17+$B$2-3)),""))</f>
        <v/>
      </c>
      <c r="E18" s="10" t="str">
        <f aca="false">IF(OR(ラグ走査_作業!$B17+$B$2-3&lt;1,ラグ走査_作業!$B17+$B$2&gt;設定!$B$5),"",IFERROR(LN(INDEX(月次集計!$K$2:$K$45,ラグ走査_作業!$B17+$B$2)/INDEX(月次集計!$K$2:$K$45,ラグ走査_作業!$B17+$B$2-3)),""))</f>
        <v/>
      </c>
      <c r="F18" s="10" t="str">
        <f aca="false">IF(OR(ラグ走査_作業!$B17+$B$2-3&lt;1,ラグ走査_作業!$B17+$B$2&gt;設定!$B$5),"",IFERROR(LN(INDEX(月次集計!$L$2:$L$45,ラグ走査_作業!$B17+$B$2)/INDEX(月次集計!$L$2:$L$45,ラグ走査_作業!$B17+$B$2-3)),""))</f>
        <v/>
      </c>
      <c r="G18" s="10" t="n">
        <f aca="false">IF(ISNUMBER(企業売上!H17),企業売上!H17,"")</f>
        <v>0.0283932929909319</v>
      </c>
      <c r="H18" s="10" t="n">
        <f aca="false">IF(ISNUMBER(企業売上!I17),企業売上!I17,"")</f>
        <v>-0.39306313021579</v>
      </c>
      <c r="I18" s="10" t="n">
        <f aca="false">IF(ISNUMBER(企業売上!J17),企業売上!J17,"")</f>
        <v>0.195672889968819</v>
      </c>
      <c r="J18" s="10" t="n">
        <f aca="false">IF(ISNUMBER(企業売上!K17),企業売上!K17,"")</f>
        <v>-0.0262292711069222</v>
      </c>
    </row>
    <row r="19" customFormat="false" ht="15" hidden="false" customHeight="false" outlineLevel="0" collapsed="false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customFormat="false" ht="15" hidden="false" customHeight="false" outlineLevel="0" collapsed="false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customFormat="false" ht="15" hidden="false" customHeight="false" outlineLevel="0" collapsed="false">
      <c r="A21" s="4" t="s">
        <v>88</v>
      </c>
      <c r="B21" s="3"/>
      <c r="C21" s="3"/>
      <c r="D21" s="3"/>
      <c r="E21" s="3"/>
      <c r="F21" s="3"/>
      <c r="G21" s="3"/>
      <c r="H21" s="3"/>
      <c r="I21" s="3"/>
      <c r="J21" s="3"/>
    </row>
    <row r="22" customFormat="false" ht="15" hidden="false" customHeight="false" outlineLevel="0" collapsed="false">
      <c r="A22" s="1"/>
      <c r="B22" s="1" t="s">
        <v>89</v>
      </c>
      <c r="C22" s="1" t="s">
        <v>90</v>
      </c>
      <c r="D22" s="1" t="s">
        <v>91</v>
      </c>
      <c r="E22" s="1" t="s">
        <v>92</v>
      </c>
      <c r="F22" s="3"/>
      <c r="G22" s="3"/>
      <c r="H22" s="3"/>
      <c r="I22" s="3"/>
      <c r="J22" s="3"/>
    </row>
    <row r="23" customFormat="false" ht="15" hidden="false" customHeight="false" outlineLevel="0" collapsed="false">
      <c r="A23" s="9" t="s">
        <v>93</v>
      </c>
      <c r="B23" s="11" t="n">
        <f aca="false">IF(SUMPRODUCT(--ISNUMBER($B$5:$B$18),--ISNUMBER($G$5:$G$18))&lt;6,"",IFERROR(CORREL($B$5:$B$18,$G$5:$G$18),""))</f>
        <v>0.25736001408235</v>
      </c>
      <c r="C23" s="11" t="n">
        <f aca="false">IF(SUMPRODUCT(--ISNUMBER($B$5:$B$18),--ISNUMBER($H$5:$H$18))&lt;6,"",IFERROR(CORREL($B$5:$B$18,$H$5:$H$18),""))</f>
        <v>0.0928592215168335</v>
      </c>
      <c r="D23" s="11" t="n">
        <f aca="false">IF(SUMPRODUCT(--ISNUMBER($B$5:$B$18),--ISNUMBER($I$5:$I$18))&lt;6,"",IFERROR(CORREL($B$5:$B$18,$I$5:$I$18),""))</f>
        <v>0.126178295291415</v>
      </c>
      <c r="E23" s="11" t="n">
        <f aca="false">IF(SUMPRODUCT(--ISNUMBER($B$5:$B$18),--ISNUMBER($J$5:$J$18))&lt;6,"",IFERROR(CORREL($B$5:$B$18,$J$5:$J$18),""))</f>
        <v>-0.101166717983567</v>
      </c>
      <c r="F23" s="3"/>
      <c r="G23" s="3"/>
      <c r="H23" s="3"/>
      <c r="I23" s="3"/>
      <c r="J23" s="3"/>
    </row>
    <row r="24" customFormat="false" ht="15" hidden="false" customHeight="false" outlineLevel="0" collapsed="false">
      <c r="A24" s="9" t="s">
        <v>94</v>
      </c>
      <c r="B24" s="11" t="n">
        <f aca="false">IF(SUMPRODUCT(--ISNUMBER($C$5:$C$18),--ISNUMBER($G$5:$G$18))&lt;6,"",IFERROR(CORREL($C$5:$C$18,$G$5:$G$18),""))</f>
        <v>0.902357863772355</v>
      </c>
      <c r="C24" s="11" t="n">
        <f aca="false">IF(SUMPRODUCT(--ISNUMBER($C$5:$C$18),--ISNUMBER($H$5:$H$18))&lt;6,"",IFERROR(CORREL($C$5:$C$18,$H$5:$H$18),""))</f>
        <v>0.842991158590962</v>
      </c>
      <c r="D24" s="11" t="n">
        <f aca="false">IF(SUMPRODUCT(--ISNUMBER($C$5:$C$18),--ISNUMBER($I$5:$I$18))&lt;6,"",IFERROR(CORREL($C$5:$C$18,$I$5:$I$18),""))</f>
        <v>0.204842788084166</v>
      </c>
      <c r="E24" s="11" t="n">
        <f aca="false">IF(SUMPRODUCT(--ISNUMBER($C$5:$C$18),--ISNUMBER($J$5:$J$18))&lt;6,"",IFERROR(CORREL($C$5:$C$18,$J$5:$J$18),""))</f>
        <v>0.839111596998112</v>
      </c>
      <c r="F24" s="3"/>
      <c r="G24" s="3"/>
      <c r="H24" s="3"/>
      <c r="I24" s="3"/>
      <c r="J24" s="3"/>
    </row>
    <row r="25" customFormat="false" ht="15" hidden="false" customHeight="false" outlineLevel="0" collapsed="false">
      <c r="A25" s="3" t="s">
        <v>95</v>
      </c>
      <c r="B25" s="11" t="n">
        <f aca="false">IF(SUMPRODUCT(--ISNUMBER($D$5:$D$18),--ISNUMBER($G$5:$G$18))&lt;6,"",IFERROR(CORREL($D$5:$D$18,$G$5:$G$18),""))</f>
        <v>0.496135633291226</v>
      </c>
      <c r="C25" s="11" t="n">
        <f aca="false">IF(SUMPRODUCT(--ISNUMBER($D$5:$D$18),--ISNUMBER($H$5:$H$18))&lt;6,"",IFERROR(CORREL($D$5:$D$18,$H$5:$H$18),""))</f>
        <v>0.317886644956669</v>
      </c>
      <c r="D25" s="11" t="n">
        <f aca="false">IF(SUMPRODUCT(--ISNUMBER($D$5:$D$18),--ISNUMBER($I$5:$I$18))&lt;6,"",IFERROR(CORREL($D$5:$D$18,$I$5:$I$18),""))</f>
        <v>0.217717031521902</v>
      </c>
      <c r="E25" s="11" t="n">
        <f aca="false">IF(SUMPRODUCT(--ISNUMBER($D$5:$D$18),--ISNUMBER($J$5:$J$18))&lt;6,"",IFERROR(CORREL($D$5:$D$18,$J$5:$J$18),""))</f>
        <v>0.21797564851739</v>
      </c>
      <c r="F25" s="3"/>
      <c r="G25" s="3"/>
      <c r="H25" s="3"/>
      <c r="I25" s="3"/>
      <c r="J25" s="3"/>
    </row>
    <row r="26" customFormat="false" ht="15" hidden="false" customHeight="false" outlineLevel="0" collapsed="false">
      <c r="A26" s="9" t="s">
        <v>96</v>
      </c>
      <c r="B26" s="11" t="n">
        <f aca="false">IF(SUMPRODUCT(--ISNUMBER($E$5:$E$18),--ISNUMBER($G$5:$G$18))&lt;6,"",IFERROR(CORREL($E$5:$E$18,$G$5:$G$18),""))</f>
        <v>0.394497567942845</v>
      </c>
      <c r="C26" s="11" t="n">
        <f aca="false">IF(SUMPRODUCT(--ISNUMBER($E$5:$E$18),--ISNUMBER($H$5:$H$18))&lt;6,"",IFERROR(CORREL($E$5:$E$18,$H$5:$H$18),""))</f>
        <v>0.133136422114439</v>
      </c>
      <c r="D26" s="11" t="n">
        <f aca="false">IF(SUMPRODUCT(--ISNUMBER($E$5:$E$18),--ISNUMBER($I$5:$I$18))&lt;6,"",IFERROR(CORREL($E$5:$E$18,$I$5:$I$18),""))</f>
        <v>0.0020247767905013</v>
      </c>
      <c r="E26" s="11" t="n">
        <f aca="false">IF(SUMPRODUCT(--ISNUMBER($E$5:$E$18),--ISNUMBER($J$5:$J$18))&lt;6,"",IFERROR(CORREL($E$5:$E$18,$J$5:$J$18),""))</f>
        <v>0.311587048635027</v>
      </c>
      <c r="F26" s="3"/>
      <c r="G26" s="3"/>
      <c r="H26" s="3"/>
      <c r="I26" s="3"/>
      <c r="J26" s="3"/>
    </row>
    <row r="27" customFormat="false" ht="15" hidden="false" customHeight="false" outlineLevel="0" collapsed="false">
      <c r="A27" s="3" t="s">
        <v>97</v>
      </c>
      <c r="B27" s="11" t="n">
        <f aca="false">IF(SUMPRODUCT(--ISNUMBER($F$5:$F$18),--ISNUMBER($G$5:$G$18))&lt;6,"",IFERROR(CORREL($F$5:$F$18,$G$5:$G$18),""))</f>
        <v>0.736966993100709</v>
      </c>
      <c r="C27" s="11" t="n">
        <f aca="false">IF(SUMPRODUCT(--ISNUMBER($F$5:$F$18),--ISNUMBER($H$5:$H$18))&lt;6,"",IFERROR(CORREL($F$5:$F$18,$H$5:$H$18),""))</f>
        <v>0.556872944031354</v>
      </c>
      <c r="D27" s="11" t="n">
        <f aca="false">IF(SUMPRODUCT(--ISNUMBER($F$5:$F$18),--ISNUMBER($I$5:$I$18))&lt;6,"",IFERROR(CORREL($F$5:$F$18,$I$5:$I$18),""))</f>
        <v>0.250581354151803</v>
      </c>
      <c r="E27" s="11" t="n">
        <f aca="false">IF(SUMPRODUCT(--ISNUMBER($F$5:$F$18),--ISNUMBER($J$5:$J$18))&lt;6,"",IFERROR(CORREL($F$5:$F$18,$J$5:$J$18),""))</f>
        <v>0.441887326129305</v>
      </c>
      <c r="F27" s="3"/>
      <c r="G27" s="3"/>
      <c r="H27" s="3"/>
      <c r="I27" s="3"/>
      <c r="J27" s="3"/>
    </row>
    <row r="28" customFormat="false" ht="15" hidden="false" customHeight="false" outlineLevel="0" collapsed="false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customFormat="false" ht="15" hidden="false" customHeight="false" outlineLevel="0" collapsed="false">
      <c r="A29" s="9" t="s">
        <v>98</v>
      </c>
      <c r="B29" s="3"/>
      <c r="C29" s="3"/>
      <c r="D29" s="3"/>
      <c r="E29" s="3"/>
      <c r="F29" s="3"/>
      <c r="G29" s="3"/>
      <c r="H29" s="3"/>
      <c r="I29" s="3"/>
      <c r="J29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4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3" min="2" style="0" width="14"/>
  </cols>
  <sheetData>
    <row r="1" customFormat="false" ht="15" hidden="false" customHeight="false" outlineLevel="0" collapsed="false">
      <c r="A1" s="4" t="s">
        <v>99</v>
      </c>
      <c r="B1" s="4" t="s">
        <v>100</v>
      </c>
      <c r="C1" s="1" t="s">
        <v>101</v>
      </c>
      <c r="D1" s="4" t="s">
        <v>102</v>
      </c>
      <c r="E1" s="4" t="s">
        <v>103</v>
      </c>
      <c r="F1" s="1" t="s">
        <v>104</v>
      </c>
    </row>
    <row r="2" customFormat="false" ht="15" hidden="false" customHeight="false" outlineLevel="0" collapsed="false">
      <c r="A2" s="12" t="n">
        <v>44927</v>
      </c>
      <c r="B2" s="3" t="s">
        <v>95</v>
      </c>
      <c r="C2" s="3" t="s">
        <v>105</v>
      </c>
      <c r="D2" s="3" t="n">
        <v>2701068</v>
      </c>
      <c r="E2" s="3" t="s">
        <v>106</v>
      </c>
      <c r="F2" s="3" t="n">
        <f aca="false">IF(C2="848630",0,1)</f>
        <v>1</v>
      </c>
    </row>
    <row r="3" customFormat="false" ht="15" hidden="false" customHeight="false" outlineLevel="0" collapsed="false">
      <c r="A3" s="12" t="n">
        <v>44927</v>
      </c>
      <c r="B3" s="3" t="s">
        <v>95</v>
      </c>
      <c r="C3" s="3" t="s">
        <v>107</v>
      </c>
      <c r="D3" s="3" t="n">
        <v>59768177</v>
      </c>
      <c r="E3" s="3" t="s">
        <v>106</v>
      </c>
      <c r="F3" s="3" t="n">
        <f aca="false">IF(C3="848630",0,1)</f>
        <v>1</v>
      </c>
    </row>
    <row r="4" customFormat="false" ht="15" hidden="false" customHeight="false" outlineLevel="0" collapsed="false">
      <c r="A4" s="12" t="n">
        <v>44927</v>
      </c>
      <c r="B4" s="3" t="s">
        <v>95</v>
      </c>
      <c r="C4" s="3" t="s">
        <v>108</v>
      </c>
      <c r="D4" s="3" t="n">
        <v>8897655</v>
      </c>
      <c r="E4" s="3" t="s">
        <v>106</v>
      </c>
      <c r="F4" s="3" t="n">
        <f aca="false">IF(C4="848630",0,1)</f>
        <v>1</v>
      </c>
    </row>
    <row r="5" customFormat="false" ht="15" hidden="false" customHeight="false" outlineLevel="0" collapsed="false">
      <c r="A5" s="12" t="n">
        <v>44927</v>
      </c>
      <c r="B5" s="3" t="s">
        <v>95</v>
      </c>
      <c r="C5" s="3" t="s">
        <v>109</v>
      </c>
      <c r="D5" s="3" t="n">
        <v>31245786</v>
      </c>
      <c r="E5" s="3" t="s">
        <v>106</v>
      </c>
      <c r="F5" s="3" t="n">
        <f aca="false">IF(C5="848630",0,1)</f>
        <v>1</v>
      </c>
    </row>
    <row r="6" customFormat="false" ht="15" hidden="false" customHeight="false" outlineLevel="0" collapsed="false">
      <c r="A6" s="12" t="n">
        <v>44927</v>
      </c>
      <c r="B6" s="3" t="s">
        <v>95</v>
      </c>
      <c r="C6" s="3" t="s">
        <v>110</v>
      </c>
      <c r="D6" s="3" t="n">
        <v>4639682</v>
      </c>
      <c r="E6" s="3" t="s">
        <v>106</v>
      </c>
      <c r="F6" s="3" t="n">
        <f aca="false">IF(C6="848630",0,1)</f>
        <v>1</v>
      </c>
    </row>
    <row r="7" customFormat="false" ht="15" hidden="false" customHeight="false" outlineLevel="0" collapsed="false">
      <c r="A7" s="12" t="n">
        <v>44927</v>
      </c>
      <c r="B7" s="3" t="s">
        <v>95</v>
      </c>
      <c r="C7" s="3" t="s">
        <v>111</v>
      </c>
      <c r="D7" s="3" t="n">
        <v>1854842</v>
      </c>
      <c r="E7" s="3" t="s">
        <v>106</v>
      </c>
      <c r="F7" s="3" t="n">
        <f aca="false">IF(C7="848630",0,1)</f>
        <v>1</v>
      </c>
    </row>
    <row r="8" customFormat="false" ht="15" hidden="false" customHeight="false" outlineLevel="0" collapsed="false">
      <c r="A8" s="12" t="n">
        <v>44958</v>
      </c>
      <c r="B8" s="3" t="s">
        <v>95</v>
      </c>
      <c r="C8" s="3" t="s">
        <v>105</v>
      </c>
      <c r="D8" s="3" t="n">
        <v>2457116</v>
      </c>
      <c r="E8" s="3" t="s">
        <v>106</v>
      </c>
      <c r="F8" s="3" t="n">
        <f aca="false">IF(C8="848630",0,1)</f>
        <v>1</v>
      </c>
    </row>
    <row r="9" customFormat="false" ht="15" hidden="false" customHeight="false" outlineLevel="0" collapsed="false">
      <c r="A9" s="12" t="n">
        <v>44958</v>
      </c>
      <c r="B9" s="3" t="s">
        <v>95</v>
      </c>
      <c r="C9" s="3" t="s">
        <v>107</v>
      </c>
      <c r="D9" s="3" t="n">
        <v>72816528</v>
      </c>
      <c r="E9" s="3" t="s">
        <v>106</v>
      </c>
      <c r="F9" s="3" t="n">
        <f aca="false">IF(C9="848630",0,1)</f>
        <v>1</v>
      </c>
    </row>
    <row r="10" customFormat="false" ht="15" hidden="false" customHeight="false" outlineLevel="0" collapsed="false">
      <c r="A10" s="12" t="n">
        <v>44958</v>
      </c>
      <c r="B10" s="3" t="s">
        <v>95</v>
      </c>
      <c r="C10" s="3" t="s">
        <v>108</v>
      </c>
      <c r="D10" s="3" t="n">
        <v>6258595</v>
      </c>
      <c r="E10" s="3" t="s">
        <v>106</v>
      </c>
      <c r="F10" s="3" t="n">
        <f aca="false">IF(C10="848630",0,1)</f>
        <v>1</v>
      </c>
    </row>
    <row r="11" customFormat="false" ht="15" hidden="false" customHeight="false" outlineLevel="0" collapsed="false">
      <c r="A11" s="12" t="n">
        <v>44958</v>
      </c>
      <c r="B11" s="3" t="s">
        <v>95</v>
      </c>
      <c r="C11" s="3" t="s">
        <v>109</v>
      </c>
      <c r="D11" s="3" t="n">
        <v>31829306</v>
      </c>
      <c r="E11" s="3" t="s">
        <v>106</v>
      </c>
      <c r="F11" s="3" t="n">
        <f aca="false">IF(C11="848630",0,1)</f>
        <v>1</v>
      </c>
    </row>
    <row r="12" customFormat="false" ht="15" hidden="false" customHeight="false" outlineLevel="0" collapsed="false">
      <c r="A12" s="12" t="n">
        <v>44958</v>
      </c>
      <c r="B12" s="3" t="s">
        <v>95</v>
      </c>
      <c r="C12" s="3" t="s">
        <v>110</v>
      </c>
      <c r="D12" s="3" t="n">
        <v>3083575</v>
      </c>
      <c r="E12" s="3" t="s">
        <v>106</v>
      </c>
      <c r="F12" s="3" t="n">
        <f aca="false">IF(C12="848630",0,1)</f>
        <v>1</v>
      </c>
    </row>
    <row r="13" customFormat="false" ht="15" hidden="false" customHeight="false" outlineLevel="0" collapsed="false">
      <c r="A13" s="12" t="n">
        <v>44958</v>
      </c>
      <c r="B13" s="3" t="s">
        <v>95</v>
      </c>
      <c r="C13" s="3" t="s">
        <v>111</v>
      </c>
      <c r="D13" s="3" t="n">
        <v>2453415</v>
      </c>
      <c r="E13" s="3" t="s">
        <v>106</v>
      </c>
      <c r="F13" s="3" t="n">
        <f aca="false">IF(C13="848630",0,1)</f>
        <v>1</v>
      </c>
    </row>
    <row r="14" customFormat="false" ht="15" hidden="false" customHeight="false" outlineLevel="0" collapsed="false">
      <c r="A14" s="12" t="n">
        <v>44986</v>
      </c>
      <c r="B14" s="3" t="s">
        <v>95</v>
      </c>
      <c r="C14" s="3" t="s">
        <v>105</v>
      </c>
      <c r="D14" s="3" t="n">
        <v>18023458</v>
      </c>
      <c r="E14" s="3" t="s">
        <v>106</v>
      </c>
      <c r="F14" s="3" t="n">
        <f aca="false">IF(C14="848630",0,1)</f>
        <v>1</v>
      </c>
    </row>
    <row r="15" customFormat="false" ht="15" hidden="false" customHeight="false" outlineLevel="0" collapsed="false">
      <c r="A15" s="12" t="n">
        <v>44986</v>
      </c>
      <c r="B15" s="3" t="s">
        <v>95</v>
      </c>
      <c r="C15" s="3" t="s">
        <v>107</v>
      </c>
      <c r="D15" s="3" t="n">
        <v>198943688</v>
      </c>
      <c r="E15" s="3" t="s">
        <v>106</v>
      </c>
      <c r="F15" s="3" t="n">
        <f aca="false">IF(C15="848630",0,1)</f>
        <v>1</v>
      </c>
    </row>
    <row r="16" customFormat="false" ht="15" hidden="false" customHeight="false" outlineLevel="0" collapsed="false">
      <c r="A16" s="12" t="n">
        <v>44986</v>
      </c>
      <c r="B16" s="3" t="s">
        <v>95</v>
      </c>
      <c r="C16" s="3" t="s">
        <v>108</v>
      </c>
      <c r="D16" s="3" t="n">
        <v>12088765</v>
      </c>
      <c r="E16" s="3" t="s">
        <v>106</v>
      </c>
      <c r="F16" s="3" t="n">
        <f aca="false">IF(C16="848630",0,1)</f>
        <v>1</v>
      </c>
    </row>
    <row r="17" customFormat="false" ht="15" hidden="false" customHeight="false" outlineLevel="0" collapsed="false">
      <c r="A17" s="12" t="n">
        <v>44986</v>
      </c>
      <c r="B17" s="3" t="s">
        <v>95</v>
      </c>
      <c r="C17" s="3" t="s">
        <v>109</v>
      </c>
      <c r="D17" s="3" t="n">
        <v>35593796</v>
      </c>
      <c r="E17" s="3" t="s">
        <v>106</v>
      </c>
      <c r="F17" s="3" t="n">
        <f aca="false">IF(C17="848630",0,1)</f>
        <v>1</v>
      </c>
    </row>
    <row r="18" customFormat="false" ht="15" hidden="false" customHeight="false" outlineLevel="0" collapsed="false">
      <c r="A18" s="12" t="n">
        <v>44986</v>
      </c>
      <c r="B18" s="3" t="s">
        <v>95</v>
      </c>
      <c r="C18" s="3" t="s">
        <v>110</v>
      </c>
      <c r="D18" s="3" t="n">
        <v>5240999</v>
      </c>
      <c r="E18" s="3" t="s">
        <v>106</v>
      </c>
      <c r="F18" s="3" t="n">
        <f aca="false">IF(C18="848630",0,1)</f>
        <v>1</v>
      </c>
    </row>
    <row r="19" customFormat="false" ht="15" hidden="false" customHeight="false" outlineLevel="0" collapsed="false">
      <c r="A19" s="12" t="n">
        <v>44986</v>
      </c>
      <c r="B19" s="3" t="s">
        <v>95</v>
      </c>
      <c r="C19" s="3" t="s">
        <v>111</v>
      </c>
      <c r="D19" s="3" t="n">
        <v>1208869</v>
      </c>
      <c r="E19" s="3" t="s">
        <v>106</v>
      </c>
      <c r="F19" s="3" t="n">
        <f aca="false">IF(C19="848630",0,1)</f>
        <v>1</v>
      </c>
    </row>
    <row r="20" customFormat="false" ht="15" hidden="false" customHeight="false" outlineLevel="0" collapsed="false">
      <c r="A20" s="12" t="n">
        <v>45017</v>
      </c>
      <c r="B20" s="3" t="s">
        <v>95</v>
      </c>
      <c r="C20" s="3" t="s">
        <v>105</v>
      </c>
      <c r="D20" s="3" t="n">
        <v>11627741</v>
      </c>
      <c r="E20" s="3" t="s">
        <v>106</v>
      </c>
      <c r="F20" s="3" t="n">
        <f aca="false">IF(C20="848630",0,1)</f>
        <v>1</v>
      </c>
    </row>
    <row r="21" customFormat="false" ht="15" hidden="false" customHeight="false" outlineLevel="0" collapsed="false">
      <c r="A21" s="12" t="n">
        <v>45017</v>
      </c>
      <c r="B21" s="3" t="s">
        <v>95</v>
      </c>
      <c r="C21" s="3" t="s">
        <v>107</v>
      </c>
      <c r="D21" s="3" t="n">
        <v>129872761</v>
      </c>
      <c r="E21" s="3" t="s">
        <v>106</v>
      </c>
      <c r="F21" s="3" t="n">
        <f aca="false">IF(C21="848630",0,1)</f>
        <v>1</v>
      </c>
    </row>
    <row r="22" customFormat="false" ht="15" hidden="false" customHeight="false" outlineLevel="0" collapsed="false">
      <c r="A22" s="12" t="n">
        <v>45017</v>
      </c>
      <c r="B22" s="3" t="s">
        <v>95</v>
      </c>
      <c r="C22" s="3" t="s">
        <v>108</v>
      </c>
      <c r="D22" s="3" t="n">
        <v>12736278</v>
      </c>
      <c r="E22" s="3" t="s">
        <v>106</v>
      </c>
      <c r="F22" s="3" t="n">
        <f aca="false">IF(C22="848630",0,1)</f>
        <v>1</v>
      </c>
    </row>
    <row r="23" customFormat="false" ht="15" hidden="false" customHeight="false" outlineLevel="0" collapsed="false">
      <c r="A23" s="12" t="n">
        <v>45017</v>
      </c>
      <c r="B23" s="3" t="s">
        <v>95</v>
      </c>
      <c r="C23" s="3" t="s">
        <v>109</v>
      </c>
      <c r="D23" s="3" t="n">
        <v>62328796</v>
      </c>
      <c r="E23" s="3" t="s">
        <v>106</v>
      </c>
      <c r="F23" s="3" t="n">
        <f aca="false">IF(C23="848630",0,1)</f>
        <v>1</v>
      </c>
    </row>
    <row r="24" customFormat="false" ht="15" hidden="false" customHeight="false" outlineLevel="0" collapsed="false">
      <c r="A24" s="12" t="n">
        <v>45017</v>
      </c>
      <c r="B24" s="3" t="s">
        <v>95</v>
      </c>
      <c r="C24" s="3" t="s">
        <v>110</v>
      </c>
      <c r="D24" s="3" t="n">
        <v>7877868</v>
      </c>
      <c r="E24" s="3" t="s">
        <v>106</v>
      </c>
      <c r="F24" s="3" t="n">
        <f aca="false">IF(C24="848630",0,1)</f>
        <v>1</v>
      </c>
    </row>
    <row r="25" customFormat="false" ht="15" hidden="false" customHeight="false" outlineLevel="0" collapsed="false">
      <c r="A25" s="12" t="n">
        <v>45017</v>
      </c>
      <c r="B25" s="3" t="s">
        <v>95</v>
      </c>
      <c r="C25" s="3" t="s">
        <v>111</v>
      </c>
      <c r="D25" s="3" t="n">
        <v>16970399</v>
      </c>
      <c r="E25" s="3" t="s">
        <v>106</v>
      </c>
      <c r="F25" s="3" t="n">
        <f aca="false">IF(C25="848630",0,1)</f>
        <v>1</v>
      </c>
    </row>
    <row r="26" customFormat="false" ht="15" hidden="false" customHeight="false" outlineLevel="0" collapsed="false">
      <c r="A26" s="12" t="n">
        <v>45047</v>
      </c>
      <c r="B26" s="3" t="s">
        <v>95</v>
      </c>
      <c r="C26" s="3" t="s">
        <v>105</v>
      </c>
      <c r="D26" s="3" t="n">
        <v>5370050</v>
      </c>
      <c r="E26" s="3" t="s">
        <v>106</v>
      </c>
      <c r="F26" s="3" t="n">
        <f aca="false">IF(C26="848630",0,1)</f>
        <v>1</v>
      </c>
    </row>
    <row r="27" customFormat="false" ht="15" hidden="false" customHeight="false" outlineLevel="0" collapsed="false">
      <c r="A27" s="12" t="n">
        <v>45047</v>
      </c>
      <c r="B27" s="3" t="s">
        <v>95</v>
      </c>
      <c r="C27" s="3" t="s">
        <v>107</v>
      </c>
      <c r="D27" s="3" t="n">
        <v>208577149</v>
      </c>
      <c r="E27" s="3" t="s">
        <v>106</v>
      </c>
      <c r="F27" s="3" t="n">
        <f aca="false">IF(C27="848630",0,1)</f>
        <v>1</v>
      </c>
    </row>
    <row r="28" customFormat="false" ht="15" hidden="false" customHeight="false" outlineLevel="0" collapsed="false">
      <c r="A28" s="12" t="n">
        <v>45047</v>
      </c>
      <c r="B28" s="3" t="s">
        <v>95</v>
      </c>
      <c r="C28" s="3" t="s">
        <v>112</v>
      </c>
      <c r="D28" s="3" t="n">
        <v>82</v>
      </c>
      <c r="E28" s="3" t="s">
        <v>106</v>
      </c>
      <c r="F28" s="3" t="n">
        <f aca="false">IF(C28="848630",0,1)</f>
        <v>0</v>
      </c>
    </row>
    <row r="29" customFormat="false" ht="15" hidden="false" customHeight="false" outlineLevel="0" collapsed="false">
      <c r="A29" s="12" t="n">
        <v>45047</v>
      </c>
      <c r="B29" s="3" t="s">
        <v>95</v>
      </c>
      <c r="C29" s="3" t="s">
        <v>108</v>
      </c>
      <c r="D29" s="3" t="n">
        <v>7877260</v>
      </c>
      <c r="E29" s="3" t="s">
        <v>106</v>
      </c>
      <c r="F29" s="3" t="n">
        <f aca="false">IF(C29="848630",0,1)</f>
        <v>1</v>
      </c>
    </row>
    <row r="30" customFormat="false" ht="15" hidden="false" customHeight="false" outlineLevel="0" collapsed="false">
      <c r="A30" s="12" t="n">
        <v>45047</v>
      </c>
      <c r="B30" s="3" t="s">
        <v>95</v>
      </c>
      <c r="C30" s="3" t="s">
        <v>109</v>
      </c>
      <c r="D30" s="3" t="n">
        <v>62025429</v>
      </c>
      <c r="E30" s="3" t="s">
        <v>106</v>
      </c>
      <c r="F30" s="3" t="n">
        <f aca="false">IF(C30="848630",0,1)</f>
        <v>1</v>
      </c>
    </row>
    <row r="31" customFormat="false" ht="15" hidden="false" customHeight="false" outlineLevel="0" collapsed="false">
      <c r="A31" s="12" t="n">
        <v>45047</v>
      </c>
      <c r="B31" s="3" t="s">
        <v>95</v>
      </c>
      <c r="C31" s="3" t="s">
        <v>110</v>
      </c>
      <c r="D31" s="3" t="n">
        <v>2820341</v>
      </c>
      <c r="E31" s="3" t="s">
        <v>106</v>
      </c>
      <c r="F31" s="3" t="n">
        <f aca="false">IF(C31="848630",0,1)</f>
        <v>1</v>
      </c>
    </row>
    <row r="32" customFormat="false" ht="15" hidden="false" customHeight="false" outlineLevel="0" collapsed="false">
      <c r="A32" s="12" t="n">
        <v>45047</v>
      </c>
      <c r="B32" s="3" t="s">
        <v>95</v>
      </c>
      <c r="C32" s="3" t="s">
        <v>111</v>
      </c>
      <c r="D32" s="3" t="n">
        <v>3244881</v>
      </c>
      <c r="E32" s="3" t="s">
        <v>106</v>
      </c>
      <c r="F32" s="3" t="n">
        <f aca="false">IF(C32="848630",0,1)</f>
        <v>1</v>
      </c>
    </row>
    <row r="33" customFormat="false" ht="15" hidden="false" customHeight="false" outlineLevel="0" collapsed="false">
      <c r="A33" s="12" t="n">
        <v>45078</v>
      </c>
      <c r="B33" s="3" t="s">
        <v>95</v>
      </c>
      <c r="C33" s="3" t="s">
        <v>105</v>
      </c>
      <c r="D33" s="3" t="n">
        <v>11141929</v>
      </c>
      <c r="E33" s="3" t="s">
        <v>106</v>
      </c>
      <c r="F33" s="3" t="n">
        <f aca="false">IF(C33="848630",0,1)</f>
        <v>1</v>
      </c>
    </row>
    <row r="34" customFormat="false" ht="15" hidden="false" customHeight="false" outlineLevel="0" collapsed="false">
      <c r="A34" s="12" t="n">
        <v>45078</v>
      </c>
      <c r="B34" s="3" t="s">
        <v>95</v>
      </c>
      <c r="C34" s="3" t="s">
        <v>107</v>
      </c>
      <c r="D34" s="3" t="n">
        <v>154435072</v>
      </c>
      <c r="E34" s="3" t="s">
        <v>106</v>
      </c>
      <c r="F34" s="3" t="n">
        <f aca="false">IF(C34="848630",0,1)</f>
        <v>1</v>
      </c>
    </row>
    <row r="35" customFormat="false" ht="15" hidden="false" customHeight="false" outlineLevel="0" collapsed="false">
      <c r="A35" s="12" t="n">
        <v>45078</v>
      </c>
      <c r="B35" s="3" t="s">
        <v>95</v>
      </c>
      <c r="C35" s="3" t="s">
        <v>108</v>
      </c>
      <c r="D35" s="3" t="n">
        <v>25076880</v>
      </c>
      <c r="E35" s="3" t="s">
        <v>106</v>
      </c>
      <c r="F35" s="3" t="n">
        <f aca="false">IF(C35="848630",0,1)</f>
        <v>1</v>
      </c>
    </row>
    <row r="36" customFormat="false" ht="15" hidden="false" customHeight="false" outlineLevel="0" collapsed="false">
      <c r="A36" s="12" t="n">
        <v>45078</v>
      </c>
      <c r="B36" s="3" t="s">
        <v>95</v>
      </c>
      <c r="C36" s="3" t="s">
        <v>109</v>
      </c>
      <c r="D36" s="3" t="n">
        <v>48650262</v>
      </c>
      <c r="E36" s="3" t="s">
        <v>106</v>
      </c>
      <c r="F36" s="3" t="n">
        <f aca="false">IF(C36="848630",0,1)</f>
        <v>1</v>
      </c>
    </row>
    <row r="37" customFormat="false" ht="15" hidden="false" customHeight="false" outlineLevel="0" collapsed="false">
      <c r="A37" s="12" t="n">
        <v>45078</v>
      </c>
      <c r="B37" s="3" t="s">
        <v>95</v>
      </c>
      <c r="C37" s="3" t="s">
        <v>110</v>
      </c>
      <c r="D37" s="3" t="n">
        <v>4078204</v>
      </c>
      <c r="E37" s="3" t="s">
        <v>106</v>
      </c>
      <c r="F37" s="3" t="n">
        <f aca="false">IF(C37="848630",0,1)</f>
        <v>1</v>
      </c>
    </row>
    <row r="38" customFormat="false" ht="15" hidden="false" customHeight="false" outlineLevel="0" collapsed="false">
      <c r="A38" s="12" t="n">
        <v>45078</v>
      </c>
      <c r="B38" s="3" t="s">
        <v>95</v>
      </c>
      <c r="C38" s="3" t="s">
        <v>111</v>
      </c>
      <c r="D38" s="3" t="n">
        <v>1924984</v>
      </c>
      <c r="E38" s="3" t="s">
        <v>106</v>
      </c>
      <c r="F38" s="3" t="n">
        <f aca="false">IF(C38="848630",0,1)</f>
        <v>1</v>
      </c>
    </row>
    <row r="39" customFormat="false" ht="15" hidden="false" customHeight="false" outlineLevel="0" collapsed="false">
      <c r="A39" s="12" t="n">
        <v>45108</v>
      </c>
      <c r="B39" s="3" t="s">
        <v>95</v>
      </c>
      <c r="C39" s="3" t="s">
        <v>105</v>
      </c>
      <c r="D39" s="3" t="n">
        <v>10775567</v>
      </c>
      <c r="E39" s="3" t="s">
        <v>106</v>
      </c>
      <c r="F39" s="3" t="n">
        <f aca="false">IF(C39="848630",0,1)</f>
        <v>1</v>
      </c>
    </row>
    <row r="40" customFormat="false" ht="15" hidden="false" customHeight="false" outlineLevel="0" collapsed="false">
      <c r="A40" s="12" t="n">
        <v>45108</v>
      </c>
      <c r="B40" s="3" t="s">
        <v>95</v>
      </c>
      <c r="C40" s="3" t="s">
        <v>107</v>
      </c>
      <c r="D40" s="3" t="n">
        <v>80709087</v>
      </c>
      <c r="E40" s="3" t="s">
        <v>106</v>
      </c>
      <c r="F40" s="3" t="n">
        <f aca="false">IF(C40="848630",0,1)</f>
        <v>1</v>
      </c>
    </row>
    <row r="41" customFormat="false" ht="15" hidden="false" customHeight="false" outlineLevel="0" collapsed="false">
      <c r="A41" s="12" t="n">
        <v>45108</v>
      </c>
      <c r="B41" s="3" t="s">
        <v>95</v>
      </c>
      <c r="C41" s="3" t="s">
        <v>112</v>
      </c>
      <c r="D41" s="3" t="n">
        <v>35474</v>
      </c>
      <c r="E41" s="3" t="s">
        <v>106</v>
      </c>
      <c r="F41" s="3" t="n">
        <f aca="false">IF(C41="848630",0,1)</f>
        <v>0</v>
      </c>
    </row>
    <row r="42" customFormat="false" ht="15" hidden="false" customHeight="false" outlineLevel="0" collapsed="false">
      <c r="A42" s="12" t="n">
        <v>45108</v>
      </c>
      <c r="B42" s="3" t="s">
        <v>95</v>
      </c>
      <c r="C42" s="3" t="s">
        <v>108</v>
      </c>
      <c r="D42" s="3" t="n">
        <v>16006528</v>
      </c>
      <c r="E42" s="3" t="s">
        <v>106</v>
      </c>
      <c r="F42" s="3" t="n">
        <f aca="false">IF(C42="848630",0,1)</f>
        <v>1</v>
      </c>
    </row>
    <row r="43" customFormat="false" ht="15" hidden="false" customHeight="false" outlineLevel="0" collapsed="false">
      <c r="A43" s="12" t="n">
        <v>45108</v>
      </c>
      <c r="B43" s="3" t="s">
        <v>95</v>
      </c>
      <c r="C43" s="3" t="s">
        <v>109</v>
      </c>
      <c r="D43" s="3" t="n">
        <v>35434357</v>
      </c>
      <c r="E43" s="3" t="s">
        <v>106</v>
      </c>
      <c r="F43" s="3" t="n">
        <f aca="false">IF(C43="848630",0,1)</f>
        <v>1</v>
      </c>
    </row>
    <row r="44" customFormat="false" ht="15" hidden="false" customHeight="false" outlineLevel="0" collapsed="false">
      <c r="A44" s="12" t="n">
        <v>45108</v>
      </c>
      <c r="B44" s="3" t="s">
        <v>95</v>
      </c>
      <c r="C44" s="3" t="s">
        <v>110</v>
      </c>
      <c r="D44" s="3" t="n">
        <v>5445112</v>
      </c>
      <c r="E44" s="3" t="s">
        <v>106</v>
      </c>
      <c r="F44" s="3" t="n">
        <f aca="false">IF(C44="848630",0,1)</f>
        <v>1</v>
      </c>
    </row>
    <row r="45" customFormat="false" ht="15" hidden="false" customHeight="false" outlineLevel="0" collapsed="false">
      <c r="A45" s="12" t="n">
        <v>45108</v>
      </c>
      <c r="B45" s="3" t="s">
        <v>95</v>
      </c>
      <c r="C45" s="3" t="s">
        <v>111</v>
      </c>
      <c r="D45" s="3" t="n">
        <v>5841446</v>
      </c>
      <c r="E45" s="3" t="s">
        <v>106</v>
      </c>
      <c r="F45" s="3" t="n">
        <f aca="false">IF(C45="848630",0,1)</f>
        <v>1</v>
      </c>
    </row>
    <row r="46" customFormat="false" ht="15" hidden="false" customHeight="false" outlineLevel="0" collapsed="false">
      <c r="A46" s="12" t="n">
        <v>45139</v>
      </c>
      <c r="B46" s="3" t="s">
        <v>95</v>
      </c>
      <c r="C46" s="3" t="s">
        <v>105</v>
      </c>
      <c r="D46" s="3" t="n">
        <v>14505845</v>
      </c>
      <c r="E46" s="3" t="s">
        <v>106</v>
      </c>
      <c r="F46" s="3" t="n">
        <f aca="false">IF(C46="848630",0,1)</f>
        <v>1</v>
      </c>
    </row>
    <row r="47" customFormat="false" ht="15" hidden="false" customHeight="false" outlineLevel="0" collapsed="false">
      <c r="A47" s="12" t="n">
        <v>45139</v>
      </c>
      <c r="B47" s="3" t="s">
        <v>95</v>
      </c>
      <c r="C47" s="3" t="s">
        <v>107</v>
      </c>
      <c r="D47" s="3" t="n">
        <v>61138034</v>
      </c>
      <c r="E47" s="3" t="s">
        <v>106</v>
      </c>
      <c r="F47" s="3" t="n">
        <f aca="false">IF(C47="848630",0,1)</f>
        <v>1</v>
      </c>
    </row>
    <row r="48" customFormat="false" ht="15" hidden="false" customHeight="false" outlineLevel="0" collapsed="false">
      <c r="A48" s="12" t="n">
        <v>45139</v>
      </c>
      <c r="B48" s="3" t="s">
        <v>95</v>
      </c>
      <c r="C48" s="3" t="s">
        <v>112</v>
      </c>
      <c r="D48" s="3" t="n">
        <v>684599</v>
      </c>
      <c r="E48" s="3" t="s">
        <v>106</v>
      </c>
      <c r="F48" s="3" t="n">
        <f aca="false">IF(C48="848630",0,1)</f>
        <v>0</v>
      </c>
    </row>
    <row r="49" customFormat="false" ht="15" hidden="false" customHeight="false" outlineLevel="0" collapsed="false">
      <c r="A49" s="12" t="n">
        <v>45139</v>
      </c>
      <c r="B49" s="3" t="s">
        <v>95</v>
      </c>
      <c r="C49" s="3" t="s">
        <v>108</v>
      </c>
      <c r="D49" s="3" t="n">
        <v>7679441</v>
      </c>
      <c r="E49" s="3" t="s">
        <v>106</v>
      </c>
      <c r="F49" s="3" t="n">
        <f aca="false">IF(C49="848630",0,1)</f>
        <v>1</v>
      </c>
    </row>
    <row r="50" customFormat="false" ht="15" hidden="false" customHeight="false" outlineLevel="0" collapsed="false">
      <c r="A50" s="12" t="n">
        <v>45139</v>
      </c>
      <c r="B50" s="3" t="s">
        <v>95</v>
      </c>
      <c r="C50" s="3" t="s">
        <v>109</v>
      </c>
      <c r="D50" s="3" t="n">
        <v>45938692</v>
      </c>
      <c r="E50" s="3" t="s">
        <v>106</v>
      </c>
      <c r="F50" s="3" t="n">
        <f aca="false">IF(C50="848630",0,1)</f>
        <v>1</v>
      </c>
    </row>
    <row r="51" customFormat="false" ht="15" hidden="false" customHeight="false" outlineLevel="0" collapsed="false">
      <c r="A51" s="12" t="n">
        <v>45139</v>
      </c>
      <c r="B51" s="3" t="s">
        <v>95</v>
      </c>
      <c r="C51" s="3" t="s">
        <v>110</v>
      </c>
      <c r="D51" s="3" t="n">
        <v>7004419</v>
      </c>
      <c r="E51" s="3" t="s">
        <v>106</v>
      </c>
      <c r="F51" s="3" t="n">
        <f aca="false">IF(C51="848630",0,1)</f>
        <v>1</v>
      </c>
    </row>
    <row r="52" customFormat="false" ht="15" hidden="false" customHeight="false" outlineLevel="0" collapsed="false">
      <c r="A52" s="12" t="n">
        <v>45139</v>
      </c>
      <c r="B52" s="3" t="s">
        <v>95</v>
      </c>
      <c r="C52" s="3" t="s">
        <v>111</v>
      </c>
      <c r="D52" s="3" t="n">
        <v>3644707</v>
      </c>
      <c r="E52" s="3" t="s">
        <v>106</v>
      </c>
      <c r="F52" s="3" t="n">
        <f aca="false">IF(C52="848630",0,1)</f>
        <v>1</v>
      </c>
    </row>
    <row r="53" customFormat="false" ht="15" hidden="false" customHeight="false" outlineLevel="0" collapsed="false">
      <c r="A53" s="12" t="n">
        <v>45170</v>
      </c>
      <c r="B53" s="3" t="s">
        <v>95</v>
      </c>
      <c r="C53" s="3" t="s">
        <v>105</v>
      </c>
      <c r="D53" s="3" t="n">
        <v>17001263</v>
      </c>
      <c r="E53" s="3" t="s">
        <v>106</v>
      </c>
      <c r="F53" s="3" t="n">
        <f aca="false">IF(C53="848630",0,1)</f>
        <v>1</v>
      </c>
    </row>
    <row r="54" customFormat="false" ht="15" hidden="false" customHeight="false" outlineLevel="0" collapsed="false">
      <c r="A54" s="12" t="n">
        <v>45170</v>
      </c>
      <c r="B54" s="3" t="s">
        <v>95</v>
      </c>
      <c r="C54" s="3" t="s">
        <v>107</v>
      </c>
      <c r="D54" s="3" t="n">
        <v>55558596</v>
      </c>
      <c r="E54" s="3" t="s">
        <v>106</v>
      </c>
      <c r="F54" s="3" t="n">
        <f aca="false">IF(C54="848630",0,1)</f>
        <v>1</v>
      </c>
    </row>
    <row r="55" customFormat="false" ht="15" hidden="false" customHeight="false" outlineLevel="0" collapsed="false">
      <c r="A55" s="12" t="n">
        <v>45170</v>
      </c>
      <c r="B55" s="3" t="s">
        <v>95</v>
      </c>
      <c r="C55" s="3" t="s">
        <v>108</v>
      </c>
      <c r="D55" s="3" t="n">
        <v>10574440</v>
      </c>
      <c r="E55" s="3" t="s">
        <v>106</v>
      </c>
      <c r="F55" s="3" t="n">
        <f aca="false">IF(C55="848630",0,1)</f>
        <v>1</v>
      </c>
    </row>
    <row r="56" customFormat="false" ht="15" hidden="false" customHeight="false" outlineLevel="0" collapsed="false">
      <c r="A56" s="12" t="n">
        <v>45170</v>
      </c>
      <c r="B56" s="3" t="s">
        <v>95</v>
      </c>
      <c r="C56" s="3" t="s">
        <v>109</v>
      </c>
      <c r="D56" s="3" t="n">
        <v>32119109</v>
      </c>
      <c r="E56" s="3" t="s">
        <v>106</v>
      </c>
      <c r="F56" s="3" t="n">
        <f aca="false">IF(C56="848630",0,1)</f>
        <v>1</v>
      </c>
    </row>
    <row r="57" customFormat="false" ht="15" hidden="false" customHeight="false" outlineLevel="0" collapsed="false">
      <c r="A57" s="12" t="n">
        <v>45170</v>
      </c>
      <c r="B57" s="3" t="s">
        <v>95</v>
      </c>
      <c r="C57" s="3" t="s">
        <v>110</v>
      </c>
      <c r="D57" s="3" t="n">
        <v>6019312</v>
      </c>
      <c r="E57" s="3" t="s">
        <v>106</v>
      </c>
      <c r="F57" s="3" t="n">
        <f aca="false">IF(C57="848630",0,1)</f>
        <v>1</v>
      </c>
    </row>
    <row r="58" customFormat="false" ht="15" hidden="false" customHeight="false" outlineLevel="0" collapsed="false">
      <c r="A58" s="12" t="n">
        <v>45170</v>
      </c>
      <c r="B58" s="3" t="s">
        <v>95</v>
      </c>
      <c r="C58" s="3" t="s">
        <v>111</v>
      </c>
      <c r="D58" s="3" t="n">
        <v>11997886</v>
      </c>
      <c r="E58" s="3" t="s">
        <v>106</v>
      </c>
      <c r="F58" s="3" t="n">
        <f aca="false">IF(C58="848630",0,1)</f>
        <v>1</v>
      </c>
    </row>
    <row r="59" customFormat="false" ht="15" hidden="false" customHeight="false" outlineLevel="0" collapsed="false">
      <c r="A59" s="12" t="n">
        <v>45200</v>
      </c>
      <c r="B59" s="3" t="s">
        <v>95</v>
      </c>
      <c r="C59" s="3" t="s">
        <v>105</v>
      </c>
      <c r="D59" s="3" t="n">
        <v>7215764</v>
      </c>
      <c r="E59" s="3" t="s">
        <v>106</v>
      </c>
      <c r="F59" s="3" t="n">
        <f aca="false">IF(C59="848630",0,1)</f>
        <v>1</v>
      </c>
    </row>
    <row r="60" customFormat="false" ht="15" hidden="false" customHeight="false" outlineLevel="0" collapsed="false">
      <c r="A60" s="12" t="n">
        <v>45200</v>
      </c>
      <c r="B60" s="3" t="s">
        <v>95</v>
      </c>
      <c r="C60" s="3" t="s">
        <v>107</v>
      </c>
      <c r="D60" s="3" t="n">
        <v>95315663</v>
      </c>
      <c r="E60" s="3" t="s">
        <v>106</v>
      </c>
      <c r="F60" s="3" t="n">
        <f aca="false">IF(C60="848630",0,1)</f>
        <v>1</v>
      </c>
    </row>
    <row r="61" customFormat="false" ht="15" hidden="false" customHeight="false" outlineLevel="0" collapsed="false">
      <c r="A61" s="12" t="n">
        <v>45200</v>
      </c>
      <c r="B61" s="3" t="s">
        <v>95</v>
      </c>
      <c r="C61" s="3" t="s">
        <v>112</v>
      </c>
      <c r="D61" s="3" t="n">
        <v>225251</v>
      </c>
      <c r="E61" s="3" t="s">
        <v>106</v>
      </c>
      <c r="F61" s="3" t="n">
        <f aca="false">IF(C61="848630",0,1)</f>
        <v>0</v>
      </c>
    </row>
    <row r="62" customFormat="false" ht="15" hidden="false" customHeight="false" outlineLevel="0" collapsed="false">
      <c r="A62" s="12" t="n">
        <v>45200</v>
      </c>
      <c r="B62" s="3" t="s">
        <v>95</v>
      </c>
      <c r="C62" s="3" t="s">
        <v>108</v>
      </c>
      <c r="D62" s="3" t="n">
        <v>4562720</v>
      </c>
      <c r="E62" s="3" t="s">
        <v>106</v>
      </c>
      <c r="F62" s="3" t="n">
        <f aca="false">IF(C62="848630",0,1)</f>
        <v>1</v>
      </c>
    </row>
    <row r="63" customFormat="false" ht="15" hidden="false" customHeight="false" outlineLevel="0" collapsed="false">
      <c r="A63" s="12" t="n">
        <v>45200</v>
      </c>
      <c r="B63" s="3" t="s">
        <v>95</v>
      </c>
      <c r="C63" s="3" t="s">
        <v>109</v>
      </c>
      <c r="D63" s="3" t="n">
        <v>36910314</v>
      </c>
      <c r="E63" s="3" t="s">
        <v>106</v>
      </c>
      <c r="F63" s="3" t="n">
        <f aca="false">IF(C63="848630",0,1)</f>
        <v>1</v>
      </c>
    </row>
    <row r="64" customFormat="false" ht="15" hidden="false" customHeight="false" outlineLevel="0" collapsed="false">
      <c r="A64" s="12" t="n">
        <v>45200</v>
      </c>
      <c r="B64" s="3" t="s">
        <v>95</v>
      </c>
      <c r="C64" s="3" t="s">
        <v>110</v>
      </c>
      <c r="D64" s="3" t="n">
        <v>6513390</v>
      </c>
      <c r="E64" s="3" t="s">
        <v>106</v>
      </c>
      <c r="F64" s="3" t="n">
        <f aca="false">IF(C64="848630",0,1)</f>
        <v>1</v>
      </c>
    </row>
    <row r="65" customFormat="false" ht="15" hidden="false" customHeight="false" outlineLevel="0" collapsed="false">
      <c r="A65" s="12" t="n">
        <v>45200</v>
      </c>
      <c r="B65" s="3" t="s">
        <v>95</v>
      </c>
      <c r="C65" s="3" t="s">
        <v>111</v>
      </c>
      <c r="D65" s="3" t="n">
        <v>5004068</v>
      </c>
      <c r="E65" s="3" t="s">
        <v>106</v>
      </c>
      <c r="F65" s="3" t="n">
        <f aca="false">IF(C65="848630",0,1)</f>
        <v>1</v>
      </c>
    </row>
    <row r="66" customFormat="false" ht="15" hidden="false" customHeight="false" outlineLevel="0" collapsed="false">
      <c r="A66" s="12" t="n">
        <v>45231</v>
      </c>
      <c r="B66" s="3" t="s">
        <v>95</v>
      </c>
      <c r="C66" s="3" t="s">
        <v>105</v>
      </c>
      <c r="D66" s="3" t="n">
        <v>10261408</v>
      </c>
      <c r="E66" s="3" t="s">
        <v>106</v>
      </c>
      <c r="F66" s="3" t="n">
        <f aca="false">IF(C66="848630",0,1)</f>
        <v>1</v>
      </c>
    </row>
    <row r="67" customFormat="false" ht="15" hidden="false" customHeight="false" outlineLevel="0" collapsed="false">
      <c r="A67" s="12" t="n">
        <v>45231</v>
      </c>
      <c r="B67" s="3" t="s">
        <v>95</v>
      </c>
      <c r="C67" s="3" t="s">
        <v>107</v>
      </c>
      <c r="D67" s="3" t="n">
        <v>60825055</v>
      </c>
      <c r="E67" s="3" t="s">
        <v>106</v>
      </c>
      <c r="F67" s="3" t="n">
        <f aca="false">IF(C67="848630",0,1)</f>
        <v>1</v>
      </c>
    </row>
    <row r="68" customFormat="false" ht="15" hidden="false" customHeight="false" outlineLevel="0" collapsed="false">
      <c r="A68" s="12" t="n">
        <v>45231</v>
      </c>
      <c r="B68" s="3" t="s">
        <v>95</v>
      </c>
      <c r="C68" s="3" t="s">
        <v>112</v>
      </c>
      <c r="D68" s="3" t="n">
        <v>154366</v>
      </c>
      <c r="E68" s="3" t="s">
        <v>106</v>
      </c>
      <c r="F68" s="3" t="n">
        <f aca="false">IF(C68="848630",0,1)</f>
        <v>0</v>
      </c>
    </row>
    <row r="69" customFormat="false" ht="15" hidden="false" customHeight="false" outlineLevel="0" collapsed="false">
      <c r="A69" s="12" t="n">
        <v>45231</v>
      </c>
      <c r="B69" s="3" t="s">
        <v>95</v>
      </c>
      <c r="C69" s="3" t="s">
        <v>108</v>
      </c>
      <c r="D69" s="3" t="n">
        <v>3221162</v>
      </c>
      <c r="E69" s="3" t="s">
        <v>106</v>
      </c>
      <c r="F69" s="3" t="n">
        <f aca="false">IF(C69="848630",0,1)</f>
        <v>1</v>
      </c>
    </row>
    <row r="70" customFormat="false" ht="15" hidden="false" customHeight="false" outlineLevel="0" collapsed="false">
      <c r="A70" s="12" t="n">
        <v>45231</v>
      </c>
      <c r="B70" s="3" t="s">
        <v>95</v>
      </c>
      <c r="C70" s="3" t="s">
        <v>109</v>
      </c>
      <c r="D70" s="3" t="n">
        <v>35547864</v>
      </c>
      <c r="E70" s="3" t="s">
        <v>106</v>
      </c>
      <c r="F70" s="3" t="n">
        <f aca="false">IF(C70="848630",0,1)</f>
        <v>1</v>
      </c>
    </row>
    <row r="71" customFormat="false" ht="15" hidden="false" customHeight="false" outlineLevel="0" collapsed="false">
      <c r="A71" s="12" t="n">
        <v>45231</v>
      </c>
      <c r="B71" s="3" t="s">
        <v>95</v>
      </c>
      <c r="C71" s="3" t="s">
        <v>110</v>
      </c>
      <c r="D71" s="3" t="n">
        <v>3391158</v>
      </c>
      <c r="E71" s="3" t="s">
        <v>106</v>
      </c>
      <c r="F71" s="3" t="n">
        <f aca="false">IF(C71="848630",0,1)</f>
        <v>1</v>
      </c>
    </row>
    <row r="72" customFormat="false" ht="15" hidden="false" customHeight="false" outlineLevel="0" collapsed="false">
      <c r="A72" s="12" t="n">
        <v>45231</v>
      </c>
      <c r="B72" s="3" t="s">
        <v>95</v>
      </c>
      <c r="C72" s="3" t="s">
        <v>111</v>
      </c>
      <c r="D72" s="3" t="n">
        <v>569887</v>
      </c>
      <c r="E72" s="3" t="s">
        <v>106</v>
      </c>
      <c r="F72" s="3" t="n">
        <f aca="false">IF(C72="848630",0,1)</f>
        <v>1</v>
      </c>
    </row>
    <row r="73" customFormat="false" ht="15" hidden="false" customHeight="false" outlineLevel="0" collapsed="false">
      <c r="A73" s="12" t="n">
        <v>45261</v>
      </c>
      <c r="B73" s="3" t="s">
        <v>95</v>
      </c>
      <c r="C73" s="3" t="s">
        <v>105</v>
      </c>
      <c r="D73" s="3" t="n">
        <v>7861977</v>
      </c>
      <c r="E73" s="3" t="s">
        <v>106</v>
      </c>
      <c r="F73" s="3" t="n">
        <f aca="false">IF(C73="848630",0,1)</f>
        <v>1</v>
      </c>
    </row>
    <row r="74" customFormat="false" ht="15" hidden="false" customHeight="false" outlineLevel="0" collapsed="false">
      <c r="A74" s="12" t="n">
        <v>45261</v>
      </c>
      <c r="B74" s="3" t="s">
        <v>95</v>
      </c>
      <c r="C74" s="3" t="s">
        <v>107</v>
      </c>
      <c r="D74" s="3" t="n">
        <v>12047340</v>
      </c>
      <c r="E74" s="3" t="s">
        <v>106</v>
      </c>
      <c r="F74" s="3" t="n">
        <f aca="false">IF(C74="848630",0,1)</f>
        <v>1</v>
      </c>
    </row>
    <row r="75" customFormat="false" ht="15" hidden="false" customHeight="false" outlineLevel="0" collapsed="false">
      <c r="A75" s="12" t="n">
        <v>45261</v>
      </c>
      <c r="B75" s="3" t="s">
        <v>95</v>
      </c>
      <c r="C75" s="3" t="s">
        <v>108</v>
      </c>
      <c r="D75" s="3" t="n">
        <v>1708235</v>
      </c>
      <c r="E75" s="3" t="s">
        <v>106</v>
      </c>
      <c r="F75" s="3" t="n">
        <f aca="false">IF(C75="848630",0,1)</f>
        <v>1</v>
      </c>
    </row>
    <row r="76" customFormat="false" ht="15" hidden="false" customHeight="false" outlineLevel="0" collapsed="false">
      <c r="A76" s="12" t="n">
        <v>45261</v>
      </c>
      <c r="B76" s="3" t="s">
        <v>95</v>
      </c>
      <c r="C76" s="3" t="s">
        <v>109</v>
      </c>
      <c r="D76" s="3" t="n">
        <v>34041919</v>
      </c>
      <c r="E76" s="3" t="s">
        <v>106</v>
      </c>
      <c r="F76" s="3" t="n">
        <f aca="false">IF(C76="848630",0,1)</f>
        <v>1</v>
      </c>
    </row>
    <row r="77" customFormat="false" ht="15" hidden="false" customHeight="false" outlineLevel="0" collapsed="false">
      <c r="A77" s="12" t="n">
        <v>45261</v>
      </c>
      <c r="B77" s="3" t="s">
        <v>95</v>
      </c>
      <c r="C77" s="3" t="s">
        <v>110</v>
      </c>
      <c r="D77" s="3" t="n">
        <v>2891298</v>
      </c>
      <c r="E77" s="3" t="s">
        <v>106</v>
      </c>
      <c r="F77" s="3" t="n">
        <f aca="false">IF(C77="848630",0,1)</f>
        <v>1</v>
      </c>
    </row>
    <row r="78" customFormat="false" ht="15" hidden="false" customHeight="false" outlineLevel="0" collapsed="false">
      <c r="A78" s="12" t="n">
        <v>45261</v>
      </c>
      <c r="B78" s="3" t="s">
        <v>95</v>
      </c>
      <c r="C78" s="3" t="s">
        <v>111</v>
      </c>
      <c r="D78" s="3" t="n">
        <v>753169</v>
      </c>
      <c r="E78" s="3" t="s">
        <v>106</v>
      </c>
      <c r="F78" s="3" t="n">
        <f aca="false">IF(C78="848630",0,1)</f>
        <v>1</v>
      </c>
    </row>
    <row r="79" customFormat="false" ht="15" hidden="false" customHeight="false" outlineLevel="0" collapsed="false">
      <c r="A79" s="12" t="n">
        <v>45292</v>
      </c>
      <c r="B79" s="3" t="s">
        <v>95</v>
      </c>
      <c r="C79" s="3" t="s">
        <v>105</v>
      </c>
      <c r="D79" s="3" t="n">
        <v>19300225</v>
      </c>
      <c r="E79" s="3" t="s">
        <v>106</v>
      </c>
      <c r="F79" s="3" t="n">
        <f aca="false">IF(C79="848630",0,1)</f>
        <v>1</v>
      </c>
    </row>
    <row r="80" customFormat="false" ht="15" hidden="false" customHeight="false" outlineLevel="0" collapsed="false">
      <c r="A80" s="12" t="n">
        <v>45292</v>
      </c>
      <c r="B80" s="3" t="s">
        <v>95</v>
      </c>
      <c r="C80" s="3" t="s">
        <v>107</v>
      </c>
      <c r="D80" s="3" t="n">
        <v>47340780</v>
      </c>
      <c r="E80" s="3" t="s">
        <v>106</v>
      </c>
      <c r="F80" s="3" t="n">
        <f aca="false">IF(C80="848630",0,1)</f>
        <v>1</v>
      </c>
    </row>
    <row r="81" customFormat="false" ht="15" hidden="false" customHeight="false" outlineLevel="0" collapsed="false">
      <c r="A81" s="12" t="n">
        <v>45292</v>
      </c>
      <c r="B81" s="3" t="s">
        <v>95</v>
      </c>
      <c r="C81" s="3" t="s">
        <v>108</v>
      </c>
      <c r="D81" s="3" t="n">
        <v>6709707</v>
      </c>
      <c r="E81" s="3" t="s">
        <v>106</v>
      </c>
      <c r="F81" s="3" t="n">
        <f aca="false">IF(C81="848630",0,1)</f>
        <v>1</v>
      </c>
    </row>
    <row r="82" customFormat="false" ht="15" hidden="false" customHeight="false" outlineLevel="0" collapsed="false">
      <c r="A82" s="12" t="n">
        <v>45292</v>
      </c>
      <c r="B82" s="3" t="s">
        <v>95</v>
      </c>
      <c r="C82" s="3" t="s">
        <v>109</v>
      </c>
      <c r="D82" s="3" t="n">
        <v>26333363</v>
      </c>
      <c r="E82" s="3" t="s">
        <v>106</v>
      </c>
      <c r="F82" s="3" t="n">
        <f aca="false">IF(C82="848630",0,1)</f>
        <v>1</v>
      </c>
    </row>
    <row r="83" customFormat="false" ht="15" hidden="false" customHeight="false" outlineLevel="0" collapsed="false">
      <c r="A83" s="12" t="n">
        <v>45292</v>
      </c>
      <c r="B83" s="3" t="s">
        <v>95</v>
      </c>
      <c r="C83" s="3" t="s">
        <v>110</v>
      </c>
      <c r="D83" s="3" t="n">
        <v>9238348</v>
      </c>
      <c r="E83" s="3" t="s">
        <v>106</v>
      </c>
      <c r="F83" s="3" t="n">
        <f aca="false">IF(C83="848630",0,1)</f>
        <v>1</v>
      </c>
    </row>
    <row r="84" customFormat="false" ht="15" hidden="false" customHeight="false" outlineLevel="0" collapsed="false">
      <c r="A84" s="12" t="n">
        <v>45292</v>
      </c>
      <c r="B84" s="3" t="s">
        <v>95</v>
      </c>
      <c r="C84" s="3" t="s">
        <v>111</v>
      </c>
      <c r="D84" s="3" t="n">
        <v>35560026</v>
      </c>
      <c r="E84" s="3" t="s">
        <v>106</v>
      </c>
      <c r="F84" s="3" t="n">
        <f aca="false">IF(C84="848630",0,1)</f>
        <v>1</v>
      </c>
    </row>
    <row r="85" customFormat="false" ht="15" hidden="false" customHeight="false" outlineLevel="0" collapsed="false">
      <c r="A85" s="12" t="n">
        <v>45323</v>
      </c>
      <c r="B85" s="3" t="s">
        <v>95</v>
      </c>
      <c r="C85" s="3" t="s">
        <v>105</v>
      </c>
      <c r="D85" s="3" t="n">
        <v>9454580</v>
      </c>
      <c r="E85" s="3" t="s">
        <v>106</v>
      </c>
      <c r="F85" s="3" t="n">
        <f aca="false">IF(C85="848630",0,1)</f>
        <v>1</v>
      </c>
    </row>
    <row r="86" customFormat="false" ht="15" hidden="false" customHeight="false" outlineLevel="0" collapsed="false">
      <c r="A86" s="12" t="n">
        <v>45323</v>
      </c>
      <c r="B86" s="3" t="s">
        <v>95</v>
      </c>
      <c r="C86" s="3" t="s">
        <v>107</v>
      </c>
      <c r="D86" s="3" t="n">
        <v>82940223</v>
      </c>
      <c r="E86" s="3" t="s">
        <v>106</v>
      </c>
      <c r="F86" s="3" t="n">
        <f aca="false">IF(C86="848630",0,1)</f>
        <v>1</v>
      </c>
    </row>
    <row r="87" customFormat="false" ht="15" hidden="false" customHeight="false" outlineLevel="0" collapsed="false">
      <c r="A87" s="12" t="n">
        <v>45323</v>
      </c>
      <c r="B87" s="3" t="s">
        <v>95</v>
      </c>
      <c r="C87" s="3" t="s">
        <v>112</v>
      </c>
      <c r="D87" s="3" t="n">
        <v>17361</v>
      </c>
      <c r="E87" s="3" t="s">
        <v>106</v>
      </c>
      <c r="F87" s="3" t="n">
        <f aca="false">IF(C87="848630",0,1)</f>
        <v>0</v>
      </c>
    </row>
    <row r="88" customFormat="false" ht="15" hidden="false" customHeight="false" outlineLevel="0" collapsed="false">
      <c r="A88" s="12" t="n">
        <v>45323</v>
      </c>
      <c r="B88" s="3" t="s">
        <v>95</v>
      </c>
      <c r="C88" s="3" t="s">
        <v>108</v>
      </c>
      <c r="D88" s="3" t="n">
        <v>1168862</v>
      </c>
      <c r="E88" s="3" t="s">
        <v>106</v>
      </c>
      <c r="F88" s="3" t="n">
        <f aca="false">IF(C88="848630",0,1)</f>
        <v>1</v>
      </c>
    </row>
    <row r="89" customFormat="false" ht="15" hidden="false" customHeight="false" outlineLevel="0" collapsed="false">
      <c r="A89" s="12" t="n">
        <v>45323</v>
      </c>
      <c r="B89" s="3" t="s">
        <v>95</v>
      </c>
      <c r="C89" s="3" t="s">
        <v>109</v>
      </c>
      <c r="D89" s="3" t="n">
        <v>32916130</v>
      </c>
      <c r="E89" s="3" t="s">
        <v>106</v>
      </c>
      <c r="F89" s="3" t="n">
        <f aca="false">IF(C89="848630",0,1)</f>
        <v>1</v>
      </c>
    </row>
    <row r="90" customFormat="false" ht="15" hidden="false" customHeight="false" outlineLevel="0" collapsed="false">
      <c r="A90" s="12" t="n">
        <v>45323</v>
      </c>
      <c r="B90" s="3" t="s">
        <v>95</v>
      </c>
      <c r="C90" s="3" t="s">
        <v>110</v>
      </c>
      <c r="D90" s="3" t="n">
        <v>4476561</v>
      </c>
      <c r="E90" s="3" t="s">
        <v>106</v>
      </c>
      <c r="F90" s="3" t="n">
        <f aca="false">IF(C90="848630",0,1)</f>
        <v>1</v>
      </c>
    </row>
    <row r="91" customFormat="false" ht="15" hidden="false" customHeight="false" outlineLevel="0" collapsed="false">
      <c r="A91" s="12" t="n">
        <v>45323</v>
      </c>
      <c r="B91" s="3" t="s">
        <v>95</v>
      </c>
      <c r="C91" s="3" t="s">
        <v>111</v>
      </c>
      <c r="D91" s="3" t="n">
        <v>4083442</v>
      </c>
      <c r="E91" s="3" t="s">
        <v>106</v>
      </c>
      <c r="F91" s="3" t="n">
        <f aca="false">IF(C91="848630",0,1)</f>
        <v>1</v>
      </c>
    </row>
    <row r="92" customFormat="false" ht="15" hidden="false" customHeight="false" outlineLevel="0" collapsed="false">
      <c r="A92" s="12" t="n">
        <v>45352</v>
      </c>
      <c r="B92" s="3" t="s">
        <v>95</v>
      </c>
      <c r="C92" s="3" t="s">
        <v>105</v>
      </c>
      <c r="D92" s="3" t="n">
        <v>36693136</v>
      </c>
      <c r="E92" s="3" t="s">
        <v>106</v>
      </c>
      <c r="F92" s="3" t="n">
        <f aca="false">IF(C92="848630",0,1)</f>
        <v>1</v>
      </c>
    </row>
    <row r="93" customFormat="false" ht="15" hidden="false" customHeight="false" outlineLevel="0" collapsed="false">
      <c r="A93" s="12" t="n">
        <v>45352</v>
      </c>
      <c r="B93" s="3" t="s">
        <v>95</v>
      </c>
      <c r="C93" s="3" t="s">
        <v>107</v>
      </c>
      <c r="D93" s="3" t="n">
        <v>71291817</v>
      </c>
      <c r="E93" s="3" t="s">
        <v>106</v>
      </c>
      <c r="F93" s="3" t="n">
        <f aca="false">IF(C93="848630",0,1)</f>
        <v>1</v>
      </c>
    </row>
    <row r="94" customFormat="false" ht="15" hidden="false" customHeight="false" outlineLevel="0" collapsed="false">
      <c r="A94" s="12" t="n">
        <v>45352</v>
      </c>
      <c r="B94" s="3" t="s">
        <v>95</v>
      </c>
      <c r="C94" s="3" t="s">
        <v>112</v>
      </c>
      <c r="D94" s="3" t="n">
        <v>13286</v>
      </c>
      <c r="E94" s="3" t="s">
        <v>106</v>
      </c>
      <c r="F94" s="3" t="n">
        <f aca="false">IF(C94="848630",0,1)</f>
        <v>0</v>
      </c>
    </row>
    <row r="95" customFormat="false" ht="15" hidden="false" customHeight="false" outlineLevel="0" collapsed="false">
      <c r="A95" s="12" t="n">
        <v>45352</v>
      </c>
      <c r="B95" s="3" t="s">
        <v>95</v>
      </c>
      <c r="C95" s="3" t="s">
        <v>108</v>
      </c>
      <c r="D95" s="3" t="n">
        <v>6947665</v>
      </c>
      <c r="E95" s="3" t="s">
        <v>106</v>
      </c>
      <c r="F95" s="3" t="n">
        <f aca="false">IF(C95="848630",0,1)</f>
        <v>1</v>
      </c>
    </row>
    <row r="96" customFormat="false" ht="15" hidden="false" customHeight="false" outlineLevel="0" collapsed="false">
      <c r="A96" s="12" t="n">
        <v>45352</v>
      </c>
      <c r="B96" s="3" t="s">
        <v>95</v>
      </c>
      <c r="C96" s="3" t="s">
        <v>109</v>
      </c>
      <c r="D96" s="3" t="n">
        <v>30309895</v>
      </c>
      <c r="E96" s="3" t="s">
        <v>106</v>
      </c>
      <c r="F96" s="3" t="n">
        <f aca="false">IF(C96="848630",0,1)</f>
        <v>1</v>
      </c>
    </row>
    <row r="97" customFormat="false" ht="15" hidden="false" customHeight="false" outlineLevel="0" collapsed="false">
      <c r="A97" s="12" t="n">
        <v>45352</v>
      </c>
      <c r="B97" s="3" t="s">
        <v>95</v>
      </c>
      <c r="C97" s="3" t="s">
        <v>110</v>
      </c>
      <c r="D97" s="3" t="n">
        <v>2625695</v>
      </c>
      <c r="E97" s="3" t="s">
        <v>106</v>
      </c>
      <c r="F97" s="3" t="n">
        <f aca="false">IF(C97="848630",0,1)</f>
        <v>1</v>
      </c>
    </row>
    <row r="98" customFormat="false" ht="15" hidden="false" customHeight="false" outlineLevel="0" collapsed="false">
      <c r="A98" s="12" t="n">
        <v>45352</v>
      </c>
      <c r="B98" s="3" t="s">
        <v>95</v>
      </c>
      <c r="C98" s="3" t="s">
        <v>111</v>
      </c>
      <c r="D98" s="3" t="n">
        <v>5892597</v>
      </c>
      <c r="E98" s="3" t="s">
        <v>106</v>
      </c>
      <c r="F98" s="3" t="n">
        <f aca="false">IF(C98="848630",0,1)</f>
        <v>1</v>
      </c>
    </row>
    <row r="99" customFormat="false" ht="15" hidden="false" customHeight="false" outlineLevel="0" collapsed="false">
      <c r="A99" s="12" t="n">
        <v>45383</v>
      </c>
      <c r="B99" s="3" t="s">
        <v>95</v>
      </c>
      <c r="C99" s="3" t="s">
        <v>105</v>
      </c>
      <c r="D99" s="3" t="n">
        <v>19117198</v>
      </c>
      <c r="E99" s="3" t="s">
        <v>106</v>
      </c>
      <c r="F99" s="3" t="n">
        <f aca="false">IF(C99="848630",0,1)</f>
        <v>1</v>
      </c>
    </row>
    <row r="100" customFormat="false" ht="15" hidden="false" customHeight="false" outlineLevel="0" collapsed="false">
      <c r="A100" s="12" t="n">
        <v>45383</v>
      </c>
      <c r="B100" s="3" t="s">
        <v>95</v>
      </c>
      <c r="C100" s="3" t="s">
        <v>107</v>
      </c>
      <c r="D100" s="3" t="n">
        <v>49224248</v>
      </c>
      <c r="E100" s="3" t="s">
        <v>106</v>
      </c>
      <c r="F100" s="3" t="n">
        <f aca="false">IF(C100="848630",0,1)</f>
        <v>1</v>
      </c>
    </row>
    <row r="101" customFormat="false" ht="15" hidden="false" customHeight="false" outlineLevel="0" collapsed="false">
      <c r="A101" s="12" t="n">
        <v>45383</v>
      </c>
      <c r="B101" s="3" t="s">
        <v>95</v>
      </c>
      <c r="C101" s="3" t="s">
        <v>108</v>
      </c>
      <c r="D101" s="3" t="n">
        <v>7274489</v>
      </c>
      <c r="E101" s="3" t="s">
        <v>106</v>
      </c>
      <c r="F101" s="3" t="n">
        <f aca="false">IF(C101="848630",0,1)</f>
        <v>1</v>
      </c>
    </row>
    <row r="102" customFormat="false" ht="15" hidden="false" customHeight="false" outlineLevel="0" collapsed="false">
      <c r="A102" s="12" t="n">
        <v>45383</v>
      </c>
      <c r="B102" s="3" t="s">
        <v>95</v>
      </c>
      <c r="C102" s="3" t="s">
        <v>109</v>
      </c>
      <c r="D102" s="3" t="n">
        <v>29950462</v>
      </c>
      <c r="E102" s="3" t="s">
        <v>106</v>
      </c>
      <c r="F102" s="3" t="n">
        <f aca="false">IF(C102="848630",0,1)</f>
        <v>1</v>
      </c>
    </row>
    <row r="103" customFormat="false" ht="15" hidden="false" customHeight="false" outlineLevel="0" collapsed="false">
      <c r="A103" s="12" t="n">
        <v>45383</v>
      </c>
      <c r="B103" s="3" t="s">
        <v>95</v>
      </c>
      <c r="C103" s="3" t="s">
        <v>110</v>
      </c>
      <c r="D103" s="3" t="n">
        <v>3363805</v>
      </c>
      <c r="E103" s="3" t="s">
        <v>106</v>
      </c>
      <c r="F103" s="3" t="n">
        <f aca="false">IF(C103="848630",0,1)</f>
        <v>1</v>
      </c>
    </row>
    <row r="104" customFormat="false" ht="15" hidden="false" customHeight="false" outlineLevel="0" collapsed="false">
      <c r="A104" s="12" t="n">
        <v>45383</v>
      </c>
      <c r="B104" s="3" t="s">
        <v>95</v>
      </c>
      <c r="C104" s="3" t="s">
        <v>111</v>
      </c>
      <c r="D104" s="3" t="n">
        <v>44085617</v>
      </c>
      <c r="E104" s="3" t="s">
        <v>106</v>
      </c>
      <c r="F104" s="3" t="n">
        <f aca="false">IF(C104="848630",0,1)</f>
        <v>1</v>
      </c>
    </row>
    <row r="105" customFormat="false" ht="15" hidden="false" customHeight="false" outlineLevel="0" collapsed="false">
      <c r="A105" s="12" t="n">
        <v>45413</v>
      </c>
      <c r="B105" s="3" t="s">
        <v>95</v>
      </c>
      <c r="C105" s="3" t="s">
        <v>105</v>
      </c>
      <c r="D105" s="3" t="n">
        <v>7600473</v>
      </c>
      <c r="E105" s="3" t="s">
        <v>106</v>
      </c>
      <c r="F105" s="3" t="n">
        <f aca="false">IF(C105="848630",0,1)</f>
        <v>1</v>
      </c>
    </row>
    <row r="106" customFormat="false" ht="15" hidden="false" customHeight="false" outlineLevel="0" collapsed="false">
      <c r="A106" s="12" t="n">
        <v>45413</v>
      </c>
      <c r="B106" s="3" t="s">
        <v>95</v>
      </c>
      <c r="C106" s="3" t="s">
        <v>107</v>
      </c>
      <c r="D106" s="3" t="n">
        <v>18386200</v>
      </c>
      <c r="E106" s="3" t="s">
        <v>106</v>
      </c>
      <c r="F106" s="3" t="n">
        <f aca="false">IF(C106="848630",0,1)</f>
        <v>1</v>
      </c>
    </row>
    <row r="107" customFormat="false" ht="15" hidden="false" customHeight="false" outlineLevel="0" collapsed="false">
      <c r="A107" s="12" t="n">
        <v>45413</v>
      </c>
      <c r="B107" s="3" t="s">
        <v>95</v>
      </c>
      <c r="C107" s="3" t="s">
        <v>108</v>
      </c>
      <c r="D107" s="3" t="n">
        <v>4789374</v>
      </c>
      <c r="E107" s="3" t="s">
        <v>106</v>
      </c>
      <c r="F107" s="3" t="n">
        <f aca="false">IF(C107="848630",0,1)</f>
        <v>1</v>
      </c>
    </row>
    <row r="108" customFormat="false" ht="15" hidden="false" customHeight="false" outlineLevel="0" collapsed="false">
      <c r="A108" s="12" t="n">
        <v>45413</v>
      </c>
      <c r="B108" s="3" t="s">
        <v>95</v>
      </c>
      <c r="C108" s="3" t="s">
        <v>109</v>
      </c>
      <c r="D108" s="3" t="n">
        <v>23460707</v>
      </c>
      <c r="E108" s="3" t="s">
        <v>106</v>
      </c>
      <c r="F108" s="3" t="n">
        <f aca="false">IF(C108="848630",0,1)</f>
        <v>1</v>
      </c>
    </row>
    <row r="109" customFormat="false" ht="15" hidden="false" customHeight="false" outlineLevel="0" collapsed="false">
      <c r="A109" s="12" t="n">
        <v>45413</v>
      </c>
      <c r="B109" s="3" t="s">
        <v>95</v>
      </c>
      <c r="C109" s="3" t="s">
        <v>110</v>
      </c>
      <c r="D109" s="3" t="n">
        <v>3736671</v>
      </c>
      <c r="E109" s="3" t="s">
        <v>106</v>
      </c>
      <c r="F109" s="3" t="n">
        <f aca="false">IF(C109="848630",0,1)</f>
        <v>1</v>
      </c>
    </row>
    <row r="110" customFormat="false" ht="15" hidden="false" customHeight="false" outlineLevel="0" collapsed="false">
      <c r="A110" s="12" t="n">
        <v>45413</v>
      </c>
      <c r="B110" s="3" t="s">
        <v>95</v>
      </c>
      <c r="C110" s="3" t="s">
        <v>111</v>
      </c>
      <c r="D110" s="3" t="n">
        <v>6491457</v>
      </c>
      <c r="E110" s="3" t="s">
        <v>106</v>
      </c>
      <c r="F110" s="3" t="n">
        <f aca="false">IF(C110="848630",0,1)</f>
        <v>1</v>
      </c>
    </row>
    <row r="111" customFormat="false" ht="15" hidden="false" customHeight="false" outlineLevel="0" collapsed="false">
      <c r="A111" s="12" t="n">
        <v>45444</v>
      </c>
      <c r="B111" s="3" t="s">
        <v>95</v>
      </c>
      <c r="C111" s="3" t="s">
        <v>105</v>
      </c>
      <c r="D111" s="3" t="n">
        <v>9752707</v>
      </c>
      <c r="E111" s="3" t="s">
        <v>106</v>
      </c>
      <c r="F111" s="3" t="n">
        <f aca="false">IF(C111="848630",0,1)</f>
        <v>1</v>
      </c>
    </row>
    <row r="112" customFormat="false" ht="15" hidden="false" customHeight="false" outlineLevel="0" collapsed="false">
      <c r="A112" s="12" t="n">
        <v>45444</v>
      </c>
      <c r="B112" s="3" t="s">
        <v>95</v>
      </c>
      <c r="C112" s="3" t="s">
        <v>107</v>
      </c>
      <c r="D112" s="3" t="n">
        <v>37146749</v>
      </c>
      <c r="E112" s="3" t="s">
        <v>106</v>
      </c>
      <c r="F112" s="3" t="n">
        <f aca="false">IF(C112="848630",0,1)</f>
        <v>1</v>
      </c>
    </row>
    <row r="113" customFormat="false" ht="15" hidden="false" customHeight="false" outlineLevel="0" collapsed="false">
      <c r="A113" s="12" t="n">
        <v>45444</v>
      </c>
      <c r="B113" s="3" t="s">
        <v>95</v>
      </c>
      <c r="C113" s="3" t="s">
        <v>108</v>
      </c>
      <c r="D113" s="3" t="n">
        <v>2019870</v>
      </c>
      <c r="E113" s="3" t="s">
        <v>106</v>
      </c>
      <c r="F113" s="3" t="n">
        <f aca="false">IF(C113="848630",0,1)</f>
        <v>1</v>
      </c>
    </row>
    <row r="114" customFormat="false" ht="15" hidden="false" customHeight="false" outlineLevel="0" collapsed="false">
      <c r="A114" s="12" t="n">
        <v>45444</v>
      </c>
      <c r="B114" s="3" t="s">
        <v>95</v>
      </c>
      <c r="C114" s="3" t="s">
        <v>109</v>
      </c>
      <c r="D114" s="3" t="n">
        <v>23806633</v>
      </c>
      <c r="E114" s="3" t="s">
        <v>106</v>
      </c>
      <c r="F114" s="3" t="n">
        <f aca="false">IF(C114="848630",0,1)</f>
        <v>1</v>
      </c>
    </row>
    <row r="115" customFormat="false" ht="15" hidden="false" customHeight="false" outlineLevel="0" collapsed="false">
      <c r="A115" s="12" t="n">
        <v>45444</v>
      </c>
      <c r="B115" s="3" t="s">
        <v>95</v>
      </c>
      <c r="C115" s="3" t="s">
        <v>110</v>
      </c>
      <c r="D115" s="3" t="n">
        <v>5434266</v>
      </c>
      <c r="E115" s="3" t="s">
        <v>106</v>
      </c>
      <c r="F115" s="3" t="n">
        <f aca="false">IF(C115="848630",0,1)</f>
        <v>1</v>
      </c>
    </row>
    <row r="116" customFormat="false" ht="15" hidden="false" customHeight="false" outlineLevel="0" collapsed="false">
      <c r="A116" s="12" t="n">
        <v>45444</v>
      </c>
      <c r="B116" s="3" t="s">
        <v>95</v>
      </c>
      <c r="C116" s="3" t="s">
        <v>111</v>
      </c>
      <c r="D116" s="3" t="n">
        <v>8363860</v>
      </c>
      <c r="E116" s="3" t="s">
        <v>106</v>
      </c>
      <c r="F116" s="3" t="n">
        <f aca="false">IF(C116="848630",0,1)</f>
        <v>1</v>
      </c>
    </row>
    <row r="117" customFormat="false" ht="15" hidden="false" customHeight="false" outlineLevel="0" collapsed="false">
      <c r="A117" s="12" t="n">
        <v>45474</v>
      </c>
      <c r="B117" s="3" t="s">
        <v>95</v>
      </c>
      <c r="C117" s="3" t="s">
        <v>105</v>
      </c>
      <c r="D117" s="3" t="n">
        <v>19501458</v>
      </c>
      <c r="E117" s="3" t="s">
        <v>106</v>
      </c>
      <c r="F117" s="3" t="n">
        <f aca="false">IF(C117="848630",0,1)</f>
        <v>1</v>
      </c>
    </row>
    <row r="118" customFormat="false" ht="15" hidden="false" customHeight="false" outlineLevel="0" collapsed="false">
      <c r="A118" s="12" t="n">
        <v>45474</v>
      </c>
      <c r="B118" s="3" t="s">
        <v>95</v>
      </c>
      <c r="C118" s="3" t="s">
        <v>107</v>
      </c>
      <c r="D118" s="3" t="n">
        <v>53009161</v>
      </c>
      <c r="E118" s="3" t="s">
        <v>106</v>
      </c>
      <c r="F118" s="3" t="n">
        <f aca="false">IF(C118="848630",0,1)</f>
        <v>1</v>
      </c>
    </row>
    <row r="119" customFormat="false" ht="15" hidden="false" customHeight="false" outlineLevel="0" collapsed="false">
      <c r="A119" s="12" t="n">
        <v>45474</v>
      </c>
      <c r="B119" s="3" t="s">
        <v>95</v>
      </c>
      <c r="C119" s="3" t="s">
        <v>112</v>
      </c>
      <c r="D119" s="3" t="n">
        <v>314038</v>
      </c>
      <c r="E119" s="3" t="s">
        <v>106</v>
      </c>
      <c r="F119" s="3" t="n">
        <f aca="false">IF(C119="848630",0,1)</f>
        <v>0</v>
      </c>
    </row>
    <row r="120" customFormat="false" ht="15" hidden="false" customHeight="false" outlineLevel="0" collapsed="false">
      <c r="A120" s="12" t="n">
        <v>45474</v>
      </c>
      <c r="B120" s="3" t="s">
        <v>95</v>
      </c>
      <c r="C120" s="3" t="s">
        <v>108</v>
      </c>
      <c r="D120" s="3" t="n">
        <v>5166263</v>
      </c>
      <c r="E120" s="3" t="s">
        <v>106</v>
      </c>
      <c r="F120" s="3" t="n">
        <f aca="false">IF(C120="848630",0,1)</f>
        <v>1</v>
      </c>
    </row>
    <row r="121" customFormat="false" ht="15" hidden="false" customHeight="false" outlineLevel="0" collapsed="false">
      <c r="A121" s="12" t="n">
        <v>45474</v>
      </c>
      <c r="B121" s="3" t="s">
        <v>95</v>
      </c>
      <c r="C121" s="3" t="s">
        <v>109</v>
      </c>
      <c r="D121" s="3" t="n">
        <v>27377679</v>
      </c>
      <c r="E121" s="3" t="s">
        <v>106</v>
      </c>
      <c r="F121" s="3" t="n">
        <f aca="false">IF(C121="848630",0,1)</f>
        <v>1</v>
      </c>
    </row>
    <row r="122" customFormat="false" ht="15" hidden="false" customHeight="false" outlineLevel="0" collapsed="false">
      <c r="A122" s="12" t="n">
        <v>45474</v>
      </c>
      <c r="B122" s="3" t="s">
        <v>95</v>
      </c>
      <c r="C122" s="3" t="s">
        <v>110</v>
      </c>
      <c r="D122" s="3" t="n">
        <v>2380593</v>
      </c>
      <c r="E122" s="3" t="s">
        <v>106</v>
      </c>
      <c r="F122" s="3" t="n">
        <f aca="false">IF(C122="848630",0,1)</f>
        <v>1</v>
      </c>
    </row>
    <row r="123" customFormat="false" ht="15" hidden="false" customHeight="false" outlineLevel="0" collapsed="false">
      <c r="A123" s="12" t="n">
        <v>45474</v>
      </c>
      <c r="B123" s="3" t="s">
        <v>95</v>
      </c>
      <c r="C123" s="3" t="s">
        <v>111</v>
      </c>
      <c r="D123" s="3" t="n">
        <v>2975442</v>
      </c>
      <c r="E123" s="3" t="s">
        <v>106</v>
      </c>
      <c r="F123" s="3" t="n">
        <f aca="false">IF(C123="848630",0,1)</f>
        <v>1</v>
      </c>
    </row>
    <row r="124" customFormat="false" ht="15" hidden="false" customHeight="false" outlineLevel="0" collapsed="false">
      <c r="A124" s="12" t="n">
        <v>45505</v>
      </c>
      <c r="B124" s="3" t="s">
        <v>95</v>
      </c>
      <c r="C124" s="3" t="s">
        <v>105</v>
      </c>
      <c r="D124" s="3" t="n">
        <v>12752940</v>
      </c>
      <c r="E124" s="3" t="s">
        <v>106</v>
      </c>
      <c r="F124" s="3" t="n">
        <f aca="false">IF(C124="848630",0,1)</f>
        <v>1</v>
      </c>
    </row>
    <row r="125" customFormat="false" ht="15" hidden="false" customHeight="false" outlineLevel="0" collapsed="false">
      <c r="A125" s="12" t="n">
        <v>45505</v>
      </c>
      <c r="B125" s="3" t="s">
        <v>95</v>
      </c>
      <c r="C125" s="3" t="s">
        <v>107</v>
      </c>
      <c r="D125" s="3" t="n">
        <v>55064004</v>
      </c>
      <c r="E125" s="3" t="s">
        <v>106</v>
      </c>
      <c r="F125" s="3" t="n">
        <f aca="false">IF(C125="848630",0,1)</f>
        <v>1</v>
      </c>
    </row>
    <row r="126" customFormat="false" ht="15" hidden="false" customHeight="false" outlineLevel="0" collapsed="false">
      <c r="A126" s="12" t="n">
        <v>45505</v>
      </c>
      <c r="B126" s="3" t="s">
        <v>95</v>
      </c>
      <c r="C126" s="3" t="s">
        <v>108</v>
      </c>
      <c r="D126" s="3" t="n">
        <v>4961861</v>
      </c>
      <c r="E126" s="3" t="s">
        <v>106</v>
      </c>
      <c r="F126" s="3" t="n">
        <f aca="false">IF(C126="848630",0,1)</f>
        <v>1</v>
      </c>
    </row>
    <row r="127" customFormat="false" ht="15" hidden="false" customHeight="false" outlineLevel="0" collapsed="false">
      <c r="A127" s="12" t="n">
        <v>45505</v>
      </c>
      <c r="B127" s="3" t="s">
        <v>95</v>
      </c>
      <c r="C127" s="3" t="s">
        <v>109</v>
      </c>
      <c r="D127" s="3" t="n">
        <v>30089754</v>
      </c>
      <c r="E127" s="3" t="s">
        <v>106</v>
      </c>
      <c r="F127" s="3" t="n">
        <f aca="false">IF(C127="848630",0,1)</f>
        <v>1</v>
      </c>
    </row>
    <row r="128" customFormat="false" ht="15" hidden="false" customHeight="false" outlineLevel="0" collapsed="false">
      <c r="A128" s="12" t="n">
        <v>45505</v>
      </c>
      <c r="B128" s="3" t="s">
        <v>95</v>
      </c>
      <c r="C128" s="3" t="s">
        <v>110</v>
      </c>
      <c r="D128" s="3" t="n">
        <v>3206902</v>
      </c>
      <c r="E128" s="3" t="s">
        <v>106</v>
      </c>
      <c r="F128" s="3" t="n">
        <f aca="false">IF(C128="848630",0,1)</f>
        <v>1</v>
      </c>
    </row>
    <row r="129" customFormat="false" ht="15" hidden="false" customHeight="false" outlineLevel="0" collapsed="false">
      <c r="A129" s="12" t="n">
        <v>45505</v>
      </c>
      <c r="B129" s="3" t="s">
        <v>95</v>
      </c>
      <c r="C129" s="3" t="s">
        <v>111</v>
      </c>
      <c r="D129" s="3" t="n">
        <v>36225679</v>
      </c>
      <c r="E129" s="3" t="s">
        <v>106</v>
      </c>
      <c r="F129" s="3" t="n">
        <f aca="false">IF(C129="848630",0,1)</f>
        <v>1</v>
      </c>
    </row>
    <row r="130" customFormat="false" ht="15" hidden="false" customHeight="false" outlineLevel="0" collapsed="false">
      <c r="A130" s="12" t="n">
        <v>45536</v>
      </c>
      <c r="B130" s="3" t="s">
        <v>95</v>
      </c>
      <c r="C130" s="3" t="s">
        <v>105</v>
      </c>
      <c r="D130" s="3" t="n">
        <v>8410499</v>
      </c>
      <c r="E130" s="3" t="s">
        <v>106</v>
      </c>
      <c r="F130" s="3" t="n">
        <f aca="false">IF(C130="848630",0,1)</f>
        <v>1</v>
      </c>
    </row>
    <row r="131" customFormat="false" ht="15" hidden="false" customHeight="false" outlineLevel="0" collapsed="false">
      <c r="A131" s="12" t="n">
        <v>45536</v>
      </c>
      <c r="B131" s="3" t="s">
        <v>95</v>
      </c>
      <c r="C131" s="3" t="s">
        <v>107</v>
      </c>
      <c r="D131" s="3" t="n">
        <v>30580957</v>
      </c>
      <c r="E131" s="3" t="s">
        <v>106</v>
      </c>
      <c r="F131" s="3" t="n">
        <f aca="false">IF(C131="848630",0,1)</f>
        <v>1</v>
      </c>
    </row>
    <row r="132" customFormat="false" ht="15" hidden="false" customHeight="false" outlineLevel="0" collapsed="false">
      <c r="A132" s="12" t="n">
        <v>45536</v>
      </c>
      <c r="B132" s="3" t="s">
        <v>95</v>
      </c>
      <c r="C132" s="3" t="s">
        <v>112</v>
      </c>
      <c r="D132" s="3" t="n">
        <v>59</v>
      </c>
      <c r="E132" s="3" t="s">
        <v>106</v>
      </c>
      <c r="F132" s="3" t="n">
        <f aca="false">IF(C132="848630",0,1)</f>
        <v>0</v>
      </c>
    </row>
    <row r="133" customFormat="false" ht="15" hidden="false" customHeight="false" outlineLevel="0" collapsed="false">
      <c r="A133" s="12" t="n">
        <v>45536</v>
      </c>
      <c r="B133" s="3" t="s">
        <v>95</v>
      </c>
      <c r="C133" s="3" t="s">
        <v>108</v>
      </c>
      <c r="D133" s="3" t="n">
        <v>5183640</v>
      </c>
      <c r="E133" s="3" t="s">
        <v>106</v>
      </c>
      <c r="F133" s="3" t="n">
        <f aca="false">IF(C133="848630",0,1)</f>
        <v>1</v>
      </c>
    </row>
    <row r="134" customFormat="false" ht="15" hidden="false" customHeight="false" outlineLevel="0" collapsed="false">
      <c r="A134" s="12" t="n">
        <v>45536</v>
      </c>
      <c r="B134" s="3" t="s">
        <v>95</v>
      </c>
      <c r="C134" s="3" t="s">
        <v>109</v>
      </c>
      <c r="D134" s="3" t="n">
        <v>23048622</v>
      </c>
      <c r="E134" s="3" t="s">
        <v>106</v>
      </c>
      <c r="F134" s="3" t="n">
        <f aca="false">IF(C134="848630",0,1)</f>
        <v>1</v>
      </c>
    </row>
    <row r="135" customFormat="false" ht="15" hidden="false" customHeight="false" outlineLevel="0" collapsed="false">
      <c r="A135" s="12" t="n">
        <v>45536</v>
      </c>
      <c r="B135" s="3" t="s">
        <v>95</v>
      </c>
      <c r="C135" s="3" t="s">
        <v>110</v>
      </c>
      <c r="D135" s="3" t="n">
        <v>1021368</v>
      </c>
      <c r="E135" s="3" t="s">
        <v>106</v>
      </c>
      <c r="F135" s="3" t="n">
        <f aca="false">IF(C135="848630",0,1)</f>
        <v>1</v>
      </c>
    </row>
    <row r="136" customFormat="false" ht="15" hidden="false" customHeight="false" outlineLevel="0" collapsed="false">
      <c r="A136" s="12" t="n">
        <v>45536</v>
      </c>
      <c r="B136" s="3" t="s">
        <v>95</v>
      </c>
      <c r="C136" s="3" t="s">
        <v>111</v>
      </c>
      <c r="D136" s="3" t="n">
        <v>319335</v>
      </c>
      <c r="E136" s="3" t="s">
        <v>106</v>
      </c>
      <c r="F136" s="3" t="n">
        <f aca="false">IF(C136="848630",0,1)</f>
        <v>1</v>
      </c>
    </row>
    <row r="137" customFormat="false" ht="15" hidden="false" customHeight="false" outlineLevel="0" collapsed="false">
      <c r="A137" s="12" t="n">
        <v>45566</v>
      </c>
      <c r="B137" s="3" t="s">
        <v>95</v>
      </c>
      <c r="C137" s="3" t="s">
        <v>105</v>
      </c>
      <c r="D137" s="3" t="n">
        <v>908949</v>
      </c>
      <c r="E137" s="3" t="s">
        <v>106</v>
      </c>
      <c r="F137" s="3" t="n">
        <f aca="false">IF(C137="848630",0,1)</f>
        <v>1</v>
      </c>
    </row>
    <row r="138" customFormat="false" ht="15" hidden="false" customHeight="false" outlineLevel="0" collapsed="false">
      <c r="A138" s="12" t="n">
        <v>45566</v>
      </c>
      <c r="B138" s="3" t="s">
        <v>95</v>
      </c>
      <c r="C138" s="3" t="s">
        <v>107</v>
      </c>
      <c r="D138" s="3" t="n">
        <v>48070346</v>
      </c>
      <c r="E138" s="3" t="s">
        <v>106</v>
      </c>
      <c r="F138" s="3" t="n">
        <f aca="false">IF(C138="848630",0,1)</f>
        <v>1</v>
      </c>
    </row>
    <row r="139" customFormat="false" ht="15" hidden="false" customHeight="false" outlineLevel="0" collapsed="false">
      <c r="A139" s="12" t="n">
        <v>45566</v>
      </c>
      <c r="B139" s="3" t="s">
        <v>95</v>
      </c>
      <c r="C139" s="3" t="s">
        <v>108</v>
      </c>
      <c r="D139" s="3" t="n">
        <v>2080770</v>
      </c>
      <c r="E139" s="3" t="s">
        <v>106</v>
      </c>
      <c r="F139" s="3" t="n">
        <f aca="false">IF(C139="848630",0,1)</f>
        <v>1</v>
      </c>
    </row>
    <row r="140" customFormat="false" ht="15" hidden="false" customHeight="false" outlineLevel="0" collapsed="false">
      <c r="A140" s="12" t="n">
        <v>45566</v>
      </c>
      <c r="B140" s="3" t="s">
        <v>95</v>
      </c>
      <c r="C140" s="3" t="s">
        <v>109</v>
      </c>
      <c r="D140" s="3" t="n">
        <v>24862449</v>
      </c>
      <c r="E140" s="3" t="s">
        <v>106</v>
      </c>
      <c r="F140" s="3" t="n">
        <f aca="false">IF(C140="848630",0,1)</f>
        <v>1</v>
      </c>
    </row>
    <row r="141" customFormat="false" ht="15" hidden="false" customHeight="false" outlineLevel="0" collapsed="false">
      <c r="A141" s="12" t="n">
        <v>45566</v>
      </c>
      <c r="B141" s="3" t="s">
        <v>95</v>
      </c>
      <c r="C141" s="3" t="s">
        <v>110</v>
      </c>
      <c r="D141" s="3" t="n">
        <v>4188047</v>
      </c>
      <c r="E141" s="3" t="s">
        <v>106</v>
      </c>
      <c r="F141" s="3" t="n">
        <f aca="false">IF(C141="848630",0,1)</f>
        <v>1</v>
      </c>
    </row>
    <row r="142" customFormat="false" ht="15" hidden="false" customHeight="false" outlineLevel="0" collapsed="false">
      <c r="A142" s="12" t="n">
        <v>45566</v>
      </c>
      <c r="B142" s="3" t="s">
        <v>95</v>
      </c>
      <c r="C142" s="3" t="s">
        <v>111</v>
      </c>
      <c r="D142" s="3" t="n">
        <v>6711956</v>
      </c>
      <c r="E142" s="3" t="s">
        <v>106</v>
      </c>
      <c r="F142" s="3" t="n">
        <f aca="false">IF(C142="848630",0,1)</f>
        <v>1</v>
      </c>
    </row>
    <row r="143" customFormat="false" ht="15" hidden="false" customHeight="false" outlineLevel="0" collapsed="false">
      <c r="A143" s="12" t="n">
        <v>45597</v>
      </c>
      <c r="B143" s="3" t="s">
        <v>95</v>
      </c>
      <c r="C143" s="3" t="s">
        <v>105</v>
      </c>
      <c r="D143" s="3" t="n">
        <v>9830958</v>
      </c>
      <c r="E143" s="3" t="s">
        <v>106</v>
      </c>
      <c r="F143" s="3" t="n">
        <f aca="false">IF(C143="848630",0,1)</f>
        <v>1</v>
      </c>
    </row>
    <row r="144" customFormat="false" ht="15" hidden="false" customHeight="false" outlineLevel="0" collapsed="false">
      <c r="A144" s="12" t="n">
        <v>45597</v>
      </c>
      <c r="B144" s="3" t="s">
        <v>95</v>
      </c>
      <c r="C144" s="3" t="s">
        <v>107</v>
      </c>
      <c r="D144" s="3" t="n">
        <v>52017179</v>
      </c>
      <c r="E144" s="3" t="s">
        <v>106</v>
      </c>
      <c r="F144" s="3" t="n">
        <f aca="false">IF(C144="848630",0,1)</f>
        <v>1</v>
      </c>
    </row>
    <row r="145" customFormat="false" ht="15" hidden="false" customHeight="false" outlineLevel="0" collapsed="false">
      <c r="A145" s="12" t="n">
        <v>45597</v>
      </c>
      <c r="B145" s="3" t="s">
        <v>95</v>
      </c>
      <c r="C145" s="3" t="s">
        <v>108</v>
      </c>
      <c r="D145" s="3" t="n">
        <v>2572371</v>
      </c>
      <c r="E145" s="3" t="s">
        <v>106</v>
      </c>
      <c r="F145" s="3" t="n">
        <f aca="false">IF(C145="848630",0,1)</f>
        <v>1</v>
      </c>
    </row>
    <row r="146" customFormat="false" ht="15" hidden="false" customHeight="false" outlineLevel="0" collapsed="false">
      <c r="A146" s="12" t="n">
        <v>45597</v>
      </c>
      <c r="B146" s="3" t="s">
        <v>95</v>
      </c>
      <c r="C146" s="3" t="s">
        <v>109</v>
      </c>
      <c r="D146" s="3" t="n">
        <v>25075976</v>
      </c>
      <c r="E146" s="3" t="s">
        <v>106</v>
      </c>
      <c r="F146" s="3" t="n">
        <f aca="false">IF(C146="848630",0,1)</f>
        <v>1</v>
      </c>
    </row>
    <row r="147" customFormat="false" ht="15" hidden="false" customHeight="false" outlineLevel="0" collapsed="false">
      <c r="A147" s="12" t="n">
        <v>45597</v>
      </c>
      <c r="B147" s="3" t="s">
        <v>95</v>
      </c>
      <c r="C147" s="3" t="s">
        <v>110</v>
      </c>
      <c r="D147" s="3" t="n">
        <v>1049025</v>
      </c>
      <c r="E147" s="3" t="s">
        <v>106</v>
      </c>
      <c r="F147" s="3" t="n">
        <f aca="false">IF(C147="848630",0,1)</f>
        <v>1</v>
      </c>
    </row>
    <row r="148" customFormat="false" ht="15" hidden="false" customHeight="false" outlineLevel="0" collapsed="false">
      <c r="A148" s="12" t="n">
        <v>45597</v>
      </c>
      <c r="B148" s="3" t="s">
        <v>95</v>
      </c>
      <c r="C148" s="3" t="s">
        <v>111</v>
      </c>
      <c r="D148" s="3" t="n">
        <v>10747982</v>
      </c>
      <c r="E148" s="3" t="s">
        <v>106</v>
      </c>
      <c r="F148" s="3" t="n">
        <f aca="false">IF(C148="848630",0,1)</f>
        <v>1</v>
      </c>
    </row>
    <row r="149" customFormat="false" ht="15" hidden="false" customHeight="false" outlineLevel="0" collapsed="false">
      <c r="A149" s="12" t="n">
        <v>45627</v>
      </c>
      <c r="B149" s="3" t="s">
        <v>95</v>
      </c>
      <c r="C149" s="3" t="s">
        <v>105</v>
      </c>
      <c r="D149" s="3" t="n">
        <v>14757844</v>
      </c>
      <c r="E149" s="3" t="s">
        <v>106</v>
      </c>
      <c r="F149" s="3" t="n">
        <f aca="false">IF(C149="848630",0,1)</f>
        <v>1</v>
      </c>
    </row>
    <row r="150" customFormat="false" ht="15" hidden="false" customHeight="false" outlineLevel="0" collapsed="false">
      <c r="A150" s="12" t="n">
        <v>45627</v>
      </c>
      <c r="B150" s="3" t="s">
        <v>95</v>
      </c>
      <c r="C150" s="3" t="s">
        <v>107</v>
      </c>
      <c r="D150" s="3" t="n">
        <v>55199816</v>
      </c>
      <c r="E150" s="3" t="s">
        <v>106</v>
      </c>
      <c r="F150" s="3" t="n">
        <f aca="false">IF(C150="848630",0,1)</f>
        <v>1</v>
      </c>
    </row>
    <row r="151" customFormat="false" ht="15" hidden="false" customHeight="false" outlineLevel="0" collapsed="false">
      <c r="A151" s="12" t="n">
        <v>45627</v>
      </c>
      <c r="B151" s="3" t="s">
        <v>95</v>
      </c>
      <c r="C151" s="3" t="s">
        <v>112</v>
      </c>
      <c r="D151" s="3" t="n">
        <v>508018</v>
      </c>
      <c r="E151" s="3" t="s">
        <v>106</v>
      </c>
      <c r="F151" s="3" t="n">
        <f aca="false">IF(C151="848630",0,1)</f>
        <v>0</v>
      </c>
    </row>
    <row r="152" customFormat="false" ht="15" hidden="false" customHeight="false" outlineLevel="0" collapsed="false">
      <c r="A152" s="12" t="n">
        <v>45627</v>
      </c>
      <c r="B152" s="3" t="s">
        <v>95</v>
      </c>
      <c r="C152" s="3" t="s">
        <v>108</v>
      </c>
      <c r="D152" s="3" t="n">
        <v>2410913</v>
      </c>
      <c r="E152" s="3" t="s">
        <v>106</v>
      </c>
      <c r="F152" s="3" t="n">
        <f aca="false">IF(C152="848630",0,1)</f>
        <v>1</v>
      </c>
    </row>
    <row r="153" customFormat="false" ht="15" hidden="false" customHeight="false" outlineLevel="0" collapsed="false">
      <c r="A153" s="12" t="n">
        <v>45627</v>
      </c>
      <c r="B153" s="3" t="s">
        <v>95</v>
      </c>
      <c r="C153" s="3" t="s">
        <v>109</v>
      </c>
      <c r="D153" s="3" t="n">
        <v>20987429</v>
      </c>
      <c r="E153" s="3" t="s">
        <v>106</v>
      </c>
      <c r="F153" s="3" t="n">
        <f aca="false">IF(C153="848630",0,1)</f>
        <v>1</v>
      </c>
    </row>
    <row r="154" customFormat="false" ht="15" hidden="false" customHeight="false" outlineLevel="0" collapsed="false">
      <c r="A154" s="12" t="n">
        <v>45627</v>
      </c>
      <c r="B154" s="3" t="s">
        <v>95</v>
      </c>
      <c r="C154" s="3" t="s">
        <v>110</v>
      </c>
      <c r="D154" s="3" t="n">
        <v>1416013</v>
      </c>
      <c r="E154" s="3" t="s">
        <v>106</v>
      </c>
      <c r="F154" s="3" t="n">
        <f aca="false">IF(C154="848630",0,1)</f>
        <v>1</v>
      </c>
    </row>
    <row r="155" customFormat="false" ht="15" hidden="false" customHeight="false" outlineLevel="0" collapsed="false">
      <c r="A155" s="12" t="n">
        <v>45627</v>
      </c>
      <c r="B155" s="3" t="s">
        <v>95</v>
      </c>
      <c r="C155" s="3" t="s">
        <v>111</v>
      </c>
      <c r="D155" s="3" t="n">
        <v>2346572</v>
      </c>
      <c r="E155" s="3" t="s">
        <v>106</v>
      </c>
      <c r="F155" s="3" t="n">
        <f aca="false">IF(C155="848630",0,1)</f>
        <v>1</v>
      </c>
    </row>
    <row r="156" customFormat="false" ht="15" hidden="false" customHeight="false" outlineLevel="0" collapsed="false">
      <c r="A156" s="12" t="n">
        <v>45658</v>
      </c>
      <c r="B156" s="3" t="s">
        <v>95</v>
      </c>
      <c r="C156" s="3" t="s">
        <v>105</v>
      </c>
      <c r="D156" s="3" t="n">
        <v>20810105</v>
      </c>
      <c r="E156" s="3" t="s">
        <v>106</v>
      </c>
      <c r="F156" s="3" t="n">
        <f aca="false">IF(C156="848630",0,1)</f>
        <v>1</v>
      </c>
    </row>
    <row r="157" customFormat="false" ht="15" hidden="false" customHeight="false" outlineLevel="0" collapsed="false">
      <c r="A157" s="12" t="n">
        <v>45658</v>
      </c>
      <c r="B157" s="3" t="s">
        <v>95</v>
      </c>
      <c r="C157" s="3" t="s">
        <v>107</v>
      </c>
      <c r="D157" s="3" t="n">
        <v>46723713</v>
      </c>
      <c r="E157" s="3" t="s">
        <v>106</v>
      </c>
      <c r="F157" s="3" t="n">
        <f aca="false">IF(C157="848630",0,1)</f>
        <v>1</v>
      </c>
    </row>
    <row r="158" customFormat="false" ht="15" hidden="false" customHeight="false" outlineLevel="0" collapsed="false">
      <c r="A158" s="12" t="n">
        <v>45658</v>
      </c>
      <c r="B158" s="3" t="s">
        <v>95</v>
      </c>
      <c r="C158" s="3" t="s">
        <v>108</v>
      </c>
      <c r="D158" s="3" t="n">
        <v>3350360</v>
      </c>
      <c r="E158" s="3" t="s">
        <v>106</v>
      </c>
      <c r="F158" s="3" t="n">
        <f aca="false">IF(C158="848630",0,1)</f>
        <v>1</v>
      </c>
    </row>
    <row r="159" customFormat="false" ht="15" hidden="false" customHeight="false" outlineLevel="0" collapsed="false">
      <c r="A159" s="12" t="n">
        <v>45658</v>
      </c>
      <c r="B159" s="3" t="s">
        <v>95</v>
      </c>
      <c r="C159" s="3" t="s">
        <v>109</v>
      </c>
      <c r="D159" s="3" t="n">
        <v>25031701</v>
      </c>
      <c r="E159" s="3" t="s">
        <v>106</v>
      </c>
      <c r="F159" s="3" t="n">
        <f aca="false">IF(C159="848630",0,1)</f>
        <v>1</v>
      </c>
    </row>
    <row r="160" customFormat="false" ht="15" hidden="false" customHeight="false" outlineLevel="0" collapsed="false">
      <c r="A160" s="12" t="n">
        <v>45658</v>
      </c>
      <c r="B160" s="3" t="s">
        <v>95</v>
      </c>
      <c r="C160" s="3" t="s">
        <v>110</v>
      </c>
      <c r="D160" s="3" t="n">
        <v>3720875</v>
      </c>
      <c r="E160" s="3" t="s">
        <v>106</v>
      </c>
      <c r="F160" s="3" t="n">
        <f aca="false">IF(C160="848630",0,1)</f>
        <v>1</v>
      </c>
    </row>
    <row r="161" customFormat="false" ht="15" hidden="false" customHeight="false" outlineLevel="0" collapsed="false">
      <c r="A161" s="12" t="n">
        <v>45658</v>
      </c>
      <c r="B161" s="3" t="s">
        <v>95</v>
      </c>
      <c r="C161" s="3" t="s">
        <v>111</v>
      </c>
      <c r="D161" s="3" t="n">
        <v>12428123</v>
      </c>
      <c r="E161" s="3" t="s">
        <v>106</v>
      </c>
      <c r="F161" s="3" t="n">
        <f aca="false">IF(C161="848630",0,1)</f>
        <v>1</v>
      </c>
    </row>
    <row r="162" customFormat="false" ht="15" hidden="false" customHeight="false" outlineLevel="0" collapsed="false">
      <c r="A162" s="12" t="n">
        <v>45689</v>
      </c>
      <c r="B162" s="3" t="s">
        <v>95</v>
      </c>
      <c r="C162" s="3" t="s">
        <v>105</v>
      </c>
      <c r="D162" s="3" t="n">
        <v>5880102</v>
      </c>
      <c r="E162" s="3" t="s">
        <v>106</v>
      </c>
      <c r="F162" s="3" t="n">
        <f aca="false">IF(C162="848630",0,1)</f>
        <v>1</v>
      </c>
    </row>
    <row r="163" customFormat="false" ht="15" hidden="false" customHeight="false" outlineLevel="0" collapsed="false">
      <c r="A163" s="12" t="n">
        <v>45689</v>
      </c>
      <c r="B163" s="3" t="s">
        <v>95</v>
      </c>
      <c r="C163" s="3" t="s">
        <v>107</v>
      </c>
      <c r="D163" s="3" t="n">
        <v>25427343</v>
      </c>
      <c r="E163" s="3" t="s">
        <v>106</v>
      </c>
      <c r="F163" s="3" t="n">
        <f aca="false">IF(C163="848630",0,1)</f>
        <v>1</v>
      </c>
    </row>
    <row r="164" customFormat="false" ht="15" hidden="false" customHeight="false" outlineLevel="0" collapsed="false">
      <c r="A164" s="12" t="n">
        <v>45689</v>
      </c>
      <c r="B164" s="3" t="s">
        <v>95</v>
      </c>
      <c r="C164" s="3" t="s">
        <v>112</v>
      </c>
      <c r="D164" s="3" t="n">
        <v>338</v>
      </c>
      <c r="E164" s="3" t="s">
        <v>106</v>
      </c>
      <c r="F164" s="3" t="n">
        <f aca="false">IF(C164="848630",0,1)</f>
        <v>0</v>
      </c>
    </row>
    <row r="165" customFormat="false" ht="15" hidden="false" customHeight="false" outlineLevel="0" collapsed="false">
      <c r="A165" s="12" t="n">
        <v>45689</v>
      </c>
      <c r="B165" s="3" t="s">
        <v>95</v>
      </c>
      <c r="C165" s="3" t="s">
        <v>108</v>
      </c>
      <c r="D165" s="3" t="n">
        <v>3979820</v>
      </c>
      <c r="E165" s="3" t="s">
        <v>106</v>
      </c>
      <c r="F165" s="3" t="n">
        <f aca="false">IF(C165="848630",0,1)</f>
        <v>1</v>
      </c>
    </row>
    <row r="166" customFormat="false" ht="15" hidden="false" customHeight="false" outlineLevel="0" collapsed="false">
      <c r="A166" s="12" t="n">
        <v>45689</v>
      </c>
      <c r="B166" s="3" t="s">
        <v>95</v>
      </c>
      <c r="C166" s="3" t="s">
        <v>109</v>
      </c>
      <c r="D166" s="3" t="n">
        <v>19618461</v>
      </c>
      <c r="E166" s="3" t="s">
        <v>106</v>
      </c>
      <c r="F166" s="3" t="n">
        <f aca="false">IF(C166="848630",0,1)</f>
        <v>1</v>
      </c>
    </row>
    <row r="167" customFormat="false" ht="15" hidden="false" customHeight="false" outlineLevel="0" collapsed="false">
      <c r="A167" s="12" t="n">
        <v>45689</v>
      </c>
      <c r="B167" s="3" t="s">
        <v>95</v>
      </c>
      <c r="C167" s="3" t="s">
        <v>110</v>
      </c>
      <c r="D167" s="3" t="n">
        <v>1071986</v>
      </c>
      <c r="E167" s="3" t="s">
        <v>106</v>
      </c>
      <c r="F167" s="3" t="n">
        <f aca="false">IF(C167="848630",0,1)</f>
        <v>1</v>
      </c>
    </row>
    <row r="168" customFormat="false" ht="15" hidden="false" customHeight="false" outlineLevel="0" collapsed="false">
      <c r="A168" s="12" t="n">
        <v>45689</v>
      </c>
      <c r="B168" s="3" t="s">
        <v>95</v>
      </c>
      <c r="C168" s="3" t="s">
        <v>111</v>
      </c>
      <c r="D168" s="3" t="n">
        <v>18856115</v>
      </c>
      <c r="E168" s="3" t="s">
        <v>106</v>
      </c>
      <c r="F168" s="3" t="n">
        <f aca="false">IF(C168="848630",0,1)</f>
        <v>1</v>
      </c>
    </row>
    <row r="169" customFormat="false" ht="15" hidden="false" customHeight="false" outlineLevel="0" collapsed="false">
      <c r="A169" s="12" t="n">
        <v>45717</v>
      </c>
      <c r="B169" s="3" t="s">
        <v>95</v>
      </c>
      <c r="C169" s="3" t="s">
        <v>105</v>
      </c>
      <c r="D169" s="3" t="n">
        <v>15571811</v>
      </c>
      <c r="E169" s="3" t="s">
        <v>106</v>
      </c>
      <c r="F169" s="3" t="n">
        <f aca="false">IF(C169="848630",0,1)</f>
        <v>1</v>
      </c>
    </row>
    <row r="170" customFormat="false" ht="15" hidden="false" customHeight="false" outlineLevel="0" collapsed="false">
      <c r="A170" s="12" t="n">
        <v>45717</v>
      </c>
      <c r="B170" s="3" t="s">
        <v>95</v>
      </c>
      <c r="C170" s="3" t="s">
        <v>107</v>
      </c>
      <c r="D170" s="3" t="n">
        <v>31132303</v>
      </c>
      <c r="E170" s="3" t="s">
        <v>106</v>
      </c>
      <c r="F170" s="3" t="n">
        <f aca="false">IF(C170="848630",0,1)</f>
        <v>1</v>
      </c>
    </row>
    <row r="171" customFormat="false" ht="15" hidden="false" customHeight="false" outlineLevel="0" collapsed="false">
      <c r="A171" s="12" t="n">
        <v>45717</v>
      </c>
      <c r="B171" s="3" t="s">
        <v>95</v>
      </c>
      <c r="C171" s="3" t="s">
        <v>112</v>
      </c>
      <c r="D171" s="3" t="n">
        <v>745</v>
      </c>
      <c r="E171" s="3" t="s">
        <v>106</v>
      </c>
      <c r="F171" s="3" t="n">
        <f aca="false">IF(C171="848630",0,1)</f>
        <v>0</v>
      </c>
    </row>
    <row r="172" customFormat="false" ht="15" hidden="false" customHeight="false" outlineLevel="0" collapsed="false">
      <c r="A172" s="12" t="n">
        <v>45717</v>
      </c>
      <c r="B172" s="3" t="s">
        <v>95</v>
      </c>
      <c r="C172" s="3" t="s">
        <v>108</v>
      </c>
      <c r="D172" s="3" t="n">
        <v>4671335</v>
      </c>
      <c r="E172" s="3" t="s">
        <v>106</v>
      </c>
      <c r="F172" s="3" t="n">
        <f aca="false">IF(C172="848630",0,1)</f>
        <v>1</v>
      </c>
    </row>
    <row r="173" customFormat="false" ht="15" hidden="false" customHeight="false" outlineLevel="0" collapsed="false">
      <c r="A173" s="12" t="n">
        <v>45717</v>
      </c>
      <c r="B173" s="3" t="s">
        <v>95</v>
      </c>
      <c r="C173" s="3" t="s">
        <v>109</v>
      </c>
      <c r="D173" s="3" t="n">
        <v>20465214</v>
      </c>
      <c r="E173" s="3" t="s">
        <v>106</v>
      </c>
      <c r="F173" s="3" t="n">
        <f aca="false">IF(C173="848630",0,1)</f>
        <v>1</v>
      </c>
    </row>
    <row r="174" customFormat="false" ht="15" hidden="false" customHeight="false" outlineLevel="0" collapsed="false">
      <c r="A174" s="12" t="n">
        <v>45717</v>
      </c>
      <c r="B174" s="3" t="s">
        <v>95</v>
      </c>
      <c r="C174" s="3" t="s">
        <v>110</v>
      </c>
      <c r="D174" s="3" t="n">
        <v>5544701</v>
      </c>
      <c r="E174" s="3" t="s">
        <v>106</v>
      </c>
      <c r="F174" s="3" t="n">
        <f aca="false">IF(C174="848630",0,1)</f>
        <v>1</v>
      </c>
    </row>
    <row r="175" customFormat="false" ht="15" hidden="false" customHeight="false" outlineLevel="0" collapsed="false">
      <c r="A175" s="12" t="n">
        <v>45717</v>
      </c>
      <c r="B175" s="3" t="s">
        <v>95</v>
      </c>
      <c r="C175" s="3" t="s">
        <v>111</v>
      </c>
      <c r="D175" s="3" t="n">
        <v>16988592</v>
      </c>
      <c r="E175" s="3" t="s">
        <v>106</v>
      </c>
      <c r="F175" s="3" t="n">
        <f aca="false">IF(C175="848630",0,1)</f>
        <v>1</v>
      </c>
    </row>
    <row r="176" customFormat="false" ht="15" hidden="false" customHeight="false" outlineLevel="0" collapsed="false">
      <c r="A176" s="12" t="n">
        <v>45748</v>
      </c>
      <c r="B176" s="3" t="s">
        <v>95</v>
      </c>
      <c r="C176" s="3" t="s">
        <v>105</v>
      </c>
      <c r="D176" s="3" t="n">
        <v>20320202</v>
      </c>
      <c r="E176" s="3" t="s">
        <v>106</v>
      </c>
      <c r="F176" s="3" t="n">
        <f aca="false">IF(C176="848630",0,1)</f>
        <v>1</v>
      </c>
    </row>
    <row r="177" customFormat="false" ht="15" hidden="false" customHeight="false" outlineLevel="0" collapsed="false">
      <c r="A177" s="12" t="n">
        <v>45748</v>
      </c>
      <c r="B177" s="3" t="s">
        <v>95</v>
      </c>
      <c r="C177" s="3" t="s">
        <v>107</v>
      </c>
      <c r="D177" s="3" t="n">
        <v>56331666</v>
      </c>
      <c r="E177" s="3" t="s">
        <v>106</v>
      </c>
      <c r="F177" s="3" t="n">
        <f aca="false">IF(C177="848630",0,1)</f>
        <v>1</v>
      </c>
    </row>
    <row r="178" customFormat="false" ht="15" hidden="false" customHeight="false" outlineLevel="0" collapsed="false">
      <c r="A178" s="12" t="n">
        <v>45748</v>
      </c>
      <c r="B178" s="3" t="s">
        <v>95</v>
      </c>
      <c r="C178" s="3" t="s">
        <v>108</v>
      </c>
      <c r="D178" s="3" t="n">
        <v>4069209</v>
      </c>
      <c r="E178" s="3" t="s">
        <v>106</v>
      </c>
      <c r="F178" s="3" t="n">
        <f aca="false">IF(C178="848630",0,1)</f>
        <v>1</v>
      </c>
    </row>
    <row r="179" customFormat="false" ht="15" hidden="false" customHeight="false" outlineLevel="0" collapsed="false">
      <c r="A179" s="12" t="n">
        <v>45748</v>
      </c>
      <c r="B179" s="3" t="s">
        <v>95</v>
      </c>
      <c r="C179" s="3" t="s">
        <v>109</v>
      </c>
      <c r="D179" s="3" t="n">
        <v>21340082</v>
      </c>
      <c r="E179" s="3" t="s">
        <v>106</v>
      </c>
      <c r="F179" s="3" t="n">
        <f aca="false">IF(C179="848630",0,1)</f>
        <v>1</v>
      </c>
    </row>
    <row r="180" customFormat="false" ht="15" hidden="false" customHeight="false" outlineLevel="0" collapsed="false">
      <c r="A180" s="12" t="n">
        <v>45748</v>
      </c>
      <c r="B180" s="3" t="s">
        <v>95</v>
      </c>
      <c r="C180" s="3" t="s">
        <v>110</v>
      </c>
      <c r="D180" s="3" t="n">
        <v>1947930</v>
      </c>
      <c r="E180" s="3" t="s">
        <v>106</v>
      </c>
      <c r="F180" s="3" t="n">
        <f aca="false">IF(C180="848630",0,1)</f>
        <v>1</v>
      </c>
    </row>
    <row r="181" customFormat="false" ht="15" hidden="false" customHeight="false" outlineLevel="0" collapsed="false">
      <c r="A181" s="12" t="n">
        <v>45748</v>
      </c>
      <c r="B181" s="3" t="s">
        <v>95</v>
      </c>
      <c r="C181" s="3" t="s">
        <v>111</v>
      </c>
      <c r="D181" s="3" t="n">
        <v>1169280</v>
      </c>
      <c r="E181" s="3" t="s">
        <v>106</v>
      </c>
      <c r="F181" s="3" t="n">
        <f aca="false">IF(C181="848630",0,1)</f>
        <v>1</v>
      </c>
    </row>
    <row r="182" customFormat="false" ht="15" hidden="false" customHeight="false" outlineLevel="0" collapsed="false">
      <c r="A182" s="12" t="n">
        <v>45778</v>
      </c>
      <c r="B182" s="3" t="s">
        <v>95</v>
      </c>
      <c r="C182" s="3" t="s">
        <v>105</v>
      </c>
      <c r="D182" s="3" t="n">
        <v>7615519</v>
      </c>
      <c r="E182" s="3" t="s">
        <v>106</v>
      </c>
      <c r="F182" s="3" t="n">
        <f aca="false">IF(C182="848630",0,1)</f>
        <v>1</v>
      </c>
    </row>
    <row r="183" customFormat="false" ht="15" hidden="false" customHeight="false" outlineLevel="0" collapsed="false">
      <c r="A183" s="12" t="n">
        <v>45778</v>
      </c>
      <c r="B183" s="3" t="s">
        <v>95</v>
      </c>
      <c r="C183" s="3" t="s">
        <v>107</v>
      </c>
      <c r="D183" s="3" t="n">
        <v>22235796</v>
      </c>
      <c r="E183" s="3" t="s">
        <v>106</v>
      </c>
      <c r="F183" s="3" t="n">
        <f aca="false">IF(C183="848630",0,1)</f>
        <v>1</v>
      </c>
    </row>
    <row r="184" customFormat="false" ht="15" hidden="false" customHeight="false" outlineLevel="0" collapsed="false">
      <c r="A184" s="12" t="n">
        <v>45778</v>
      </c>
      <c r="B184" s="3" t="s">
        <v>95</v>
      </c>
      <c r="C184" s="3" t="s">
        <v>108</v>
      </c>
      <c r="D184" s="3" t="n">
        <v>9631125</v>
      </c>
      <c r="E184" s="3" t="s">
        <v>106</v>
      </c>
      <c r="F184" s="3" t="n">
        <f aca="false">IF(C184="848630",0,1)</f>
        <v>1</v>
      </c>
    </row>
    <row r="185" customFormat="false" ht="15" hidden="false" customHeight="false" outlineLevel="0" collapsed="false">
      <c r="A185" s="12" t="n">
        <v>45778</v>
      </c>
      <c r="B185" s="3" t="s">
        <v>95</v>
      </c>
      <c r="C185" s="3" t="s">
        <v>109</v>
      </c>
      <c r="D185" s="3" t="n">
        <v>23446841</v>
      </c>
      <c r="E185" s="3" t="s">
        <v>106</v>
      </c>
      <c r="F185" s="3" t="n">
        <f aca="false">IF(C185="848630",0,1)</f>
        <v>1</v>
      </c>
    </row>
    <row r="186" customFormat="false" ht="15" hidden="false" customHeight="false" outlineLevel="0" collapsed="false">
      <c r="A186" s="12" t="n">
        <v>45778</v>
      </c>
      <c r="B186" s="3" t="s">
        <v>95</v>
      </c>
      <c r="C186" s="3" t="s">
        <v>110</v>
      </c>
      <c r="D186" s="3" t="n">
        <v>3478346</v>
      </c>
      <c r="E186" s="3" t="s">
        <v>106</v>
      </c>
      <c r="F186" s="3" t="n">
        <f aca="false">IF(C186="848630",0,1)</f>
        <v>1</v>
      </c>
    </row>
    <row r="187" customFormat="false" ht="15" hidden="false" customHeight="false" outlineLevel="0" collapsed="false">
      <c r="A187" s="12" t="n">
        <v>45778</v>
      </c>
      <c r="B187" s="3" t="s">
        <v>95</v>
      </c>
      <c r="C187" s="3" t="s">
        <v>111</v>
      </c>
      <c r="D187" s="3" t="n">
        <v>921726</v>
      </c>
      <c r="E187" s="3" t="s">
        <v>106</v>
      </c>
      <c r="F187" s="3" t="n">
        <f aca="false">IF(C187="848630",0,1)</f>
        <v>1</v>
      </c>
    </row>
    <row r="188" customFormat="false" ht="15" hidden="false" customHeight="false" outlineLevel="0" collapsed="false">
      <c r="A188" s="12" t="n">
        <v>45809</v>
      </c>
      <c r="B188" s="3" t="s">
        <v>95</v>
      </c>
      <c r="C188" s="3" t="s">
        <v>105</v>
      </c>
      <c r="D188" s="3" t="n">
        <v>35554</v>
      </c>
      <c r="E188" s="3" t="s">
        <v>106</v>
      </c>
      <c r="F188" s="3" t="n">
        <f aca="false">IF(C188="848630",0,1)</f>
        <v>1</v>
      </c>
    </row>
    <row r="189" customFormat="false" ht="15" hidden="false" customHeight="false" outlineLevel="0" collapsed="false">
      <c r="A189" s="12" t="n">
        <v>45809</v>
      </c>
      <c r="B189" s="3" t="s">
        <v>95</v>
      </c>
      <c r="C189" s="3" t="s">
        <v>107</v>
      </c>
      <c r="D189" s="3" t="n">
        <v>23453196</v>
      </c>
      <c r="E189" s="3" t="s">
        <v>106</v>
      </c>
      <c r="F189" s="3" t="n">
        <f aca="false">IF(C189="848630",0,1)</f>
        <v>1</v>
      </c>
    </row>
    <row r="190" customFormat="false" ht="15" hidden="false" customHeight="false" outlineLevel="0" collapsed="false">
      <c r="A190" s="12" t="n">
        <v>45809</v>
      </c>
      <c r="B190" s="3" t="s">
        <v>95</v>
      </c>
      <c r="C190" s="3" t="s">
        <v>108</v>
      </c>
      <c r="D190" s="3" t="n">
        <v>4472195</v>
      </c>
      <c r="E190" s="3" t="s">
        <v>106</v>
      </c>
      <c r="F190" s="3" t="n">
        <f aca="false">IF(C190="848630",0,1)</f>
        <v>1</v>
      </c>
    </row>
    <row r="191" customFormat="false" ht="15" hidden="false" customHeight="false" outlineLevel="0" collapsed="false">
      <c r="A191" s="12" t="n">
        <v>45809</v>
      </c>
      <c r="B191" s="3" t="s">
        <v>95</v>
      </c>
      <c r="C191" s="3" t="s">
        <v>109</v>
      </c>
      <c r="D191" s="3" t="n">
        <v>21133446</v>
      </c>
      <c r="E191" s="3" t="s">
        <v>106</v>
      </c>
      <c r="F191" s="3" t="n">
        <f aca="false">IF(C191="848630",0,1)</f>
        <v>1</v>
      </c>
    </row>
    <row r="192" customFormat="false" ht="15" hidden="false" customHeight="false" outlineLevel="0" collapsed="false">
      <c r="A192" s="12" t="n">
        <v>45809</v>
      </c>
      <c r="B192" s="3" t="s">
        <v>95</v>
      </c>
      <c r="C192" s="3" t="s">
        <v>110</v>
      </c>
      <c r="D192" s="3" t="n">
        <v>3070433</v>
      </c>
      <c r="E192" s="3" t="s">
        <v>106</v>
      </c>
      <c r="F192" s="3" t="n">
        <f aca="false">IF(C192="848630",0,1)</f>
        <v>1</v>
      </c>
    </row>
    <row r="193" customFormat="false" ht="15" hidden="false" customHeight="false" outlineLevel="0" collapsed="false">
      <c r="A193" s="12" t="n">
        <v>45809</v>
      </c>
      <c r="B193" s="3" t="s">
        <v>95</v>
      </c>
      <c r="C193" s="3" t="s">
        <v>111</v>
      </c>
      <c r="D193" s="3" t="n">
        <v>1773001</v>
      </c>
      <c r="E193" s="3" t="s">
        <v>106</v>
      </c>
      <c r="F193" s="3" t="n">
        <f aca="false">IF(C193="848630",0,1)</f>
        <v>1</v>
      </c>
    </row>
    <row r="194" customFormat="false" ht="15" hidden="false" customHeight="false" outlineLevel="0" collapsed="false">
      <c r="A194" s="12" t="n">
        <v>45839</v>
      </c>
      <c r="B194" s="3" t="s">
        <v>95</v>
      </c>
      <c r="C194" s="3" t="s">
        <v>105</v>
      </c>
      <c r="D194" s="3" t="n">
        <v>1865254</v>
      </c>
      <c r="E194" s="3" t="s">
        <v>106</v>
      </c>
      <c r="F194" s="3" t="n">
        <f aca="false">IF(C194="848630",0,1)</f>
        <v>1</v>
      </c>
    </row>
    <row r="195" customFormat="false" ht="15" hidden="false" customHeight="false" outlineLevel="0" collapsed="false">
      <c r="A195" s="12" t="n">
        <v>45839</v>
      </c>
      <c r="B195" s="3" t="s">
        <v>95</v>
      </c>
      <c r="C195" s="3" t="s">
        <v>107</v>
      </c>
      <c r="D195" s="3" t="n">
        <v>12701447</v>
      </c>
      <c r="E195" s="3" t="s">
        <v>106</v>
      </c>
      <c r="F195" s="3" t="n">
        <f aca="false">IF(C195="848630",0,1)</f>
        <v>1</v>
      </c>
    </row>
    <row r="196" customFormat="false" ht="15" hidden="false" customHeight="false" outlineLevel="0" collapsed="false">
      <c r="A196" s="12" t="n">
        <v>45839</v>
      </c>
      <c r="B196" s="3" t="s">
        <v>95</v>
      </c>
      <c r="C196" s="3" t="s">
        <v>112</v>
      </c>
      <c r="D196" s="3" t="n">
        <v>74850</v>
      </c>
      <c r="E196" s="3" t="s">
        <v>106</v>
      </c>
      <c r="F196" s="3" t="n">
        <f aca="false">IF(C196="848630",0,1)</f>
        <v>0</v>
      </c>
    </row>
    <row r="197" customFormat="false" ht="15" hidden="false" customHeight="false" outlineLevel="0" collapsed="false">
      <c r="A197" s="12" t="n">
        <v>45839</v>
      </c>
      <c r="B197" s="3" t="s">
        <v>95</v>
      </c>
      <c r="C197" s="3" t="s">
        <v>108</v>
      </c>
      <c r="D197" s="3" t="n">
        <v>8549175</v>
      </c>
      <c r="E197" s="3" t="s">
        <v>106</v>
      </c>
      <c r="F197" s="3" t="n">
        <f aca="false">IF(C197="848630",0,1)</f>
        <v>1</v>
      </c>
    </row>
    <row r="198" customFormat="false" ht="15" hidden="false" customHeight="false" outlineLevel="0" collapsed="false">
      <c r="A198" s="12" t="n">
        <v>45839</v>
      </c>
      <c r="B198" s="3" t="s">
        <v>95</v>
      </c>
      <c r="C198" s="3" t="s">
        <v>109</v>
      </c>
      <c r="D198" s="3" t="n">
        <v>22150734</v>
      </c>
      <c r="E198" s="3" t="s">
        <v>106</v>
      </c>
      <c r="F198" s="3" t="n">
        <f aca="false">IF(C198="848630",0,1)</f>
        <v>1</v>
      </c>
    </row>
    <row r="199" customFormat="false" ht="15" hidden="false" customHeight="false" outlineLevel="0" collapsed="false">
      <c r="A199" s="12" t="n">
        <v>45839</v>
      </c>
      <c r="B199" s="3" t="s">
        <v>95</v>
      </c>
      <c r="C199" s="3" t="s">
        <v>110</v>
      </c>
      <c r="D199" s="3" t="n">
        <v>1553686</v>
      </c>
      <c r="E199" s="3" t="s">
        <v>106</v>
      </c>
      <c r="F199" s="3" t="n">
        <f aca="false">IF(C199="848630",0,1)</f>
        <v>1</v>
      </c>
    </row>
    <row r="200" customFormat="false" ht="15" hidden="false" customHeight="false" outlineLevel="0" collapsed="false">
      <c r="A200" s="12" t="n">
        <v>45839</v>
      </c>
      <c r="B200" s="3" t="s">
        <v>95</v>
      </c>
      <c r="C200" s="3" t="s">
        <v>111</v>
      </c>
      <c r="D200" s="3" t="n">
        <v>14480</v>
      </c>
      <c r="E200" s="3" t="s">
        <v>106</v>
      </c>
      <c r="F200" s="3" t="n">
        <f aca="false">IF(C200="848630",0,1)</f>
        <v>1</v>
      </c>
    </row>
    <row r="201" customFormat="false" ht="15" hidden="false" customHeight="false" outlineLevel="0" collapsed="false">
      <c r="A201" s="12" t="n">
        <v>45870</v>
      </c>
      <c r="B201" s="3" t="s">
        <v>95</v>
      </c>
      <c r="C201" s="3" t="s">
        <v>105</v>
      </c>
      <c r="D201" s="3" t="n">
        <v>7586374</v>
      </c>
      <c r="E201" s="3" t="s">
        <v>106</v>
      </c>
      <c r="F201" s="3" t="n">
        <f aca="false">IF(C201="848630",0,1)</f>
        <v>1</v>
      </c>
    </row>
    <row r="202" customFormat="false" ht="15" hidden="false" customHeight="false" outlineLevel="0" collapsed="false">
      <c r="A202" s="12" t="n">
        <v>45870</v>
      </c>
      <c r="B202" s="3" t="s">
        <v>95</v>
      </c>
      <c r="C202" s="3" t="s">
        <v>107</v>
      </c>
      <c r="D202" s="3" t="n">
        <v>16127363</v>
      </c>
      <c r="E202" s="3" t="s">
        <v>106</v>
      </c>
      <c r="F202" s="3" t="n">
        <f aca="false">IF(C202="848630",0,1)</f>
        <v>1</v>
      </c>
    </row>
    <row r="203" customFormat="false" ht="15" hidden="false" customHeight="false" outlineLevel="0" collapsed="false">
      <c r="A203" s="12" t="n">
        <v>45870</v>
      </c>
      <c r="B203" s="3" t="s">
        <v>95</v>
      </c>
      <c r="C203" s="3" t="s">
        <v>112</v>
      </c>
      <c r="D203" s="3" t="n">
        <v>600</v>
      </c>
      <c r="E203" s="3" t="s">
        <v>106</v>
      </c>
      <c r="F203" s="3" t="n">
        <f aca="false">IF(C203="848630",0,1)</f>
        <v>0</v>
      </c>
    </row>
    <row r="204" customFormat="false" ht="15" hidden="false" customHeight="false" outlineLevel="0" collapsed="false">
      <c r="A204" s="12" t="n">
        <v>45870</v>
      </c>
      <c r="B204" s="3" t="s">
        <v>95</v>
      </c>
      <c r="C204" s="3" t="s">
        <v>108</v>
      </c>
      <c r="D204" s="3" t="n">
        <v>8664398</v>
      </c>
      <c r="E204" s="3" t="s">
        <v>106</v>
      </c>
      <c r="F204" s="3" t="n">
        <f aca="false">IF(C204="848630",0,1)</f>
        <v>1</v>
      </c>
    </row>
    <row r="205" customFormat="false" ht="15" hidden="false" customHeight="false" outlineLevel="0" collapsed="false">
      <c r="A205" s="12" t="n">
        <v>45870</v>
      </c>
      <c r="B205" s="3" t="s">
        <v>95</v>
      </c>
      <c r="C205" s="3" t="s">
        <v>109</v>
      </c>
      <c r="D205" s="3" t="n">
        <v>18786938</v>
      </c>
      <c r="E205" s="3" t="s">
        <v>106</v>
      </c>
      <c r="F205" s="3" t="n">
        <f aca="false">IF(C205="848630",0,1)</f>
        <v>1</v>
      </c>
    </row>
    <row r="206" customFormat="false" ht="15" hidden="false" customHeight="false" outlineLevel="0" collapsed="false">
      <c r="A206" s="12" t="n">
        <v>45870</v>
      </c>
      <c r="B206" s="3" t="s">
        <v>95</v>
      </c>
      <c r="C206" s="3" t="s">
        <v>110</v>
      </c>
      <c r="D206" s="3" t="n">
        <v>2156632</v>
      </c>
      <c r="E206" s="3" t="s">
        <v>106</v>
      </c>
      <c r="F206" s="3" t="n">
        <f aca="false">IF(C206="848630",0,1)</f>
        <v>1</v>
      </c>
    </row>
    <row r="207" customFormat="false" ht="15" hidden="false" customHeight="false" outlineLevel="0" collapsed="false">
      <c r="A207" s="12" t="n">
        <v>45870</v>
      </c>
      <c r="B207" s="3" t="s">
        <v>95</v>
      </c>
      <c r="C207" s="3" t="s">
        <v>111</v>
      </c>
      <c r="D207" s="3" t="n">
        <v>1346322</v>
      </c>
      <c r="E207" s="3" t="s">
        <v>106</v>
      </c>
      <c r="F207" s="3" t="n">
        <f aca="false">IF(C207="848630",0,1)</f>
        <v>1</v>
      </c>
    </row>
    <row r="208" customFormat="false" ht="15" hidden="false" customHeight="false" outlineLevel="0" collapsed="false">
      <c r="A208" s="12" t="n">
        <v>45901</v>
      </c>
      <c r="B208" s="3" t="s">
        <v>95</v>
      </c>
      <c r="C208" s="3" t="s">
        <v>105</v>
      </c>
      <c r="D208" s="3" t="n">
        <v>680797</v>
      </c>
      <c r="E208" s="3" t="s">
        <v>106</v>
      </c>
      <c r="F208" s="3" t="n">
        <f aca="false">IF(C208="848630",0,1)</f>
        <v>1</v>
      </c>
    </row>
    <row r="209" customFormat="false" ht="15" hidden="false" customHeight="false" outlineLevel="0" collapsed="false">
      <c r="A209" s="12" t="n">
        <v>45901</v>
      </c>
      <c r="B209" s="3" t="s">
        <v>95</v>
      </c>
      <c r="C209" s="3" t="s">
        <v>107</v>
      </c>
      <c r="D209" s="3" t="n">
        <v>34293352</v>
      </c>
      <c r="E209" s="3" t="s">
        <v>106</v>
      </c>
      <c r="F209" s="3" t="n">
        <f aca="false">IF(C209="848630",0,1)</f>
        <v>1</v>
      </c>
    </row>
    <row r="210" customFormat="false" ht="15" hidden="false" customHeight="false" outlineLevel="0" collapsed="false">
      <c r="A210" s="12" t="n">
        <v>45901</v>
      </c>
      <c r="B210" s="3" t="s">
        <v>95</v>
      </c>
      <c r="C210" s="3" t="s">
        <v>112</v>
      </c>
      <c r="D210" s="3" t="n">
        <v>2829</v>
      </c>
      <c r="E210" s="3" t="s">
        <v>106</v>
      </c>
      <c r="F210" s="3" t="n">
        <f aca="false">IF(C210="848630",0,1)</f>
        <v>0</v>
      </c>
    </row>
    <row r="211" customFormat="false" ht="15" hidden="false" customHeight="false" outlineLevel="0" collapsed="false">
      <c r="A211" s="12" t="n">
        <v>45901</v>
      </c>
      <c r="B211" s="3" t="s">
        <v>95</v>
      </c>
      <c r="C211" s="3" t="s">
        <v>108</v>
      </c>
      <c r="D211" s="3" t="n">
        <v>3257527</v>
      </c>
      <c r="E211" s="3" t="s">
        <v>106</v>
      </c>
      <c r="F211" s="3" t="n">
        <f aca="false">IF(C211="848630",0,1)</f>
        <v>1</v>
      </c>
    </row>
    <row r="212" customFormat="false" ht="15" hidden="false" customHeight="false" outlineLevel="0" collapsed="false">
      <c r="A212" s="12" t="n">
        <v>45901</v>
      </c>
      <c r="B212" s="3" t="s">
        <v>95</v>
      </c>
      <c r="C212" s="3" t="s">
        <v>109</v>
      </c>
      <c r="D212" s="3" t="n">
        <v>18531189</v>
      </c>
      <c r="E212" s="3" t="s">
        <v>106</v>
      </c>
      <c r="F212" s="3" t="n">
        <f aca="false">IF(C212="848630",0,1)</f>
        <v>1</v>
      </c>
    </row>
    <row r="213" customFormat="false" ht="15" hidden="false" customHeight="false" outlineLevel="0" collapsed="false">
      <c r="A213" s="12" t="n">
        <v>45901</v>
      </c>
      <c r="B213" s="3" t="s">
        <v>95</v>
      </c>
      <c r="C213" s="3" t="s">
        <v>110</v>
      </c>
      <c r="D213" s="3" t="n">
        <v>3940476</v>
      </c>
      <c r="E213" s="3" t="s">
        <v>106</v>
      </c>
      <c r="F213" s="3" t="n">
        <f aca="false">IF(C213="848630",0,1)</f>
        <v>1</v>
      </c>
    </row>
    <row r="214" customFormat="false" ht="15" hidden="false" customHeight="false" outlineLevel="0" collapsed="false">
      <c r="A214" s="12" t="n">
        <v>45901</v>
      </c>
      <c r="B214" s="3" t="s">
        <v>95</v>
      </c>
      <c r="C214" s="3" t="s">
        <v>111</v>
      </c>
      <c r="D214" s="3" t="n">
        <v>1117766</v>
      </c>
      <c r="E214" s="3" t="s">
        <v>106</v>
      </c>
      <c r="F214" s="3" t="n">
        <f aca="false">IF(C214="848630",0,1)</f>
        <v>1</v>
      </c>
    </row>
    <row r="215" customFormat="false" ht="15" hidden="false" customHeight="false" outlineLevel="0" collapsed="false">
      <c r="A215" s="12" t="n">
        <v>45931</v>
      </c>
      <c r="B215" s="3" t="s">
        <v>95</v>
      </c>
      <c r="C215" s="3" t="s">
        <v>105</v>
      </c>
      <c r="D215" s="3" t="n">
        <v>710976</v>
      </c>
      <c r="E215" s="3" t="s">
        <v>106</v>
      </c>
      <c r="F215" s="3" t="n">
        <f aca="false">IF(C215="848630",0,1)</f>
        <v>1</v>
      </c>
    </row>
    <row r="216" customFormat="false" ht="15" hidden="false" customHeight="false" outlineLevel="0" collapsed="false">
      <c r="A216" s="12" t="n">
        <v>45931</v>
      </c>
      <c r="B216" s="3" t="s">
        <v>95</v>
      </c>
      <c r="C216" s="3" t="s">
        <v>107</v>
      </c>
      <c r="D216" s="3" t="n">
        <v>47848777</v>
      </c>
      <c r="E216" s="3" t="s">
        <v>106</v>
      </c>
      <c r="F216" s="3" t="n">
        <f aca="false">IF(C216="848630",0,1)</f>
        <v>1</v>
      </c>
    </row>
    <row r="217" customFormat="false" ht="15" hidden="false" customHeight="false" outlineLevel="0" collapsed="false">
      <c r="A217" s="12" t="n">
        <v>45931</v>
      </c>
      <c r="B217" s="3" t="s">
        <v>95</v>
      </c>
      <c r="C217" s="3" t="s">
        <v>108</v>
      </c>
      <c r="D217" s="3" t="n">
        <v>2275609</v>
      </c>
      <c r="E217" s="3" t="s">
        <v>106</v>
      </c>
      <c r="F217" s="3" t="n">
        <f aca="false">IF(C217="848630",0,1)</f>
        <v>1</v>
      </c>
    </row>
    <row r="218" customFormat="false" ht="15" hidden="false" customHeight="false" outlineLevel="0" collapsed="false">
      <c r="A218" s="12" t="n">
        <v>45931</v>
      </c>
      <c r="B218" s="3" t="s">
        <v>95</v>
      </c>
      <c r="C218" s="3" t="s">
        <v>109</v>
      </c>
      <c r="D218" s="3" t="n">
        <v>24245085</v>
      </c>
      <c r="E218" s="3" t="s">
        <v>106</v>
      </c>
      <c r="F218" s="3" t="n">
        <f aca="false">IF(C218="848630",0,1)</f>
        <v>1</v>
      </c>
    </row>
    <row r="219" customFormat="false" ht="15" hidden="false" customHeight="false" outlineLevel="0" collapsed="false">
      <c r="A219" s="12" t="n">
        <v>45931</v>
      </c>
      <c r="B219" s="3" t="s">
        <v>95</v>
      </c>
      <c r="C219" s="3" t="s">
        <v>110</v>
      </c>
      <c r="D219" s="3" t="n">
        <v>1471847</v>
      </c>
      <c r="E219" s="3" t="s">
        <v>106</v>
      </c>
      <c r="F219" s="3" t="n">
        <f aca="false">IF(C219="848630",0,1)</f>
        <v>1</v>
      </c>
    </row>
    <row r="220" customFormat="false" ht="15" hidden="false" customHeight="false" outlineLevel="0" collapsed="false">
      <c r="A220" s="12" t="n">
        <v>45931</v>
      </c>
      <c r="B220" s="3" t="s">
        <v>95</v>
      </c>
      <c r="C220" s="3" t="s">
        <v>111</v>
      </c>
      <c r="D220" s="3" t="n">
        <v>194706</v>
      </c>
      <c r="E220" s="3" t="s">
        <v>106</v>
      </c>
      <c r="F220" s="3" t="n">
        <f aca="false">IF(C220="848630",0,1)</f>
        <v>1</v>
      </c>
    </row>
    <row r="221" customFormat="false" ht="15" hidden="false" customHeight="false" outlineLevel="0" collapsed="false">
      <c r="A221" s="12" t="n">
        <v>45962</v>
      </c>
      <c r="B221" s="3" t="s">
        <v>95</v>
      </c>
      <c r="C221" s="3" t="s">
        <v>105</v>
      </c>
      <c r="D221" s="3" t="n">
        <v>3826111</v>
      </c>
      <c r="E221" s="3" t="s">
        <v>106</v>
      </c>
      <c r="F221" s="3" t="n">
        <f aca="false">IF(C221="848630",0,1)</f>
        <v>1</v>
      </c>
    </row>
    <row r="222" customFormat="false" ht="15" hidden="false" customHeight="false" outlineLevel="0" collapsed="false">
      <c r="A222" s="12" t="n">
        <v>45962</v>
      </c>
      <c r="B222" s="3" t="s">
        <v>95</v>
      </c>
      <c r="C222" s="3" t="s">
        <v>107</v>
      </c>
      <c r="D222" s="3" t="n">
        <v>49832245</v>
      </c>
      <c r="E222" s="3" t="s">
        <v>106</v>
      </c>
      <c r="F222" s="3" t="n">
        <f aca="false">IF(C222="848630",0,1)</f>
        <v>1</v>
      </c>
    </row>
    <row r="223" customFormat="false" ht="15" hidden="false" customHeight="false" outlineLevel="0" collapsed="false">
      <c r="A223" s="12" t="n">
        <v>45962</v>
      </c>
      <c r="B223" s="3" t="s">
        <v>95</v>
      </c>
      <c r="C223" s="3" t="s">
        <v>112</v>
      </c>
      <c r="D223" s="3" t="n">
        <v>2303</v>
      </c>
      <c r="E223" s="3" t="s">
        <v>106</v>
      </c>
      <c r="F223" s="3" t="n">
        <f aca="false">IF(C223="848630",0,1)</f>
        <v>0</v>
      </c>
    </row>
    <row r="224" customFormat="false" ht="15" hidden="false" customHeight="false" outlineLevel="0" collapsed="false">
      <c r="A224" s="12" t="n">
        <v>45962</v>
      </c>
      <c r="B224" s="3" t="s">
        <v>95</v>
      </c>
      <c r="C224" s="3" t="s">
        <v>108</v>
      </c>
      <c r="D224" s="3" t="n">
        <v>7376806</v>
      </c>
      <c r="E224" s="3" t="s">
        <v>106</v>
      </c>
      <c r="F224" s="3" t="n">
        <f aca="false">IF(C224="848630",0,1)</f>
        <v>1</v>
      </c>
    </row>
    <row r="225" customFormat="false" ht="15" hidden="false" customHeight="false" outlineLevel="0" collapsed="false">
      <c r="A225" s="12" t="n">
        <v>45962</v>
      </c>
      <c r="B225" s="3" t="s">
        <v>95</v>
      </c>
      <c r="C225" s="3" t="s">
        <v>109</v>
      </c>
      <c r="D225" s="3" t="n">
        <v>18612004</v>
      </c>
      <c r="E225" s="3" t="s">
        <v>106</v>
      </c>
      <c r="F225" s="3" t="n">
        <f aca="false">IF(C225="848630",0,1)</f>
        <v>1</v>
      </c>
    </row>
    <row r="226" customFormat="false" ht="15" hidden="false" customHeight="false" outlineLevel="0" collapsed="false">
      <c r="A226" s="12" t="n">
        <v>45962</v>
      </c>
      <c r="B226" s="3" t="s">
        <v>95</v>
      </c>
      <c r="C226" s="3" t="s">
        <v>110</v>
      </c>
      <c r="D226" s="3" t="n">
        <v>2415136</v>
      </c>
      <c r="E226" s="3" t="s">
        <v>106</v>
      </c>
      <c r="F226" s="3" t="n">
        <f aca="false">IF(C226="848630",0,1)</f>
        <v>1</v>
      </c>
    </row>
    <row r="227" customFormat="false" ht="15" hidden="false" customHeight="false" outlineLevel="0" collapsed="false">
      <c r="A227" s="12" t="n">
        <v>45962</v>
      </c>
      <c r="B227" s="3" t="s">
        <v>95</v>
      </c>
      <c r="C227" s="3" t="s">
        <v>111</v>
      </c>
      <c r="D227" s="3" t="n">
        <v>2193033</v>
      </c>
      <c r="E227" s="3" t="s">
        <v>106</v>
      </c>
      <c r="F227" s="3" t="n">
        <f aca="false">IF(C227="848630",0,1)</f>
        <v>1</v>
      </c>
    </row>
    <row r="228" customFormat="false" ht="15" hidden="false" customHeight="false" outlineLevel="0" collapsed="false">
      <c r="A228" s="12" t="n">
        <v>45992</v>
      </c>
      <c r="B228" s="3" t="s">
        <v>95</v>
      </c>
      <c r="C228" s="3" t="s">
        <v>105</v>
      </c>
      <c r="D228" s="3" t="n">
        <v>6551437</v>
      </c>
      <c r="E228" s="3" t="s">
        <v>106</v>
      </c>
      <c r="F228" s="3" t="n">
        <f aca="false">IF(C228="848630",0,1)</f>
        <v>1</v>
      </c>
    </row>
    <row r="229" customFormat="false" ht="15" hidden="false" customHeight="false" outlineLevel="0" collapsed="false">
      <c r="A229" s="12" t="n">
        <v>45992</v>
      </c>
      <c r="B229" s="3" t="s">
        <v>95</v>
      </c>
      <c r="C229" s="3" t="s">
        <v>107</v>
      </c>
      <c r="D229" s="3" t="n">
        <v>32038288</v>
      </c>
      <c r="E229" s="3" t="s">
        <v>106</v>
      </c>
      <c r="F229" s="3" t="n">
        <f aca="false">IF(C229="848630",0,1)</f>
        <v>1</v>
      </c>
    </row>
    <row r="230" customFormat="false" ht="15" hidden="false" customHeight="false" outlineLevel="0" collapsed="false">
      <c r="A230" s="12" t="n">
        <v>45992</v>
      </c>
      <c r="B230" s="3" t="s">
        <v>95</v>
      </c>
      <c r="C230" s="3" t="s">
        <v>108</v>
      </c>
      <c r="D230" s="3" t="n">
        <v>6721143</v>
      </c>
      <c r="E230" s="3" t="s">
        <v>106</v>
      </c>
      <c r="F230" s="3" t="n">
        <f aca="false">IF(C230="848630",0,1)</f>
        <v>1</v>
      </c>
    </row>
    <row r="231" customFormat="false" ht="15" hidden="false" customHeight="false" outlineLevel="0" collapsed="false">
      <c r="A231" s="12" t="n">
        <v>45992</v>
      </c>
      <c r="B231" s="3" t="s">
        <v>95</v>
      </c>
      <c r="C231" s="3" t="s">
        <v>109</v>
      </c>
      <c r="D231" s="3" t="n">
        <v>23390400</v>
      </c>
      <c r="E231" s="3" t="s">
        <v>106</v>
      </c>
      <c r="F231" s="3" t="n">
        <f aca="false">IF(C231="848630",0,1)</f>
        <v>1</v>
      </c>
    </row>
    <row r="232" customFormat="false" ht="15" hidden="false" customHeight="false" outlineLevel="0" collapsed="false">
      <c r="A232" s="12" t="n">
        <v>45992</v>
      </c>
      <c r="B232" s="3" t="s">
        <v>95</v>
      </c>
      <c r="C232" s="3" t="s">
        <v>110</v>
      </c>
      <c r="D232" s="3" t="n">
        <v>993894</v>
      </c>
      <c r="E232" s="3" t="s">
        <v>106</v>
      </c>
      <c r="F232" s="3" t="n">
        <f aca="false">IF(C232="848630",0,1)</f>
        <v>1</v>
      </c>
    </row>
    <row r="233" customFormat="false" ht="15" hidden="false" customHeight="false" outlineLevel="0" collapsed="false">
      <c r="A233" s="12" t="n">
        <v>45992</v>
      </c>
      <c r="B233" s="3" t="s">
        <v>95</v>
      </c>
      <c r="C233" s="3" t="s">
        <v>111</v>
      </c>
      <c r="D233" s="3" t="n">
        <v>350637</v>
      </c>
      <c r="E233" s="3" t="s">
        <v>106</v>
      </c>
      <c r="F233" s="3" t="n">
        <f aca="false">IF(C233="848630",0,1)</f>
        <v>1</v>
      </c>
    </row>
    <row r="234" customFormat="false" ht="15" hidden="false" customHeight="false" outlineLevel="0" collapsed="false">
      <c r="A234" s="12" t="n">
        <v>46023</v>
      </c>
      <c r="B234" s="3" t="s">
        <v>95</v>
      </c>
      <c r="C234" s="3" t="s">
        <v>105</v>
      </c>
      <c r="D234" s="3" t="n">
        <v>1178570</v>
      </c>
      <c r="E234" s="3" t="s">
        <v>106</v>
      </c>
      <c r="F234" s="3" t="n">
        <f aca="false">IF(C234="848630",0,1)</f>
        <v>1</v>
      </c>
    </row>
    <row r="235" customFormat="false" ht="15" hidden="false" customHeight="false" outlineLevel="0" collapsed="false">
      <c r="A235" s="12" t="n">
        <v>46023</v>
      </c>
      <c r="B235" s="3" t="s">
        <v>95</v>
      </c>
      <c r="C235" s="3" t="s">
        <v>107</v>
      </c>
      <c r="D235" s="3" t="n">
        <v>35403262</v>
      </c>
      <c r="E235" s="3" t="s">
        <v>106</v>
      </c>
      <c r="F235" s="3" t="n">
        <f aca="false">IF(C235="848630",0,1)</f>
        <v>1</v>
      </c>
    </row>
    <row r="236" customFormat="false" ht="15" hidden="false" customHeight="false" outlineLevel="0" collapsed="false">
      <c r="A236" s="12" t="n">
        <v>46023</v>
      </c>
      <c r="B236" s="3" t="s">
        <v>95</v>
      </c>
      <c r="C236" s="3" t="s">
        <v>108</v>
      </c>
      <c r="D236" s="3" t="n">
        <v>8532019</v>
      </c>
      <c r="E236" s="3" t="s">
        <v>106</v>
      </c>
      <c r="F236" s="3" t="n">
        <f aca="false">IF(C236="848630",0,1)</f>
        <v>1</v>
      </c>
    </row>
    <row r="237" customFormat="false" ht="15" hidden="false" customHeight="false" outlineLevel="0" collapsed="false">
      <c r="A237" s="12" t="n">
        <v>46023</v>
      </c>
      <c r="B237" s="3" t="s">
        <v>95</v>
      </c>
      <c r="C237" s="3" t="s">
        <v>109</v>
      </c>
      <c r="D237" s="3" t="n">
        <v>23109834</v>
      </c>
      <c r="E237" s="3" t="s">
        <v>106</v>
      </c>
      <c r="F237" s="3" t="n">
        <f aca="false">IF(C237="848630",0,1)</f>
        <v>1</v>
      </c>
    </row>
    <row r="238" customFormat="false" ht="15" hidden="false" customHeight="false" outlineLevel="0" collapsed="false">
      <c r="A238" s="12" t="n">
        <v>46023</v>
      </c>
      <c r="B238" s="3" t="s">
        <v>95</v>
      </c>
      <c r="C238" s="3" t="s">
        <v>110</v>
      </c>
      <c r="D238" s="3" t="n">
        <v>3743737</v>
      </c>
      <c r="E238" s="3" t="s">
        <v>106</v>
      </c>
      <c r="F238" s="3" t="n">
        <f aca="false">IF(C238="848630",0,1)</f>
        <v>1</v>
      </c>
    </row>
    <row r="239" customFormat="false" ht="15" hidden="false" customHeight="false" outlineLevel="0" collapsed="false">
      <c r="A239" s="12" t="n">
        <v>46023</v>
      </c>
      <c r="B239" s="3" t="s">
        <v>95</v>
      </c>
      <c r="C239" s="3" t="s">
        <v>111</v>
      </c>
      <c r="D239" s="3" t="n">
        <v>1374458</v>
      </c>
      <c r="E239" s="3" t="s">
        <v>106</v>
      </c>
      <c r="F239" s="3" t="n">
        <f aca="false">IF(C239="848630",0,1)</f>
        <v>1</v>
      </c>
    </row>
    <row r="240" customFormat="false" ht="15" hidden="false" customHeight="false" outlineLevel="0" collapsed="false">
      <c r="A240" s="12" t="n">
        <v>46054</v>
      </c>
      <c r="B240" s="3" t="s">
        <v>95</v>
      </c>
      <c r="C240" s="3" t="s">
        <v>105</v>
      </c>
      <c r="D240" s="3" t="n">
        <v>691418</v>
      </c>
      <c r="E240" s="3" t="s">
        <v>106</v>
      </c>
      <c r="F240" s="3" t="n">
        <f aca="false">IF(C240="848630",0,1)</f>
        <v>1</v>
      </c>
    </row>
    <row r="241" customFormat="false" ht="15" hidden="false" customHeight="false" outlineLevel="0" collapsed="false">
      <c r="A241" s="12" t="n">
        <v>46054</v>
      </c>
      <c r="B241" s="3" t="s">
        <v>95</v>
      </c>
      <c r="C241" s="3" t="s">
        <v>107</v>
      </c>
      <c r="D241" s="3" t="n">
        <v>63643201</v>
      </c>
      <c r="E241" s="3" t="s">
        <v>106</v>
      </c>
      <c r="F241" s="3" t="n">
        <f aca="false">IF(C241="848630",0,1)</f>
        <v>1</v>
      </c>
    </row>
    <row r="242" customFormat="false" ht="15" hidden="false" customHeight="false" outlineLevel="0" collapsed="false">
      <c r="A242" s="12" t="n">
        <v>46054</v>
      </c>
      <c r="B242" s="3" t="s">
        <v>95</v>
      </c>
      <c r="C242" s="3" t="s">
        <v>108</v>
      </c>
      <c r="D242" s="3" t="n">
        <v>1939442</v>
      </c>
      <c r="E242" s="3" t="s">
        <v>106</v>
      </c>
      <c r="F242" s="3" t="n">
        <f aca="false">IF(C242="848630",0,1)</f>
        <v>1</v>
      </c>
    </row>
    <row r="243" customFormat="false" ht="15" hidden="false" customHeight="false" outlineLevel="0" collapsed="false">
      <c r="A243" s="12" t="n">
        <v>46054</v>
      </c>
      <c r="B243" s="3" t="s">
        <v>95</v>
      </c>
      <c r="C243" s="3" t="s">
        <v>109</v>
      </c>
      <c r="D243" s="3" t="n">
        <v>20967444</v>
      </c>
      <c r="E243" s="3" t="s">
        <v>106</v>
      </c>
      <c r="F243" s="3" t="n">
        <f aca="false">IF(C243="848630",0,1)</f>
        <v>1</v>
      </c>
    </row>
    <row r="244" customFormat="false" ht="15" hidden="false" customHeight="false" outlineLevel="0" collapsed="false">
      <c r="A244" s="12" t="n">
        <v>46054</v>
      </c>
      <c r="B244" s="3" t="s">
        <v>95</v>
      </c>
      <c r="C244" s="3" t="s">
        <v>110</v>
      </c>
      <c r="D244" s="3" t="n">
        <v>2373872</v>
      </c>
      <c r="E244" s="3" t="s">
        <v>106</v>
      </c>
      <c r="F244" s="3" t="n">
        <f aca="false">IF(C244="848630",0,1)</f>
        <v>1</v>
      </c>
    </row>
    <row r="245" customFormat="false" ht="15" hidden="false" customHeight="false" outlineLevel="0" collapsed="false">
      <c r="A245" s="12" t="n">
        <v>46054</v>
      </c>
      <c r="B245" s="3" t="s">
        <v>95</v>
      </c>
      <c r="C245" s="3" t="s">
        <v>111</v>
      </c>
      <c r="D245" s="3" t="n">
        <v>598869</v>
      </c>
      <c r="E245" s="3" t="s">
        <v>106</v>
      </c>
      <c r="F245" s="3" t="n">
        <f aca="false">IF(C245="848630",0,1)</f>
        <v>1</v>
      </c>
    </row>
    <row r="246" customFormat="false" ht="15" hidden="false" customHeight="false" outlineLevel="0" collapsed="false">
      <c r="A246" s="12" t="n">
        <v>46082</v>
      </c>
      <c r="B246" s="3" t="s">
        <v>95</v>
      </c>
      <c r="C246" s="3" t="s">
        <v>105</v>
      </c>
      <c r="D246" s="3" t="n">
        <v>21751650</v>
      </c>
      <c r="E246" s="3" t="s">
        <v>106</v>
      </c>
      <c r="F246" s="3" t="n">
        <f aca="false">IF(C246="848630",0,1)</f>
        <v>1</v>
      </c>
    </row>
    <row r="247" customFormat="false" ht="15" hidden="false" customHeight="false" outlineLevel="0" collapsed="false">
      <c r="A247" s="12" t="n">
        <v>46082</v>
      </c>
      <c r="B247" s="3" t="s">
        <v>95</v>
      </c>
      <c r="C247" s="3" t="s">
        <v>107</v>
      </c>
      <c r="D247" s="3" t="n">
        <v>138628447</v>
      </c>
      <c r="E247" s="3" t="s">
        <v>106</v>
      </c>
      <c r="F247" s="3" t="n">
        <f aca="false">IF(C247="848630",0,1)</f>
        <v>1</v>
      </c>
    </row>
    <row r="248" customFormat="false" ht="15" hidden="false" customHeight="false" outlineLevel="0" collapsed="false">
      <c r="A248" s="12" t="n">
        <v>46082</v>
      </c>
      <c r="B248" s="3" t="s">
        <v>95</v>
      </c>
      <c r="C248" s="3" t="s">
        <v>112</v>
      </c>
      <c r="D248" s="3" t="n">
        <v>35040</v>
      </c>
      <c r="E248" s="3" t="s">
        <v>106</v>
      </c>
      <c r="F248" s="3" t="n">
        <f aca="false">IF(C248="848630",0,1)</f>
        <v>0</v>
      </c>
    </row>
    <row r="249" customFormat="false" ht="15" hidden="false" customHeight="false" outlineLevel="0" collapsed="false">
      <c r="A249" s="12" t="n">
        <v>46082</v>
      </c>
      <c r="B249" s="3" t="s">
        <v>95</v>
      </c>
      <c r="C249" s="3" t="s">
        <v>108</v>
      </c>
      <c r="D249" s="3" t="n">
        <v>3338786</v>
      </c>
      <c r="E249" s="3" t="s">
        <v>106</v>
      </c>
      <c r="F249" s="3" t="n">
        <f aca="false">IF(C249="848630",0,1)</f>
        <v>1</v>
      </c>
    </row>
    <row r="250" customFormat="false" ht="15" hidden="false" customHeight="false" outlineLevel="0" collapsed="false">
      <c r="A250" s="12" t="n">
        <v>46082</v>
      </c>
      <c r="B250" s="3" t="s">
        <v>95</v>
      </c>
      <c r="C250" s="3" t="s">
        <v>109</v>
      </c>
      <c r="D250" s="3" t="n">
        <v>28778139</v>
      </c>
      <c r="E250" s="3" t="s">
        <v>106</v>
      </c>
      <c r="F250" s="3" t="n">
        <f aca="false">IF(C250="848630",0,1)</f>
        <v>1</v>
      </c>
    </row>
    <row r="251" customFormat="false" ht="15" hidden="false" customHeight="false" outlineLevel="0" collapsed="false">
      <c r="A251" s="12" t="n">
        <v>46082</v>
      </c>
      <c r="B251" s="3" t="s">
        <v>95</v>
      </c>
      <c r="C251" s="3" t="s">
        <v>110</v>
      </c>
      <c r="D251" s="3" t="n">
        <v>4761984</v>
      </c>
      <c r="E251" s="3" t="s">
        <v>106</v>
      </c>
      <c r="F251" s="3" t="n">
        <f aca="false">IF(C251="848630",0,1)</f>
        <v>1</v>
      </c>
    </row>
    <row r="252" customFormat="false" ht="15" hidden="false" customHeight="false" outlineLevel="0" collapsed="false">
      <c r="A252" s="12" t="n">
        <v>46082</v>
      </c>
      <c r="B252" s="3" t="s">
        <v>95</v>
      </c>
      <c r="C252" s="3" t="s">
        <v>111</v>
      </c>
      <c r="D252" s="3" t="n">
        <v>36599</v>
      </c>
      <c r="E252" s="3" t="s">
        <v>106</v>
      </c>
      <c r="F252" s="3" t="n">
        <f aca="false">IF(C252="848630",0,1)</f>
        <v>1</v>
      </c>
    </row>
    <row r="253" customFormat="false" ht="15" hidden="false" customHeight="false" outlineLevel="0" collapsed="false">
      <c r="A253" s="12" t="n">
        <v>46113</v>
      </c>
      <c r="B253" s="3" t="s">
        <v>95</v>
      </c>
      <c r="C253" s="3" t="s">
        <v>105</v>
      </c>
      <c r="D253" s="3" t="n">
        <v>10586923</v>
      </c>
      <c r="E253" s="3" t="s">
        <v>106</v>
      </c>
      <c r="F253" s="3" t="n">
        <f aca="false">IF(C253="848630",0,1)</f>
        <v>1</v>
      </c>
    </row>
    <row r="254" customFormat="false" ht="15" hidden="false" customHeight="false" outlineLevel="0" collapsed="false">
      <c r="A254" s="12" t="n">
        <v>46113</v>
      </c>
      <c r="B254" s="3" t="s">
        <v>95</v>
      </c>
      <c r="C254" s="3" t="s">
        <v>107</v>
      </c>
      <c r="D254" s="3" t="n">
        <v>254152551</v>
      </c>
      <c r="E254" s="3" t="s">
        <v>106</v>
      </c>
      <c r="F254" s="3" t="n">
        <f aca="false">IF(C254="848630",0,1)</f>
        <v>1</v>
      </c>
    </row>
    <row r="255" customFormat="false" ht="15" hidden="false" customHeight="false" outlineLevel="0" collapsed="false">
      <c r="A255" s="12" t="n">
        <v>46113</v>
      </c>
      <c r="B255" s="3" t="s">
        <v>95</v>
      </c>
      <c r="C255" s="3" t="s">
        <v>112</v>
      </c>
      <c r="D255" s="3" t="n">
        <v>2253</v>
      </c>
      <c r="E255" s="3" t="s">
        <v>106</v>
      </c>
      <c r="F255" s="3" t="n">
        <f aca="false">IF(C255="848630",0,1)</f>
        <v>0</v>
      </c>
    </row>
    <row r="256" customFormat="false" ht="15" hidden="false" customHeight="false" outlineLevel="0" collapsed="false">
      <c r="A256" s="12" t="n">
        <v>46113</v>
      </c>
      <c r="B256" s="3" t="s">
        <v>95</v>
      </c>
      <c r="C256" s="3" t="s">
        <v>108</v>
      </c>
      <c r="D256" s="3" t="n">
        <v>2528192</v>
      </c>
      <c r="E256" s="3" t="s">
        <v>106</v>
      </c>
      <c r="F256" s="3" t="n">
        <f aca="false">IF(C256="848630",0,1)</f>
        <v>1</v>
      </c>
    </row>
    <row r="257" customFormat="false" ht="15" hidden="false" customHeight="false" outlineLevel="0" collapsed="false">
      <c r="A257" s="12" t="n">
        <v>46113</v>
      </c>
      <c r="B257" s="3" t="s">
        <v>95</v>
      </c>
      <c r="C257" s="3" t="s">
        <v>109</v>
      </c>
      <c r="D257" s="3" t="n">
        <v>25404030</v>
      </c>
      <c r="E257" s="3" t="s">
        <v>106</v>
      </c>
      <c r="F257" s="3" t="n">
        <f aca="false">IF(C257="848630",0,1)</f>
        <v>1</v>
      </c>
    </row>
    <row r="258" customFormat="false" ht="15" hidden="false" customHeight="false" outlineLevel="0" collapsed="false">
      <c r="A258" s="12" t="n">
        <v>46113</v>
      </c>
      <c r="B258" s="3" t="s">
        <v>95</v>
      </c>
      <c r="C258" s="3" t="s">
        <v>110</v>
      </c>
      <c r="D258" s="3" t="n">
        <v>3031992</v>
      </c>
      <c r="E258" s="3" t="s">
        <v>106</v>
      </c>
      <c r="F258" s="3" t="n">
        <f aca="false">IF(C258="848630",0,1)</f>
        <v>1</v>
      </c>
    </row>
    <row r="259" customFormat="false" ht="15" hidden="false" customHeight="false" outlineLevel="0" collapsed="false">
      <c r="A259" s="12" t="n">
        <v>46113</v>
      </c>
      <c r="B259" s="3" t="s">
        <v>95</v>
      </c>
      <c r="C259" s="3" t="s">
        <v>111</v>
      </c>
      <c r="D259" s="3" t="n">
        <v>33607160</v>
      </c>
      <c r="E259" s="3" t="s">
        <v>106</v>
      </c>
      <c r="F259" s="3" t="n">
        <f aca="false">IF(C259="848630",0,1)</f>
        <v>1</v>
      </c>
    </row>
    <row r="260" customFormat="false" ht="15" hidden="false" customHeight="false" outlineLevel="0" collapsed="false">
      <c r="A260" s="12" t="n">
        <v>46143</v>
      </c>
      <c r="B260" s="3" t="s">
        <v>95</v>
      </c>
      <c r="C260" s="3" t="s">
        <v>105</v>
      </c>
      <c r="D260" s="3" t="n">
        <v>7573</v>
      </c>
      <c r="E260" s="3" t="s">
        <v>106</v>
      </c>
      <c r="F260" s="3" t="n">
        <f aca="false">IF(C260="848630",0,1)</f>
        <v>1</v>
      </c>
    </row>
    <row r="261" customFormat="false" ht="15" hidden="false" customHeight="false" outlineLevel="0" collapsed="false">
      <c r="A261" s="12" t="n">
        <v>46143</v>
      </c>
      <c r="B261" s="3" t="s">
        <v>95</v>
      </c>
      <c r="C261" s="3" t="s">
        <v>107</v>
      </c>
      <c r="D261" s="3" t="n">
        <v>81956968</v>
      </c>
      <c r="E261" s="3" t="s">
        <v>106</v>
      </c>
      <c r="F261" s="3" t="n">
        <f aca="false">IF(C261="848630",0,1)</f>
        <v>1</v>
      </c>
    </row>
    <row r="262" customFormat="false" ht="15" hidden="false" customHeight="false" outlineLevel="0" collapsed="false">
      <c r="A262" s="12" t="n">
        <v>46143</v>
      </c>
      <c r="B262" s="3" t="s">
        <v>95</v>
      </c>
      <c r="C262" s="3" t="s">
        <v>108</v>
      </c>
      <c r="D262" s="3" t="n">
        <v>3743297</v>
      </c>
      <c r="E262" s="3" t="s">
        <v>106</v>
      </c>
      <c r="F262" s="3" t="n">
        <f aca="false">IF(C262="848630",0,1)</f>
        <v>1</v>
      </c>
    </row>
    <row r="263" customFormat="false" ht="15" hidden="false" customHeight="false" outlineLevel="0" collapsed="false">
      <c r="A263" s="12" t="n">
        <v>46143</v>
      </c>
      <c r="B263" s="3" t="s">
        <v>95</v>
      </c>
      <c r="C263" s="3" t="s">
        <v>109</v>
      </c>
      <c r="D263" s="3" t="n">
        <v>28136831</v>
      </c>
      <c r="E263" s="3" t="s">
        <v>106</v>
      </c>
      <c r="F263" s="3" t="n">
        <f aca="false">IF(C263="848630",0,1)</f>
        <v>1</v>
      </c>
    </row>
    <row r="264" customFormat="false" ht="15" hidden="false" customHeight="false" outlineLevel="0" collapsed="false">
      <c r="A264" s="12" t="n">
        <v>46143</v>
      </c>
      <c r="B264" s="3" t="s">
        <v>95</v>
      </c>
      <c r="C264" s="3" t="s">
        <v>110</v>
      </c>
      <c r="D264" s="3" t="n">
        <v>1115403</v>
      </c>
      <c r="E264" s="3" t="s">
        <v>106</v>
      </c>
      <c r="F264" s="3" t="n">
        <f aca="false">IF(C264="848630",0,1)</f>
        <v>1</v>
      </c>
    </row>
    <row r="265" customFormat="false" ht="15" hidden="false" customHeight="false" outlineLevel="0" collapsed="false">
      <c r="A265" s="12" t="n">
        <v>46143</v>
      </c>
      <c r="B265" s="3" t="s">
        <v>95</v>
      </c>
      <c r="C265" s="3" t="s">
        <v>111</v>
      </c>
      <c r="D265" s="3" t="n">
        <v>4875392</v>
      </c>
      <c r="E265" s="3" t="s">
        <v>106</v>
      </c>
      <c r="F265" s="3" t="n">
        <f aca="false">IF(C265="848630",0,1)</f>
        <v>1</v>
      </c>
    </row>
    <row r="266" customFormat="false" ht="15" hidden="false" customHeight="false" outlineLevel="0" collapsed="false">
      <c r="A266" s="12" t="n">
        <v>46174</v>
      </c>
      <c r="B266" s="3" t="s">
        <v>95</v>
      </c>
      <c r="C266" s="3" t="s">
        <v>105</v>
      </c>
      <c r="D266" s="3" t="n">
        <v>6238244</v>
      </c>
      <c r="E266" s="3" t="s">
        <v>106</v>
      </c>
      <c r="F266" s="3" t="n">
        <f aca="false">IF(C266="848630",0,1)</f>
        <v>1</v>
      </c>
    </row>
    <row r="267" customFormat="false" ht="15" hidden="false" customHeight="false" outlineLevel="0" collapsed="false">
      <c r="A267" s="12" t="n">
        <v>46174</v>
      </c>
      <c r="B267" s="3" t="s">
        <v>95</v>
      </c>
      <c r="C267" s="3" t="s">
        <v>107</v>
      </c>
      <c r="D267" s="3" t="n">
        <v>48398905</v>
      </c>
      <c r="E267" s="3" t="s">
        <v>106</v>
      </c>
      <c r="F267" s="3" t="n">
        <f aca="false">IF(C267="848630",0,1)</f>
        <v>1</v>
      </c>
    </row>
    <row r="268" customFormat="false" ht="15" hidden="false" customHeight="false" outlineLevel="0" collapsed="false">
      <c r="A268" s="12" t="n">
        <v>46174</v>
      </c>
      <c r="B268" s="3" t="s">
        <v>95</v>
      </c>
      <c r="C268" s="3" t="s">
        <v>108</v>
      </c>
      <c r="D268" s="3" t="n">
        <v>9643507</v>
      </c>
      <c r="E268" s="3" t="s">
        <v>106</v>
      </c>
      <c r="F268" s="3" t="n">
        <f aca="false">IF(C268="848630",0,1)</f>
        <v>1</v>
      </c>
    </row>
    <row r="269" customFormat="false" ht="15" hidden="false" customHeight="false" outlineLevel="0" collapsed="false">
      <c r="A269" s="12" t="n">
        <v>46174</v>
      </c>
      <c r="B269" s="3" t="s">
        <v>95</v>
      </c>
      <c r="C269" s="3" t="s">
        <v>109</v>
      </c>
      <c r="D269" s="3" t="n">
        <v>32363196</v>
      </c>
      <c r="E269" s="3" t="s">
        <v>106</v>
      </c>
      <c r="F269" s="3" t="n">
        <f aca="false">IF(C269="848630",0,1)</f>
        <v>1</v>
      </c>
    </row>
    <row r="270" customFormat="false" ht="15" hidden="false" customHeight="false" outlineLevel="0" collapsed="false">
      <c r="A270" s="12" t="n">
        <v>46174</v>
      </c>
      <c r="B270" s="3" t="s">
        <v>95</v>
      </c>
      <c r="C270" s="3" t="s">
        <v>110</v>
      </c>
      <c r="D270" s="3" t="n">
        <v>2983696</v>
      </c>
      <c r="E270" s="3" t="s">
        <v>106</v>
      </c>
      <c r="F270" s="3" t="n">
        <f aca="false">IF(C270="848630",0,1)</f>
        <v>1</v>
      </c>
    </row>
    <row r="271" customFormat="false" ht="15" hidden="false" customHeight="false" outlineLevel="0" collapsed="false">
      <c r="A271" s="12" t="n">
        <v>46174</v>
      </c>
      <c r="B271" s="3" t="s">
        <v>95</v>
      </c>
      <c r="C271" s="3" t="s">
        <v>111</v>
      </c>
      <c r="D271" s="3" t="n">
        <v>39692215</v>
      </c>
      <c r="E271" s="3" t="s">
        <v>106</v>
      </c>
      <c r="F271" s="3" t="n">
        <f aca="false">IF(C271="848630",0,1)</f>
        <v>1</v>
      </c>
    </row>
    <row r="272" customFormat="false" ht="15" hidden="false" customHeight="false" outlineLevel="0" collapsed="false">
      <c r="A272" s="12" t="n">
        <v>46204</v>
      </c>
      <c r="B272" s="3" t="s">
        <v>95</v>
      </c>
      <c r="C272" s="3" t="s">
        <v>105</v>
      </c>
      <c r="D272" s="3" t="n">
        <v>1874374</v>
      </c>
      <c r="E272" s="3" t="s">
        <v>106</v>
      </c>
      <c r="F272" s="3" t="n">
        <f aca="false">IF(C272="848630",0,1)</f>
        <v>1</v>
      </c>
    </row>
    <row r="273" customFormat="false" ht="15" hidden="false" customHeight="false" outlineLevel="0" collapsed="false">
      <c r="A273" s="12" t="n">
        <v>46204</v>
      </c>
      <c r="B273" s="3" t="s">
        <v>95</v>
      </c>
      <c r="C273" s="3" t="s">
        <v>107</v>
      </c>
      <c r="D273" s="3" t="n">
        <v>493437585</v>
      </c>
      <c r="E273" s="3" t="s">
        <v>106</v>
      </c>
      <c r="F273" s="3" t="n">
        <f aca="false">IF(C273="848630",0,1)</f>
        <v>1</v>
      </c>
    </row>
    <row r="274" customFormat="false" ht="15" hidden="false" customHeight="false" outlineLevel="0" collapsed="false">
      <c r="A274" s="12" t="n">
        <v>46204</v>
      </c>
      <c r="B274" s="3" t="s">
        <v>95</v>
      </c>
      <c r="C274" s="3" t="s">
        <v>108</v>
      </c>
      <c r="D274" s="3" t="n">
        <v>6067091</v>
      </c>
      <c r="E274" s="3" t="s">
        <v>106</v>
      </c>
      <c r="F274" s="3" t="n">
        <f aca="false">IF(C274="848630",0,1)</f>
        <v>1</v>
      </c>
    </row>
    <row r="275" customFormat="false" ht="15" hidden="false" customHeight="false" outlineLevel="0" collapsed="false">
      <c r="A275" s="12" t="n">
        <v>46204</v>
      </c>
      <c r="B275" s="3" t="s">
        <v>95</v>
      </c>
      <c r="C275" s="3" t="s">
        <v>109</v>
      </c>
      <c r="D275" s="3" t="n">
        <v>30375140</v>
      </c>
      <c r="E275" s="3" t="s">
        <v>106</v>
      </c>
      <c r="F275" s="3" t="n">
        <f aca="false">IF(C275="848630",0,1)</f>
        <v>1</v>
      </c>
    </row>
    <row r="276" customFormat="false" ht="15" hidden="false" customHeight="false" outlineLevel="0" collapsed="false">
      <c r="A276" s="12" t="n">
        <v>46204</v>
      </c>
      <c r="B276" s="3" t="s">
        <v>95</v>
      </c>
      <c r="C276" s="3" t="s">
        <v>110</v>
      </c>
      <c r="D276" s="3" t="n">
        <v>2360761</v>
      </c>
      <c r="E276" s="3" t="s">
        <v>106</v>
      </c>
      <c r="F276" s="3" t="n">
        <f aca="false">IF(C276="848630",0,1)</f>
        <v>1</v>
      </c>
    </row>
    <row r="277" customFormat="false" ht="15" hidden="false" customHeight="false" outlineLevel="0" collapsed="false">
      <c r="A277" s="12" t="n">
        <v>46204</v>
      </c>
      <c r="B277" s="3" t="s">
        <v>95</v>
      </c>
      <c r="C277" s="3" t="s">
        <v>111</v>
      </c>
      <c r="D277" s="3" t="n">
        <v>4170088</v>
      </c>
      <c r="E277" s="3" t="s">
        <v>106</v>
      </c>
      <c r="F277" s="3" t="n">
        <f aca="false">IF(C277="848630",0,1)</f>
        <v>1</v>
      </c>
    </row>
    <row r="278" customFormat="false" ht="15" hidden="false" customHeight="false" outlineLevel="0" collapsed="false">
      <c r="A278" s="12" t="n">
        <v>44927</v>
      </c>
      <c r="B278" s="9" t="s">
        <v>113</v>
      </c>
      <c r="C278" s="3" t="s">
        <v>105</v>
      </c>
      <c r="D278" s="3" t="n">
        <v>4316503</v>
      </c>
      <c r="E278" s="3" t="s">
        <v>114</v>
      </c>
      <c r="F278" s="3" t="n">
        <f aca="false">IF(C278="848630",0,1)</f>
        <v>1</v>
      </c>
    </row>
    <row r="279" customFormat="false" ht="15" hidden="false" customHeight="false" outlineLevel="0" collapsed="false">
      <c r="A279" s="12" t="n">
        <v>44927</v>
      </c>
      <c r="B279" s="9" t="s">
        <v>113</v>
      </c>
      <c r="C279" s="3" t="s">
        <v>105</v>
      </c>
      <c r="D279" s="3" t="n">
        <v>14737220</v>
      </c>
      <c r="E279" s="3" t="s">
        <v>114</v>
      </c>
      <c r="F279" s="3" t="n">
        <f aca="false">IF(C279="848630",0,1)</f>
        <v>1</v>
      </c>
    </row>
    <row r="280" customFormat="false" ht="15" hidden="false" customHeight="false" outlineLevel="0" collapsed="false">
      <c r="A280" s="12" t="n">
        <v>44927</v>
      </c>
      <c r="B280" s="9" t="s">
        <v>113</v>
      </c>
      <c r="C280" s="3" t="s">
        <v>105</v>
      </c>
      <c r="D280" s="3" t="n">
        <v>13861554</v>
      </c>
      <c r="E280" s="3" t="s">
        <v>114</v>
      </c>
      <c r="F280" s="3" t="n">
        <f aca="false">IF(C280="848630",0,1)</f>
        <v>1</v>
      </c>
    </row>
    <row r="281" customFormat="false" ht="15" hidden="false" customHeight="false" outlineLevel="0" collapsed="false">
      <c r="A281" s="12" t="n">
        <v>44927</v>
      </c>
      <c r="B281" s="9" t="s">
        <v>113</v>
      </c>
      <c r="C281" s="3" t="s">
        <v>105</v>
      </c>
      <c r="D281" s="3" t="n">
        <v>15801185</v>
      </c>
      <c r="E281" s="3" t="s">
        <v>114</v>
      </c>
      <c r="F281" s="3" t="n">
        <f aca="false">IF(C281="848630",0,1)</f>
        <v>1</v>
      </c>
    </row>
    <row r="282" customFormat="false" ht="15" hidden="false" customHeight="false" outlineLevel="0" collapsed="false">
      <c r="A282" s="12" t="n">
        <v>44927</v>
      </c>
      <c r="B282" s="9" t="s">
        <v>113</v>
      </c>
      <c r="C282" s="3" t="s">
        <v>105</v>
      </c>
      <c r="D282" s="3" t="n">
        <v>35690703</v>
      </c>
      <c r="E282" s="3" t="s">
        <v>114</v>
      </c>
      <c r="F282" s="3" t="n">
        <f aca="false">IF(C282="848630",0,1)</f>
        <v>1</v>
      </c>
    </row>
    <row r="283" customFormat="false" ht="15" hidden="false" customHeight="false" outlineLevel="0" collapsed="false">
      <c r="A283" s="12" t="n">
        <v>44927</v>
      </c>
      <c r="B283" s="9" t="s">
        <v>113</v>
      </c>
      <c r="C283" s="3" t="s">
        <v>107</v>
      </c>
      <c r="D283" s="3" t="n">
        <v>101727383</v>
      </c>
      <c r="E283" s="3" t="s">
        <v>114</v>
      </c>
      <c r="F283" s="3" t="n">
        <f aca="false">IF(C283="848630",0,1)</f>
        <v>1</v>
      </c>
    </row>
    <row r="284" customFormat="false" ht="15" hidden="false" customHeight="false" outlineLevel="0" collapsed="false">
      <c r="A284" s="12" t="n">
        <v>44927</v>
      </c>
      <c r="B284" s="9" t="s">
        <v>113</v>
      </c>
      <c r="C284" s="3" t="s">
        <v>107</v>
      </c>
      <c r="D284" s="3" t="n">
        <v>28046540</v>
      </c>
      <c r="E284" s="3" t="s">
        <v>114</v>
      </c>
      <c r="F284" s="3" t="n">
        <f aca="false">IF(C284="848630",0,1)</f>
        <v>1</v>
      </c>
    </row>
    <row r="285" customFormat="false" ht="15" hidden="false" customHeight="false" outlineLevel="0" collapsed="false">
      <c r="A285" s="12" t="n">
        <v>44927</v>
      </c>
      <c r="B285" s="9" t="s">
        <v>113</v>
      </c>
      <c r="C285" s="3" t="s">
        <v>107</v>
      </c>
      <c r="D285" s="3" t="n">
        <v>2232846</v>
      </c>
      <c r="E285" s="3" t="s">
        <v>114</v>
      </c>
      <c r="F285" s="3" t="n">
        <f aca="false">IF(C285="848630",0,1)</f>
        <v>1</v>
      </c>
    </row>
    <row r="286" customFormat="false" ht="15" hidden="false" customHeight="false" outlineLevel="0" collapsed="false">
      <c r="A286" s="12" t="n">
        <v>44927</v>
      </c>
      <c r="B286" s="9" t="s">
        <v>113</v>
      </c>
      <c r="C286" s="3" t="s">
        <v>107</v>
      </c>
      <c r="D286" s="3" t="n">
        <v>463129</v>
      </c>
      <c r="E286" s="3" t="s">
        <v>114</v>
      </c>
      <c r="F286" s="3" t="n">
        <f aca="false">IF(C286="848630",0,1)</f>
        <v>1</v>
      </c>
    </row>
    <row r="287" customFormat="false" ht="15" hidden="false" customHeight="false" outlineLevel="0" collapsed="false">
      <c r="A287" s="12" t="n">
        <v>44927</v>
      </c>
      <c r="B287" s="9" t="s">
        <v>113</v>
      </c>
      <c r="C287" s="3" t="s">
        <v>107</v>
      </c>
      <c r="D287" s="3" t="n">
        <v>17641396</v>
      </c>
      <c r="E287" s="3" t="s">
        <v>114</v>
      </c>
      <c r="F287" s="3" t="n">
        <f aca="false">IF(C287="848630",0,1)</f>
        <v>1</v>
      </c>
    </row>
    <row r="288" customFormat="false" ht="15" hidden="false" customHeight="false" outlineLevel="0" collapsed="false">
      <c r="A288" s="12" t="n">
        <v>44927</v>
      </c>
      <c r="B288" s="9" t="s">
        <v>113</v>
      </c>
      <c r="C288" s="3" t="s">
        <v>107</v>
      </c>
      <c r="D288" s="3" t="n">
        <v>46480760</v>
      </c>
      <c r="E288" s="3" t="s">
        <v>114</v>
      </c>
      <c r="F288" s="3" t="n">
        <f aca="false">IF(C288="848630",0,1)</f>
        <v>1</v>
      </c>
    </row>
    <row r="289" customFormat="false" ht="15" hidden="false" customHeight="false" outlineLevel="0" collapsed="false">
      <c r="A289" s="12" t="n">
        <v>44927</v>
      </c>
      <c r="B289" s="9" t="s">
        <v>113</v>
      </c>
      <c r="C289" s="3" t="s">
        <v>107</v>
      </c>
      <c r="D289" s="3" t="n">
        <v>105012917</v>
      </c>
      <c r="E289" s="3" t="s">
        <v>114</v>
      </c>
      <c r="F289" s="3" t="n">
        <f aca="false">IF(C289="848630",0,1)</f>
        <v>1</v>
      </c>
    </row>
    <row r="290" customFormat="false" ht="15" hidden="false" customHeight="false" outlineLevel="0" collapsed="false">
      <c r="A290" s="12" t="n">
        <v>44927</v>
      </c>
      <c r="B290" s="9" t="s">
        <v>113</v>
      </c>
      <c r="C290" s="3" t="s">
        <v>107</v>
      </c>
      <c r="D290" s="3" t="n">
        <v>14492130</v>
      </c>
      <c r="E290" s="3" t="s">
        <v>114</v>
      </c>
      <c r="F290" s="3" t="n">
        <f aca="false">IF(C290="848630",0,1)</f>
        <v>1</v>
      </c>
    </row>
    <row r="291" customFormat="false" ht="15" hidden="false" customHeight="false" outlineLevel="0" collapsed="false">
      <c r="A291" s="12" t="n">
        <v>44927</v>
      </c>
      <c r="B291" s="9" t="s">
        <v>113</v>
      </c>
      <c r="C291" s="3" t="s">
        <v>107</v>
      </c>
      <c r="D291" s="3" t="n">
        <v>11299631</v>
      </c>
      <c r="E291" s="3" t="s">
        <v>114</v>
      </c>
      <c r="F291" s="3" t="n">
        <f aca="false">IF(C291="848630",0,1)</f>
        <v>1</v>
      </c>
    </row>
    <row r="292" customFormat="false" ht="15" hidden="false" customHeight="false" outlineLevel="0" collapsed="false">
      <c r="A292" s="12" t="n">
        <v>44927</v>
      </c>
      <c r="B292" s="9" t="s">
        <v>113</v>
      </c>
      <c r="C292" s="3" t="s">
        <v>107</v>
      </c>
      <c r="D292" s="3" t="n">
        <v>61370022</v>
      </c>
      <c r="E292" s="3" t="s">
        <v>114</v>
      </c>
      <c r="F292" s="3" t="n">
        <f aca="false">IF(C292="848630",0,1)</f>
        <v>1</v>
      </c>
    </row>
    <row r="293" customFormat="false" ht="15" hidden="false" customHeight="false" outlineLevel="0" collapsed="false">
      <c r="A293" s="12" t="n">
        <v>44927</v>
      </c>
      <c r="B293" s="9" t="s">
        <v>113</v>
      </c>
      <c r="C293" s="3" t="s">
        <v>112</v>
      </c>
      <c r="D293" s="3" t="n">
        <v>4950294</v>
      </c>
      <c r="E293" s="3" t="s">
        <v>114</v>
      </c>
      <c r="F293" s="3" t="n">
        <f aca="false">IF(C293="848630",0,1)</f>
        <v>0</v>
      </c>
    </row>
    <row r="294" customFormat="false" ht="15" hidden="false" customHeight="false" outlineLevel="0" collapsed="false">
      <c r="A294" s="12" t="n">
        <v>44927</v>
      </c>
      <c r="B294" s="9" t="s">
        <v>113</v>
      </c>
      <c r="C294" s="3" t="s">
        <v>112</v>
      </c>
      <c r="D294" s="3" t="n">
        <v>13410302</v>
      </c>
      <c r="E294" s="3" t="s">
        <v>114</v>
      </c>
      <c r="F294" s="3" t="n">
        <f aca="false">IF(C294="848630",0,1)</f>
        <v>0</v>
      </c>
    </row>
    <row r="295" customFormat="false" ht="15" hidden="false" customHeight="false" outlineLevel="0" collapsed="false">
      <c r="A295" s="12" t="n">
        <v>44927</v>
      </c>
      <c r="B295" s="9" t="s">
        <v>113</v>
      </c>
      <c r="C295" s="3" t="s">
        <v>112</v>
      </c>
      <c r="D295" s="3" t="n">
        <v>7101698</v>
      </c>
      <c r="E295" s="3" t="s">
        <v>114</v>
      </c>
      <c r="F295" s="3" t="n">
        <f aca="false">IF(C295="848630",0,1)</f>
        <v>0</v>
      </c>
    </row>
    <row r="296" customFormat="false" ht="15" hidden="false" customHeight="false" outlineLevel="0" collapsed="false">
      <c r="A296" s="12" t="n">
        <v>44927</v>
      </c>
      <c r="B296" s="9" t="s">
        <v>113</v>
      </c>
      <c r="C296" s="3" t="s">
        <v>112</v>
      </c>
      <c r="D296" s="3" t="n">
        <v>44392321</v>
      </c>
      <c r="E296" s="3" t="s">
        <v>114</v>
      </c>
      <c r="F296" s="3" t="n">
        <f aca="false">IF(C296="848630",0,1)</f>
        <v>0</v>
      </c>
    </row>
    <row r="297" customFormat="false" ht="15" hidden="false" customHeight="false" outlineLevel="0" collapsed="false">
      <c r="A297" s="12" t="n">
        <v>44927</v>
      </c>
      <c r="B297" s="9" t="s">
        <v>113</v>
      </c>
      <c r="C297" s="3" t="s">
        <v>108</v>
      </c>
      <c r="D297" s="3" t="n">
        <v>26678360</v>
      </c>
      <c r="E297" s="3" t="s">
        <v>114</v>
      </c>
      <c r="F297" s="3" t="n">
        <f aca="false">IF(C297="848630",0,1)</f>
        <v>1</v>
      </c>
    </row>
    <row r="298" customFormat="false" ht="15" hidden="false" customHeight="false" outlineLevel="0" collapsed="false">
      <c r="A298" s="12" t="n">
        <v>44927</v>
      </c>
      <c r="B298" s="9" t="s">
        <v>113</v>
      </c>
      <c r="C298" s="3" t="s">
        <v>108</v>
      </c>
      <c r="D298" s="3" t="n">
        <v>2803871</v>
      </c>
      <c r="E298" s="3" t="s">
        <v>114</v>
      </c>
      <c r="F298" s="3" t="n">
        <f aca="false">IF(C298="848630",0,1)</f>
        <v>1</v>
      </c>
    </row>
    <row r="299" customFormat="false" ht="15" hidden="false" customHeight="false" outlineLevel="0" collapsed="false">
      <c r="A299" s="12" t="n">
        <v>44927</v>
      </c>
      <c r="B299" s="9" t="s">
        <v>113</v>
      </c>
      <c r="C299" s="3" t="s">
        <v>108</v>
      </c>
      <c r="D299" s="3" t="n">
        <v>308571</v>
      </c>
      <c r="E299" s="3" t="s">
        <v>114</v>
      </c>
      <c r="F299" s="3" t="n">
        <f aca="false">IF(C299="848630",0,1)</f>
        <v>1</v>
      </c>
    </row>
    <row r="300" customFormat="false" ht="15" hidden="false" customHeight="false" outlineLevel="0" collapsed="false">
      <c r="A300" s="12" t="n">
        <v>44927</v>
      </c>
      <c r="B300" s="9" t="s">
        <v>113</v>
      </c>
      <c r="C300" s="3" t="s">
        <v>108</v>
      </c>
      <c r="D300" s="3" t="n">
        <v>12591176</v>
      </c>
      <c r="E300" s="3" t="s">
        <v>114</v>
      </c>
      <c r="F300" s="3" t="n">
        <f aca="false">IF(C300="848630",0,1)</f>
        <v>1</v>
      </c>
    </row>
    <row r="301" customFormat="false" ht="15" hidden="false" customHeight="false" outlineLevel="0" collapsed="false">
      <c r="A301" s="12" t="n">
        <v>44927</v>
      </c>
      <c r="B301" s="9" t="s">
        <v>113</v>
      </c>
      <c r="C301" s="3" t="s">
        <v>108</v>
      </c>
      <c r="D301" s="3" t="n">
        <v>18904118</v>
      </c>
      <c r="E301" s="3" t="s">
        <v>114</v>
      </c>
      <c r="F301" s="3" t="n">
        <f aca="false">IF(C301="848630",0,1)</f>
        <v>1</v>
      </c>
    </row>
    <row r="302" customFormat="false" ht="15" hidden="false" customHeight="false" outlineLevel="0" collapsed="false">
      <c r="A302" s="12" t="n">
        <v>44927</v>
      </c>
      <c r="B302" s="9" t="s">
        <v>113</v>
      </c>
      <c r="C302" s="3" t="s">
        <v>108</v>
      </c>
      <c r="D302" s="3" t="n">
        <v>6592992</v>
      </c>
      <c r="E302" s="3" t="s">
        <v>114</v>
      </c>
      <c r="F302" s="3" t="n">
        <f aca="false">IF(C302="848630",0,1)</f>
        <v>1</v>
      </c>
    </row>
    <row r="303" customFormat="false" ht="15" hidden="false" customHeight="false" outlineLevel="0" collapsed="false">
      <c r="A303" s="12" t="n">
        <v>44927</v>
      </c>
      <c r="B303" s="9" t="s">
        <v>113</v>
      </c>
      <c r="C303" s="3" t="s">
        <v>109</v>
      </c>
      <c r="D303" s="3" t="n">
        <v>592208</v>
      </c>
      <c r="E303" s="3" t="s">
        <v>114</v>
      </c>
      <c r="F303" s="3" t="n">
        <f aca="false">IF(C303="848630",0,1)</f>
        <v>1</v>
      </c>
    </row>
    <row r="304" customFormat="false" ht="15" hidden="false" customHeight="false" outlineLevel="0" collapsed="false">
      <c r="A304" s="12" t="n">
        <v>44927</v>
      </c>
      <c r="B304" s="9" t="s">
        <v>113</v>
      </c>
      <c r="C304" s="3" t="s">
        <v>109</v>
      </c>
      <c r="D304" s="3" t="n">
        <v>352212</v>
      </c>
      <c r="E304" s="3" t="s">
        <v>114</v>
      </c>
      <c r="F304" s="3" t="n">
        <f aca="false">IF(C304="848630",0,1)</f>
        <v>1</v>
      </c>
    </row>
    <row r="305" customFormat="false" ht="15" hidden="false" customHeight="false" outlineLevel="0" collapsed="false">
      <c r="A305" s="12" t="n">
        <v>44927</v>
      </c>
      <c r="B305" s="9" t="s">
        <v>113</v>
      </c>
      <c r="C305" s="3" t="s">
        <v>109</v>
      </c>
      <c r="D305" s="3" t="n">
        <v>6434309</v>
      </c>
      <c r="E305" s="3" t="s">
        <v>114</v>
      </c>
      <c r="F305" s="3" t="n">
        <f aca="false">IF(C305="848630",0,1)</f>
        <v>1</v>
      </c>
    </row>
    <row r="306" customFormat="false" ht="15" hidden="false" customHeight="false" outlineLevel="0" collapsed="false">
      <c r="A306" s="12" t="n">
        <v>44927</v>
      </c>
      <c r="B306" s="9" t="s">
        <v>113</v>
      </c>
      <c r="C306" s="3" t="s">
        <v>109</v>
      </c>
      <c r="D306" s="3" t="n">
        <v>100028005</v>
      </c>
      <c r="E306" s="3" t="s">
        <v>114</v>
      </c>
      <c r="F306" s="3" t="n">
        <f aca="false">IF(C306="848630",0,1)</f>
        <v>1</v>
      </c>
    </row>
    <row r="307" customFormat="false" ht="15" hidden="false" customHeight="false" outlineLevel="0" collapsed="false">
      <c r="A307" s="12" t="n">
        <v>44927</v>
      </c>
      <c r="B307" s="9" t="s">
        <v>113</v>
      </c>
      <c r="C307" s="3" t="s">
        <v>110</v>
      </c>
      <c r="D307" s="3" t="n">
        <v>12818301</v>
      </c>
      <c r="E307" s="3" t="s">
        <v>114</v>
      </c>
      <c r="F307" s="3" t="n">
        <f aca="false">IF(C307="848630",0,1)</f>
        <v>1</v>
      </c>
    </row>
    <row r="308" customFormat="false" ht="15" hidden="false" customHeight="false" outlineLevel="0" collapsed="false">
      <c r="A308" s="12" t="n">
        <v>44927</v>
      </c>
      <c r="B308" s="9" t="s">
        <v>113</v>
      </c>
      <c r="C308" s="3" t="s">
        <v>111</v>
      </c>
      <c r="D308" s="3" t="n">
        <v>9400833</v>
      </c>
      <c r="E308" s="3" t="s">
        <v>114</v>
      </c>
      <c r="F308" s="3" t="n">
        <f aca="false">IF(C308="848630",0,1)</f>
        <v>1</v>
      </c>
    </row>
    <row r="309" customFormat="false" ht="15" hidden="false" customHeight="false" outlineLevel="0" collapsed="false">
      <c r="A309" s="12" t="n">
        <v>44958</v>
      </c>
      <c r="B309" s="9" t="s">
        <v>113</v>
      </c>
      <c r="C309" s="3" t="s">
        <v>105</v>
      </c>
      <c r="D309" s="3" t="n">
        <v>4017292</v>
      </c>
      <c r="E309" s="3" t="s">
        <v>114</v>
      </c>
      <c r="F309" s="3" t="n">
        <f aca="false">IF(C309="848630",0,1)</f>
        <v>1</v>
      </c>
    </row>
    <row r="310" customFormat="false" ht="15" hidden="false" customHeight="false" outlineLevel="0" collapsed="false">
      <c r="A310" s="12" t="n">
        <v>44958</v>
      </c>
      <c r="B310" s="9" t="s">
        <v>113</v>
      </c>
      <c r="C310" s="3" t="s">
        <v>105</v>
      </c>
      <c r="D310" s="3" t="n">
        <v>37212039</v>
      </c>
      <c r="E310" s="3" t="s">
        <v>114</v>
      </c>
      <c r="F310" s="3" t="n">
        <f aca="false">IF(C310="848630",0,1)</f>
        <v>1</v>
      </c>
    </row>
    <row r="311" customFormat="false" ht="15" hidden="false" customHeight="false" outlineLevel="0" collapsed="false">
      <c r="A311" s="12" t="n">
        <v>44958</v>
      </c>
      <c r="B311" s="9" t="s">
        <v>113</v>
      </c>
      <c r="C311" s="3" t="s">
        <v>105</v>
      </c>
      <c r="D311" s="3" t="n">
        <v>27889235</v>
      </c>
      <c r="E311" s="3" t="s">
        <v>114</v>
      </c>
      <c r="F311" s="3" t="n">
        <f aca="false">IF(C311="848630",0,1)</f>
        <v>1</v>
      </c>
    </row>
    <row r="312" customFormat="false" ht="15" hidden="false" customHeight="false" outlineLevel="0" collapsed="false">
      <c r="A312" s="12" t="n">
        <v>44958</v>
      </c>
      <c r="B312" s="9" t="s">
        <v>113</v>
      </c>
      <c r="C312" s="3" t="s">
        <v>105</v>
      </c>
      <c r="D312" s="3" t="n">
        <v>21764333</v>
      </c>
      <c r="E312" s="3" t="s">
        <v>114</v>
      </c>
      <c r="F312" s="3" t="n">
        <f aca="false">IF(C312="848630",0,1)</f>
        <v>1</v>
      </c>
    </row>
    <row r="313" customFormat="false" ht="15" hidden="false" customHeight="false" outlineLevel="0" collapsed="false">
      <c r="A313" s="12" t="n">
        <v>44958</v>
      </c>
      <c r="B313" s="9" t="s">
        <v>113</v>
      </c>
      <c r="C313" s="3" t="s">
        <v>105</v>
      </c>
      <c r="D313" s="3" t="n">
        <v>23120145</v>
      </c>
      <c r="E313" s="3" t="s">
        <v>114</v>
      </c>
      <c r="F313" s="3" t="n">
        <f aca="false">IF(C313="848630",0,1)</f>
        <v>1</v>
      </c>
    </row>
    <row r="314" customFormat="false" ht="15" hidden="false" customHeight="false" outlineLevel="0" collapsed="false">
      <c r="A314" s="12" t="n">
        <v>44958</v>
      </c>
      <c r="B314" s="9" t="s">
        <v>113</v>
      </c>
      <c r="C314" s="3" t="s">
        <v>107</v>
      </c>
      <c r="D314" s="3" t="n">
        <v>76022061</v>
      </c>
      <c r="E314" s="3" t="s">
        <v>114</v>
      </c>
      <c r="F314" s="3" t="n">
        <f aca="false">IF(C314="848630",0,1)</f>
        <v>1</v>
      </c>
    </row>
    <row r="315" customFormat="false" ht="15" hidden="false" customHeight="false" outlineLevel="0" collapsed="false">
      <c r="A315" s="12" t="n">
        <v>44958</v>
      </c>
      <c r="B315" s="9" t="s">
        <v>113</v>
      </c>
      <c r="C315" s="3" t="s">
        <v>107</v>
      </c>
      <c r="D315" s="3" t="n">
        <v>11047448</v>
      </c>
      <c r="E315" s="3" t="s">
        <v>114</v>
      </c>
      <c r="F315" s="3" t="n">
        <f aca="false">IF(C315="848630",0,1)</f>
        <v>1</v>
      </c>
    </row>
    <row r="316" customFormat="false" ht="15" hidden="false" customHeight="false" outlineLevel="0" collapsed="false">
      <c r="A316" s="12" t="n">
        <v>44958</v>
      </c>
      <c r="B316" s="9" t="s">
        <v>113</v>
      </c>
      <c r="C316" s="3" t="s">
        <v>107</v>
      </c>
      <c r="D316" s="3" t="n">
        <v>8634338</v>
      </c>
      <c r="E316" s="3" t="s">
        <v>114</v>
      </c>
      <c r="F316" s="3" t="n">
        <f aca="false">IF(C316="848630",0,1)</f>
        <v>1</v>
      </c>
    </row>
    <row r="317" customFormat="false" ht="15" hidden="false" customHeight="false" outlineLevel="0" collapsed="false">
      <c r="A317" s="12" t="n">
        <v>44958</v>
      </c>
      <c r="B317" s="9" t="s">
        <v>113</v>
      </c>
      <c r="C317" s="3" t="s">
        <v>107</v>
      </c>
      <c r="D317" s="3" t="n">
        <v>3517404</v>
      </c>
      <c r="E317" s="3" t="s">
        <v>114</v>
      </c>
      <c r="F317" s="3" t="n">
        <f aca="false">IF(C317="848630",0,1)</f>
        <v>1</v>
      </c>
    </row>
    <row r="318" customFormat="false" ht="15" hidden="false" customHeight="false" outlineLevel="0" collapsed="false">
      <c r="A318" s="12" t="n">
        <v>44958</v>
      </c>
      <c r="B318" s="9" t="s">
        <v>113</v>
      </c>
      <c r="C318" s="3" t="s">
        <v>107</v>
      </c>
      <c r="D318" s="3" t="n">
        <v>35539058</v>
      </c>
      <c r="E318" s="3" t="s">
        <v>114</v>
      </c>
      <c r="F318" s="3" t="n">
        <f aca="false">IF(C318="848630",0,1)</f>
        <v>1</v>
      </c>
    </row>
    <row r="319" customFormat="false" ht="15" hidden="false" customHeight="false" outlineLevel="0" collapsed="false">
      <c r="A319" s="12" t="n">
        <v>44958</v>
      </c>
      <c r="B319" s="9" t="s">
        <v>113</v>
      </c>
      <c r="C319" s="3" t="s">
        <v>107</v>
      </c>
      <c r="D319" s="3" t="n">
        <v>71216732</v>
      </c>
      <c r="E319" s="3" t="s">
        <v>114</v>
      </c>
      <c r="F319" s="3" t="n">
        <f aca="false">IF(C319="848630",0,1)</f>
        <v>1</v>
      </c>
    </row>
    <row r="320" customFormat="false" ht="15" hidden="false" customHeight="false" outlineLevel="0" collapsed="false">
      <c r="A320" s="12" t="n">
        <v>44958</v>
      </c>
      <c r="B320" s="9" t="s">
        <v>113</v>
      </c>
      <c r="C320" s="3" t="s">
        <v>107</v>
      </c>
      <c r="D320" s="3" t="n">
        <v>158922591</v>
      </c>
      <c r="E320" s="3" t="s">
        <v>114</v>
      </c>
      <c r="F320" s="3" t="n">
        <f aca="false">IF(C320="848630",0,1)</f>
        <v>1</v>
      </c>
    </row>
    <row r="321" customFormat="false" ht="15" hidden="false" customHeight="false" outlineLevel="0" collapsed="false">
      <c r="A321" s="12" t="n">
        <v>44958</v>
      </c>
      <c r="B321" s="9" t="s">
        <v>113</v>
      </c>
      <c r="C321" s="3" t="s">
        <v>107</v>
      </c>
      <c r="D321" s="3" t="n">
        <v>31592981</v>
      </c>
      <c r="E321" s="3" t="s">
        <v>114</v>
      </c>
      <c r="F321" s="3" t="n">
        <f aca="false">IF(C321="848630",0,1)</f>
        <v>1</v>
      </c>
    </row>
    <row r="322" customFormat="false" ht="15" hidden="false" customHeight="false" outlineLevel="0" collapsed="false">
      <c r="A322" s="12" t="n">
        <v>44958</v>
      </c>
      <c r="B322" s="9" t="s">
        <v>113</v>
      </c>
      <c r="C322" s="3" t="s">
        <v>107</v>
      </c>
      <c r="D322" s="3" t="n">
        <v>13984261</v>
      </c>
      <c r="E322" s="3" t="s">
        <v>114</v>
      </c>
      <c r="F322" s="3" t="n">
        <f aca="false">IF(C322="848630",0,1)</f>
        <v>1</v>
      </c>
    </row>
    <row r="323" customFormat="false" ht="15" hidden="false" customHeight="false" outlineLevel="0" collapsed="false">
      <c r="A323" s="12" t="n">
        <v>44958</v>
      </c>
      <c r="B323" s="9" t="s">
        <v>113</v>
      </c>
      <c r="C323" s="3" t="s">
        <v>107</v>
      </c>
      <c r="D323" s="3" t="n">
        <v>118655569</v>
      </c>
      <c r="E323" s="3" t="s">
        <v>114</v>
      </c>
      <c r="F323" s="3" t="n">
        <f aca="false">IF(C323="848630",0,1)</f>
        <v>1</v>
      </c>
    </row>
    <row r="324" customFormat="false" ht="15" hidden="false" customHeight="false" outlineLevel="0" collapsed="false">
      <c r="A324" s="12" t="n">
        <v>44958</v>
      </c>
      <c r="B324" s="9" t="s">
        <v>113</v>
      </c>
      <c r="C324" s="3" t="s">
        <v>112</v>
      </c>
      <c r="D324" s="3" t="n">
        <v>1647856</v>
      </c>
      <c r="E324" s="3" t="s">
        <v>114</v>
      </c>
      <c r="F324" s="3" t="n">
        <f aca="false">IF(C324="848630",0,1)</f>
        <v>0</v>
      </c>
    </row>
    <row r="325" customFormat="false" ht="15" hidden="false" customHeight="false" outlineLevel="0" collapsed="false">
      <c r="A325" s="12" t="n">
        <v>44958</v>
      </c>
      <c r="B325" s="9" t="s">
        <v>113</v>
      </c>
      <c r="C325" s="3" t="s">
        <v>112</v>
      </c>
      <c r="D325" s="3" t="n">
        <v>2389014</v>
      </c>
      <c r="E325" s="3" t="s">
        <v>114</v>
      </c>
      <c r="F325" s="3" t="n">
        <f aca="false">IF(C325="848630",0,1)</f>
        <v>0</v>
      </c>
    </row>
    <row r="326" customFormat="false" ht="15" hidden="false" customHeight="false" outlineLevel="0" collapsed="false">
      <c r="A326" s="12" t="n">
        <v>44958</v>
      </c>
      <c r="B326" s="9" t="s">
        <v>113</v>
      </c>
      <c r="C326" s="3" t="s">
        <v>112</v>
      </c>
      <c r="D326" s="3" t="n">
        <v>8623312</v>
      </c>
      <c r="E326" s="3" t="s">
        <v>114</v>
      </c>
      <c r="F326" s="3" t="n">
        <f aca="false">IF(C326="848630",0,1)</f>
        <v>0</v>
      </c>
    </row>
    <row r="327" customFormat="false" ht="15" hidden="false" customHeight="false" outlineLevel="0" collapsed="false">
      <c r="A327" s="12" t="n">
        <v>44958</v>
      </c>
      <c r="B327" s="9" t="s">
        <v>113</v>
      </c>
      <c r="C327" s="3" t="s">
        <v>112</v>
      </c>
      <c r="D327" s="3" t="n">
        <v>3552587</v>
      </c>
      <c r="E327" s="3" t="s">
        <v>114</v>
      </c>
      <c r="F327" s="3" t="n">
        <f aca="false">IF(C327="848630",0,1)</f>
        <v>0</v>
      </c>
    </row>
    <row r="328" customFormat="false" ht="15" hidden="false" customHeight="false" outlineLevel="0" collapsed="false">
      <c r="A328" s="12" t="n">
        <v>44958</v>
      </c>
      <c r="B328" s="9" t="s">
        <v>113</v>
      </c>
      <c r="C328" s="3" t="s">
        <v>112</v>
      </c>
      <c r="D328" s="3" t="n">
        <v>149899</v>
      </c>
      <c r="E328" s="3" t="s">
        <v>114</v>
      </c>
      <c r="F328" s="3" t="n">
        <f aca="false">IF(C328="848630",0,1)</f>
        <v>0</v>
      </c>
    </row>
    <row r="329" customFormat="false" ht="15" hidden="false" customHeight="false" outlineLevel="0" collapsed="false">
      <c r="A329" s="12" t="n">
        <v>44958</v>
      </c>
      <c r="B329" s="9" t="s">
        <v>113</v>
      </c>
      <c r="C329" s="3" t="s">
        <v>112</v>
      </c>
      <c r="D329" s="3" t="n">
        <v>2140798</v>
      </c>
      <c r="E329" s="3" t="s">
        <v>114</v>
      </c>
      <c r="F329" s="3" t="n">
        <f aca="false">IF(C329="848630",0,1)</f>
        <v>0</v>
      </c>
    </row>
    <row r="330" customFormat="false" ht="15" hidden="false" customHeight="false" outlineLevel="0" collapsed="false">
      <c r="A330" s="12" t="n">
        <v>44958</v>
      </c>
      <c r="B330" s="9" t="s">
        <v>113</v>
      </c>
      <c r="C330" s="3" t="s">
        <v>112</v>
      </c>
      <c r="D330" s="3" t="n">
        <v>17702177</v>
      </c>
      <c r="E330" s="3" t="s">
        <v>114</v>
      </c>
      <c r="F330" s="3" t="n">
        <f aca="false">IF(C330="848630",0,1)</f>
        <v>0</v>
      </c>
    </row>
    <row r="331" customFormat="false" ht="15" hidden="false" customHeight="false" outlineLevel="0" collapsed="false">
      <c r="A331" s="12" t="n">
        <v>44958</v>
      </c>
      <c r="B331" s="9" t="s">
        <v>113</v>
      </c>
      <c r="C331" s="3" t="s">
        <v>108</v>
      </c>
      <c r="D331" s="3" t="n">
        <v>13200019</v>
      </c>
      <c r="E331" s="3" t="s">
        <v>114</v>
      </c>
      <c r="F331" s="3" t="n">
        <f aca="false">IF(C331="848630",0,1)</f>
        <v>1</v>
      </c>
    </row>
    <row r="332" customFormat="false" ht="15" hidden="false" customHeight="false" outlineLevel="0" collapsed="false">
      <c r="A332" s="12" t="n">
        <v>44958</v>
      </c>
      <c r="B332" s="9" t="s">
        <v>113</v>
      </c>
      <c r="C332" s="3" t="s">
        <v>108</v>
      </c>
      <c r="D332" s="3" t="n">
        <v>2972607</v>
      </c>
      <c r="E332" s="3" t="s">
        <v>114</v>
      </c>
      <c r="F332" s="3" t="n">
        <f aca="false">IF(C332="848630",0,1)</f>
        <v>1</v>
      </c>
    </row>
    <row r="333" customFormat="false" ht="15" hidden="false" customHeight="false" outlineLevel="0" collapsed="false">
      <c r="A333" s="12" t="n">
        <v>44958</v>
      </c>
      <c r="B333" s="9" t="s">
        <v>113</v>
      </c>
      <c r="C333" s="3" t="s">
        <v>108</v>
      </c>
      <c r="D333" s="3" t="n">
        <v>950179</v>
      </c>
      <c r="E333" s="3" t="s">
        <v>114</v>
      </c>
      <c r="F333" s="3" t="n">
        <f aca="false">IF(C333="848630",0,1)</f>
        <v>1</v>
      </c>
    </row>
    <row r="334" customFormat="false" ht="15" hidden="false" customHeight="false" outlineLevel="0" collapsed="false">
      <c r="A334" s="12" t="n">
        <v>44958</v>
      </c>
      <c r="B334" s="9" t="s">
        <v>113</v>
      </c>
      <c r="C334" s="3" t="s">
        <v>108</v>
      </c>
      <c r="D334" s="3" t="n">
        <v>11172353</v>
      </c>
      <c r="E334" s="3" t="s">
        <v>114</v>
      </c>
      <c r="F334" s="3" t="n">
        <f aca="false">IF(C334="848630",0,1)</f>
        <v>1</v>
      </c>
    </row>
    <row r="335" customFormat="false" ht="15" hidden="false" customHeight="false" outlineLevel="0" collapsed="false">
      <c r="A335" s="12" t="n">
        <v>44958</v>
      </c>
      <c r="B335" s="9" t="s">
        <v>113</v>
      </c>
      <c r="C335" s="3" t="s">
        <v>108</v>
      </c>
      <c r="D335" s="3" t="n">
        <v>15051256</v>
      </c>
      <c r="E335" s="3" t="s">
        <v>114</v>
      </c>
      <c r="F335" s="3" t="n">
        <f aca="false">IF(C335="848630",0,1)</f>
        <v>1</v>
      </c>
    </row>
    <row r="336" customFormat="false" ht="15" hidden="false" customHeight="false" outlineLevel="0" collapsed="false">
      <c r="A336" s="12" t="n">
        <v>44958</v>
      </c>
      <c r="B336" s="9" t="s">
        <v>113</v>
      </c>
      <c r="C336" s="3" t="s">
        <v>108</v>
      </c>
      <c r="D336" s="3" t="n">
        <v>8710536</v>
      </c>
      <c r="E336" s="3" t="s">
        <v>114</v>
      </c>
      <c r="F336" s="3" t="n">
        <f aca="false">IF(C336="848630",0,1)</f>
        <v>1</v>
      </c>
    </row>
    <row r="337" customFormat="false" ht="15" hidden="false" customHeight="false" outlineLevel="0" collapsed="false">
      <c r="A337" s="12" t="n">
        <v>44958</v>
      </c>
      <c r="B337" s="9" t="s">
        <v>113</v>
      </c>
      <c r="C337" s="3" t="s">
        <v>109</v>
      </c>
      <c r="D337" s="3" t="n">
        <v>4315416</v>
      </c>
      <c r="E337" s="3" t="s">
        <v>114</v>
      </c>
      <c r="F337" s="3" t="n">
        <f aca="false">IF(C337="848630",0,1)</f>
        <v>1</v>
      </c>
    </row>
    <row r="338" customFormat="false" ht="15" hidden="false" customHeight="false" outlineLevel="0" collapsed="false">
      <c r="A338" s="12" t="n">
        <v>44958</v>
      </c>
      <c r="B338" s="9" t="s">
        <v>113</v>
      </c>
      <c r="C338" s="3" t="s">
        <v>109</v>
      </c>
      <c r="D338" s="3" t="n">
        <v>414027</v>
      </c>
      <c r="E338" s="3" t="s">
        <v>114</v>
      </c>
      <c r="F338" s="3" t="n">
        <f aca="false">IF(C338="848630",0,1)</f>
        <v>1</v>
      </c>
    </row>
    <row r="339" customFormat="false" ht="15" hidden="false" customHeight="false" outlineLevel="0" collapsed="false">
      <c r="A339" s="12" t="n">
        <v>44958</v>
      </c>
      <c r="B339" s="9" t="s">
        <v>113</v>
      </c>
      <c r="C339" s="3" t="s">
        <v>109</v>
      </c>
      <c r="D339" s="3" t="n">
        <v>8236879</v>
      </c>
      <c r="E339" s="3" t="s">
        <v>114</v>
      </c>
      <c r="F339" s="3" t="n">
        <f aca="false">IF(C339="848630",0,1)</f>
        <v>1</v>
      </c>
    </row>
    <row r="340" customFormat="false" ht="15" hidden="false" customHeight="false" outlineLevel="0" collapsed="false">
      <c r="A340" s="12" t="n">
        <v>44958</v>
      </c>
      <c r="B340" s="9" t="s">
        <v>113</v>
      </c>
      <c r="C340" s="3" t="s">
        <v>109</v>
      </c>
      <c r="D340" s="3" t="n">
        <v>74318546</v>
      </c>
      <c r="E340" s="3" t="s">
        <v>114</v>
      </c>
      <c r="F340" s="3" t="n">
        <f aca="false">IF(C340="848630",0,1)</f>
        <v>1</v>
      </c>
    </row>
    <row r="341" customFormat="false" ht="15" hidden="false" customHeight="false" outlineLevel="0" collapsed="false">
      <c r="A341" s="12" t="n">
        <v>44958</v>
      </c>
      <c r="B341" s="9" t="s">
        <v>113</v>
      </c>
      <c r="C341" s="3" t="s">
        <v>110</v>
      </c>
      <c r="D341" s="3" t="n">
        <v>16517238</v>
      </c>
      <c r="E341" s="3" t="s">
        <v>114</v>
      </c>
      <c r="F341" s="3" t="n">
        <f aca="false">IF(C341="848630",0,1)</f>
        <v>1</v>
      </c>
    </row>
    <row r="342" customFormat="false" ht="15" hidden="false" customHeight="false" outlineLevel="0" collapsed="false">
      <c r="A342" s="12" t="n">
        <v>44958</v>
      </c>
      <c r="B342" s="9" t="s">
        <v>113</v>
      </c>
      <c r="C342" s="3" t="s">
        <v>111</v>
      </c>
      <c r="D342" s="3" t="n">
        <v>12981000</v>
      </c>
      <c r="E342" s="3" t="s">
        <v>114</v>
      </c>
      <c r="F342" s="3" t="n">
        <f aca="false">IF(C342="848630",0,1)</f>
        <v>1</v>
      </c>
    </row>
    <row r="343" customFormat="false" ht="15" hidden="false" customHeight="false" outlineLevel="0" collapsed="false">
      <c r="A343" s="12" t="n">
        <v>44986</v>
      </c>
      <c r="B343" s="9" t="s">
        <v>113</v>
      </c>
      <c r="C343" s="3" t="s">
        <v>105</v>
      </c>
      <c r="D343" s="3" t="n">
        <v>2191945</v>
      </c>
      <c r="E343" s="3" t="s">
        <v>114</v>
      </c>
      <c r="F343" s="3" t="n">
        <f aca="false">IF(C343="848630",0,1)</f>
        <v>1</v>
      </c>
    </row>
    <row r="344" customFormat="false" ht="15" hidden="false" customHeight="false" outlineLevel="0" collapsed="false">
      <c r="A344" s="12" t="n">
        <v>44986</v>
      </c>
      <c r="B344" s="9" t="s">
        <v>113</v>
      </c>
      <c r="C344" s="3" t="s">
        <v>105</v>
      </c>
      <c r="D344" s="3" t="n">
        <v>31363678</v>
      </c>
      <c r="E344" s="3" t="s">
        <v>114</v>
      </c>
      <c r="F344" s="3" t="n">
        <f aca="false">IF(C344="848630",0,1)</f>
        <v>1</v>
      </c>
    </row>
    <row r="345" customFormat="false" ht="15" hidden="false" customHeight="false" outlineLevel="0" collapsed="false">
      <c r="A345" s="12" t="n">
        <v>44986</v>
      </c>
      <c r="B345" s="9" t="s">
        <v>113</v>
      </c>
      <c r="C345" s="3" t="s">
        <v>105</v>
      </c>
      <c r="D345" s="3" t="n">
        <v>21110785</v>
      </c>
      <c r="E345" s="3" t="s">
        <v>114</v>
      </c>
      <c r="F345" s="3" t="n">
        <f aca="false">IF(C345="848630",0,1)</f>
        <v>1</v>
      </c>
    </row>
    <row r="346" customFormat="false" ht="15" hidden="false" customHeight="false" outlineLevel="0" collapsed="false">
      <c r="A346" s="12" t="n">
        <v>44986</v>
      </c>
      <c r="B346" s="9" t="s">
        <v>113</v>
      </c>
      <c r="C346" s="3" t="s">
        <v>105</v>
      </c>
      <c r="D346" s="3" t="n">
        <v>20737187</v>
      </c>
      <c r="E346" s="3" t="s">
        <v>114</v>
      </c>
      <c r="F346" s="3" t="n">
        <f aca="false">IF(C346="848630",0,1)</f>
        <v>1</v>
      </c>
    </row>
    <row r="347" customFormat="false" ht="15" hidden="false" customHeight="false" outlineLevel="0" collapsed="false">
      <c r="A347" s="12" t="n">
        <v>44986</v>
      </c>
      <c r="B347" s="9" t="s">
        <v>113</v>
      </c>
      <c r="C347" s="3" t="s">
        <v>105</v>
      </c>
      <c r="D347" s="3" t="n">
        <v>36719254</v>
      </c>
      <c r="E347" s="3" t="s">
        <v>114</v>
      </c>
      <c r="F347" s="3" t="n">
        <f aca="false">IF(C347="848630",0,1)</f>
        <v>1</v>
      </c>
    </row>
    <row r="348" customFormat="false" ht="15" hidden="false" customHeight="false" outlineLevel="0" collapsed="false">
      <c r="A348" s="12" t="n">
        <v>44986</v>
      </c>
      <c r="B348" s="9" t="s">
        <v>113</v>
      </c>
      <c r="C348" s="3" t="s">
        <v>107</v>
      </c>
      <c r="D348" s="3" t="n">
        <v>131882863</v>
      </c>
      <c r="E348" s="3" t="s">
        <v>114</v>
      </c>
      <c r="F348" s="3" t="n">
        <f aca="false">IF(C348="848630",0,1)</f>
        <v>1</v>
      </c>
    </row>
    <row r="349" customFormat="false" ht="15" hidden="false" customHeight="false" outlineLevel="0" collapsed="false">
      <c r="A349" s="12" t="n">
        <v>44986</v>
      </c>
      <c r="B349" s="9" t="s">
        <v>113</v>
      </c>
      <c r="C349" s="3" t="s">
        <v>107</v>
      </c>
      <c r="D349" s="3" t="n">
        <v>46133952</v>
      </c>
      <c r="E349" s="3" t="s">
        <v>114</v>
      </c>
      <c r="F349" s="3" t="n">
        <f aca="false">IF(C349="848630",0,1)</f>
        <v>1</v>
      </c>
    </row>
    <row r="350" customFormat="false" ht="15" hidden="false" customHeight="false" outlineLevel="0" collapsed="false">
      <c r="A350" s="12" t="n">
        <v>44986</v>
      </c>
      <c r="B350" s="9" t="s">
        <v>113</v>
      </c>
      <c r="C350" s="3" t="s">
        <v>107</v>
      </c>
      <c r="D350" s="3" t="n">
        <v>11877918</v>
      </c>
      <c r="E350" s="3" t="s">
        <v>114</v>
      </c>
      <c r="F350" s="3" t="n">
        <f aca="false">IF(C350="848630",0,1)</f>
        <v>1</v>
      </c>
    </row>
    <row r="351" customFormat="false" ht="15" hidden="false" customHeight="false" outlineLevel="0" collapsed="false">
      <c r="A351" s="12" t="n">
        <v>44986</v>
      </c>
      <c r="B351" s="9" t="s">
        <v>113</v>
      </c>
      <c r="C351" s="3" t="s">
        <v>107</v>
      </c>
      <c r="D351" s="3" t="n">
        <v>590603</v>
      </c>
      <c r="E351" s="3" t="s">
        <v>114</v>
      </c>
      <c r="F351" s="3" t="n">
        <f aca="false">IF(C351="848630",0,1)</f>
        <v>1</v>
      </c>
    </row>
    <row r="352" customFormat="false" ht="15" hidden="false" customHeight="false" outlineLevel="0" collapsed="false">
      <c r="A352" s="12" t="n">
        <v>44986</v>
      </c>
      <c r="B352" s="9" t="s">
        <v>113</v>
      </c>
      <c r="C352" s="3" t="s">
        <v>107</v>
      </c>
      <c r="D352" s="3" t="n">
        <v>49908362</v>
      </c>
      <c r="E352" s="3" t="s">
        <v>114</v>
      </c>
      <c r="F352" s="3" t="n">
        <f aca="false">IF(C352="848630",0,1)</f>
        <v>1</v>
      </c>
    </row>
    <row r="353" customFormat="false" ht="15" hidden="false" customHeight="false" outlineLevel="0" collapsed="false">
      <c r="A353" s="12" t="n">
        <v>44986</v>
      </c>
      <c r="B353" s="9" t="s">
        <v>113</v>
      </c>
      <c r="C353" s="3" t="s">
        <v>107</v>
      </c>
      <c r="D353" s="3" t="n">
        <v>59015345</v>
      </c>
      <c r="E353" s="3" t="s">
        <v>114</v>
      </c>
      <c r="F353" s="3" t="n">
        <f aca="false">IF(C353="848630",0,1)</f>
        <v>1</v>
      </c>
    </row>
    <row r="354" customFormat="false" ht="15" hidden="false" customHeight="false" outlineLevel="0" collapsed="false">
      <c r="A354" s="12" t="n">
        <v>44986</v>
      </c>
      <c r="B354" s="9" t="s">
        <v>113</v>
      </c>
      <c r="C354" s="3" t="s">
        <v>107</v>
      </c>
      <c r="D354" s="3" t="n">
        <v>84159384</v>
      </c>
      <c r="E354" s="3" t="s">
        <v>114</v>
      </c>
      <c r="F354" s="3" t="n">
        <f aca="false">IF(C354="848630",0,1)</f>
        <v>1</v>
      </c>
    </row>
    <row r="355" customFormat="false" ht="15" hidden="false" customHeight="false" outlineLevel="0" collapsed="false">
      <c r="A355" s="12" t="n">
        <v>44986</v>
      </c>
      <c r="B355" s="9" t="s">
        <v>113</v>
      </c>
      <c r="C355" s="3" t="s">
        <v>107</v>
      </c>
      <c r="D355" s="3" t="n">
        <v>59570891</v>
      </c>
      <c r="E355" s="3" t="s">
        <v>114</v>
      </c>
      <c r="F355" s="3" t="n">
        <f aca="false">IF(C355="848630",0,1)</f>
        <v>1</v>
      </c>
    </row>
    <row r="356" customFormat="false" ht="15" hidden="false" customHeight="false" outlineLevel="0" collapsed="false">
      <c r="A356" s="12" t="n">
        <v>44986</v>
      </c>
      <c r="B356" s="9" t="s">
        <v>113</v>
      </c>
      <c r="C356" s="3" t="s">
        <v>107</v>
      </c>
      <c r="D356" s="3" t="n">
        <v>9551892</v>
      </c>
      <c r="E356" s="3" t="s">
        <v>114</v>
      </c>
      <c r="F356" s="3" t="n">
        <f aca="false">IF(C356="848630",0,1)</f>
        <v>1</v>
      </c>
    </row>
    <row r="357" customFormat="false" ht="15" hidden="false" customHeight="false" outlineLevel="0" collapsed="false">
      <c r="A357" s="12" t="n">
        <v>44986</v>
      </c>
      <c r="B357" s="9" t="s">
        <v>113</v>
      </c>
      <c r="C357" s="3" t="s">
        <v>107</v>
      </c>
      <c r="D357" s="3" t="n">
        <v>132588751</v>
      </c>
      <c r="E357" s="3" t="s">
        <v>114</v>
      </c>
      <c r="F357" s="3" t="n">
        <f aca="false">IF(C357="848630",0,1)</f>
        <v>1</v>
      </c>
    </row>
    <row r="358" customFormat="false" ht="15" hidden="false" customHeight="false" outlineLevel="0" collapsed="false">
      <c r="A358" s="12" t="n">
        <v>44986</v>
      </c>
      <c r="B358" s="9" t="s">
        <v>113</v>
      </c>
      <c r="C358" s="3" t="s">
        <v>112</v>
      </c>
      <c r="D358" s="3" t="n">
        <v>5447062</v>
      </c>
      <c r="E358" s="3" t="s">
        <v>114</v>
      </c>
      <c r="F358" s="3" t="n">
        <f aca="false">IF(C358="848630",0,1)</f>
        <v>0</v>
      </c>
    </row>
    <row r="359" customFormat="false" ht="15" hidden="false" customHeight="false" outlineLevel="0" collapsed="false">
      <c r="A359" s="12" t="n">
        <v>44986</v>
      </c>
      <c r="B359" s="9" t="s">
        <v>113</v>
      </c>
      <c r="C359" s="3" t="s">
        <v>112</v>
      </c>
      <c r="D359" s="3" t="n">
        <v>5167793</v>
      </c>
      <c r="E359" s="3" t="s">
        <v>114</v>
      </c>
      <c r="F359" s="3" t="n">
        <f aca="false">IF(C359="848630",0,1)</f>
        <v>0</v>
      </c>
    </row>
    <row r="360" customFormat="false" ht="15" hidden="false" customHeight="false" outlineLevel="0" collapsed="false">
      <c r="A360" s="12" t="n">
        <v>44986</v>
      </c>
      <c r="B360" s="9" t="s">
        <v>113</v>
      </c>
      <c r="C360" s="3" t="s">
        <v>112</v>
      </c>
      <c r="D360" s="3" t="n">
        <v>528111</v>
      </c>
      <c r="E360" s="3" t="s">
        <v>114</v>
      </c>
      <c r="F360" s="3" t="n">
        <f aca="false">IF(C360="848630",0,1)</f>
        <v>0</v>
      </c>
    </row>
    <row r="361" customFormat="false" ht="15" hidden="false" customHeight="false" outlineLevel="0" collapsed="false">
      <c r="A361" s="12" t="n">
        <v>44986</v>
      </c>
      <c r="B361" s="9" t="s">
        <v>113</v>
      </c>
      <c r="C361" s="3" t="s">
        <v>112</v>
      </c>
      <c r="D361" s="3" t="n">
        <v>0</v>
      </c>
      <c r="E361" s="3" t="s">
        <v>114</v>
      </c>
      <c r="F361" s="3" t="n">
        <f aca="false">IF(C361="848630",0,1)</f>
        <v>0</v>
      </c>
    </row>
    <row r="362" customFormat="false" ht="15" hidden="false" customHeight="false" outlineLevel="0" collapsed="false">
      <c r="A362" s="12" t="n">
        <v>44986</v>
      </c>
      <c r="B362" s="9" t="s">
        <v>113</v>
      </c>
      <c r="C362" s="3" t="s">
        <v>112</v>
      </c>
      <c r="D362" s="3" t="n">
        <v>75583156</v>
      </c>
      <c r="E362" s="3" t="s">
        <v>114</v>
      </c>
      <c r="F362" s="3" t="n">
        <f aca="false">IF(C362="848630",0,1)</f>
        <v>0</v>
      </c>
    </row>
    <row r="363" customFormat="false" ht="15" hidden="false" customHeight="false" outlineLevel="0" collapsed="false">
      <c r="A363" s="12" t="n">
        <v>44986</v>
      </c>
      <c r="B363" s="9" t="s">
        <v>113</v>
      </c>
      <c r="C363" s="3" t="s">
        <v>112</v>
      </c>
      <c r="D363" s="3" t="n">
        <v>502190</v>
      </c>
      <c r="E363" s="3" t="s">
        <v>114</v>
      </c>
      <c r="F363" s="3" t="n">
        <f aca="false">IF(C363="848630",0,1)</f>
        <v>0</v>
      </c>
    </row>
    <row r="364" customFormat="false" ht="15" hidden="false" customHeight="false" outlineLevel="0" collapsed="false">
      <c r="A364" s="12" t="n">
        <v>44986</v>
      </c>
      <c r="B364" s="9" t="s">
        <v>113</v>
      </c>
      <c r="C364" s="3" t="s">
        <v>112</v>
      </c>
      <c r="D364" s="3" t="n">
        <v>5034930</v>
      </c>
      <c r="E364" s="3" t="s">
        <v>114</v>
      </c>
      <c r="F364" s="3" t="n">
        <f aca="false">IF(C364="848630",0,1)</f>
        <v>0</v>
      </c>
    </row>
    <row r="365" customFormat="false" ht="15" hidden="false" customHeight="false" outlineLevel="0" collapsed="false">
      <c r="A365" s="12" t="n">
        <v>44986</v>
      </c>
      <c r="B365" s="9" t="s">
        <v>113</v>
      </c>
      <c r="C365" s="3" t="s">
        <v>112</v>
      </c>
      <c r="D365" s="3" t="n">
        <v>57318581</v>
      </c>
      <c r="E365" s="3" t="s">
        <v>114</v>
      </c>
      <c r="F365" s="3" t="n">
        <f aca="false">IF(C365="848630",0,1)</f>
        <v>0</v>
      </c>
    </row>
    <row r="366" customFormat="false" ht="15" hidden="false" customHeight="false" outlineLevel="0" collapsed="false">
      <c r="A366" s="12" t="n">
        <v>44986</v>
      </c>
      <c r="B366" s="9" t="s">
        <v>113</v>
      </c>
      <c r="C366" s="3" t="s">
        <v>108</v>
      </c>
      <c r="D366" s="3" t="n">
        <v>5798836</v>
      </c>
      <c r="E366" s="3" t="s">
        <v>114</v>
      </c>
      <c r="F366" s="3" t="n">
        <f aca="false">IF(C366="848630",0,1)</f>
        <v>1</v>
      </c>
    </row>
    <row r="367" customFormat="false" ht="15" hidden="false" customHeight="false" outlineLevel="0" collapsed="false">
      <c r="A367" s="12" t="n">
        <v>44986</v>
      </c>
      <c r="B367" s="9" t="s">
        <v>113</v>
      </c>
      <c r="C367" s="3" t="s">
        <v>108</v>
      </c>
      <c r="D367" s="3" t="n">
        <v>2119148</v>
      </c>
      <c r="E367" s="3" t="s">
        <v>114</v>
      </c>
      <c r="F367" s="3" t="n">
        <f aca="false">IF(C367="848630",0,1)</f>
        <v>1</v>
      </c>
    </row>
    <row r="368" customFormat="false" ht="15" hidden="false" customHeight="false" outlineLevel="0" collapsed="false">
      <c r="A368" s="12" t="n">
        <v>44986</v>
      </c>
      <c r="B368" s="9" t="s">
        <v>113</v>
      </c>
      <c r="C368" s="3" t="s">
        <v>108</v>
      </c>
      <c r="D368" s="3" t="n">
        <v>1611467</v>
      </c>
      <c r="E368" s="3" t="s">
        <v>114</v>
      </c>
      <c r="F368" s="3" t="n">
        <f aca="false">IF(C368="848630",0,1)</f>
        <v>1</v>
      </c>
    </row>
    <row r="369" customFormat="false" ht="15" hidden="false" customHeight="false" outlineLevel="0" collapsed="false">
      <c r="A369" s="12" t="n">
        <v>44986</v>
      </c>
      <c r="B369" s="9" t="s">
        <v>113</v>
      </c>
      <c r="C369" s="3" t="s">
        <v>108</v>
      </c>
      <c r="D369" s="3" t="n">
        <v>11621437</v>
      </c>
      <c r="E369" s="3" t="s">
        <v>114</v>
      </c>
      <c r="F369" s="3" t="n">
        <f aca="false">IF(C369="848630",0,1)</f>
        <v>1</v>
      </c>
    </row>
    <row r="370" customFormat="false" ht="15" hidden="false" customHeight="false" outlineLevel="0" collapsed="false">
      <c r="A370" s="12" t="n">
        <v>44986</v>
      </c>
      <c r="B370" s="9" t="s">
        <v>113</v>
      </c>
      <c r="C370" s="3" t="s">
        <v>108</v>
      </c>
      <c r="D370" s="3" t="n">
        <v>24703579</v>
      </c>
      <c r="E370" s="3" t="s">
        <v>114</v>
      </c>
      <c r="F370" s="3" t="n">
        <f aca="false">IF(C370="848630",0,1)</f>
        <v>1</v>
      </c>
    </row>
    <row r="371" customFormat="false" ht="15" hidden="false" customHeight="false" outlineLevel="0" collapsed="false">
      <c r="A371" s="12" t="n">
        <v>44986</v>
      </c>
      <c r="B371" s="9" t="s">
        <v>113</v>
      </c>
      <c r="C371" s="3" t="s">
        <v>108</v>
      </c>
      <c r="D371" s="3" t="n">
        <v>13682493</v>
      </c>
      <c r="E371" s="3" t="s">
        <v>114</v>
      </c>
      <c r="F371" s="3" t="n">
        <f aca="false">IF(C371="848630",0,1)</f>
        <v>1</v>
      </c>
    </row>
    <row r="372" customFormat="false" ht="15" hidden="false" customHeight="false" outlineLevel="0" collapsed="false">
      <c r="A372" s="12" t="n">
        <v>44986</v>
      </c>
      <c r="B372" s="9" t="s">
        <v>113</v>
      </c>
      <c r="C372" s="3" t="s">
        <v>109</v>
      </c>
      <c r="D372" s="3" t="n">
        <v>877072</v>
      </c>
      <c r="E372" s="3" t="s">
        <v>114</v>
      </c>
      <c r="F372" s="3" t="n">
        <f aca="false">IF(C372="848630",0,1)</f>
        <v>1</v>
      </c>
    </row>
    <row r="373" customFormat="false" ht="15" hidden="false" customHeight="false" outlineLevel="0" collapsed="false">
      <c r="A373" s="12" t="n">
        <v>44986</v>
      </c>
      <c r="B373" s="9" t="s">
        <v>113</v>
      </c>
      <c r="C373" s="3" t="s">
        <v>109</v>
      </c>
      <c r="D373" s="3" t="n">
        <v>460797</v>
      </c>
      <c r="E373" s="3" t="s">
        <v>114</v>
      </c>
      <c r="F373" s="3" t="n">
        <f aca="false">IF(C373="848630",0,1)</f>
        <v>1</v>
      </c>
    </row>
    <row r="374" customFormat="false" ht="15" hidden="false" customHeight="false" outlineLevel="0" collapsed="false">
      <c r="A374" s="12" t="n">
        <v>44986</v>
      </c>
      <c r="B374" s="9" t="s">
        <v>113</v>
      </c>
      <c r="C374" s="3" t="s">
        <v>109</v>
      </c>
      <c r="D374" s="3" t="n">
        <v>8511000</v>
      </c>
      <c r="E374" s="3" t="s">
        <v>114</v>
      </c>
      <c r="F374" s="3" t="n">
        <f aca="false">IF(C374="848630",0,1)</f>
        <v>1</v>
      </c>
    </row>
    <row r="375" customFormat="false" ht="15" hidden="false" customHeight="false" outlineLevel="0" collapsed="false">
      <c r="A375" s="12" t="n">
        <v>44986</v>
      </c>
      <c r="B375" s="9" t="s">
        <v>113</v>
      </c>
      <c r="C375" s="3" t="s">
        <v>109</v>
      </c>
      <c r="D375" s="3" t="n">
        <v>96830751</v>
      </c>
      <c r="E375" s="3" t="s">
        <v>114</v>
      </c>
      <c r="F375" s="3" t="n">
        <f aca="false">IF(C375="848630",0,1)</f>
        <v>1</v>
      </c>
    </row>
    <row r="376" customFormat="false" ht="15" hidden="false" customHeight="false" outlineLevel="0" collapsed="false">
      <c r="A376" s="12" t="n">
        <v>44986</v>
      </c>
      <c r="B376" s="9" t="s">
        <v>113</v>
      </c>
      <c r="C376" s="3" t="s">
        <v>110</v>
      </c>
      <c r="D376" s="3" t="n">
        <v>17831038</v>
      </c>
      <c r="E376" s="3" t="s">
        <v>114</v>
      </c>
      <c r="F376" s="3" t="n">
        <f aca="false">IF(C376="848630",0,1)</f>
        <v>1</v>
      </c>
    </row>
    <row r="377" customFormat="false" ht="15" hidden="false" customHeight="false" outlineLevel="0" collapsed="false">
      <c r="A377" s="12" t="n">
        <v>44986</v>
      </c>
      <c r="B377" s="9" t="s">
        <v>113</v>
      </c>
      <c r="C377" s="3" t="s">
        <v>111</v>
      </c>
      <c r="D377" s="3" t="n">
        <v>20412529</v>
      </c>
      <c r="E377" s="3" t="s">
        <v>114</v>
      </c>
      <c r="F377" s="3" t="n">
        <f aca="false">IF(C377="848630",0,1)</f>
        <v>1</v>
      </c>
    </row>
    <row r="378" customFormat="false" ht="15" hidden="false" customHeight="false" outlineLevel="0" collapsed="false">
      <c r="A378" s="12" t="n">
        <v>45017</v>
      </c>
      <c r="B378" s="9" t="s">
        <v>113</v>
      </c>
      <c r="C378" s="3" t="s">
        <v>105</v>
      </c>
      <c r="D378" s="3" t="n">
        <v>2777881</v>
      </c>
      <c r="E378" s="3" t="s">
        <v>114</v>
      </c>
      <c r="F378" s="3" t="n">
        <f aca="false">IF(C378="848630",0,1)</f>
        <v>1</v>
      </c>
    </row>
    <row r="379" customFormat="false" ht="15" hidden="false" customHeight="false" outlineLevel="0" collapsed="false">
      <c r="A379" s="12" t="n">
        <v>45017</v>
      </c>
      <c r="B379" s="9" t="s">
        <v>113</v>
      </c>
      <c r="C379" s="3" t="s">
        <v>105</v>
      </c>
      <c r="D379" s="3" t="n">
        <v>32858839</v>
      </c>
      <c r="E379" s="3" t="s">
        <v>114</v>
      </c>
      <c r="F379" s="3" t="n">
        <f aca="false">IF(C379="848630",0,1)</f>
        <v>1</v>
      </c>
    </row>
    <row r="380" customFormat="false" ht="15" hidden="false" customHeight="false" outlineLevel="0" collapsed="false">
      <c r="A380" s="12" t="n">
        <v>45017</v>
      </c>
      <c r="B380" s="9" t="s">
        <v>113</v>
      </c>
      <c r="C380" s="3" t="s">
        <v>105</v>
      </c>
      <c r="D380" s="3" t="n">
        <v>14872929</v>
      </c>
      <c r="E380" s="3" t="s">
        <v>114</v>
      </c>
      <c r="F380" s="3" t="n">
        <f aca="false">IF(C380="848630",0,1)</f>
        <v>1</v>
      </c>
    </row>
    <row r="381" customFormat="false" ht="15" hidden="false" customHeight="false" outlineLevel="0" collapsed="false">
      <c r="A381" s="12" t="n">
        <v>45017</v>
      </c>
      <c r="B381" s="9" t="s">
        <v>113</v>
      </c>
      <c r="C381" s="3" t="s">
        <v>105</v>
      </c>
      <c r="D381" s="3" t="n">
        <v>22503571</v>
      </c>
      <c r="E381" s="3" t="s">
        <v>114</v>
      </c>
      <c r="F381" s="3" t="n">
        <f aca="false">IF(C381="848630",0,1)</f>
        <v>1</v>
      </c>
    </row>
    <row r="382" customFormat="false" ht="15" hidden="false" customHeight="false" outlineLevel="0" collapsed="false">
      <c r="A382" s="12" t="n">
        <v>45017</v>
      </c>
      <c r="B382" s="9" t="s">
        <v>113</v>
      </c>
      <c r="C382" s="3" t="s">
        <v>105</v>
      </c>
      <c r="D382" s="3" t="n">
        <v>13500860</v>
      </c>
      <c r="E382" s="3" t="s">
        <v>114</v>
      </c>
      <c r="F382" s="3" t="n">
        <f aca="false">IF(C382="848630",0,1)</f>
        <v>1</v>
      </c>
    </row>
    <row r="383" customFormat="false" ht="15" hidden="false" customHeight="false" outlineLevel="0" collapsed="false">
      <c r="A383" s="12" t="n">
        <v>45017</v>
      </c>
      <c r="B383" s="9" t="s">
        <v>113</v>
      </c>
      <c r="C383" s="3" t="s">
        <v>107</v>
      </c>
      <c r="D383" s="3" t="n">
        <v>71067522</v>
      </c>
      <c r="E383" s="3" t="s">
        <v>114</v>
      </c>
      <c r="F383" s="3" t="n">
        <f aca="false">IF(C383="848630",0,1)</f>
        <v>1</v>
      </c>
    </row>
    <row r="384" customFormat="false" ht="15" hidden="false" customHeight="false" outlineLevel="0" collapsed="false">
      <c r="A384" s="12" t="n">
        <v>45017</v>
      </c>
      <c r="B384" s="9" t="s">
        <v>113</v>
      </c>
      <c r="C384" s="3" t="s">
        <v>107</v>
      </c>
      <c r="D384" s="3" t="n">
        <v>22090162</v>
      </c>
      <c r="E384" s="3" t="s">
        <v>114</v>
      </c>
      <c r="F384" s="3" t="n">
        <f aca="false">IF(C384="848630",0,1)</f>
        <v>1</v>
      </c>
    </row>
    <row r="385" customFormat="false" ht="15" hidden="false" customHeight="false" outlineLevel="0" collapsed="false">
      <c r="A385" s="12" t="n">
        <v>45017</v>
      </c>
      <c r="B385" s="9" t="s">
        <v>113</v>
      </c>
      <c r="C385" s="3" t="s">
        <v>107</v>
      </c>
      <c r="D385" s="3" t="n">
        <v>5588834</v>
      </c>
      <c r="E385" s="3" t="s">
        <v>114</v>
      </c>
      <c r="F385" s="3" t="n">
        <f aca="false">IF(C385="848630",0,1)</f>
        <v>1</v>
      </c>
    </row>
    <row r="386" customFormat="false" ht="15" hidden="false" customHeight="false" outlineLevel="0" collapsed="false">
      <c r="A386" s="12" t="n">
        <v>45017</v>
      </c>
      <c r="B386" s="9" t="s">
        <v>113</v>
      </c>
      <c r="C386" s="3" t="s">
        <v>107</v>
      </c>
      <c r="D386" s="3" t="n">
        <v>3968920</v>
      </c>
      <c r="E386" s="3" t="s">
        <v>114</v>
      </c>
      <c r="F386" s="3" t="n">
        <f aca="false">IF(C386="848630",0,1)</f>
        <v>1</v>
      </c>
    </row>
    <row r="387" customFormat="false" ht="15" hidden="false" customHeight="false" outlineLevel="0" collapsed="false">
      <c r="A387" s="12" t="n">
        <v>45017</v>
      </c>
      <c r="B387" s="9" t="s">
        <v>113</v>
      </c>
      <c r="C387" s="3" t="s">
        <v>107</v>
      </c>
      <c r="D387" s="3" t="n">
        <v>24355318</v>
      </c>
      <c r="E387" s="3" t="s">
        <v>114</v>
      </c>
      <c r="F387" s="3" t="n">
        <f aca="false">IF(C387="848630",0,1)</f>
        <v>1</v>
      </c>
    </row>
    <row r="388" customFormat="false" ht="15" hidden="false" customHeight="false" outlineLevel="0" collapsed="false">
      <c r="A388" s="12" t="n">
        <v>45017</v>
      </c>
      <c r="B388" s="9" t="s">
        <v>113</v>
      </c>
      <c r="C388" s="3" t="s">
        <v>107</v>
      </c>
      <c r="D388" s="3" t="n">
        <v>101083322</v>
      </c>
      <c r="E388" s="3" t="s">
        <v>114</v>
      </c>
      <c r="F388" s="3" t="n">
        <f aca="false">IF(C388="848630",0,1)</f>
        <v>1</v>
      </c>
    </row>
    <row r="389" customFormat="false" ht="15" hidden="false" customHeight="false" outlineLevel="0" collapsed="false">
      <c r="A389" s="12" t="n">
        <v>45017</v>
      </c>
      <c r="B389" s="9" t="s">
        <v>113</v>
      </c>
      <c r="C389" s="3" t="s">
        <v>107</v>
      </c>
      <c r="D389" s="3" t="n">
        <v>164655624</v>
      </c>
      <c r="E389" s="3" t="s">
        <v>114</v>
      </c>
      <c r="F389" s="3" t="n">
        <f aca="false">IF(C389="848630",0,1)</f>
        <v>1</v>
      </c>
    </row>
    <row r="390" customFormat="false" ht="15" hidden="false" customHeight="false" outlineLevel="0" collapsed="false">
      <c r="A390" s="12" t="n">
        <v>45017</v>
      </c>
      <c r="B390" s="9" t="s">
        <v>113</v>
      </c>
      <c r="C390" s="3" t="s">
        <v>107</v>
      </c>
      <c r="D390" s="3" t="n">
        <v>19258361</v>
      </c>
      <c r="E390" s="3" t="s">
        <v>114</v>
      </c>
      <c r="F390" s="3" t="n">
        <f aca="false">IF(C390="848630",0,1)</f>
        <v>1</v>
      </c>
    </row>
    <row r="391" customFormat="false" ht="15" hidden="false" customHeight="false" outlineLevel="0" collapsed="false">
      <c r="A391" s="12" t="n">
        <v>45017</v>
      </c>
      <c r="B391" s="9" t="s">
        <v>113</v>
      </c>
      <c r="C391" s="3" t="s">
        <v>107</v>
      </c>
      <c r="D391" s="3" t="n">
        <v>15937613</v>
      </c>
      <c r="E391" s="3" t="s">
        <v>114</v>
      </c>
      <c r="F391" s="3" t="n">
        <f aca="false">IF(C391="848630",0,1)</f>
        <v>1</v>
      </c>
    </row>
    <row r="392" customFormat="false" ht="15" hidden="false" customHeight="false" outlineLevel="0" collapsed="false">
      <c r="A392" s="12" t="n">
        <v>45017</v>
      </c>
      <c r="B392" s="9" t="s">
        <v>113</v>
      </c>
      <c r="C392" s="3" t="s">
        <v>107</v>
      </c>
      <c r="D392" s="3" t="n">
        <v>172229425</v>
      </c>
      <c r="E392" s="3" t="s">
        <v>114</v>
      </c>
      <c r="F392" s="3" t="n">
        <f aca="false">IF(C392="848630",0,1)</f>
        <v>1</v>
      </c>
    </row>
    <row r="393" customFormat="false" ht="15" hidden="false" customHeight="false" outlineLevel="0" collapsed="false">
      <c r="A393" s="12" t="n">
        <v>45017</v>
      </c>
      <c r="B393" s="9" t="s">
        <v>113</v>
      </c>
      <c r="C393" s="3" t="s">
        <v>112</v>
      </c>
      <c r="D393" s="3" t="n">
        <v>23570</v>
      </c>
      <c r="E393" s="3" t="s">
        <v>114</v>
      </c>
      <c r="F393" s="3" t="n">
        <f aca="false">IF(C393="848630",0,1)</f>
        <v>0</v>
      </c>
    </row>
    <row r="394" customFormat="false" ht="15" hidden="false" customHeight="false" outlineLevel="0" collapsed="false">
      <c r="A394" s="12" t="n">
        <v>45017</v>
      </c>
      <c r="B394" s="9" t="s">
        <v>113</v>
      </c>
      <c r="C394" s="3" t="s">
        <v>112</v>
      </c>
      <c r="D394" s="3" t="n">
        <v>0</v>
      </c>
      <c r="E394" s="3" t="s">
        <v>114</v>
      </c>
      <c r="F394" s="3" t="n">
        <f aca="false">IF(C394="848630",0,1)</f>
        <v>0</v>
      </c>
    </row>
    <row r="395" customFormat="false" ht="15" hidden="false" customHeight="false" outlineLevel="0" collapsed="false">
      <c r="A395" s="12" t="n">
        <v>45017</v>
      </c>
      <c r="B395" s="9" t="s">
        <v>113</v>
      </c>
      <c r="C395" s="3" t="s">
        <v>112</v>
      </c>
      <c r="D395" s="3" t="n">
        <v>3885922</v>
      </c>
      <c r="E395" s="3" t="s">
        <v>114</v>
      </c>
      <c r="F395" s="3" t="n">
        <f aca="false">IF(C395="848630",0,1)</f>
        <v>0</v>
      </c>
    </row>
    <row r="396" customFormat="false" ht="15" hidden="false" customHeight="false" outlineLevel="0" collapsed="false">
      <c r="A396" s="12" t="n">
        <v>45017</v>
      </c>
      <c r="B396" s="9" t="s">
        <v>113</v>
      </c>
      <c r="C396" s="3" t="s">
        <v>112</v>
      </c>
      <c r="D396" s="3" t="n">
        <v>0</v>
      </c>
      <c r="E396" s="3" t="s">
        <v>114</v>
      </c>
      <c r="F396" s="3" t="n">
        <f aca="false">IF(C396="848630",0,1)</f>
        <v>0</v>
      </c>
    </row>
    <row r="397" customFormat="false" ht="15" hidden="false" customHeight="false" outlineLevel="0" collapsed="false">
      <c r="A397" s="12" t="n">
        <v>45017</v>
      </c>
      <c r="B397" s="9" t="s">
        <v>113</v>
      </c>
      <c r="C397" s="3" t="s">
        <v>112</v>
      </c>
      <c r="D397" s="3" t="n">
        <v>12831301</v>
      </c>
      <c r="E397" s="3" t="s">
        <v>114</v>
      </c>
      <c r="F397" s="3" t="n">
        <f aca="false">IF(C397="848630",0,1)</f>
        <v>0</v>
      </c>
    </row>
    <row r="398" customFormat="false" ht="15" hidden="false" customHeight="false" outlineLevel="0" collapsed="false">
      <c r="A398" s="12" t="n">
        <v>45017</v>
      </c>
      <c r="B398" s="9" t="s">
        <v>113</v>
      </c>
      <c r="C398" s="3" t="s">
        <v>112</v>
      </c>
      <c r="D398" s="3" t="n">
        <v>558410</v>
      </c>
      <c r="E398" s="3" t="s">
        <v>114</v>
      </c>
      <c r="F398" s="3" t="n">
        <f aca="false">IF(C398="848630",0,1)</f>
        <v>0</v>
      </c>
    </row>
    <row r="399" customFormat="false" ht="15" hidden="false" customHeight="false" outlineLevel="0" collapsed="false">
      <c r="A399" s="12" t="n">
        <v>45017</v>
      </c>
      <c r="B399" s="9" t="s">
        <v>113</v>
      </c>
      <c r="C399" s="3" t="s">
        <v>112</v>
      </c>
      <c r="D399" s="3" t="n">
        <v>3887688</v>
      </c>
      <c r="E399" s="3" t="s">
        <v>114</v>
      </c>
      <c r="F399" s="3" t="n">
        <f aca="false">IF(C399="848630",0,1)</f>
        <v>0</v>
      </c>
    </row>
    <row r="400" customFormat="false" ht="15" hidden="false" customHeight="false" outlineLevel="0" collapsed="false">
      <c r="A400" s="12" t="n">
        <v>45017</v>
      </c>
      <c r="B400" s="9" t="s">
        <v>113</v>
      </c>
      <c r="C400" s="3" t="s">
        <v>112</v>
      </c>
      <c r="D400" s="3" t="n">
        <v>12355892</v>
      </c>
      <c r="E400" s="3" t="s">
        <v>114</v>
      </c>
      <c r="F400" s="3" t="n">
        <f aca="false">IF(C400="848630",0,1)</f>
        <v>0</v>
      </c>
    </row>
    <row r="401" customFormat="false" ht="15" hidden="false" customHeight="false" outlineLevel="0" collapsed="false">
      <c r="A401" s="12" t="n">
        <v>45017</v>
      </c>
      <c r="B401" s="9" t="s">
        <v>113</v>
      </c>
      <c r="C401" s="3" t="s">
        <v>108</v>
      </c>
      <c r="D401" s="3" t="n">
        <v>36451443</v>
      </c>
      <c r="E401" s="3" t="s">
        <v>114</v>
      </c>
      <c r="F401" s="3" t="n">
        <f aca="false">IF(C401="848630",0,1)</f>
        <v>1</v>
      </c>
    </row>
    <row r="402" customFormat="false" ht="15" hidden="false" customHeight="false" outlineLevel="0" collapsed="false">
      <c r="A402" s="12" t="n">
        <v>45017</v>
      </c>
      <c r="B402" s="9" t="s">
        <v>113</v>
      </c>
      <c r="C402" s="3" t="s">
        <v>108</v>
      </c>
      <c r="D402" s="3" t="n">
        <v>782067</v>
      </c>
      <c r="E402" s="3" t="s">
        <v>114</v>
      </c>
      <c r="F402" s="3" t="n">
        <f aca="false">IF(C402="848630",0,1)</f>
        <v>1</v>
      </c>
    </row>
    <row r="403" customFormat="false" ht="15" hidden="false" customHeight="false" outlineLevel="0" collapsed="false">
      <c r="A403" s="12" t="n">
        <v>45017</v>
      </c>
      <c r="B403" s="9" t="s">
        <v>113</v>
      </c>
      <c r="C403" s="3" t="s">
        <v>108</v>
      </c>
      <c r="D403" s="3" t="n">
        <v>601322</v>
      </c>
      <c r="E403" s="3" t="s">
        <v>114</v>
      </c>
      <c r="F403" s="3" t="n">
        <f aca="false">IF(C403="848630",0,1)</f>
        <v>1</v>
      </c>
    </row>
    <row r="404" customFormat="false" ht="15" hidden="false" customHeight="false" outlineLevel="0" collapsed="false">
      <c r="A404" s="12" t="n">
        <v>45017</v>
      </c>
      <c r="B404" s="9" t="s">
        <v>113</v>
      </c>
      <c r="C404" s="3" t="s">
        <v>108</v>
      </c>
      <c r="D404" s="3" t="n">
        <v>10428812</v>
      </c>
      <c r="E404" s="3" t="s">
        <v>114</v>
      </c>
      <c r="F404" s="3" t="n">
        <f aca="false">IF(C404="848630",0,1)</f>
        <v>1</v>
      </c>
    </row>
    <row r="405" customFormat="false" ht="15" hidden="false" customHeight="false" outlineLevel="0" collapsed="false">
      <c r="A405" s="12" t="n">
        <v>45017</v>
      </c>
      <c r="B405" s="9" t="s">
        <v>113</v>
      </c>
      <c r="C405" s="3" t="s">
        <v>108</v>
      </c>
      <c r="D405" s="3" t="n">
        <v>23897426</v>
      </c>
      <c r="E405" s="3" t="s">
        <v>114</v>
      </c>
      <c r="F405" s="3" t="n">
        <f aca="false">IF(C405="848630",0,1)</f>
        <v>1</v>
      </c>
    </row>
    <row r="406" customFormat="false" ht="15" hidden="false" customHeight="false" outlineLevel="0" collapsed="false">
      <c r="A406" s="12" t="n">
        <v>45017</v>
      </c>
      <c r="B406" s="9" t="s">
        <v>113</v>
      </c>
      <c r="C406" s="3" t="s">
        <v>108</v>
      </c>
      <c r="D406" s="3" t="n">
        <v>10176246</v>
      </c>
      <c r="E406" s="3" t="s">
        <v>114</v>
      </c>
      <c r="F406" s="3" t="n">
        <f aca="false">IF(C406="848630",0,1)</f>
        <v>1</v>
      </c>
    </row>
    <row r="407" customFormat="false" ht="15" hidden="false" customHeight="false" outlineLevel="0" collapsed="false">
      <c r="A407" s="12" t="n">
        <v>45017</v>
      </c>
      <c r="B407" s="9" t="s">
        <v>113</v>
      </c>
      <c r="C407" s="3" t="s">
        <v>109</v>
      </c>
      <c r="D407" s="3" t="n">
        <v>1354071</v>
      </c>
      <c r="E407" s="3" t="s">
        <v>114</v>
      </c>
      <c r="F407" s="3" t="n">
        <f aca="false">IF(C407="848630",0,1)</f>
        <v>1</v>
      </c>
    </row>
    <row r="408" customFormat="false" ht="15" hidden="false" customHeight="false" outlineLevel="0" collapsed="false">
      <c r="A408" s="12" t="n">
        <v>45017</v>
      </c>
      <c r="B408" s="9" t="s">
        <v>113</v>
      </c>
      <c r="C408" s="3" t="s">
        <v>109</v>
      </c>
      <c r="D408" s="3" t="n">
        <v>382963</v>
      </c>
      <c r="E408" s="3" t="s">
        <v>114</v>
      </c>
      <c r="F408" s="3" t="n">
        <f aca="false">IF(C408="848630",0,1)</f>
        <v>1</v>
      </c>
    </row>
    <row r="409" customFormat="false" ht="15" hidden="false" customHeight="false" outlineLevel="0" collapsed="false">
      <c r="A409" s="12" t="n">
        <v>45017</v>
      </c>
      <c r="B409" s="9" t="s">
        <v>113</v>
      </c>
      <c r="C409" s="3" t="s">
        <v>109</v>
      </c>
      <c r="D409" s="3" t="n">
        <v>7837300</v>
      </c>
      <c r="E409" s="3" t="s">
        <v>114</v>
      </c>
      <c r="F409" s="3" t="n">
        <f aca="false">IF(C409="848630",0,1)</f>
        <v>1</v>
      </c>
    </row>
    <row r="410" customFormat="false" ht="15" hidden="false" customHeight="false" outlineLevel="0" collapsed="false">
      <c r="A410" s="12" t="n">
        <v>45017</v>
      </c>
      <c r="B410" s="9" t="s">
        <v>113</v>
      </c>
      <c r="C410" s="3" t="s">
        <v>109</v>
      </c>
      <c r="D410" s="3" t="n">
        <v>97303494</v>
      </c>
      <c r="E410" s="3" t="s">
        <v>114</v>
      </c>
      <c r="F410" s="3" t="n">
        <f aca="false">IF(C410="848630",0,1)</f>
        <v>1</v>
      </c>
    </row>
    <row r="411" customFormat="false" ht="15" hidden="false" customHeight="false" outlineLevel="0" collapsed="false">
      <c r="A411" s="12" t="n">
        <v>45017</v>
      </c>
      <c r="B411" s="9" t="s">
        <v>113</v>
      </c>
      <c r="C411" s="3" t="s">
        <v>110</v>
      </c>
      <c r="D411" s="3" t="n">
        <v>34032268</v>
      </c>
      <c r="E411" s="3" t="s">
        <v>114</v>
      </c>
      <c r="F411" s="3" t="n">
        <f aca="false">IF(C411="848630",0,1)</f>
        <v>1</v>
      </c>
    </row>
    <row r="412" customFormat="false" ht="15" hidden="false" customHeight="false" outlineLevel="0" collapsed="false">
      <c r="A412" s="12" t="n">
        <v>45017</v>
      </c>
      <c r="B412" s="9" t="s">
        <v>113</v>
      </c>
      <c r="C412" s="3" t="s">
        <v>111</v>
      </c>
      <c r="D412" s="3" t="n">
        <v>11445209</v>
      </c>
      <c r="E412" s="3" t="s">
        <v>114</v>
      </c>
      <c r="F412" s="3" t="n">
        <f aca="false">IF(C412="848630",0,1)</f>
        <v>1</v>
      </c>
    </row>
    <row r="413" customFormat="false" ht="15" hidden="false" customHeight="false" outlineLevel="0" collapsed="false">
      <c r="A413" s="12" t="n">
        <v>45047</v>
      </c>
      <c r="B413" s="9" t="s">
        <v>113</v>
      </c>
      <c r="C413" s="3" t="s">
        <v>105</v>
      </c>
      <c r="D413" s="3" t="n">
        <v>502262</v>
      </c>
      <c r="E413" s="3" t="s">
        <v>114</v>
      </c>
      <c r="F413" s="3" t="n">
        <f aca="false">IF(C413="848630",0,1)</f>
        <v>1</v>
      </c>
    </row>
    <row r="414" customFormat="false" ht="15" hidden="false" customHeight="false" outlineLevel="0" collapsed="false">
      <c r="A414" s="12" t="n">
        <v>45047</v>
      </c>
      <c r="B414" s="9" t="s">
        <v>113</v>
      </c>
      <c r="C414" s="3" t="s">
        <v>105</v>
      </c>
      <c r="D414" s="3" t="n">
        <v>25186834</v>
      </c>
      <c r="E414" s="3" t="s">
        <v>114</v>
      </c>
      <c r="F414" s="3" t="n">
        <f aca="false">IF(C414="848630",0,1)</f>
        <v>1</v>
      </c>
    </row>
    <row r="415" customFormat="false" ht="15" hidden="false" customHeight="false" outlineLevel="0" collapsed="false">
      <c r="A415" s="12" t="n">
        <v>45047</v>
      </c>
      <c r="B415" s="9" t="s">
        <v>113</v>
      </c>
      <c r="C415" s="3" t="s">
        <v>105</v>
      </c>
      <c r="D415" s="3" t="n">
        <v>34181978</v>
      </c>
      <c r="E415" s="3" t="s">
        <v>114</v>
      </c>
      <c r="F415" s="3" t="n">
        <f aca="false">IF(C415="848630",0,1)</f>
        <v>1</v>
      </c>
    </row>
    <row r="416" customFormat="false" ht="15" hidden="false" customHeight="false" outlineLevel="0" collapsed="false">
      <c r="A416" s="12" t="n">
        <v>45047</v>
      </c>
      <c r="B416" s="9" t="s">
        <v>113</v>
      </c>
      <c r="C416" s="3" t="s">
        <v>105</v>
      </c>
      <c r="D416" s="3" t="n">
        <v>24436702</v>
      </c>
      <c r="E416" s="3" t="s">
        <v>114</v>
      </c>
      <c r="F416" s="3" t="n">
        <f aca="false">IF(C416="848630",0,1)</f>
        <v>1</v>
      </c>
    </row>
    <row r="417" customFormat="false" ht="15" hidden="false" customHeight="false" outlineLevel="0" collapsed="false">
      <c r="A417" s="12" t="n">
        <v>45047</v>
      </c>
      <c r="B417" s="9" t="s">
        <v>113</v>
      </c>
      <c r="C417" s="3" t="s">
        <v>105</v>
      </c>
      <c r="D417" s="3" t="n">
        <v>5457869</v>
      </c>
      <c r="E417" s="3" t="s">
        <v>114</v>
      </c>
      <c r="F417" s="3" t="n">
        <f aca="false">IF(C417="848630",0,1)</f>
        <v>1</v>
      </c>
    </row>
    <row r="418" customFormat="false" ht="15" hidden="false" customHeight="false" outlineLevel="0" collapsed="false">
      <c r="A418" s="12" t="n">
        <v>45047</v>
      </c>
      <c r="B418" s="9" t="s">
        <v>113</v>
      </c>
      <c r="C418" s="3" t="s">
        <v>107</v>
      </c>
      <c r="D418" s="3" t="n">
        <v>40817686</v>
      </c>
      <c r="E418" s="3" t="s">
        <v>114</v>
      </c>
      <c r="F418" s="3" t="n">
        <f aca="false">IF(C418="848630",0,1)</f>
        <v>1</v>
      </c>
    </row>
    <row r="419" customFormat="false" ht="15" hidden="false" customHeight="false" outlineLevel="0" collapsed="false">
      <c r="A419" s="12" t="n">
        <v>45047</v>
      </c>
      <c r="B419" s="9" t="s">
        <v>113</v>
      </c>
      <c r="C419" s="3" t="s">
        <v>107</v>
      </c>
      <c r="D419" s="3" t="n">
        <v>16677177</v>
      </c>
      <c r="E419" s="3" t="s">
        <v>114</v>
      </c>
      <c r="F419" s="3" t="n">
        <f aca="false">IF(C419="848630",0,1)</f>
        <v>1</v>
      </c>
    </row>
    <row r="420" customFormat="false" ht="15" hidden="false" customHeight="false" outlineLevel="0" collapsed="false">
      <c r="A420" s="12" t="n">
        <v>45047</v>
      </c>
      <c r="B420" s="9" t="s">
        <v>113</v>
      </c>
      <c r="C420" s="3" t="s">
        <v>107</v>
      </c>
      <c r="D420" s="3" t="n">
        <v>1427203</v>
      </c>
      <c r="E420" s="3" t="s">
        <v>114</v>
      </c>
      <c r="F420" s="3" t="n">
        <f aca="false">IF(C420="848630",0,1)</f>
        <v>1</v>
      </c>
    </row>
    <row r="421" customFormat="false" ht="15" hidden="false" customHeight="false" outlineLevel="0" collapsed="false">
      <c r="A421" s="12" t="n">
        <v>45047</v>
      </c>
      <c r="B421" s="9" t="s">
        <v>113</v>
      </c>
      <c r="C421" s="3" t="s">
        <v>107</v>
      </c>
      <c r="D421" s="3" t="n">
        <v>934090</v>
      </c>
      <c r="E421" s="3" t="s">
        <v>114</v>
      </c>
      <c r="F421" s="3" t="n">
        <f aca="false">IF(C421="848630",0,1)</f>
        <v>1</v>
      </c>
    </row>
    <row r="422" customFormat="false" ht="15" hidden="false" customHeight="false" outlineLevel="0" collapsed="false">
      <c r="A422" s="12" t="n">
        <v>45047</v>
      </c>
      <c r="B422" s="9" t="s">
        <v>113</v>
      </c>
      <c r="C422" s="3" t="s">
        <v>107</v>
      </c>
      <c r="D422" s="3" t="n">
        <v>26337963</v>
      </c>
      <c r="E422" s="3" t="s">
        <v>114</v>
      </c>
      <c r="F422" s="3" t="n">
        <f aca="false">IF(C422="848630",0,1)</f>
        <v>1</v>
      </c>
    </row>
    <row r="423" customFormat="false" ht="15" hidden="false" customHeight="false" outlineLevel="0" collapsed="false">
      <c r="A423" s="12" t="n">
        <v>45047</v>
      </c>
      <c r="B423" s="9" t="s">
        <v>113</v>
      </c>
      <c r="C423" s="3" t="s">
        <v>107</v>
      </c>
      <c r="D423" s="3" t="n">
        <v>70727949</v>
      </c>
      <c r="E423" s="3" t="s">
        <v>114</v>
      </c>
      <c r="F423" s="3" t="n">
        <f aca="false">IF(C423="848630",0,1)</f>
        <v>1</v>
      </c>
    </row>
    <row r="424" customFormat="false" ht="15" hidden="false" customHeight="false" outlineLevel="0" collapsed="false">
      <c r="A424" s="12" t="n">
        <v>45047</v>
      </c>
      <c r="B424" s="9" t="s">
        <v>113</v>
      </c>
      <c r="C424" s="3" t="s">
        <v>107</v>
      </c>
      <c r="D424" s="3" t="n">
        <v>78186556</v>
      </c>
      <c r="E424" s="3" t="s">
        <v>114</v>
      </c>
      <c r="F424" s="3" t="n">
        <f aca="false">IF(C424="848630",0,1)</f>
        <v>1</v>
      </c>
    </row>
    <row r="425" customFormat="false" ht="15" hidden="false" customHeight="false" outlineLevel="0" collapsed="false">
      <c r="A425" s="12" t="n">
        <v>45047</v>
      </c>
      <c r="B425" s="9" t="s">
        <v>113</v>
      </c>
      <c r="C425" s="3" t="s">
        <v>107</v>
      </c>
      <c r="D425" s="3" t="n">
        <v>9453546</v>
      </c>
      <c r="E425" s="3" t="s">
        <v>114</v>
      </c>
      <c r="F425" s="3" t="n">
        <f aca="false">IF(C425="848630",0,1)</f>
        <v>1</v>
      </c>
    </row>
    <row r="426" customFormat="false" ht="15" hidden="false" customHeight="false" outlineLevel="0" collapsed="false">
      <c r="A426" s="12" t="n">
        <v>45047</v>
      </c>
      <c r="B426" s="9" t="s">
        <v>113</v>
      </c>
      <c r="C426" s="3" t="s">
        <v>107</v>
      </c>
      <c r="D426" s="3" t="n">
        <v>3067099</v>
      </c>
      <c r="E426" s="3" t="s">
        <v>114</v>
      </c>
      <c r="F426" s="3" t="n">
        <f aca="false">IF(C426="848630",0,1)</f>
        <v>1</v>
      </c>
    </row>
    <row r="427" customFormat="false" ht="15" hidden="false" customHeight="false" outlineLevel="0" collapsed="false">
      <c r="A427" s="12" t="n">
        <v>45047</v>
      </c>
      <c r="B427" s="9" t="s">
        <v>113</v>
      </c>
      <c r="C427" s="3" t="s">
        <v>107</v>
      </c>
      <c r="D427" s="3" t="n">
        <v>75188211</v>
      </c>
      <c r="E427" s="3" t="s">
        <v>114</v>
      </c>
      <c r="F427" s="3" t="n">
        <f aca="false">IF(C427="848630",0,1)</f>
        <v>1</v>
      </c>
    </row>
    <row r="428" customFormat="false" ht="15" hidden="false" customHeight="false" outlineLevel="0" collapsed="false">
      <c r="A428" s="12" t="n">
        <v>45047</v>
      </c>
      <c r="B428" s="9" t="s">
        <v>113</v>
      </c>
      <c r="C428" s="3" t="s">
        <v>112</v>
      </c>
      <c r="D428" s="3" t="n">
        <v>86127</v>
      </c>
      <c r="E428" s="3" t="s">
        <v>114</v>
      </c>
      <c r="F428" s="3" t="n">
        <f aca="false">IF(C428="848630",0,1)</f>
        <v>0</v>
      </c>
    </row>
    <row r="429" customFormat="false" ht="15" hidden="false" customHeight="false" outlineLevel="0" collapsed="false">
      <c r="A429" s="12" t="n">
        <v>45047</v>
      </c>
      <c r="B429" s="9" t="s">
        <v>113</v>
      </c>
      <c r="C429" s="3" t="s">
        <v>112</v>
      </c>
      <c r="D429" s="3" t="n">
        <v>726073</v>
      </c>
      <c r="E429" s="3" t="s">
        <v>114</v>
      </c>
      <c r="F429" s="3" t="n">
        <f aca="false">IF(C429="848630",0,1)</f>
        <v>0</v>
      </c>
    </row>
    <row r="430" customFormat="false" ht="15" hidden="false" customHeight="false" outlineLevel="0" collapsed="false">
      <c r="A430" s="12" t="n">
        <v>45047</v>
      </c>
      <c r="B430" s="9" t="s">
        <v>113</v>
      </c>
      <c r="C430" s="3" t="s">
        <v>112</v>
      </c>
      <c r="D430" s="3" t="n">
        <v>0</v>
      </c>
      <c r="E430" s="3" t="s">
        <v>114</v>
      </c>
      <c r="F430" s="3" t="n">
        <f aca="false">IF(C430="848630",0,1)</f>
        <v>0</v>
      </c>
    </row>
    <row r="431" customFormat="false" ht="15" hidden="false" customHeight="false" outlineLevel="0" collapsed="false">
      <c r="A431" s="12" t="n">
        <v>45047</v>
      </c>
      <c r="B431" s="9" t="s">
        <v>113</v>
      </c>
      <c r="C431" s="3" t="s">
        <v>112</v>
      </c>
      <c r="D431" s="3" t="n">
        <v>0</v>
      </c>
      <c r="E431" s="3" t="s">
        <v>114</v>
      </c>
      <c r="F431" s="3" t="n">
        <f aca="false">IF(C431="848630",0,1)</f>
        <v>0</v>
      </c>
    </row>
    <row r="432" customFormat="false" ht="15" hidden="false" customHeight="false" outlineLevel="0" collapsed="false">
      <c r="A432" s="12" t="n">
        <v>45047</v>
      </c>
      <c r="B432" s="9" t="s">
        <v>113</v>
      </c>
      <c r="C432" s="3" t="s">
        <v>112</v>
      </c>
      <c r="D432" s="3" t="n">
        <v>0</v>
      </c>
      <c r="E432" s="3" t="s">
        <v>114</v>
      </c>
      <c r="F432" s="3" t="n">
        <f aca="false">IF(C432="848630",0,1)</f>
        <v>0</v>
      </c>
    </row>
    <row r="433" customFormat="false" ht="15" hidden="false" customHeight="false" outlineLevel="0" collapsed="false">
      <c r="A433" s="12" t="n">
        <v>45047</v>
      </c>
      <c r="B433" s="9" t="s">
        <v>113</v>
      </c>
      <c r="C433" s="3" t="s">
        <v>112</v>
      </c>
      <c r="D433" s="3" t="n">
        <v>277983</v>
      </c>
      <c r="E433" s="3" t="s">
        <v>114</v>
      </c>
      <c r="F433" s="3" t="n">
        <f aca="false">IF(C433="848630",0,1)</f>
        <v>0</v>
      </c>
    </row>
    <row r="434" customFormat="false" ht="15" hidden="false" customHeight="false" outlineLevel="0" collapsed="false">
      <c r="A434" s="12" t="n">
        <v>45047</v>
      </c>
      <c r="B434" s="9" t="s">
        <v>113</v>
      </c>
      <c r="C434" s="3" t="s">
        <v>112</v>
      </c>
      <c r="D434" s="3" t="n">
        <v>117075</v>
      </c>
      <c r="E434" s="3" t="s">
        <v>114</v>
      </c>
      <c r="F434" s="3" t="n">
        <f aca="false">IF(C434="848630",0,1)</f>
        <v>0</v>
      </c>
    </row>
    <row r="435" customFormat="false" ht="15" hidden="false" customHeight="false" outlineLevel="0" collapsed="false">
      <c r="A435" s="12" t="n">
        <v>45047</v>
      </c>
      <c r="B435" s="9" t="s">
        <v>113</v>
      </c>
      <c r="C435" s="3" t="s">
        <v>112</v>
      </c>
      <c r="D435" s="3" t="n">
        <v>5594223</v>
      </c>
      <c r="E435" s="3" t="s">
        <v>114</v>
      </c>
      <c r="F435" s="3" t="n">
        <f aca="false">IF(C435="848630",0,1)</f>
        <v>0</v>
      </c>
    </row>
    <row r="436" customFormat="false" ht="15" hidden="false" customHeight="false" outlineLevel="0" collapsed="false">
      <c r="A436" s="12" t="n">
        <v>45047</v>
      </c>
      <c r="B436" s="9" t="s">
        <v>113</v>
      </c>
      <c r="C436" s="3" t="s">
        <v>108</v>
      </c>
      <c r="D436" s="3" t="n">
        <v>5988884</v>
      </c>
      <c r="E436" s="3" t="s">
        <v>114</v>
      </c>
      <c r="F436" s="3" t="n">
        <f aca="false">IF(C436="848630",0,1)</f>
        <v>1</v>
      </c>
    </row>
    <row r="437" customFormat="false" ht="15" hidden="false" customHeight="false" outlineLevel="0" collapsed="false">
      <c r="A437" s="12" t="n">
        <v>45047</v>
      </c>
      <c r="B437" s="9" t="s">
        <v>113</v>
      </c>
      <c r="C437" s="3" t="s">
        <v>108</v>
      </c>
      <c r="D437" s="3" t="n">
        <v>10323536</v>
      </c>
      <c r="E437" s="3" t="s">
        <v>114</v>
      </c>
      <c r="F437" s="3" t="n">
        <f aca="false">IF(C437="848630",0,1)</f>
        <v>1</v>
      </c>
    </row>
    <row r="438" customFormat="false" ht="15" hidden="false" customHeight="false" outlineLevel="0" collapsed="false">
      <c r="A438" s="12" t="n">
        <v>45047</v>
      </c>
      <c r="B438" s="9" t="s">
        <v>113</v>
      </c>
      <c r="C438" s="3" t="s">
        <v>108</v>
      </c>
      <c r="D438" s="3" t="n">
        <v>645114</v>
      </c>
      <c r="E438" s="3" t="s">
        <v>114</v>
      </c>
      <c r="F438" s="3" t="n">
        <f aca="false">IF(C438="848630",0,1)</f>
        <v>1</v>
      </c>
    </row>
    <row r="439" customFormat="false" ht="15" hidden="false" customHeight="false" outlineLevel="0" collapsed="false">
      <c r="A439" s="12" t="n">
        <v>45047</v>
      </c>
      <c r="B439" s="9" t="s">
        <v>113</v>
      </c>
      <c r="C439" s="3" t="s">
        <v>108</v>
      </c>
      <c r="D439" s="3" t="n">
        <v>9457801</v>
      </c>
      <c r="E439" s="3" t="s">
        <v>114</v>
      </c>
      <c r="F439" s="3" t="n">
        <f aca="false">IF(C439="848630",0,1)</f>
        <v>1</v>
      </c>
    </row>
    <row r="440" customFormat="false" ht="15" hidden="false" customHeight="false" outlineLevel="0" collapsed="false">
      <c r="A440" s="12" t="n">
        <v>45047</v>
      </c>
      <c r="B440" s="9" t="s">
        <v>113</v>
      </c>
      <c r="C440" s="3" t="s">
        <v>108</v>
      </c>
      <c r="D440" s="3" t="n">
        <v>23547774</v>
      </c>
      <c r="E440" s="3" t="s">
        <v>114</v>
      </c>
      <c r="F440" s="3" t="n">
        <f aca="false">IF(C440="848630",0,1)</f>
        <v>1</v>
      </c>
    </row>
    <row r="441" customFormat="false" ht="15" hidden="false" customHeight="false" outlineLevel="0" collapsed="false">
      <c r="A441" s="12" t="n">
        <v>45047</v>
      </c>
      <c r="B441" s="9" t="s">
        <v>113</v>
      </c>
      <c r="C441" s="3" t="s">
        <v>108</v>
      </c>
      <c r="D441" s="3" t="n">
        <v>13051128</v>
      </c>
      <c r="E441" s="3" t="s">
        <v>114</v>
      </c>
      <c r="F441" s="3" t="n">
        <f aca="false">IF(C441="848630",0,1)</f>
        <v>1</v>
      </c>
    </row>
    <row r="442" customFormat="false" ht="15" hidden="false" customHeight="false" outlineLevel="0" collapsed="false">
      <c r="A442" s="12" t="n">
        <v>45047</v>
      </c>
      <c r="B442" s="9" t="s">
        <v>113</v>
      </c>
      <c r="C442" s="3" t="s">
        <v>109</v>
      </c>
      <c r="D442" s="3" t="n">
        <v>789830</v>
      </c>
      <c r="E442" s="3" t="s">
        <v>114</v>
      </c>
      <c r="F442" s="3" t="n">
        <f aca="false">IF(C442="848630",0,1)</f>
        <v>1</v>
      </c>
    </row>
    <row r="443" customFormat="false" ht="15" hidden="false" customHeight="false" outlineLevel="0" collapsed="false">
      <c r="A443" s="12" t="n">
        <v>45047</v>
      </c>
      <c r="B443" s="9" t="s">
        <v>113</v>
      </c>
      <c r="C443" s="3" t="s">
        <v>109</v>
      </c>
      <c r="D443" s="3" t="n">
        <v>557299</v>
      </c>
      <c r="E443" s="3" t="s">
        <v>114</v>
      </c>
      <c r="F443" s="3" t="n">
        <f aca="false">IF(C443="848630",0,1)</f>
        <v>1</v>
      </c>
    </row>
    <row r="444" customFormat="false" ht="15" hidden="false" customHeight="false" outlineLevel="0" collapsed="false">
      <c r="A444" s="12" t="n">
        <v>45047</v>
      </c>
      <c r="B444" s="9" t="s">
        <v>113</v>
      </c>
      <c r="C444" s="3" t="s">
        <v>109</v>
      </c>
      <c r="D444" s="3" t="n">
        <v>6544984</v>
      </c>
      <c r="E444" s="3" t="s">
        <v>114</v>
      </c>
      <c r="F444" s="3" t="n">
        <f aca="false">IF(C444="848630",0,1)</f>
        <v>1</v>
      </c>
    </row>
    <row r="445" customFormat="false" ht="15" hidden="false" customHeight="false" outlineLevel="0" collapsed="false">
      <c r="A445" s="12" t="n">
        <v>45047</v>
      </c>
      <c r="B445" s="9" t="s">
        <v>113</v>
      </c>
      <c r="C445" s="3" t="s">
        <v>109</v>
      </c>
      <c r="D445" s="3" t="n">
        <v>77188028</v>
      </c>
      <c r="E445" s="3" t="s">
        <v>114</v>
      </c>
      <c r="F445" s="3" t="n">
        <f aca="false">IF(C445="848630",0,1)</f>
        <v>1</v>
      </c>
    </row>
    <row r="446" customFormat="false" ht="15" hidden="false" customHeight="false" outlineLevel="0" collapsed="false">
      <c r="A446" s="12" t="n">
        <v>45047</v>
      </c>
      <c r="B446" s="9" t="s">
        <v>113</v>
      </c>
      <c r="C446" s="3" t="s">
        <v>110</v>
      </c>
      <c r="D446" s="3" t="n">
        <v>17869786</v>
      </c>
      <c r="E446" s="3" t="s">
        <v>114</v>
      </c>
      <c r="F446" s="3" t="n">
        <f aca="false">IF(C446="848630",0,1)</f>
        <v>1</v>
      </c>
    </row>
    <row r="447" customFormat="false" ht="15" hidden="false" customHeight="false" outlineLevel="0" collapsed="false">
      <c r="A447" s="12" t="n">
        <v>45047</v>
      </c>
      <c r="B447" s="9" t="s">
        <v>113</v>
      </c>
      <c r="C447" s="3" t="s">
        <v>111</v>
      </c>
      <c r="D447" s="3" t="n">
        <v>14249695</v>
      </c>
      <c r="E447" s="3" t="s">
        <v>114</v>
      </c>
      <c r="F447" s="3" t="n">
        <f aca="false">IF(C447="848630",0,1)</f>
        <v>1</v>
      </c>
    </row>
    <row r="448" customFormat="false" ht="15" hidden="false" customHeight="false" outlineLevel="0" collapsed="false">
      <c r="A448" s="12" t="n">
        <v>45078</v>
      </c>
      <c r="B448" s="9" t="s">
        <v>113</v>
      </c>
      <c r="C448" s="3" t="s">
        <v>105</v>
      </c>
      <c r="D448" s="3" t="n">
        <v>960934</v>
      </c>
      <c r="E448" s="3" t="s">
        <v>114</v>
      </c>
      <c r="F448" s="3" t="n">
        <f aca="false">IF(C448="848630",0,1)</f>
        <v>1</v>
      </c>
    </row>
    <row r="449" customFormat="false" ht="15" hidden="false" customHeight="false" outlineLevel="0" collapsed="false">
      <c r="A449" s="12" t="n">
        <v>45078</v>
      </c>
      <c r="B449" s="9" t="s">
        <v>113</v>
      </c>
      <c r="C449" s="3" t="s">
        <v>105</v>
      </c>
      <c r="D449" s="3" t="n">
        <v>28162836</v>
      </c>
      <c r="E449" s="3" t="s">
        <v>114</v>
      </c>
      <c r="F449" s="3" t="n">
        <f aca="false">IF(C449="848630",0,1)</f>
        <v>1</v>
      </c>
    </row>
    <row r="450" customFormat="false" ht="15" hidden="false" customHeight="false" outlineLevel="0" collapsed="false">
      <c r="A450" s="12" t="n">
        <v>45078</v>
      </c>
      <c r="B450" s="9" t="s">
        <v>113</v>
      </c>
      <c r="C450" s="3" t="s">
        <v>105</v>
      </c>
      <c r="D450" s="3" t="n">
        <v>28667761</v>
      </c>
      <c r="E450" s="3" t="s">
        <v>114</v>
      </c>
      <c r="F450" s="3" t="n">
        <f aca="false">IF(C450="848630",0,1)</f>
        <v>1</v>
      </c>
    </row>
    <row r="451" customFormat="false" ht="15" hidden="false" customHeight="false" outlineLevel="0" collapsed="false">
      <c r="A451" s="12" t="n">
        <v>45078</v>
      </c>
      <c r="B451" s="9" t="s">
        <v>113</v>
      </c>
      <c r="C451" s="3" t="s">
        <v>105</v>
      </c>
      <c r="D451" s="3" t="n">
        <v>17139404</v>
      </c>
      <c r="E451" s="3" t="s">
        <v>114</v>
      </c>
      <c r="F451" s="3" t="n">
        <f aca="false">IF(C451="848630",0,1)</f>
        <v>1</v>
      </c>
    </row>
    <row r="452" customFormat="false" ht="15" hidden="false" customHeight="false" outlineLevel="0" collapsed="false">
      <c r="A452" s="12" t="n">
        <v>45078</v>
      </c>
      <c r="B452" s="9" t="s">
        <v>113</v>
      </c>
      <c r="C452" s="3" t="s">
        <v>105</v>
      </c>
      <c r="D452" s="3" t="n">
        <v>5660612</v>
      </c>
      <c r="E452" s="3" t="s">
        <v>114</v>
      </c>
      <c r="F452" s="3" t="n">
        <f aca="false">IF(C452="848630",0,1)</f>
        <v>1</v>
      </c>
    </row>
    <row r="453" customFormat="false" ht="15" hidden="false" customHeight="false" outlineLevel="0" collapsed="false">
      <c r="A453" s="12" t="n">
        <v>45078</v>
      </c>
      <c r="B453" s="9" t="s">
        <v>113</v>
      </c>
      <c r="C453" s="3" t="s">
        <v>107</v>
      </c>
      <c r="D453" s="3" t="n">
        <v>41756822</v>
      </c>
      <c r="E453" s="3" t="s">
        <v>114</v>
      </c>
      <c r="F453" s="3" t="n">
        <f aca="false">IF(C453="848630",0,1)</f>
        <v>1</v>
      </c>
    </row>
    <row r="454" customFormat="false" ht="15" hidden="false" customHeight="false" outlineLevel="0" collapsed="false">
      <c r="A454" s="12" t="n">
        <v>45078</v>
      </c>
      <c r="B454" s="9" t="s">
        <v>113</v>
      </c>
      <c r="C454" s="3" t="s">
        <v>107</v>
      </c>
      <c r="D454" s="3" t="n">
        <v>14935538</v>
      </c>
      <c r="E454" s="3" t="s">
        <v>114</v>
      </c>
      <c r="F454" s="3" t="n">
        <f aca="false">IF(C454="848630",0,1)</f>
        <v>1</v>
      </c>
    </row>
    <row r="455" customFormat="false" ht="15" hidden="false" customHeight="false" outlineLevel="0" collapsed="false">
      <c r="A455" s="12" t="n">
        <v>45078</v>
      </c>
      <c r="B455" s="9" t="s">
        <v>113</v>
      </c>
      <c r="C455" s="3" t="s">
        <v>107</v>
      </c>
      <c r="D455" s="3" t="n">
        <v>5671666</v>
      </c>
      <c r="E455" s="3" t="s">
        <v>114</v>
      </c>
      <c r="F455" s="3" t="n">
        <f aca="false">IF(C455="848630",0,1)</f>
        <v>1</v>
      </c>
    </row>
    <row r="456" customFormat="false" ht="15" hidden="false" customHeight="false" outlineLevel="0" collapsed="false">
      <c r="A456" s="12" t="n">
        <v>45078</v>
      </c>
      <c r="B456" s="9" t="s">
        <v>113</v>
      </c>
      <c r="C456" s="3" t="s">
        <v>107</v>
      </c>
      <c r="D456" s="3" t="n">
        <v>0</v>
      </c>
      <c r="E456" s="3" t="s">
        <v>114</v>
      </c>
      <c r="F456" s="3" t="n">
        <f aca="false">IF(C456="848630",0,1)</f>
        <v>1</v>
      </c>
    </row>
    <row r="457" customFormat="false" ht="15" hidden="false" customHeight="false" outlineLevel="0" collapsed="false">
      <c r="A457" s="12" t="n">
        <v>45078</v>
      </c>
      <c r="B457" s="9" t="s">
        <v>113</v>
      </c>
      <c r="C457" s="3" t="s">
        <v>107</v>
      </c>
      <c r="D457" s="3" t="n">
        <v>62451994</v>
      </c>
      <c r="E457" s="3" t="s">
        <v>114</v>
      </c>
      <c r="F457" s="3" t="n">
        <f aca="false">IF(C457="848630",0,1)</f>
        <v>1</v>
      </c>
    </row>
    <row r="458" customFormat="false" ht="15" hidden="false" customHeight="false" outlineLevel="0" collapsed="false">
      <c r="A458" s="12" t="n">
        <v>45078</v>
      </c>
      <c r="B458" s="9" t="s">
        <v>113</v>
      </c>
      <c r="C458" s="3" t="s">
        <v>107</v>
      </c>
      <c r="D458" s="3" t="n">
        <v>145883401</v>
      </c>
      <c r="E458" s="3" t="s">
        <v>114</v>
      </c>
      <c r="F458" s="3" t="n">
        <f aca="false">IF(C458="848630",0,1)</f>
        <v>1</v>
      </c>
    </row>
    <row r="459" customFormat="false" ht="15" hidden="false" customHeight="false" outlineLevel="0" collapsed="false">
      <c r="A459" s="12" t="n">
        <v>45078</v>
      </c>
      <c r="B459" s="9" t="s">
        <v>113</v>
      </c>
      <c r="C459" s="3" t="s">
        <v>107</v>
      </c>
      <c r="D459" s="3" t="n">
        <v>94702328</v>
      </c>
      <c r="E459" s="3" t="s">
        <v>114</v>
      </c>
      <c r="F459" s="3" t="n">
        <f aca="false">IF(C459="848630",0,1)</f>
        <v>1</v>
      </c>
    </row>
    <row r="460" customFormat="false" ht="15" hidden="false" customHeight="false" outlineLevel="0" collapsed="false">
      <c r="A460" s="12" t="n">
        <v>45078</v>
      </c>
      <c r="B460" s="9" t="s">
        <v>113</v>
      </c>
      <c r="C460" s="3" t="s">
        <v>107</v>
      </c>
      <c r="D460" s="3" t="n">
        <v>44438173</v>
      </c>
      <c r="E460" s="3" t="s">
        <v>114</v>
      </c>
      <c r="F460" s="3" t="n">
        <f aca="false">IF(C460="848630",0,1)</f>
        <v>1</v>
      </c>
    </row>
    <row r="461" customFormat="false" ht="15" hidden="false" customHeight="false" outlineLevel="0" collapsed="false">
      <c r="A461" s="12" t="n">
        <v>45078</v>
      </c>
      <c r="B461" s="9" t="s">
        <v>113</v>
      </c>
      <c r="C461" s="3" t="s">
        <v>107</v>
      </c>
      <c r="D461" s="3" t="n">
        <v>9095639</v>
      </c>
      <c r="E461" s="3" t="s">
        <v>114</v>
      </c>
      <c r="F461" s="3" t="n">
        <f aca="false">IF(C461="848630",0,1)</f>
        <v>1</v>
      </c>
    </row>
    <row r="462" customFormat="false" ht="15" hidden="false" customHeight="false" outlineLevel="0" collapsed="false">
      <c r="A462" s="12" t="n">
        <v>45078</v>
      </c>
      <c r="B462" s="9" t="s">
        <v>113</v>
      </c>
      <c r="C462" s="3" t="s">
        <v>107</v>
      </c>
      <c r="D462" s="3" t="n">
        <v>130636903</v>
      </c>
      <c r="E462" s="3" t="s">
        <v>114</v>
      </c>
      <c r="F462" s="3" t="n">
        <f aca="false">IF(C462="848630",0,1)</f>
        <v>1</v>
      </c>
    </row>
    <row r="463" customFormat="false" ht="15" hidden="false" customHeight="false" outlineLevel="0" collapsed="false">
      <c r="A463" s="12" t="n">
        <v>45078</v>
      </c>
      <c r="B463" s="9" t="s">
        <v>113</v>
      </c>
      <c r="C463" s="3" t="s">
        <v>112</v>
      </c>
      <c r="D463" s="3" t="n">
        <v>3545300</v>
      </c>
      <c r="E463" s="3" t="s">
        <v>114</v>
      </c>
      <c r="F463" s="3" t="n">
        <f aca="false">IF(C463="848630",0,1)</f>
        <v>0</v>
      </c>
    </row>
    <row r="464" customFormat="false" ht="15" hidden="false" customHeight="false" outlineLevel="0" collapsed="false">
      <c r="A464" s="12" t="n">
        <v>45078</v>
      </c>
      <c r="B464" s="9" t="s">
        <v>113</v>
      </c>
      <c r="C464" s="3" t="s">
        <v>112</v>
      </c>
      <c r="D464" s="3" t="n">
        <v>0</v>
      </c>
      <c r="E464" s="3" t="s">
        <v>114</v>
      </c>
      <c r="F464" s="3" t="n">
        <f aca="false">IF(C464="848630",0,1)</f>
        <v>0</v>
      </c>
    </row>
    <row r="465" customFormat="false" ht="15" hidden="false" customHeight="false" outlineLevel="0" collapsed="false">
      <c r="A465" s="12" t="n">
        <v>45078</v>
      </c>
      <c r="B465" s="9" t="s">
        <v>113</v>
      </c>
      <c r="C465" s="3" t="s">
        <v>112</v>
      </c>
      <c r="D465" s="3" t="n">
        <v>3415275</v>
      </c>
      <c r="E465" s="3" t="s">
        <v>114</v>
      </c>
      <c r="F465" s="3" t="n">
        <f aca="false">IF(C465="848630",0,1)</f>
        <v>0</v>
      </c>
    </row>
    <row r="466" customFormat="false" ht="15" hidden="false" customHeight="false" outlineLevel="0" collapsed="false">
      <c r="A466" s="12" t="n">
        <v>45078</v>
      </c>
      <c r="B466" s="9" t="s">
        <v>113</v>
      </c>
      <c r="C466" s="3" t="s">
        <v>112</v>
      </c>
      <c r="D466" s="3" t="n">
        <v>0</v>
      </c>
      <c r="E466" s="3" t="s">
        <v>114</v>
      </c>
      <c r="F466" s="3" t="n">
        <f aca="false">IF(C466="848630",0,1)</f>
        <v>0</v>
      </c>
    </row>
    <row r="467" customFormat="false" ht="15" hidden="false" customHeight="false" outlineLevel="0" collapsed="false">
      <c r="A467" s="12" t="n">
        <v>45078</v>
      </c>
      <c r="B467" s="9" t="s">
        <v>113</v>
      </c>
      <c r="C467" s="3" t="s">
        <v>112</v>
      </c>
      <c r="D467" s="3" t="n">
        <v>21741970</v>
      </c>
      <c r="E467" s="3" t="s">
        <v>114</v>
      </c>
      <c r="F467" s="3" t="n">
        <f aca="false">IF(C467="848630",0,1)</f>
        <v>0</v>
      </c>
    </row>
    <row r="468" customFormat="false" ht="15" hidden="false" customHeight="false" outlineLevel="0" collapsed="false">
      <c r="A468" s="12" t="n">
        <v>45078</v>
      </c>
      <c r="B468" s="9" t="s">
        <v>113</v>
      </c>
      <c r="C468" s="3" t="s">
        <v>112</v>
      </c>
      <c r="D468" s="3" t="n">
        <v>313242</v>
      </c>
      <c r="E468" s="3" t="s">
        <v>114</v>
      </c>
      <c r="F468" s="3" t="n">
        <f aca="false">IF(C468="848630",0,1)</f>
        <v>0</v>
      </c>
    </row>
    <row r="469" customFormat="false" ht="15" hidden="false" customHeight="false" outlineLevel="0" collapsed="false">
      <c r="A469" s="12" t="n">
        <v>45078</v>
      </c>
      <c r="B469" s="9" t="s">
        <v>113</v>
      </c>
      <c r="C469" s="3" t="s">
        <v>112</v>
      </c>
      <c r="D469" s="3" t="n">
        <v>2629954</v>
      </c>
      <c r="E469" s="3" t="s">
        <v>114</v>
      </c>
      <c r="F469" s="3" t="n">
        <f aca="false">IF(C469="848630",0,1)</f>
        <v>0</v>
      </c>
    </row>
    <row r="470" customFormat="false" ht="15" hidden="false" customHeight="false" outlineLevel="0" collapsed="false">
      <c r="A470" s="12" t="n">
        <v>45078</v>
      </c>
      <c r="B470" s="9" t="s">
        <v>113</v>
      </c>
      <c r="C470" s="3" t="s">
        <v>112</v>
      </c>
      <c r="D470" s="3" t="n">
        <v>14902406</v>
      </c>
      <c r="E470" s="3" t="s">
        <v>114</v>
      </c>
      <c r="F470" s="3" t="n">
        <f aca="false">IF(C470="848630",0,1)</f>
        <v>0</v>
      </c>
    </row>
    <row r="471" customFormat="false" ht="15" hidden="false" customHeight="false" outlineLevel="0" collapsed="false">
      <c r="A471" s="12" t="n">
        <v>45078</v>
      </c>
      <c r="B471" s="9" t="s">
        <v>113</v>
      </c>
      <c r="C471" s="3" t="s">
        <v>108</v>
      </c>
      <c r="D471" s="3" t="n">
        <v>991700</v>
      </c>
      <c r="E471" s="3" t="s">
        <v>114</v>
      </c>
      <c r="F471" s="3" t="n">
        <f aca="false">IF(C471="848630",0,1)</f>
        <v>1</v>
      </c>
    </row>
    <row r="472" customFormat="false" ht="15" hidden="false" customHeight="false" outlineLevel="0" collapsed="false">
      <c r="A472" s="12" t="n">
        <v>45078</v>
      </c>
      <c r="B472" s="9" t="s">
        <v>113</v>
      </c>
      <c r="C472" s="3" t="s">
        <v>108</v>
      </c>
      <c r="D472" s="3" t="n">
        <v>2570581</v>
      </c>
      <c r="E472" s="3" t="s">
        <v>114</v>
      </c>
      <c r="F472" s="3" t="n">
        <f aca="false">IF(C472="848630",0,1)</f>
        <v>1</v>
      </c>
    </row>
    <row r="473" customFormat="false" ht="15" hidden="false" customHeight="false" outlineLevel="0" collapsed="false">
      <c r="A473" s="12" t="n">
        <v>45078</v>
      </c>
      <c r="B473" s="9" t="s">
        <v>113</v>
      </c>
      <c r="C473" s="3" t="s">
        <v>108</v>
      </c>
      <c r="D473" s="3" t="n">
        <v>671747</v>
      </c>
      <c r="E473" s="3" t="s">
        <v>114</v>
      </c>
      <c r="F473" s="3" t="n">
        <f aca="false">IF(C473="848630",0,1)</f>
        <v>1</v>
      </c>
    </row>
    <row r="474" customFormat="false" ht="15" hidden="false" customHeight="false" outlineLevel="0" collapsed="false">
      <c r="A474" s="12" t="n">
        <v>45078</v>
      </c>
      <c r="B474" s="9" t="s">
        <v>113</v>
      </c>
      <c r="C474" s="3" t="s">
        <v>108</v>
      </c>
      <c r="D474" s="3" t="n">
        <v>12551466</v>
      </c>
      <c r="E474" s="3" t="s">
        <v>114</v>
      </c>
      <c r="F474" s="3" t="n">
        <f aca="false">IF(C474="848630",0,1)</f>
        <v>1</v>
      </c>
    </row>
    <row r="475" customFormat="false" ht="15" hidden="false" customHeight="false" outlineLevel="0" collapsed="false">
      <c r="A475" s="12" t="n">
        <v>45078</v>
      </c>
      <c r="B475" s="9" t="s">
        <v>113</v>
      </c>
      <c r="C475" s="3" t="s">
        <v>108</v>
      </c>
      <c r="D475" s="3" t="n">
        <v>13302358</v>
      </c>
      <c r="E475" s="3" t="s">
        <v>114</v>
      </c>
      <c r="F475" s="3" t="n">
        <f aca="false">IF(C475="848630",0,1)</f>
        <v>1</v>
      </c>
    </row>
    <row r="476" customFormat="false" ht="15" hidden="false" customHeight="false" outlineLevel="0" collapsed="false">
      <c r="A476" s="12" t="n">
        <v>45078</v>
      </c>
      <c r="B476" s="9" t="s">
        <v>113</v>
      </c>
      <c r="C476" s="3" t="s">
        <v>108</v>
      </c>
      <c r="D476" s="3" t="n">
        <v>7577091</v>
      </c>
      <c r="E476" s="3" t="s">
        <v>114</v>
      </c>
      <c r="F476" s="3" t="n">
        <f aca="false">IF(C476="848630",0,1)</f>
        <v>1</v>
      </c>
    </row>
    <row r="477" customFormat="false" ht="15" hidden="false" customHeight="false" outlineLevel="0" collapsed="false">
      <c r="A477" s="12" t="n">
        <v>45078</v>
      </c>
      <c r="B477" s="9" t="s">
        <v>113</v>
      </c>
      <c r="C477" s="3" t="s">
        <v>109</v>
      </c>
      <c r="D477" s="3" t="n">
        <v>715575</v>
      </c>
      <c r="E477" s="3" t="s">
        <v>114</v>
      </c>
      <c r="F477" s="3" t="n">
        <f aca="false">IF(C477="848630",0,1)</f>
        <v>1</v>
      </c>
    </row>
    <row r="478" customFormat="false" ht="15" hidden="false" customHeight="false" outlineLevel="0" collapsed="false">
      <c r="A478" s="12" t="n">
        <v>45078</v>
      </c>
      <c r="B478" s="9" t="s">
        <v>113</v>
      </c>
      <c r="C478" s="3" t="s">
        <v>109</v>
      </c>
      <c r="D478" s="3" t="n">
        <v>520146</v>
      </c>
      <c r="E478" s="3" t="s">
        <v>114</v>
      </c>
      <c r="F478" s="3" t="n">
        <f aca="false">IF(C478="848630",0,1)</f>
        <v>1</v>
      </c>
    </row>
    <row r="479" customFormat="false" ht="15" hidden="false" customHeight="false" outlineLevel="0" collapsed="false">
      <c r="A479" s="12" t="n">
        <v>45078</v>
      </c>
      <c r="B479" s="9" t="s">
        <v>113</v>
      </c>
      <c r="C479" s="3" t="s">
        <v>109</v>
      </c>
      <c r="D479" s="3" t="n">
        <v>8820001</v>
      </c>
      <c r="E479" s="3" t="s">
        <v>114</v>
      </c>
      <c r="F479" s="3" t="n">
        <f aca="false">IF(C479="848630",0,1)</f>
        <v>1</v>
      </c>
    </row>
    <row r="480" customFormat="false" ht="15" hidden="false" customHeight="false" outlineLevel="0" collapsed="false">
      <c r="A480" s="12" t="n">
        <v>45078</v>
      </c>
      <c r="B480" s="9" t="s">
        <v>113</v>
      </c>
      <c r="C480" s="3" t="s">
        <v>109</v>
      </c>
      <c r="D480" s="3" t="n">
        <v>79214329</v>
      </c>
      <c r="E480" s="3" t="s">
        <v>114</v>
      </c>
      <c r="F480" s="3" t="n">
        <f aca="false">IF(C480="848630",0,1)</f>
        <v>1</v>
      </c>
    </row>
    <row r="481" customFormat="false" ht="15" hidden="false" customHeight="false" outlineLevel="0" collapsed="false">
      <c r="A481" s="12" t="n">
        <v>45078</v>
      </c>
      <c r="B481" s="9" t="s">
        <v>113</v>
      </c>
      <c r="C481" s="3" t="s">
        <v>110</v>
      </c>
      <c r="D481" s="3" t="n">
        <v>19938780</v>
      </c>
      <c r="E481" s="3" t="s">
        <v>114</v>
      </c>
      <c r="F481" s="3" t="n">
        <f aca="false">IF(C481="848630",0,1)</f>
        <v>1</v>
      </c>
    </row>
    <row r="482" customFormat="false" ht="15" hidden="false" customHeight="false" outlineLevel="0" collapsed="false">
      <c r="A482" s="12" t="n">
        <v>45078</v>
      </c>
      <c r="B482" s="9" t="s">
        <v>113</v>
      </c>
      <c r="C482" s="3" t="s">
        <v>111</v>
      </c>
      <c r="D482" s="3" t="n">
        <v>7274735</v>
      </c>
      <c r="E482" s="3" t="s">
        <v>114</v>
      </c>
      <c r="F482" s="3" t="n">
        <f aca="false">IF(C482="848630",0,1)</f>
        <v>1</v>
      </c>
    </row>
    <row r="483" customFormat="false" ht="15" hidden="false" customHeight="false" outlineLevel="0" collapsed="false">
      <c r="A483" s="12" t="n">
        <v>45108</v>
      </c>
      <c r="B483" s="9" t="s">
        <v>113</v>
      </c>
      <c r="C483" s="3" t="s">
        <v>105</v>
      </c>
      <c r="D483" s="3" t="n">
        <v>110052</v>
      </c>
      <c r="E483" s="3" t="s">
        <v>114</v>
      </c>
      <c r="F483" s="3" t="n">
        <f aca="false">IF(C483="848630",0,1)</f>
        <v>1</v>
      </c>
    </row>
    <row r="484" customFormat="false" ht="15" hidden="false" customHeight="false" outlineLevel="0" collapsed="false">
      <c r="A484" s="12" t="n">
        <v>45108</v>
      </c>
      <c r="B484" s="9" t="s">
        <v>113</v>
      </c>
      <c r="C484" s="3" t="s">
        <v>105</v>
      </c>
      <c r="D484" s="3" t="n">
        <v>39940321</v>
      </c>
      <c r="E484" s="3" t="s">
        <v>114</v>
      </c>
      <c r="F484" s="3" t="n">
        <f aca="false">IF(C484="848630",0,1)</f>
        <v>1</v>
      </c>
    </row>
    <row r="485" customFormat="false" ht="15" hidden="false" customHeight="false" outlineLevel="0" collapsed="false">
      <c r="A485" s="12" t="n">
        <v>45108</v>
      </c>
      <c r="B485" s="9" t="s">
        <v>113</v>
      </c>
      <c r="C485" s="3" t="s">
        <v>105</v>
      </c>
      <c r="D485" s="3" t="n">
        <v>22303773</v>
      </c>
      <c r="E485" s="3" t="s">
        <v>114</v>
      </c>
      <c r="F485" s="3" t="n">
        <f aca="false">IF(C485="848630",0,1)</f>
        <v>1</v>
      </c>
    </row>
    <row r="486" customFormat="false" ht="15" hidden="false" customHeight="false" outlineLevel="0" collapsed="false">
      <c r="A486" s="12" t="n">
        <v>45108</v>
      </c>
      <c r="B486" s="9" t="s">
        <v>113</v>
      </c>
      <c r="C486" s="3" t="s">
        <v>105</v>
      </c>
      <c r="D486" s="3" t="n">
        <v>16130575</v>
      </c>
      <c r="E486" s="3" t="s">
        <v>114</v>
      </c>
      <c r="F486" s="3" t="n">
        <f aca="false">IF(C486="848630",0,1)</f>
        <v>1</v>
      </c>
    </row>
    <row r="487" customFormat="false" ht="15" hidden="false" customHeight="false" outlineLevel="0" collapsed="false">
      <c r="A487" s="12" t="n">
        <v>45108</v>
      </c>
      <c r="B487" s="9" t="s">
        <v>113</v>
      </c>
      <c r="C487" s="3" t="s">
        <v>105</v>
      </c>
      <c r="D487" s="3" t="n">
        <v>13943744</v>
      </c>
      <c r="E487" s="3" t="s">
        <v>114</v>
      </c>
      <c r="F487" s="3" t="n">
        <f aca="false">IF(C487="848630",0,1)</f>
        <v>1</v>
      </c>
    </row>
    <row r="488" customFormat="false" ht="15" hidden="false" customHeight="false" outlineLevel="0" collapsed="false">
      <c r="A488" s="12" t="n">
        <v>45108</v>
      </c>
      <c r="B488" s="9" t="s">
        <v>113</v>
      </c>
      <c r="C488" s="3" t="s">
        <v>107</v>
      </c>
      <c r="D488" s="3" t="n">
        <v>60616312</v>
      </c>
      <c r="E488" s="3" t="s">
        <v>114</v>
      </c>
      <c r="F488" s="3" t="n">
        <f aca="false">IF(C488="848630",0,1)</f>
        <v>1</v>
      </c>
    </row>
    <row r="489" customFormat="false" ht="15" hidden="false" customHeight="false" outlineLevel="0" collapsed="false">
      <c r="A489" s="12" t="n">
        <v>45108</v>
      </c>
      <c r="B489" s="9" t="s">
        <v>113</v>
      </c>
      <c r="C489" s="3" t="s">
        <v>107</v>
      </c>
      <c r="D489" s="3" t="n">
        <v>60554511</v>
      </c>
      <c r="E489" s="3" t="s">
        <v>114</v>
      </c>
      <c r="F489" s="3" t="n">
        <f aca="false">IF(C489="848630",0,1)</f>
        <v>1</v>
      </c>
    </row>
    <row r="490" customFormat="false" ht="15" hidden="false" customHeight="false" outlineLevel="0" collapsed="false">
      <c r="A490" s="12" t="n">
        <v>45108</v>
      </c>
      <c r="B490" s="9" t="s">
        <v>113</v>
      </c>
      <c r="C490" s="3" t="s">
        <v>107</v>
      </c>
      <c r="D490" s="3" t="n">
        <v>1353709</v>
      </c>
      <c r="E490" s="3" t="s">
        <v>114</v>
      </c>
      <c r="F490" s="3" t="n">
        <f aca="false">IF(C490="848630",0,1)</f>
        <v>1</v>
      </c>
    </row>
    <row r="491" customFormat="false" ht="15" hidden="false" customHeight="false" outlineLevel="0" collapsed="false">
      <c r="A491" s="12" t="n">
        <v>45108</v>
      </c>
      <c r="B491" s="9" t="s">
        <v>113</v>
      </c>
      <c r="C491" s="3" t="s">
        <v>107</v>
      </c>
      <c r="D491" s="3" t="n">
        <v>68099</v>
      </c>
      <c r="E491" s="3" t="s">
        <v>114</v>
      </c>
      <c r="F491" s="3" t="n">
        <f aca="false">IF(C491="848630",0,1)</f>
        <v>1</v>
      </c>
    </row>
    <row r="492" customFormat="false" ht="15" hidden="false" customHeight="false" outlineLevel="0" collapsed="false">
      <c r="A492" s="12" t="n">
        <v>45108</v>
      </c>
      <c r="B492" s="9" t="s">
        <v>113</v>
      </c>
      <c r="C492" s="3" t="s">
        <v>107</v>
      </c>
      <c r="D492" s="3" t="n">
        <v>41634623</v>
      </c>
      <c r="E492" s="3" t="s">
        <v>114</v>
      </c>
      <c r="F492" s="3" t="n">
        <f aca="false">IF(C492="848630",0,1)</f>
        <v>1</v>
      </c>
    </row>
    <row r="493" customFormat="false" ht="15" hidden="false" customHeight="false" outlineLevel="0" collapsed="false">
      <c r="A493" s="12" t="n">
        <v>45108</v>
      </c>
      <c r="B493" s="9" t="s">
        <v>113</v>
      </c>
      <c r="C493" s="3" t="s">
        <v>107</v>
      </c>
      <c r="D493" s="3" t="n">
        <v>209371481</v>
      </c>
      <c r="E493" s="3" t="s">
        <v>114</v>
      </c>
      <c r="F493" s="3" t="n">
        <f aca="false">IF(C493="848630",0,1)</f>
        <v>1</v>
      </c>
    </row>
    <row r="494" customFormat="false" ht="15" hidden="false" customHeight="false" outlineLevel="0" collapsed="false">
      <c r="A494" s="12" t="n">
        <v>45108</v>
      </c>
      <c r="B494" s="9" t="s">
        <v>113</v>
      </c>
      <c r="C494" s="3" t="s">
        <v>107</v>
      </c>
      <c r="D494" s="3" t="n">
        <v>176738741</v>
      </c>
      <c r="E494" s="3" t="s">
        <v>114</v>
      </c>
      <c r="F494" s="3" t="n">
        <f aca="false">IF(C494="848630",0,1)</f>
        <v>1</v>
      </c>
    </row>
    <row r="495" customFormat="false" ht="15" hidden="false" customHeight="false" outlineLevel="0" collapsed="false">
      <c r="A495" s="12" t="n">
        <v>45108</v>
      </c>
      <c r="B495" s="9" t="s">
        <v>113</v>
      </c>
      <c r="C495" s="3" t="s">
        <v>107</v>
      </c>
      <c r="D495" s="3" t="n">
        <v>92901991</v>
      </c>
      <c r="E495" s="3" t="s">
        <v>114</v>
      </c>
      <c r="F495" s="3" t="n">
        <f aca="false">IF(C495="848630",0,1)</f>
        <v>1</v>
      </c>
    </row>
    <row r="496" customFormat="false" ht="15" hidden="false" customHeight="false" outlineLevel="0" collapsed="false">
      <c r="A496" s="12" t="n">
        <v>45108</v>
      </c>
      <c r="B496" s="9" t="s">
        <v>113</v>
      </c>
      <c r="C496" s="3" t="s">
        <v>107</v>
      </c>
      <c r="D496" s="3" t="n">
        <v>9073588</v>
      </c>
      <c r="E496" s="3" t="s">
        <v>114</v>
      </c>
      <c r="F496" s="3" t="n">
        <f aca="false">IF(C496="848630",0,1)</f>
        <v>1</v>
      </c>
    </row>
    <row r="497" customFormat="false" ht="15" hidden="false" customHeight="false" outlineLevel="0" collapsed="false">
      <c r="A497" s="12" t="n">
        <v>45108</v>
      </c>
      <c r="B497" s="9" t="s">
        <v>113</v>
      </c>
      <c r="C497" s="3" t="s">
        <v>107</v>
      </c>
      <c r="D497" s="3" t="n">
        <v>170291320</v>
      </c>
      <c r="E497" s="3" t="s">
        <v>114</v>
      </c>
      <c r="F497" s="3" t="n">
        <f aca="false">IF(C497="848630",0,1)</f>
        <v>1</v>
      </c>
    </row>
    <row r="498" customFormat="false" ht="15" hidden="false" customHeight="false" outlineLevel="0" collapsed="false">
      <c r="A498" s="12" t="n">
        <v>45108</v>
      </c>
      <c r="B498" s="9" t="s">
        <v>113</v>
      </c>
      <c r="C498" s="3" t="s">
        <v>112</v>
      </c>
      <c r="D498" s="3" t="n">
        <v>321833</v>
      </c>
      <c r="E498" s="3" t="s">
        <v>114</v>
      </c>
      <c r="F498" s="3" t="n">
        <f aca="false">IF(C498="848630",0,1)</f>
        <v>0</v>
      </c>
    </row>
    <row r="499" customFormat="false" ht="15" hidden="false" customHeight="false" outlineLevel="0" collapsed="false">
      <c r="A499" s="12" t="n">
        <v>45108</v>
      </c>
      <c r="B499" s="9" t="s">
        <v>113</v>
      </c>
      <c r="C499" s="3" t="s">
        <v>112</v>
      </c>
      <c r="D499" s="3" t="n">
        <v>0</v>
      </c>
      <c r="E499" s="3" t="s">
        <v>114</v>
      </c>
      <c r="F499" s="3" t="n">
        <f aca="false">IF(C499="848630",0,1)</f>
        <v>0</v>
      </c>
    </row>
    <row r="500" customFormat="false" ht="15" hidden="false" customHeight="false" outlineLevel="0" collapsed="false">
      <c r="A500" s="12" t="n">
        <v>45108</v>
      </c>
      <c r="B500" s="9" t="s">
        <v>113</v>
      </c>
      <c r="C500" s="3" t="s">
        <v>112</v>
      </c>
      <c r="D500" s="3" t="n">
        <v>0</v>
      </c>
      <c r="E500" s="3" t="s">
        <v>114</v>
      </c>
      <c r="F500" s="3" t="n">
        <f aca="false">IF(C500="848630",0,1)</f>
        <v>0</v>
      </c>
    </row>
    <row r="501" customFormat="false" ht="15" hidden="false" customHeight="false" outlineLevel="0" collapsed="false">
      <c r="A501" s="12" t="n">
        <v>45108</v>
      </c>
      <c r="B501" s="9" t="s">
        <v>113</v>
      </c>
      <c r="C501" s="3" t="s">
        <v>112</v>
      </c>
      <c r="D501" s="3" t="n">
        <v>0</v>
      </c>
      <c r="E501" s="3" t="s">
        <v>114</v>
      </c>
      <c r="F501" s="3" t="n">
        <f aca="false">IF(C501="848630",0,1)</f>
        <v>0</v>
      </c>
    </row>
    <row r="502" customFormat="false" ht="15" hidden="false" customHeight="false" outlineLevel="0" collapsed="false">
      <c r="A502" s="12" t="n">
        <v>45108</v>
      </c>
      <c r="B502" s="9" t="s">
        <v>113</v>
      </c>
      <c r="C502" s="3" t="s">
        <v>112</v>
      </c>
      <c r="D502" s="3" t="n">
        <v>2791519</v>
      </c>
      <c r="E502" s="3" t="s">
        <v>114</v>
      </c>
      <c r="F502" s="3" t="n">
        <f aca="false">IF(C502="848630",0,1)</f>
        <v>0</v>
      </c>
    </row>
    <row r="503" customFormat="false" ht="15" hidden="false" customHeight="false" outlineLevel="0" collapsed="false">
      <c r="A503" s="12" t="n">
        <v>45108</v>
      </c>
      <c r="B503" s="9" t="s">
        <v>113</v>
      </c>
      <c r="C503" s="3" t="s">
        <v>112</v>
      </c>
      <c r="D503" s="3" t="n">
        <v>603631</v>
      </c>
      <c r="E503" s="3" t="s">
        <v>114</v>
      </c>
      <c r="F503" s="3" t="n">
        <f aca="false">IF(C503="848630",0,1)</f>
        <v>0</v>
      </c>
    </row>
    <row r="504" customFormat="false" ht="15" hidden="false" customHeight="false" outlineLevel="0" collapsed="false">
      <c r="A504" s="12" t="n">
        <v>45108</v>
      </c>
      <c r="B504" s="9" t="s">
        <v>113</v>
      </c>
      <c r="C504" s="3" t="s">
        <v>112</v>
      </c>
      <c r="D504" s="3" t="n">
        <v>517172</v>
      </c>
      <c r="E504" s="3" t="s">
        <v>114</v>
      </c>
      <c r="F504" s="3" t="n">
        <f aca="false">IF(C504="848630",0,1)</f>
        <v>0</v>
      </c>
    </row>
    <row r="505" customFormat="false" ht="15" hidden="false" customHeight="false" outlineLevel="0" collapsed="false">
      <c r="A505" s="12" t="n">
        <v>45108</v>
      </c>
      <c r="B505" s="9" t="s">
        <v>113</v>
      </c>
      <c r="C505" s="3" t="s">
        <v>112</v>
      </c>
      <c r="D505" s="3" t="n">
        <v>2496767</v>
      </c>
      <c r="E505" s="3" t="s">
        <v>114</v>
      </c>
      <c r="F505" s="3" t="n">
        <f aca="false">IF(C505="848630",0,1)</f>
        <v>0</v>
      </c>
    </row>
    <row r="506" customFormat="false" ht="15" hidden="false" customHeight="false" outlineLevel="0" collapsed="false">
      <c r="A506" s="12" t="n">
        <v>45108</v>
      </c>
      <c r="B506" s="9" t="s">
        <v>113</v>
      </c>
      <c r="C506" s="3" t="s">
        <v>108</v>
      </c>
      <c r="D506" s="3" t="n">
        <v>0</v>
      </c>
      <c r="E506" s="3" t="s">
        <v>114</v>
      </c>
      <c r="F506" s="3" t="n">
        <f aca="false">IF(C506="848630",0,1)</f>
        <v>1</v>
      </c>
    </row>
    <row r="507" customFormat="false" ht="15" hidden="false" customHeight="false" outlineLevel="0" collapsed="false">
      <c r="A507" s="12" t="n">
        <v>45108</v>
      </c>
      <c r="B507" s="9" t="s">
        <v>113</v>
      </c>
      <c r="C507" s="3" t="s">
        <v>108</v>
      </c>
      <c r="D507" s="3" t="n">
        <v>7102885</v>
      </c>
      <c r="E507" s="3" t="s">
        <v>114</v>
      </c>
      <c r="F507" s="3" t="n">
        <f aca="false">IF(C507="848630",0,1)</f>
        <v>1</v>
      </c>
    </row>
    <row r="508" customFormat="false" ht="15" hidden="false" customHeight="false" outlineLevel="0" collapsed="false">
      <c r="A508" s="12" t="n">
        <v>45108</v>
      </c>
      <c r="B508" s="9" t="s">
        <v>113</v>
      </c>
      <c r="C508" s="3" t="s">
        <v>108</v>
      </c>
      <c r="D508" s="3" t="n">
        <v>1381574</v>
      </c>
      <c r="E508" s="3" t="s">
        <v>114</v>
      </c>
      <c r="F508" s="3" t="n">
        <f aca="false">IF(C508="848630",0,1)</f>
        <v>1</v>
      </c>
    </row>
    <row r="509" customFormat="false" ht="15" hidden="false" customHeight="false" outlineLevel="0" collapsed="false">
      <c r="A509" s="12" t="n">
        <v>45108</v>
      </c>
      <c r="B509" s="9" t="s">
        <v>113</v>
      </c>
      <c r="C509" s="3" t="s">
        <v>108</v>
      </c>
      <c r="D509" s="3" t="n">
        <v>7322478</v>
      </c>
      <c r="E509" s="3" t="s">
        <v>114</v>
      </c>
      <c r="F509" s="3" t="n">
        <f aca="false">IF(C509="848630",0,1)</f>
        <v>1</v>
      </c>
    </row>
    <row r="510" customFormat="false" ht="15" hidden="false" customHeight="false" outlineLevel="0" collapsed="false">
      <c r="A510" s="12" t="n">
        <v>45108</v>
      </c>
      <c r="B510" s="9" t="s">
        <v>113</v>
      </c>
      <c r="C510" s="3" t="s">
        <v>108</v>
      </c>
      <c r="D510" s="3" t="n">
        <v>13656037</v>
      </c>
      <c r="E510" s="3" t="s">
        <v>114</v>
      </c>
      <c r="F510" s="3" t="n">
        <f aca="false">IF(C510="848630",0,1)</f>
        <v>1</v>
      </c>
    </row>
    <row r="511" customFormat="false" ht="15" hidden="false" customHeight="false" outlineLevel="0" collapsed="false">
      <c r="A511" s="12" t="n">
        <v>45108</v>
      </c>
      <c r="B511" s="9" t="s">
        <v>113</v>
      </c>
      <c r="C511" s="3" t="s">
        <v>108</v>
      </c>
      <c r="D511" s="3" t="n">
        <v>12182572</v>
      </c>
      <c r="E511" s="3" t="s">
        <v>114</v>
      </c>
      <c r="F511" s="3" t="n">
        <f aca="false">IF(C511="848630",0,1)</f>
        <v>1</v>
      </c>
    </row>
    <row r="512" customFormat="false" ht="15" hidden="false" customHeight="false" outlineLevel="0" collapsed="false">
      <c r="A512" s="12" t="n">
        <v>45108</v>
      </c>
      <c r="B512" s="9" t="s">
        <v>113</v>
      </c>
      <c r="C512" s="3" t="s">
        <v>109</v>
      </c>
      <c r="D512" s="3" t="n">
        <v>1051600</v>
      </c>
      <c r="E512" s="3" t="s">
        <v>114</v>
      </c>
      <c r="F512" s="3" t="n">
        <f aca="false">IF(C512="848630",0,1)</f>
        <v>1</v>
      </c>
    </row>
    <row r="513" customFormat="false" ht="15" hidden="false" customHeight="false" outlineLevel="0" collapsed="false">
      <c r="A513" s="12" t="n">
        <v>45108</v>
      </c>
      <c r="B513" s="9" t="s">
        <v>113</v>
      </c>
      <c r="C513" s="3" t="s">
        <v>109</v>
      </c>
      <c r="D513" s="3" t="n">
        <v>569297</v>
      </c>
      <c r="E513" s="3" t="s">
        <v>114</v>
      </c>
      <c r="F513" s="3" t="n">
        <f aca="false">IF(C513="848630",0,1)</f>
        <v>1</v>
      </c>
    </row>
    <row r="514" customFormat="false" ht="15" hidden="false" customHeight="false" outlineLevel="0" collapsed="false">
      <c r="A514" s="12" t="n">
        <v>45108</v>
      </c>
      <c r="B514" s="9" t="s">
        <v>113</v>
      </c>
      <c r="C514" s="3" t="s">
        <v>109</v>
      </c>
      <c r="D514" s="3" t="n">
        <v>5435686</v>
      </c>
      <c r="E514" s="3" t="s">
        <v>114</v>
      </c>
      <c r="F514" s="3" t="n">
        <f aca="false">IF(C514="848630",0,1)</f>
        <v>1</v>
      </c>
    </row>
    <row r="515" customFormat="false" ht="15" hidden="false" customHeight="false" outlineLevel="0" collapsed="false">
      <c r="A515" s="12" t="n">
        <v>45108</v>
      </c>
      <c r="B515" s="9" t="s">
        <v>113</v>
      </c>
      <c r="C515" s="3" t="s">
        <v>109</v>
      </c>
      <c r="D515" s="3" t="n">
        <v>69488754</v>
      </c>
      <c r="E515" s="3" t="s">
        <v>114</v>
      </c>
      <c r="F515" s="3" t="n">
        <f aca="false">IF(C515="848630",0,1)</f>
        <v>1</v>
      </c>
    </row>
    <row r="516" customFormat="false" ht="15" hidden="false" customHeight="false" outlineLevel="0" collapsed="false">
      <c r="A516" s="12" t="n">
        <v>45108</v>
      </c>
      <c r="B516" s="9" t="s">
        <v>113</v>
      </c>
      <c r="C516" s="3" t="s">
        <v>110</v>
      </c>
      <c r="D516" s="3" t="n">
        <v>35295898</v>
      </c>
      <c r="E516" s="3" t="s">
        <v>114</v>
      </c>
      <c r="F516" s="3" t="n">
        <f aca="false">IF(C516="848630",0,1)</f>
        <v>1</v>
      </c>
    </row>
    <row r="517" customFormat="false" ht="15" hidden="false" customHeight="false" outlineLevel="0" collapsed="false">
      <c r="A517" s="12" t="n">
        <v>45108</v>
      </c>
      <c r="B517" s="9" t="s">
        <v>113</v>
      </c>
      <c r="C517" s="3" t="s">
        <v>111</v>
      </c>
      <c r="D517" s="3" t="n">
        <v>9715858</v>
      </c>
      <c r="E517" s="3" t="s">
        <v>114</v>
      </c>
      <c r="F517" s="3" t="n">
        <f aca="false">IF(C517="848630",0,1)</f>
        <v>1</v>
      </c>
    </row>
    <row r="518" customFormat="false" ht="15" hidden="false" customHeight="false" outlineLevel="0" collapsed="false">
      <c r="A518" s="12" t="n">
        <v>45139</v>
      </c>
      <c r="B518" s="9" t="s">
        <v>113</v>
      </c>
      <c r="C518" s="3" t="s">
        <v>105</v>
      </c>
      <c r="D518" s="3" t="n">
        <v>0</v>
      </c>
      <c r="E518" s="3" t="s">
        <v>114</v>
      </c>
      <c r="F518" s="3" t="n">
        <f aca="false">IF(C518="848630",0,1)</f>
        <v>1</v>
      </c>
    </row>
    <row r="519" customFormat="false" ht="15" hidden="false" customHeight="false" outlineLevel="0" collapsed="false">
      <c r="A519" s="12" t="n">
        <v>45139</v>
      </c>
      <c r="B519" s="9" t="s">
        <v>113</v>
      </c>
      <c r="C519" s="3" t="s">
        <v>105</v>
      </c>
      <c r="D519" s="3" t="n">
        <v>35065903</v>
      </c>
      <c r="E519" s="3" t="s">
        <v>114</v>
      </c>
      <c r="F519" s="3" t="n">
        <f aca="false">IF(C519="848630",0,1)</f>
        <v>1</v>
      </c>
    </row>
    <row r="520" customFormat="false" ht="15" hidden="false" customHeight="false" outlineLevel="0" collapsed="false">
      <c r="A520" s="12" t="n">
        <v>45139</v>
      </c>
      <c r="B520" s="9" t="s">
        <v>113</v>
      </c>
      <c r="C520" s="3" t="s">
        <v>105</v>
      </c>
      <c r="D520" s="3" t="n">
        <v>19390457</v>
      </c>
      <c r="E520" s="3" t="s">
        <v>114</v>
      </c>
      <c r="F520" s="3" t="n">
        <f aca="false">IF(C520="848630",0,1)</f>
        <v>1</v>
      </c>
    </row>
    <row r="521" customFormat="false" ht="15" hidden="false" customHeight="false" outlineLevel="0" collapsed="false">
      <c r="A521" s="12" t="n">
        <v>45139</v>
      </c>
      <c r="B521" s="9" t="s">
        <v>113</v>
      </c>
      <c r="C521" s="3" t="s">
        <v>105</v>
      </c>
      <c r="D521" s="3" t="n">
        <v>24588946</v>
      </c>
      <c r="E521" s="3" t="s">
        <v>114</v>
      </c>
      <c r="F521" s="3" t="n">
        <f aca="false">IF(C521="848630",0,1)</f>
        <v>1</v>
      </c>
    </row>
    <row r="522" customFormat="false" ht="15" hidden="false" customHeight="false" outlineLevel="0" collapsed="false">
      <c r="A522" s="12" t="n">
        <v>45139</v>
      </c>
      <c r="B522" s="9" t="s">
        <v>113</v>
      </c>
      <c r="C522" s="3" t="s">
        <v>105</v>
      </c>
      <c r="D522" s="3" t="n">
        <v>14893153</v>
      </c>
      <c r="E522" s="3" t="s">
        <v>114</v>
      </c>
      <c r="F522" s="3" t="n">
        <f aca="false">IF(C522="848630",0,1)</f>
        <v>1</v>
      </c>
    </row>
    <row r="523" customFormat="false" ht="15" hidden="false" customHeight="false" outlineLevel="0" collapsed="false">
      <c r="A523" s="12" t="n">
        <v>45139</v>
      </c>
      <c r="B523" s="9" t="s">
        <v>113</v>
      </c>
      <c r="C523" s="3" t="s">
        <v>107</v>
      </c>
      <c r="D523" s="3" t="n">
        <v>96211467</v>
      </c>
      <c r="E523" s="3" t="s">
        <v>114</v>
      </c>
      <c r="F523" s="3" t="n">
        <f aca="false">IF(C523="848630",0,1)</f>
        <v>1</v>
      </c>
    </row>
    <row r="524" customFormat="false" ht="15" hidden="false" customHeight="false" outlineLevel="0" collapsed="false">
      <c r="A524" s="12" t="n">
        <v>45139</v>
      </c>
      <c r="B524" s="9" t="s">
        <v>113</v>
      </c>
      <c r="C524" s="3" t="s">
        <v>107</v>
      </c>
      <c r="D524" s="3" t="n">
        <v>16779091</v>
      </c>
      <c r="E524" s="3" t="s">
        <v>114</v>
      </c>
      <c r="F524" s="3" t="n">
        <f aca="false">IF(C524="848630",0,1)</f>
        <v>1</v>
      </c>
    </row>
    <row r="525" customFormat="false" ht="15" hidden="false" customHeight="false" outlineLevel="0" collapsed="false">
      <c r="A525" s="12" t="n">
        <v>45139</v>
      </c>
      <c r="B525" s="9" t="s">
        <v>113</v>
      </c>
      <c r="C525" s="3" t="s">
        <v>107</v>
      </c>
      <c r="D525" s="3" t="n">
        <v>2412714</v>
      </c>
      <c r="E525" s="3" t="s">
        <v>114</v>
      </c>
      <c r="F525" s="3" t="n">
        <f aca="false">IF(C525="848630",0,1)</f>
        <v>1</v>
      </c>
    </row>
    <row r="526" customFormat="false" ht="15" hidden="false" customHeight="false" outlineLevel="0" collapsed="false">
      <c r="A526" s="12" t="n">
        <v>45139</v>
      </c>
      <c r="B526" s="9" t="s">
        <v>113</v>
      </c>
      <c r="C526" s="3" t="s">
        <v>107</v>
      </c>
      <c r="D526" s="3" t="n">
        <v>70902</v>
      </c>
      <c r="E526" s="3" t="s">
        <v>114</v>
      </c>
      <c r="F526" s="3" t="n">
        <f aca="false">IF(C526="848630",0,1)</f>
        <v>1</v>
      </c>
    </row>
    <row r="527" customFormat="false" ht="15" hidden="false" customHeight="false" outlineLevel="0" collapsed="false">
      <c r="A527" s="12" t="n">
        <v>45139</v>
      </c>
      <c r="B527" s="9" t="s">
        <v>113</v>
      </c>
      <c r="C527" s="3" t="s">
        <v>107</v>
      </c>
      <c r="D527" s="3" t="n">
        <v>21701269</v>
      </c>
      <c r="E527" s="3" t="s">
        <v>114</v>
      </c>
      <c r="F527" s="3" t="n">
        <f aca="false">IF(C527="848630",0,1)</f>
        <v>1</v>
      </c>
    </row>
    <row r="528" customFormat="false" ht="15" hidden="false" customHeight="false" outlineLevel="0" collapsed="false">
      <c r="A528" s="12" t="n">
        <v>45139</v>
      </c>
      <c r="B528" s="9" t="s">
        <v>113</v>
      </c>
      <c r="C528" s="3" t="s">
        <v>107</v>
      </c>
      <c r="D528" s="3" t="n">
        <v>51266413</v>
      </c>
      <c r="E528" s="3" t="s">
        <v>114</v>
      </c>
      <c r="F528" s="3" t="n">
        <f aca="false">IF(C528="848630",0,1)</f>
        <v>1</v>
      </c>
    </row>
    <row r="529" customFormat="false" ht="15" hidden="false" customHeight="false" outlineLevel="0" collapsed="false">
      <c r="A529" s="12" t="n">
        <v>45139</v>
      </c>
      <c r="B529" s="9" t="s">
        <v>113</v>
      </c>
      <c r="C529" s="3" t="s">
        <v>107</v>
      </c>
      <c r="D529" s="3" t="n">
        <v>47294840</v>
      </c>
      <c r="E529" s="3" t="s">
        <v>114</v>
      </c>
      <c r="F529" s="3" t="n">
        <f aca="false">IF(C529="848630",0,1)</f>
        <v>1</v>
      </c>
    </row>
    <row r="530" customFormat="false" ht="15" hidden="false" customHeight="false" outlineLevel="0" collapsed="false">
      <c r="A530" s="12" t="n">
        <v>45139</v>
      </c>
      <c r="B530" s="9" t="s">
        <v>113</v>
      </c>
      <c r="C530" s="3" t="s">
        <v>107</v>
      </c>
      <c r="D530" s="3" t="n">
        <v>18773132</v>
      </c>
      <c r="E530" s="3" t="s">
        <v>114</v>
      </c>
      <c r="F530" s="3" t="n">
        <f aca="false">IF(C530="848630",0,1)</f>
        <v>1</v>
      </c>
    </row>
    <row r="531" customFormat="false" ht="15" hidden="false" customHeight="false" outlineLevel="0" collapsed="false">
      <c r="A531" s="12" t="n">
        <v>45139</v>
      </c>
      <c r="B531" s="9" t="s">
        <v>113</v>
      </c>
      <c r="C531" s="3" t="s">
        <v>107</v>
      </c>
      <c r="D531" s="3" t="n">
        <v>15494850</v>
      </c>
      <c r="E531" s="3" t="s">
        <v>114</v>
      </c>
      <c r="F531" s="3" t="n">
        <f aca="false">IF(C531="848630",0,1)</f>
        <v>1</v>
      </c>
    </row>
    <row r="532" customFormat="false" ht="15" hidden="false" customHeight="false" outlineLevel="0" collapsed="false">
      <c r="A532" s="12" t="n">
        <v>45139</v>
      </c>
      <c r="B532" s="9" t="s">
        <v>113</v>
      </c>
      <c r="C532" s="3" t="s">
        <v>107</v>
      </c>
      <c r="D532" s="3" t="n">
        <v>262958010</v>
      </c>
      <c r="E532" s="3" t="s">
        <v>114</v>
      </c>
      <c r="F532" s="3" t="n">
        <f aca="false">IF(C532="848630",0,1)</f>
        <v>1</v>
      </c>
    </row>
    <row r="533" customFormat="false" ht="15" hidden="false" customHeight="false" outlineLevel="0" collapsed="false">
      <c r="A533" s="12" t="n">
        <v>45139</v>
      </c>
      <c r="B533" s="9" t="s">
        <v>113</v>
      </c>
      <c r="C533" s="3" t="s">
        <v>112</v>
      </c>
      <c r="D533" s="3" t="n">
        <v>389012</v>
      </c>
      <c r="E533" s="3" t="s">
        <v>114</v>
      </c>
      <c r="F533" s="3" t="n">
        <f aca="false">IF(C533="848630",0,1)</f>
        <v>0</v>
      </c>
    </row>
    <row r="534" customFormat="false" ht="15" hidden="false" customHeight="false" outlineLevel="0" collapsed="false">
      <c r="A534" s="12" t="n">
        <v>45139</v>
      </c>
      <c r="B534" s="9" t="s">
        <v>113</v>
      </c>
      <c r="C534" s="3" t="s">
        <v>112</v>
      </c>
      <c r="D534" s="3" t="n">
        <v>0</v>
      </c>
      <c r="E534" s="3" t="s">
        <v>114</v>
      </c>
      <c r="F534" s="3" t="n">
        <f aca="false">IF(C534="848630",0,1)</f>
        <v>0</v>
      </c>
    </row>
    <row r="535" customFormat="false" ht="15" hidden="false" customHeight="false" outlineLevel="0" collapsed="false">
      <c r="A535" s="12" t="n">
        <v>45139</v>
      </c>
      <c r="B535" s="9" t="s">
        <v>113</v>
      </c>
      <c r="C535" s="3" t="s">
        <v>112</v>
      </c>
      <c r="D535" s="3" t="n">
        <v>50000</v>
      </c>
      <c r="E535" s="3" t="s">
        <v>114</v>
      </c>
      <c r="F535" s="3" t="n">
        <f aca="false">IF(C535="848630",0,1)</f>
        <v>0</v>
      </c>
    </row>
    <row r="536" customFormat="false" ht="15" hidden="false" customHeight="false" outlineLevel="0" collapsed="false">
      <c r="A536" s="12" t="n">
        <v>45139</v>
      </c>
      <c r="B536" s="9" t="s">
        <v>113</v>
      </c>
      <c r="C536" s="3" t="s">
        <v>112</v>
      </c>
      <c r="D536" s="3" t="n">
        <v>20953070</v>
      </c>
      <c r="E536" s="3" t="s">
        <v>114</v>
      </c>
      <c r="F536" s="3" t="n">
        <f aca="false">IF(C536="848630",0,1)</f>
        <v>0</v>
      </c>
    </row>
    <row r="537" customFormat="false" ht="15" hidden="false" customHeight="false" outlineLevel="0" collapsed="false">
      <c r="A537" s="12" t="n">
        <v>45139</v>
      </c>
      <c r="B537" s="9" t="s">
        <v>113</v>
      </c>
      <c r="C537" s="3" t="s">
        <v>112</v>
      </c>
      <c r="D537" s="3" t="n">
        <v>1125750</v>
      </c>
      <c r="E537" s="3" t="s">
        <v>114</v>
      </c>
      <c r="F537" s="3" t="n">
        <f aca="false">IF(C537="848630",0,1)</f>
        <v>0</v>
      </c>
    </row>
    <row r="538" customFormat="false" ht="15" hidden="false" customHeight="false" outlineLevel="0" collapsed="false">
      <c r="A538" s="12" t="n">
        <v>45139</v>
      </c>
      <c r="B538" s="9" t="s">
        <v>113</v>
      </c>
      <c r="C538" s="3" t="s">
        <v>112</v>
      </c>
      <c r="D538" s="3" t="n">
        <v>35806</v>
      </c>
      <c r="E538" s="3" t="s">
        <v>114</v>
      </c>
      <c r="F538" s="3" t="n">
        <f aca="false">IF(C538="848630",0,1)</f>
        <v>0</v>
      </c>
    </row>
    <row r="539" customFormat="false" ht="15" hidden="false" customHeight="false" outlineLevel="0" collapsed="false">
      <c r="A539" s="12" t="n">
        <v>45139</v>
      </c>
      <c r="B539" s="9" t="s">
        <v>113</v>
      </c>
      <c r="C539" s="3" t="s">
        <v>112</v>
      </c>
      <c r="D539" s="3" t="n">
        <v>34694</v>
      </c>
      <c r="E539" s="3" t="s">
        <v>114</v>
      </c>
      <c r="F539" s="3" t="n">
        <f aca="false">IF(C539="848630",0,1)</f>
        <v>0</v>
      </c>
    </row>
    <row r="540" customFormat="false" ht="15" hidden="false" customHeight="false" outlineLevel="0" collapsed="false">
      <c r="A540" s="12" t="n">
        <v>45139</v>
      </c>
      <c r="B540" s="9" t="s">
        <v>113</v>
      </c>
      <c r="C540" s="3" t="s">
        <v>112</v>
      </c>
      <c r="D540" s="3" t="n">
        <v>5186854</v>
      </c>
      <c r="E540" s="3" t="s">
        <v>114</v>
      </c>
      <c r="F540" s="3" t="n">
        <f aca="false">IF(C540="848630",0,1)</f>
        <v>0</v>
      </c>
    </row>
    <row r="541" customFormat="false" ht="15" hidden="false" customHeight="false" outlineLevel="0" collapsed="false">
      <c r="A541" s="12" t="n">
        <v>45139</v>
      </c>
      <c r="B541" s="9" t="s">
        <v>113</v>
      </c>
      <c r="C541" s="3" t="s">
        <v>108</v>
      </c>
      <c r="D541" s="3" t="n">
        <v>42786370</v>
      </c>
      <c r="E541" s="3" t="s">
        <v>114</v>
      </c>
      <c r="F541" s="3" t="n">
        <f aca="false">IF(C541="848630",0,1)</f>
        <v>1</v>
      </c>
    </row>
    <row r="542" customFormat="false" ht="15" hidden="false" customHeight="false" outlineLevel="0" collapsed="false">
      <c r="A542" s="12" t="n">
        <v>45139</v>
      </c>
      <c r="B542" s="9" t="s">
        <v>113</v>
      </c>
      <c r="C542" s="3" t="s">
        <v>108</v>
      </c>
      <c r="D542" s="3" t="n">
        <v>2442843</v>
      </c>
      <c r="E542" s="3" t="s">
        <v>114</v>
      </c>
      <c r="F542" s="3" t="n">
        <f aca="false">IF(C542="848630",0,1)</f>
        <v>1</v>
      </c>
    </row>
    <row r="543" customFormat="false" ht="15" hidden="false" customHeight="false" outlineLevel="0" collapsed="false">
      <c r="A543" s="12" t="n">
        <v>45139</v>
      </c>
      <c r="B543" s="9" t="s">
        <v>113</v>
      </c>
      <c r="C543" s="3" t="s">
        <v>108</v>
      </c>
      <c r="D543" s="3" t="n">
        <v>1408426</v>
      </c>
      <c r="E543" s="3" t="s">
        <v>114</v>
      </c>
      <c r="F543" s="3" t="n">
        <f aca="false">IF(C543="848630",0,1)</f>
        <v>1</v>
      </c>
    </row>
    <row r="544" customFormat="false" ht="15" hidden="false" customHeight="false" outlineLevel="0" collapsed="false">
      <c r="A544" s="12" t="n">
        <v>45139</v>
      </c>
      <c r="B544" s="9" t="s">
        <v>113</v>
      </c>
      <c r="C544" s="3" t="s">
        <v>108</v>
      </c>
      <c r="D544" s="3" t="n">
        <v>24980484</v>
      </c>
      <c r="E544" s="3" t="s">
        <v>114</v>
      </c>
      <c r="F544" s="3" t="n">
        <f aca="false">IF(C544="848630",0,1)</f>
        <v>1</v>
      </c>
    </row>
    <row r="545" customFormat="false" ht="15" hidden="false" customHeight="false" outlineLevel="0" collapsed="false">
      <c r="A545" s="12" t="n">
        <v>45139</v>
      </c>
      <c r="B545" s="9" t="s">
        <v>113</v>
      </c>
      <c r="C545" s="3" t="s">
        <v>108</v>
      </c>
      <c r="D545" s="3" t="n">
        <v>14767034</v>
      </c>
      <c r="E545" s="3" t="s">
        <v>114</v>
      </c>
      <c r="F545" s="3" t="n">
        <f aca="false">IF(C545="848630",0,1)</f>
        <v>1</v>
      </c>
    </row>
    <row r="546" customFormat="false" ht="15" hidden="false" customHeight="false" outlineLevel="0" collapsed="false">
      <c r="A546" s="12" t="n">
        <v>45139</v>
      </c>
      <c r="B546" s="9" t="s">
        <v>113</v>
      </c>
      <c r="C546" s="3" t="s">
        <v>108</v>
      </c>
      <c r="D546" s="3" t="n">
        <v>8147240</v>
      </c>
      <c r="E546" s="3" t="s">
        <v>114</v>
      </c>
      <c r="F546" s="3" t="n">
        <f aca="false">IF(C546="848630",0,1)</f>
        <v>1</v>
      </c>
    </row>
    <row r="547" customFormat="false" ht="15" hidden="false" customHeight="false" outlineLevel="0" collapsed="false">
      <c r="A547" s="12" t="n">
        <v>45139</v>
      </c>
      <c r="B547" s="9" t="s">
        <v>113</v>
      </c>
      <c r="C547" s="3" t="s">
        <v>109</v>
      </c>
      <c r="D547" s="3" t="n">
        <v>2095049</v>
      </c>
      <c r="E547" s="3" t="s">
        <v>114</v>
      </c>
      <c r="F547" s="3" t="n">
        <f aca="false">IF(C547="848630",0,1)</f>
        <v>1</v>
      </c>
    </row>
    <row r="548" customFormat="false" ht="15" hidden="false" customHeight="false" outlineLevel="0" collapsed="false">
      <c r="A548" s="12" t="n">
        <v>45139</v>
      </c>
      <c r="B548" s="9" t="s">
        <v>113</v>
      </c>
      <c r="C548" s="3" t="s">
        <v>109</v>
      </c>
      <c r="D548" s="3" t="n">
        <v>376267</v>
      </c>
      <c r="E548" s="3" t="s">
        <v>114</v>
      </c>
      <c r="F548" s="3" t="n">
        <f aca="false">IF(C548="848630",0,1)</f>
        <v>1</v>
      </c>
    </row>
    <row r="549" customFormat="false" ht="15" hidden="false" customHeight="false" outlineLevel="0" collapsed="false">
      <c r="A549" s="12" t="n">
        <v>45139</v>
      </c>
      <c r="B549" s="9" t="s">
        <v>113</v>
      </c>
      <c r="C549" s="3" t="s">
        <v>109</v>
      </c>
      <c r="D549" s="3" t="n">
        <v>7113974</v>
      </c>
      <c r="E549" s="3" t="s">
        <v>114</v>
      </c>
      <c r="F549" s="3" t="n">
        <f aca="false">IF(C549="848630",0,1)</f>
        <v>1</v>
      </c>
    </row>
    <row r="550" customFormat="false" ht="15" hidden="false" customHeight="false" outlineLevel="0" collapsed="false">
      <c r="A550" s="12" t="n">
        <v>45139</v>
      </c>
      <c r="B550" s="9" t="s">
        <v>113</v>
      </c>
      <c r="C550" s="3" t="s">
        <v>109</v>
      </c>
      <c r="D550" s="3" t="n">
        <v>52643957</v>
      </c>
      <c r="E550" s="3" t="s">
        <v>114</v>
      </c>
      <c r="F550" s="3" t="n">
        <f aca="false">IF(C550="848630",0,1)</f>
        <v>1</v>
      </c>
    </row>
    <row r="551" customFormat="false" ht="15" hidden="false" customHeight="false" outlineLevel="0" collapsed="false">
      <c r="A551" s="12" t="n">
        <v>45139</v>
      </c>
      <c r="B551" s="9" t="s">
        <v>113</v>
      </c>
      <c r="C551" s="3" t="s">
        <v>110</v>
      </c>
      <c r="D551" s="3" t="n">
        <v>18128962</v>
      </c>
      <c r="E551" s="3" t="s">
        <v>114</v>
      </c>
      <c r="F551" s="3" t="n">
        <f aca="false">IF(C551="848630",0,1)</f>
        <v>1</v>
      </c>
    </row>
    <row r="552" customFormat="false" ht="15" hidden="false" customHeight="false" outlineLevel="0" collapsed="false">
      <c r="A552" s="12" t="n">
        <v>45139</v>
      </c>
      <c r="B552" s="9" t="s">
        <v>113</v>
      </c>
      <c r="C552" s="3" t="s">
        <v>111</v>
      </c>
      <c r="D552" s="3" t="n">
        <v>22922173</v>
      </c>
      <c r="E552" s="3" t="s">
        <v>114</v>
      </c>
      <c r="F552" s="3" t="n">
        <f aca="false">IF(C552="848630",0,1)</f>
        <v>1</v>
      </c>
    </row>
    <row r="553" customFormat="false" ht="15" hidden="false" customHeight="false" outlineLevel="0" collapsed="false">
      <c r="A553" s="12" t="n">
        <v>45170</v>
      </c>
      <c r="B553" s="9" t="s">
        <v>113</v>
      </c>
      <c r="C553" s="3" t="s">
        <v>105</v>
      </c>
      <c r="D553" s="3" t="n">
        <v>2112</v>
      </c>
      <c r="E553" s="3" t="s">
        <v>114</v>
      </c>
      <c r="F553" s="3" t="n">
        <f aca="false">IF(C553="848630",0,1)</f>
        <v>1</v>
      </c>
    </row>
    <row r="554" customFormat="false" ht="15" hidden="false" customHeight="false" outlineLevel="0" collapsed="false">
      <c r="A554" s="12" t="n">
        <v>45170</v>
      </c>
      <c r="B554" s="9" t="s">
        <v>113</v>
      </c>
      <c r="C554" s="3" t="s">
        <v>105</v>
      </c>
      <c r="D554" s="3" t="n">
        <v>29086491</v>
      </c>
      <c r="E554" s="3" t="s">
        <v>114</v>
      </c>
      <c r="F554" s="3" t="n">
        <f aca="false">IF(C554="848630",0,1)</f>
        <v>1</v>
      </c>
    </row>
    <row r="555" customFormat="false" ht="15" hidden="false" customHeight="false" outlineLevel="0" collapsed="false">
      <c r="A555" s="12" t="n">
        <v>45170</v>
      </c>
      <c r="B555" s="9" t="s">
        <v>113</v>
      </c>
      <c r="C555" s="3" t="s">
        <v>105</v>
      </c>
      <c r="D555" s="3" t="n">
        <v>26722194</v>
      </c>
      <c r="E555" s="3" t="s">
        <v>114</v>
      </c>
      <c r="F555" s="3" t="n">
        <f aca="false">IF(C555="848630",0,1)</f>
        <v>1</v>
      </c>
    </row>
    <row r="556" customFormat="false" ht="15" hidden="false" customHeight="false" outlineLevel="0" collapsed="false">
      <c r="A556" s="12" t="n">
        <v>45170</v>
      </c>
      <c r="B556" s="9" t="s">
        <v>113</v>
      </c>
      <c r="C556" s="3" t="s">
        <v>105</v>
      </c>
      <c r="D556" s="3" t="n">
        <v>21826931</v>
      </c>
      <c r="E556" s="3" t="s">
        <v>114</v>
      </c>
      <c r="F556" s="3" t="n">
        <f aca="false">IF(C556="848630",0,1)</f>
        <v>1</v>
      </c>
    </row>
    <row r="557" customFormat="false" ht="15" hidden="false" customHeight="false" outlineLevel="0" collapsed="false">
      <c r="A557" s="12" t="n">
        <v>45170</v>
      </c>
      <c r="B557" s="9" t="s">
        <v>113</v>
      </c>
      <c r="C557" s="3" t="s">
        <v>105</v>
      </c>
      <c r="D557" s="3" t="n">
        <v>27287322</v>
      </c>
      <c r="E557" s="3" t="s">
        <v>114</v>
      </c>
      <c r="F557" s="3" t="n">
        <f aca="false">IF(C557="848630",0,1)</f>
        <v>1</v>
      </c>
    </row>
    <row r="558" customFormat="false" ht="15" hidden="false" customHeight="false" outlineLevel="0" collapsed="false">
      <c r="A558" s="12" t="n">
        <v>45170</v>
      </c>
      <c r="B558" s="9" t="s">
        <v>113</v>
      </c>
      <c r="C558" s="3" t="s">
        <v>107</v>
      </c>
      <c r="D558" s="3" t="n">
        <v>98004344</v>
      </c>
      <c r="E558" s="3" t="s">
        <v>114</v>
      </c>
      <c r="F558" s="3" t="n">
        <f aca="false">IF(C558="848630",0,1)</f>
        <v>1</v>
      </c>
    </row>
    <row r="559" customFormat="false" ht="15" hidden="false" customHeight="false" outlineLevel="0" collapsed="false">
      <c r="A559" s="12" t="n">
        <v>45170</v>
      </c>
      <c r="B559" s="9" t="s">
        <v>113</v>
      </c>
      <c r="C559" s="3" t="s">
        <v>107</v>
      </c>
      <c r="D559" s="3" t="n">
        <v>70075579</v>
      </c>
      <c r="E559" s="3" t="s">
        <v>114</v>
      </c>
      <c r="F559" s="3" t="n">
        <f aca="false">IF(C559="848630",0,1)</f>
        <v>1</v>
      </c>
    </row>
    <row r="560" customFormat="false" ht="15" hidden="false" customHeight="false" outlineLevel="0" collapsed="false">
      <c r="A560" s="12" t="n">
        <v>45170</v>
      </c>
      <c r="B560" s="9" t="s">
        <v>113</v>
      </c>
      <c r="C560" s="3" t="s">
        <v>107</v>
      </c>
      <c r="D560" s="3" t="n">
        <v>2007113</v>
      </c>
      <c r="E560" s="3" t="s">
        <v>114</v>
      </c>
      <c r="F560" s="3" t="n">
        <f aca="false">IF(C560="848630",0,1)</f>
        <v>1</v>
      </c>
    </row>
    <row r="561" customFormat="false" ht="15" hidden="false" customHeight="false" outlineLevel="0" collapsed="false">
      <c r="A561" s="12" t="n">
        <v>45170</v>
      </c>
      <c r="B561" s="9" t="s">
        <v>113</v>
      </c>
      <c r="C561" s="3" t="s">
        <v>107</v>
      </c>
      <c r="D561" s="3" t="n">
        <v>795423</v>
      </c>
      <c r="E561" s="3" t="s">
        <v>114</v>
      </c>
      <c r="F561" s="3" t="n">
        <f aca="false">IF(C561="848630",0,1)</f>
        <v>1</v>
      </c>
    </row>
    <row r="562" customFormat="false" ht="15" hidden="false" customHeight="false" outlineLevel="0" collapsed="false">
      <c r="A562" s="12" t="n">
        <v>45170</v>
      </c>
      <c r="B562" s="9" t="s">
        <v>113</v>
      </c>
      <c r="C562" s="3" t="s">
        <v>107</v>
      </c>
      <c r="D562" s="3" t="n">
        <v>34241521</v>
      </c>
      <c r="E562" s="3" t="s">
        <v>114</v>
      </c>
      <c r="F562" s="3" t="n">
        <f aca="false">IF(C562="848630",0,1)</f>
        <v>1</v>
      </c>
    </row>
    <row r="563" customFormat="false" ht="15" hidden="false" customHeight="false" outlineLevel="0" collapsed="false">
      <c r="A563" s="12" t="n">
        <v>45170</v>
      </c>
      <c r="B563" s="9" t="s">
        <v>113</v>
      </c>
      <c r="C563" s="3" t="s">
        <v>107</v>
      </c>
      <c r="D563" s="3" t="n">
        <v>70125507</v>
      </c>
      <c r="E563" s="3" t="s">
        <v>114</v>
      </c>
      <c r="F563" s="3" t="n">
        <f aca="false">IF(C563="848630",0,1)</f>
        <v>1</v>
      </c>
    </row>
    <row r="564" customFormat="false" ht="15" hidden="false" customHeight="false" outlineLevel="0" collapsed="false">
      <c r="A564" s="12" t="n">
        <v>45170</v>
      </c>
      <c r="B564" s="9" t="s">
        <v>113</v>
      </c>
      <c r="C564" s="3" t="s">
        <v>107</v>
      </c>
      <c r="D564" s="3" t="n">
        <v>204598476</v>
      </c>
      <c r="E564" s="3" t="s">
        <v>114</v>
      </c>
      <c r="F564" s="3" t="n">
        <f aca="false">IF(C564="848630",0,1)</f>
        <v>1</v>
      </c>
    </row>
    <row r="565" customFormat="false" ht="15" hidden="false" customHeight="false" outlineLevel="0" collapsed="false">
      <c r="A565" s="12" t="n">
        <v>45170</v>
      </c>
      <c r="B565" s="9" t="s">
        <v>113</v>
      </c>
      <c r="C565" s="3" t="s">
        <v>107</v>
      </c>
      <c r="D565" s="3" t="n">
        <v>38506371</v>
      </c>
      <c r="E565" s="3" t="s">
        <v>114</v>
      </c>
      <c r="F565" s="3" t="n">
        <f aca="false">IF(C565="848630",0,1)</f>
        <v>1</v>
      </c>
    </row>
    <row r="566" customFormat="false" ht="15" hidden="false" customHeight="false" outlineLevel="0" collapsed="false">
      <c r="A566" s="12" t="n">
        <v>45170</v>
      </c>
      <c r="B566" s="9" t="s">
        <v>113</v>
      </c>
      <c r="C566" s="3" t="s">
        <v>107</v>
      </c>
      <c r="D566" s="3" t="n">
        <v>24260699</v>
      </c>
      <c r="E566" s="3" t="s">
        <v>114</v>
      </c>
      <c r="F566" s="3" t="n">
        <f aca="false">IF(C566="848630",0,1)</f>
        <v>1</v>
      </c>
    </row>
    <row r="567" customFormat="false" ht="15" hidden="false" customHeight="false" outlineLevel="0" collapsed="false">
      <c r="A567" s="12" t="n">
        <v>45170</v>
      </c>
      <c r="B567" s="9" t="s">
        <v>113</v>
      </c>
      <c r="C567" s="3" t="s">
        <v>107</v>
      </c>
      <c r="D567" s="3" t="n">
        <v>287463028</v>
      </c>
      <c r="E567" s="3" t="s">
        <v>114</v>
      </c>
      <c r="F567" s="3" t="n">
        <f aca="false">IF(C567="848630",0,1)</f>
        <v>1</v>
      </c>
    </row>
    <row r="568" customFormat="false" ht="15" hidden="false" customHeight="false" outlineLevel="0" collapsed="false">
      <c r="A568" s="12" t="n">
        <v>45170</v>
      </c>
      <c r="B568" s="9" t="s">
        <v>113</v>
      </c>
      <c r="C568" s="3" t="s">
        <v>112</v>
      </c>
      <c r="D568" s="3" t="n">
        <v>1684753</v>
      </c>
      <c r="E568" s="3" t="s">
        <v>114</v>
      </c>
      <c r="F568" s="3" t="n">
        <f aca="false">IF(C568="848630",0,1)</f>
        <v>0</v>
      </c>
    </row>
    <row r="569" customFormat="false" ht="15" hidden="false" customHeight="false" outlineLevel="0" collapsed="false">
      <c r="A569" s="12" t="n">
        <v>45170</v>
      </c>
      <c r="B569" s="9" t="s">
        <v>113</v>
      </c>
      <c r="C569" s="3" t="s">
        <v>112</v>
      </c>
      <c r="D569" s="3" t="n">
        <v>0</v>
      </c>
      <c r="E569" s="3" t="s">
        <v>114</v>
      </c>
      <c r="F569" s="3" t="n">
        <f aca="false">IF(C569="848630",0,1)</f>
        <v>0</v>
      </c>
    </row>
    <row r="570" customFormat="false" ht="15" hidden="false" customHeight="false" outlineLevel="0" collapsed="false">
      <c r="A570" s="12" t="n">
        <v>45170</v>
      </c>
      <c r="B570" s="9" t="s">
        <v>113</v>
      </c>
      <c r="C570" s="3" t="s">
        <v>112</v>
      </c>
      <c r="D570" s="3" t="n">
        <v>84187654</v>
      </c>
      <c r="E570" s="3" t="s">
        <v>114</v>
      </c>
      <c r="F570" s="3" t="n">
        <f aca="false">IF(C570="848630",0,1)</f>
        <v>0</v>
      </c>
    </row>
    <row r="571" customFormat="false" ht="15" hidden="false" customHeight="false" outlineLevel="0" collapsed="false">
      <c r="A571" s="12" t="n">
        <v>45170</v>
      </c>
      <c r="B571" s="9" t="s">
        <v>113</v>
      </c>
      <c r="C571" s="3" t="s">
        <v>112</v>
      </c>
      <c r="D571" s="3" t="n">
        <v>0</v>
      </c>
      <c r="E571" s="3" t="s">
        <v>114</v>
      </c>
      <c r="F571" s="3" t="n">
        <f aca="false">IF(C571="848630",0,1)</f>
        <v>0</v>
      </c>
    </row>
    <row r="572" customFormat="false" ht="15" hidden="false" customHeight="false" outlineLevel="0" collapsed="false">
      <c r="A572" s="12" t="n">
        <v>45170</v>
      </c>
      <c r="B572" s="9" t="s">
        <v>113</v>
      </c>
      <c r="C572" s="3" t="s">
        <v>112</v>
      </c>
      <c r="D572" s="3" t="n">
        <v>80078106</v>
      </c>
      <c r="E572" s="3" t="s">
        <v>114</v>
      </c>
      <c r="F572" s="3" t="n">
        <f aca="false">IF(C572="848630",0,1)</f>
        <v>0</v>
      </c>
    </row>
    <row r="573" customFormat="false" ht="15" hidden="false" customHeight="false" outlineLevel="0" collapsed="false">
      <c r="A573" s="12" t="n">
        <v>45170</v>
      </c>
      <c r="B573" s="9" t="s">
        <v>113</v>
      </c>
      <c r="C573" s="3" t="s">
        <v>112</v>
      </c>
      <c r="D573" s="3" t="n">
        <v>710597</v>
      </c>
      <c r="E573" s="3" t="s">
        <v>114</v>
      </c>
      <c r="F573" s="3" t="n">
        <f aca="false">IF(C573="848630",0,1)</f>
        <v>0</v>
      </c>
    </row>
    <row r="574" customFormat="false" ht="15" hidden="false" customHeight="false" outlineLevel="0" collapsed="false">
      <c r="A574" s="12" t="n">
        <v>45170</v>
      </c>
      <c r="B574" s="9" t="s">
        <v>113</v>
      </c>
      <c r="C574" s="3" t="s">
        <v>112</v>
      </c>
      <c r="D574" s="3" t="n">
        <v>1406347</v>
      </c>
      <c r="E574" s="3" t="s">
        <v>114</v>
      </c>
      <c r="F574" s="3" t="n">
        <f aca="false">IF(C574="848630",0,1)</f>
        <v>0</v>
      </c>
    </row>
    <row r="575" customFormat="false" ht="15" hidden="false" customHeight="false" outlineLevel="0" collapsed="false">
      <c r="A575" s="12" t="n">
        <v>45170</v>
      </c>
      <c r="B575" s="9" t="s">
        <v>113</v>
      </c>
      <c r="C575" s="3" t="s">
        <v>112</v>
      </c>
      <c r="D575" s="3" t="n">
        <v>20613751</v>
      </c>
      <c r="E575" s="3" t="s">
        <v>114</v>
      </c>
      <c r="F575" s="3" t="n">
        <f aca="false">IF(C575="848630",0,1)</f>
        <v>0</v>
      </c>
    </row>
    <row r="576" customFormat="false" ht="15" hidden="false" customHeight="false" outlineLevel="0" collapsed="false">
      <c r="A576" s="12" t="n">
        <v>45170</v>
      </c>
      <c r="B576" s="9" t="s">
        <v>113</v>
      </c>
      <c r="C576" s="3" t="s">
        <v>108</v>
      </c>
      <c r="D576" s="3" t="n">
        <v>15764118</v>
      </c>
      <c r="E576" s="3" t="s">
        <v>114</v>
      </c>
      <c r="F576" s="3" t="n">
        <f aca="false">IF(C576="848630",0,1)</f>
        <v>1</v>
      </c>
    </row>
    <row r="577" customFormat="false" ht="15" hidden="false" customHeight="false" outlineLevel="0" collapsed="false">
      <c r="A577" s="12" t="n">
        <v>45170</v>
      </c>
      <c r="B577" s="9" t="s">
        <v>113</v>
      </c>
      <c r="C577" s="3" t="s">
        <v>108</v>
      </c>
      <c r="D577" s="3" t="n">
        <v>5760824</v>
      </c>
      <c r="E577" s="3" t="s">
        <v>114</v>
      </c>
      <c r="F577" s="3" t="n">
        <f aca="false">IF(C577="848630",0,1)</f>
        <v>1</v>
      </c>
    </row>
    <row r="578" customFormat="false" ht="15" hidden="false" customHeight="false" outlineLevel="0" collapsed="false">
      <c r="A578" s="12" t="n">
        <v>45170</v>
      </c>
      <c r="B578" s="9" t="s">
        <v>113</v>
      </c>
      <c r="C578" s="3" t="s">
        <v>108</v>
      </c>
      <c r="D578" s="3" t="n">
        <v>785334</v>
      </c>
      <c r="E578" s="3" t="s">
        <v>114</v>
      </c>
      <c r="F578" s="3" t="n">
        <f aca="false">IF(C578="848630",0,1)</f>
        <v>1</v>
      </c>
    </row>
    <row r="579" customFormat="false" ht="15" hidden="false" customHeight="false" outlineLevel="0" collapsed="false">
      <c r="A579" s="12" t="n">
        <v>45170</v>
      </c>
      <c r="B579" s="9" t="s">
        <v>113</v>
      </c>
      <c r="C579" s="3" t="s">
        <v>108</v>
      </c>
      <c r="D579" s="3" t="n">
        <v>35957992</v>
      </c>
      <c r="E579" s="3" t="s">
        <v>114</v>
      </c>
      <c r="F579" s="3" t="n">
        <f aca="false">IF(C579="848630",0,1)</f>
        <v>1</v>
      </c>
    </row>
    <row r="580" customFormat="false" ht="15" hidden="false" customHeight="false" outlineLevel="0" collapsed="false">
      <c r="A580" s="12" t="n">
        <v>45170</v>
      </c>
      <c r="B580" s="9" t="s">
        <v>113</v>
      </c>
      <c r="C580" s="3" t="s">
        <v>108</v>
      </c>
      <c r="D580" s="3" t="n">
        <v>29544899</v>
      </c>
      <c r="E580" s="3" t="s">
        <v>114</v>
      </c>
      <c r="F580" s="3" t="n">
        <f aca="false">IF(C580="848630",0,1)</f>
        <v>1</v>
      </c>
    </row>
    <row r="581" customFormat="false" ht="15" hidden="false" customHeight="false" outlineLevel="0" collapsed="false">
      <c r="A581" s="12" t="n">
        <v>45170</v>
      </c>
      <c r="B581" s="9" t="s">
        <v>113</v>
      </c>
      <c r="C581" s="3" t="s">
        <v>108</v>
      </c>
      <c r="D581" s="3" t="n">
        <v>25222604</v>
      </c>
      <c r="E581" s="3" t="s">
        <v>114</v>
      </c>
      <c r="F581" s="3" t="n">
        <f aca="false">IF(C581="848630",0,1)</f>
        <v>1</v>
      </c>
    </row>
    <row r="582" customFormat="false" ht="15" hidden="false" customHeight="false" outlineLevel="0" collapsed="false">
      <c r="A582" s="12" t="n">
        <v>45170</v>
      </c>
      <c r="B582" s="9" t="s">
        <v>113</v>
      </c>
      <c r="C582" s="3" t="s">
        <v>109</v>
      </c>
      <c r="D582" s="3" t="n">
        <v>1034629</v>
      </c>
      <c r="E582" s="3" t="s">
        <v>114</v>
      </c>
      <c r="F582" s="3" t="n">
        <f aca="false">IF(C582="848630",0,1)</f>
        <v>1</v>
      </c>
    </row>
    <row r="583" customFormat="false" ht="15" hidden="false" customHeight="false" outlineLevel="0" collapsed="false">
      <c r="A583" s="12" t="n">
        <v>45170</v>
      </c>
      <c r="B583" s="9" t="s">
        <v>113</v>
      </c>
      <c r="C583" s="3" t="s">
        <v>109</v>
      </c>
      <c r="D583" s="3" t="n">
        <v>535940</v>
      </c>
      <c r="E583" s="3" t="s">
        <v>114</v>
      </c>
      <c r="F583" s="3" t="n">
        <f aca="false">IF(C583="848630",0,1)</f>
        <v>1</v>
      </c>
    </row>
    <row r="584" customFormat="false" ht="15" hidden="false" customHeight="false" outlineLevel="0" collapsed="false">
      <c r="A584" s="12" t="n">
        <v>45170</v>
      </c>
      <c r="B584" s="9" t="s">
        <v>113</v>
      </c>
      <c r="C584" s="3" t="s">
        <v>109</v>
      </c>
      <c r="D584" s="3" t="n">
        <v>7008637</v>
      </c>
      <c r="E584" s="3" t="s">
        <v>114</v>
      </c>
      <c r="F584" s="3" t="n">
        <f aca="false">IF(C584="848630",0,1)</f>
        <v>1</v>
      </c>
    </row>
    <row r="585" customFormat="false" ht="15" hidden="false" customHeight="false" outlineLevel="0" collapsed="false">
      <c r="A585" s="12" t="n">
        <v>45170</v>
      </c>
      <c r="B585" s="9" t="s">
        <v>113</v>
      </c>
      <c r="C585" s="3" t="s">
        <v>109</v>
      </c>
      <c r="D585" s="3" t="n">
        <v>97303574</v>
      </c>
      <c r="E585" s="3" t="s">
        <v>114</v>
      </c>
      <c r="F585" s="3" t="n">
        <f aca="false">IF(C585="848630",0,1)</f>
        <v>1</v>
      </c>
    </row>
    <row r="586" customFormat="false" ht="15" hidden="false" customHeight="false" outlineLevel="0" collapsed="false">
      <c r="A586" s="12" t="n">
        <v>45170</v>
      </c>
      <c r="B586" s="9" t="s">
        <v>113</v>
      </c>
      <c r="C586" s="3" t="s">
        <v>110</v>
      </c>
      <c r="D586" s="3" t="n">
        <v>14785590</v>
      </c>
      <c r="E586" s="3" t="s">
        <v>114</v>
      </c>
      <c r="F586" s="3" t="n">
        <f aca="false">IF(C586="848630",0,1)</f>
        <v>1</v>
      </c>
    </row>
    <row r="587" customFormat="false" ht="15" hidden="false" customHeight="false" outlineLevel="0" collapsed="false">
      <c r="A587" s="12" t="n">
        <v>45170</v>
      </c>
      <c r="B587" s="9" t="s">
        <v>113</v>
      </c>
      <c r="C587" s="3" t="s">
        <v>111</v>
      </c>
      <c r="D587" s="3" t="n">
        <v>40201926</v>
      </c>
      <c r="E587" s="3" t="s">
        <v>114</v>
      </c>
      <c r="F587" s="3" t="n">
        <f aca="false">IF(C587="848630",0,1)</f>
        <v>1</v>
      </c>
    </row>
    <row r="588" customFormat="false" ht="15" hidden="false" customHeight="false" outlineLevel="0" collapsed="false">
      <c r="A588" s="12" t="n">
        <v>45200</v>
      </c>
      <c r="B588" s="9" t="s">
        <v>113</v>
      </c>
      <c r="C588" s="3" t="s">
        <v>105</v>
      </c>
      <c r="D588" s="3" t="n">
        <v>37220569</v>
      </c>
      <c r="E588" s="3" t="s">
        <v>114</v>
      </c>
      <c r="F588" s="3" t="n">
        <f aca="false">IF(C588="848630",0,1)</f>
        <v>1</v>
      </c>
    </row>
    <row r="589" customFormat="false" ht="15" hidden="false" customHeight="false" outlineLevel="0" collapsed="false">
      <c r="A589" s="12" t="n">
        <v>45200</v>
      </c>
      <c r="B589" s="9" t="s">
        <v>113</v>
      </c>
      <c r="C589" s="3" t="s">
        <v>105</v>
      </c>
      <c r="D589" s="3" t="n">
        <v>29913725</v>
      </c>
      <c r="E589" s="3" t="s">
        <v>114</v>
      </c>
      <c r="F589" s="3" t="n">
        <f aca="false">IF(C589="848630",0,1)</f>
        <v>1</v>
      </c>
    </row>
    <row r="590" customFormat="false" ht="15" hidden="false" customHeight="false" outlineLevel="0" collapsed="false">
      <c r="A590" s="12" t="n">
        <v>45200</v>
      </c>
      <c r="B590" s="9" t="s">
        <v>113</v>
      </c>
      <c r="C590" s="3" t="s">
        <v>105</v>
      </c>
      <c r="D590" s="3" t="n">
        <v>49557018</v>
      </c>
      <c r="E590" s="3" t="s">
        <v>114</v>
      </c>
      <c r="F590" s="3" t="n">
        <f aca="false">IF(C590="848630",0,1)</f>
        <v>1</v>
      </c>
    </row>
    <row r="591" customFormat="false" ht="15" hidden="false" customHeight="false" outlineLevel="0" collapsed="false">
      <c r="A591" s="12" t="n">
        <v>45200</v>
      </c>
      <c r="B591" s="9" t="s">
        <v>113</v>
      </c>
      <c r="C591" s="3" t="s">
        <v>105</v>
      </c>
      <c r="D591" s="3" t="n">
        <v>19071502</v>
      </c>
      <c r="E591" s="3" t="s">
        <v>114</v>
      </c>
      <c r="F591" s="3" t="n">
        <f aca="false">IF(C591="848630",0,1)</f>
        <v>1</v>
      </c>
    </row>
    <row r="592" customFormat="false" ht="15" hidden="false" customHeight="false" outlineLevel="0" collapsed="false">
      <c r="A592" s="12" t="n">
        <v>45200</v>
      </c>
      <c r="B592" s="9" t="s">
        <v>113</v>
      </c>
      <c r="C592" s="3" t="s">
        <v>107</v>
      </c>
      <c r="D592" s="3" t="n">
        <v>51675901</v>
      </c>
      <c r="E592" s="3" t="s">
        <v>114</v>
      </c>
      <c r="F592" s="3" t="n">
        <f aca="false">IF(C592="848630",0,1)</f>
        <v>1</v>
      </c>
    </row>
    <row r="593" customFormat="false" ht="15" hidden="false" customHeight="false" outlineLevel="0" collapsed="false">
      <c r="A593" s="12" t="n">
        <v>45200</v>
      </c>
      <c r="B593" s="9" t="s">
        <v>113</v>
      </c>
      <c r="C593" s="3" t="s">
        <v>107</v>
      </c>
      <c r="D593" s="3" t="n">
        <v>43577890</v>
      </c>
      <c r="E593" s="3" t="s">
        <v>114</v>
      </c>
      <c r="F593" s="3" t="n">
        <f aca="false">IF(C593="848630",0,1)</f>
        <v>1</v>
      </c>
    </row>
    <row r="594" customFormat="false" ht="15" hidden="false" customHeight="false" outlineLevel="0" collapsed="false">
      <c r="A594" s="12" t="n">
        <v>45200</v>
      </c>
      <c r="B594" s="9" t="s">
        <v>113</v>
      </c>
      <c r="C594" s="3" t="s">
        <v>107</v>
      </c>
      <c r="D594" s="3" t="n">
        <v>8421923</v>
      </c>
      <c r="E594" s="3" t="s">
        <v>114</v>
      </c>
      <c r="F594" s="3" t="n">
        <f aca="false">IF(C594="848630",0,1)</f>
        <v>1</v>
      </c>
    </row>
    <row r="595" customFormat="false" ht="15" hidden="false" customHeight="false" outlineLevel="0" collapsed="false">
      <c r="A595" s="12" t="n">
        <v>45200</v>
      </c>
      <c r="B595" s="9" t="s">
        <v>113</v>
      </c>
      <c r="C595" s="3" t="s">
        <v>107</v>
      </c>
      <c r="D595" s="3" t="n">
        <v>8480480</v>
      </c>
      <c r="E595" s="3" t="s">
        <v>114</v>
      </c>
      <c r="F595" s="3" t="n">
        <f aca="false">IF(C595="848630",0,1)</f>
        <v>1</v>
      </c>
    </row>
    <row r="596" customFormat="false" ht="15" hidden="false" customHeight="false" outlineLevel="0" collapsed="false">
      <c r="A596" s="12" t="n">
        <v>45200</v>
      </c>
      <c r="B596" s="9" t="s">
        <v>113</v>
      </c>
      <c r="C596" s="3" t="s">
        <v>107</v>
      </c>
      <c r="D596" s="3" t="n">
        <v>53885196</v>
      </c>
      <c r="E596" s="3" t="s">
        <v>114</v>
      </c>
      <c r="F596" s="3" t="n">
        <f aca="false">IF(C596="848630",0,1)</f>
        <v>1</v>
      </c>
    </row>
    <row r="597" customFormat="false" ht="15" hidden="false" customHeight="false" outlineLevel="0" collapsed="false">
      <c r="A597" s="12" t="n">
        <v>45200</v>
      </c>
      <c r="B597" s="9" t="s">
        <v>113</v>
      </c>
      <c r="C597" s="3" t="s">
        <v>107</v>
      </c>
      <c r="D597" s="3" t="n">
        <v>34808000</v>
      </c>
      <c r="E597" s="3" t="s">
        <v>114</v>
      </c>
      <c r="F597" s="3" t="n">
        <f aca="false">IF(C597="848630",0,1)</f>
        <v>1</v>
      </c>
    </row>
    <row r="598" customFormat="false" ht="15" hidden="false" customHeight="false" outlineLevel="0" collapsed="false">
      <c r="A598" s="12" t="n">
        <v>45200</v>
      </c>
      <c r="B598" s="9" t="s">
        <v>113</v>
      </c>
      <c r="C598" s="3" t="s">
        <v>107</v>
      </c>
      <c r="D598" s="3" t="n">
        <v>58620605</v>
      </c>
      <c r="E598" s="3" t="s">
        <v>114</v>
      </c>
      <c r="F598" s="3" t="n">
        <f aca="false">IF(C598="848630",0,1)</f>
        <v>1</v>
      </c>
    </row>
    <row r="599" customFormat="false" ht="15" hidden="false" customHeight="false" outlineLevel="0" collapsed="false">
      <c r="A599" s="12" t="n">
        <v>45200</v>
      </c>
      <c r="B599" s="9" t="s">
        <v>113</v>
      </c>
      <c r="C599" s="3" t="s">
        <v>107</v>
      </c>
      <c r="D599" s="3" t="n">
        <v>53269672</v>
      </c>
      <c r="E599" s="3" t="s">
        <v>114</v>
      </c>
      <c r="F599" s="3" t="n">
        <f aca="false">IF(C599="848630",0,1)</f>
        <v>1</v>
      </c>
    </row>
    <row r="600" customFormat="false" ht="15" hidden="false" customHeight="false" outlineLevel="0" collapsed="false">
      <c r="A600" s="12" t="n">
        <v>45200</v>
      </c>
      <c r="B600" s="9" t="s">
        <v>113</v>
      </c>
      <c r="C600" s="3" t="s">
        <v>107</v>
      </c>
      <c r="D600" s="3" t="n">
        <v>21751691</v>
      </c>
      <c r="E600" s="3" t="s">
        <v>114</v>
      </c>
      <c r="F600" s="3" t="n">
        <f aca="false">IF(C600="848630",0,1)</f>
        <v>1</v>
      </c>
    </row>
    <row r="601" customFormat="false" ht="15" hidden="false" customHeight="false" outlineLevel="0" collapsed="false">
      <c r="A601" s="12" t="n">
        <v>45200</v>
      </c>
      <c r="B601" s="9" t="s">
        <v>113</v>
      </c>
      <c r="C601" s="3" t="s">
        <v>107</v>
      </c>
      <c r="D601" s="3" t="n">
        <v>210359164</v>
      </c>
      <c r="E601" s="3" t="s">
        <v>114</v>
      </c>
      <c r="F601" s="3" t="n">
        <f aca="false">IF(C601="848630",0,1)</f>
        <v>1</v>
      </c>
    </row>
    <row r="602" customFormat="false" ht="15" hidden="false" customHeight="false" outlineLevel="0" collapsed="false">
      <c r="A602" s="12" t="n">
        <v>45200</v>
      </c>
      <c r="B602" s="9" t="s">
        <v>113</v>
      </c>
      <c r="C602" s="3" t="s">
        <v>112</v>
      </c>
      <c r="D602" s="3" t="n">
        <v>13030636</v>
      </c>
      <c r="E602" s="3" t="s">
        <v>114</v>
      </c>
      <c r="F602" s="3" t="n">
        <f aca="false">IF(C602="848630",0,1)</f>
        <v>0</v>
      </c>
    </row>
    <row r="603" customFormat="false" ht="15" hidden="false" customHeight="false" outlineLevel="0" collapsed="false">
      <c r="A603" s="12" t="n">
        <v>45200</v>
      </c>
      <c r="B603" s="9" t="s">
        <v>113</v>
      </c>
      <c r="C603" s="3" t="s">
        <v>112</v>
      </c>
      <c r="D603" s="3" t="n">
        <v>187529</v>
      </c>
      <c r="E603" s="3" t="s">
        <v>114</v>
      </c>
      <c r="F603" s="3" t="n">
        <f aca="false">IF(C603="848630",0,1)</f>
        <v>0</v>
      </c>
    </row>
    <row r="604" customFormat="false" ht="15" hidden="false" customHeight="false" outlineLevel="0" collapsed="false">
      <c r="A604" s="12" t="n">
        <v>45200</v>
      </c>
      <c r="B604" s="9" t="s">
        <v>113</v>
      </c>
      <c r="C604" s="3" t="s">
        <v>112</v>
      </c>
      <c r="D604" s="3" t="n">
        <v>3602637</v>
      </c>
      <c r="E604" s="3" t="s">
        <v>114</v>
      </c>
      <c r="F604" s="3" t="n">
        <f aca="false">IF(C604="848630",0,1)</f>
        <v>0</v>
      </c>
    </row>
    <row r="605" customFormat="false" ht="15" hidden="false" customHeight="false" outlineLevel="0" collapsed="false">
      <c r="A605" s="12" t="n">
        <v>45200</v>
      </c>
      <c r="B605" s="9" t="s">
        <v>113</v>
      </c>
      <c r="C605" s="3" t="s">
        <v>112</v>
      </c>
      <c r="D605" s="3" t="n">
        <v>17516889</v>
      </c>
      <c r="E605" s="3" t="s">
        <v>114</v>
      </c>
      <c r="F605" s="3" t="n">
        <f aca="false">IF(C605="848630",0,1)</f>
        <v>0</v>
      </c>
    </row>
    <row r="606" customFormat="false" ht="15" hidden="false" customHeight="false" outlineLevel="0" collapsed="false">
      <c r="A606" s="12" t="n">
        <v>45200</v>
      </c>
      <c r="B606" s="9" t="s">
        <v>113</v>
      </c>
      <c r="C606" s="3" t="s">
        <v>108</v>
      </c>
      <c r="D606" s="3" t="n">
        <v>37098181</v>
      </c>
      <c r="E606" s="3" t="s">
        <v>114</v>
      </c>
      <c r="F606" s="3" t="n">
        <f aca="false">IF(C606="848630",0,1)</f>
        <v>1</v>
      </c>
    </row>
    <row r="607" customFormat="false" ht="15" hidden="false" customHeight="false" outlineLevel="0" collapsed="false">
      <c r="A607" s="12" t="n">
        <v>45200</v>
      </c>
      <c r="B607" s="9" t="s">
        <v>113</v>
      </c>
      <c r="C607" s="3" t="s">
        <v>108</v>
      </c>
      <c r="D607" s="3" t="n">
        <v>207</v>
      </c>
      <c r="E607" s="3" t="s">
        <v>114</v>
      </c>
      <c r="F607" s="3" t="n">
        <f aca="false">IF(C607="848630",0,1)</f>
        <v>1</v>
      </c>
    </row>
    <row r="608" customFormat="false" ht="15" hidden="false" customHeight="false" outlineLevel="0" collapsed="false">
      <c r="A608" s="12" t="n">
        <v>45200</v>
      </c>
      <c r="B608" s="9" t="s">
        <v>113</v>
      </c>
      <c r="C608" s="3" t="s">
        <v>108</v>
      </c>
      <c r="D608" s="3" t="n">
        <v>1673486</v>
      </c>
      <c r="E608" s="3" t="s">
        <v>114</v>
      </c>
      <c r="F608" s="3" t="n">
        <f aca="false">IF(C608="848630",0,1)</f>
        <v>1</v>
      </c>
    </row>
    <row r="609" customFormat="false" ht="15" hidden="false" customHeight="false" outlineLevel="0" collapsed="false">
      <c r="A609" s="12" t="n">
        <v>45200</v>
      </c>
      <c r="B609" s="9" t="s">
        <v>113</v>
      </c>
      <c r="C609" s="3" t="s">
        <v>108</v>
      </c>
      <c r="D609" s="3" t="n">
        <v>9843454</v>
      </c>
      <c r="E609" s="3" t="s">
        <v>114</v>
      </c>
      <c r="F609" s="3" t="n">
        <f aca="false">IF(C609="848630",0,1)</f>
        <v>1</v>
      </c>
    </row>
    <row r="610" customFormat="false" ht="15" hidden="false" customHeight="false" outlineLevel="0" collapsed="false">
      <c r="A610" s="12" t="n">
        <v>45200</v>
      </c>
      <c r="B610" s="9" t="s">
        <v>113</v>
      </c>
      <c r="C610" s="3" t="s">
        <v>108</v>
      </c>
      <c r="D610" s="3" t="n">
        <v>20232659</v>
      </c>
      <c r="E610" s="3" t="s">
        <v>114</v>
      </c>
      <c r="F610" s="3" t="n">
        <f aca="false">IF(C610="848630",0,1)</f>
        <v>1</v>
      </c>
    </row>
    <row r="611" customFormat="false" ht="15" hidden="false" customHeight="false" outlineLevel="0" collapsed="false">
      <c r="A611" s="12" t="n">
        <v>45200</v>
      </c>
      <c r="B611" s="9" t="s">
        <v>113</v>
      </c>
      <c r="C611" s="3" t="s">
        <v>108</v>
      </c>
      <c r="D611" s="3" t="n">
        <v>11026970</v>
      </c>
      <c r="E611" s="3" t="s">
        <v>114</v>
      </c>
      <c r="F611" s="3" t="n">
        <f aca="false">IF(C611="848630",0,1)</f>
        <v>1</v>
      </c>
    </row>
    <row r="612" customFormat="false" ht="15" hidden="false" customHeight="false" outlineLevel="0" collapsed="false">
      <c r="A612" s="12" t="n">
        <v>45200</v>
      </c>
      <c r="B612" s="9" t="s">
        <v>113</v>
      </c>
      <c r="C612" s="3" t="s">
        <v>109</v>
      </c>
      <c r="D612" s="3" t="n">
        <v>1043711</v>
      </c>
      <c r="E612" s="3" t="s">
        <v>114</v>
      </c>
      <c r="F612" s="3" t="n">
        <f aca="false">IF(C612="848630",0,1)</f>
        <v>1</v>
      </c>
    </row>
    <row r="613" customFormat="false" ht="15" hidden="false" customHeight="false" outlineLevel="0" collapsed="false">
      <c r="A613" s="12" t="n">
        <v>45200</v>
      </c>
      <c r="B613" s="9" t="s">
        <v>113</v>
      </c>
      <c r="C613" s="3" t="s">
        <v>109</v>
      </c>
      <c r="D613" s="3" t="n">
        <v>356046</v>
      </c>
      <c r="E613" s="3" t="s">
        <v>114</v>
      </c>
      <c r="F613" s="3" t="n">
        <f aca="false">IF(C613="848630",0,1)</f>
        <v>1</v>
      </c>
    </row>
    <row r="614" customFormat="false" ht="15" hidden="false" customHeight="false" outlineLevel="0" collapsed="false">
      <c r="A614" s="12" t="n">
        <v>45200</v>
      </c>
      <c r="B614" s="9" t="s">
        <v>113</v>
      </c>
      <c r="C614" s="3" t="s">
        <v>109</v>
      </c>
      <c r="D614" s="3" t="n">
        <v>5944951</v>
      </c>
      <c r="E614" s="3" t="s">
        <v>114</v>
      </c>
      <c r="F614" s="3" t="n">
        <f aca="false">IF(C614="848630",0,1)</f>
        <v>1</v>
      </c>
    </row>
    <row r="615" customFormat="false" ht="15" hidden="false" customHeight="false" outlineLevel="0" collapsed="false">
      <c r="A615" s="12" t="n">
        <v>45200</v>
      </c>
      <c r="B615" s="9" t="s">
        <v>113</v>
      </c>
      <c r="C615" s="3" t="s">
        <v>109</v>
      </c>
      <c r="D615" s="3" t="n">
        <v>82229645</v>
      </c>
      <c r="E615" s="3" t="s">
        <v>114</v>
      </c>
      <c r="F615" s="3" t="n">
        <f aca="false">IF(C615="848630",0,1)</f>
        <v>1</v>
      </c>
    </row>
    <row r="616" customFormat="false" ht="15" hidden="false" customHeight="false" outlineLevel="0" collapsed="false">
      <c r="A616" s="12" t="n">
        <v>45200</v>
      </c>
      <c r="B616" s="9" t="s">
        <v>113</v>
      </c>
      <c r="C616" s="3" t="s">
        <v>110</v>
      </c>
      <c r="D616" s="3" t="n">
        <v>28362525</v>
      </c>
      <c r="E616" s="3" t="s">
        <v>114</v>
      </c>
      <c r="F616" s="3" t="n">
        <f aca="false">IF(C616="848630",0,1)</f>
        <v>1</v>
      </c>
    </row>
    <row r="617" customFormat="false" ht="15" hidden="false" customHeight="false" outlineLevel="0" collapsed="false">
      <c r="A617" s="12" t="n">
        <v>45200</v>
      </c>
      <c r="B617" s="9" t="s">
        <v>113</v>
      </c>
      <c r="C617" s="3" t="s">
        <v>111</v>
      </c>
      <c r="D617" s="3" t="n">
        <v>13377320</v>
      </c>
      <c r="E617" s="3" t="s">
        <v>114</v>
      </c>
      <c r="F617" s="3" t="n">
        <f aca="false">IF(C617="848630",0,1)</f>
        <v>1</v>
      </c>
    </row>
    <row r="618" customFormat="false" ht="15" hidden="false" customHeight="false" outlineLevel="0" collapsed="false">
      <c r="A618" s="12" t="n">
        <v>45231</v>
      </c>
      <c r="B618" s="9" t="s">
        <v>113</v>
      </c>
      <c r="C618" s="3" t="s">
        <v>105</v>
      </c>
      <c r="D618" s="3" t="n">
        <v>25645967</v>
      </c>
      <c r="E618" s="3" t="s">
        <v>114</v>
      </c>
      <c r="F618" s="3" t="n">
        <f aca="false">IF(C618="848630",0,1)</f>
        <v>1</v>
      </c>
    </row>
    <row r="619" customFormat="false" ht="15" hidden="false" customHeight="false" outlineLevel="0" collapsed="false">
      <c r="A619" s="12" t="n">
        <v>45231</v>
      </c>
      <c r="B619" s="9" t="s">
        <v>113</v>
      </c>
      <c r="C619" s="3" t="s">
        <v>105</v>
      </c>
      <c r="D619" s="3" t="n">
        <v>10439018</v>
      </c>
      <c r="E619" s="3" t="s">
        <v>114</v>
      </c>
      <c r="F619" s="3" t="n">
        <f aca="false">IF(C619="848630",0,1)</f>
        <v>1</v>
      </c>
    </row>
    <row r="620" customFormat="false" ht="15" hidden="false" customHeight="false" outlineLevel="0" collapsed="false">
      <c r="A620" s="12" t="n">
        <v>45231</v>
      </c>
      <c r="B620" s="9" t="s">
        <v>113</v>
      </c>
      <c r="C620" s="3" t="s">
        <v>105</v>
      </c>
      <c r="D620" s="3" t="n">
        <v>43016702</v>
      </c>
      <c r="E620" s="3" t="s">
        <v>114</v>
      </c>
      <c r="F620" s="3" t="n">
        <f aca="false">IF(C620="848630",0,1)</f>
        <v>1</v>
      </c>
    </row>
    <row r="621" customFormat="false" ht="15" hidden="false" customHeight="false" outlineLevel="0" collapsed="false">
      <c r="A621" s="12" t="n">
        <v>45231</v>
      </c>
      <c r="B621" s="9" t="s">
        <v>113</v>
      </c>
      <c r="C621" s="3" t="s">
        <v>105</v>
      </c>
      <c r="D621" s="3" t="n">
        <v>10113989</v>
      </c>
      <c r="E621" s="3" t="s">
        <v>114</v>
      </c>
      <c r="F621" s="3" t="n">
        <f aca="false">IF(C621="848630",0,1)</f>
        <v>1</v>
      </c>
    </row>
    <row r="622" customFormat="false" ht="15" hidden="false" customHeight="false" outlineLevel="0" collapsed="false">
      <c r="A622" s="12" t="n">
        <v>45231</v>
      </c>
      <c r="B622" s="9" t="s">
        <v>113</v>
      </c>
      <c r="C622" s="3" t="s">
        <v>107</v>
      </c>
      <c r="D622" s="3" t="n">
        <v>86114314</v>
      </c>
      <c r="E622" s="3" t="s">
        <v>114</v>
      </c>
      <c r="F622" s="3" t="n">
        <f aca="false">IF(C622="848630",0,1)</f>
        <v>1</v>
      </c>
    </row>
    <row r="623" customFormat="false" ht="15" hidden="false" customHeight="false" outlineLevel="0" collapsed="false">
      <c r="A623" s="12" t="n">
        <v>45231</v>
      </c>
      <c r="B623" s="9" t="s">
        <v>113</v>
      </c>
      <c r="C623" s="3" t="s">
        <v>107</v>
      </c>
      <c r="D623" s="3" t="n">
        <v>56286253</v>
      </c>
      <c r="E623" s="3" t="s">
        <v>114</v>
      </c>
      <c r="F623" s="3" t="n">
        <f aca="false">IF(C623="848630",0,1)</f>
        <v>1</v>
      </c>
    </row>
    <row r="624" customFormat="false" ht="15" hidden="false" customHeight="false" outlineLevel="0" collapsed="false">
      <c r="A624" s="12" t="n">
        <v>45231</v>
      </c>
      <c r="B624" s="9" t="s">
        <v>113</v>
      </c>
      <c r="C624" s="3" t="s">
        <v>107</v>
      </c>
      <c r="D624" s="3" t="n">
        <v>570391</v>
      </c>
      <c r="E624" s="3" t="s">
        <v>114</v>
      </c>
      <c r="F624" s="3" t="n">
        <f aca="false">IF(C624="848630",0,1)</f>
        <v>1</v>
      </c>
    </row>
    <row r="625" customFormat="false" ht="15" hidden="false" customHeight="false" outlineLevel="0" collapsed="false">
      <c r="A625" s="12" t="n">
        <v>45231</v>
      </c>
      <c r="B625" s="9" t="s">
        <v>113</v>
      </c>
      <c r="C625" s="3" t="s">
        <v>107</v>
      </c>
      <c r="D625" s="3" t="n">
        <v>5608705</v>
      </c>
      <c r="E625" s="3" t="s">
        <v>114</v>
      </c>
      <c r="F625" s="3" t="n">
        <f aca="false">IF(C625="848630",0,1)</f>
        <v>1</v>
      </c>
    </row>
    <row r="626" customFormat="false" ht="15" hidden="false" customHeight="false" outlineLevel="0" collapsed="false">
      <c r="A626" s="12" t="n">
        <v>45231</v>
      </c>
      <c r="B626" s="9" t="s">
        <v>113</v>
      </c>
      <c r="C626" s="3" t="s">
        <v>107</v>
      </c>
      <c r="D626" s="3" t="n">
        <v>28152555</v>
      </c>
      <c r="E626" s="3" t="s">
        <v>114</v>
      </c>
      <c r="F626" s="3" t="n">
        <f aca="false">IF(C626="848630",0,1)</f>
        <v>1</v>
      </c>
    </row>
    <row r="627" customFormat="false" ht="15" hidden="false" customHeight="false" outlineLevel="0" collapsed="false">
      <c r="A627" s="12" t="n">
        <v>45231</v>
      </c>
      <c r="B627" s="9" t="s">
        <v>113</v>
      </c>
      <c r="C627" s="3" t="s">
        <v>107</v>
      </c>
      <c r="D627" s="3" t="n">
        <v>51135277</v>
      </c>
      <c r="E627" s="3" t="s">
        <v>114</v>
      </c>
      <c r="F627" s="3" t="n">
        <f aca="false">IF(C627="848630",0,1)</f>
        <v>1</v>
      </c>
    </row>
    <row r="628" customFormat="false" ht="15" hidden="false" customHeight="false" outlineLevel="0" collapsed="false">
      <c r="A628" s="12" t="n">
        <v>45231</v>
      </c>
      <c r="B628" s="9" t="s">
        <v>113</v>
      </c>
      <c r="C628" s="3" t="s">
        <v>107</v>
      </c>
      <c r="D628" s="3" t="n">
        <v>151684871</v>
      </c>
      <c r="E628" s="3" t="s">
        <v>114</v>
      </c>
      <c r="F628" s="3" t="n">
        <f aca="false">IF(C628="848630",0,1)</f>
        <v>1</v>
      </c>
    </row>
    <row r="629" customFormat="false" ht="15" hidden="false" customHeight="false" outlineLevel="0" collapsed="false">
      <c r="A629" s="12" t="n">
        <v>45231</v>
      </c>
      <c r="B629" s="9" t="s">
        <v>113</v>
      </c>
      <c r="C629" s="3" t="s">
        <v>107</v>
      </c>
      <c r="D629" s="3" t="n">
        <v>51891991</v>
      </c>
      <c r="E629" s="3" t="s">
        <v>114</v>
      </c>
      <c r="F629" s="3" t="n">
        <f aca="false">IF(C629="848630",0,1)</f>
        <v>1</v>
      </c>
    </row>
    <row r="630" customFormat="false" ht="15" hidden="false" customHeight="false" outlineLevel="0" collapsed="false">
      <c r="A630" s="12" t="n">
        <v>45231</v>
      </c>
      <c r="B630" s="9" t="s">
        <v>113</v>
      </c>
      <c r="C630" s="3" t="s">
        <v>107</v>
      </c>
      <c r="D630" s="3" t="n">
        <v>47221408</v>
      </c>
      <c r="E630" s="3" t="s">
        <v>114</v>
      </c>
      <c r="F630" s="3" t="n">
        <f aca="false">IF(C630="848630",0,1)</f>
        <v>1</v>
      </c>
    </row>
    <row r="631" customFormat="false" ht="15" hidden="false" customHeight="false" outlineLevel="0" collapsed="false">
      <c r="A631" s="12" t="n">
        <v>45231</v>
      </c>
      <c r="B631" s="9" t="s">
        <v>113</v>
      </c>
      <c r="C631" s="3" t="s">
        <v>107</v>
      </c>
      <c r="D631" s="3" t="n">
        <v>344541806</v>
      </c>
      <c r="E631" s="3" t="s">
        <v>114</v>
      </c>
      <c r="F631" s="3" t="n">
        <f aca="false">IF(C631="848630",0,1)</f>
        <v>1</v>
      </c>
    </row>
    <row r="632" customFormat="false" ht="15" hidden="false" customHeight="false" outlineLevel="0" collapsed="false">
      <c r="A632" s="12" t="n">
        <v>45231</v>
      </c>
      <c r="B632" s="9" t="s">
        <v>113</v>
      </c>
      <c r="C632" s="3" t="s">
        <v>112</v>
      </c>
      <c r="D632" s="3" t="n">
        <v>896398</v>
      </c>
      <c r="E632" s="3" t="s">
        <v>114</v>
      </c>
      <c r="F632" s="3" t="n">
        <f aca="false">IF(C632="848630",0,1)</f>
        <v>0</v>
      </c>
    </row>
    <row r="633" customFormat="false" ht="15" hidden="false" customHeight="false" outlineLevel="0" collapsed="false">
      <c r="A633" s="12" t="n">
        <v>45231</v>
      </c>
      <c r="B633" s="9" t="s">
        <v>113</v>
      </c>
      <c r="C633" s="3" t="s">
        <v>112</v>
      </c>
      <c r="D633" s="3" t="n">
        <v>9187636</v>
      </c>
      <c r="E633" s="3" t="s">
        <v>114</v>
      </c>
      <c r="F633" s="3" t="n">
        <f aca="false">IF(C633="848630",0,1)</f>
        <v>0</v>
      </c>
    </row>
    <row r="634" customFormat="false" ht="15" hidden="false" customHeight="false" outlineLevel="0" collapsed="false">
      <c r="A634" s="12" t="n">
        <v>45231</v>
      </c>
      <c r="B634" s="9" t="s">
        <v>113</v>
      </c>
      <c r="C634" s="3" t="s">
        <v>112</v>
      </c>
      <c r="D634" s="3" t="n">
        <v>18763462</v>
      </c>
      <c r="E634" s="3" t="s">
        <v>114</v>
      </c>
      <c r="F634" s="3" t="n">
        <f aca="false">IF(C634="848630",0,1)</f>
        <v>0</v>
      </c>
    </row>
    <row r="635" customFormat="false" ht="15" hidden="false" customHeight="false" outlineLevel="0" collapsed="false">
      <c r="A635" s="12" t="n">
        <v>45231</v>
      </c>
      <c r="B635" s="9" t="s">
        <v>113</v>
      </c>
      <c r="C635" s="3" t="s">
        <v>112</v>
      </c>
      <c r="D635" s="3" t="n">
        <v>494622</v>
      </c>
      <c r="E635" s="3" t="s">
        <v>114</v>
      </c>
      <c r="F635" s="3" t="n">
        <f aca="false">IF(C635="848630",0,1)</f>
        <v>0</v>
      </c>
    </row>
    <row r="636" customFormat="false" ht="15" hidden="false" customHeight="false" outlineLevel="0" collapsed="false">
      <c r="A636" s="12" t="n">
        <v>45231</v>
      </c>
      <c r="B636" s="9" t="s">
        <v>113</v>
      </c>
      <c r="C636" s="3" t="s">
        <v>112</v>
      </c>
      <c r="D636" s="3" t="n">
        <v>2902576</v>
      </c>
      <c r="E636" s="3" t="s">
        <v>114</v>
      </c>
      <c r="F636" s="3" t="n">
        <f aca="false">IF(C636="848630",0,1)</f>
        <v>0</v>
      </c>
    </row>
    <row r="637" customFormat="false" ht="15" hidden="false" customHeight="false" outlineLevel="0" collapsed="false">
      <c r="A637" s="12" t="n">
        <v>45231</v>
      </c>
      <c r="B637" s="9" t="s">
        <v>113</v>
      </c>
      <c r="C637" s="3" t="s">
        <v>112</v>
      </c>
      <c r="D637" s="3" t="n">
        <v>49113157</v>
      </c>
      <c r="E637" s="3" t="s">
        <v>114</v>
      </c>
      <c r="F637" s="3" t="n">
        <f aca="false">IF(C637="848630",0,1)</f>
        <v>0</v>
      </c>
    </row>
    <row r="638" customFormat="false" ht="15" hidden="false" customHeight="false" outlineLevel="0" collapsed="false">
      <c r="A638" s="12" t="n">
        <v>45231</v>
      </c>
      <c r="B638" s="9" t="s">
        <v>113</v>
      </c>
      <c r="C638" s="3" t="s">
        <v>108</v>
      </c>
      <c r="D638" s="3" t="n">
        <v>15222</v>
      </c>
      <c r="E638" s="3" t="s">
        <v>114</v>
      </c>
      <c r="F638" s="3" t="n">
        <f aca="false">IF(C638="848630",0,1)</f>
        <v>1</v>
      </c>
    </row>
    <row r="639" customFormat="false" ht="15" hidden="false" customHeight="false" outlineLevel="0" collapsed="false">
      <c r="A639" s="12" t="n">
        <v>45231</v>
      </c>
      <c r="B639" s="9" t="s">
        <v>113</v>
      </c>
      <c r="C639" s="3" t="s">
        <v>108</v>
      </c>
      <c r="D639" s="3" t="n">
        <v>4575835</v>
      </c>
      <c r="E639" s="3" t="s">
        <v>114</v>
      </c>
      <c r="F639" s="3" t="n">
        <f aca="false">IF(C639="848630",0,1)</f>
        <v>1</v>
      </c>
    </row>
    <row r="640" customFormat="false" ht="15" hidden="false" customHeight="false" outlineLevel="0" collapsed="false">
      <c r="A640" s="12" t="n">
        <v>45231</v>
      </c>
      <c r="B640" s="9" t="s">
        <v>113</v>
      </c>
      <c r="C640" s="3" t="s">
        <v>108</v>
      </c>
      <c r="D640" s="3" t="n">
        <v>449623</v>
      </c>
      <c r="E640" s="3" t="s">
        <v>114</v>
      </c>
      <c r="F640" s="3" t="n">
        <f aca="false">IF(C640="848630",0,1)</f>
        <v>1</v>
      </c>
    </row>
    <row r="641" customFormat="false" ht="15" hidden="false" customHeight="false" outlineLevel="0" collapsed="false">
      <c r="A641" s="12" t="n">
        <v>45231</v>
      </c>
      <c r="B641" s="9" t="s">
        <v>113</v>
      </c>
      <c r="C641" s="3" t="s">
        <v>108</v>
      </c>
      <c r="D641" s="3" t="n">
        <v>15947948</v>
      </c>
      <c r="E641" s="3" t="s">
        <v>114</v>
      </c>
      <c r="F641" s="3" t="n">
        <f aca="false">IF(C641="848630",0,1)</f>
        <v>1</v>
      </c>
    </row>
    <row r="642" customFormat="false" ht="15" hidden="false" customHeight="false" outlineLevel="0" collapsed="false">
      <c r="A642" s="12" t="n">
        <v>45231</v>
      </c>
      <c r="B642" s="9" t="s">
        <v>113</v>
      </c>
      <c r="C642" s="3" t="s">
        <v>108</v>
      </c>
      <c r="D642" s="3" t="n">
        <v>18376467</v>
      </c>
      <c r="E642" s="3" t="s">
        <v>114</v>
      </c>
      <c r="F642" s="3" t="n">
        <f aca="false">IF(C642="848630",0,1)</f>
        <v>1</v>
      </c>
    </row>
    <row r="643" customFormat="false" ht="15" hidden="false" customHeight="false" outlineLevel="0" collapsed="false">
      <c r="A643" s="12" t="n">
        <v>45231</v>
      </c>
      <c r="B643" s="9" t="s">
        <v>113</v>
      </c>
      <c r="C643" s="3" t="s">
        <v>108</v>
      </c>
      <c r="D643" s="3" t="n">
        <v>17043166</v>
      </c>
      <c r="E643" s="3" t="s">
        <v>114</v>
      </c>
      <c r="F643" s="3" t="n">
        <f aca="false">IF(C643="848630",0,1)</f>
        <v>1</v>
      </c>
    </row>
    <row r="644" customFormat="false" ht="15" hidden="false" customHeight="false" outlineLevel="0" collapsed="false">
      <c r="A644" s="12" t="n">
        <v>45231</v>
      </c>
      <c r="B644" s="9" t="s">
        <v>113</v>
      </c>
      <c r="C644" s="3" t="s">
        <v>109</v>
      </c>
      <c r="D644" s="3" t="n">
        <v>2457231</v>
      </c>
      <c r="E644" s="3" t="s">
        <v>114</v>
      </c>
      <c r="F644" s="3" t="n">
        <f aca="false">IF(C644="848630",0,1)</f>
        <v>1</v>
      </c>
    </row>
    <row r="645" customFormat="false" ht="15" hidden="false" customHeight="false" outlineLevel="0" collapsed="false">
      <c r="A645" s="12" t="n">
        <v>45231</v>
      </c>
      <c r="B645" s="9" t="s">
        <v>113</v>
      </c>
      <c r="C645" s="3" t="s">
        <v>109</v>
      </c>
      <c r="D645" s="3" t="n">
        <v>550412</v>
      </c>
      <c r="E645" s="3" t="s">
        <v>114</v>
      </c>
      <c r="F645" s="3" t="n">
        <f aca="false">IF(C645="848630",0,1)</f>
        <v>1</v>
      </c>
    </row>
    <row r="646" customFormat="false" ht="15" hidden="false" customHeight="false" outlineLevel="0" collapsed="false">
      <c r="A646" s="12" t="n">
        <v>45231</v>
      </c>
      <c r="B646" s="9" t="s">
        <v>113</v>
      </c>
      <c r="C646" s="3" t="s">
        <v>109</v>
      </c>
      <c r="D646" s="3" t="n">
        <v>6405318</v>
      </c>
      <c r="E646" s="3" t="s">
        <v>114</v>
      </c>
      <c r="F646" s="3" t="n">
        <f aca="false">IF(C646="848630",0,1)</f>
        <v>1</v>
      </c>
    </row>
    <row r="647" customFormat="false" ht="15" hidden="false" customHeight="false" outlineLevel="0" collapsed="false">
      <c r="A647" s="12" t="n">
        <v>45231</v>
      </c>
      <c r="B647" s="9" t="s">
        <v>113</v>
      </c>
      <c r="C647" s="3" t="s">
        <v>109</v>
      </c>
      <c r="D647" s="3" t="n">
        <v>70142328</v>
      </c>
      <c r="E647" s="3" t="s">
        <v>114</v>
      </c>
      <c r="F647" s="3" t="n">
        <f aca="false">IF(C647="848630",0,1)</f>
        <v>1</v>
      </c>
    </row>
    <row r="648" customFormat="false" ht="15" hidden="false" customHeight="false" outlineLevel="0" collapsed="false">
      <c r="A648" s="12" t="n">
        <v>45231</v>
      </c>
      <c r="B648" s="9" t="s">
        <v>113</v>
      </c>
      <c r="C648" s="3" t="s">
        <v>110</v>
      </c>
      <c r="D648" s="3" t="n">
        <v>26370927</v>
      </c>
      <c r="E648" s="3" t="s">
        <v>114</v>
      </c>
      <c r="F648" s="3" t="n">
        <f aca="false">IF(C648="848630",0,1)</f>
        <v>1</v>
      </c>
    </row>
    <row r="649" customFormat="false" ht="15" hidden="false" customHeight="false" outlineLevel="0" collapsed="false">
      <c r="A649" s="12" t="n">
        <v>45231</v>
      </c>
      <c r="B649" s="9" t="s">
        <v>113</v>
      </c>
      <c r="C649" s="3" t="s">
        <v>111</v>
      </c>
      <c r="D649" s="3" t="n">
        <v>13480760</v>
      </c>
      <c r="E649" s="3" t="s">
        <v>114</v>
      </c>
      <c r="F649" s="3" t="n">
        <f aca="false">IF(C649="848630",0,1)</f>
        <v>1</v>
      </c>
    </row>
    <row r="650" customFormat="false" ht="15" hidden="false" customHeight="false" outlineLevel="0" collapsed="false">
      <c r="A650" s="12" t="n">
        <v>45261</v>
      </c>
      <c r="B650" s="9" t="s">
        <v>113</v>
      </c>
      <c r="C650" s="3" t="s">
        <v>105</v>
      </c>
      <c r="D650" s="3" t="n">
        <v>245714</v>
      </c>
      <c r="E650" s="3" t="s">
        <v>114</v>
      </c>
      <c r="F650" s="3" t="n">
        <f aca="false">IF(C650="848630",0,1)</f>
        <v>1</v>
      </c>
    </row>
    <row r="651" customFormat="false" ht="15" hidden="false" customHeight="false" outlineLevel="0" collapsed="false">
      <c r="A651" s="12" t="n">
        <v>45261</v>
      </c>
      <c r="B651" s="9" t="s">
        <v>113</v>
      </c>
      <c r="C651" s="3" t="s">
        <v>105</v>
      </c>
      <c r="D651" s="3" t="n">
        <v>24905987</v>
      </c>
      <c r="E651" s="3" t="s">
        <v>114</v>
      </c>
      <c r="F651" s="3" t="n">
        <f aca="false">IF(C651="848630",0,1)</f>
        <v>1</v>
      </c>
    </row>
    <row r="652" customFormat="false" ht="15" hidden="false" customHeight="false" outlineLevel="0" collapsed="false">
      <c r="A652" s="12" t="n">
        <v>45261</v>
      </c>
      <c r="B652" s="9" t="s">
        <v>113</v>
      </c>
      <c r="C652" s="3" t="s">
        <v>105</v>
      </c>
      <c r="D652" s="3" t="n">
        <v>7571746</v>
      </c>
      <c r="E652" s="3" t="s">
        <v>114</v>
      </c>
      <c r="F652" s="3" t="n">
        <f aca="false">IF(C652="848630",0,1)</f>
        <v>1</v>
      </c>
    </row>
    <row r="653" customFormat="false" ht="15" hidden="false" customHeight="false" outlineLevel="0" collapsed="false">
      <c r="A653" s="12" t="n">
        <v>45261</v>
      </c>
      <c r="B653" s="9" t="s">
        <v>113</v>
      </c>
      <c r="C653" s="3" t="s">
        <v>105</v>
      </c>
      <c r="D653" s="3" t="n">
        <v>36356141</v>
      </c>
      <c r="E653" s="3" t="s">
        <v>114</v>
      </c>
      <c r="F653" s="3" t="n">
        <f aca="false">IF(C653="848630",0,1)</f>
        <v>1</v>
      </c>
    </row>
    <row r="654" customFormat="false" ht="15" hidden="false" customHeight="false" outlineLevel="0" collapsed="false">
      <c r="A654" s="12" t="n">
        <v>45261</v>
      </c>
      <c r="B654" s="9" t="s">
        <v>113</v>
      </c>
      <c r="C654" s="3" t="s">
        <v>105</v>
      </c>
      <c r="D654" s="3" t="n">
        <v>11295957</v>
      </c>
      <c r="E654" s="3" t="s">
        <v>114</v>
      </c>
      <c r="F654" s="3" t="n">
        <f aca="false">IF(C654="848630",0,1)</f>
        <v>1</v>
      </c>
    </row>
    <row r="655" customFormat="false" ht="15" hidden="false" customHeight="false" outlineLevel="0" collapsed="false">
      <c r="A655" s="12" t="n">
        <v>45261</v>
      </c>
      <c r="B655" s="9" t="s">
        <v>113</v>
      </c>
      <c r="C655" s="3" t="s">
        <v>107</v>
      </c>
      <c r="D655" s="3" t="n">
        <v>96558151</v>
      </c>
      <c r="E655" s="3" t="s">
        <v>114</v>
      </c>
      <c r="F655" s="3" t="n">
        <f aca="false">IF(C655="848630",0,1)</f>
        <v>1</v>
      </c>
    </row>
    <row r="656" customFormat="false" ht="15" hidden="false" customHeight="false" outlineLevel="0" collapsed="false">
      <c r="A656" s="12" t="n">
        <v>45261</v>
      </c>
      <c r="B656" s="9" t="s">
        <v>113</v>
      </c>
      <c r="C656" s="3" t="s">
        <v>107</v>
      </c>
      <c r="D656" s="3" t="n">
        <v>81774084</v>
      </c>
      <c r="E656" s="3" t="s">
        <v>114</v>
      </c>
      <c r="F656" s="3" t="n">
        <f aca="false">IF(C656="848630",0,1)</f>
        <v>1</v>
      </c>
    </row>
    <row r="657" customFormat="false" ht="15" hidden="false" customHeight="false" outlineLevel="0" collapsed="false">
      <c r="A657" s="12" t="n">
        <v>45261</v>
      </c>
      <c r="B657" s="9" t="s">
        <v>113</v>
      </c>
      <c r="C657" s="3" t="s">
        <v>107</v>
      </c>
      <c r="D657" s="3" t="n">
        <v>5484294</v>
      </c>
      <c r="E657" s="3" t="s">
        <v>114</v>
      </c>
      <c r="F657" s="3" t="n">
        <f aca="false">IF(C657="848630",0,1)</f>
        <v>1</v>
      </c>
    </row>
    <row r="658" customFormat="false" ht="15" hidden="false" customHeight="false" outlineLevel="0" collapsed="false">
      <c r="A658" s="12" t="n">
        <v>45261</v>
      </c>
      <c r="B658" s="9" t="s">
        <v>113</v>
      </c>
      <c r="C658" s="3" t="s">
        <v>107</v>
      </c>
      <c r="D658" s="3" t="n">
        <v>2689273</v>
      </c>
      <c r="E658" s="3" t="s">
        <v>114</v>
      </c>
      <c r="F658" s="3" t="n">
        <f aca="false">IF(C658="848630",0,1)</f>
        <v>1</v>
      </c>
    </row>
    <row r="659" customFormat="false" ht="15" hidden="false" customHeight="false" outlineLevel="0" collapsed="false">
      <c r="A659" s="12" t="n">
        <v>45261</v>
      </c>
      <c r="B659" s="9" t="s">
        <v>113</v>
      </c>
      <c r="C659" s="3" t="s">
        <v>107</v>
      </c>
      <c r="D659" s="3" t="n">
        <v>23585850</v>
      </c>
      <c r="E659" s="3" t="s">
        <v>114</v>
      </c>
      <c r="F659" s="3" t="n">
        <f aca="false">IF(C659="848630",0,1)</f>
        <v>1</v>
      </c>
    </row>
    <row r="660" customFormat="false" ht="15" hidden="false" customHeight="false" outlineLevel="0" collapsed="false">
      <c r="A660" s="12" t="n">
        <v>45261</v>
      </c>
      <c r="B660" s="9" t="s">
        <v>113</v>
      </c>
      <c r="C660" s="3" t="s">
        <v>107</v>
      </c>
      <c r="D660" s="3" t="n">
        <v>79051746</v>
      </c>
      <c r="E660" s="3" t="s">
        <v>114</v>
      </c>
      <c r="F660" s="3" t="n">
        <f aca="false">IF(C660="848630",0,1)</f>
        <v>1</v>
      </c>
    </row>
    <row r="661" customFormat="false" ht="15" hidden="false" customHeight="false" outlineLevel="0" collapsed="false">
      <c r="A661" s="12" t="n">
        <v>45261</v>
      </c>
      <c r="B661" s="9" t="s">
        <v>113</v>
      </c>
      <c r="C661" s="3" t="s">
        <v>107</v>
      </c>
      <c r="D661" s="3" t="n">
        <v>189557825</v>
      </c>
      <c r="E661" s="3" t="s">
        <v>114</v>
      </c>
      <c r="F661" s="3" t="n">
        <f aca="false">IF(C661="848630",0,1)</f>
        <v>1</v>
      </c>
    </row>
    <row r="662" customFormat="false" ht="15" hidden="false" customHeight="false" outlineLevel="0" collapsed="false">
      <c r="A662" s="12" t="n">
        <v>45261</v>
      </c>
      <c r="B662" s="9" t="s">
        <v>113</v>
      </c>
      <c r="C662" s="3" t="s">
        <v>107</v>
      </c>
      <c r="D662" s="3" t="n">
        <v>82249660</v>
      </c>
      <c r="E662" s="3" t="s">
        <v>114</v>
      </c>
      <c r="F662" s="3" t="n">
        <f aca="false">IF(C662="848630",0,1)</f>
        <v>1</v>
      </c>
    </row>
    <row r="663" customFormat="false" ht="15" hidden="false" customHeight="false" outlineLevel="0" collapsed="false">
      <c r="A663" s="12" t="n">
        <v>45261</v>
      </c>
      <c r="B663" s="9" t="s">
        <v>113</v>
      </c>
      <c r="C663" s="3" t="s">
        <v>107</v>
      </c>
      <c r="D663" s="3" t="n">
        <v>22021804</v>
      </c>
      <c r="E663" s="3" t="s">
        <v>114</v>
      </c>
      <c r="F663" s="3" t="n">
        <f aca="false">IF(C663="848630",0,1)</f>
        <v>1</v>
      </c>
    </row>
    <row r="664" customFormat="false" ht="15" hidden="false" customHeight="false" outlineLevel="0" collapsed="false">
      <c r="A664" s="12" t="n">
        <v>45261</v>
      </c>
      <c r="B664" s="9" t="s">
        <v>113</v>
      </c>
      <c r="C664" s="3" t="s">
        <v>107</v>
      </c>
      <c r="D664" s="3" t="n">
        <v>407170628</v>
      </c>
      <c r="E664" s="3" t="s">
        <v>114</v>
      </c>
      <c r="F664" s="3" t="n">
        <f aca="false">IF(C664="848630",0,1)</f>
        <v>1</v>
      </c>
    </row>
    <row r="665" customFormat="false" ht="15" hidden="false" customHeight="false" outlineLevel="0" collapsed="false">
      <c r="A665" s="12" t="n">
        <v>45261</v>
      </c>
      <c r="B665" s="9" t="s">
        <v>113</v>
      </c>
      <c r="C665" s="3" t="s">
        <v>112</v>
      </c>
      <c r="D665" s="3" t="n">
        <v>8181731</v>
      </c>
      <c r="E665" s="3" t="s">
        <v>114</v>
      </c>
      <c r="F665" s="3" t="n">
        <f aca="false">IF(C665="848630",0,1)</f>
        <v>0</v>
      </c>
    </row>
    <row r="666" customFormat="false" ht="15" hidden="false" customHeight="false" outlineLevel="0" collapsed="false">
      <c r="A666" s="12" t="n">
        <v>45261</v>
      </c>
      <c r="B666" s="9" t="s">
        <v>113</v>
      </c>
      <c r="C666" s="3" t="s">
        <v>112</v>
      </c>
      <c r="D666" s="3" t="n">
        <v>12963337</v>
      </c>
      <c r="E666" s="3" t="s">
        <v>114</v>
      </c>
      <c r="F666" s="3" t="n">
        <f aca="false">IF(C666="848630",0,1)</f>
        <v>0</v>
      </c>
    </row>
    <row r="667" customFormat="false" ht="15" hidden="false" customHeight="false" outlineLevel="0" collapsed="false">
      <c r="A667" s="12" t="n">
        <v>45261</v>
      </c>
      <c r="B667" s="9" t="s">
        <v>113</v>
      </c>
      <c r="C667" s="3" t="s">
        <v>112</v>
      </c>
      <c r="D667" s="3" t="n">
        <v>2029466</v>
      </c>
      <c r="E667" s="3" t="s">
        <v>114</v>
      </c>
      <c r="F667" s="3" t="n">
        <f aca="false">IF(C667="848630",0,1)</f>
        <v>0</v>
      </c>
    </row>
    <row r="668" customFormat="false" ht="15" hidden="false" customHeight="false" outlineLevel="0" collapsed="false">
      <c r="A668" s="12" t="n">
        <v>45261</v>
      </c>
      <c r="B668" s="9" t="s">
        <v>113</v>
      </c>
      <c r="C668" s="3" t="s">
        <v>112</v>
      </c>
      <c r="D668" s="3" t="n">
        <v>27415838</v>
      </c>
      <c r="E668" s="3" t="s">
        <v>114</v>
      </c>
      <c r="F668" s="3" t="n">
        <f aca="false">IF(C668="848630",0,1)</f>
        <v>0</v>
      </c>
    </row>
    <row r="669" customFormat="false" ht="15" hidden="false" customHeight="false" outlineLevel="0" collapsed="false">
      <c r="A669" s="12" t="n">
        <v>45261</v>
      </c>
      <c r="B669" s="9" t="s">
        <v>113</v>
      </c>
      <c r="C669" s="3" t="s">
        <v>112</v>
      </c>
      <c r="D669" s="3" t="n">
        <v>1043597</v>
      </c>
      <c r="E669" s="3" t="s">
        <v>114</v>
      </c>
      <c r="F669" s="3" t="n">
        <f aca="false">IF(C669="848630",0,1)</f>
        <v>0</v>
      </c>
    </row>
    <row r="670" customFormat="false" ht="15" hidden="false" customHeight="false" outlineLevel="0" collapsed="false">
      <c r="A670" s="12" t="n">
        <v>45261</v>
      </c>
      <c r="B670" s="9" t="s">
        <v>113</v>
      </c>
      <c r="C670" s="3" t="s">
        <v>112</v>
      </c>
      <c r="D670" s="3" t="n">
        <v>2945702</v>
      </c>
      <c r="E670" s="3" t="s">
        <v>114</v>
      </c>
      <c r="F670" s="3" t="n">
        <f aca="false">IF(C670="848630",0,1)</f>
        <v>0</v>
      </c>
    </row>
    <row r="671" customFormat="false" ht="15" hidden="false" customHeight="false" outlineLevel="0" collapsed="false">
      <c r="A671" s="12" t="n">
        <v>45261</v>
      </c>
      <c r="B671" s="9" t="s">
        <v>113</v>
      </c>
      <c r="C671" s="3" t="s">
        <v>112</v>
      </c>
      <c r="D671" s="3" t="n">
        <v>56006473</v>
      </c>
      <c r="E671" s="3" t="s">
        <v>114</v>
      </c>
      <c r="F671" s="3" t="n">
        <f aca="false">IF(C671="848630",0,1)</f>
        <v>0</v>
      </c>
    </row>
    <row r="672" customFormat="false" ht="15" hidden="false" customHeight="false" outlineLevel="0" collapsed="false">
      <c r="A672" s="12" t="n">
        <v>45261</v>
      </c>
      <c r="B672" s="9" t="s">
        <v>113</v>
      </c>
      <c r="C672" s="3" t="s">
        <v>108</v>
      </c>
      <c r="D672" s="3" t="n">
        <v>39740983</v>
      </c>
      <c r="E672" s="3" t="s">
        <v>114</v>
      </c>
      <c r="F672" s="3" t="n">
        <f aca="false">IF(C672="848630",0,1)</f>
        <v>1</v>
      </c>
    </row>
    <row r="673" customFormat="false" ht="15" hidden="false" customHeight="false" outlineLevel="0" collapsed="false">
      <c r="A673" s="12" t="n">
        <v>45261</v>
      </c>
      <c r="B673" s="9" t="s">
        <v>113</v>
      </c>
      <c r="C673" s="3" t="s">
        <v>108</v>
      </c>
      <c r="D673" s="3" t="n">
        <v>2246385</v>
      </c>
      <c r="E673" s="3" t="s">
        <v>114</v>
      </c>
      <c r="F673" s="3" t="n">
        <f aca="false">IF(C673="848630",0,1)</f>
        <v>1</v>
      </c>
    </row>
    <row r="674" customFormat="false" ht="15" hidden="false" customHeight="false" outlineLevel="0" collapsed="false">
      <c r="A674" s="12" t="n">
        <v>45261</v>
      </c>
      <c r="B674" s="9" t="s">
        <v>113</v>
      </c>
      <c r="C674" s="3" t="s">
        <v>108</v>
      </c>
      <c r="D674" s="3" t="n">
        <v>538010</v>
      </c>
      <c r="E674" s="3" t="s">
        <v>114</v>
      </c>
      <c r="F674" s="3" t="n">
        <f aca="false">IF(C674="848630",0,1)</f>
        <v>1</v>
      </c>
    </row>
    <row r="675" customFormat="false" ht="15" hidden="false" customHeight="false" outlineLevel="0" collapsed="false">
      <c r="A675" s="12" t="n">
        <v>45261</v>
      </c>
      <c r="B675" s="9" t="s">
        <v>113</v>
      </c>
      <c r="C675" s="3" t="s">
        <v>108</v>
      </c>
      <c r="D675" s="3" t="n">
        <v>23833205</v>
      </c>
      <c r="E675" s="3" t="s">
        <v>114</v>
      </c>
      <c r="F675" s="3" t="n">
        <f aca="false">IF(C675="848630",0,1)</f>
        <v>1</v>
      </c>
    </row>
    <row r="676" customFormat="false" ht="15" hidden="false" customHeight="false" outlineLevel="0" collapsed="false">
      <c r="A676" s="12" t="n">
        <v>45261</v>
      </c>
      <c r="B676" s="9" t="s">
        <v>113</v>
      </c>
      <c r="C676" s="3" t="s">
        <v>108</v>
      </c>
      <c r="D676" s="3" t="n">
        <v>15302214</v>
      </c>
      <c r="E676" s="3" t="s">
        <v>114</v>
      </c>
      <c r="F676" s="3" t="n">
        <f aca="false">IF(C676="848630",0,1)</f>
        <v>1</v>
      </c>
    </row>
    <row r="677" customFormat="false" ht="15" hidden="false" customHeight="false" outlineLevel="0" collapsed="false">
      <c r="A677" s="12" t="n">
        <v>45261</v>
      </c>
      <c r="B677" s="9" t="s">
        <v>113</v>
      </c>
      <c r="C677" s="3" t="s">
        <v>108</v>
      </c>
      <c r="D677" s="3" t="n">
        <v>18357636</v>
      </c>
      <c r="E677" s="3" t="s">
        <v>114</v>
      </c>
      <c r="F677" s="3" t="n">
        <f aca="false">IF(C677="848630",0,1)</f>
        <v>1</v>
      </c>
    </row>
    <row r="678" customFormat="false" ht="15" hidden="false" customHeight="false" outlineLevel="0" collapsed="false">
      <c r="A678" s="12" t="n">
        <v>45261</v>
      </c>
      <c r="B678" s="9" t="s">
        <v>113</v>
      </c>
      <c r="C678" s="3" t="s">
        <v>109</v>
      </c>
      <c r="D678" s="3" t="n">
        <v>4751436</v>
      </c>
      <c r="E678" s="3" t="s">
        <v>114</v>
      </c>
      <c r="F678" s="3" t="n">
        <f aca="false">IF(C678="848630",0,1)</f>
        <v>1</v>
      </c>
    </row>
    <row r="679" customFormat="false" ht="15" hidden="false" customHeight="false" outlineLevel="0" collapsed="false">
      <c r="A679" s="12" t="n">
        <v>45261</v>
      </c>
      <c r="B679" s="9" t="s">
        <v>113</v>
      </c>
      <c r="C679" s="3" t="s">
        <v>109</v>
      </c>
      <c r="D679" s="3" t="n">
        <v>1011374</v>
      </c>
      <c r="E679" s="3" t="s">
        <v>114</v>
      </c>
      <c r="F679" s="3" t="n">
        <f aca="false">IF(C679="848630",0,1)</f>
        <v>1</v>
      </c>
    </row>
    <row r="680" customFormat="false" ht="15" hidden="false" customHeight="false" outlineLevel="0" collapsed="false">
      <c r="A680" s="12" t="n">
        <v>45261</v>
      </c>
      <c r="B680" s="9" t="s">
        <v>113</v>
      </c>
      <c r="C680" s="3" t="s">
        <v>109</v>
      </c>
      <c r="D680" s="3" t="n">
        <v>10067744</v>
      </c>
      <c r="E680" s="3" t="s">
        <v>114</v>
      </c>
      <c r="F680" s="3" t="n">
        <f aca="false">IF(C680="848630",0,1)</f>
        <v>1</v>
      </c>
    </row>
    <row r="681" customFormat="false" ht="15" hidden="false" customHeight="false" outlineLevel="0" collapsed="false">
      <c r="A681" s="12" t="n">
        <v>45261</v>
      </c>
      <c r="B681" s="9" t="s">
        <v>113</v>
      </c>
      <c r="C681" s="3" t="s">
        <v>109</v>
      </c>
      <c r="D681" s="3" t="n">
        <v>91828485</v>
      </c>
      <c r="E681" s="3" t="s">
        <v>114</v>
      </c>
      <c r="F681" s="3" t="n">
        <f aca="false">IF(C681="848630",0,1)</f>
        <v>1</v>
      </c>
    </row>
    <row r="682" customFormat="false" ht="15" hidden="false" customHeight="false" outlineLevel="0" collapsed="false">
      <c r="A682" s="12" t="n">
        <v>45261</v>
      </c>
      <c r="B682" s="9" t="s">
        <v>113</v>
      </c>
      <c r="C682" s="3" t="s">
        <v>110</v>
      </c>
      <c r="D682" s="3" t="n">
        <v>21967842</v>
      </c>
      <c r="E682" s="3" t="s">
        <v>114</v>
      </c>
      <c r="F682" s="3" t="n">
        <f aca="false">IF(C682="848630",0,1)</f>
        <v>1</v>
      </c>
    </row>
    <row r="683" customFormat="false" ht="15" hidden="false" customHeight="false" outlineLevel="0" collapsed="false">
      <c r="A683" s="12" t="n">
        <v>45261</v>
      </c>
      <c r="B683" s="9" t="s">
        <v>113</v>
      </c>
      <c r="C683" s="3" t="s">
        <v>111</v>
      </c>
      <c r="D683" s="3" t="n">
        <v>13339286</v>
      </c>
      <c r="E683" s="3" t="s">
        <v>114</v>
      </c>
      <c r="F683" s="3" t="n">
        <f aca="false">IF(C683="848630",0,1)</f>
        <v>1</v>
      </c>
    </row>
    <row r="684" customFormat="false" ht="15" hidden="false" customHeight="false" outlineLevel="0" collapsed="false">
      <c r="A684" s="12" t="n">
        <v>45292</v>
      </c>
      <c r="B684" s="9" t="s">
        <v>113</v>
      </c>
      <c r="C684" s="3" t="s">
        <v>105</v>
      </c>
      <c r="D684" s="3" t="n">
        <v>868138</v>
      </c>
      <c r="E684" s="3" t="s">
        <v>114</v>
      </c>
      <c r="F684" s="3" t="n">
        <f aca="false">IF(C684="848630",0,1)</f>
        <v>1</v>
      </c>
    </row>
    <row r="685" customFormat="false" ht="15" hidden="false" customHeight="false" outlineLevel="0" collapsed="false">
      <c r="A685" s="12" t="n">
        <v>45292</v>
      </c>
      <c r="B685" s="9" t="s">
        <v>113</v>
      </c>
      <c r="C685" s="3" t="s">
        <v>105</v>
      </c>
      <c r="D685" s="3" t="n">
        <v>31466891</v>
      </c>
      <c r="E685" s="3" t="s">
        <v>114</v>
      </c>
      <c r="F685" s="3" t="n">
        <f aca="false">IF(C685="848630",0,1)</f>
        <v>1</v>
      </c>
    </row>
    <row r="686" customFormat="false" ht="15" hidden="false" customHeight="false" outlineLevel="0" collapsed="false">
      <c r="A686" s="12" t="n">
        <v>45292</v>
      </c>
      <c r="B686" s="9" t="s">
        <v>113</v>
      </c>
      <c r="C686" s="3" t="s">
        <v>105</v>
      </c>
      <c r="D686" s="3" t="n">
        <v>46843377</v>
      </c>
      <c r="E686" s="3" t="s">
        <v>114</v>
      </c>
      <c r="F686" s="3" t="n">
        <f aca="false">IF(C686="848630",0,1)</f>
        <v>1</v>
      </c>
    </row>
    <row r="687" customFormat="false" ht="15" hidden="false" customHeight="false" outlineLevel="0" collapsed="false">
      <c r="A687" s="12" t="n">
        <v>45292</v>
      </c>
      <c r="B687" s="9" t="s">
        <v>113</v>
      </c>
      <c r="C687" s="3" t="s">
        <v>105</v>
      </c>
      <c r="D687" s="3" t="n">
        <v>24366206</v>
      </c>
      <c r="E687" s="3" t="s">
        <v>114</v>
      </c>
      <c r="F687" s="3" t="n">
        <f aca="false">IF(C687="848630",0,1)</f>
        <v>1</v>
      </c>
    </row>
    <row r="688" customFormat="false" ht="15" hidden="false" customHeight="false" outlineLevel="0" collapsed="false">
      <c r="A688" s="12" t="n">
        <v>45292</v>
      </c>
      <c r="B688" s="9" t="s">
        <v>113</v>
      </c>
      <c r="C688" s="3" t="s">
        <v>105</v>
      </c>
      <c r="D688" s="3" t="n">
        <v>6541389</v>
      </c>
      <c r="E688" s="3" t="s">
        <v>114</v>
      </c>
      <c r="F688" s="3" t="n">
        <f aca="false">IF(C688="848630",0,1)</f>
        <v>1</v>
      </c>
    </row>
    <row r="689" customFormat="false" ht="15" hidden="false" customHeight="false" outlineLevel="0" collapsed="false">
      <c r="A689" s="12" t="n">
        <v>45292</v>
      </c>
      <c r="B689" s="9" t="s">
        <v>113</v>
      </c>
      <c r="C689" s="3" t="s">
        <v>107</v>
      </c>
      <c r="D689" s="3" t="n">
        <v>67117203</v>
      </c>
      <c r="E689" s="3" t="s">
        <v>114</v>
      </c>
      <c r="F689" s="3" t="n">
        <f aca="false">IF(C689="848630",0,1)</f>
        <v>1</v>
      </c>
    </row>
    <row r="690" customFormat="false" ht="15" hidden="false" customHeight="false" outlineLevel="0" collapsed="false">
      <c r="A690" s="12" t="n">
        <v>45292</v>
      </c>
      <c r="B690" s="9" t="s">
        <v>113</v>
      </c>
      <c r="C690" s="3" t="s">
        <v>107</v>
      </c>
      <c r="D690" s="3" t="n">
        <v>42829419</v>
      </c>
      <c r="E690" s="3" t="s">
        <v>114</v>
      </c>
      <c r="F690" s="3" t="n">
        <f aca="false">IF(C690="848630",0,1)</f>
        <v>1</v>
      </c>
    </row>
    <row r="691" customFormat="false" ht="15" hidden="false" customHeight="false" outlineLevel="0" collapsed="false">
      <c r="A691" s="12" t="n">
        <v>45292</v>
      </c>
      <c r="B691" s="9" t="s">
        <v>113</v>
      </c>
      <c r="C691" s="3" t="s">
        <v>107</v>
      </c>
      <c r="D691" s="3" t="n">
        <v>7605754</v>
      </c>
      <c r="E691" s="3" t="s">
        <v>114</v>
      </c>
      <c r="F691" s="3" t="n">
        <f aca="false">IF(C691="848630",0,1)</f>
        <v>1</v>
      </c>
    </row>
    <row r="692" customFormat="false" ht="15" hidden="false" customHeight="false" outlineLevel="0" collapsed="false">
      <c r="A692" s="12" t="n">
        <v>45292</v>
      </c>
      <c r="B692" s="9" t="s">
        <v>113</v>
      </c>
      <c r="C692" s="3" t="s">
        <v>107</v>
      </c>
      <c r="D692" s="3" t="n">
        <v>12089425</v>
      </c>
      <c r="E692" s="3" t="s">
        <v>114</v>
      </c>
      <c r="F692" s="3" t="n">
        <f aca="false">IF(C692="848630",0,1)</f>
        <v>1</v>
      </c>
    </row>
    <row r="693" customFormat="false" ht="15" hidden="false" customHeight="false" outlineLevel="0" collapsed="false">
      <c r="A693" s="12" t="n">
        <v>45292</v>
      </c>
      <c r="B693" s="9" t="s">
        <v>113</v>
      </c>
      <c r="C693" s="3" t="s">
        <v>107</v>
      </c>
      <c r="D693" s="3" t="n">
        <v>45128646</v>
      </c>
      <c r="E693" s="3" t="s">
        <v>114</v>
      </c>
      <c r="F693" s="3" t="n">
        <f aca="false">IF(C693="848630",0,1)</f>
        <v>1</v>
      </c>
    </row>
    <row r="694" customFormat="false" ht="15" hidden="false" customHeight="false" outlineLevel="0" collapsed="false">
      <c r="A694" s="12" t="n">
        <v>45292</v>
      </c>
      <c r="B694" s="9" t="s">
        <v>113</v>
      </c>
      <c r="C694" s="3" t="s">
        <v>107</v>
      </c>
      <c r="D694" s="3" t="n">
        <v>58048128</v>
      </c>
      <c r="E694" s="3" t="s">
        <v>114</v>
      </c>
      <c r="F694" s="3" t="n">
        <f aca="false">IF(C694="848630",0,1)</f>
        <v>1</v>
      </c>
    </row>
    <row r="695" customFormat="false" ht="15" hidden="false" customHeight="false" outlineLevel="0" collapsed="false">
      <c r="A695" s="12" t="n">
        <v>45292</v>
      </c>
      <c r="B695" s="9" t="s">
        <v>113</v>
      </c>
      <c r="C695" s="3" t="s">
        <v>107</v>
      </c>
      <c r="D695" s="3" t="n">
        <v>43334198</v>
      </c>
      <c r="E695" s="3" t="s">
        <v>114</v>
      </c>
      <c r="F695" s="3" t="n">
        <f aca="false">IF(C695="848630",0,1)</f>
        <v>1</v>
      </c>
    </row>
    <row r="696" customFormat="false" ht="15" hidden="false" customHeight="false" outlineLevel="0" collapsed="false">
      <c r="A696" s="12" t="n">
        <v>45292</v>
      </c>
      <c r="B696" s="9" t="s">
        <v>113</v>
      </c>
      <c r="C696" s="3" t="s">
        <v>107</v>
      </c>
      <c r="D696" s="3" t="n">
        <v>42762655</v>
      </c>
      <c r="E696" s="3" t="s">
        <v>114</v>
      </c>
      <c r="F696" s="3" t="n">
        <f aca="false">IF(C696="848630",0,1)</f>
        <v>1</v>
      </c>
    </row>
    <row r="697" customFormat="false" ht="15" hidden="false" customHeight="false" outlineLevel="0" collapsed="false">
      <c r="A697" s="12" t="n">
        <v>45292</v>
      </c>
      <c r="B697" s="9" t="s">
        <v>113</v>
      </c>
      <c r="C697" s="3" t="s">
        <v>107</v>
      </c>
      <c r="D697" s="3" t="n">
        <v>23372517</v>
      </c>
      <c r="E697" s="3" t="s">
        <v>114</v>
      </c>
      <c r="F697" s="3" t="n">
        <f aca="false">IF(C697="848630",0,1)</f>
        <v>1</v>
      </c>
    </row>
    <row r="698" customFormat="false" ht="15" hidden="false" customHeight="false" outlineLevel="0" collapsed="false">
      <c r="A698" s="12" t="n">
        <v>45292</v>
      </c>
      <c r="B698" s="9" t="s">
        <v>113</v>
      </c>
      <c r="C698" s="3" t="s">
        <v>107</v>
      </c>
      <c r="D698" s="3" t="n">
        <v>247171295</v>
      </c>
      <c r="E698" s="3" t="s">
        <v>114</v>
      </c>
      <c r="F698" s="3" t="n">
        <f aca="false">IF(C698="848630",0,1)</f>
        <v>1</v>
      </c>
    </row>
    <row r="699" customFormat="false" ht="15" hidden="false" customHeight="false" outlineLevel="0" collapsed="false">
      <c r="A699" s="12" t="n">
        <v>45292</v>
      </c>
      <c r="B699" s="9" t="s">
        <v>113</v>
      </c>
      <c r="C699" s="3" t="s">
        <v>112</v>
      </c>
      <c r="D699" s="3" t="n">
        <v>18312</v>
      </c>
      <c r="E699" s="3" t="s">
        <v>114</v>
      </c>
      <c r="F699" s="3" t="n">
        <f aca="false">IF(C699="848630",0,1)</f>
        <v>0</v>
      </c>
    </row>
    <row r="700" customFormat="false" ht="15" hidden="false" customHeight="false" outlineLevel="0" collapsed="false">
      <c r="A700" s="12" t="n">
        <v>45292</v>
      </c>
      <c r="B700" s="9" t="s">
        <v>113</v>
      </c>
      <c r="C700" s="3" t="s">
        <v>112</v>
      </c>
      <c r="D700" s="3" t="n">
        <v>25415012</v>
      </c>
      <c r="E700" s="3" t="s">
        <v>114</v>
      </c>
      <c r="F700" s="3" t="n">
        <f aca="false">IF(C700="848630",0,1)</f>
        <v>0</v>
      </c>
    </row>
    <row r="701" customFormat="false" ht="15" hidden="false" customHeight="false" outlineLevel="0" collapsed="false">
      <c r="A701" s="12" t="n">
        <v>45292</v>
      </c>
      <c r="B701" s="9" t="s">
        <v>113</v>
      </c>
      <c r="C701" s="3" t="s">
        <v>112</v>
      </c>
      <c r="D701" s="3" t="n">
        <v>33036950</v>
      </c>
      <c r="E701" s="3" t="s">
        <v>114</v>
      </c>
      <c r="F701" s="3" t="n">
        <f aca="false">IF(C701="848630",0,1)</f>
        <v>0</v>
      </c>
    </row>
    <row r="702" customFormat="false" ht="15" hidden="false" customHeight="false" outlineLevel="0" collapsed="false">
      <c r="A702" s="12" t="n">
        <v>45292</v>
      </c>
      <c r="B702" s="9" t="s">
        <v>113</v>
      </c>
      <c r="C702" s="3" t="s">
        <v>112</v>
      </c>
      <c r="D702" s="3" t="n">
        <v>13935</v>
      </c>
      <c r="E702" s="3" t="s">
        <v>114</v>
      </c>
      <c r="F702" s="3" t="n">
        <f aca="false">IF(C702="848630",0,1)</f>
        <v>0</v>
      </c>
    </row>
    <row r="703" customFormat="false" ht="15" hidden="false" customHeight="false" outlineLevel="0" collapsed="false">
      <c r="A703" s="12" t="n">
        <v>45292</v>
      </c>
      <c r="B703" s="9" t="s">
        <v>113</v>
      </c>
      <c r="C703" s="3" t="s">
        <v>112</v>
      </c>
      <c r="D703" s="3" t="n">
        <v>11060016</v>
      </c>
      <c r="E703" s="3" t="s">
        <v>114</v>
      </c>
      <c r="F703" s="3" t="n">
        <f aca="false">IF(C703="848630",0,1)</f>
        <v>0</v>
      </c>
    </row>
    <row r="704" customFormat="false" ht="15" hidden="false" customHeight="false" outlineLevel="0" collapsed="false">
      <c r="A704" s="12" t="n">
        <v>45292</v>
      </c>
      <c r="B704" s="9" t="s">
        <v>113</v>
      </c>
      <c r="C704" s="3" t="s">
        <v>112</v>
      </c>
      <c r="D704" s="3" t="n">
        <v>76108793</v>
      </c>
      <c r="E704" s="3" t="s">
        <v>114</v>
      </c>
      <c r="F704" s="3" t="n">
        <f aca="false">IF(C704="848630",0,1)</f>
        <v>0</v>
      </c>
    </row>
    <row r="705" customFormat="false" ht="15" hidden="false" customHeight="false" outlineLevel="0" collapsed="false">
      <c r="A705" s="12" t="n">
        <v>45292</v>
      </c>
      <c r="B705" s="9" t="s">
        <v>113</v>
      </c>
      <c r="C705" s="3" t="s">
        <v>108</v>
      </c>
      <c r="D705" s="3" t="n">
        <v>2571564</v>
      </c>
      <c r="E705" s="3" t="s">
        <v>114</v>
      </c>
      <c r="F705" s="3" t="n">
        <f aca="false">IF(C705="848630",0,1)</f>
        <v>1</v>
      </c>
    </row>
    <row r="706" customFormat="false" ht="15" hidden="false" customHeight="false" outlineLevel="0" collapsed="false">
      <c r="A706" s="12" t="n">
        <v>45292</v>
      </c>
      <c r="B706" s="9" t="s">
        <v>113</v>
      </c>
      <c r="C706" s="3" t="s">
        <v>108</v>
      </c>
      <c r="D706" s="3" t="n">
        <v>3225503</v>
      </c>
      <c r="E706" s="3" t="s">
        <v>114</v>
      </c>
      <c r="F706" s="3" t="n">
        <f aca="false">IF(C706="848630",0,1)</f>
        <v>1</v>
      </c>
    </row>
    <row r="707" customFormat="false" ht="15" hidden="false" customHeight="false" outlineLevel="0" collapsed="false">
      <c r="A707" s="12" t="n">
        <v>45292</v>
      </c>
      <c r="B707" s="9" t="s">
        <v>113</v>
      </c>
      <c r="C707" s="3" t="s">
        <v>108</v>
      </c>
      <c r="D707" s="3" t="n">
        <v>1540555</v>
      </c>
      <c r="E707" s="3" t="s">
        <v>114</v>
      </c>
      <c r="F707" s="3" t="n">
        <f aca="false">IF(C707="848630",0,1)</f>
        <v>1</v>
      </c>
    </row>
    <row r="708" customFormat="false" ht="15" hidden="false" customHeight="false" outlineLevel="0" collapsed="false">
      <c r="A708" s="12" t="n">
        <v>45292</v>
      </c>
      <c r="B708" s="9" t="s">
        <v>113</v>
      </c>
      <c r="C708" s="3" t="s">
        <v>108</v>
      </c>
      <c r="D708" s="3" t="n">
        <v>21518244</v>
      </c>
      <c r="E708" s="3" t="s">
        <v>114</v>
      </c>
      <c r="F708" s="3" t="n">
        <f aca="false">IF(C708="848630",0,1)</f>
        <v>1</v>
      </c>
    </row>
    <row r="709" customFormat="false" ht="15" hidden="false" customHeight="false" outlineLevel="0" collapsed="false">
      <c r="A709" s="12" t="n">
        <v>45292</v>
      </c>
      <c r="B709" s="9" t="s">
        <v>113</v>
      </c>
      <c r="C709" s="3" t="s">
        <v>108</v>
      </c>
      <c r="D709" s="3" t="n">
        <v>7322717</v>
      </c>
      <c r="E709" s="3" t="s">
        <v>114</v>
      </c>
      <c r="F709" s="3" t="n">
        <f aca="false">IF(C709="848630",0,1)</f>
        <v>1</v>
      </c>
    </row>
    <row r="710" customFormat="false" ht="15" hidden="false" customHeight="false" outlineLevel="0" collapsed="false">
      <c r="A710" s="12" t="n">
        <v>45292</v>
      </c>
      <c r="B710" s="9" t="s">
        <v>113</v>
      </c>
      <c r="C710" s="3" t="s">
        <v>108</v>
      </c>
      <c r="D710" s="3" t="n">
        <v>14903092</v>
      </c>
      <c r="E710" s="3" t="s">
        <v>114</v>
      </c>
      <c r="F710" s="3" t="n">
        <f aca="false">IF(C710="848630",0,1)</f>
        <v>1</v>
      </c>
    </row>
    <row r="711" customFormat="false" ht="15" hidden="false" customHeight="false" outlineLevel="0" collapsed="false">
      <c r="A711" s="12" t="n">
        <v>45292</v>
      </c>
      <c r="B711" s="9" t="s">
        <v>113</v>
      </c>
      <c r="C711" s="3" t="s">
        <v>109</v>
      </c>
      <c r="D711" s="3" t="n">
        <v>1672688</v>
      </c>
      <c r="E711" s="3" t="s">
        <v>114</v>
      </c>
      <c r="F711" s="3" t="n">
        <f aca="false">IF(C711="848630",0,1)</f>
        <v>1</v>
      </c>
    </row>
    <row r="712" customFormat="false" ht="15" hidden="false" customHeight="false" outlineLevel="0" collapsed="false">
      <c r="A712" s="12" t="n">
        <v>45292</v>
      </c>
      <c r="B712" s="9" t="s">
        <v>113</v>
      </c>
      <c r="C712" s="3" t="s">
        <v>109</v>
      </c>
      <c r="D712" s="3" t="n">
        <v>1075121</v>
      </c>
      <c r="E712" s="3" t="s">
        <v>114</v>
      </c>
      <c r="F712" s="3" t="n">
        <f aca="false">IF(C712="848630",0,1)</f>
        <v>1</v>
      </c>
    </row>
    <row r="713" customFormat="false" ht="15" hidden="false" customHeight="false" outlineLevel="0" collapsed="false">
      <c r="A713" s="12" t="n">
        <v>45292</v>
      </c>
      <c r="B713" s="9" t="s">
        <v>113</v>
      </c>
      <c r="C713" s="3" t="s">
        <v>109</v>
      </c>
      <c r="D713" s="3" t="n">
        <v>6194299</v>
      </c>
      <c r="E713" s="3" t="s">
        <v>114</v>
      </c>
      <c r="F713" s="3" t="n">
        <f aca="false">IF(C713="848630",0,1)</f>
        <v>1</v>
      </c>
    </row>
    <row r="714" customFormat="false" ht="15" hidden="false" customHeight="false" outlineLevel="0" collapsed="false">
      <c r="A714" s="12" t="n">
        <v>45292</v>
      </c>
      <c r="B714" s="9" t="s">
        <v>113</v>
      </c>
      <c r="C714" s="3" t="s">
        <v>109</v>
      </c>
      <c r="D714" s="3" t="n">
        <v>83053453</v>
      </c>
      <c r="E714" s="3" t="s">
        <v>114</v>
      </c>
      <c r="F714" s="3" t="n">
        <f aca="false">IF(C714="848630",0,1)</f>
        <v>1</v>
      </c>
    </row>
    <row r="715" customFormat="false" ht="15" hidden="false" customHeight="false" outlineLevel="0" collapsed="false">
      <c r="A715" s="12" t="n">
        <v>45292</v>
      </c>
      <c r="B715" s="9" t="s">
        <v>113</v>
      </c>
      <c r="C715" s="3" t="s">
        <v>110</v>
      </c>
      <c r="D715" s="3" t="n">
        <v>21835817</v>
      </c>
      <c r="E715" s="3" t="s">
        <v>114</v>
      </c>
      <c r="F715" s="3" t="n">
        <f aca="false">IF(C715="848630",0,1)</f>
        <v>1</v>
      </c>
    </row>
    <row r="716" customFormat="false" ht="15" hidden="false" customHeight="false" outlineLevel="0" collapsed="false">
      <c r="A716" s="12" t="n">
        <v>45292</v>
      </c>
      <c r="B716" s="9" t="s">
        <v>113</v>
      </c>
      <c r="C716" s="3" t="s">
        <v>111</v>
      </c>
      <c r="D716" s="3" t="n">
        <v>18011769</v>
      </c>
      <c r="E716" s="3" t="s">
        <v>114</v>
      </c>
      <c r="F716" s="3" t="n">
        <f aca="false">IF(C716="848630",0,1)</f>
        <v>1</v>
      </c>
    </row>
    <row r="717" customFormat="false" ht="15" hidden="false" customHeight="false" outlineLevel="0" collapsed="false">
      <c r="A717" s="12" t="n">
        <v>45323</v>
      </c>
      <c r="B717" s="9" t="s">
        <v>113</v>
      </c>
      <c r="C717" s="3" t="s">
        <v>105</v>
      </c>
      <c r="D717" s="3" t="n">
        <v>367000</v>
      </c>
      <c r="E717" s="3" t="s">
        <v>114</v>
      </c>
      <c r="F717" s="3" t="n">
        <f aca="false">IF(C717="848630",0,1)</f>
        <v>1</v>
      </c>
    </row>
    <row r="718" customFormat="false" ht="15" hidden="false" customHeight="false" outlineLevel="0" collapsed="false">
      <c r="A718" s="12" t="n">
        <v>45323</v>
      </c>
      <c r="B718" s="9" t="s">
        <v>113</v>
      </c>
      <c r="C718" s="3" t="s">
        <v>105</v>
      </c>
      <c r="D718" s="3" t="n">
        <v>27211187</v>
      </c>
      <c r="E718" s="3" t="s">
        <v>114</v>
      </c>
      <c r="F718" s="3" t="n">
        <f aca="false">IF(C718="848630",0,1)</f>
        <v>1</v>
      </c>
    </row>
    <row r="719" customFormat="false" ht="15" hidden="false" customHeight="false" outlineLevel="0" collapsed="false">
      <c r="A719" s="12" t="n">
        <v>45323</v>
      </c>
      <c r="B719" s="9" t="s">
        <v>113</v>
      </c>
      <c r="C719" s="3" t="s">
        <v>105</v>
      </c>
      <c r="D719" s="3" t="n">
        <v>10303863</v>
      </c>
      <c r="E719" s="3" t="s">
        <v>114</v>
      </c>
      <c r="F719" s="3" t="n">
        <f aca="false">IF(C719="848630",0,1)</f>
        <v>1</v>
      </c>
    </row>
    <row r="720" customFormat="false" ht="15" hidden="false" customHeight="false" outlineLevel="0" collapsed="false">
      <c r="A720" s="12" t="n">
        <v>45323</v>
      </c>
      <c r="B720" s="9" t="s">
        <v>113</v>
      </c>
      <c r="C720" s="3" t="s">
        <v>105</v>
      </c>
      <c r="D720" s="3" t="n">
        <v>39420683</v>
      </c>
      <c r="E720" s="3" t="s">
        <v>114</v>
      </c>
      <c r="F720" s="3" t="n">
        <f aca="false">IF(C720="848630",0,1)</f>
        <v>1</v>
      </c>
    </row>
    <row r="721" customFormat="false" ht="15" hidden="false" customHeight="false" outlineLevel="0" collapsed="false">
      <c r="A721" s="12" t="n">
        <v>45323</v>
      </c>
      <c r="B721" s="9" t="s">
        <v>113</v>
      </c>
      <c r="C721" s="3" t="s">
        <v>105</v>
      </c>
      <c r="D721" s="3" t="n">
        <v>11569114</v>
      </c>
      <c r="E721" s="3" t="s">
        <v>114</v>
      </c>
      <c r="F721" s="3" t="n">
        <f aca="false">IF(C721="848630",0,1)</f>
        <v>1</v>
      </c>
    </row>
    <row r="722" customFormat="false" ht="15" hidden="false" customHeight="false" outlineLevel="0" collapsed="false">
      <c r="A722" s="12" t="n">
        <v>45323</v>
      </c>
      <c r="B722" s="9" t="s">
        <v>113</v>
      </c>
      <c r="C722" s="3" t="s">
        <v>107</v>
      </c>
      <c r="D722" s="3" t="n">
        <v>76912987</v>
      </c>
      <c r="E722" s="3" t="s">
        <v>114</v>
      </c>
      <c r="F722" s="3" t="n">
        <f aca="false">IF(C722="848630",0,1)</f>
        <v>1</v>
      </c>
    </row>
    <row r="723" customFormat="false" ht="15" hidden="false" customHeight="false" outlineLevel="0" collapsed="false">
      <c r="A723" s="12" t="n">
        <v>45323</v>
      </c>
      <c r="B723" s="9" t="s">
        <v>113</v>
      </c>
      <c r="C723" s="3" t="s">
        <v>107</v>
      </c>
      <c r="D723" s="3" t="n">
        <v>37424358</v>
      </c>
      <c r="E723" s="3" t="s">
        <v>114</v>
      </c>
      <c r="F723" s="3" t="n">
        <f aca="false">IF(C723="848630",0,1)</f>
        <v>1</v>
      </c>
    </row>
    <row r="724" customFormat="false" ht="15" hidden="false" customHeight="false" outlineLevel="0" collapsed="false">
      <c r="A724" s="12" t="n">
        <v>45323</v>
      </c>
      <c r="B724" s="9" t="s">
        <v>113</v>
      </c>
      <c r="C724" s="3" t="s">
        <v>107</v>
      </c>
      <c r="D724" s="3" t="n">
        <v>7000400</v>
      </c>
      <c r="E724" s="3" t="s">
        <v>114</v>
      </c>
      <c r="F724" s="3" t="n">
        <f aca="false">IF(C724="848630",0,1)</f>
        <v>1</v>
      </c>
    </row>
    <row r="725" customFormat="false" ht="15" hidden="false" customHeight="false" outlineLevel="0" collapsed="false">
      <c r="A725" s="12" t="n">
        <v>45323</v>
      </c>
      <c r="B725" s="9" t="s">
        <v>113</v>
      </c>
      <c r="C725" s="3" t="s">
        <v>107</v>
      </c>
      <c r="D725" s="3" t="n">
        <v>6702383</v>
      </c>
      <c r="E725" s="3" t="s">
        <v>114</v>
      </c>
      <c r="F725" s="3" t="n">
        <f aca="false">IF(C725="848630",0,1)</f>
        <v>1</v>
      </c>
    </row>
    <row r="726" customFormat="false" ht="15" hidden="false" customHeight="false" outlineLevel="0" collapsed="false">
      <c r="A726" s="12" t="n">
        <v>45323</v>
      </c>
      <c r="B726" s="9" t="s">
        <v>113</v>
      </c>
      <c r="C726" s="3" t="s">
        <v>107</v>
      </c>
      <c r="D726" s="3" t="n">
        <v>9658454</v>
      </c>
      <c r="E726" s="3" t="s">
        <v>114</v>
      </c>
      <c r="F726" s="3" t="n">
        <f aca="false">IF(C726="848630",0,1)</f>
        <v>1</v>
      </c>
    </row>
    <row r="727" customFormat="false" ht="15" hidden="false" customHeight="false" outlineLevel="0" collapsed="false">
      <c r="A727" s="12" t="n">
        <v>45323</v>
      </c>
      <c r="B727" s="9" t="s">
        <v>113</v>
      </c>
      <c r="C727" s="3" t="s">
        <v>107</v>
      </c>
      <c r="D727" s="3" t="n">
        <v>36213397</v>
      </c>
      <c r="E727" s="3" t="s">
        <v>114</v>
      </c>
      <c r="F727" s="3" t="n">
        <f aca="false">IF(C727="848630",0,1)</f>
        <v>1</v>
      </c>
    </row>
    <row r="728" customFormat="false" ht="15" hidden="false" customHeight="false" outlineLevel="0" collapsed="false">
      <c r="A728" s="12" t="n">
        <v>45323</v>
      </c>
      <c r="B728" s="9" t="s">
        <v>113</v>
      </c>
      <c r="C728" s="3" t="s">
        <v>107</v>
      </c>
      <c r="D728" s="3" t="n">
        <v>92894030</v>
      </c>
      <c r="E728" s="3" t="s">
        <v>114</v>
      </c>
      <c r="F728" s="3" t="n">
        <f aca="false">IF(C728="848630",0,1)</f>
        <v>1</v>
      </c>
    </row>
    <row r="729" customFormat="false" ht="15" hidden="false" customHeight="false" outlineLevel="0" collapsed="false">
      <c r="A729" s="12" t="n">
        <v>45323</v>
      </c>
      <c r="B729" s="9" t="s">
        <v>113</v>
      </c>
      <c r="C729" s="3" t="s">
        <v>107</v>
      </c>
      <c r="D729" s="3" t="n">
        <v>51024039</v>
      </c>
      <c r="E729" s="3" t="s">
        <v>114</v>
      </c>
      <c r="F729" s="3" t="n">
        <f aca="false">IF(C729="848630",0,1)</f>
        <v>1</v>
      </c>
    </row>
    <row r="730" customFormat="false" ht="15" hidden="false" customHeight="false" outlineLevel="0" collapsed="false">
      <c r="A730" s="12" t="n">
        <v>45323</v>
      </c>
      <c r="B730" s="9" t="s">
        <v>113</v>
      </c>
      <c r="C730" s="3" t="s">
        <v>107</v>
      </c>
      <c r="D730" s="3" t="n">
        <v>2698848</v>
      </c>
      <c r="E730" s="3" t="s">
        <v>114</v>
      </c>
      <c r="F730" s="3" t="n">
        <f aca="false">IF(C730="848630",0,1)</f>
        <v>1</v>
      </c>
    </row>
    <row r="731" customFormat="false" ht="15" hidden="false" customHeight="false" outlineLevel="0" collapsed="false">
      <c r="A731" s="12" t="n">
        <v>45323</v>
      </c>
      <c r="B731" s="9" t="s">
        <v>113</v>
      </c>
      <c r="C731" s="3" t="s">
        <v>107</v>
      </c>
      <c r="D731" s="3" t="n">
        <v>241797084</v>
      </c>
      <c r="E731" s="3" t="s">
        <v>114</v>
      </c>
      <c r="F731" s="3" t="n">
        <f aca="false">IF(C731="848630",0,1)</f>
        <v>1</v>
      </c>
    </row>
    <row r="732" customFormat="false" ht="15" hidden="false" customHeight="false" outlineLevel="0" collapsed="false">
      <c r="A732" s="12" t="n">
        <v>45323</v>
      </c>
      <c r="B732" s="9" t="s">
        <v>113</v>
      </c>
      <c r="C732" s="3" t="s">
        <v>112</v>
      </c>
      <c r="D732" s="3" t="n">
        <v>4797336</v>
      </c>
      <c r="E732" s="3" t="s">
        <v>114</v>
      </c>
      <c r="F732" s="3" t="n">
        <f aca="false">IF(C732="848630",0,1)</f>
        <v>0</v>
      </c>
    </row>
    <row r="733" customFormat="false" ht="15" hidden="false" customHeight="false" outlineLevel="0" collapsed="false">
      <c r="A733" s="12" t="n">
        <v>45323</v>
      </c>
      <c r="B733" s="9" t="s">
        <v>113</v>
      </c>
      <c r="C733" s="3" t="s">
        <v>112</v>
      </c>
      <c r="D733" s="3" t="n">
        <v>799671</v>
      </c>
      <c r="E733" s="3" t="s">
        <v>114</v>
      </c>
      <c r="F733" s="3" t="n">
        <f aca="false">IF(C733="848630",0,1)</f>
        <v>0</v>
      </c>
    </row>
    <row r="734" customFormat="false" ht="15" hidden="false" customHeight="false" outlineLevel="0" collapsed="false">
      <c r="A734" s="12" t="n">
        <v>45323</v>
      </c>
      <c r="B734" s="9" t="s">
        <v>113</v>
      </c>
      <c r="C734" s="3" t="s">
        <v>112</v>
      </c>
      <c r="D734" s="3" t="n">
        <v>10426386</v>
      </c>
      <c r="E734" s="3" t="s">
        <v>114</v>
      </c>
      <c r="F734" s="3" t="n">
        <f aca="false">IF(C734="848630",0,1)</f>
        <v>0</v>
      </c>
    </row>
    <row r="735" customFormat="false" ht="15" hidden="false" customHeight="false" outlineLevel="0" collapsed="false">
      <c r="A735" s="12" t="n">
        <v>45323</v>
      </c>
      <c r="B735" s="9" t="s">
        <v>113</v>
      </c>
      <c r="C735" s="3" t="s">
        <v>112</v>
      </c>
      <c r="D735" s="3" t="n">
        <v>23170246</v>
      </c>
      <c r="E735" s="3" t="s">
        <v>114</v>
      </c>
      <c r="F735" s="3" t="n">
        <f aca="false">IF(C735="848630",0,1)</f>
        <v>0</v>
      </c>
    </row>
    <row r="736" customFormat="false" ht="15" hidden="false" customHeight="false" outlineLevel="0" collapsed="false">
      <c r="A736" s="12" t="n">
        <v>45323</v>
      </c>
      <c r="B736" s="9" t="s">
        <v>113</v>
      </c>
      <c r="C736" s="3" t="s">
        <v>112</v>
      </c>
      <c r="D736" s="3" t="n">
        <v>318706</v>
      </c>
      <c r="E736" s="3" t="s">
        <v>114</v>
      </c>
      <c r="F736" s="3" t="n">
        <f aca="false">IF(C736="848630",0,1)</f>
        <v>0</v>
      </c>
    </row>
    <row r="737" customFormat="false" ht="15" hidden="false" customHeight="false" outlineLevel="0" collapsed="false">
      <c r="A737" s="12" t="n">
        <v>45323</v>
      </c>
      <c r="B737" s="9" t="s">
        <v>113</v>
      </c>
      <c r="C737" s="3" t="s">
        <v>112</v>
      </c>
      <c r="D737" s="3" t="n">
        <v>4260175</v>
      </c>
      <c r="E737" s="3" t="s">
        <v>114</v>
      </c>
      <c r="F737" s="3" t="n">
        <f aca="false">IF(C737="848630",0,1)</f>
        <v>0</v>
      </c>
    </row>
    <row r="738" customFormat="false" ht="15" hidden="false" customHeight="false" outlineLevel="0" collapsed="false">
      <c r="A738" s="12" t="n">
        <v>45323</v>
      </c>
      <c r="B738" s="9" t="s">
        <v>113</v>
      </c>
      <c r="C738" s="3" t="s">
        <v>112</v>
      </c>
      <c r="D738" s="3" t="n">
        <v>34340750</v>
      </c>
      <c r="E738" s="3" t="s">
        <v>114</v>
      </c>
      <c r="F738" s="3" t="n">
        <f aca="false">IF(C738="848630",0,1)</f>
        <v>0</v>
      </c>
    </row>
    <row r="739" customFormat="false" ht="15" hidden="false" customHeight="false" outlineLevel="0" collapsed="false">
      <c r="A739" s="12" t="n">
        <v>45323</v>
      </c>
      <c r="B739" s="9" t="s">
        <v>113</v>
      </c>
      <c r="C739" s="3" t="s">
        <v>108</v>
      </c>
      <c r="D739" s="3" t="n">
        <v>88507825</v>
      </c>
      <c r="E739" s="3" t="s">
        <v>114</v>
      </c>
      <c r="F739" s="3" t="n">
        <f aca="false">IF(C739="848630",0,1)</f>
        <v>1</v>
      </c>
    </row>
    <row r="740" customFormat="false" ht="15" hidden="false" customHeight="false" outlineLevel="0" collapsed="false">
      <c r="A740" s="12" t="n">
        <v>45323</v>
      </c>
      <c r="B740" s="9" t="s">
        <v>113</v>
      </c>
      <c r="C740" s="3" t="s">
        <v>108</v>
      </c>
      <c r="D740" s="3" t="n">
        <v>5807194</v>
      </c>
      <c r="E740" s="3" t="s">
        <v>114</v>
      </c>
      <c r="F740" s="3" t="n">
        <f aca="false">IF(C740="848630",0,1)</f>
        <v>1</v>
      </c>
    </row>
    <row r="741" customFormat="false" ht="15" hidden="false" customHeight="false" outlineLevel="0" collapsed="false">
      <c r="A741" s="12" t="n">
        <v>45323</v>
      </c>
      <c r="B741" s="9" t="s">
        <v>113</v>
      </c>
      <c r="C741" s="3" t="s">
        <v>108</v>
      </c>
      <c r="D741" s="3" t="n">
        <v>1712649</v>
      </c>
      <c r="E741" s="3" t="s">
        <v>114</v>
      </c>
      <c r="F741" s="3" t="n">
        <f aca="false">IF(C741="848630",0,1)</f>
        <v>1</v>
      </c>
    </row>
    <row r="742" customFormat="false" ht="15" hidden="false" customHeight="false" outlineLevel="0" collapsed="false">
      <c r="A742" s="12" t="n">
        <v>45323</v>
      </c>
      <c r="B742" s="9" t="s">
        <v>113</v>
      </c>
      <c r="C742" s="3" t="s">
        <v>108</v>
      </c>
      <c r="D742" s="3" t="n">
        <v>16847415</v>
      </c>
      <c r="E742" s="3" t="s">
        <v>114</v>
      </c>
      <c r="F742" s="3" t="n">
        <f aca="false">IF(C742="848630",0,1)</f>
        <v>1</v>
      </c>
    </row>
    <row r="743" customFormat="false" ht="15" hidden="false" customHeight="false" outlineLevel="0" collapsed="false">
      <c r="A743" s="12" t="n">
        <v>45323</v>
      </c>
      <c r="B743" s="9" t="s">
        <v>113</v>
      </c>
      <c r="C743" s="3" t="s">
        <v>108</v>
      </c>
      <c r="D743" s="3" t="n">
        <v>12225026</v>
      </c>
      <c r="E743" s="3" t="s">
        <v>114</v>
      </c>
      <c r="F743" s="3" t="n">
        <f aca="false">IF(C743="848630",0,1)</f>
        <v>1</v>
      </c>
    </row>
    <row r="744" customFormat="false" ht="15" hidden="false" customHeight="false" outlineLevel="0" collapsed="false">
      <c r="A744" s="12" t="n">
        <v>45323</v>
      </c>
      <c r="B744" s="9" t="s">
        <v>113</v>
      </c>
      <c r="C744" s="3" t="s">
        <v>108</v>
      </c>
      <c r="D744" s="3" t="n">
        <v>11862253</v>
      </c>
      <c r="E744" s="3" t="s">
        <v>114</v>
      </c>
      <c r="F744" s="3" t="n">
        <f aca="false">IF(C744="848630",0,1)</f>
        <v>1</v>
      </c>
    </row>
    <row r="745" customFormat="false" ht="15" hidden="false" customHeight="false" outlineLevel="0" collapsed="false">
      <c r="A745" s="12" t="n">
        <v>45323</v>
      </c>
      <c r="B745" s="9" t="s">
        <v>113</v>
      </c>
      <c r="C745" s="3" t="s">
        <v>109</v>
      </c>
      <c r="D745" s="3" t="n">
        <v>547152</v>
      </c>
      <c r="E745" s="3" t="s">
        <v>114</v>
      </c>
      <c r="F745" s="3" t="n">
        <f aca="false">IF(C745="848630",0,1)</f>
        <v>1</v>
      </c>
    </row>
    <row r="746" customFormat="false" ht="15" hidden="false" customHeight="false" outlineLevel="0" collapsed="false">
      <c r="A746" s="12" t="n">
        <v>45323</v>
      </c>
      <c r="B746" s="9" t="s">
        <v>113</v>
      </c>
      <c r="C746" s="3" t="s">
        <v>109</v>
      </c>
      <c r="D746" s="3" t="n">
        <v>315770</v>
      </c>
      <c r="E746" s="3" t="s">
        <v>114</v>
      </c>
      <c r="F746" s="3" t="n">
        <f aca="false">IF(C746="848630",0,1)</f>
        <v>1</v>
      </c>
    </row>
    <row r="747" customFormat="false" ht="15" hidden="false" customHeight="false" outlineLevel="0" collapsed="false">
      <c r="A747" s="12" t="n">
        <v>45323</v>
      </c>
      <c r="B747" s="9" t="s">
        <v>113</v>
      </c>
      <c r="C747" s="3" t="s">
        <v>109</v>
      </c>
      <c r="D747" s="3" t="n">
        <v>8372941</v>
      </c>
      <c r="E747" s="3" t="s">
        <v>114</v>
      </c>
      <c r="F747" s="3" t="n">
        <f aca="false">IF(C747="848630",0,1)</f>
        <v>1</v>
      </c>
    </row>
    <row r="748" customFormat="false" ht="15" hidden="false" customHeight="false" outlineLevel="0" collapsed="false">
      <c r="A748" s="12" t="n">
        <v>45323</v>
      </c>
      <c r="B748" s="9" t="s">
        <v>113</v>
      </c>
      <c r="C748" s="3" t="s">
        <v>109</v>
      </c>
      <c r="D748" s="3" t="n">
        <v>78735786</v>
      </c>
      <c r="E748" s="3" t="s">
        <v>114</v>
      </c>
      <c r="F748" s="3" t="n">
        <f aca="false">IF(C748="848630",0,1)</f>
        <v>1</v>
      </c>
    </row>
    <row r="749" customFormat="false" ht="15" hidden="false" customHeight="false" outlineLevel="0" collapsed="false">
      <c r="A749" s="12" t="n">
        <v>45323</v>
      </c>
      <c r="B749" s="9" t="s">
        <v>113</v>
      </c>
      <c r="C749" s="3" t="s">
        <v>110</v>
      </c>
      <c r="D749" s="3" t="n">
        <v>4228894</v>
      </c>
      <c r="E749" s="3" t="s">
        <v>114</v>
      </c>
      <c r="F749" s="3" t="n">
        <f aca="false">IF(C749="848630",0,1)</f>
        <v>1</v>
      </c>
    </row>
    <row r="750" customFormat="false" ht="15" hidden="false" customHeight="false" outlineLevel="0" collapsed="false">
      <c r="A750" s="12" t="n">
        <v>45323</v>
      </c>
      <c r="B750" s="9" t="s">
        <v>113</v>
      </c>
      <c r="C750" s="3" t="s">
        <v>111</v>
      </c>
      <c r="D750" s="3" t="n">
        <v>12504464</v>
      </c>
      <c r="E750" s="3" t="s">
        <v>114</v>
      </c>
      <c r="F750" s="3" t="n">
        <f aca="false">IF(C750="848630",0,1)</f>
        <v>1</v>
      </c>
    </row>
    <row r="751" customFormat="false" ht="15" hidden="false" customHeight="false" outlineLevel="0" collapsed="false">
      <c r="A751" s="12" t="n">
        <v>45352</v>
      </c>
      <c r="B751" s="9" t="s">
        <v>113</v>
      </c>
      <c r="C751" s="3" t="s">
        <v>105</v>
      </c>
      <c r="D751" s="3" t="n">
        <v>33182315</v>
      </c>
      <c r="E751" s="3" t="s">
        <v>114</v>
      </c>
      <c r="F751" s="3" t="n">
        <f aca="false">IF(C751="848630",0,1)</f>
        <v>1</v>
      </c>
    </row>
    <row r="752" customFormat="false" ht="15" hidden="false" customHeight="false" outlineLevel="0" collapsed="false">
      <c r="A752" s="12" t="n">
        <v>45352</v>
      </c>
      <c r="B752" s="9" t="s">
        <v>113</v>
      </c>
      <c r="C752" s="3" t="s">
        <v>105</v>
      </c>
      <c r="D752" s="3" t="n">
        <v>18047593</v>
      </c>
      <c r="E752" s="3" t="s">
        <v>114</v>
      </c>
      <c r="F752" s="3" t="n">
        <f aca="false">IF(C752="848630",0,1)</f>
        <v>1</v>
      </c>
    </row>
    <row r="753" customFormat="false" ht="15" hidden="false" customHeight="false" outlineLevel="0" collapsed="false">
      <c r="A753" s="12" t="n">
        <v>45352</v>
      </c>
      <c r="B753" s="9" t="s">
        <v>113</v>
      </c>
      <c r="C753" s="3" t="s">
        <v>105</v>
      </c>
      <c r="D753" s="3" t="n">
        <v>32803864</v>
      </c>
      <c r="E753" s="3" t="s">
        <v>114</v>
      </c>
      <c r="F753" s="3" t="n">
        <f aca="false">IF(C753="848630",0,1)</f>
        <v>1</v>
      </c>
    </row>
    <row r="754" customFormat="false" ht="15" hidden="false" customHeight="false" outlineLevel="0" collapsed="false">
      <c r="A754" s="12" t="n">
        <v>45352</v>
      </c>
      <c r="B754" s="9" t="s">
        <v>113</v>
      </c>
      <c r="C754" s="3" t="s">
        <v>105</v>
      </c>
      <c r="D754" s="3" t="n">
        <v>7061249</v>
      </c>
      <c r="E754" s="3" t="s">
        <v>114</v>
      </c>
      <c r="F754" s="3" t="n">
        <f aca="false">IF(C754="848630",0,1)</f>
        <v>1</v>
      </c>
    </row>
    <row r="755" customFormat="false" ht="15" hidden="false" customHeight="false" outlineLevel="0" collapsed="false">
      <c r="A755" s="12" t="n">
        <v>45352</v>
      </c>
      <c r="B755" s="9" t="s">
        <v>113</v>
      </c>
      <c r="C755" s="3" t="s">
        <v>107</v>
      </c>
      <c r="D755" s="3" t="n">
        <v>124292295</v>
      </c>
      <c r="E755" s="3" t="s">
        <v>114</v>
      </c>
      <c r="F755" s="3" t="n">
        <f aca="false">IF(C755="848630",0,1)</f>
        <v>1</v>
      </c>
    </row>
    <row r="756" customFormat="false" ht="15" hidden="false" customHeight="false" outlineLevel="0" collapsed="false">
      <c r="A756" s="12" t="n">
        <v>45352</v>
      </c>
      <c r="B756" s="9" t="s">
        <v>113</v>
      </c>
      <c r="C756" s="3" t="s">
        <v>107</v>
      </c>
      <c r="D756" s="3" t="n">
        <v>52949857</v>
      </c>
      <c r="E756" s="3" t="s">
        <v>114</v>
      </c>
      <c r="F756" s="3" t="n">
        <f aca="false">IF(C756="848630",0,1)</f>
        <v>1</v>
      </c>
    </row>
    <row r="757" customFormat="false" ht="15" hidden="false" customHeight="false" outlineLevel="0" collapsed="false">
      <c r="A757" s="12" t="n">
        <v>45352</v>
      </c>
      <c r="B757" s="9" t="s">
        <v>113</v>
      </c>
      <c r="C757" s="3" t="s">
        <v>107</v>
      </c>
      <c r="D757" s="3" t="n">
        <v>16215534</v>
      </c>
      <c r="E757" s="3" t="s">
        <v>114</v>
      </c>
      <c r="F757" s="3" t="n">
        <f aca="false">IF(C757="848630",0,1)</f>
        <v>1</v>
      </c>
    </row>
    <row r="758" customFormat="false" ht="15" hidden="false" customHeight="false" outlineLevel="0" collapsed="false">
      <c r="A758" s="12" t="n">
        <v>45352</v>
      </c>
      <c r="B758" s="9" t="s">
        <v>113</v>
      </c>
      <c r="C758" s="3" t="s">
        <v>107</v>
      </c>
      <c r="D758" s="3" t="n">
        <v>61119476</v>
      </c>
      <c r="E758" s="3" t="s">
        <v>114</v>
      </c>
      <c r="F758" s="3" t="n">
        <f aca="false">IF(C758="848630",0,1)</f>
        <v>1</v>
      </c>
    </row>
    <row r="759" customFormat="false" ht="15" hidden="false" customHeight="false" outlineLevel="0" collapsed="false">
      <c r="A759" s="12" t="n">
        <v>45352</v>
      </c>
      <c r="B759" s="9" t="s">
        <v>113</v>
      </c>
      <c r="C759" s="3" t="s">
        <v>107</v>
      </c>
      <c r="D759" s="3" t="n">
        <v>34719025</v>
      </c>
      <c r="E759" s="3" t="s">
        <v>114</v>
      </c>
      <c r="F759" s="3" t="n">
        <f aca="false">IF(C759="848630",0,1)</f>
        <v>1</v>
      </c>
    </row>
    <row r="760" customFormat="false" ht="15" hidden="false" customHeight="false" outlineLevel="0" collapsed="false">
      <c r="A760" s="12" t="n">
        <v>45352</v>
      </c>
      <c r="B760" s="9" t="s">
        <v>113</v>
      </c>
      <c r="C760" s="3" t="s">
        <v>107</v>
      </c>
      <c r="D760" s="3" t="n">
        <v>295934800</v>
      </c>
      <c r="E760" s="3" t="s">
        <v>114</v>
      </c>
      <c r="F760" s="3" t="n">
        <f aca="false">IF(C760="848630",0,1)</f>
        <v>1</v>
      </c>
    </row>
    <row r="761" customFormat="false" ht="15" hidden="false" customHeight="false" outlineLevel="0" collapsed="false">
      <c r="A761" s="12" t="n">
        <v>45352</v>
      </c>
      <c r="B761" s="9" t="s">
        <v>113</v>
      </c>
      <c r="C761" s="3" t="s">
        <v>107</v>
      </c>
      <c r="D761" s="3" t="n">
        <v>51326571</v>
      </c>
      <c r="E761" s="3" t="s">
        <v>114</v>
      </c>
      <c r="F761" s="3" t="n">
        <f aca="false">IF(C761="848630",0,1)</f>
        <v>1</v>
      </c>
    </row>
    <row r="762" customFormat="false" ht="15" hidden="false" customHeight="false" outlineLevel="0" collapsed="false">
      <c r="A762" s="12" t="n">
        <v>45352</v>
      </c>
      <c r="B762" s="9" t="s">
        <v>113</v>
      </c>
      <c r="C762" s="3" t="s">
        <v>107</v>
      </c>
      <c r="D762" s="3" t="n">
        <v>14308117</v>
      </c>
      <c r="E762" s="3" t="s">
        <v>114</v>
      </c>
      <c r="F762" s="3" t="n">
        <f aca="false">IF(C762="848630",0,1)</f>
        <v>1</v>
      </c>
    </row>
    <row r="763" customFormat="false" ht="15" hidden="false" customHeight="false" outlineLevel="0" collapsed="false">
      <c r="A763" s="12" t="n">
        <v>45352</v>
      </c>
      <c r="B763" s="9" t="s">
        <v>113</v>
      </c>
      <c r="C763" s="3" t="s">
        <v>107</v>
      </c>
      <c r="D763" s="3" t="n">
        <v>265368283</v>
      </c>
      <c r="E763" s="3" t="s">
        <v>114</v>
      </c>
      <c r="F763" s="3" t="n">
        <f aca="false">IF(C763="848630",0,1)</f>
        <v>1</v>
      </c>
    </row>
    <row r="764" customFormat="false" ht="15" hidden="false" customHeight="false" outlineLevel="0" collapsed="false">
      <c r="A764" s="12" t="n">
        <v>45352</v>
      </c>
      <c r="B764" s="9" t="s">
        <v>113</v>
      </c>
      <c r="C764" s="3" t="s">
        <v>112</v>
      </c>
      <c r="D764" s="3" t="n">
        <v>1084793</v>
      </c>
      <c r="E764" s="3" t="s">
        <v>114</v>
      </c>
      <c r="F764" s="3" t="n">
        <f aca="false">IF(C764="848630",0,1)</f>
        <v>0</v>
      </c>
    </row>
    <row r="765" customFormat="false" ht="15" hidden="false" customHeight="false" outlineLevel="0" collapsed="false">
      <c r="A765" s="12" t="n">
        <v>45352</v>
      </c>
      <c r="B765" s="9" t="s">
        <v>113</v>
      </c>
      <c r="C765" s="3" t="s">
        <v>112</v>
      </c>
      <c r="D765" s="3" t="n">
        <v>2210866</v>
      </c>
      <c r="E765" s="3" t="s">
        <v>114</v>
      </c>
      <c r="F765" s="3" t="n">
        <f aca="false">IF(C765="848630",0,1)</f>
        <v>0</v>
      </c>
    </row>
    <row r="766" customFormat="false" ht="15" hidden="false" customHeight="false" outlineLevel="0" collapsed="false">
      <c r="A766" s="12" t="n">
        <v>45352</v>
      </c>
      <c r="B766" s="9" t="s">
        <v>113</v>
      </c>
      <c r="C766" s="3" t="s">
        <v>112</v>
      </c>
      <c r="D766" s="3" t="n">
        <v>20445048</v>
      </c>
      <c r="E766" s="3" t="s">
        <v>114</v>
      </c>
      <c r="F766" s="3" t="n">
        <f aca="false">IF(C766="848630",0,1)</f>
        <v>0</v>
      </c>
    </row>
    <row r="767" customFormat="false" ht="15" hidden="false" customHeight="false" outlineLevel="0" collapsed="false">
      <c r="A767" s="12" t="n">
        <v>45352</v>
      </c>
      <c r="B767" s="9" t="s">
        <v>113</v>
      </c>
      <c r="C767" s="3" t="s">
        <v>112</v>
      </c>
      <c r="D767" s="3" t="n">
        <v>60632636</v>
      </c>
      <c r="E767" s="3" t="s">
        <v>114</v>
      </c>
      <c r="F767" s="3" t="n">
        <f aca="false">IF(C767="848630",0,1)</f>
        <v>0</v>
      </c>
    </row>
    <row r="768" customFormat="false" ht="15" hidden="false" customHeight="false" outlineLevel="0" collapsed="false">
      <c r="A768" s="12" t="n">
        <v>45352</v>
      </c>
      <c r="B768" s="9" t="s">
        <v>113</v>
      </c>
      <c r="C768" s="3" t="s">
        <v>112</v>
      </c>
      <c r="D768" s="3" t="n">
        <v>46765</v>
      </c>
      <c r="E768" s="3" t="s">
        <v>114</v>
      </c>
      <c r="F768" s="3" t="n">
        <f aca="false">IF(C768="848630",0,1)</f>
        <v>0</v>
      </c>
    </row>
    <row r="769" customFormat="false" ht="15" hidden="false" customHeight="false" outlineLevel="0" collapsed="false">
      <c r="A769" s="12" t="n">
        <v>45352</v>
      </c>
      <c r="B769" s="9" t="s">
        <v>113</v>
      </c>
      <c r="C769" s="3" t="s">
        <v>112</v>
      </c>
      <c r="D769" s="3" t="n">
        <v>17290627</v>
      </c>
      <c r="E769" s="3" t="s">
        <v>114</v>
      </c>
      <c r="F769" s="3" t="n">
        <f aca="false">IF(C769="848630",0,1)</f>
        <v>0</v>
      </c>
    </row>
    <row r="770" customFormat="false" ht="15" hidden="false" customHeight="false" outlineLevel="0" collapsed="false">
      <c r="A770" s="12" t="n">
        <v>45352</v>
      </c>
      <c r="B770" s="9" t="s">
        <v>113</v>
      </c>
      <c r="C770" s="3" t="s">
        <v>112</v>
      </c>
      <c r="D770" s="3" t="n">
        <v>74230242</v>
      </c>
      <c r="E770" s="3" t="s">
        <v>114</v>
      </c>
      <c r="F770" s="3" t="n">
        <f aca="false">IF(C770="848630",0,1)</f>
        <v>0</v>
      </c>
    </row>
    <row r="771" customFormat="false" ht="15" hidden="false" customHeight="false" outlineLevel="0" collapsed="false">
      <c r="A771" s="12" t="n">
        <v>45352</v>
      </c>
      <c r="B771" s="9" t="s">
        <v>113</v>
      </c>
      <c r="C771" s="3" t="s">
        <v>108</v>
      </c>
      <c r="D771" s="3" t="n">
        <v>44995818</v>
      </c>
      <c r="E771" s="3" t="s">
        <v>114</v>
      </c>
      <c r="F771" s="3" t="n">
        <f aca="false">IF(C771="848630",0,1)</f>
        <v>1</v>
      </c>
    </row>
    <row r="772" customFormat="false" ht="15" hidden="false" customHeight="false" outlineLevel="0" collapsed="false">
      <c r="A772" s="12" t="n">
        <v>45352</v>
      </c>
      <c r="B772" s="9" t="s">
        <v>113</v>
      </c>
      <c r="C772" s="3" t="s">
        <v>108</v>
      </c>
      <c r="D772" s="3" t="n">
        <v>1030015</v>
      </c>
      <c r="E772" s="3" t="s">
        <v>114</v>
      </c>
      <c r="F772" s="3" t="n">
        <f aca="false">IF(C772="848630",0,1)</f>
        <v>1</v>
      </c>
    </row>
    <row r="773" customFormat="false" ht="15" hidden="false" customHeight="false" outlineLevel="0" collapsed="false">
      <c r="A773" s="12" t="n">
        <v>45352</v>
      </c>
      <c r="B773" s="9" t="s">
        <v>113</v>
      </c>
      <c r="C773" s="3" t="s">
        <v>108</v>
      </c>
      <c r="D773" s="3" t="n">
        <v>1518847</v>
      </c>
      <c r="E773" s="3" t="s">
        <v>114</v>
      </c>
      <c r="F773" s="3" t="n">
        <f aca="false">IF(C773="848630",0,1)</f>
        <v>1</v>
      </c>
    </row>
    <row r="774" customFormat="false" ht="15" hidden="false" customHeight="false" outlineLevel="0" collapsed="false">
      <c r="A774" s="12" t="n">
        <v>45352</v>
      </c>
      <c r="B774" s="9" t="s">
        <v>113</v>
      </c>
      <c r="C774" s="3" t="s">
        <v>108</v>
      </c>
      <c r="D774" s="3" t="n">
        <v>10860653</v>
      </c>
      <c r="E774" s="3" t="s">
        <v>114</v>
      </c>
      <c r="F774" s="3" t="n">
        <f aca="false">IF(C774="848630",0,1)</f>
        <v>1</v>
      </c>
    </row>
    <row r="775" customFormat="false" ht="15" hidden="false" customHeight="false" outlineLevel="0" collapsed="false">
      <c r="A775" s="12" t="n">
        <v>45352</v>
      </c>
      <c r="B775" s="9" t="s">
        <v>113</v>
      </c>
      <c r="C775" s="3" t="s">
        <v>108</v>
      </c>
      <c r="D775" s="3" t="n">
        <v>6460481</v>
      </c>
      <c r="E775" s="3" t="s">
        <v>114</v>
      </c>
      <c r="F775" s="3" t="n">
        <f aca="false">IF(C775="848630",0,1)</f>
        <v>1</v>
      </c>
    </row>
    <row r="776" customFormat="false" ht="15" hidden="false" customHeight="false" outlineLevel="0" collapsed="false">
      <c r="A776" s="12" t="n">
        <v>45352</v>
      </c>
      <c r="B776" s="9" t="s">
        <v>113</v>
      </c>
      <c r="C776" s="3" t="s">
        <v>108</v>
      </c>
      <c r="D776" s="3" t="n">
        <v>21232851</v>
      </c>
      <c r="E776" s="3" t="s">
        <v>114</v>
      </c>
      <c r="F776" s="3" t="n">
        <f aca="false">IF(C776="848630",0,1)</f>
        <v>1</v>
      </c>
    </row>
    <row r="777" customFormat="false" ht="15" hidden="false" customHeight="false" outlineLevel="0" collapsed="false">
      <c r="A777" s="12" t="n">
        <v>45352</v>
      </c>
      <c r="B777" s="9" t="s">
        <v>113</v>
      </c>
      <c r="C777" s="3" t="s">
        <v>109</v>
      </c>
      <c r="D777" s="3" t="n">
        <v>4358602</v>
      </c>
      <c r="E777" s="3" t="s">
        <v>114</v>
      </c>
      <c r="F777" s="3" t="n">
        <f aca="false">IF(C777="848630",0,1)</f>
        <v>1</v>
      </c>
    </row>
    <row r="778" customFormat="false" ht="15" hidden="false" customHeight="false" outlineLevel="0" collapsed="false">
      <c r="A778" s="12" t="n">
        <v>45352</v>
      </c>
      <c r="B778" s="9" t="s">
        <v>113</v>
      </c>
      <c r="C778" s="3" t="s">
        <v>109</v>
      </c>
      <c r="D778" s="3" t="n">
        <v>551997</v>
      </c>
      <c r="E778" s="3" t="s">
        <v>114</v>
      </c>
      <c r="F778" s="3" t="n">
        <f aca="false">IF(C778="848630",0,1)</f>
        <v>1</v>
      </c>
    </row>
    <row r="779" customFormat="false" ht="15" hidden="false" customHeight="false" outlineLevel="0" collapsed="false">
      <c r="A779" s="12" t="n">
        <v>45352</v>
      </c>
      <c r="B779" s="9" t="s">
        <v>113</v>
      </c>
      <c r="C779" s="3" t="s">
        <v>109</v>
      </c>
      <c r="D779" s="3" t="n">
        <v>7820923</v>
      </c>
      <c r="E779" s="3" t="s">
        <v>114</v>
      </c>
      <c r="F779" s="3" t="n">
        <f aca="false">IF(C779="848630",0,1)</f>
        <v>1</v>
      </c>
    </row>
    <row r="780" customFormat="false" ht="15" hidden="false" customHeight="false" outlineLevel="0" collapsed="false">
      <c r="A780" s="12" t="n">
        <v>45352</v>
      </c>
      <c r="B780" s="9" t="s">
        <v>113</v>
      </c>
      <c r="C780" s="3" t="s">
        <v>109</v>
      </c>
      <c r="D780" s="3" t="n">
        <v>102173228</v>
      </c>
      <c r="E780" s="3" t="s">
        <v>114</v>
      </c>
      <c r="F780" s="3" t="n">
        <f aca="false">IF(C780="848630",0,1)</f>
        <v>1</v>
      </c>
    </row>
    <row r="781" customFormat="false" ht="15" hidden="false" customHeight="false" outlineLevel="0" collapsed="false">
      <c r="A781" s="12" t="n">
        <v>45352</v>
      </c>
      <c r="B781" s="9" t="s">
        <v>113</v>
      </c>
      <c r="C781" s="3" t="s">
        <v>110</v>
      </c>
      <c r="D781" s="3" t="n">
        <v>11855105</v>
      </c>
      <c r="E781" s="3" t="s">
        <v>114</v>
      </c>
      <c r="F781" s="3" t="n">
        <f aca="false">IF(C781="848630",0,1)</f>
        <v>1</v>
      </c>
    </row>
    <row r="782" customFormat="false" ht="15" hidden="false" customHeight="false" outlineLevel="0" collapsed="false">
      <c r="A782" s="12" t="n">
        <v>45352</v>
      </c>
      <c r="B782" s="9" t="s">
        <v>113</v>
      </c>
      <c r="C782" s="3" t="s">
        <v>111</v>
      </c>
      <c r="D782" s="3" t="n">
        <v>23254594</v>
      </c>
      <c r="E782" s="3" t="s">
        <v>114</v>
      </c>
      <c r="F782" s="3" t="n">
        <f aca="false">IF(C782="848630",0,1)</f>
        <v>1</v>
      </c>
    </row>
    <row r="783" customFormat="false" ht="15" hidden="false" customHeight="false" outlineLevel="0" collapsed="false">
      <c r="A783" s="12" t="n">
        <v>45383</v>
      </c>
      <c r="B783" s="9" t="s">
        <v>113</v>
      </c>
      <c r="C783" s="3" t="s">
        <v>105</v>
      </c>
      <c r="D783" s="3" t="n">
        <v>23172692</v>
      </c>
      <c r="E783" s="3" t="s">
        <v>114</v>
      </c>
      <c r="F783" s="3" t="n">
        <f aca="false">IF(C783="848630",0,1)</f>
        <v>1</v>
      </c>
    </row>
    <row r="784" customFormat="false" ht="15" hidden="false" customHeight="false" outlineLevel="0" collapsed="false">
      <c r="A784" s="12" t="n">
        <v>45383</v>
      </c>
      <c r="B784" s="9" t="s">
        <v>113</v>
      </c>
      <c r="C784" s="3" t="s">
        <v>105</v>
      </c>
      <c r="D784" s="3" t="n">
        <v>22412707</v>
      </c>
      <c r="E784" s="3" t="s">
        <v>114</v>
      </c>
      <c r="F784" s="3" t="n">
        <f aca="false">IF(C784="848630",0,1)</f>
        <v>1</v>
      </c>
    </row>
    <row r="785" customFormat="false" ht="15" hidden="false" customHeight="false" outlineLevel="0" collapsed="false">
      <c r="A785" s="12" t="n">
        <v>45383</v>
      </c>
      <c r="B785" s="9" t="s">
        <v>113</v>
      </c>
      <c r="C785" s="3" t="s">
        <v>105</v>
      </c>
      <c r="D785" s="3" t="n">
        <v>14371766</v>
      </c>
      <c r="E785" s="3" t="s">
        <v>114</v>
      </c>
      <c r="F785" s="3" t="n">
        <f aca="false">IF(C785="848630",0,1)</f>
        <v>1</v>
      </c>
    </row>
    <row r="786" customFormat="false" ht="15" hidden="false" customHeight="false" outlineLevel="0" collapsed="false">
      <c r="A786" s="12" t="n">
        <v>45383</v>
      </c>
      <c r="B786" s="9" t="s">
        <v>113</v>
      </c>
      <c r="C786" s="3" t="s">
        <v>105</v>
      </c>
      <c r="D786" s="3" t="n">
        <v>8935233</v>
      </c>
      <c r="E786" s="3" t="s">
        <v>114</v>
      </c>
      <c r="F786" s="3" t="n">
        <f aca="false">IF(C786="848630",0,1)</f>
        <v>1</v>
      </c>
    </row>
    <row r="787" customFormat="false" ht="15" hidden="false" customHeight="false" outlineLevel="0" collapsed="false">
      <c r="A787" s="12" t="n">
        <v>45383</v>
      </c>
      <c r="B787" s="9" t="s">
        <v>113</v>
      </c>
      <c r="C787" s="3" t="s">
        <v>107</v>
      </c>
      <c r="D787" s="3" t="n">
        <v>121893811</v>
      </c>
      <c r="E787" s="3" t="s">
        <v>114</v>
      </c>
      <c r="F787" s="3" t="n">
        <f aca="false">IF(C787="848630",0,1)</f>
        <v>1</v>
      </c>
    </row>
    <row r="788" customFormat="false" ht="15" hidden="false" customHeight="false" outlineLevel="0" collapsed="false">
      <c r="A788" s="12" t="n">
        <v>45383</v>
      </c>
      <c r="B788" s="9" t="s">
        <v>113</v>
      </c>
      <c r="C788" s="3" t="s">
        <v>107</v>
      </c>
      <c r="D788" s="3" t="n">
        <v>42544048</v>
      </c>
      <c r="E788" s="3" t="s">
        <v>114</v>
      </c>
      <c r="F788" s="3" t="n">
        <f aca="false">IF(C788="848630",0,1)</f>
        <v>1</v>
      </c>
    </row>
    <row r="789" customFormat="false" ht="15" hidden="false" customHeight="false" outlineLevel="0" collapsed="false">
      <c r="A789" s="12" t="n">
        <v>45383</v>
      </c>
      <c r="B789" s="9" t="s">
        <v>113</v>
      </c>
      <c r="C789" s="3" t="s">
        <v>107</v>
      </c>
      <c r="D789" s="3" t="n">
        <v>3274215</v>
      </c>
      <c r="E789" s="3" t="s">
        <v>114</v>
      </c>
      <c r="F789" s="3" t="n">
        <f aca="false">IF(C789="848630",0,1)</f>
        <v>1</v>
      </c>
    </row>
    <row r="790" customFormat="false" ht="15" hidden="false" customHeight="false" outlineLevel="0" collapsed="false">
      <c r="A790" s="12" t="n">
        <v>45383</v>
      </c>
      <c r="B790" s="9" t="s">
        <v>113</v>
      </c>
      <c r="C790" s="3" t="s">
        <v>107</v>
      </c>
      <c r="D790" s="3" t="n">
        <v>465727</v>
      </c>
      <c r="E790" s="3" t="s">
        <v>114</v>
      </c>
      <c r="F790" s="3" t="n">
        <f aca="false">IF(C790="848630",0,1)</f>
        <v>1</v>
      </c>
    </row>
    <row r="791" customFormat="false" ht="15" hidden="false" customHeight="false" outlineLevel="0" collapsed="false">
      <c r="A791" s="12" t="n">
        <v>45383</v>
      </c>
      <c r="B791" s="9" t="s">
        <v>113</v>
      </c>
      <c r="C791" s="3" t="s">
        <v>107</v>
      </c>
      <c r="D791" s="3" t="n">
        <v>47697351</v>
      </c>
      <c r="E791" s="3" t="s">
        <v>114</v>
      </c>
      <c r="F791" s="3" t="n">
        <f aca="false">IF(C791="848630",0,1)</f>
        <v>1</v>
      </c>
    </row>
    <row r="792" customFormat="false" ht="15" hidden="false" customHeight="false" outlineLevel="0" collapsed="false">
      <c r="A792" s="12" t="n">
        <v>45383</v>
      </c>
      <c r="B792" s="9" t="s">
        <v>113</v>
      </c>
      <c r="C792" s="3" t="s">
        <v>107</v>
      </c>
      <c r="D792" s="3" t="n">
        <v>48063736</v>
      </c>
      <c r="E792" s="3" t="s">
        <v>114</v>
      </c>
      <c r="F792" s="3" t="n">
        <f aca="false">IF(C792="848630",0,1)</f>
        <v>1</v>
      </c>
    </row>
    <row r="793" customFormat="false" ht="15" hidden="false" customHeight="false" outlineLevel="0" collapsed="false">
      <c r="A793" s="12" t="n">
        <v>45383</v>
      </c>
      <c r="B793" s="9" t="s">
        <v>113</v>
      </c>
      <c r="C793" s="3" t="s">
        <v>107</v>
      </c>
      <c r="D793" s="3" t="n">
        <v>201358112</v>
      </c>
      <c r="E793" s="3" t="s">
        <v>114</v>
      </c>
      <c r="F793" s="3" t="n">
        <f aca="false">IF(C793="848630",0,1)</f>
        <v>1</v>
      </c>
    </row>
    <row r="794" customFormat="false" ht="15" hidden="false" customHeight="false" outlineLevel="0" collapsed="false">
      <c r="A794" s="12" t="n">
        <v>45383</v>
      </c>
      <c r="B794" s="9" t="s">
        <v>113</v>
      </c>
      <c r="C794" s="3" t="s">
        <v>107</v>
      </c>
      <c r="D794" s="3" t="n">
        <v>33418826</v>
      </c>
      <c r="E794" s="3" t="s">
        <v>114</v>
      </c>
      <c r="F794" s="3" t="n">
        <f aca="false">IF(C794="848630",0,1)</f>
        <v>1</v>
      </c>
    </row>
    <row r="795" customFormat="false" ht="15" hidden="false" customHeight="false" outlineLevel="0" collapsed="false">
      <c r="A795" s="12" t="n">
        <v>45383</v>
      </c>
      <c r="B795" s="9" t="s">
        <v>113</v>
      </c>
      <c r="C795" s="3" t="s">
        <v>107</v>
      </c>
      <c r="D795" s="3" t="n">
        <v>19637574</v>
      </c>
      <c r="E795" s="3" t="s">
        <v>114</v>
      </c>
      <c r="F795" s="3" t="n">
        <f aca="false">IF(C795="848630",0,1)</f>
        <v>1</v>
      </c>
    </row>
    <row r="796" customFormat="false" ht="15" hidden="false" customHeight="false" outlineLevel="0" collapsed="false">
      <c r="A796" s="12" t="n">
        <v>45383</v>
      </c>
      <c r="B796" s="9" t="s">
        <v>113</v>
      </c>
      <c r="C796" s="3" t="s">
        <v>107</v>
      </c>
      <c r="D796" s="3" t="n">
        <v>325542965</v>
      </c>
      <c r="E796" s="3" t="s">
        <v>114</v>
      </c>
      <c r="F796" s="3" t="n">
        <f aca="false">IF(C796="848630",0,1)</f>
        <v>1</v>
      </c>
    </row>
    <row r="797" customFormat="false" ht="15" hidden="false" customHeight="false" outlineLevel="0" collapsed="false">
      <c r="A797" s="12" t="n">
        <v>45383</v>
      </c>
      <c r="B797" s="9" t="s">
        <v>113</v>
      </c>
      <c r="C797" s="3" t="s">
        <v>112</v>
      </c>
      <c r="D797" s="3" t="n">
        <v>1323983</v>
      </c>
      <c r="E797" s="3" t="s">
        <v>114</v>
      </c>
      <c r="F797" s="3" t="n">
        <f aca="false">IF(C797="848630",0,1)</f>
        <v>0</v>
      </c>
    </row>
    <row r="798" customFormat="false" ht="15" hidden="false" customHeight="false" outlineLevel="0" collapsed="false">
      <c r="A798" s="12" t="n">
        <v>45383</v>
      </c>
      <c r="B798" s="9" t="s">
        <v>113</v>
      </c>
      <c r="C798" s="3" t="s">
        <v>112</v>
      </c>
      <c r="D798" s="3" t="n">
        <v>19024449</v>
      </c>
      <c r="E798" s="3" t="s">
        <v>114</v>
      </c>
      <c r="F798" s="3" t="n">
        <f aca="false">IF(C798="848630",0,1)</f>
        <v>0</v>
      </c>
    </row>
    <row r="799" customFormat="false" ht="15" hidden="false" customHeight="false" outlineLevel="0" collapsed="false">
      <c r="A799" s="12" t="n">
        <v>45383</v>
      </c>
      <c r="B799" s="9" t="s">
        <v>113</v>
      </c>
      <c r="C799" s="3" t="s">
        <v>112</v>
      </c>
      <c r="D799" s="3" t="n">
        <v>470989</v>
      </c>
      <c r="E799" s="3" t="s">
        <v>114</v>
      </c>
      <c r="F799" s="3" t="n">
        <f aca="false">IF(C799="848630",0,1)</f>
        <v>0</v>
      </c>
    </row>
    <row r="800" customFormat="false" ht="15" hidden="false" customHeight="false" outlineLevel="0" collapsed="false">
      <c r="A800" s="12" t="n">
        <v>45383</v>
      </c>
      <c r="B800" s="9" t="s">
        <v>113</v>
      </c>
      <c r="C800" s="3" t="s">
        <v>112</v>
      </c>
      <c r="D800" s="3" t="n">
        <v>5731372</v>
      </c>
      <c r="E800" s="3" t="s">
        <v>114</v>
      </c>
      <c r="F800" s="3" t="n">
        <f aca="false">IF(C800="848630",0,1)</f>
        <v>0</v>
      </c>
    </row>
    <row r="801" customFormat="false" ht="15" hidden="false" customHeight="false" outlineLevel="0" collapsed="false">
      <c r="A801" s="12" t="n">
        <v>45383</v>
      </c>
      <c r="B801" s="9" t="s">
        <v>113</v>
      </c>
      <c r="C801" s="3" t="s">
        <v>112</v>
      </c>
      <c r="D801" s="3" t="n">
        <v>26391478</v>
      </c>
      <c r="E801" s="3" t="s">
        <v>114</v>
      </c>
      <c r="F801" s="3" t="n">
        <f aca="false">IF(C801="848630",0,1)</f>
        <v>0</v>
      </c>
    </row>
    <row r="802" customFormat="false" ht="15" hidden="false" customHeight="false" outlineLevel="0" collapsed="false">
      <c r="A802" s="12" t="n">
        <v>45383</v>
      </c>
      <c r="B802" s="9" t="s">
        <v>113</v>
      </c>
      <c r="C802" s="3" t="s">
        <v>108</v>
      </c>
      <c r="D802" s="3" t="n">
        <v>7196552</v>
      </c>
      <c r="E802" s="3" t="s">
        <v>114</v>
      </c>
      <c r="F802" s="3" t="n">
        <f aca="false">IF(C802="848630",0,1)</f>
        <v>1</v>
      </c>
    </row>
    <row r="803" customFormat="false" ht="15" hidden="false" customHeight="false" outlineLevel="0" collapsed="false">
      <c r="A803" s="12" t="n">
        <v>45383</v>
      </c>
      <c r="B803" s="9" t="s">
        <v>113</v>
      </c>
      <c r="C803" s="3" t="s">
        <v>108</v>
      </c>
      <c r="D803" s="3" t="n">
        <v>1469195</v>
      </c>
      <c r="E803" s="3" t="s">
        <v>114</v>
      </c>
      <c r="F803" s="3" t="n">
        <f aca="false">IF(C803="848630",0,1)</f>
        <v>1</v>
      </c>
    </row>
    <row r="804" customFormat="false" ht="15" hidden="false" customHeight="false" outlineLevel="0" collapsed="false">
      <c r="A804" s="12" t="n">
        <v>45383</v>
      </c>
      <c r="B804" s="9" t="s">
        <v>113</v>
      </c>
      <c r="C804" s="3" t="s">
        <v>108</v>
      </c>
      <c r="D804" s="3" t="n">
        <v>3627578</v>
      </c>
      <c r="E804" s="3" t="s">
        <v>114</v>
      </c>
      <c r="F804" s="3" t="n">
        <f aca="false">IF(C804="848630",0,1)</f>
        <v>1</v>
      </c>
    </row>
    <row r="805" customFormat="false" ht="15" hidden="false" customHeight="false" outlineLevel="0" collapsed="false">
      <c r="A805" s="12" t="n">
        <v>45383</v>
      </c>
      <c r="B805" s="9" t="s">
        <v>113</v>
      </c>
      <c r="C805" s="3" t="s">
        <v>108</v>
      </c>
      <c r="D805" s="3" t="n">
        <v>19925959</v>
      </c>
      <c r="E805" s="3" t="s">
        <v>114</v>
      </c>
      <c r="F805" s="3" t="n">
        <f aca="false">IF(C805="848630",0,1)</f>
        <v>1</v>
      </c>
    </row>
    <row r="806" customFormat="false" ht="15" hidden="false" customHeight="false" outlineLevel="0" collapsed="false">
      <c r="A806" s="12" t="n">
        <v>45383</v>
      </c>
      <c r="B806" s="9" t="s">
        <v>113</v>
      </c>
      <c r="C806" s="3" t="s">
        <v>108</v>
      </c>
      <c r="D806" s="3" t="n">
        <v>16895070</v>
      </c>
      <c r="E806" s="3" t="s">
        <v>114</v>
      </c>
      <c r="F806" s="3" t="n">
        <f aca="false">IF(C806="848630",0,1)</f>
        <v>1</v>
      </c>
    </row>
    <row r="807" customFormat="false" ht="15" hidden="false" customHeight="false" outlineLevel="0" collapsed="false">
      <c r="A807" s="12" t="n">
        <v>45383</v>
      </c>
      <c r="B807" s="9" t="s">
        <v>113</v>
      </c>
      <c r="C807" s="3" t="s">
        <v>108</v>
      </c>
      <c r="D807" s="3" t="n">
        <v>18673928</v>
      </c>
      <c r="E807" s="3" t="s">
        <v>114</v>
      </c>
      <c r="F807" s="3" t="n">
        <f aca="false">IF(C807="848630",0,1)</f>
        <v>1</v>
      </c>
    </row>
    <row r="808" customFormat="false" ht="15" hidden="false" customHeight="false" outlineLevel="0" collapsed="false">
      <c r="A808" s="12" t="n">
        <v>45383</v>
      </c>
      <c r="B808" s="9" t="s">
        <v>113</v>
      </c>
      <c r="C808" s="3" t="s">
        <v>109</v>
      </c>
      <c r="D808" s="3" t="n">
        <v>2149671</v>
      </c>
      <c r="E808" s="3" t="s">
        <v>114</v>
      </c>
      <c r="F808" s="3" t="n">
        <f aca="false">IF(C808="848630",0,1)</f>
        <v>1</v>
      </c>
    </row>
    <row r="809" customFormat="false" ht="15" hidden="false" customHeight="false" outlineLevel="0" collapsed="false">
      <c r="A809" s="12" t="n">
        <v>45383</v>
      </c>
      <c r="B809" s="9" t="s">
        <v>113</v>
      </c>
      <c r="C809" s="3" t="s">
        <v>109</v>
      </c>
      <c r="D809" s="3" t="n">
        <v>354174</v>
      </c>
      <c r="E809" s="3" t="s">
        <v>114</v>
      </c>
      <c r="F809" s="3" t="n">
        <f aca="false">IF(C809="848630",0,1)</f>
        <v>1</v>
      </c>
    </row>
    <row r="810" customFormat="false" ht="15" hidden="false" customHeight="false" outlineLevel="0" collapsed="false">
      <c r="A810" s="12" t="n">
        <v>45383</v>
      </c>
      <c r="B810" s="9" t="s">
        <v>113</v>
      </c>
      <c r="C810" s="3" t="s">
        <v>109</v>
      </c>
      <c r="D810" s="3" t="n">
        <v>10434339</v>
      </c>
      <c r="E810" s="3" t="s">
        <v>114</v>
      </c>
      <c r="F810" s="3" t="n">
        <f aca="false">IF(C810="848630",0,1)</f>
        <v>1</v>
      </c>
    </row>
    <row r="811" customFormat="false" ht="15" hidden="false" customHeight="false" outlineLevel="0" collapsed="false">
      <c r="A811" s="12" t="n">
        <v>45383</v>
      </c>
      <c r="B811" s="9" t="s">
        <v>113</v>
      </c>
      <c r="C811" s="3" t="s">
        <v>109</v>
      </c>
      <c r="D811" s="3" t="n">
        <v>95388966</v>
      </c>
      <c r="E811" s="3" t="s">
        <v>114</v>
      </c>
      <c r="F811" s="3" t="n">
        <f aca="false">IF(C811="848630",0,1)</f>
        <v>1</v>
      </c>
    </row>
    <row r="812" customFormat="false" ht="15" hidden="false" customHeight="false" outlineLevel="0" collapsed="false">
      <c r="A812" s="12" t="n">
        <v>45383</v>
      </c>
      <c r="B812" s="9" t="s">
        <v>113</v>
      </c>
      <c r="C812" s="3" t="s">
        <v>110</v>
      </c>
      <c r="D812" s="3" t="n">
        <v>11463646</v>
      </c>
      <c r="E812" s="3" t="s">
        <v>114</v>
      </c>
      <c r="F812" s="3" t="n">
        <f aca="false">IF(C812="848630",0,1)</f>
        <v>1</v>
      </c>
    </row>
    <row r="813" customFormat="false" ht="15" hidden="false" customHeight="false" outlineLevel="0" collapsed="false">
      <c r="A813" s="12" t="n">
        <v>45383</v>
      </c>
      <c r="B813" s="9" t="s">
        <v>113</v>
      </c>
      <c r="C813" s="3" t="s">
        <v>111</v>
      </c>
      <c r="D813" s="3" t="n">
        <v>16660396</v>
      </c>
      <c r="E813" s="3" t="s">
        <v>114</v>
      </c>
      <c r="F813" s="3" t="n">
        <f aca="false">IF(C813="848630",0,1)</f>
        <v>1</v>
      </c>
    </row>
    <row r="814" customFormat="false" ht="15" hidden="false" customHeight="false" outlineLevel="0" collapsed="false">
      <c r="A814" s="12" t="n">
        <v>45413</v>
      </c>
      <c r="B814" s="9" t="s">
        <v>113</v>
      </c>
      <c r="C814" s="3" t="s">
        <v>105</v>
      </c>
      <c r="D814" s="3" t="n">
        <v>26485923</v>
      </c>
      <c r="E814" s="3" t="s">
        <v>114</v>
      </c>
      <c r="F814" s="3" t="n">
        <f aca="false">IF(C814="848630",0,1)</f>
        <v>1</v>
      </c>
    </row>
    <row r="815" customFormat="false" ht="15" hidden="false" customHeight="false" outlineLevel="0" collapsed="false">
      <c r="A815" s="12" t="n">
        <v>45413</v>
      </c>
      <c r="B815" s="9" t="s">
        <v>113</v>
      </c>
      <c r="C815" s="3" t="s">
        <v>105</v>
      </c>
      <c r="D815" s="3" t="n">
        <v>12580186</v>
      </c>
      <c r="E815" s="3" t="s">
        <v>114</v>
      </c>
      <c r="F815" s="3" t="n">
        <f aca="false">IF(C815="848630",0,1)</f>
        <v>1</v>
      </c>
    </row>
    <row r="816" customFormat="false" ht="15" hidden="false" customHeight="false" outlineLevel="0" collapsed="false">
      <c r="A816" s="12" t="n">
        <v>45413</v>
      </c>
      <c r="B816" s="9" t="s">
        <v>113</v>
      </c>
      <c r="C816" s="3" t="s">
        <v>105</v>
      </c>
      <c r="D816" s="3" t="n">
        <v>8274680</v>
      </c>
      <c r="E816" s="3" t="s">
        <v>114</v>
      </c>
      <c r="F816" s="3" t="n">
        <f aca="false">IF(C816="848630",0,1)</f>
        <v>1</v>
      </c>
    </row>
    <row r="817" customFormat="false" ht="15" hidden="false" customHeight="false" outlineLevel="0" collapsed="false">
      <c r="A817" s="12" t="n">
        <v>45413</v>
      </c>
      <c r="B817" s="9" t="s">
        <v>113</v>
      </c>
      <c r="C817" s="3" t="s">
        <v>105</v>
      </c>
      <c r="D817" s="3" t="n">
        <v>9261246</v>
      </c>
      <c r="E817" s="3" t="s">
        <v>114</v>
      </c>
      <c r="F817" s="3" t="n">
        <f aca="false">IF(C817="848630",0,1)</f>
        <v>1</v>
      </c>
    </row>
    <row r="818" customFormat="false" ht="15" hidden="false" customHeight="false" outlineLevel="0" collapsed="false">
      <c r="A818" s="12" t="n">
        <v>45413</v>
      </c>
      <c r="B818" s="9" t="s">
        <v>113</v>
      </c>
      <c r="C818" s="3" t="s">
        <v>107</v>
      </c>
      <c r="D818" s="3" t="n">
        <v>89595316</v>
      </c>
      <c r="E818" s="3" t="s">
        <v>114</v>
      </c>
      <c r="F818" s="3" t="n">
        <f aca="false">IF(C818="848630",0,1)</f>
        <v>1</v>
      </c>
    </row>
    <row r="819" customFormat="false" ht="15" hidden="false" customHeight="false" outlineLevel="0" collapsed="false">
      <c r="A819" s="12" t="n">
        <v>45413</v>
      </c>
      <c r="B819" s="9" t="s">
        <v>113</v>
      </c>
      <c r="C819" s="3" t="s">
        <v>107</v>
      </c>
      <c r="D819" s="3" t="n">
        <v>31886108</v>
      </c>
      <c r="E819" s="3" t="s">
        <v>114</v>
      </c>
      <c r="F819" s="3" t="n">
        <f aca="false">IF(C819="848630",0,1)</f>
        <v>1</v>
      </c>
    </row>
    <row r="820" customFormat="false" ht="15" hidden="false" customHeight="false" outlineLevel="0" collapsed="false">
      <c r="A820" s="12" t="n">
        <v>45413</v>
      </c>
      <c r="B820" s="9" t="s">
        <v>113</v>
      </c>
      <c r="C820" s="3" t="s">
        <v>107</v>
      </c>
      <c r="D820" s="3" t="n">
        <v>39359</v>
      </c>
      <c r="E820" s="3" t="s">
        <v>114</v>
      </c>
      <c r="F820" s="3" t="n">
        <f aca="false">IF(C820="848630",0,1)</f>
        <v>1</v>
      </c>
    </row>
    <row r="821" customFormat="false" ht="15" hidden="false" customHeight="false" outlineLevel="0" collapsed="false">
      <c r="A821" s="12" t="n">
        <v>45413</v>
      </c>
      <c r="B821" s="9" t="s">
        <v>113</v>
      </c>
      <c r="C821" s="3" t="s">
        <v>107</v>
      </c>
      <c r="D821" s="3" t="n">
        <v>10374822</v>
      </c>
      <c r="E821" s="3" t="s">
        <v>114</v>
      </c>
      <c r="F821" s="3" t="n">
        <f aca="false">IF(C821="848630",0,1)</f>
        <v>1</v>
      </c>
    </row>
    <row r="822" customFormat="false" ht="15" hidden="false" customHeight="false" outlineLevel="0" collapsed="false">
      <c r="A822" s="12" t="n">
        <v>45413</v>
      </c>
      <c r="B822" s="9" t="s">
        <v>113</v>
      </c>
      <c r="C822" s="3" t="s">
        <v>107</v>
      </c>
      <c r="D822" s="3" t="n">
        <v>16931850</v>
      </c>
      <c r="E822" s="3" t="s">
        <v>114</v>
      </c>
      <c r="F822" s="3" t="n">
        <f aca="false">IF(C822="848630",0,1)</f>
        <v>1</v>
      </c>
    </row>
    <row r="823" customFormat="false" ht="15" hidden="false" customHeight="false" outlineLevel="0" collapsed="false">
      <c r="A823" s="12" t="n">
        <v>45413</v>
      </c>
      <c r="B823" s="9" t="s">
        <v>113</v>
      </c>
      <c r="C823" s="3" t="s">
        <v>107</v>
      </c>
      <c r="D823" s="3" t="n">
        <v>51958583</v>
      </c>
      <c r="E823" s="3" t="s">
        <v>114</v>
      </c>
      <c r="F823" s="3" t="n">
        <f aca="false">IF(C823="848630",0,1)</f>
        <v>1</v>
      </c>
    </row>
    <row r="824" customFormat="false" ht="15" hidden="false" customHeight="false" outlineLevel="0" collapsed="false">
      <c r="A824" s="12" t="n">
        <v>45413</v>
      </c>
      <c r="B824" s="9" t="s">
        <v>113</v>
      </c>
      <c r="C824" s="3" t="s">
        <v>107</v>
      </c>
      <c r="D824" s="3" t="n">
        <v>169146913</v>
      </c>
      <c r="E824" s="3" t="s">
        <v>114</v>
      </c>
      <c r="F824" s="3" t="n">
        <f aca="false">IF(C824="848630",0,1)</f>
        <v>1</v>
      </c>
    </row>
    <row r="825" customFormat="false" ht="15" hidden="false" customHeight="false" outlineLevel="0" collapsed="false">
      <c r="A825" s="12" t="n">
        <v>45413</v>
      </c>
      <c r="B825" s="9" t="s">
        <v>113</v>
      </c>
      <c r="C825" s="3" t="s">
        <v>107</v>
      </c>
      <c r="D825" s="3" t="n">
        <v>18295394</v>
      </c>
      <c r="E825" s="3" t="s">
        <v>114</v>
      </c>
      <c r="F825" s="3" t="n">
        <f aca="false">IF(C825="848630",0,1)</f>
        <v>1</v>
      </c>
    </row>
    <row r="826" customFormat="false" ht="15" hidden="false" customHeight="false" outlineLevel="0" collapsed="false">
      <c r="A826" s="12" t="n">
        <v>45413</v>
      </c>
      <c r="B826" s="9" t="s">
        <v>113</v>
      </c>
      <c r="C826" s="3" t="s">
        <v>107</v>
      </c>
      <c r="D826" s="3" t="n">
        <v>4718387</v>
      </c>
      <c r="E826" s="3" t="s">
        <v>114</v>
      </c>
      <c r="F826" s="3" t="n">
        <f aca="false">IF(C826="848630",0,1)</f>
        <v>1</v>
      </c>
    </row>
    <row r="827" customFormat="false" ht="15" hidden="false" customHeight="false" outlineLevel="0" collapsed="false">
      <c r="A827" s="12" t="n">
        <v>45413</v>
      </c>
      <c r="B827" s="9" t="s">
        <v>113</v>
      </c>
      <c r="C827" s="3" t="s">
        <v>107</v>
      </c>
      <c r="D827" s="3" t="n">
        <v>317670655</v>
      </c>
      <c r="E827" s="3" t="s">
        <v>114</v>
      </c>
      <c r="F827" s="3" t="n">
        <f aca="false">IF(C827="848630",0,1)</f>
        <v>1</v>
      </c>
    </row>
    <row r="828" customFormat="false" ht="15" hidden="false" customHeight="false" outlineLevel="0" collapsed="false">
      <c r="A828" s="12" t="n">
        <v>45413</v>
      </c>
      <c r="B828" s="9" t="s">
        <v>113</v>
      </c>
      <c r="C828" s="3" t="s">
        <v>112</v>
      </c>
      <c r="D828" s="3" t="n">
        <v>526889</v>
      </c>
      <c r="E828" s="3" t="s">
        <v>114</v>
      </c>
      <c r="F828" s="3" t="n">
        <f aca="false">IF(C828="848630",0,1)</f>
        <v>0</v>
      </c>
    </row>
    <row r="829" customFormat="false" ht="15" hidden="false" customHeight="false" outlineLevel="0" collapsed="false">
      <c r="A829" s="12" t="n">
        <v>45413</v>
      </c>
      <c r="B829" s="9" t="s">
        <v>113</v>
      </c>
      <c r="C829" s="3" t="s">
        <v>112</v>
      </c>
      <c r="D829" s="3" t="n">
        <v>10550</v>
      </c>
      <c r="E829" s="3" t="s">
        <v>114</v>
      </c>
      <c r="F829" s="3" t="n">
        <f aca="false">IF(C829="848630",0,1)</f>
        <v>0</v>
      </c>
    </row>
    <row r="830" customFormat="false" ht="15" hidden="false" customHeight="false" outlineLevel="0" collapsed="false">
      <c r="A830" s="12" t="n">
        <v>45413</v>
      </c>
      <c r="B830" s="9" t="s">
        <v>113</v>
      </c>
      <c r="C830" s="3" t="s">
        <v>112</v>
      </c>
      <c r="D830" s="3" t="n">
        <v>2134738</v>
      </c>
      <c r="E830" s="3" t="s">
        <v>114</v>
      </c>
      <c r="F830" s="3" t="n">
        <f aca="false">IF(C830="848630",0,1)</f>
        <v>0</v>
      </c>
    </row>
    <row r="831" customFormat="false" ht="15" hidden="false" customHeight="false" outlineLevel="0" collapsed="false">
      <c r="A831" s="12" t="n">
        <v>45413</v>
      </c>
      <c r="B831" s="9" t="s">
        <v>113</v>
      </c>
      <c r="C831" s="3" t="s">
        <v>112</v>
      </c>
      <c r="D831" s="3" t="n">
        <v>61919376</v>
      </c>
      <c r="E831" s="3" t="s">
        <v>114</v>
      </c>
      <c r="F831" s="3" t="n">
        <f aca="false">IF(C831="848630",0,1)</f>
        <v>0</v>
      </c>
    </row>
    <row r="832" customFormat="false" ht="15" hidden="false" customHeight="false" outlineLevel="0" collapsed="false">
      <c r="A832" s="12" t="n">
        <v>45413</v>
      </c>
      <c r="B832" s="9" t="s">
        <v>113</v>
      </c>
      <c r="C832" s="3" t="s">
        <v>112</v>
      </c>
      <c r="D832" s="3" t="n">
        <v>263127</v>
      </c>
      <c r="E832" s="3" t="s">
        <v>114</v>
      </c>
      <c r="F832" s="3" t="n">
        <f aca="false">IF(C832="848630",0,1)</f>
        <v>0</v>
      </c>
    </row>
    <row r="833" customFormat="false" ht="15" hidden="false" customHeight="false" outlineLevel="0" collapsed="false">
      <c r="A833" s="12" t="n">
        <v>45413</v>
      </c>
      <c r="B833" s="9" t="s">
        <v>113</v>
      </c>
      <c r="C833" s="3" t="s">
        <v>112</v>
      </c>
      <c r="D833" s="3" t="n">
        <v>6074553</v>
      </c>
      <c r="E833" s="3" t="s">
        <v>114</v>
      </c>
      <c r="F833" s="3" t="n">
        <f aca="false">IF(C833="848630",0,1)</f>
        <v>0</v>
      </c>
    </row>
    <row r="834" customFormat="false" ht="15" hidden="false" customHeight="false" outlineLevel="0" collapsed="false">
      <c r="A834" s="12" t="n">
        <v>45413</v>
      </c>
      <c r="B834" s="9" t="s">
        <v>113</v>
      </c>
      <c r="C834" s="3" t="s">
        <v>112</v>
      </c>
      <c r="D834" s="3" t="n">
        <v>43290694</v>
      </c>
      <c r="E834" s="3" t="s">
        <v>114</v>
      </c>
      <c r="F834" s="3" t="n">
        <f aca="false">IF(C834="848630",0,1)</f>
        <v>0</v>
      </c>
    </row>
    <row r="835" customFormat="false" ht="15" hidden="false" customHeight="false" outlineLevel="0" collapsed="false">
      <c r="A835" s="12" t="n">
        <v>45413</v>
      </c>
      <c r="B835" s="9" t="s">
        <v>113</v>
      </c>
      <c r="C835" s="3" t="s">
        <v>108</v>
      </c>
      <c r="D835" s="3" t="n">
        <v>23923722</v>
      </c>
      <c r="E835" s="3" t="s">
        <v>114</v>
      </c>
      <c r="F835" s="3" t="n">
        <f aca="false">IF(C835="848630",0,1)</f>
        <v>1</v>
      </c>
    </row>
    <row r="836" customFormat="false" ht="15" hidden="false" customHeight="false" outlineLevel="0" collapsed="false">
      <c r="A836" s="12" t="n">
        <v>45413</v>
      </c>
      <c r="B836" s="9" t="s">
        <v>113</v>
      </c>
      <c r="C836" s="3" t="s">
        <v>108</v>
      </c>
      <c r="D836" s="3" t="n">
        <v>220821</v>
      </c>
      <c r="E836" s="3" t="s">
        <v>114</v>
      </c>
      <c r="F836" s="3" t="n">
        <f aca="false">IF(C836="848630",0,1)</f>
        <v>1</v>
      </c>
    </row>
    <row r="837" customFormat="false" ht="15" hidden="false" customHeight="false" outlineLevel="0" collapsed="false">
      <c r="A837" s="12" t="n">
        <v>45413</v>
      </c>
      <c r="B837" s="9" t="s">
        <v>113</v>
      </c>
      <c r="C837" s="3" t="s">
        <v>108</v>
      </c>
      <c r="D837" s="3" t="n">
        <v>1669795</v>
      </c>
      <c r="E837" s="3" t="s">
        <v>114</v>
      </c>
      <c r="F837" s="3" t="n">
        <f aca="false">IF(C837="848630",0,1)</f>
        <v>1</v>
      </c>
    </row>
    <row r="838" customFormat="false" ht="15" hidden="false" customHeight="false" outlineLevel="0" collapsed="false">
      <c r="A838" s="12" t="n">
        <v>45413</v>
      </c>
      <c r="B838" s="9" t="s">
        <v>113</v>
      </c>
      <c r="C838" s="3" t="s">
        <v>108</v>
      </c>
      <c r="D838" s="3" t="n">
        <v>15796362</v>
      </c>
      <c r="E838" s="3" t="s">
        <v>114</v>
      </c>
      <c r="F838" s="3" t="n">
        <f aca="false">IF(C838="848630",0,1)</f>
        <v>1</v>
      </c>
    </row>
    <row r="839" customFormat="false" ht="15" hidden="false" customHeight="false" outlineLevel="0" collapsed="false">
      <c r="A839" s="12" t="n">
        <v>45413</v>
      </c>
      <c r="B839" s="9" t="s">
        <v>113</v>
      </c>
      <c r="C839" s="3" t="s">
        <v>108</v>
      </c>
      <c r="D839" s="3" t="n">
        <v>13509172</v>
      </c>
      <c r="E839" s="3" t="s">
        <v>114</v>
      </c>
      <c r="F839" s="3" t="n">
        <f aca="false">IF(C839="848630",0,1)</f>
        <v>1</v>
      </c>
    </row>
    <row r="840" customFormat="false" ht="15" hidden="false" customHeight="false" outlineLevel="0" collapsed="false">
      <c r="A840" s="12" t="n">
        <v>45413</v>
      </c>
      <c r="B840" s="9" t="s">
        <v>113</v>
      </c>
      <c r="C840" s="3" t="s">
        <v>108</v>
      </c>
      <c r="D840" s="3" t="n">
        <v>21980675</v>
      </c>
      <c r="E840" s="3" t="s">
        <v>114</v>
      </c>
      <c r="F840" s="3" t="n">
        <f aca="false">IF(C840="848630",0,1)</f>
        <v>1</v>
      </c>
    </row>
    <row r="841" customFormat="false" ht="15" hidden="false" customHeight="false" outlineLevel="0" collapsed="false">
      <c r="A841" s="12" t="n">
        <v>45413</v>
      </c>
      <c r="B841" s="9" t="s">
        <v>113</v>
      </c>
      <c r="C841" s="3" t="s">
        <v>109</v>
      </c>
      <c r="D841" s="3" t="n">
        <v>3884263</v>
      </c>
      <c r="E841" s="3" t="s">
        <v>114</v>
      </c>
      <c r="F841" s="3" t="n">
        <f aca="false">IF(C841="848630",0,1)</f>
        <v>1</v>
      </c>
    </row>
    <row r="842" customFormat="false" ht="15" hidden="false" customHeight="false" outlineLevel="0" collapsed="false">
      <c r="A842" s="12" t="n">
        <v>45413</v>
      </c>
      <c r="B842" s="9" t="s">
        <v>113</v>
      </c>
      <c r="C842" s="3" t="s">
        <v>109</v>
      </c>
      <c r="D842" s="3" t="n">
        <v>463229</v>
      </c>
      <c r="E842" s="3" t="s">
        <v>114</v>
      </c>
      <c r="F842" s="3" t="n">
        <f aca="false">IF(C842="848630",0,1)</f>
        <v>1</v>
      </c>
    </row>
    <row r="843" customFormat="false" ht="15" hidden="false" customHeight="false" outlineLevel="0" collapsed="false">
      <c r="A843" s="12" t="n">
        <v>45413</v>
      </c>
      <c r="B843" s="9" t="s">
        <v>113</v>
      </c>
      <c r="C843" s="3" t="s">
        <v>109</v>
      </c>
      <c r="D843" s="3" t="n">
        <v>7453248</v>
      </c>
      <c r="E843" s="3" t="s">
        <v>114</v>
      </c>
      <c r="F843" s="3" t="n">
        <f aca="false">IF(C843="848630",0,1)</f>
        <v>1</v>
      </c>
    </row>
    <row r="844" customFormat="false" ht="15" hidden="false" customHeight="false" outlineLevel="0" collapsed="false">
      <c r="A844" s="12" t="n">
        <v>45413</v>
      </c>
      <c r="B844" s="9" t="s">
        <v>113</v>
      </c>
      <c r="C844" s="3" t="s">
        <v>109</v>
      </c>
      <c r="D844" s="3" t="n">
        <v>92307242</v>
      </c>
      <c r="E844" s="3" t="s">
        <v>114</v>
      </c>
      <c r="F844" s="3" t="n">
        <f aca="false">IF(C844="848630",0,1)</f>
        <v>1</v>
      </c>
    </row>
    <row r="845" customFormat="false" ht="15" hidden="false" customHeight="false" outlineLevel="0" collapsed="false">
      <c r="A845" s="12" t="n">
        <v>45413</v>
      </c>
      <c r="B845" s="9" t="s">
        <v>113</v>
      </c>
      <c r="C845" s="3" t="s">
        <v>110</v>
      </c>
      <c r="D845" s="3" t="n">
        <v>7282611</v>
      </c>
      <c r="E845" s="3" t="s">
        <v>114</v>
      </c>
      <c r="F845" s="3" t="n">
        <f aca="false">IF(C845="848630",0,1)</f>
        <v>1</v>
      </c>
    </row>
    <row r="846" customFormat="false" ht="15" hidden="false" customHeight="false" outlineLevel="0" collapsed="false">
      <c r="A846" s="12" t="n">
        <v>45413</v>
      </c>
      <c r="B846" s="9" t="s">
        <v>113</v>
      </c>
      <c r="C846" s="3" t="s">
        <v>111</v>
      </c>
      <c r="D846" s="3" t="n">
        <v>12262695</v>
      </c>
      <c r="E846" s="3" t="s">
        <v>114</v>
      </c>
      <c r="F846" s="3" t="n">
        <f aca="false">IF(C846="848630",0,1)</f>
        <v>1</v>
      </c>
    </row>
    <row r="847" customFormat="false" ht="15" hidden="false" customHeight="false" outlineLevel="0" collapsed="false">
      <c r="A847" s="12" t="n">
        <v>45444</v>
      </c>
      <c r="B847" s="9" t="s">
        <v>113</v>
      </c>
      <c r="C847" s="3" t="s">
        <v>105</v>
      </c>
      <c r="D847" s="3" t="n">
        <v>23316656</v>
      </c>
      <c r="E847" s="3" t="s">
        <v>114</v>
      </c>
      <c r="F847" s="3" t="n">
        <f aca="false">IF(C847="848630",0,1)</f>
        <v>1</v>
      </c>
    </row>
    <row r="848" customFormat="false" ht="15" hidden="false" customHeight="false" outlineLevel="0" collapsed="false">
      <c r="A848" s="12" t="n">
        <v>45444</v>
      </c>
      <c r="B848" s="9" t="s">
        <v>113</v>
      </c>
      <c r="C848" s="3" t="s">
        <v>105</v>
      </c>
      <c r="D848" s="3" t="n">
        <v>11910060</v>
      </c>
      <c r="E848" s="3" t="s">
        <v>114</v>
      </c>
      <c r="F848" s="3" t="n">
        <f aca="false">IF(C848="848630",0,1)</f>
        <v>1</v>
      </c>
    </row>
    <row r="849" customFormat="false" ht="15" hidden="false" customHeight="false" outlineLevel="0" collapsed="false">
      <c r="A849" s="12" t="n">
        <v>45444</v>
      </c>
      <c r="B849" s="9" t="s">
        <v>113</v>
      </c>
      <c r="C849" s="3" t="s">
        <v>105</v>
      </c>
      <c r="D849" s="3" t="n">
        <v>4084477</v>
      </c>
      <c r="E849" s="3" t="s">
        <v>114</v>
      </c>
      <c r="F849" s="3" t="n">
        <f aca="false">IF(C849="848630",0,1)</f>
        <v>1</v>
      </c>
    </row>
    <row r="850" customFormat="false" ht="15" hidden="false" customHeight="false" outlineLevel="0" collapsed="false">
      <c r="A850" s="12" t="n">
        <v>45444</v>
      </c>
      <c r="B850" s="9" t="s">
        <v>113</v>
      </c>
      <c r="C850" s="3" t="s">
        <v>105</v>
      </c>
      <c r="D850" s="3" t="n">
        <v>8415378</v>
      </c>
      <c r="E850" s="3" t="s">
        <v>114</v>
      </c>
      <c r="F850" s="3" t="n">
        <f aca="false">IF(C850="848630",0,1)</f>
        <v>1</v>
      </c>
    </row>
    <row r="851" customFormat="false" ht="15" hidden="false" customHeight="false" outlineLevel="0" collapsed="false">
      <c r="A851" s="12" t="n">
        <v>45444</v>
      </c>
      <c r="B851" s="9" t="s">
        <v>113</v>
      </c>
      <c r="C851" s="3" t="s">
        <v>107</v>
      </c>
      <c r="D851" s="3" t="n">
        <v>68411029</v>
      </c>
      <c r="E851" s="3" t="s">
        <v>114</v>
      </c>
      <c r="F851" s="3" t="n">
        <f aca="false">IF(C851="848630",0,1)</f>
        <v>1</v>
      </c>
    </row>
    <row r="852" customFormat="false" ht="15" hidden="false" customHeight="false" outlineLevel="0" collapsed="false">
      <c r="A852" s="12" t="n">
        <v>45444</v>
      </c>
      <c r="B852" s="9" t="s">
        <v>113</v>
      </c>
      <c r="C852" s="3" t="s">
        <v>107</v>
      </c>
      <c r="D852" s="3" t="n">
        <v>73124136</v>
      </c>
      <c r="E852" s="3" t="s">
        <v>114</v>
      </c>
      <c r="F852" s="3" t="n">
        <f aca="false">IF(C852="848630",0,1)</f>
        <v>1</v>
      </c>
    </row>
    <row r="853" customFormat="false" ht="15" hidden="false" customHeight="false" outlineLevel="0" collapsed="false">
      <c r="A853" s="12" t="n">
        <v>45444</v>
      </c>
      <c r="B853" s="9" t="s">
        <v>113</v>
      </c>
      <c r="C853" s="3" t="s">
        <v>107</v>
      </c>
      <c r="D853" s="3" t="n">
        <v>3901939</v>
      </c>
      <c r="E853" s="3" t="s">
        <v>114</v>
      </c>
      <c r="F853" s="3" t="n">
        <f aca="false">IF(C853="848630",0,1)</f>
        <v>1</v>
      </c>
    </row>
    <row r="854" customFormat="false" ht="15" hidden="false" customHeight="false" outlineLevel="0" collapsed="false">
      <c r="A854" s="12" t="n">
        <v>45444</v>
      </c>
      <c r="B854" s="9" t="s">
        <v>113</v>
      </c>
      <c r="C854" s="3" t="s">
        <v>107</v>
      </c>
      <c r="D854" s="3" t="n">
        <v>76653401</v>
      </c>
      <c r="E854" s="3" t="s">
        <v>114</v>
      </c>
      <c r="F854" s="3" t="n">
        <f aca="false">IF(C854="848630",0,1)</f>
        <v>1</v>
      </c>
    </row>
    <row r="855" customFormat="false" ht="15" hidden="false" customHeight="false" outlineLevel="0" collapsed="false">
      <c r="A855" s="12" t="n">
        <v>45444</v>
      </c>
      <c r="B855" s="9" t="s">
        <v>113</v>
      </c>
      <c r="C855" s="3" t="s">
        <v>107</v>
      </c>
      <c r="D855" s="3" t="n">
        <v>14624178</v>
      </c>
      <c r="E855" s="3" t="s">
        <v>114</v>
      </c>
      <c r="F855" s="3" t="n">
        <f aca="false">IF(C855="848630",0,1)</f>
        <v>1</v>
      </c>
    </row>
    <row r="856" customFormat="false" ht="15" hidden="false" customHeight="false" outlineLevel="0" collapsed="false">
      <c r="A856" s="12" t="n">
        <v>45444</v>
      </c>
      <c r="B856" s="9" t="s">
        <v>113</v>
      </c>
      <c r="C856" s="3" t="s">
        <v>107</v>
      </c>
      <c r="D856" s="3" t="n">
        <v>119577144</v>
      </c>
      <c r="E856" s="3" t="s">
        <v>114</v>
      </c>
      <c r="F856" s="3" t="n">
        <f aca="false">IF(C856="848630",0,1)</f>
        <v>1</v>
      </c>
    </row>
    <row r="857" customFormat="false" ht="15" hidden="false" customHeight="false" outlineLevel="0" collapsed="false">
      <c r="A857" s="12" t="n">
        <v>45444</v>
      </c>
      <c r="B857" s="9" t="s">
        <v>113</v>
      </c>
      <c r="C857" s="3" t="s">
        <v>107</v>
      </c>
      <c r="D857" s="3" t="n">
        <v>54966000</v>
      </c>
      <c r="E857" s="3" t="s">
        <v>114</v>
      </c>
      <c r="F857" s="3" t="n">
        <f aca="false">IF(C857="848630",0,1)</f>
        <v>1</v>
      </c>
    </row>
    <row r="858" customFormat="false" ht="15" hidden="false" customHeight="false" outlineLevel="0" collapsed="false">
      <c r="A858" s="12" t="n">
        <v>45444</v>
      </c>
      <c r="B858" s="9" t="s">
        <v>113</v>
      </c>
      <c r="C858" s="3" t="s">
        <v>107</v>
      </c>
      <c r="D858" s="3" t="n">
        <v>7240474</v>
      </c>
      <c r="E858" s="3" t="s">
        <v>114</v>
      </c>
      <c r="F858" s="3" t="n">
        <f aca="false">IF(C858="848630",0,1)</f>
        <v>1</v>
      </c>
    </row>
    <row r="859" customFormat="false" ht="15" hidden="false" customHeight="false" outlineLevel="0" collapsed="false">
      <c r="A859" s="12" t="n">
        <v>45444</v>
      </c>
      <c r="B859" s="9" t="s">
        <v>113</v>
      </c>
      <c r="C859" s="3" t="s">
        <v>107</v>
      </c>
      <c r="D859" s="3" t="n">
        <v>315031537</v>
      </c>
      <c r="E859" s="3" t="s">
        <v>114</v>
      </c>
      <c r="F859" s="3" t="n">
        <f aca="false">IF(C859="848630",0,1)</f>
        <v>1</v>
      </c>
    </row>
    <row r="860" customFormat="false" ht="15" hidden="false" customHeight="false" outlineLevel="0" collapsed="false">
      <c r="A860" s="12" t="n">
        <v>45444</v>
      </c>
      <c r="B860" s="9" t="s">
        <v>113</v>
      </c>
      <c r="C860" s="3" t="s">
        <v>112</v>
      </c>
      <c r="D860" s="3" t="n">
        <v>4192557</v>
      </c>
      <c r="E860" s="3" t="s">
        <v>114</v>
      </c>
      <c r="F860" s="3" t="n">
        <f aca="false">IF(C860="848630",0,1)</f>
        <v>0</v>
      </c>
    </row>
    <row r="861" customFormat="false" ht="15" hidden="false" customHeight="false" outlineLevel="0" collapsed="false">
      <c r="A861" s="12" t="n">
        <v>45444</v>
      </c>
      <c r="B861" s="9" t="s">
        <v>113</v>
      </c>
      <c r="C861" s="3" t="s">
        <v>112</v>
      </c>
      <c r="D861" s="3" t="n">
        <v>29971136</v>
      </c>
      <c r="E861" s="3" t="s">
        <v>114</v>
      </c>
      <c r="F861" s="3" t="n">
        <f aca="false">IF(C861="848630",0,1)</f>
        <v>0</v>
      </c>
    </row>
    <row r="862" customFormat="false" ht="15" hidden="false" customHeight="false" outlineLevel="0" collapsed="false">
      <c r="A862" s="12" t="n">
        <v>45444</v>
      </c>
      <c r="B862" s="9" t="s">
        <v>113</v>
      </c>
      <c r="C862" s="3" t="s">
        <v>112</v>
      </c>
      <c r="D862" s="3" t="n">
        <v>32475</v>
      </c>
      <c r="E862" s="3" t="s">
        <v>114</v>
      </c>
      <c r="F862" s="3" t="n">
        <f aca="false">IF(C862="848630",0,1)</f>
        <v>0</v>
      </c>
    </row>
    <row r="863" customFormat="false" ht="15" hidden="false" customHeight="false" outlineLevel="0" collapsed="false">
      <c r="A863" s="12" t="n">
        <v>45444</v>
      </c>
      <c r="B863" s="9" t="s">
        <v>113</v>
      </c>
      <c r="C863" s="3" t="s">
        <v>112</v>
      </c>
      <c r="D863" s="3" t="n">
        <v>6955452</v>
      </c>
      <c r="E863" s="3" t="s">
        <v>114</v>
      </c>
      <c r="F863" s="3" t="n">
        <f aca="false">IF(C863="848630",0,1)</f>
        <v>0</v>
      </c>
    </row>
    <row r="864" customFormat="false" ht="15" hidden="false" customHeight="false" outlineLevel="0" collapsed="false">
      <c r="A864" s="12" t="n">
        <v>45444</v>
      </c>
      <c r="B864" s="9" t="s">
        <v>113</v>
      </c>
      <c r="C864" s="3" t="s">
        <v>112</v>
      </c>
      <c r="D864" s="3" t="n">
        <v>25942173</v>
      </c>
      <c r="E864" s="3" t="s">
        <v>114</v>
      </c>
      <c r="F864" s="3" t="n">
        <f aca="false">IF(C864="848630",0,1)</f>
        <v>0</v>
      </c>
    </row>
    <row r="865" customFormat="false" ht="15" hidden="false" customHeight="false" outlineLevel="0" collapsed="false">
      <c r="A865" s="12" t="n">
        <v>45444</v>
      </c>
      <c r="B865" s="9" t="s">
        <v>113</v>
      </c>
      <c r="C865" s="3" t="s">
        <v>108</v>
      </c>
      <c r="D865" s="3" t="n">
        <v>35162387</v>
      </c>
      <c r="E865" s="3" t="s">
        <v>114</v>
      </c>
      <c r="F865" s="3" t="n">
        <f aca="false">IF(C865="848630",0,1)</f>
        <v>1</v>
      </c>
    </row>
    <row r="866" customFormat="false" ht="15" hidden="false" customHeight="false" outlineLevel="0" collapsed="false">
      <c r="A866" s="12" t="n">
        <v>45444</v>
      </c>
      <c r="B866" s="9" t="s">
        <v>113</v>
      </c>
      <c r="C866" s="3" t="s">
        <v>108</v>
      </c>
      <c r="D866" s="3" t="n">
        <v>853670</v>
      </c>
      <c r="E866" s="3" t="s">
        <v>114</v>
      </c>
      <c r="F866" s="3" t="n">
        <f aca="false">IF(C866="848630",0,1)</f>
        <v>1</v>
      </c>
    </row>
    <row r="867" customFormat="false" ht="15" hidden="false" customHeight="false" outlineLevel="0" collapsed="false">
      <c r="A867" s="12" t="n">
        <v>45444</v>
      </c>
      <c r="B867" s="9" t="s">
        <v>113</v>
      </c>
      <c r="C867" s="3" t="s">
        <v>108</v>
      </c>
      <c r="D867" s="3" t="n">
        <v>1597360</v>
      </c>
      <c r="E867" s="3" t="s">
        <v>114</v>
      </c>
      <c r="F867" s="3" t="n">
        <f aca="false">IF(C867="848630",0,1)</f>
        <v>1</v>
      </c>
    </row>
    <row r="868" customFormat="false" ht="15" hidden="false" customHeight="false" outlineLevel="0" collapsed="false">
      <c r="A868" s="12" t="n">
        <v>45444</v>
      </c>
      <c r="B868" s="9" t="s">
        <v>113</v>
      </c>
      <c r="C868" s="3" t="s">
        <v>108</v>
      </c>
      <c r="D868" s="3" t="n">
        <v>14960510</v>
      </c>
      <c r="E868" s="3" t="s">
        <v>114</v>
      </c>
      <c r="F868" s="3" t="n">
        <f aca="false">IF(C868="848630",0,1)</f>
        <v>1</v>
      </c>
    </row>
    <row r="869" customFormat="false" ht="15" hidden="false" customHeight="false" outlineLevel="0" collapsed="false">
      <c r="A869" s="12" t="n">
        <v>45444</v>
      </c>
      <c r="B869" s="9" t="s">
        <v>113</v>
      </c>
      <c r="C869" s="3" t="s">
        <v>108</v>
      </c>
      <c r="D869" s="3" t="n">
        <v>12394896</v>
      </c>
      <c r="E869" s="3" t="s">
        <v>114</v>
      </c>
      <c r="F869" s="3" t="n">
        <f aca="false">IF(C869="848630",0,1)</f>
        <v>1</v>
      </c>
    </row>
    <row r="870" customFormat="false" ht="15" hidden="false" customHeight="false" outlineLevel="0" collapsed="false">
      <c r="A870" s="12" t="n">
        <v>45444</v>
      </c>
      <c r="B870" s="9" t="s">
        <v>113</v>
      </c>
      <c r="C870" s="3" t="s">
        <v>108</v>
      </c>
      <c r="D870" s="3" t="n">
        <v>20156478</v>
      </c>
      <c r="E870" s="3" t="s">
        <v>114</v>
      </c>
      <c r="F870" s="3" t="n">
        <f aca="false">IF(C870="848630",0,1)</f>
        <v>1</v>
      </c>
    </row>
    <row r="871" customFormat="false" ht="15" hidden="false" customHeight="false" outlineLevel="0" collapsed="false">
      <c r="A871" s="12" t="n">
        <v>45444</v>
      </c>
      <c r="B871" s="9" t="s">
        <v>113</v>
      </c>
      <c r="C871" s="3" t="s">
        <v>109</v>
      </c>
      <c r="D871" s="3" t="n">
        <v>1813248</v>
      </c>
      <c r="E871" s="3" t="s">
        <v>114</v>
      </c>
      <c r="F871" s="3" t="n">
        <f aca="false">IF(C871="848630",0,1)</f>
        <v>1</v>
      </c>
    </row>
    <row r="872" customFormat="false" ht="15" hidden="false" customHeight="false" outlineLevel="0" collapsed="false">
      <c r="A872" s="12" t="n">
        <v>45444</v>
      </c>
      <c r="B872" s="9" t="s">
        <v>113</v>
      </c>
      <c r="C872" s="3" t="s">
        <v>109</v>
      </c>
      <c r="D872" s="3" t="n">
        <v>575788</v>
      </c>
      <c r="E872" s="3" t="s">
        <v>114</v>
      </c>
      <c r="F872" s="3" t="n">
        <f aca="false">IF(C872="848630",0,1)</f>
        <v>1</v>
      </c>
    </row>
    <row r="873" customFormat="false" ht="15" hidden="false" customHeight="false" outlineLevel="0" collapsed="false">
      <c r="A873" s="12" t="n">
        <v>45444</v>
      </c>
      <c r="B873" s="9" t="s">
        <v>113</v>
      </c>
      <c r="C873" s="3" t="s">
        <v>109</v>
      </c>
      <c r="D873" s="3" t="n">
        <v>9641412</v>
      </c>
      <c r="E873" s="3" t="s">
        <v>114</v>
      </c>
      <c r="F873" s="3" t="n">
        <f aca="false">IF(C873="848630",0,1)</f>
        <v>1</v>
      </c>
    </row>
    <row r="874" customFormat="false" ht="15" hidden="false" customHeight="false" outlineLevel="0" collapsed="false">
      <c r="A874" s="12" t="n">
        <v>45444</v>
      </c>
      <c r="B874" s="9" t="s">
        <v>113</v>
      </c>
      <c r="C874" s="3" t="s">
        <v>109</v>
      </c>
      <c r="D874" s="3" t="n">
        <v>111896617</v>
      </c>
      <c r="E874" s="3" t="s">
        <v>114</v>
      </c>
      <c r="F874" s="3" t="n">
        <f aca="false">IF(C874="848630",0,1)</f>
        <v>1</v>
      </c>
    </row>
    <row r="875" customFormat="false" ht="15" hidden="false" customHeight="false" outlineLevel="0" collapsed="false">
      <c r="A875" s="12" t="n">
        <v>45444</v>
      </c>
      <c r="B875" s="9" t="s">
        <v>113</v>
      </c>
      <c r="C875" s="3" t="s">
        <v>110</v>
      </c>
      <c r="D875" s="3" t="n">
        <v>10242073</v>
      </c>
      <c r="E875" s="3" t="s">
        <v>114</v>
      </c>
      <c r="F875" s="3" t="n">
        <f aca="false">IF(C875="848630",0,1)</f>
        <v>1</v>
      </c>
    </row>
    <row r="876" customFormat="false" ht="15" hidden="false" customHeight="false" outlineLevel="0" collapsed="false">
      <c r="A876" s="12" t="n">
        <v>45444</v>
      </c>
      <c r="B876" s="9" t="s">
        <v>113</v>
      </c>
      <c r="C876" s="3" t="s">
        <v>111</v>
      </c>
      <c r="D876" s="3" t="n">
        <v>14419656</v>
      </c>
      <c r="E876" s="3" t="s">
        <v>114</v>
      </c>
      <c r="F876" s="3" t="n">
        <f aca="false">IF(C876="848630",0,1)</f>
        <v>1</v>
      </c>
    </row>
    <row r="877" customFormat="false" ht="15" hidden="false" customHeight="false" outlineLevel="0" collapsed="false">
      <c r="A877" s="12" t="n">
        <v>45474</v>
      </c>
      <c r="B877" s="9" t="s">
        <v>113</v>
      </c>
      <c r="C877" s="3" t="s">
        <v>105</v>
      </c>
      <c r="D877" s="3" t="n">
        <v>632184</v>
      </c>
      <c r="E877" s="3" t="s">
        <v>114</v>
      </c>
      <c r="F877" s="3" t="n">
        <f aca="false">IF(C877="848630",0,1)</f>
        <v>1</v>
      </c>
    </row>
    <row r="878" customFormat="false" ht="15" hidden="false" customHeight="false" outlineLevel="0" collapsed="false">
      <c r="A878" s="12" t="n">
        <v>45474</v>
      </c>
      <c r="B878" s="9" t="s">
        <v>113</v>
      </c>
      <c r="C878" s="3" t="s">
        <v>105</v>
      </c>
      <c r="D878" s="3" t="n">
        <v>28962789</v>
      </c>
      <c r="E878" s="3" t="s">
        <v>114</v>
      </c>
      <c r="F878" s="3" t="n">
        <f aca="false">IF(C878="848630",0,1)</f>
        <v>1</v>
      </c>
    </row>
    <row r="879" customFormat="false" ht="15" hidden="false" customHeight="false" outlineLevel="0" collapsed="false">
      <c r="A879" s="12" t="n">
        <v>45474</v>
      </c>
      <c r="B879" s="9" t="s">
        <v>113</v>
      </c>
      <c r="C879" s="3" t="s">
        <v>105</v>
      </c>
      <c r="D879" s="3" t="n">
        <v>9591866</v>
      </c>
      <c r="E879" s="3" t="s">
        <v>114</v>
      </c>
      <c r="F879" s="3" t="n">
        <f aca="false">IF(C879="848630",0,1)</f>
        <v>1</v>
      </c>
    </row>
    <row r="880" customFormat="false" ht="15" hidden="false" customHeight="false" outlineLevel="0" collapsed="false">
      <c r="A880" s="12" t="n">
        <v>45474</v>
      </c>
      <c r="B880" s="9" t="s">
        <v>113</v>
      </c>
      <c r="C880" s="3" t="s">
        <v>105</v>
      </c>
      <c r="D880" s="3" t="n">
        <v>25372083</v>
      </c>
      <c r="E880" s="3" t="s">
        <v>114</v>
      </c>
      <c r="F880" s="3" t="n">
        <f aca="false">IF(C880="848630",0,1)</f>
        <v>1</v>
      </c>
    </row>
    <row r="881" customFormat="false" ht="15" hidden="false" customHeight="false" outlineLevel="0" collapsed="false">
      <c r="A881" s="12" t="n">
        <v>45474</v>
      </c>
      <c r="B881" s="9" t="s">
        <v>113</v>
      </c>
      <c r="C881" s="3" t="s">
        <v>105</v>
      </c>
      <c r="D881" s="3" t="n">
        <v>10863262</v>
      </c>
      <c r="E881" s="3" t="s">
        <v>114</v>
      </c>
      <c r="F881" s="3" t="n">
        <f aca="false">IF(C881="848630",0,1)</f>
        <v>1</v>
      </c>
    </row>
    <row r="882" customFormat="false" ht="15" hidden="false" customHeight="false" outlineLevel="0" collapsed="false">
      <c r="A882" s="12" t="n">
        <v>45474</v>
      </c>
      <c r="B882" s="9" t="s">
        <v>113</v>
      </c>
      <c r="C882" s="3" t="s">
        <v>107</v>
      </c>
      <c r="D882" s="3" t="n">
        <v>56086660</v>
      </c>
      <c r="E882" s="3" t="s">
        <v>114</v>
      </c>
      <c r="F882" s="3" t="n">
        <f aca="false">IF(C882="848630",0,1)</f>
        <v>1</v>
      </c>
    </row>
    <row r="883" customFormat="false" ht="15" hidden="false" customHeight="false" outlineLevel="0" collapsed="false">
      <c r="A883" s="12" t="n">
        <v>45474</v>
      </c>
      <c r="B883" s="9" t="s">
        <v>113</v>
      </c>
      <c r="C883" s="3" t="s">
        <v>107</v>
      </c>
      <c r="D883" s="3" t="n">
        <v>57338149</v>
      </c>
      <c r="E883" s="3" t="s">
        <v>114</v>
      </c>
      <c r="F883" s="3" t="n">
        <f aca="false">IF(C883="848630",0,1)</f>
        <v>1</v>
      </c>
    </row>
    <row r="884" customFormat="false" ht="15" hidden="false" customHeight="false" outlineLevel="0" collapsed="false">
      <c r="A884" s="12" t="n">
        <v>45474</v>
      </c>
      <c r="B884" s="9" t="s">
        <v>113</v>
      </c>
      <c r="C884" s="3" t="s">
        <v>107</v>
      </c>
      <c r="D884" s="3" t="n">
        <v>2239642</v>
      </c>
      <c r="E884" s="3" t="s">
        <v>114</v>
      </c>
      <c r="F884" s="3" t="n">
        <f aca="false">IF(C884="848630",0,1)</f>
        <v>1</v>
      </c>
    </row>
    <row r="885" customFormat="false" ht="15" hidden="false" customHeight="false" outlineLevel="0" collapsed="false">
      <c r="A885" s="12" t="n">
        <v>45474</v>
      </c>
      <c r="B885" s="9" t="s">
        <v>113</v>
      </c>
      <c r="C885" s="3" t="s">
        <v>107</v>
      </c>
      <c r="D885" s="3" t="n">
        <v>9448983</v>
      </c>
      <c r="E885" s="3" t="s">
        <v>114</v>
      </c>
      <c r="F885" s="3" t="n">
        <f aca="false">IF(C885="848630",0,1)</f>
        <v>1</v>
      </c>
    </row>
    <row r="886" customFormat="false" ht="15" hidden="false" customHeight="false" outlineLevel="0" collapsed="false">
      <c r="A886" s="12" t="n">
        <v>45474</v>
      </c>
      <c r="B886" s="9" t="s">
        <v>113</v>
      </c>
      <c r="C886" s="3" t="s">
        <v>107</v>
      </c>
      <c r="D886" s="3" t="n">
        <v>21271060</v>
      </c>
      <c r="E886" s="3" t="s">
        <v>114</v>
      </c>
      <c r="F886" s="3" t="n">
        <f aca="false">IF(C886="848630",0,1)</f>
        <v>1</v>
      </c>
    </row>
    <row r="887" customFormat="false" ht="15" hidden="false" customHeight="false" outlineLevel="0" collapsed="false">
      <c r="A887" s="12" t="n">
        <v>45474</v>
      </c>
      <c r="B887" s="9" t="s">
        <v>113</v>
      </c>
      <c r="C887" s="3" t="s">
        <v>107</v>
      </c>
      <c r="D887" s="3" t="n">
        <v>40430475</v>
      </c>
      <c r="E887" s="3" t="s">
        <v>114</v>
      </c>
      <c r="F887" s="3" t="n">
        <f aca="false">IF(C887="848630",0,1)</f>
        <v>1</v>
      </c>
    </row>
    <row r="888" customFormat="false" ht="15" hidden="false" customHeight="false" outlineLevel="0" collapsed="false">
      <c r="A888" s="12" t="n">
        <v>45474</v>
      </c>
      <c r="B888" s="9" t="s">
        <v>113</v>
      </c>
      <c r="C888" s="3" t="s">
        <v>107</v>
      </c>
      <c r="D888" s="3" t="n">
        <v>68747545</v>
      </c>
      <c r="E888" s="3" t="s">
        <v>114</v>
      </c>
      <c r="F888" s="3" t="n">
        <f aca="false">IF(C888="848630",0,1)</f>
        <v>1</v>
      </c>
    </row>
    <row r="889" customFormat="false" ht="15" hidden="false" customHeight="false" outlineLevel="0" collapsed="false">
      <c r="A889" s="12" t="n">
        <v>45474</v>
      </c>
      <c r="B889" s="9" t="s">
        <v>113</v>
      </c>
      <c r="C889" s="3" t="s">
        <v>107</v>
      </c>
      <c r="D889" s="3" t="n">
        <v>71029921</v>
      </c>
      <c r="E889" s="3" t="s">
        <v>114</v>
      </c>
      <c r="F889" s="3" t="n">
        <f aca="false">IF(C889="848630",0,1)</f>
        <v>1</v>
      </c>
    </row>
    <row r="890" customFormat="false" ht="15" hidden="false" customHeight="false" outlineLevel="0" collapsed="false">
      <c r="A890" s="12" t="n">
        <v>45474</v>
      </c>
      <c r="B890" s="9" t="s">
        <v>113</v>
      </c>
      <c r="C890" s="3" t="s">
        <v>107</v>
      </c>
      <c r="D890" s="3" t="n">
        <v>10215308</v>
      </c>
      <c r="E890" s="3" t="s">
        <v>114</v>
      </c>
      <c r="F890" s="3" t="n">
        <f aca="false">IF(C890="848630",0,1)</f>
        <v>1</v>
      </c>
    </row>
    <row r="891" customFormat="false" ht="15" hidden="false" customHeight="false" outlineLevel="0" collapsed="false">
      <c r="A891" s="12" t="n">
        <v>45474</v>
      </c>
      <c r="B891" s="9" t="s">
        <v>113</v>
      </c>
      <c r="C891" s="3" t="s">
        <v>107</v>
      </c>
      <c r="D891" s="3" t="n">
        <v>278475517</v>
      </c>
      <c r="E891" s="3" t="s">
        <v>114</v>
      </c>
      <c r="F891" s="3" t="n">
        <f aca="false">IF(C891="848630",0,1)</f>
        <v>1</v>
      </c>
    </row>
    <row r="892" customFormat="false" ht="15" hidden="false" customHeight="false" outlineLevel="0" collapsed="false">
      <c r="A892" s="12" t="n">
        <v>45474</v>
      </c>
      <c r="B892" s="9" t="s">
        <v>113</v>
      </c>
      <c r="C892" s="3" t="s">
        <v>112</v>
      </c>
      <c r="D892" s="3" t="n">
        <v>708744</v>
      </c>
      <c r="E892" s="3" t="s">
        <v>114</v>
      </c>
      <c r="F892" s="3" t="n">
        <f aca="false">IF(C892="848630",0,1)</f>
        <v>0</v>
      </c>
    </row>
    <row r="893" customFormat="false" ht="15" hidden="false" customHeight="false" outlineLevel="0" collapsed="false">
      <c r="A893" s="12" t="n">
        <v>45474</v>
      </c>
      <c r="B893" s="9" t="s">
        <v>113</v>
      </c>
      <c r="C893" s="3" t="s">
        <v>112</v>
      </c>
      <c r="D893" s="3" t="n">
        <v>8927549</v>
      </c>
      <c r="E893" s="3" t="s">
        <v>114</v>
      </c>
      <c r="F893" s="3" t="n">
        <f aca="false">IF(C893="848630",0,1)</f>
        <v>0</v>
      </c>
    </row>
    <row r="894" customFormat="false" ht="15" hidden="false" customHeight="false" outlineLevel="0" collapsed="false">
      <c r="A894" s="12" t="n">
        <v>45474</v>
      </c>
      <c r="B894" s="9" t="s">
        <v>113</v>
      </c>
      <c r="C894" s="3" t="s">
        <v>112</v>
      </c>
      <c r="D894" s="3" t="n">
        <v>14250263</v>
      </c>
      <c r="E894" s="3" t="s">
        <v>114</v>
      </c>
      <c r="F894" s="3" t="n">
        <f aca="false">IF(C894="848630",0,1)</f>
        <v>0</v>
      </c>
    </row>
    <row r="895" customFormat="false" ht="15" hidden="false" customHeight="false" outlineLevel="0" collapsed="false">
      <c r="A895" s="12" t="n">
        <v>45474</v>
      </c>
      <c r="B895" s="9" t="s">
        <v>113</v>
      </c>
      <c r="C895" s="3" t="s">
        <v>112</v>
      </c>
      <c r="D895" s="3" t="n">
        <v>312259</v>
      </c>
      <c r="E895" s="3" t="s">
        <v>114</v>
      </c>
      <c r="F895" s="3" t="n">
        <f aca="false">IF(C895="848630",0,1)</f>
        <v>0</v>
      </c>
    </row>
    <row r="896" customFormat="false" ht="15" hidden="false" customHeight="false" outlineLevel="0" collapsed="false">
      <c r="A896" s="12" t="n">
        <v>45474</v>
      </c>
      <c r="B896" s="9" t="s">
        <v>113</v>
      </c>
      <c r="C896" s="3" t="s">
        <v>112</v>
      </c>
      <c r="D896" s="3" t="n">
        <v>7300824</v>
      </c>
      <c r="E896" s="3" t="s">
        <v>114</v>
      </c>
      <c r="F896" s="3" t="n">
        <f aca="false">IF(C896="848630",0,1)</f>
        <v>0</v>
      </c>
    </row>
    <row r="897" customFormat="false" ht="15" hidden="false" customHeight="false" outlineLevel="0" collapsed="false">
      <c r="A897" s="12" t="n">
        <v>45474</v>
      </c>
      <c r="B897" s="9" t="s">
        <v>113</v>
      </c>
      <c r="C897" s="3" t="s">
        <v>112</v>
      </c>
      <c r="D897" s="3" t="n">
        <v>18830713</v>
      </c>
      <c r="E897" s="3" t="s">
        <v>114</v>
      </c>
      <c r="F897" s="3" t="n">
        <f aca="false">IF(C897="848630",0,1)</f>
        <v>0</v>
      </c>
    </row>
    <row r="898" customFormat="false" ht="15" hidden="false" customHeight="false" outlineLevel="0" collapsed="false">
      <c r="A898" s="12" t="n">
        <v>45474</v>
      </c>
      <c r="B898" s="9" t="s">
        <v>113</v>
      </c>
      <c r="C898" s="3" t="s">
        <v>108</v>
      </c>
      <c r="D898" s="3" t="n">
        <v>27941822</v>
      </c>
      <c r="E898" s="3" t="s">
        <v>114</v>
      </c>
      <c r="F898" s="3" t="n">
        <f aca="false">IF(C898="848630",0,1)</f>
        <v>1</v>
      </c>
    </row>
    <row r="899" customFormat="false" ht="15" hidden="false" customHeight="false" outlineLevel="0" collapsed="false">
      <c r="A899" s="12" t="n">
        <v>45474</v>
      </c>
      <c r="B899" s="9" t="s">
        <v>113</v>
      </c>
      <c r="C899" s="3" t="s">
        <v>108</v>
      </c>
      <c r="D899" s="3" t="n">
        <v>4013408</v>
      </c>
      <c r="E899" s="3" t="s">
        <v>114</v>
      </c>
      <c r="F899" s="3" t="n">
        <f aca="false">IF(C899="848630",0,1)</f>
        <v>1</v>
      </c>
    </row>
    <row r="900" customFormat="false" ht="15" hidden="false" customHeight="false" outlineLevel="0" collapsed="false">
      <c r="A900" s="12" t="n">
        <v>45474</v>
      </c>
      <c r="B900" s="9" t="s">
        <v>113</v>
      </c>
      <c r="C900" s="3" t="s">
        <v>108</v>
      </c>
      <c r="D900" s="3" t="n">
        <v>5306319</v>
      </c>
      <c r="E900" s="3" t="s">
        <v>114</v>
      </c>
      <c r="F900" s="3" t="n">
        <f aca="false">IF(C900="848630",0,1)</f>
        <v>1</v>
      </c>
    </row>
    <row r="901" customFormat="false" ht="15" hidden="false" customHeight="false" outlineLevel="0" collapsed="false">
      <c r="A901" s="12" t="n">
        <v>45474</v>
      </c>
      <c r="B901" s="9" t="s">
        <v>113</v>
      </c>
      <c r="C901" s="3" t="s">
        <v>108</v>
      </c>
      <c r="D901" s="3" t="n">
        <v>21512290</v>
      </c>
      <c r="E901" s="3" t="s">
        <v>114</v>
      </c>
      <c r="F901" s="3" t="n">
        <f aca="false">IF(C901="848630",0,1)</f>
        <v>1</v>
      </c>
    </row>
    <row r="902" customFormat="false" ht="15" hidden="false" customHeight="false" outlineLevel="0" collapsed="false">
      <c r="A902" s="12" t="n">
        <v>45474</v>
      </c>
      <c r="B902" s="9" t="s">
        <v>113</v>
      </c>
      <c r="C902" s="3" t="s">
        <v>108</v>
      </c>
      <c r="D902" s="3" t="n">
        <v>20017944</v>
      </c>
      <c r="E902" s="3" t="s">
        <v>114</v>
      </c>
      <c r="F902" s="3" t="n">
        <f aca="false">IF(C902="848630",0,1)</f>
        <v>1</v>
      </c>
    </row>
    <row r="903" customFormat="false" ht="15" hidden="false" customHeight="false" outlineLevel="0" collapsed="false">
      <c r="A903" s="12" t="n">
        <v>45474</v>
      </c>
      <c r="B903" s="9" t="s">
        <v>113</v>
      </c>
      <c r="C903" s="3" t="s">
        <v>108</v>
      </c>
      <c r="D903" s="3" t="n">
        <v>28998931</v>
      </c>
      <c r="E903" s="3" t="s">
        <v>114</v>
      </c>
      <c r="F903" s="3" t="n">
        <f aca="false">IF(C903="848630",0,1)</f>
        <v>1</v>
      </c>
    </row>
    <row r="904" customFormat="false" ht="15" hidden="false" customHeight="false" outlineLevel="0" collapsed="false">
      <c r="A904" s="12" t="n">
        <v>45474</v>
      </c>
      <c r="B904" s="9" t="s">
        <v>113</v>
      </c>
      <c r="C904" s="3" t="s">
        <v>109</v>
      </c>
      <c r="D904" s="3" t="n">
        <v>2551529</v>
      </c>
      <c r="E904" s="3" t="s">
        <v>114</v>
      </c>
      <c r="F904" s="3" t="n">
        <f aca="false">IF(C904="848630",0,1)</f>
        <v>1</v>
      </c>
    </row>
    <row r="905" customFormat="false" ht="15" hidden="false" customHeight="false" outlineLevel="0" collapsed="false">
      <c r="A905" s="12" t="n">
        <v>45474</v>
      </c>
      <c r="B905" s="9" t="s">
        <v>113</v>
      </c>
      <c r="C905" s="3" t="s">
        <v>109</v>
      </c>
      <c r="D905" s="3" t="n">
        <v>365658</v>
      </c>
      <c r="E905" s="3" t="s">
        <v>114</v>
      </c>
      <c r="F905" s="3" t="n">
        <f aca="false">IF(C905="848630",0,1)</f>
        <v>1</v>
      </c>
    </row>
    <row r="906" customFormat="false" ht="15" hidden="false" customHeight="false" outlineLevel="0" collapsed="false">
      <c r="A906" s="12" t="n">
        <v>45474</v>
      </c>
      <c r="B906" s="9" t="s">
        <v>113</v>
      </c>
      <c r="C906" s="3" t="s">
        <v>109</v>
      </c>
      <c r="D906" s="3" t="n">
        <v>8274511</v>
      </c>
      <c r="E906" s="3" t="s">
        <v>114</v>
      </c>
      <c r="F906" s="3" t="n">
        <f aca="false">IF(C906="848630",0,1)</f>
        <v>1</v>
      </c>
    </row>
    <row r="907" customFormat="false" ht="15" hidden="false" customHeight="false" outlineLevel="0" collapsed="false">
      <c r="A907" s="12" t="n">
        <v>45474</v>
      </c>
      <c r="B907" s="9" t="s">
        <v>113</v>
      </c>
      <c r="C907" s="3" t="s">
        <v>109</v>
      </c>
      <c r="D907" s="3" t="n">
        <v>86699159</v>
      </c>
      <c r="E907" s="3" t="s">
        <v>114</v>
      </c>
      <c r="F907" s="3" t="n">
        <f aca="false">IF(C907="848630",0,1)</f>
        <v>1</v>
      </c>
    </row>
    <row r="908" customFormat="false" ht="15" hidden="false" customHeight="false" outlineLevel="0" collapsed="false">
      <c r="A908" s="12" t="n">
        <v>45474</v>
      </c>
      <c r="B908" s="9" t="s">
        <v>113</v>
      </c>
      <c r="C908" s="3" t="s">
        <v>110</v>
      </c>
      <c r="D908" s="3" t="n">
        <v>13333750</v>
      </c>
      <c r="E908" s="3" t="s">
        <v>114</v>
      </c>
      <c r="F908" s="3" t="n">
        <f aca="false">IF(C908="848630",0,1)</f>
        <v>1</v>
      </c>
    </row>
    <row r="909" customFormat="false" ht="15" hidden="false" customHeight="false" outlineLevel="0" collapsed="false">
      <c r="A909" s="12" t="n">
        <v>45474</v>
      </c>
      <c r="B909" s="9" t="s">
        <v>113</v>
      </c>
      <c r="C909" s="3" t="s">
        <v>111</v>
      </c>
      <c r="D909" s="3" t="n">
        <v>24551771</v>
      </c>
      <c r="E909" s="3" t="s">
        <v>114</v>
      </c>
      <c r="F909" s="3" t="n">
        <f aca="false">IF(C909="848630",0,1)</f>
        <v>1</v>
      </c>
    </row>
    <row r="910" customFormat="false" ht="15" hidden="false" customHeight="false" outlineLevel="0" collapsed="false">
      <c r="A910" s="12" t="n">
        <v>45505</v>
      </c>
      <c r="B910" s="9" t="s">
        <v>113</v>
      </c>
      <c r="C910" s="3" t="s">
        <v>105</v>
      </c>
      <c r="D910" s="3" t="n">
        <v>28369907</v>
      </c>
      <c r="E910" s="3" t="s">
        <v>114</v>
      </c>
      <c r="F910" s="3" t="n">
        <f aca="false">IF(C910="848630",0,1)</f>
        <v>1</v>
      </c>
    </row>
    <row r="911" customFormat="false" ht="15" hidden="false" customHeight="false" outlineLevel="0" collapsed="false">
      <c r="A911" s="12" t="n">
        <v>45505</v>
      </c>
      <c r="B911" s="9" t="s">
        <v>113</v>
      </c>
      <c r="C911" s="3" t="s">
        <v>105</v>
      </c>
      <c r="D911" s="3" t="n">
        <v>16298168</v>
      </c>
      <c r="E911" s="3" t="s">
        <v>114</v>
      </c>
      <c r="F911" s="3" t="n">
        <f aca="false">IF(C911="848630",0,1)</f>
        <v>1</v>
      </c>
    </row>
    <row r="912" customFormat="false" ht="15" hidden="false" customHeight="false" outlineLevel="0" collapsed="false">
      <c r="A912" s="12" t="n">
        <v>45505</v>
      </c>
      <c r="B912" s="9" t="s">
        <v>113</v>
      </c>
      <c r="C912" s="3" t="s">
        <v>105</v>
      </c>
      <c r="D912" s="3" t="n">
        <v>9168620</v>
      </c>
      <c r="E912" s="3" t="s">
        <v>114</v>
      </c>
      <c r="F912" s="3" t="n">
        <f aca="false">IF(C912="848630",0,1)</f>
        <v>1</v>
      </c>
    </row>
    <row r="913" customFormat="false" ht="15" hidden="false" customHeight="false" outlineLevel="0" collapsed="false">
      <c r="A913" s="12" t="n">
        <v>45505</v>
      </c>
      <c r="B913" s="9" t="s">
        <v>113</v>
      </c>
      <c r="C913" s="3" t="s">
        <v>105</v>
      </c>
      <c r="D913" s="3" t="n">
        <v>12533721</v>
      </c>
      <c r="E913" s="3" t="s">
        <v>114</v>
      </c>
      <c r="F913" s="3" t="n">
        <f aca="false">IF(C913="848630",0,1)</f>
        <v>1</v>
      </c>
    </row>
    <row r="914" customFormat="false" ht="15" hidden="false" customHeight="false" outlineLevel="0" collapsed="false">
      <c r="A914" s="12" t="n">
        <v>45505</v>
      </c>
      <c r="B914" s="9" t="s">
        <v>113</v>
      </c>
      <c r="C914" s="3" t="s">
        <v>107</v>
      </c>
      <c r="D914" s="3" t="n">
        <v>57044057</v>
      </c>
      <c r="E914" s="3" t="s">
        <v>114</v>
      </c>
      <c r="F914" s="3" t="n">
        <f aca="false">IF(C914="848630",0,1)</f>
        <v>1</v>
      </c>
    </row>
    <row r="915" customFormat="false" ht="15" hidden="false" customHeight="false" outlineLevel="0" collapsed="false">
      <c r="A915" s="12" t="n">
        <v>45505</v>
      </c>
      <c r="B915" s="9" t="s">
        <v>113</v>
      </c>
      <c r="C915" s="3" t="s">
        <v>107</v>
      </c>
      <c r="D915" s="3" t="n">
        <v>24361558</v>
      </c>
      <c r="E915" s="3" t="s">
        <v>114</v>
      </c>
      <c r="F915" s="3" t="n">
        <f aca="false">IF(C915="848630",0,1)</f>
        <v>1</v>
      </c>
    </row>
    <row r="916" customFormat="false" ht="15" hidden="false" customHeight="false" outlineLevel="0" collapsed="false">
      <c r="A916" s="12" t="n">
        <v>45505</v>
      </c>
      <c r="B916" s="9" t="s">
        <v>113</v>
      </c>
      <c r="C916" s="3" t="s">
        <v>107</v>
      </c>
      <c r="D916" s="3" t="n">
        <v>3797939</v>
      </c>
      <c r="E916" s="3" t="s">
        <v>114</v>
      </c>
      <c r="F916" s="3" t="n">
        <f aca="false">IF(C916="848630",0,1)</f>
        <v>1</v>
      </c>
    </row>
    <row r="917" customFormat="false" ht="15" hidden="false" customHeight="false" outlineLevel="0" collapsed="false">
      <c r="A917" s="12" t="n">
        <v>45505</v>
      </c>
      <c r="B917" s="9" t="s">
        <v>113</v>
      </c>
      <c r="C917" s="3" t="s">
        <v>107</v>
      </c>
      <c r="D917" s="3" t="n">
        <v>1237416</v>
      </c>
      <c r="E917" s="3" t="s">
        <v>114</v>
      </c>
      <c r="F917" s="3" t="n">
        <f aca="false">IF(C917="848630",0,1)</f>
        <v>1</v>
      </c>
    </row>
    <row r="918" customFormat="false" ht="15" hidden="false" customHeight="false" outlineLevel="0" collapsed="false">
      <c r="A918" s="12" t="n">
        <v>45505</v>
      </c>
      <c r="B918" s="9" t="s">
        <v>113</v>
      </c>
      <c r="C918" s="3" t="s">
        <v>107</v>
      </c>
      <c r="D918" s="3" t="n">
        <v>44598130</v>
      </c>
      <c r="E918" s="3" t="s">
        <v>114</v>
      </c>
      <c r="F918" s="3" t="n">
        <f aca="false">IF(C918="848630",0,1)</f>
        <v>1</v>
      </c>
    </row>
    <row r="919" customFormat="false" ht="15" hidden="false" customHeight="false" outlineLevel="0" collapsed="false">
      <c r="A919" s="12" t="n">
        <v>45505</v>
      </c>
      <c r="B919" s="9" t="s">
        <v>113</v>
      </c>
      <c r="C919" s="3" t="s">
        <v>107</v>
      </c>
      <c r="D919" s="3" t="n">
        <v>15824405</v>
      </c>
      <c r="E919" s="3" t="s">
        <v>114</v>
      </c>
      <c r="F919" s="3" t="n">
        <f aca="false">IF(C919="848630",0,1)</f>
        <v>1</v>
      </c>
    </row>
    <row r="920" customFormat="false" ht="15" hidden="false" customHeight="false" outlineLevel="0" collapsed="false">
      <c r="A920" s="12" t="n">
        <v>45505</v>
      </c>
      <c r="B920" s="9" t="s">
        <v>113</v>
      </c>
      <c r="C920" s="3" t="s">
        <v>107</v>
      </c>
      <c r="D920" s="3" t="n">
        <v>207190592</v>
      </c>
      <c r="E920" s="3" t="s">
        <v>114</v>
      </c>
      <c r="F920" s="3" t="n">
        <f aca="false">IF(C920="848630",0,1)</f>
        <v>1</v>
      </c>
    </row>
    <row r="921" customFormat="false" ht="15" hidden="false" customHeight="false" outlineLevel="0" collapsed="false">
      <c r="A921" s="12" t="n">
        <v>45505</v>
      </c>
      <c r="B921" s="9" t="s">
        <v>113</v>
      </c>
      <c r="C921" s="3" t="s">
        <v>107</v>
      </c>
      <c r="D921" s="3" t="n">
        <v>97500270</v>
      </c>
      <c r="E921" s="3" t="s">
        <v>114</v>
      </c>
      <c r="F921" s="3" t="n">
        <f aca="false">IF(C921="848630",0,1)</f>
        <v>1</v>
      </c>
    </row>
    <row r="922" customFormat="false" ht="15" hidden="false" customHeight="false" outlineLevel="0" collapsed="false">
      <c r="A922" s="12" t="n">
        <v>45505</v>
      </c>
      <c r="B922" s="9" t="s">
        <v>113</v>
      </c>
      <c r="C922" s="3" t="s">
        <v>107</v>
      </c>
      <c r="D922" s="3" t="n">
        <v>8937723</v>
      </c>
      <c r="E922" s="3" t="s">
        <v>114</v>
      </c>
      <c r="F922" s="3" t="n">
        <f aca="false">IF(C922="848630",0,1)</f>
        <v>1</v>
      </c>
    </row>
    <row r="923" customFormat="false" ht="15" hidden="false" customHeight="false" outlineLevel="0" collapsed="false">
      <c r="A923" s="12" t="n">
        <v>45505</v>
      </c>
      <c r="B923" s="9" t="s">
        <v>113</v>
      </c>
      <c r="C923" s="3" t="s">
        <v>107</v>
      </c>
      <c r="D923" s="3" t="n">
        <v>250897981</v>
      </c>
      <c r="E923" s="3" t="s">
        <v>114</v>
      </c>
      <c r="F923" s="3" t="n">
        <f aca="false">IF(C923="848630",0,1)</f>
        <v>1</v>
      </c>
    </row>
    <row r="924" customFormat="false" ht="15" hidden="false" customHeight="false" outlineLevel="0" collapsed="false">
      <c r="A924" s="12" t="n">
        <v>45505</v>
      </c>
      <c r="B924" s="9" t="s">
        <v>113</v>
      </c>
      <c r="C924" s="3" t="s">
        <v>112</v>
      </c>
      <c r="D924" s="3" t="n">
        <v>1378837</v>
      </c>
      <c r="E924" s="3" t="s">
        <v>114</v>
      </c>
      <c r="F924" s="3" t="n">
        <f aca="false">IF(C924="848630",0,1)</f>
        <v>0</v>
      </c>
    </row>
    <row r="925" customFormat="false" ht="15" hidden="false" customHeight="false" outlineLevel="0" collapsed="false">
      <c r="A925" s="12" t="n">
        <v>45505</v>
      </c>
      <c r="B925" s="9" t="s">
        <v>113</v>
      </c>
      <c r="C925" s="3" t="s">
        <v>112</v>
      </c>
      <c r="D925" s="3" t="n">
        <v>4017052</v>
      </c>
      <c r="E925" s="3" t="s">
        <v>114</v>
      </c>
      <c r="F925" s="3" t="n">
        <f aca="false">IF(C925="848630",0,1)</f>
        <v>0</v>
      </c>
    </row>
    <row r="926" customFormat="false" ht="15" hidden="false" customHeight="false" outlineLevel="0" collapsed="false">
      <c r="A926" s="12" t="n">
        <v>45505</v>
      </c>
      <c r="B926" s="9" t="s">
        <v>113</v>
      </c>
      <c r="C926" s="3" t="s">
        <v>112</v>
      </c>
      <c r="D926" s="3" t="n">
        <v>27335488</v>
      </c>
      <c r="E926" s="3" t="s">
        <v>114</v>
      </c>
      <c r="F926" s="3" t="n">
        <f aca="false">IF(C926="848630",0,1)</f>
        <v>0</v>
      </c>
    </row>
    <row r="927" customFormat="false" ht="15" hidden="false" customHeight="false" outlineLevel="0" collapsed="false">
      <c r="A927" s="12" t="n">
        <v>45505</v>
      </c>
      <c r="B927" s="9" t="s">
        <v>113</v>
      </c>
      <c r="C927" s="3" t="s">
        <v>112</v>
      </c>
      <c r="D927" s="3" t="n">
        <v>313702</v>
      </c>
      <c r="E927" s="3" t="s">
        <v>114</v>
      </c>
      <c r="F927" s="3" t="n">
        <f aca="false">IF(C927="848630",0,1)</f>
        <v>0</v>
      </c>
    </row>
    <row r="928" customFormat="false" ht="15" hidden="false" customHeight="false" outlineLevel="0" collapsed="false">
      <c r="A928" s="12" t="n">
        <v>45505</v>
      </c>
      <c r="B928" s="9" t="s">
        <v>113</v>
      </c>
      <c r="C928" s="3" t="s">
        <v>112</v>
      </c>
      <c r="D928" s="3" t="n">
        <v>4731490</v>
      </c>
      <c r="E928" s="3" t="s">
        <v>114</v>
      </c>
      <c r="F928" s="3" t="n">
        <f aca="false">IF(C928="848630",0,1)</f>
        <v>0</v>
      </c>
    </row>
    <row r="929" customFormat="false" ht="15" hidden="false" customHeight="false" outlineLevel="0" collapsed="false">
      <c r="A929" s="12" t="n">
        <v>45505</v>
      </c>
      <c r="B929" s="9" t="s">
        <v>113</v>
      </c>
      <c r="C929" s="3" t="s">
        <v>112</v>
      </c>
      <c r="D929" s="3" t="n">
        <v>44169598</v>
      </c>
      <c r="E929" s="3" t="s">
        <v>114</v>
      </c>
      <c r="F929" s="3" t="n">
        <f aca="false">IF(C929="848630",0,1)</f>
        <v>0</v>
      </c>
    </row>
    <row r="930" customFormat="false" ht="15" hidden="false" customHeight="false" outlineLevel="0" collapsed="false">
      <c r="A930" s="12" t="n">
        <v>45505</v>
      </c>
      <c r="B930" s="9" t="s">
        <v>113</v>
      </c>
      <c r="C930" s="3" t="s">
        <v>108</v>
      </c>
      <c r="D930" s="3" t="n">
        <v>29734988</v>
      </c>
      <c r="E930" s="3" t="s">
        <v>114</v>
      </c>
      <c r="F930" s="3" t="n">
        <f aca="false">IF(C930="848630",0,1)</f>
        <v>1</v>
      </c>
    </row>
    <row r="931" customFormat="false" ht="15" hidden="false" customHeight="false" outlineLevel="0" collapsed="false">
      <c r="A931" s="12" t="n">
        <v>45505</v>
      </c>
      <c r="B931" s="9" t="s">
        <v>113</v>
      </c>
      <c r="C931" s="3" t="s">
        <v>108</v>
      </c>
      <c r="D931" s="3" t="n">
        <v>2291119</v>
      </c>
      <c r="E931" s="3" t="s">
        <v>114</v>
      </c>
      <c r="F931" s="3" t="n">
        <f aca="false">IF(C931="848630",0,1)</f>
        <v>1</v>
      </c>
    </row>
    <row r="932" customFormat="false" ht="15" hidden="false" customHeight="false" outlineLevel="0" collapsed="false">
      <c r="A932" s="12" t="n">
        <v>45505</v>
      </c>
      <c r="B932" s="9" t="s">
        <v>113</v>
      </c>
      <c r="C932" s="3" t="s">
        <v>108</v>
      </c>
      <c r="D932" s="3" t="n">
        <v>3970295</v>
      </c>
      <c r="E932" s="3" t="s">
        <v>114</v>
      </c>
      <c r="F932" s="3" t="n">
        <f aca="false">IF(C932="848630",0,1)</f>
        <v>1</v>
      </c>
    </row>
    <row r="933" customFormat="false" ht="15" hidden="false" customHeight="false" outlineLevel="0" collapsed="false">
      <c r="A933" s="12" t="n">
        <v>45505</v>
      </c>
      <c r="B933" s="9" t="s">
        <v>113</v>
      </c>
      <c r="C933" s="3" t="s">
        <v>108</v>
      </c>
      <c r="D933" s="3" t="n">
        <v>20254234</v>
      </c>
      <c r="E933" s="3" t="s">
        <v>114</v>
      </c>
      <c r="F933" s="3" t="n">
        <f aca="false">IF(C933="848630",0,1)</f>
        <v>1</v>
      </c>
    </row>
    <row r="934" customFormat="false" ht="15" hidden="false" customHeight="false" outlineLevel="0" collapsed="false">
      <c r="A934" s="12" t="n">
        <v>45505</v>
      </c>
      <c r="B934" s="9" t="s">
        <v>113</v>
      </c>
      <c r="C934" s="3" t="s">
        <v>108</v>
      </c>
      <c r="D934" s="3" t="n">
        <v>22225238</v>
      </c>
      <c r="E934" s="3" t="s">
        <v>114</v>
      </c>
      <c r="F934" s="3" t="n">
        <f aca="false">IF(C934="848630",0,1)</f>
        <v>1</v>
      </c>
    </row>
    <row r="935" customFormat="false" ht="15" hidden="false" customHeight="false" outlineLevel="0" collapsed="false">
      <c r="A935" s="12" t="n">
        <v>45505</v>
      </c>
      <c r="B935" s="9" t="s">
        <v>113</v>
      </c>
      <c r="C935" s="3" t="s">
        <v>108</v>
      </c>
      <c r="D935" s="3" t="n">
        <v>19985453</v>
      </c>
      <c r="E935" s="3" t="s">
        <v>114</v>
      </c>
      <c r="F935" s="3" t="n">
        <f aca="false">IF(C935="848630",0,1)</f>
        <v>1</v>
      </c>
    </row>
    <row r="936" customFormat="false" ht="15" hidden="false" customHeight="false" outlineLevel="0" collapsed="false">
      <c r="A936" s="12" t="n">
        <v>45505</v>
      </c>
      <c r="B936" s="9" t="s">
        <v>113</v>
      </c>
      <c r="C936" s="3" t="s">
        <v>109</v>
      </c>
      <c r="D936" s="3" t="n">
        <v>5919691</v>
      </c>
      <c r="E936" s="3" t="s">
        <v>114</v>
      </c>
      <c r="F936" s="3" t="n">
        <f aca="false">IF(C936="848630",0,1)</f>
        <v>1</v>
      </c>
    </row>
    <row r="937" customFormat="false" ht="15" hidden="false" customHeight="false" outlineLevel="0" collapsed="false">
      <c r="A937" s="12" t="n">
        <v>45505</v>
      </c>
      <c r="B937" s="9" t="s">
        <v>113</v>
      </c>
      <c r="C937" s="3" t="s">
        <v>109</v>
      </c>
      <c r="D937" s="3" t="n">
        <v>457740</v>
      </c>
      <c r="E937" s="3" t="s">
        <v>114</v>
      </c>
      <c r="F937" s="3" t="n">
        <f aca="false">IF(C937="848630",0,1)</f>
        <v>1</v>
      </c>
    </row>
    <row r="938" customFormat="false" ht="15" hidden="false" customHeight="false" outlineLevel="0" collapsed="false">
      <c r="A938" s="12" t="n">
        <v>45505</v>
      </c>
      <c r="B938" s="9" t="s">
        <v>113</v>
      </c>
      <c r="C938" s="3" t="s">
        <v>109</v>
      </c>
      <c r="D938" s="3" t="n">
        <v>6571303</v>
      </c>
      <c r="E938" s="3" t="s">
        <v>114</v>
      </c>
      <c r="F938" s="3" t="n">
        <f aca="false">IF(C938="848630",0,1)</f>
        <v>1</v>
      </c>
    </row>
    <row r="939" customFormat="false" ht="15" hidden="false" customHeight="false" outlineLevel="0" collapsed="false">
      <c r="A939" s="12" t="n">
        <v>45505</v>
      </c>
      <c r="B939" s="9" t="s">
        <v>113</v>
      </c>
      <c r="C939" s="3" t="s">
        <v>109</v>
      </c>
      <c r="D939" s="3" t="n">
        <v>83959740</v>
      </c>
      <c r="E939" s="3" t="s">
        <v>114</v>
      </c>
      <c r="F939" s="3" t="n">
        <f aca="false">IF(C939="848630",0,1)</f>
        <v>1</v>
      </c>
    </row>
    <row r="940" customFormat="false" ht="15" hidden="false" customHeight="false" outlineLevel="0" collapsed="false">
      <c r="A940" s="12" t="n">
        <v>45505</v>
      </c>
      <c r="B940" s="9" t="s">
        <v>113</v>
      </c>
      <c r="C940" s="3" t="s">
        <v>110</v>
      </c>
      <c r="D940" s="3" t="n">
        <v>7494247</v>
      </c>
      <c r="E940" s="3" t="s">
        <v>114</v>
      </c>
      <c r="F940" s="3" t="n">
        <f aca="false">IF(C940="848630",0,1)</f>
        <v>1</v>
      </c>
    </row>
    <row r="941" customFormat="false" ht="15" hidden="false" customHeight="false" outlineLevel="0" collapsed="false">
      <c r="A941" s="12" t="n">
        <v>45505</v>
      </c>
      <c r="B941" s="9" t="s">
        <v>113</v>
      </c>
      <c r="C941" s="3" t="s">
        <v>111</v>
      </c>
      <c r="D941" s="3" t="n">
        <v>15080765</v>
      </c>
      <c r="E941" s="3" t="s">
        <v>114</v>
      </c>
      <c r="F941" s="3" t="n">
        <f aca="false">IF(C941="848630",0,1)</f>
        <v>1</v>
      </c>
    </row>
    <row r="942" customFormat="false" ht="15" hidden="false" customHeight="false" outlineLevel="0" collapsed="false">
      <c r="A942" s="12" t="n">
        <v>45536</v>
      </c>
      <c r="B942" s="9" t="s">
        <v>113</v>
      </c>
      <c r="C942" s="3" t="s">
        <v>105</v>
      </c>
      <c r="D942" s="3" t="n">
        <v>517275</v>
      </c>
      <c r="E942" s="3" t="s">
        <v>114</v>
      </c>
      <c r="F942" s="3" t="n">
        <f aca="false">IF(C942="848630",0,1)</f>
        <v>1</v>
      </c>
    </row>
    <row r="943" customFormat="false" ht="15" hidden="false" customHeight="false" outlineLevel="0" collapsed="false">
      <c r="A943" s="12" t="n">
        <v>45536</v>
      </c>
      <c r="B943" s="9" t="s">
        <v>113</v>
      </c>
      <c r="C943" s="3" t="s">
        <v>105</v>
      </c>
      <c r="D943" s="3" t="n">
        <v>37054160</v>
      </c>
      <c r="E943" s="3" t="s">
        <v>114</v>
      </c>
      <c r="F943" s="3" t="n">
        <f aca="false">IF(C943="848630",0,1)</f>
        <v>1</v>
      </c>
    </row>
    <row r="944" customFormat="false" ht="15" hidden="false" customHeight="false" outlineLevel="0" collapsed="false">
      <c r="A944" s="12" t="n">
        <v>45536</v>
      </c>
      <c r="B944" s="9" t="s">
        <v>113</v>
      </c>
      <c r="C944" s="3" t="s">
        <v>105</v>
      </c>
      <c r="D944" s="3" t="n">
        <v>16150808</v>
      </c>
      <c r="E944" s="3" t="s">
        <v>114</v>
      </c>
      <c r="F944" s="3" t="n">
        <f aca="false">IF(C944="848630",0,1)</f>
        <v>1</v>
      </c>
    </row>
    <row r="945" customFormat="false" ht="15" hidden="false" customHeight="false" outlineLevel="0" collapsed="false">
      <c r="A945" s="12" t="n">
        <v>45536</v>
      </c>
      <c r="B945" s="9" t="s">
        <v>113</v>
      </c>
      <c r="C945" s="3" t="s">
        <v>105</v>
      </c>
      <c r="D945" s="3" t="n">
        <v>22126617</v>
      </c>
      <c r="E945" s="3" t="s">
        <v>114</v>
      </c>
      <c r="F945" s="3" t="n">
        <f aca="false">IF(C945="848630",0,1)</f>
        <v>1</v>
      </c>
    </row>
    <row r="946" customFormat="false" ht="15" hidden="false" customHeight="false" outlineLevel="0" collapsed="false">
      <c r="A946" s="12" t="n">
        <v>45536</v>
      </c>
      <c r="B946" s="9" t="s">
        <v>113</v>
      </c>
      <c r="C946" s="3" t="s">
        <v>105</v>
      </c>
      <c r="D946" s="3" t="n">
        <v>12105806</v>
      </c>
      <c r="E946" s="3" t="s">
        <v>114</v>
      </c>
      <c r="F946" s="3" t="n">
        <f aca="false">IF(C946="848630",0,1)</f>
        <v>1</v>
      </c>
    </row>
    <row r="947" customFormat="false" ht="15" hidden="false" customHeight="false" outlineLevel="0" collapsed="false">
      <c r="A947" s="12" t="n">
        <v>45536</v>
      </c>
      <c r="B947" s="9" t="s">
        <v>113</v>
      </c>
      <c r="C947" s="3" t="s">
        <v>107</v>
      </c>
      <c r="D947" s="3" t="n">
        <v>87805250</v>
      </c>
      <c r="E947" s="3" t="s">
        <v>114</v>
      </c>
      <c r="F947" s="3" t="n">
        <f aca="false">IF(C947="848630",0,1)</f>
        <v>1</v>
      </c>
    </row>
    <row r="948" customFormat="false" ht="15" hidden="false" customHeight="false" outlineLevel="0" collapsed="false">
      <c r="A948" s="12" t="n">
        <v>45536</v>
      </c>
      <c r="B948" s="9" t="s">
        <v>113</v>
      </c>
      <c r="C948" s="3" t="s">
        <v>107</v>
      </c>
      <c r="D948" s="3" t="n">
        <v>51699401</v>
      </c>
      <c r="E948" s="3" t="s">
        <v>114</v>
      </c>
      <c r="F948" s="3" t="n">
        <f aca="false">IF(C948="848630",0,1)</f>
        <v>1</v>
      </c>
    </row>
    <row r="949" customFormat="false" ht="15" hidden="false" customHeight="false" outlineLevel="0" collapsed="false">
      <c r="A949" s="12" t="n">
        <v>45536</v>
      </c>
      <c r="B949" s="9" t="s">
        <v>113</v>
      </c>
      <c r="C949" s="3" t="s">
        <v>107</v>
      </c>
      <c r="D949" s="3" t="n">
        <v>7209368</v>
      </c>
      <c r="E949" s="3" t="s">
        <v>114</v>
      </c>
      <c r="F949" s="3" t="n">
        <f aca="false">IF(C949="848630",0,1)</f>
        <v>1</v>
      </c>
    </row>
    <row r="950" customFormat="false" ht="15" hidden="false" customHeight="false" outlineLevel="0" collapsed="false">
      <c r="A950" s="12" t="n">
        <v>45536</v>
      </c>
      <c r="B950" s="9" t="s">
        <v>113</v>
      </c>
      <c r="C950" s="3" t="s">
        <v>107</v>
      </c>
      <c r="D950" s="3" t="n">
        <v>10801352</v>
      </c>
      <c r="E950" s="3" t="s">
        <v>114</v>
      </c>
      <c r="F950" s="3" t="n">
        <f aca="false">IF(C950="848630",0,1)</f>
        <v>1</v>
      </c>
    </row>
    <row r="951" customFormat="false" ht="15" hidden="false" customHeight="false" outlineLevel="0" collapsed="false">
      <c r="A951" s="12" t="n">
        <v>45536</v>
      </c>
      <c r="B951" s="9" t="s">
        <v>113</v>
      </c>
      <c r="C951" s="3" t="s">
        <v>107</v>
      </c>
      <c r="D951" s="3" t="n">
        <v>105419756</v>
      </c>
      <c r="E951" s="3" t="s">
        <v>114</v>
      </c>
      <c r="F951" s="3" t="n">
        <f aca="false">IF(C951="848630",0,1)</f>
        <v>1</v>
      </c>
    </row>
    <row r="952" customFormat="false" ht="15" hidden="false" customHeight="false" outlineLevel="0" collapsed="false">
      <c r="A952" s="12" t="n">
        <v>45536</v>
      </c>
      <c r="B952" s="9" t="s">
        <v>113</v>
      </c>
      <c r="C952" s="3" t="s">
        <v>107</v>
      </c>
      <c r="D952" s="3" t="n">
        <v>47012394</v>
      </c>
      <c r="E952" s="3" t="s">
        <v>114</v>
      </c>
      <c r="F952" s="3" t="n">
        <f aca="false">IF(C952="848630",0,1)</f>
        <v>1</v>
      </c>
    </row>
    <row r="953" customFormat="false" ht="15" hidden="false" customHeight="false" outlineLevel="0" collapsed="false">
      <c r="A953" s="12" t="n">
        <v>45536</v>
      </c>
      <c r="B953" s="9" t="s">
        <v>113</v>
      </c>
      <c r="C953" s="3" t="s">
        <v>107</v>
      </c>
      <c r="D953" s="3" t="n">
        <v>110535265</v>
      </c>
      <c r="E953" s="3" t="s">
        <v>114</v>
      </c>
      <c r="F953" s="3" t="n">
        <f aca="false">IF(C953="848630",0,1)</f>
        <v>1</v>
      </c>
    </row>
    <row r="954" customFormat="false" ht="15" hidden="false" customHeight="false" outlineLevel="0" collapsed="false">
      <c r="A954" s="12" t="n">
        <v>45536</v>
      </c>
      <c r="B954" s="9" t="s">
        <v>113</v>
      </c>
      <c r="C954" s="3" t="s">
        <v>107</v>
      </c>
      <c r="D954" s="3" t="n">
        <v>87567719</v>
      </c>
      <c r="E954" s="3" t="s">
        <v>114</v>
      </c>
      <c r="F954" s="3" t="n">
        <f aca="false">IF(C954="848630",0,1)</f>
        <v>1</v>
      </c>
    </row>
    <row r="955" customFormat="false" ht="15" hidden="false" customHeight="false" outlineLevel="0" collapsed="false">
      <c r="A955" s="12" t="n">
        <v>45536</v>
      </c>
      <c r="B955" s="9" t="s">
        <v>113</v>
      </c>
      <c r="C955" s="3" t="s">
        <v>107</v>
      </c>
      <c r="D955" s="3" t="n">
        <v>29941173</v>
      </c>
      <c r="E955" s="3" t="s">
        <v>114</v>
      </c>
      <c r="F955" s="3" t="n">
        <f aca="false">IF(C955="848630",0,1)</f>
        <v>1</v>
      </c>
    </row>
    <row r="956" customFormat="false" ht="15" hidden="false" customHeight="false" outlineLevel="0" collapsed="false">
      <c r="A956" s="12" t="n">
        <v>45536</v>
      </c>
      <c r="B956" s="9" t="s">
        <v>113</v>
      </c>
      <c r="C956" s="3" t="s">
        <v>107</v>
      </c>
      <c r="D956" s="3" t="n">
        <v>236688755</v>
      </c>
      <c r="E956" s="3" t="s">
        <v>114</v>
      </c>
      <c r="F956" s="3" t="n">
        <f aca="false">IF(C956="848630",0,1)</f>
        <v>1</v>
      </c>
    </row>
    <row r="957" customFormat="false" ht="15" hidden="false" customHeight="false" outlineLevel="0" collapsed="false">
      <c r="A957" s="12" t="n">
        <v>45536</v>
      </c>
      <c r="B957" s="9" t="s">
        <v>113</v>
      </c>
      <c r="C957" s="3" t="s">
        <v>112</v>
      </c>
      <c r="D957" s="3" t="n">
        <v>1588610</v>
      </c>
      <c r="E957" s="3" t="s">
        <v>114</v>
      </c>
      <c r="F957" s="3" t="n">
        <f aca="false">IF(C957="848630",0,1)</f>
        <v>0</v>
      </c>
    </row>
    <row r="958" customFormat="false" ht="15" hidden="false" customHeight="false" outlineLevel="0" collapsed="false">
      <c r="A958" s="12" t="n">
        <v>45536</v>
      </c>
      <c r="B958" s="9" t="s">
        <v>113</v>
      </c>
      <c r="C958" s="3" t="s">
        <v>112</v>
      </c>
      <c r="D958" s="3" t="n">
        <v>51228603</v>
      </c>
      <c r="E958" s="3" t="s">
        <v>114</v>
      </c>
      <c r="F958" s="3" t="n">
        <f aca="false">IF(C958="848630",0,1)</f>
        <v>0</v>
      </c>
    </row>
    <row r="959" customFormat="false" ht="15" hidden="false" customHeight="false" outlineLevel="0" collapsed="false">
      <c r="A959" s="12" t="n">
        <v>45536</v>
      </c>
      <c r="B959" s="9" t="s">
        <v>113</v>
      </c>
      <c r="C959" s="3" t="s">
        <v>112</v>
      </c>
      <c r="D959" s="3" t="n">
        <v>443086</v>
      </c>
      <c r="E959" s="3" t="s">
        <v>114</v>
      </c>
      <c r="F959" s="3" t="n">
        <f aca="false">IF(C959="848630",0,1)</f>
        <v>0</v>
      </c>
    </row>
    <row r="960" customFormat="false" ht="15" hidden="false" customHeight="false" outlineLevel="0" collapsed="false">
      <c r="A960" s="12" t="n">
        <v>45536</v>
      </c>
      <c r="B960" s="9" t="s">
        <v>113</v>
      </c>
      <c r="C960" s="3" t="s">
        <v>112</v>
      </c>
      <c r="D960" s="3" t="n">
        <v>7041156</v>
      </c>
      <c r="E960" s="3" t="s">
        <v>114</v>
      </c>
      <c r="F960" s="3" t="n">
        <f aca="false">IF(C960="848630",0,1)</f>
        <v>0</v>
      </c>
    </row>
    <row r="961" customFormat="false" ht="15" hidden="false" customHeight="false" outlineLevel="0" collapsed="false">
      <c r="A961" s="12" t="n">
        <v>45536</v>
      </c>
      <c r="B961" s="9" t="s">
        <v>113</v>
      </c>
      <c r="C961" s="3" t="s">
        <v>112</v>
      </c>
      <c r="D961" s="3" t="n">
        <v>40744774</v>
      </c>
      <c r="E961" s="3" t="s">
        <v>114</v>
      </c>
      <c r="F961" s="3" t="n">
        <f aca="false">IF(C961="848630",0,1)</f>
        <v>0</v>
      </c>
    </row>
    <row r="962" customFormat="false" ht="15" hidden="false" customHeight="false" outlineLevel="0" collapsed="false">
      <c r="A962" s="12" t="n">
        <v>45536</v>
      </c>
      <c r="B962" s="9" t="s">
        <v>113</v>
      </c>
      <c r="C962" s="3" t="s">
        <v>108</v>
      </c>
      <c r="D962" s="3" t="n">
        <v>36256270</v>
      </c>
      <c r="E962" s="3" t="s">
        <v>114</v>
      </c>
      <c r="F962" s="3" t="n">
        <f aca="false">IF(C962="848630",0,1)</f>
        <v>1</v>
      </c>
    </row>
    <row r="963" customFormat="false" ht="15" hidden="false" customHeight="false" outlineLevel="0" collapsed="false">
      <c r="A963" s="12" t="n">
        <v>45536</v>
      </c>
      <c r="B963" s="9" t="s">
        <v>113</v>
      </c>
      <c r="C963" s="3" t="s">
        <v>108</v>
      </c>
      <c r="D963" s="3" t="n">
        <v>3092548</v>
      </c>
      <c r="E963" s="3" t="s">
        <v>114</v>
      </c>
      <c r="F963" s="3" t="n">
        <f aca="false">IF(C963="848630",0,1)</f>
        <v>1</v>
      </c>
    </row>
    <row r="964" customFormat="false" ht="15" hidden="false" customHeight="false" outlineLevel="0" collapsed="false">
      <c r="A964" s="12" t="n">
        <v>45536</v>
      </c>
      <c r="B964" s="9" t="s">
        <v>113</v>
      </c>
      <c r="C964" s="3" t="s">
        <v>108</v>
      </c>
      <c r="D964" s="3" t="n">
        <v>2317209</v>
      </c>
      <c r="E964" s="3" t="s">
        <v>114</v>
      </c>
      <c r="F964" s="3" t="n">
        <f aca="false">IF(C964="848630",0,1)</f>
        <v>1</v>
      </c>
    </row>
    <row r="965" customFormat="false" ht="15" hidden="false" customHeight="false" outlineLevel="0" collapsed="false">
      <c r="A965" s="12" t="n">
        <v>45536</v>
      </c>
      <c r="B965" s="9" t="s">
        <v>113</v>
      </c>
      <c r="C965" s="3" t="s">
        <v>108</v>
      </c>
      <c r="D965" s="3" t="n">
        <v>24851211</v>
      </c>
      <c r="E965" s="3" t="s">
        <v>114</v>
      </c>
      <c r="F965" s="3" t="n">
        <f aca="false">IF(C965="848630",0,1)</f>
        <v>1</v>
      </c>
    </row>
    <row r="966" customFormat="false" ht="15" hidden="false" customHeight="false" outlineLevel="0" collapsed="false">
      <c r="A966" s="12" t="n">
        <v>45536</v>
      </c>
      <c r="B966" s="9" t="s">
        <v>113</v>
      </c>
      <c r="C966" s="3" t="s">
        <v>108</v>
      </c>
      <c r="D966" s="3" t="n">
        <v>20181166</v>
      </c>
      <c r="E966" s="3" t="s">
        <v>114</v>
      </c>
      <c r="F966" s="3" t="n">
        <f aca="false">IF(C966="848630",0,1)</f>
        <v>1</v>
      </c>
    </row>
    <row r="967" customFormat="false" ht="15" hidden="false" customHeight="false" outlineLevel="0" collapsed="false">
      <c r="A967" s="12" t="n">
        <v>45536</v>
      </c>
      <c r="B967" s="9" t="s">
        <v>113</v>
      </c>
      <c r="C967" s="3" t="s">
        <v>108</v>
      </c>
      <c r="D967" s="3" t="n">
        <v>23267945</v>
      </c>
      <c r="E967" s="3" t="s">
        <v>114</v>
      </c>
      <c r="F967" s="3" t="n">
        <f aca="false">IF(C967="848630",0,1)</f>
        <v>1</v>
      </c>
    </row>
    <row r="968" customFormat="false" ht="15" hidden="false" customHeight="false" outlineLevel="0" collapsed="false">
      <c r="A968" s="12" t="n">
        <v>45536</v>
      </c>
      <c r="B968" s="9" t="s">
        <v>113</v>
      </c>
      <c r="C968" s="3" t="s">
        <v>109</v>
      </c>
      <c r="D968" s="3" t="n">
        <v>640673</v>
      </c>
      <c r="E968" s="3" t="s">
        <v>114</v>
      </c>
      <c r="F968" s="3" t="n">
        <f aca="false">IF(C968="848630",0,1)</f>
        <v>1</v>
      </c>
    </row>
    <row r="969" customFormat="false" ht="15" hidden="false" customHeight="false" outlineLevel="0" collapsed="false">
      <c r="A969" s="12" t="n">
        <v>45536</v>
      </c>
      <c r="B969" s="9" t="s">
        <v>113</v>
      </c>
      <c r="C969" s="3" t="s">
        <v>109</v>
      </c>
      <c r="D969" s="3" t="n">
        <v>563841</v>
      </c>
      <c r="E969" s="3" t="s">
        <v>114</v>
      </c>
      <c r="F969" s="3" t="n">
        <f aca="false">IF(C969="848630",0,1)</f>
        <v>1</v>
      </c>
    </row>
    <row r="970" customFormat="false" ht="15" hidden="false" customHeight="false" outlineLevel="0" collapsed="false">
      <c r="A970" s="12" t="n">
        <v>45536</v>
      </c>
      <c r="B970" s="9" t="s">
        <v>113</v>
      </c>
      <c r="C970" s="3" t="s">
        <v>109</v>
      </c>
      <c r="D970" s="3" t="n">
        <v>7302631</v>
      </c>
      <c r="E970" s="3" t="s">
        <v>114</v>
      </c>
      <c r="F970" s="3" t="n">
        <f aca="false">IF(C970="848630",0,1)</f>
        <v>1</v>
      </c>
    </row>
    <row r="971" customFormat="false" ht="15" hidden="false" customHeight="false" outlineLevel="0" collapsed="false">
      <c r="A971" s="12" t="n">
        <v>45536</v>
      </c>
      <c r="B971" s="9" t="s">
        <v>113</v>
      </c>
      <c r="C971" s="3" t="s">
        <v>109</v>
      </c>
      <c r="D971" s="3" t="n">
        <v>94147837</v>
      </c>
      <c r="E971" s="3" t="s">
        <v>114</v>
      </c>
      <c r="F971" s="3" t="n">
        <f aca="false">IF(C971="848630",0,1)</f>
        <v>1</v>
      </c>
    </row>
    <row r="972" customFormat="false" ht="15" hidden="false" customHeight="false" outlineLevel="0" collapsed="false">
      <c r="A972" s="12" t="n">
        <v>45536</v>
      </c>
      <c r="B972" s="9" t="s">
        <v>113</v>
      </c>
      <c r="C972" s="3" t="s">
        <v>110</v>
      </c>
      <c r="D972" s="3" t="n">
        <v>11366828</v>
      </c>
      <c r="E972" s="3" t="s">
        <v>114</v>
      </c>
      <c r="F972" s="3" t="n">
        <f aca="false">IF(C972="848630",0,1)</f>
        <v>1</v>
      </c>
    </row>
    <row r="973" customFormat="false" ht="15" hidden="false" customHeight="false" outlineLevel="0" collapsed="false">
      <c r="A973" s="12" t="n">
        <v>45536</v>
      </c>
      <c r="B973" s="9" t="s">
        <v>113</v>
      </c>
      <c r="C973" s="3" t="s">
        <v>111</v>
      </c>
      <c r="D973" s="3" t="n">
        <v>26899640</v>
      </c>
      <c r="E973" s="3" t="s">
        <v>114</v>
      </c>
      <c r="F973" s="3" t="n">
        <f aca="false">IF(C973="848630",0,1)</f>
        <v>1</v>
      </c>
    </row>
    <row r="974" customFormat="false" ht="15" hidden="false" customHeight="false" outlineLevel="0" collapsed="false">
      <c r="A974" s="12" t="n">
        <v>45566</v>
      </c>
      <c r="B974" s="9" t="s">
        <v>113</v>
      </c>
      <c r="C974" s="3" t="s">
        <v>105</v>
      </c>
      <c r="D974" s="3" t="n">
        <v>21878373</v>
      </c>
      <c r="E974" s="3" t="s">
        <v>114</v>
      </c>
      <c r="F974" s="3" t="n">
        <f aca="false">IF(C974="848630",0,1)</f>
        <v>1</v>
      </c>
    </row>
    <row r="975" customFormat="false" ht="15" hidden="false" customHeight="false" outlineLevel="0" collapsed="false">
      <c r="A975" s="12" t="n">
        <v>45566</v>
      </c>
      <c r="B975" s="9" t="s">
        <v>113</v>
      </c>
      <c r="C975" s="3" t="s">
        <v>105</v>
      </c>
      <c r="D975" s="3" t="n">
        <v>6225839</v>
      </c>
      <c r="E975" s="3" t="s">
        <v>114</v>
      </c>
      <c r="F975" s="3" t="n">
        <f aca="false">IF(C975="848630",0,1)</f>
        <v>1</v>
      </c>
    </row>
    <row r="976" customFormat="false" ht="15" hidden="false" customHeight="false" outlineLevel="0" collapsed="false">
      <c r="A976" s="12" t="n">
        <v>45566</v>
      </c>
      <c r="B976" s="9" t="s">
        <v>113</v>
      </c>
      <c r="C976" s="3" t="s">
        <v>105</v>
      </c>
      <c r="D976" s="3" t="n">
        <v>23018443</v>
      </c>
      <c r="E976" s="3" t="s">
        <v>114</v>
      </c>
      <c r="F976" s="3" t="n">
        <f aca="false">IF(C976="848630",0,1)</f>
        <v>1</v>
      </c>
    </row>
    <row r="977" customFormat="false" ht="15" hidden="false" customHeight="false" outlineLevel="0" collapsed="false">
      <c r="A977" s="12" t="n">
        <v>45566</v>
      </c>
      <c r="B977" s="9" t="s">
        <v>113</v>
      </c>
      <c r="C977" s="3" t="s">
        <v>105</v>
      </c>
      <c r="D977" s="3" t="n">
        <v>6544423</v>
      </c>
      <c r="E977" s="3" t="s">
        <v>114</v>
      </c>
      <c r="F977" s="3" t="n">
        <f aca="false">IF(C977="848630",0,1)</f>
        <v>1</v>
      </c>
    </row>
    <row r="978" customFormat="false" ht="15" hidden="false" customHeight="false" outlineLevel="0" collapsed="false">
      <c r="A978" s="12" t="n">
        <v>45566</v>
      </c>
      <c r="B978" s="9" t="s">
        <v>113</v>
      </c>
      <c r="C978" s="3" t="s">
        <v>107</v>
      </c>
      <c r="D978" s="3" t="n">
        <v>63513503</v>
      </c>
      <c r="E978" s="3" t="s">
        <v>114</v>
      </c>
      <c r="F978" s="3" t="n">
        <f aca="false">IF(C978="848630",0,1)</f>
        <v>1</v>
      </c>
    </row>
    <row r="979" customFormat="false" ht="15" hidden="false" customHeight="false" outlineLevel="0" collapsed="false">
      <c r="A979" s="12" t="n">
        <v>45566</v>
      </c>
      <c r="B979" s="9" t="s">
        <v>113</v>
      </c>
      <c r="C979" s="3" t="s">
        <v>107</v>
      </c>
      <c r="D979" s="3" t="n">
        <v>63014845</v>
      </c>
      <c r="E979" s="3" t="s">
        <v>114</v>
      </c>
      <c r="F979" s="3" t="n">
        <f aca="false">IF(C979="848630",0,1)</f>
        <v>1</v>
      </c>
    </row>
    <row r="980" customFormat="false" ht="15" hidden="false" customHeight="false" outlineLevel="0" collapsed="false">
      <c r="A980" s="12" t="n">
        <v>45566</v>
      </c>
      <c r="B980" s="9" t="s">
        <v>113</v>
      </c>
      <c r="C980" s="3" t="s">
        <v>107</v>
      </c>
      <c r="D980" s="3" t="n">
        <v>4124515</v>
      </c>
      <c r="E980" s="3" t="s">
        <v>114</v>
      </c>
      <c r="F980" s="3" t="n">
        <f aca="false">IF(C980="848630",0,1)</f>
        <v>1</v>
      </c>
    </row>
    <row r="981" customFormat="false" ht="15" hidden="false" customHeight="false" outlineLevel="0" collapsed="false">
      <c r="A981" s="12" t="n">
        <v>45566</v>
      </c>
      <c r="B981" s="9" t="s">
        <v>113</v>
      </c>
      <c r="C981" s="3" t="s">
        <v>107</v>
      </c>
      <c r="D981" s="3" t="n">
        <v>23618961</v>
      </c>
      <c r="E981" s="3" t="s">
        <v>114</v>
      </c>
      <c r="F981" s="3" t="n">
        <f aca="false">IF(C981="848630",0,1)</f>
        <v>1</v>
      </c>
    </row>
    <row r="982" customFormat="false" ht="15" hidden="false" customHeight="false" outlineLevel="0" collapsed="false">
      <c r="A982" s="12" t="n">
        <v>45566</v>
      </c>
      <c r="B982" s="9" t="s">
        <v>113</v>
      </c>
      <c r="C982" s="3" t="s">
        <v>107</v>
      </c>
      <c r="D982" s="3" t="n">
        <v>27128340</v>
      </c>
      <c r="E982" s="3" t="s">
        <v>114</v>
      </c>
      <c r="F982" s="3" t="n">
        <f aca="false">IF(C982="848630",0,1)</f>
        <v>1</v>
      </c>
    </row>
    <row r="983" customFormat="false" ht="15" hidden="false" customHeight="false" outlineLevel="0" collapsed="false">
      <c r="A983" s="12" t="n">
        <v>45566</v>
      </c>
      <c r="B983" s="9" t="s">
        <v>113</v>
      </c>
      <c r="C983" s="3" t="s">
        <v>107</v>
      </c>
      <c r="D983" s="3" t="n">
        <v>78407985</v>
      </c>
      <c r="E983" s="3" t="s">
        <v>114</v>
      </c>
      <c r="F983" s="3" t="n">
        <f aca="false">IF(C983="848630",0,1)</f>
        <v>1</v>
      </c>
    </row>
    <row r="984" customFormat="false" ht="15" hidden="false" customHeight="false" outlineLevel="0" collapsed="false">
      <c r="A984" s="12" t="n">
        <v>45566</v>
      </c>
      <c r="B984" s="9" t="s">
        <v>113</v>
      </c>
      <c r="C984" s="3" t="s">
        <v>107</v>
      </c>
      <c r="D984" s="3" t="n">
        <v>272791106</v>
      </c>
      <c r="E984" s="3" t="s">
        <v>114</v>
      </c>
      <c r="F984" s="3" t="n">
        <f aca="false">IF(C984="848630",0,1)</f>
        <v>1</v>
      </c>
    </row>
    <row r="985" customFormat="false" ht="15" hidden="false" customHeight="false" outlineLevel="0" collapsed="false">
      <c r="A985" s="12" t="n">
        <v>45566</v>
      </c>
      <c r="B985" s="9" t="s">
        <v>113</v>
      </c>
      <c r="C985" s="3" t="s">
        <v>107</v>
      </c>
      <c r="D985" s="3" t="n">
        <v>122545600</v>
      </c>
      <c r="E985" s="3" t="s">
        <v>114</v>
      </c>
      <c r="F985" s="3" t="n">
        <f aca="false">IF(C985="848630",0,1)</f>
        <v>1</v>
      </c>
    </row>
    <row r="986" customFormat="false" ht="15" hidden="false" customHeight="false" outlineLevel="0" collapsed="false">
      <c r="A986" s="12" t="n">
        <v>45566</v>
      </c>
      <c r="B986" s="9" t="s">
        <v>113</v>
      </c>
      <c r="C986" s="3" t="s">
        <v>107</v>
      </c>
      <c r="D986" s="3" t="n">
        <v>11168721</v>
      </c>
      <c r="E986" s="3" t="s">
        <v>114</v>
      </c>
      <c r="F986" s="3" t="n">
        <f aca="false">IF(C986="848630",0,1)</f>
        <v>1</v>
      </c>
    </row>
    <row r="987" customFormat="false" ht="15" hidden="false" customHeight="false" outlineLevel="0" collapsed="false">
      <c r="A987" s="12" t="n">
        <v>45566</v>
      </c>
      <c r="B987" s="9" t="s">
        <v>113</v>
      </c>
      <c r="C987" s="3" t="s">
        <v>107</v>
      </c>
      <c r="D987" s="3" t="n">
        <v>327655919</v>
      </c>
      <c r="E987" s="3" t="s">
        <v>114</v>
      </c>
      <c r="F987" s="3" t="n">
        <f aca="false">IF(C987="848630",0,1)</f>
        <v>1</v>
      </c>
    </row>
    <row r="988" customFormat="false" ht="15" hidden="false" customHeight="false" outlineLevel="0" collapsed="false">
      <c r="A988" s="12" t="n">
        <v>45566</v>
      </c>
      <c r="B988" s="9" t="s">
        <v>113</v>
      </c>
      <c r="C988" s="3" t="s">
        <v>112</v>
      </c>
      <c r="D988" s="3" t="n">
        <v>1505133</v>
      </c>
      <c r="E988" s="3" t="s">
        <v>114</v>
      </c>
      <c r="F988" s="3" t="n">
        <f aca="false">IF(C988="848630",0,1)</f>
        <v>0</v>
      </c>
    </row>
    <row r="989" customFormat="false" ht="15" hidden="false" customHeight="false" outlineLevel="0" collapsed="false">
      <c r="A989" s="12" t="n">
        <v>45566</v>
      </c>
      <c r="B989" s="9" t="s">
        <v>113</v>
      </c>
      <c r="C989" s="3" t="s">
        <v>112</v>
      </c>
      <c r="D989" s="3" t="n">
        <v>31397349</v>
      </c>
      <c r="E989" s="3" t="s">
        <v>114</v>
      </c>
      <c r="F989" s="3" t="n">
        <f aca="false">IF(C989="848630",0,1)</f>
        <v>0</v>
      </c>
    </row>
    <row r="990" customFormat="false" ht="15" hidden="false" customHeight="false" outlineLevel="0" collapsed="false">
      <c r="A990" s="12" t="n">
        <v>45566</v>
      </c>
      <c r="B990" s="9" t="s">
        <v>113</v>
      </c>
      <c r="C990" s="3" t="s">
        <v>112</v>
      </c>
      <c r="D990" s="3" t="n">
        <v>506486</v>
      </c>
      <c r="E990" s="3" t="s">
        <v>114</v>
      </c>
      <c r="F990" s="3" t="n">
        <f aca="false">IF(C990="848630",0,1)</f>
        <v>0</v>
      </c>
    </row>
    <row r="991" customFormat="false" ht="15" hidden="false" customHeight="false" outlineLevel="0" collapsed="false">
      <c r="A991" s="12" t="n">
        <v>45566</v>
      </c>
      <c r="B991" s="9" t="s">
        <v>113</v>
      </c>
      <c r="C991" s="3" t="s">
        <v>112</v>
      </c>
      <c r="D991" s="3" t="n">
        <v>5664408</v>
      </c>
      <c r="E991" s="3" t="s">
        <v>114</v>
      </c>
      <c r="F991" s="3" t="n">
        <f aca="false">IF(C991="848630",0,1)</f>
        <v>0</v>
      </c>
    </row>
    <row r="992" customFormat="false" ht="15" hidden="false" customHeight="false" outlineLevel="0" collapsed="false">
      <c r="A992" s="12" t="n">
        <v>45566</v>
      </c>
      <c r="B992" s="9" t="s">
        <v>113</v>
      </c>
      <c r="C992" s="3" t="s">
        <v>112</v>
      </c>
      <c r="D992" s="3" t="n">
        <v>41485747</v>
      </c>
      <c r="E992" s="3" t="s">
        <v>114</v>
      </c>
      <c r="F992" s="3" t="n">
        <f aca="false">IF(C992="848630",0,1)</f>
        <v>0</v>
      </c>
    </row>
    <row r="993" customFormat="false" ht="15" hidden="false" customHeight="false" outlineLevel="0" collapsed="false">
      <c r="A993" s="12" t="n">
        <v>45566</v>
      </c>
      <c r="B993" s="9" t="s">
        <v>113</v>
      </c>
      <c r="C993" s="3" t="s">
        <v>108</v>
      </c>
      <c r="D993" s="3" t="n">
        <v>10615061</v>
      </c>
      <c r="E993" s="3" t="s">
        <v>114</v>
      </c>
      <c r="F993" s="3" t="n">
        <f aca="false">IF(C993="848630",0,1)</f>
        <v>1</v>
      </c>
    </row>
    <row r="994" customFormat="false" ht="15" hidden="false" customHeight="false" outlineLevel="0" collapsed="false">
      <c r="A994" s="12" t="n">
        <v>45566</v>
      </c>
      <c r="B994" s="9" t="s">
        <v>113</v>
      </c>
      <c r="C994" s="3" t="s">
        <v>108</v>
      </c>
      <c r="D994" s="3" t="n">
        <v>6124104</v>
      </c>
      <c r="E994" s="3" t="s">
        <v>114</v>
      </c>
      <c r="F994" s="3" t="n">
        <f aca="false">IF(C994="848630",0,1)</f>
        <v>1</v>
      </c>
    </row>
    <row r="995" customFormat="false" ht="15" hidden="false" customHeight="false" outlineLevel="0" collapsed="false">
      <c r="A995" s="12" t="n">
        <v>45566</v>
      </c>
      <c r="B995" s="9" t="s">
        <v>113</v>
      </c>
      <c r="C995" s="3" t="s">
        <v>108</v>
      </c>
      <c r="D995" s="3" t="n">
        <v>326035</v>
      </c>
      <c r="E995" s="3" t="s">
        <v>114</v>
      </c>
      <c r="F995" s="3" t="n">
        <f aca="false">IF(C995="848630",0,1)</f>
        <v>1</v>
      </c>
    </row>
    <row r="996" customFormat="false" ht="15" hidden="false" customHeight="false" outlineLevel="0" collapsed="false">
      <c r="A996" s="12" t="n">
        <v>45566</v>
      </c>
      <c r="B996" s="9" t="s">
        <v>113</v>
      </c>
      <c r="C996" s="3" t="s">
        <v>108</v>
      </c>
      <c r="D996" s="3" t="n">
        <v>18784675</v>
      </c>
      <c r="E996" s="3" t="s">
        <v>114</v>
      </c>
      <c r="F996" s="3" t="n">
        <f aca="false">IF(C996="848630",0,1)</f>
        <v>1</v>
      </c>
    </row>
    <row r="997" customFormat="false" ht="15" hidden="false" customHeight="false" outlineLevel="0" collapsed="false">
      <c r="A997" s="12" t="n">
        <v>45566</v>
      </c>
      <c r="B997" s="9" t="s">
        <v>113</v>
      </c>
      <c r="C997" s="3" t="s">
        <v>108</v>
      </c>
      <c r="D997" s="3" t="n">
        <v>24273062</v>
      </c>
      <c r="E997" s="3" t="s">
        <v>114</v>
      </c>
      <c r="F997" s="3" t="n">
        <f aca="false">IF(C997="848630",0,1)</f>
        <v>1</v>
      </c>
    </row>
    <row r="998" customFormat="false" ht="15" hidden="false" customHeight="false" outlineLevel="0" collapsed="false">
      <c r="A998" s="12" t="n">
        <v>45566</v>
      </c>
      <c r="B998" s="9" t="s">
        <v>113</v>
      </c>
      <c r="C998" s="3" t="s">
        <v>108</v>
      </c>
      <c r="D998" s="3" t="n">
        <v>13320091</v>
      </c>
      <c r="E998" s="3" t="s">
        <v>114</v>
      </c>
      <c r="F998" s="3" t="n">
        <f aca="false">IF(C998="848630",0,1)</f>
        <v>1</v>
      </c>
    </row>
    <row r="999" customFormat="false" ht="15" hidden="false" customHeight="false" outlineLevel="0" collapsed="false">
      <c r="A999" s="12" t="n">
        <v>45566</v>
      </c>
      <c r="B999" s="9" t="s">
        <v>113</v>
      </c>
      <c r="C999" s="3" t="s">
        <v>109</v>
      </c>
      <c r="D999" s="3" t="n">
        <v>5506011</v>
      </c>
      <c r="E999" s="3" t="s">
        <v>114</v>
      </c>
      <c r="F999" s="3" t="n">
        <f aca="false">IF(C999="848630",0,1)</f>
        <v>1</v>
      </c>
    </row>
    <row r="1000" customFormat="false" ht="15" hidden="false" customHeight="false" outlineLevel="0" collapsed="false">
      <c r="A1000" s="12" t="n">
        <v>45566</v>
      </c>
      <c r="B1000" s="9" t="s">
        <v>113</v>
      </c>
      <c r="C1000" s="3" t="s">
        <v>109</v>
      </c>
      <c r="D1000" s="3" t="n">
        <v>356189</v>
      </c>
      <c r="E1000" s="3" t="s">
        <v>114</v>
      </c>
      <c r="F1000" s="3" t="n">
        <f aca="false">IF(C1000="848630",0,1)</f>
        <v>1</v>
      </c>
    </row>
    <row r="1001" customFormat="false" ht="15" hidden="false" customHeight="false" outlineLevel="0" collapsed="false">
      <c r="A1001" s="12" t="n">
        <v>45566</v>
      </c>
      <c r="B1001" s="9" t="s">
        <v>113</v>
      </c>
      <c r="C1001" s="3" t="s">
        <v>109</v>
      </c>
      <c r="D1001" s="3" t="n">
        <v>7388002</v>
      </c>
      <c r="E1001" s="3" t="s">
        <v>114</v>
      </c>
      <c r="F1001" s="3" t="n">
        <f aca="false">IF(C1001="848630",0,1)</f>
        <v>1</v>
      </c>
    </row>
    <row r="1002" customFormat="false" ht="15" hidden="false" customHeight="false" outlineLevel="0" collapsed="false">
      <c r="A1002" s="12" t="n">
        <v>45566</v>
      </c>
      <c r="B1002" s="9" t="s">
        <v>113</v>
      </c>
      <c r="C1002" s="3" t="s">
        <v>109</v>
      </c>
      <c r="D1002" s="3" t="n">
        <v>94027387</v>
      </c>
      <c r="E1002" s="3" t="s">
        <v>114</v>
      </c>
      <c r="F1002" s="3" t="n">
        <f aca="false">IF(C1002="848630",0,1)</f>
        <v>1</v>
      </c>
    </row>
    <row r="1003" customFormat="false" ht="15" hidden="false" customHeight="false" outlineLevel="0" collapsed="false">
      <c r="A1003" s="12" t="n">
        <v>45566</v>
      </c>
      <c r="B1003" s="9" t="s">
        <v>113</v>
      </c>
      <c r="C1003" s="3" t="s">
        <v>110</v>
      </c>
      <c r="D1003" s="3" t="n">
        <v>15773265</v>
      </c>
      <c r="E1003" s="3" t="s">
        <v>114</v>
      </c>
      <c r="F1003" s="3" t="n">
        <f aca="false">IF(C1003="848630",0,1)</f>
        <v>1</v>
      </c>
    </row>
    <row r="1004" customFormat="false" ht="15" hidden="false" customHeight="false" outlineLevel="0" collapsed="false">
      <c r="A1004" s="12" t="n">
        <v>45566</v>
      </c>
      <c r="B1004" s="9" t="s">
        <v>113</v>
      </c>
      <c r="C1004" s="3" t="s">
        <v>111</v>
      </c>
      <c r="D1004" s="3" t="n">
        <v>20127592</v>
      </c>
      <c r="E1004" s="3" t="s">
        <v>114</v>
      </c>
      <c r="F1004" s="3" t="n">
        <f aca="false">IF(C1004="848630",0,1)</f>
        <v>1</v>
      </c>
    </row>
    <row r="1005" customFormat="false" ht="15" hidden="false" customHeight="false" outlineLevel="0" collapsed="false">
      <c r="A1005" s="12" t="n">
        <v>45597</v>
      </c>
      <c r="B1005" s="9" t="s">
        <v>113</v>
      </c>
      <c r="C1005" s="3" t="s">
        <v>105</v>
      </c>
      <c r="D1005" s="3" t="n">
        <v>16494899</v>
      </c>
      <c r="E1005" s="3" t="s">
        <v>114</v>
      </c>
      <c r="F1005" s="3" t="n">
        <f aca="false">IF(C1005="848630",0,1)</f>
        <v>1</v>
      </c>
    </row>
    <row r="1006" customFormat="false" ht="15" hidden="false" customHeight="false" outlineLevel="0" collapsed="false">
      <c r="A1006" s="12" t="n">
        <v>45597</v>
      </c>
      <c r="B1006" s="9" t="s">
        <v>113</v>
      </c>
      <c r="C1006" s="3" t="s">
        <v>105</v>
      </c>
      <c r="D1006" s="3" t="n">
        <v>7024400</v>
      </c>
      <c r="E1006" s="3" t="s">
        <v>114</v>
      </c>
      <c r="F1006" s="3" t="n">
        <f aca="false">IF(C1006="848630",0,1)</f>
        <v>1</v>
      </c>
    </row>
    <row r="1007" customFormat="false" ht="15" hidden="false" customHeight="false" outlineLevel="0" collapsed="false">
      <c r="A1007" s="12" t="n">
        <v>45597</v>
      </c>
      <c r="B1007" s="9" t="s">
        <v>113</v>
      </c>
      <c r="C1007" s="3" t="s">
        <v>105</v>
      </c>
      <c r="D1007" s="3" t="n">
        <v>2732161</v>
      </c>
      <c r="E1007" s="3" t="s">
        <v>114</v>
      </c>
      <c r="F1007" s="3" t="n">
        <f aca="false">IF(C1007="848630",0,1)</f>
        <v>1</v>
      </c>
    </row>
    <row r="1008" customFormat="false" ht="15" hidden="false" customHeight="false" outlineLevel="0" collapsed="false">
      <c r="A1008" s="12" t="n">
        <v>45597</v>
      </c>
      <c r="B1008" s="9" t="s">
        <v>113</v>
      </c>
      <c r="C1008" s="3" t="s">
        <v>105</v>
      </c>
      <c r="D1008" s="3" t="n">
        <v>4988253</v>
      </c>
      <c r="E1008" s="3" t="s">
        <v>114</v>
      </c>
      <c r="F1008" s="3" t="n">
        <f aca="false">IF(C1008="848630",0,1)</f>
        <v>1</v>
      </c>
    </row>
    <row r="1009" customFormat="false" ht="15" hidden="false" customHeight="false" outlineLevel="0" collapsed="false">
      <c r="A1009" s="12" t="n">
        <v>45597</v>
      </c>
      <c r="B1009" s="9" t="s">
        <v>113</v>
      </c>
      <c r="C1009" s="3" t="s">
        <v>107</v>
      </c>
      <c r="D1009" s="3" t="n">
        <v>60345643</v>
      </c>
      <c r="E1009" s="3" t="s">
        <v>114</v>
      </c>
      <c r="F1009" s="3" t="n">
        <f aca="false">IF(C1009="848630",0,1)</f>
        <v>1</v>
      </c>
    </row>
    <row r="1010" customFormat="false" ht="15" hidden="false" customHeight="false" outlineLevel="0" collapsed="false">
      <c r="A1010" s="12" t="n">
        <v>45597</v>
      </c>
      <c r="B1010" s="9" t="s">
        <v>113</v>
      </c>
      <c r="C1010" s="3" t="s">
        <v>107</v>
      </c>
      <c r="D1010" s="3" t="n">
        <v>52027280</v>
      </c>
      <c r="E1010" s="3" t="s">
        <v>114</v>
      </c>
      <c r="F1010" s="3" t="n">
        <f aca="false">IF(C1010="848630",0,1)</f>
        <v>1</v>
      </c>
    </row>
    <row r="1011" customFormat="false" ht="15" hidden="false" customHeight="false" outlineLevel="0" collapsed="false">
      <c r="A1011" s="12" t="n">
        <v>45597</v>
      </c>
      <c r="B1011" s="9" t="s">
        <v>113</v>
      </c>
      <c r="C1011" s="3" t="s">
        <v>107</v>
      </c>
      <c r="D1011" s="3" t="n">
        <v>18527340</v>
      </c>
      <c r="E1011" s="3" t="s">
        <v>114</v>
      </c>
      <c r="F1011" s="3" t="n">
        <f aca="false">IF(C1011="848630",0,1)</f>
        <v>1</v>
      </c>
    </row>
    <row r="1012" customFormat="false" ht="15" hidden="false" customHeight="false" outlineLevel="0" collapsed="false">
      <c r="A1012" s="12" t="n">
        <v>45597</v>
      </c>
      <c r="B1012" s="9" t="s">
        <v>113</v>
      </c>
      <c r="C1012" s="3" t="s">
        <v>107</v>
      </c>
      <c r="D1012" s="3" t="n">
        <v>9072375</v>
      </c>
      <c r="E1012" s="3" t="s">
        <v>114</v>
      </c>
      <c r="F1012" s="3" t="n">
        <f aca="false">IF(C1012="848630",0,1)</f>
        <v>1</v>
      </c>
    </row>
    <row r="1013" customFormat="false" ht="15" hidden="false" customHeight="false" outlineLevel="0" collapsed="false">
      <c r="A1013" s="12" t="n">
        <v>45597</v>
      </c>
      <c r="B1013" s="9" t="s">
        <v>113</v>
      </c>
      <c r="C1013" s="3" t="s">
        <v>107</v>
      </c>
      <c r="D1013" s="3" t="n">
        <v>66173488</v>
      </c>
      <c r="E1013" s="3" t="s">
        <v>114</v>
      </c>
      <c r="F1013" s="3" t="n">
        <f aca="false">IF(C1013="848630",0,1)</f>
        <v>1</v>
      </c>
    </row>
    <row r="1014" customFormat="false" ht="15" hidden="false" customHeight="false" outlineLevel="0" collapsed="false">
      <c r="A1014" s="12" t="n">
        <v>45597</v>
      </c>
      <c r="B1014" s="9" t="s">
        <v>113</v>
      </c>
      <c r="C1014" s="3" t="s">
        <v>107</v>
      </c>
      <c r="D1014" s="3" t="n">
        <v>65420108</v>
      </c>
      <c r="E1014" s="3" t="s">
        <v>114</v>
      </c>
      <c r="F1014" s="3" t="n">
        <f aca="false">IF(C1014="848630",0,1)</f>
        <v>1</v>
      </c>
    </row>
    <row r="1015" customFormat="false" ht="15" hidden="false" customHeight="false" outlineLevel="0" collapsed="false">
      <c r="A1015" s="12" t="n">
        <v>45597</v>
      </c>
      <c r="B1015" s="9" t="s">
        <v>113</v>
      </c>
      <c r="C1015" s="3" t="s">
        <v>107</v>
      </c>
      <c r="D1015" s="3" t="n">
        <v>168017639</v>
      </c>
      <c r="E1015" s="3" t="s">
        <v>114</v>
      </c>
      <c r="F1015" s="3" t="n">
        <f aca="false">IF(C1015="848630",0,1)</f>
        <v>1</v>
      </c>
    </row>
    <row r="1016" customFormat="false" ht="15" hidden="false" customHeight="false" outlineLevel="0" collapsed="false">
      <c r="A1016" s="12" t="n">
        <v>45597</v>
      </c>
      <c r="B1016" s="9" t="s">
        <v>113</v>
      </c>
      <c r="C1016" s="3" t="s">
        <v>107</v>
      </c>
      <c r="D1016" s="3" t="n">
        <v>107749480</v>
      </c>
      <c r="E1016" s="3" t="s">
        <v>114</v>
      </c>
      <c r="F1016" s="3" t="n">
        <f aca="false">IF(C1016="848630",0,1)</f>
        <v>1</v>
      </c>
    </row>
    <row r="1017" customFormat="false" ht="15" hidden="false" customHeight="false" outlineLevel="0" collapsed="false">
      <c r="A1017" s="12" t="n">
        <v>45597</v>
      </c>
      <c r="B1017" s="9" t="s">
        <v>113</v>
      </c>
      <c r="C1017" s="3" t="s">
        <v>107</v>
      </c>
      <c r="D1017" s="3" t="n">
        <v>13695378</v>
      </c>
      <c r="E1017" s="3" t="s">
        <v>114</v>
      </c>
      <c r="F1017" s="3" t="n">
        <f aca="false">IF(C1017="848630",0,1)</f>
        <v>1</v>
      </c>
    </row>
    <row r="1018" customFormat="false" ht="15" hidden="false" customHeight="false" outlineLevel="0" collapsed="false">
      <c r="A1018" s="12" t="n">
        <v>45597</v>
      </c>
      <c r="B1018" s="9" t="s">
        <v>113</v>
      </c>
      <c r="C1018" s="3" t="s">
        <v>107</v>
      </c>
      <c r="D1018" s="3" t="n">
        <v>247204779</v>
      </c>
      <c r="E1018" s="3" t="s">
        <v>114</v>
      </c>
      <c r="F1018" s="3" t="n">
        <f aca="false">IF(C1018="848630",0,1)</f>
        <v>1</v>
      </c>
    </row>
    <row r="1019" customFormat="false" ht="15" hidden="false" customHeight="false" outlineLevel="0" collapsed="false">
      <c r="A1019" s="12" t="n">
        <v>45597</v>
      </c>
      <c r="B1019" s="9" t="s">
        <v>113</v>
      </c>
      <c r="C1019" s="3" t="s">
        <v>112</v>
      </c>
      <c r="D1019" s="3" t="n">
        <v>34397903</v>
      </c>
      <c r="E1019" s="3" t="s">
        <v>114</v>
      </c>
      <c r="F1019" s="3" t="n">
        <f aca="false">IF(C1019="848630",0,1)</f>
        <v>0</v>
      </c>
    </row>
    <row r="1020" customFormat="false" ht="15" hidden="false" customHeight="false" outlineLevel="0" collapsed="false">
      <c r="A1020" s="12" t="n">
        <v>45597</v>
      </c>
      <c r="B1020" s="9" t="s">
        <v>113</v>
      </c>
      <c r="C1020" s="3" t="s">
        <v>112</v>
      </c>
      <c r="D1020" s="3" t="n">
        <v>2415403</v>
      </c>
      <c r="E1020" s="3" t="s">
        <v>114</v>
      </c>
      <c r="F1020" s="3" t="n">
        <f aca="false">IF(C1020="848630",0,1)</f>
        <v>0</v>
      </c>
    </row>
    <row r="1021" customFormat="false" ht="15" hidden="false" customHeight="false" outlineLevel="0" collapsed="false">
      <c r="A1021" s="12" t="n">
        <v>45597</v>
      </c>
      <c r="B1021" s="9" t="s">
        <v>113</v>
      </c>
      <c r="C1021" s="3" t="s">
        <v>112</v>
      </c>
      <c r="D1021" s="3" t="n">
        <v>148290605</v>
      </c>
      <c r="E1021" s="3" t="s">
        <v>114</v>
      </c>
      <c r="F1021" s="3" t="n">
        <f aca="false">IF(C1021="848630",0,1)</f>
        <v>0</v>
      </c>
    </row>
    <row r="1022" customFormat="false" ht="15" hidden="false" customHeight="false" outlineLevel="0" collapsed="false">
      <c r="A1022" s="12" t="n">
        <v>45597</v>
      </c>
      <c r="B1022" s="9" t="s">
        <v>113</v>
      </c>
      <c r="C1022" s="3" t="s">
        <v>112</v>
      </c>
      <c r="D1022" s="3" t="n">
        <v>54361161</v>
      </c>
      <c r="E1022" s="3" t="s">
        <v>114</v>
      </c>
      <c r="F1022" s="3" t="n">
        <f aca="false">IF(C1022="848630",0,1)</f>
        <v>0</v>
      </c>
    </row>
    <row r="1023" customFormat="false" ht="15" hidden="false" customHeight="false" outlineLevel="0" collapsed="false">
      <c r="A1023" s="12" t="n">
        <v>45597</v>
      </c>
      <c r="B1023" s="9" t="s">
        <v>113</v>
      </c>
      <c r="C1023" s="3" t="s">
        <v>112</v>
      </c>
      <c r="D1023" s="3" t="n">
        <v>902556</v>
      </c>
      <c r="E1023" s="3" t="s">
        <v>114</v>
      </c>
      <c r="F1023" s="3" t="n">
        <f aca="false">IF(C1023="848630",0,1)</f>
        <v>0</v>
      </c>
    </row>
    <row r="1024" customFormat="false" ht="15" hidden="false" customHeight="false" outlineLevel="0" collapsed="false">
      <c r="A1024" s="12" t="n">
        <v>45597</v>
      </c>
      <c r="B1024" s="9" t="s">
        <v>113</v>
      </c>
      <c r="C1024" s="3" t="s">
        <v>112</v>
      </c>
      <c r="D1024" s="3" t="n">
        <v>14948277</v>
      </c>
      <c r="E1024" s="3" t="s">
        <v>114</v>
      </c>
      <c r="F1024" s="3" t="n">
        <f aca="false">IF(C1024="848630",0,1)</f>
        <v>0</v>
      </c>
    </row>
    <row r="1025" customFormat="false" ht="15" hidden="false" customHeight="false" outlineLevel="0" collapsed="false">
      <c r="A1025" s="12" t="n">
        <v>45597</v>
      </c>
      <c r="B1025" s="9" t="s">
        <v>113</v>
      </c>
      <c r="C1025" s="3" t="s">
        <v>112</v>
      </c>
      <c r="D1025" s="3" t="n">
        <v>61236926</v>
      </c>
      <c r="E1025" s="3" t="s">
        <v>114</v>
      </c>
      <c r="F1025" s="3" t="n">
        <f aca="false">IF(C1025="848630",0,1)</f>
        <v>0</v>
      </c>
    </row>
    <row r="1026" customFormat="false" ht="15" hidden="false" customHeight="false" outlineLevel="0" collapsed="false">
      <c r="A1026" s="12" t="n">
        <v>45597</v>
      </c>
      <c r="B1026" s="9" t="s">
        <v>113</v>
      </c>
      <c r="C1026" s="3" t="s">
        <v>108</v>
      </c>
      <c r="D1026" s="3" t="n">
        <v>46660607</v>
      </c>
      <c r="E1026" s="3" t="s">
        <v>114</v>
      </c>
      <c r="F1026" s="3" t="n">
        <f aca="false">IF(C1026="848630",0,1)</f>
        <v>1</v>
      </c>
    </row>
    <row r="1027" customFormat="false" ht="15" hidden="false" customHeight="false" outlineLevel="0" collapsed="false">
      <c r="A1027" s="12" t="n">
        <v>45597</v>
      </c>
      <c r="B1027" s="9" t="s">
        <v>113</v>
      </c>
      <c r="C1027" s="3" t="s">
        <v>108</v>
      </c>
      <c r="D1027" s="3" t="n">
        <v>415428</v>
      </c>
      <c r="E1027" s="3" t="s">
        <v>114</v>
      </c>
      <c r="F1027" s="3" t="n">
        <f aca="false">IF(C1027="848630",0,1)</f>
        <v>1</v>
      </c>
    </row>
    <row r="1028" customFormat="false" ht="15" hidden="false" customHeight="false" outlineLevel="0" collapsed="false">
      <c r="A1028" s="12" t="n">
        <v>45597</v>
      </c>
      <c r="B1028" s="9" t="s">
        <v>113</v>
      </c>
      <c r="C1028" s="3" t="s">
        <v>108</v>
      </c>
      <c r="D1028" s="3" t="n">
        <v>1411931</v>
      </c>
      <c r="E1028" s="3" t="s">
        <v>114</v>
      </c>
      <c r="F1028" s="3" t="n">
        <f aca="false">IF(C1028="848630",0,1)</f>
        <v>1</v>
      </c>
    </row>
    <row r="1029" customFormat="false" ht="15" hidden="false" customHeight="false" outlineLevel="0" collapsed="false">
      <c r="A1029" s="12" t="n">
        <v>45597</v>
      </c>
      <c r="B1029" s="9" t="s">
        <v>113</v>
      </c>
      <c r="C1029" s="3" t="s">
        <v>108</v>
      </c>
      <c r="D1029" s="3" t="n">
        <v>14648391</v>
      </c>
      <c r="E1029" s="3" t="s">
        <v>114</v>
      </c>
      <c r="F1029" s="3" t="n">
        <f aca="false">IF(C1029="848630",0,1)</f>
        <v>1</v>
      </c>
    </row>
    <row r="1030" customFormat="false" ht="15" hidden="false" customHeight="false" outlineLevel="0" collapsed="false">
      <c r="A1030" s="12" t="n">
        <v>45597</v>
      </c>
      <c r="B1030" s="9" t="s">
        <v>113</v>
      </c>
      <c r="C1030" s="3" t="s">
        <v>108</v>
      </c>
      <c r="D1030" s="3" t="n">
        <v>21323482</v>
      </c>
      <c r="E1030" s="3" t="s">
        <v>114</v>
      </c>
      <c r="F1030" s="3" t="n">
        <f aca="false">IF(C1030="848630",0,1)</f>
        <v>1</v>
      </c>
    </row>
    <row r="1031" customFormat="false" ht="15" hidden="false" customHeight="false" outlineLevel="0" collapsed="false">
      <c r="A1031" s="12" t="n">
        <v>45597</v>
      </c>
      <c r="B1031" s="9" t="s">
        <v>113</v>
      </c>
      <c r="C1031" s="3" t="s">
        <v>108</v>
      </c>
      <c r="D1031" s="3" t="n">
        <v>17359302</v>
      </c>
      <c r="E1031" s="3" t="s">
        <v>114</v>
      </c>
      <c r="F1031" s="3" t="n">
        <f aca="false">IF(C1031="848630",0,1)</f>
        <v>1</v>
      </c>
    </row>
    <row r="1032" customFormat="false" ht="15" hidden="false" customHeight="false" outlineLevel="0" collapsed="false">
      <c r="A1032" s="12" t="n">
        <v>45597</v>
      </c>
      <c r="B1032" s="9" t="s">
        <v>113</v>
      </c>
      <c r="C1032" s="3" t="s">
        <v>109</v>
      </c>
      <c r="D1032" s="3" t="n">
        <v>9308251</v>
      </c>
      <c r="E1032" s="3" t="s">
        <v>114</v>
      </c>
      <c r="F1032" s="3" t="n">
        <f aca="false">IF(C1032="848630",0,1)</f>
        <v>1</v>
      </c>
    </row>
    <row r="1033" customFormat="false" ht="15" hidden="false" customHeight="false" outlineLevel="0" collapsed="false">
      <c r="A1033" s="12" t="n">
        <v>45597</v>
      </c>
      <c r="B1033" s="9" t="s">
        <v>113</v>
      </c>
      <c r="C1033" s="3" t="s">
        <v>109</v>
      </c>
      <c r="D1033" s="3" t="n">
        <v>478943</v>
      </c>
      <c r="E1033" s="3" t="s">
        <v>114</v>
      </c>
      <c r="F1033" s="3" t="n">
        <f aca="false">IF(C1033="848630",0,1)</f>
        <v>1</v>
      </c>
    </row>
    <row r="1034" customFormat="false" ht="15" hidden="false" customHeight="false" outlineLevel="0" collapsed="false">
      <c r="A1034" s="12" t="n">
        <v>45597</v>
      </c>
      <c r="B1034" s="9" t="s">
        <v>113</v>
      </c>
      <c r="C1034" s="3" t="s">
        <v>109</v>
      </c>
      <c r="D1034" s="3" t="n">
        <v>8833363</v>
      </c>
      <c r="E1034" s="3" t="s">
        <v>114</v>
      </c>
      <c r="F1034" s="3" t="n">
        <f aca="false">IF(C1034="848630",0,1)</f>
        <v>1</v>
      </c>
    </row>
    <row r="1035" customFormat="false" ht="15" hidden="false" customHeight="false" outlineLevel="0" collapsed="false">
      <c r="A1035" s="12" t="n">
        <v>45597</v>
      </c>
      <c r="B1035" s="9" t="s">
        <v>113</v>
      </c>
      <c r="C1035" s="3" t="s">
        <v>109</v>
      </c>
      <c r="D1035" s="3" t="n">
        <v>105417438</v>
      </c>
      <c r="E1035" s="3" t="s">
        <v>114</v>
      </c>
      <c r="F1035" s="3" t="n">
        <f aca="false">IF(C1035="848630",0,1)</f>
        <v>1</v>
      </c>
    </row>
    <row r="1036" customFormat="false" ht="15" hidden="false" customHeight="false" outlineLevel="0" collapsed="false">
      <c r="A1036" s="12" t="n">
        <v>45597</v>
      </c>
      <c r="B1036" s="9" t="s">
        <v>113</v>
      </c>
      <c r="C1036" s="3" t="s">
        <v>110</v>
      </c>
      <c r="D1036" s="3" t="n">
        <v>11501146</v>
      </c>
      <c r="E1036" s="3" t="s">
        <v>114</v>
      </c>
      <c r="F1036" s="3" t="n">
        <f aca="false">IF(C1036="848630",0,1)</f>
        <v>1</v>
      </c>
    </row>
    <row r="1037" customFormat="false" ht="15" hidden="false" customHeight="false" outlineLevel="0" collapsed="false">
      <c r="A1037" s="12" t="n">
        <v>45597</v>
      </c>
      <c r="B1037" s="9" t="s">
        <v>113</v>
      </c>
      <c r="C1037" s="3" t="s">
        <v>111</v>
      </c>
      <c r="D1037" s="3" t="n">
        <v>18975029</v>
      </c>
      <c r="E1037" s="3" t="s">
        <v>114</v>
      </c>
      <c r="F1037" s="3" t="n">
        <f aca="false">IF(C1037="848630",0,1)</f>
        <v>1</v>
      </c>
    </row>
    <row r="1038" customFormat="false" ht="15" hidden="false" customHeight="false" outlineLevel="0" collapsed="false">
      <c r="A1038" s="12" t="n">
        <v>45627</v>
      </c>
      <c r="B1038" s="9" t="s">
        <v>113</v>
      </c>
      <c r="C1038" s="3" t="s">
        <v>105</v>
      </c>
      <c r="D1038" s="3" t="n">
        <v>32552756</v>
      </c>
      <c r="E1038" s="3" t="s">
        <v>114</v>
      </c>
      <c r="F1038" s="3" t="n">
        <f aca="false">IF(C1038="848630",0,1)</f>
        <v>1</v>
      </c>
    </row>
    <row r="1039" customFormat="false" ht="15" hidden="false" customHeight="false" outlineLevel="0" collapsed="false">
      <c r="A1039" s="12" t="n">
        <v>45627</v>
      </c>
      <c r="B1039" s="9" t="s">
        <v>113</v>
      </c>
      <c r="C1039" s="3" t="s">
        <v>105</v>
      </c>
      <c r="D1039" s="3" t="n">
        <v>16856797</v>
      </c>
      <c r="E1039" s="3" t="s">
        <v>114</v>
      </c>
      <c r="F1039" s="3" t="n">
        <f aca="false">IF(C1039="848630",0,1)</f>
        <v>1</v>
      </c>
    </row>
    <row r="1040" customFormat="false" ht="15" hidden="false" customHeight="false" outlineLevel="0" collapsed="false">
      <c r="A1040" s="12" t="n">
        <v>45627</v>
      </c>
      <c r="B1040" s="9" t="s">
        <v>113</v>
      </c>
      <c r="C1040" s="3" t="s">
        <v>105</v>
      </c>
      <c r="D1040" s="3" t="n">
        <v>23843816</v>
      </c>
      <c r="E1040" s="3" t="s">
        <v>114</v>
      </c>
      <c r="F1040" s="3" t="n">
        <f aca="false">IF(C1040="848630",0,1)</f>
        <v>1</v>
      </c>
    </row>
    <row r="1041" customFormat="false" ht="15" hidden="false" customHeight="false" outlineLevel="0" collapsed="false">
      <c r="A1041" s="12" t="n">
        <v>45627</v>
      </c>
      <c r="B1041" s="9" t="s">
        <v>113</v>
      </c>
      <c r="C1041" s="3" t="s">
        <v>105</v>
      </c>
      <c r="D1041" s="3" t="n">
        <v>10237994</v>
      </c>
      <c r="E1041" s="3" t="s">
        <v>114</v>
      </c>
      <c r="F1041" s="3" t="n">
        <f aca="false">IF(C1041="848630",0,1)</f>
        <v>1</v>
      </c>
    </row>
    <row r="1042" customFormat="false" ht="15" hidden="false" customHeight="false" outlineLevel="0" collapsed="false">
      <c r="A1042" s="12" t="n">
        <v>45627</v>
      </c>
      <c r="B1042" s="9" t="s">
        <v>113</v>
      </c>
      <c r="C1042" s="3" t="s">
        <v>107</v>
      </c>
      <c r="D1042" s="3" t="n">
        <v>125239337</v>
      </c>
      <c r="E1042" s="3" t="s">
        <v>114</v>
      </c>
      <c r="F1042" s="3" t="n">
        <f aca="false">IF(C1042="848630",0,1)</f>
        <v>1</v>
      </c>
    </row>
    <row r="1043" customFormat="false" ht="15" hidden="false" customHeight="false" outlineLevel="0" collapsed="false">
      <c r="A1043" s="12" t="n">
        <v>45627</v>
      </c>
      <c r="B1043" s="9" t="s">
        <v>113</v>
      </c>
      <c r="C1043" s="3" t="s">
        <v>107</v>
      </c>
      <c r="D1043" s="3" t="n">
        <v>159817290</v>
      </c>
      <c r="E1043" s="3" t="s">
        <v>114</v>
      </c>
      <c r="F1043" s="3" t="n">
        <f aca="false">IF(C1043="848630",0,1)</f>
        <v>1</v>
      </c>
    </row>
    <row r="1044" customFormat="false" ht="15" hidden="false" customHeight="false" outlineLevel="0" collapsed="false">
      <c r="A1044" s="12" t="n">
        <v>45627</v>
      </c>
      <c r="B1044" s="9" t="s">
        <v>113</v>
      </c>
      <c r="C1044" s="3" t="s">
        <v>107</v>
      </c>
      <c r="D1044" s="3" t="n">
        <v>328616</v>
      </c>
      <c r="E1044" s="3" t="s">
        <v>114</v>
      </c>
      <c r="F1044" s="3" t="n">
        <f aca="false">IF(C1044="848630",0,1)</f>
        <v>1</v>
      </c>
    </row>
    <row r="1045" customFormat="false" ht="15" hidden="false" customHeight="false" outlineLevel="0" collapsed="false">
      <c r="A1045" s="12" t="n">
        <v>45627</v>
      </c>
      <c r="B1045" s="9" t="s">
        <v>113</v>
      </c>
      <c r="C1045" s="3" t="s">
        <v>107</v>
      </c>
      <c r="D1045" s="3" t="n">
        <v>1629517</v>
      </c>
      <c r="E1045" s="3" t="s">
        <v>114</v>
      </c>
      <c r="F1045" s="3" t="n">
        <f aca="false">IF(C1045="848630",0,1)</f>
        <v>1</v>
      </c>
    </row>
    <row r="1046" customFormat="false" ht="15" hidden="false" customHeight="false" outlineLevel="0" collapsed="false">
      <c r="A1046" s="12" t="n">
        <v>45627</v>
      </c>
      <c r="B1046" s="9" t="s">
        <v>113</v>
      </c>
      <c r="C1046" s="3" t="s">
        <v>107</v>
      </c>
      <c r="D1046" s="3" t="n">
        <v>42648460</v>
      </c>
      <c r="E1046" s="3" t="s">
        <v>114</v>
      </c>
      <c r="F1046" s="3" t="n">
        <f aca="false">IF(C1046="848630",0,1)</f>
        <v>1</v>
      </c>
    </row>
    <row r="1047" customFormat="false" ht="15" hidden="false" customHeight="false" outlineLevel="0" collapsed="false">
      <c r="A1047" s="12" t="n">
        <v>45627</v>
      </c>
      <c r="B1047" s="9" t="s">
        <v>113</v>
      </c>
      <c r="C1047" s="3" t="s">
        <v>107</v>
      </c>
      <c r="D1047" s="3" t="n">
        <v>41600825</v>
      </c>
      <c r="E1047" s="3" t="s">
        <v>114</v>
      </c>
      <c r="F1047" s="3" t="n">
        <f aca="false">IF(C1047="848630",0,1)</f>
        <v>1</v>
      </c>
    </row>
    <row r="1048" customFormat="false" ht="15" hidden="false" customHeight="false" outlineLevel="0" collapsed="false">
      <c r="A1048" s="12" t="n">
        <v>45627</v>
      </c>
      <c r="B1048" s="9" t="s">
        <v>113</v>
      </c>
      <c r="C1048" s="3" t="s">
        <v>107</v>
      </c>
      <c r="D1048" s="3" t="n">
        <v>424433481</v>
      </c>
      <c r="E1048" s="3" t="s">
        <v>114</v>
      </c>
      <c r="F1048" s="3" t="n">
        <f aca="false">IF(C1048="848630",0,1)</f>
        <v>1</v>
      </c>
    </row>
    <row r="1049" customFormat="false" ht="15" hidden="false" customHeight="false" outlineLevel="0" collapsed="false">
      <c r="A1049" s="12" t="n">
        <v>45627</v>
      </c>
      <c r="B1049" s="9" t="s">
        <v>113</v>
      </c>
      <c r="C1049" s="3" t="s">
        <v>107</v>
      </c>
      <c r="D1049" s="3" t="n">
        <v>129594481</v>
      </c>
      <c r="E1049" s="3" t="s">
        <v>114</v>
      </c>
      <c r="F1049" s="3" t="n">
        <f aca="false">IF(C1049="848630",0,1)</f>
        <v>1</v>
      </c>
    </row>
    <row r="1050" customFormat="false" ht="15" hidden="false" customHeight="false" outlineLevel="0" collapsed="false">
      <c r="A1050" s="12" t="n">
        <v>45627</v>
      </c>
      <c r="B1050" s="9" t="s">
        <v>113</v>
      </c>
      <c r="C1050" s="3" t="s">
        <v>107</v>
      </c>
      <c r="D1050" s="3" t="n">
        <v>16518213</v>
      </c>
      <c r="E1050" s="3" t="s">
        <v>114</v>
      </c>
      <c r="F1050" s="3" t="n">
        <f aca="false">IF(C1050="848630",0,1)</f>
        <v>1</v>
      </c>
    </row>
    <row r="1051" customFormat="false" ht="15" hidden="false" customHeight="false" outlineLevel="0" collapsed="false">
      <c r="A1051" s="12" t="n">
        <v>45627</v>
      </c>
      <c r="B1051" s="9" t="s">
        <v>113</v>
      </c>
      <c r="C1051" s="3" t="s">
        <v>107</v>
      </c>
      <c r="D1051" s="3" t="n">
        <v>428952886</v>
      </c>
      <c r="E1051" s="3" t="s">
        <v>114</v>
      </c>
      <c r="F1051" s="3" t="n">
        <f aca="false">IF(C1051="848630",0,1)</f>
        <v>1</v>
      </c>
    </row>
    <row r="1052" customFormat="false" ht="15" hidden="false" customHeight="false" outlineLevel="0" collapsed="false">
      <c r="A1052" s="12" t="n">
        <v>45627</v>
      </c>
      <c r="B1052" s="9" t="s">
        <v>113</v>
      </c>
      <c r="C1052" s="3" t="s">
        <v>112</v>
      </c>
      <c r="D1052" s="3" t="n">
        <v>17856053</v>
      </c>
      <c r="E1052" s="3" t="s">
        <v>114</v>
      </c>
      <c r="F1052" s="3" t="n">
        <f aca="false">IF(C1052="848630",0,1)</f>
        <v>0</v>
      </c>
    </row>
    <row r="1053" customFormat="false" ht="15" hidden="false" customHeight="false" outlineLevel="0" collapsed="false">
      <c r="A1053" s="12" t="n">
        <v>45627</v>
      </c>
      <c r="B1053" s="9" t="s">
        <v>113</v>
      </c>
      <c r="C1053" s="3" t="s">
        <v>112</v>
      </c>
      <c r="D1053" s="3" t="n">
        <v>271872</v>
      </c>
      <c r="E1053" s="3" t="s">
        <v>114</v>
      </c>
      <c r="F1053" s="3" t="n">
        <f aca="false">IF(C1053="848630",0,1)</f>
        <v>0</v>
      </c>
    </row>
    <row r="1054" customFormat="false" ht="15" hidden="false" customHeight="false" outlineLevel="0" collapsed="false">
      <c r="A1054" s="12" t="n">
        <v>45627</v>
      </c>
      <c r="B1054" s="9" t="s">
        <v>113</v>
      </c>
      <c r="C1054" s="3" t="s">
        <v>112</v>
      </c>
      <c r="D1054" s="3" t="n">
        <v>9174965</v>
      </c>
      <c r="E1054" s="3" t="s">
        <v>114</v>
      </c>
      <c r="F1054" s="3" t="n">
        <f aca="false">IF(C1054="848630",0,1)</f>
        <v>0</v>
      </c>
    </row>
    <row r="1055" customFormat="false" ht="15" hidden="false" customHeight="false" outlineLevel="0" collapsed="false">
      <c r="A1055" s="12" t="n">
        <v>45627</v>
      </c>
      <c r="B1055" s="9" t="s">
        <v>113</v>
      </c>
      <c r="C1055" s="3" t="s">
        <v>112</v>
      </c>
      <c r="D1055" s="3" t="n">
        <v>40446722</v>
      </c>
      <c r="E1055" s="3" t="s">
        <v>114</v>
      </c>
      <c r="F1055" s="3" t="n">
        <f aca="false">IF(C1055="848630",0,1)</f>
        <v>0</v>
      </c>
    </row>
    <row r="1056" customFormat="false" ht="15" hidden="false" customHeight="false" outlineLevel="0" collapsed="false">
      <c r="A1056" s="12" t="n">
        <v>45627</v>
      </c>
      <c r="B1056" s="9" t="s">
        <v>113</v>
      </c>
      <c r="C1056" s="3" t="s">
        <v>112</v>
      </c>
      <c r="D1056" s="3" t="n">
        <v>716521</v>
      </c>
      <c r="E1056" s="3" t="s">
        <v>114</v>
      </c>
      <c r="F1056" s="3" t="n">
        <f aca="false">IF(C1056="848630",0,1)</f>
        <v>0</v>
      </c>
    </row>
    <row r="1057" customFormat="false" ht="15" hidden="false" customHeight="false" outlineLevel="0" collapsed="false">
      <c r="A1057" s="12" t="n">
        <v>45627</v>
      </c>
      <c r="B1057" s="9" t="s">
        <v>113</v>
      </c>
      <c r="C1057" s="3" t="s">
        <v>112</v>
      </c>
      <c r="D1057" s="3" t="n">
        <v>3697467</v>
      </c>
      <c r="E1057" s="3" t="s">
        <v>114</v>
      </c>
      <c r="F1057" s="3" t="n">
        <f aca="false">IF(C1057="848630",0,1)</f>
        <v>0</v>
      </c>
    </row>
    <row r="1058" customFormat="false" ht="15" hidden="false" customHeight="false" outlineLevel="0" collapsed="false">
      <c r="A1058" s="12" t="n">
        <v>45627</v>
      </c>
      <c r="B1058" s="9" t="s">
        <v>113</v>
      </c>
      <c r="C1058" s="3" t="s">
        <v>112</v>
      </c>
      <c r="D1058" s="3" t="n">
        <v>9521174</v>
      </c>
      <c r="E1058" s="3" t="s">
        <v>114</v>
      </c>
      <c r="F1058" s="3" t="n">
        <f aca="false">IF(C1058="848630",0,1)</f>
        <v>0</v>
      </c>
    </row>
    <row r="1059" customFormat="false" ht="15" hidden="false" customHeight="false" outlineLevel="0" collapsed="false">
      <c r="A1059" s="12" t="n">
        <v>45627</v>
      </c>
      <c r="B1059" s="9" t="s">
        <v>113</v>
      </c>
      <c r="C1059" s="3" t="s">
        <v>108</v>
      </c>
      <c r="D1059" s="3" t="n">
        <v>90976532</v>
      </c>
      <c r="E1059" s="3" t="s">
        <v>114</v>
      </c>
      <c r="F1059" s="3" t="n">
        <f aca="false">IF(C1059="848630",0,1)</f>
        <v>1</v>
      </c>
    </row>
    <row r="1060" customFormat="false" ht="15" hidden="false" customHeight="false" outlineLevel="0" collapsed="false">
      <c r="A1060" s="12" t="n">
        <v>45627</v>
      </c>
      <c r="B1060" s="9" t="s">
        <v>113</v>
      </c>
      <c r="C1060" s="3" t="s">
        <v>108</v>
      </c>
      <c r="D1060" s="3" t="n">
        <v>5064609</v>
      </c>
      <c r="E1060" s="3" t="s">
        <v>114</v>
      </c>
      <c r="F1060" s="3" t="n">
        <f aca="false">IF(C1060="848630",0,1)</f>
        <v>1</v>
      </c>
    </row>
    <row r="1061" customFormat="false" ht="15" hidden="false" customHeight="false" outlineLevel="0" collapsed="false">
      <c r="A1061" s="12" t="n">
        <v>45627</v>
      </c>
      <c r="B1061" s="9" t="s">
        <v>113</v>
      </c>
      <c r="C1061" s="3" t="s">
        <v>108</v>
      </c>
      <c r="D1061" s="3" t="n">
        <v>5281344</v>
      </c>
      <c r="E1061" s="3" t="s">
        <v>114</v>
      </c>
      <c r="F1061" s="3" t="n">
        <f aca="false">IF(C1061="848630",0,1)</f>
        <v>1</v>
      </c>
    </row>
    <row r="1062" customFormat="false" ht="15" hidden="false" customHeight="false" outlineLevel="0" collapsed="false">
      <c r="A1062" s="12" t="n">
        <v>45627</v>
      </c>
      <c r="B1062" s="9" t="s">
        <v>113</v>
      </c>
      <c r="C1062" s="3" t="s">
        <v>108</v>
      </c>
      <c r="D1062" s="3" t="n">
        <v>30819156</v>
      </c>
      <c r="E1062" s="3" t="s">
        <v>114</v>
      </c>
      <c r="F1062" s="3" t="n">
        <f aca="false">IF(C1062="848630",0,1)</f>
        <v>1</v>
      </c>
    </row>
    <row r="1063" customFormat="false" ht="15" hidden="false" customHeight="false" outlineLevel="0" collapsed="false">
      <c r="A1063" s="12" t="n">
        <v>45627</v>
      </c>
      <c r="B1063" s="9" t="s">
        <v>113</v>
      </c>
      <c r="C1063" s="3" t="s">
        <v>108</v>
      </c>
      <c r="D1063" s="3" t="n">
        <v>19454309</v>
      </c>
      <c r="E1063" s="3" t="s">
        <v>114</v>
      </c>
      <c r="F1063" s="3" t="n">
        <f aca="false">IF(C1063="848630",0,1)</f>
        <v>1</v>
      </c>
    </row>
    <row r="1064" customFormat="false" ht="15" hidden="false" customHeight="false" outlineLevel="0" collapsed="false">
      <c r="A1064" s="12" t="n">
        <v>45627</v>
      </c>
      <c r="B1064" s="9" t="s">
        <v>113</v>
      </c>
      <c r="C1064" s="3" t="s">
        <v>108</v>
      </c>
      <c r="D1064" s="3" t="n">
        <v>30813649</v>
      </c>
      <c r="E1064" s="3" t="s">
        <v>114</v>
      </c>
      <c r="F1064" s="3" t="n">
        <f aca="false">IF(C1064="848630",0,1)</f>
        <v>1</v>
      </c>
    </row>
    <row r="1065" customFormat="false" ht="15" hidden="false" customHeight="false" outlineLevel="0" collapsed="false">
      <c r="A1065" s="12" t="n">
        <v>45627</v>
      </c>
      <c r="B1065" s="9" t="s">
        <v>113</v>
      </c>
      <c r="C1065" s="3" t="s">
        <v>109</v>
      </c>
      <c r="D1065" s="3" t="n">
        <v>5061947</v>
      </c>
      <c r="E1065" s="3" t="s">
        <v>114</v>
      </c>
      <c r="F1065" s="3" t="n">
        <f aca="false">IF(C1065="848630",0,1)</f>
        <v>1</v>
      </c>
    </row>
    <row r="1066" customFormat="false" ht="15" hidden="false" customHeight="false" outlineLevel="0" collapsed="false">
      <c r="A1066" s="12" t="n">
        <v>45627</v>
      </c>
      <c r="B1066" s="9" t="s">
        <v>113</v>
      </c>
      <c r="C1066" s="3" t="s">
        <v>109</v>
      </c>
      <c r="D1066" s="3" t="n">
        <v>537774</v>
      </c>
      <c r="E1066" s="3" t="s">
        <v>114</v>
      </c>
      <c r="F1066" s="3" t="n">
        <f aca="false">IF(C1066="848630",0,1)</f>
        <v>1</v>
      </c>
    </row>
    <row r="1067" customFormat="false" ht="15" hidden="false" customHeight="false" outlineLevel="0" collapsed="false">
      <c r="A1067" s="12" t="n">
        <v>45627</v>
      </c>
      <c r="B1067" s="9" t="s">
        <v>113</v>
      </c>
      <c r="C1067" s="3" t="s">
        <v>109</v>
      </c>
      <c r="D1067" s="3" t="n">
        <v>9225916</v>
      </c>
      <c r="E1067" s="3" t="s">
        <v>114</v>
      </c>
      <c r="F1067" s="3" t="n">
        <f aca="false">IF(C1067="848630",0,1)</f>
        <v>1</v>
      </c>
    </row>
    <row r="1068" customFormat="false" ht="15" hidden="false" customHeight="false" outlineLevel="0" collapsed="false">
      <c r="A1068" s="12" t="n">
        <v>45627</v>
      </c>
      <c r="B1068" s="9" t="s">
        <v>113</v>
      </c>
      <c r="C1068" s="3" t="s">
        <v>109</v>
      </c>
      <c r="D1068" s="3" t="n">
        <v>105330543</v>
      </c>
      <c r="E1068" s="3" t="s">
        <v>114</v>
      </c>
      <c r="F1068" s="3" t="n">
        <f aca="false">IF(C1068="848630",0,1)</f>
        <v>1</v>
      </c>
    </row>
    <row r="1069" customFormat="false" ht="15" hidden="false" customHeight="false" outlineLevel="0" collapsed="false">
      <c r="A1069" s="12" t="n">
        <v>45627</v>
      </c>
      <c r="B1069" s="9" t="s">
        <v>113</v>
      </c>
      <c r="C1069" s="3" t="s">
        <v>110</v>
      </c>
      <c r="D1069" s="3" t="n">
        <v>12864487</v>
      </c>
      <c r="E1069" s="3" t="s">
        <v>114</v>
      </c>
      <c r="F1069" s="3" t="n">
        <f aca="false">IF(C1069="848630",0,1)</f>
        <v>1</v>
      </c>
    </row>
    <row r="1070" customFormat="false" ht="15" hidden="false" customHeight="false" outlineLevel="0" collapsed="false">
      <c r="A1070" s="12" t="n">
        <v>45627</v>
      </c>
      <c r="B1070" s="9" t="s">
        <v>113</v>
      </c>
      <c r="C1070" s="3" t="s">
        <v>111</v>
      </c>
      <c r="D1070" s="3" t="n">
        <v>49230011</v>
      </c>
      <c r="E1070" s="3" t="s">
        <v>114</v>
      </c>
      <c r="F1070" s="3" t="n">
        <f aca="false">IF(C1070="848630",0,1)</f>
        <v>1</v>
      </c>
    </row>
    <row r="1071" customFormat="false" ht="15" hidden="false" customHeight="false" outlineLevel="0" collapsed="false">
      <c r="A1071" s="12" t="n">
        <v>44927</v>
      </c>
      <c r="B1071" s="9" t="s">
        <v>96</v>
      </c>
      <c r="C1071" s="3" t="s">
        <v>105</v>
      </c>
      <c r="D1071" s="3" t="n">
        <v>2758206</v>
      </c>
      <c r="E1071" s="3" t="s">
        <v>114</v>
      </c>
      <c r="F1071" s="3" t="n">
        <f aca="false">IF(C1071="848630",0,1)</f>
        <v>1</v>
      </c>
    </row>
    <row r="1072" customFormat="false" ht="15" hidden="false" customHeight="false" outlineLevel="0" collapsed="false">
      <c r="A1072" s="12" t="n">
        <v>44927</v>
      </c>
      <c r="B1072" s="9" t="s">
        <v>96</v>
      </c>
      <c r="C1072" s="3" t="s">
        <v>107</v>
      </c>
      <c r="D1072" s="3" t="n">
        <v>152848407</v>
      </c>
      <c r="E1072" s="3" t="s">
        <v>114</v>
      </c>
      <c r="F1072" s="3" t="n">
        <f aca="false">IF(C1072="848630",0,1)</f>
        <v>1</v>
      </c>
    </row>
    <row r="1073" customFormat="false" ht="15" hidden="false" customHeight="false" outlineLevel="0" collapsed="false">
      <c r="A1073" s="12" t="n">
        <v>44927</v>
      </c>
      <c r="B1073" s="9" t="s">
        <v>96</v>
      </c>
      <c r="C1073" s="3" t="s">
        <v>108</v>
      </c>
      <c r="D1073" s="3" t="n">
        <v>836925</v>
      </c>
      <c r="E1073" s="3" t="s">
        <v>114</v>
      </c>
      <c r="F1073" s="3" t="n">
        <f aca="false">IF(C1073="848630",0,1)</f>
        <v>1</v>
      </c>
    </row>
    <row r="1074" customFormat="false" ht="15" hidden="false" customHeight="false" outlineLevel="0" collapsed="false">
      <c r="A1074" s="12" t="n">
        <v>44927</v>
      </c>
      <c r="B1074" s="9" t="s">
        <v>96</v>
      </c>
      <c r="C1074" s="3" t="s">
        <v>108</v>
      </c>
      <c r="D1074" s="3" t="n">
        <v>2805591</v>
      </c>
      <c r="E1074" s="3" t="s">
        <v>114</v>
      </c>
      <c r="F1074" s="3" t="n">
        <f aca="false">IF(C1074="848630",0,1)</f>
        <v>1</v>
      </c>
    </row>
    <row r="1075" customFormat="false" ht="15" hidden="false" customHeight="false" outlineLevel="0" collapsed="false">
      <c r="A1075" s="12" t="n">
        <v>44927</v>
      </c>
      <c r="B1075" s="9" t="s">
        <v>96</v>
      </c>
      <c r="C1075" s="3" t="s">
        <v>108</v>
      </c>
      <c r="D1075" s="3" t="n">
        <v>13288413</v>
      </c>
      <c r="E1075" s="3" t="s">
        <v>114</v>
      </c>
      <c r="F1075" s="3" t="n">
        <f aca="false">IF(C1075="848630",0,1)</f>
        <v>1</v>
      </c>
    </row>
    <row r="1076" customFormat="false" ht="15" hidden="false" customHeight="false" outlineLevel="0" collapsed="false">
      <c r="A1076" s="12" t="n">
        <v>44927</v>
      </c>
      <c r="B1076" s="9" t="s">
        <v>96</v>
      </c>
      <c r="C1076" s="3" t="s">
        <v>109</v>
      </c>
      <c r="D1076" s="3" t="n">
        <v>90654994</v>
      </c>
      <c r="E1076" s="3" t="s">
        <v>114</v>
      </c>
      <c r="F1076" s="3" t="n">
        <f aca="false">IF(C1076="848630",0,1)</f>
        <v>1</v>
      </c>
    </row>
    <row r="1077" customFormat="false" ht="15" hidden="false" customHeight="false" outlineLevel="0" collapsed="false">
      <c r="A1077" s="12" t="n">
        <v>44927</v>
      </c>
      <c r="B1077" s="9" t="s">
        <v>96</v>
      </c>
      <c r="C1077" s="3" t="s">
        <v>110</v>
      </c>
      <c r="D1077" s="3" t="n">
        <v>25053383</v>
      </c>
      <c r="E1077" s="3" t="s">
        <v>114</v>
      </c>
      <c r="F1077" s="3" t="n">
        <f aca="false">IF(C1077="848630",0,1)</f>
        <v>1</v>
      </c>
    </row>
    <row r="1078" customFormat="false" ht="15" hidden="false" customHeight="false" outlineLevel="0" collapsed="false">
      <c r="A1078" s="12" t="n">
        <v>44927</v>
      </c>
      <c r="B1078" s="9" t="s">
        <v>96</v>
      </c>
      <c r="C1078" s="3" t="s">
        <v>111</v>
      </c>
      <c r="D1078" s="3" t="n">
        <v>434328</v>
      </c>
      <c r="E1078" s="3" t="s">
        <v>114</v>
      </c>
      <c r="F1078" s="3" t="n">
        <f aca="false">IF(C1078="848630",0,1)</f>
        <v>1</v>
      </c>
    </row>
    <row r="1079" customFormat="false" ht="15" hidden="false" customHeight="false" outlineLevel="0" collapsed="false">
      <c r="A1079" s="12" t="n">
        <v>44927</v>
      </c>
      <c r="B1079" s="9" t="s">
        <v>96</v>
      </c>
      <c r="C1079" s="3" t="s">
        <v>111</v>
      </c>
      <c r="D1079" s="3" t="n">
        <v>3903513</v>
      </c>
      <c r="E1079" s="3" t="s">
        <v>114</v>
      </c>
      <c r="F1079" s="3" t="n">
        <f aca="false">IF(C1079="848630",0,1)</f>
        <v>1</v>
      </c>
    </row>
    <row r="1080" customFormat="false" ht="15" hidden="false" customHeight="false" outlineLevel="0" collapsed="false">
      <c r="A1080" s="12" t="n">
        <v>44927</v>
      </c>
      <c r="B1080" s="9" t="s">
        <v>96</v>
      </c>
      <c r="C1080" s="3" t="s">
        <v>111</v>
      </c>
      <c r="D1080" s="3" t="n">
        <v>1060534</v>
      </c>
      <c r="E1080" s="3" t="s">
        <v>114</v>
      </c>
      <c r="F1080" s="3" t="n">
        <f aca="false">IF(C1080="848630",0,1)</f>
        <v>1</v>
      </c>
    </row>
    <row r="1081" customFormat="false" ht="15" hidden="false" customHeight="false" outlineLevel="0" collapsed="false">
      <c r="A1081" s="12" t="n">
        <v>44958</v>
      </c>
      <c r="B1081" s="9" t="s">
        <v>96</v>
      </c>
      <c r="C1081" s="3" t="s">
        <v>105</v>
      </c>
      <c r="D1081" s="3" t="n">
        <v>10313966</v>
      </c>
      <c r="E1081" s="3" t="s">
        <v>114</v>
      </c>
      <c r="F1081" s="3" t="n">
        <f aca="false">IF(C1081="848630",0,1)</f>
        <v>1</v>
      </c>
    </row>
    <row r="1082" customFormat="false" ht="15" hidden="false" customHeight="false" outlineLevel="0" collapsed="false">
      <c r="A1082" s="12" t="n">
        <v>44958</v>
      </c>
      <c r="B1082" s="9" t="s">
        <v>96</v>
      </c>
      <c r="C1082" s="3" t="s">
        <v>107</v>
      </c>
      <c r="D1082" s="3" t="n">
        <v>178407590</v>
      </c>
      <c r="E1082" s="3" t="s">
        <v>114</v>
      </c>
      <c r="F1082" s="3" t="n">
        <f aca="false">IF(C1082="848630",0,1)</f>
        <v>1</v>
      </c>
    </row>
    <row r="1083" customFormat="false" ht="15" hidden="false" customHeight="false" outlineLevel="0" collapsed="false">
      <c r="A1083" s="12" t="n">
        <v>44958</v>
      </c>
      <c r="B1083" s="9" t="s">
        <v>96</v>
      </c>
      <c r="C1083" s="3" t="s">
        <v>112</v>
      </c>
      <c r="D1083" s="3" t="n">
        <v>19166</v>
      </c>
      <c r="E1083" s="3" t="s">
        <v>114</v>
      </c>
      <c r="F1083" s="3" t="n">
        <f aca="false">IF(C1083="848630",0,1)</f>
        <v>0</v>
      </c>
    </row>
    <row r="1084" customFormat="false" ht="15" hidden="false" customHeight="false" outlineLevel="0" collapsed="false">
      <c r="A1084" s="12" t="n">
        <v>44958</v>
      </c>
      <c r="B1084" s="9" t="s">
        <v>96</v>
      </c>
      <c r="C1084" s="3" t="s">
        <v>108</v>
      </c>
      <c r="D1084" s="3" t="n">
        <v>0</v>
      </c>
      <c r="E1084" s="3" t="s">
        <v>114</v>
      </c>
      <c r="F1084" s="3" t="n">
        <f aca="false">IF(C1084="848630",0,1)</f>
        <v>1</v>
      </c>
    </row>
    <row r="1085" customFormat="false" ht="15" hidden="false" customHeight="false" outlineLevel="0" collapsed="false">
      <c r="A1085" s="12" t="n">
        <v>44958</v>
      </c>
      <c r="B1085" s="9" t="s">
        <v>96</v>
      </c>
      <c r="C1085" s="3" t="s">
        <v>108</v>
      </c>
      <c r="D1085" s="3" t="n">
        <v>3998790</v>
      </c>
      <c r="E1085" s="3" t="s">
        <v>114</v>
      </c>
      <c r="F1085" s="3" t="n">
        <f aca="false">IF(C1085="848630",0,1)</f>
        <v>1</v>
      </c>
    </row>
    <row r="1086" customFormat="false" ht="15" hidden="false" customHeight="false" outlineLevel="0" collapsed="false">
      <c r="A1086" s="12" t="n">
        <v>44958</v>
      </c>
      <c r="B1086" s="9" t="s">
        <v>96</v>
      </c>
      <c r="C1086" s="3" t="s">
        <v>108</v>
      </c>
      <c r="D1086" s="3" t="n">
        <v>14057804</v>
      </c>
      <c r="E1086" s="3" t="s">
        <v>114</v>
      </c>
      <c r="F1086" s="3" t="n">
        <f aca="false">IF(C1086="848630",0,1)</f>
        <v>1</v>
      </c>
    </row>
    <row r="1087" customFormat="false" ht="15" hidden="false" customHeight="false" outlineLevel="0" collapsed="false">
      <c r="A1087" s="12" t="n">
        <v>44958</v>
      </c>
      <c r="B1087" s="9" t="s">
        <v>96</v>
      </c>
      <c r="C1087" s="3" t="s">
        <v>109</v>
      </c>
      <c r="D1087" s="3" t="n">
        <v>110831586</v>
      </c>
      <c r="E1087" s="3" t="s">
        <v>114</v>
      </c>
      <c r="F1087" s="3" t="n">
        <f aca="false">IF(C1087="848630",0,1)</f>
        <v>1</v>
      </c>
    </row>
    <row r="1088" customFormat="false" ht="15" hidden="false" customHeight="false" outlineLevel="0" collapsed="false">
      <c r="A1088" s="12" t="n">
        <v>44958</v>
      </c>
      <c r="B1088" s="9" t="s">
        <v>96</v>
      </c>
      <c r="C1088" s="3" t="s">
        <v>110</v>
      </c>
      <c r="D1088" s="3" t="n">
        <v>25589834</v>
      </c>
      <c r="E1088" s="3" t="s">
        <v>114</v>
      </c>
      <c r="F1088" s="3" t="n">
        <f aca="false">IF(C1088="848630",0,1)</f>
        <v>1</v>
      </c>
    </row>
    <row r="1089" customFormat="false" ht="15" hidden="false" customHeight="false" outlineLevel="0" collapsed="false">
      <c r="A1089" s="12" t="n">
        <v>44958</v>
      </c>
      <c r="B1089" s="9" t="s">
        <v>96</v>
      </c>
      <c r="C1089" s="3" t="s">
        <v>111</v>
      </c>
      <c r="D1089" s="3" t="n">
        <v>1243696</v>
      </c>
      <c r="E1089" s="3" t="s">
        <v>114</v>
      </c>
      <c r="F1089" s="3" t="n">
        <f aca="false">IF(C1089="848630",0,1)</f>
        <v>1</v>
      </c>
    </row>
    <row r="1090" customFormat="false" ht="15" hidden="false" customHeight="false" outlineLevel="0" collapsed="false">
      <c r="A1090" s="12" t="n">
        <v>44958</v>
      </c>
      <c r="B1090" s="9" t="s">
        <v>96</v>
      </c>
      <c r="C1090" s="3" t="s">
        <v>111</v>
      </c>
      <c r="D1090" s="3" t="n">
        <v>4779525</v>
      </c>
      <c r="E1090" s="3" t="s">
        <v>114</v>
      </c>
      <c r="F1090" s="3" t="n">
        <f aca="false">IF(C1090="848630",0,1)</f>
        <v>1</v>
      </c>
    </row>
    <row r="1091" customFormat="false" ht="15" hidden="false" customHeight="false" outlineLevel="0" collapsed="false">
      <c r="A1091" s="12" t="n">
        <v>44958</v>
      </c>
      <c r="B1091" s="9" t="s">
        <v>96</v>
      </c>
      <c r="C1091" s="3" t="s">
        <v>111</v>
      </c>
      <c r="D1091" s="3" t="n">
        <v>574547</v>
      </c>
      <c r="E1091" s="3" t="s">
        <v>114</v>
      </c>
      <c r="F1091" s="3" t="n">
        <f aca="false">IF(C1091="848630",0,1)</f>
        <v>1</v>
      </c>
    </row>
    <row r="1092" customFormat="false" ht="15" hidden="false" customHeight="false" outlineLevel="0" collapsed="false">
      <c r="A1092" s="12" t="n">
        <v>44986</v>
      </c>
      <c r="B1092" s="9" t="s">
        <v>96</v>
      </c>
      <c r="C1092" s="3" t="s">
        <v>105</v>
      </c>
      <c r="D1092" s="3" t="n">
        <v>7450528</v>
      </c>
      <c r="E1092" s="3" t="s">
        <v>114</v>
      </c>
      <c r="F1092" s="3" t="n">
        <f aca="false">IF(C1092="848630",0,1)</f>
        <v>1</v>
      </c>
    </row>
    <row r="1093" customFormat="false" ht="15" hidden="false" customHeight="false" outlineLevel="0" collapsed="false">
      <c r="A1093" s="12" t="n">
        <v>44986</v>
      </c>
      <c r="B1093" s="9" t="s">
        <v>96</v>
      </c>
      <c r="C1093" s="3" t="s">
        <v>107</v>
      </c>
      <c r="D1093" s="3" t="n">
        <v>255216370</v>
      </c>
      <c r="E1093" s="3" t="s">
        <v>114</v>
      </c>
      <c r="F1093" s="3" t="n">
        <f aca="false">IF(C1093="848630",0,1)</f>
        <v>1</v>
      </c>
    </row>
    <row r="1094" customFormat="false" ht="15" hidden="false" customHeight="false" outlineLevel="0" collapsed="false">
      <c r="A1094" s="12" t="n">
        <v>44986</v>
      </c>
      <c r="B1094" s="9" t="s">
        <v>96</v>
      </c>
      <c r="C1094" s="3" t="s">
        <v>112</v>
      </c>
      <c r="D1094" s="3" t="n">
        <v>0</v>
      </c>
      <c r="E1094" s="3" t="s">
        <v>114</v>
      </c>
      <c r="F1094" s="3" t="n">
        <f aca="false">IF(C1094="848630",0,1)</f>
        <v>0</v>
      </c>
    </row>
    <row r="1095" customFormat="false" ht="15" hidden="false" customHeight="false" outlineLevel="0" collapsed="false">
      <c r="A1095" s="12" t="n">
        <v>44986</v>
      </c>
      <c r="B1095" s="9" t="s">
        <v>96</v>
      </c>
      <c r="C1095" s="3" t="s">
        <v>108</v>
      </c>
      <c r="D1095" s="3" t="n">
        <v>2701466</v>
      </c>
      <c r="E1095" s="3" t="s">
        <v>114</v>
      </c>
      <c r="F1095" s="3" t="n">
        <f aca="false">IF(C1095="848630",0,1)</f>
        <v>1</v>
      </c>
    </row>
    <row r="1096" customFormat="false" ht="15" hidden="false" customHeight="false" outlineLevel="0" collapsed="false">
      <c r="A1096" s="12" t="n">
        <v>44986</v>
      </c>
      <c r="B1096" s="9" t="s">
        <v>96</v>
      </c>
      <c r="C1096" s="3" t="s">
        <v>108</v>
      </c>
      <c r="D1096" s="3" t="n">
        <v>1616467</v>
      </c>
      <c r="E1096" s="3" t="s">
        <v>114</v>
      </c>
      <c r="F1096" s="3" t="n">
        <f aca="false">IF(C1096="848630",0,1)</f>
        <v>1</v>
      </c>
    </row>
    <row r="1097" customFormat="false" ht="15" hidden="false" customHeight="false" outlineLevel="0" collapsed="false">
      <c r="A1097" s="12" t="n">
        <v>44986</v>
      </c>
      <c r="B1097" s="9" t="s">
        <v>96</v>
      </c>
      <c r="C1097" s="3" t="s">
        <v>108</v>
      </c>
      <c r="D1097" s="3" t="n">
        <v>15210520</v>
      </c>
      <c r="E1097" s="3" t="s">
        <v>114</v>
      </c>
      <c r="F1097" s="3" t="n">
        <f aca="false">IF(C1097="848630",0,1)</f>
        <v>1</v>
      </c>
    </row>
    <row r="1098" customFormat="false" ht="15" hidden="false" customHeight="false" outlineLevel="0" collapsed="false">
      <c r="A1098" s="12" t="n">
        <v>44986</v>
      </c>
      <c r="B1098" s="9" t="s">
        <v>96</v>
      </c>
      <c r="C1098" s="3" t="s">
        <v>109</v>
      </c>
      <c r="D1098" s="3" t="n">
        <v>162565769</v>
      </c>
      <c r="E1098" s="3" t="s">
        <v>114</v>
      </c>
      <c r="F1098" s="3" t="n">
        <f aca="false">IF(C1098="848630",0,1)</f>
        <v>1</v>
      </c>
    </row>
    <row r="1099" customFormat="false" ht="15" hidden="false" customHeight="false" outlineLevel="0" collapsed="false">
      <c r="A1099" s="12" t="n">
        <v>44986</v>
      </c>
      <c r="B1099" s="9" t="s">
        <v>96</v>
      </c>
      <c r="C1099" s="3" t="s">
        <v>110</v>
      </c>
      <c r="D1099" s="3" t="n">
        <v>21258458</v>
      </c>
      <c r="E1099" s="3" t="s">
        <v>114</v>
      </c>
      <c r="F1099" s="3" t="n">
        <f aca="false">IF(C1099="848630",0,1)</f>
        <v>1</v>
      </c>
    </row>
    <row r="1100" customFormat="false" ht="15" hidden="false" customHeight="false" outlineLevel="0" collapsed="false">
      <c r="A1100" s="12" t="n">
        <v>44986</v>
      </c>
      <c r="B1100" s="9" t="s">
        <v>96</v>
      </c>
      <c r="C1100" s="3" t="s">
        <v>111</v>
      </c>
      <c r="D1100" s="3" t="n">
        <v>1145354</v>
      </c>
      <c r="E1100" s="3" t="s">
        <v>114</v>
      </c>
      <c r="F1100" s="3" t="n">
        <f aca="false">IF(C1100="848630",0,1)</f>
        <v>1</v>
      </c>
    </row>
    <row r="1101" customFormat="false" ht="15" hidden="false" customHeight="false" outlineLevel="0" collapsed="false">
      <c r="A1101" s="12" t="n">
        <v>44986</v>
      </c>
      <c r="B1101" s="9" t="s">
        <v>96</v>
      </c>
      <c r="C1101" s="3" t="s">
        <v>111</v>
      </c>
      <c r="D1101" s="3" t="n">
        <v>6388516</v>
      </c>
      <c r="E1101" s="3" t="s">
        <v>114</v>
      </c>
      <c r="F1101" s="3" t="n">
        <f aca="false">IF(C1101="848630",0,1)</f>
        <v>1</v>
      </c>
    </row>
    <row r="1102" customFormat="false" ht="15" hidden="false" customHeight="false" outlineLevel="0" collapsed="false">
      <c r="A1102" s="12" t="n">
        <v>44986</v>
      </c>
      <c r="B1102" s="9" t="s">
        <v>96</v>
      </c>
      <c r="C1102" s="3" t="s">
        <v>111</v>
      </c>
      <c r="D1102" s="3" t="n">
        <v>555026</v>
      </c>
      <c r="E1102" s="3" t="s">
        <v>114</v>
      </c>
      <c r="F1102" s="3" t="n">
        <f aca="false">IF(C1102="848630",0,1)</f>
        <v>1</v>
      </c>
    </row>
    <row r="1103" customFormat="false" ht="15" hidden="false" customHeight="false" outlineLevel="0" collapsed="false">
      <c r="A1103" s="12" t="n">
        <v>45017</v>
      </c>
      <c r="B1103" s="9" t="s">
        <v>96</v>
      </c>
      <c r="C1103" s="3" t="s">
        <v>105</v>
      </c>
      <c r="D1103" s="3" t="n">
        <v>7662202</v>
      </c>
      <c r="E1103" s="3" t="s">
        <v>114</v>
      </c>
      <c r="F1103" s="3" t="n">
        <f aca="false">IF(C1103="848630",0,1)</f>
        <v>1</v>
      </c>
    </row>
    <row r="1104" customFormat="false" ht="15" hidden="false" customHeight="false" outlineLevel="0" collapsed="false">
      <c r="A1104" s="12" t="n">
        <v>45017</v>
      </c>
      <c r="B1104" s="9" t="s">
        <v>96</v>
      </c>
      <c r="C1104" s="3" t="s">
        <v>107</v>
      </c>
      <c r="D1104" s="3" t="n">
        <v>402938072</v>
      </c>
      <c r="E1104" s="3" t="s">
        <v>114</v>
      </c>
      <c r="F1104" s="3" t="n">
        <f aca="false">IF(C1104="848630",0,1)</f>
        <v>1</v>
      </c>
    </row>
    <row r="1105" customFormat="false" ht="15" hidden="false" customHeight="false" outlineLevel="0" collapsed="false">
      <c r="A1105" s="12" t="n">
        <v>45017</v>
      </c>
      <c r="B1105" s="9" t="s">
        <v>96</v>
      </c>
      <c r="C1105" s="3" t="s">
        <v>112</v>
      </c>
      <c r="D1105" s="3" t="n">
        <v>175491</v>
      </c>
      <c r="E1105" s="3" t="s">
        <v>114</v>
      </c>
      <c r="F1105" s="3" t="n">
        <f aca="false">IF(C1105="848630",0,1)</f>
        <v>0</v>
      </c>
    </row>
    <row r="1106" customFormat="false" ht="15" hidden="false" customHeight="false" outlineLevel="0" collapsed="false">
      <c r="A1106" s="12" t="n">
        <v>45017</v>
      </c>
      <c r="B1106" s="9" t="s">
        <v>96</v>
      </c>
      <c r="C1106" s="3" t="s">
        <v>108</v>
      </c>
      <c r="D1106" s="3" t="n">
        <v>3496397</v>
      </c>
      <c r="E1106" s="3" t="s">
        <v>114</v>
      </c>
      <c r="F1106" s="3" t="n">
        <f aca="false">IF(C1106="848630",0,1)</f>
        <v>1</v>
      </c>
    </row>
    <row r="1107" customFormat="false" ht="15" hidden="false" customHeight="false" outlineLevel="0" collapsed="false">
      <c r="A1107" s="12" t="n">
        <v>45017</v>
      </c>
      <c r="B1107" s="9" t="s">
        <v>96</v>
      </c>
      <c r="C1107" s="3" t="s">
        <v>108</v>
      </c>
      <c r="D1107" s="3" t="n">
        <v>15344426</v>
      </c>
      <c r="E1107" s="3" t="s">
        <v>114</v>
      </c>
      <c r="F1107" s="3" t="n">
        <f aca="false">IF(C1107="848630",0,1)</f>
        <v>1</v>
      </c>
    </row>
    <row r="1108" customFormat="false" ht="15" hidden="false" customHeight="false" outlineLevel="0" collapsed="false">
      <c r="A1108" s="12" t="n">
        <v>45017</v>
      </c>
      <c r="B1108" s="9" t="s">
        <v>96</v>
      </c>
      <c r="C1108" s="3" t="s">
        <v>109</v>
      </c>
      <c r="D1108" s="3" t="n">
        <v>95227026</v>
      </c>
      <c r="E1108" s="3" t="s">
        <v>114</v>
      </c>
      <c r="F1108" s="3" t="n">
        <f aca="false">IF(C1108="848630",0,1)</f>
        <v>1</v>
      </c>
    </row>
    <row r="1109" customFormat="false" ht="15" hidden="false" customHeight="false" outlineLevel="0" collapsed="false">
      <c r="A1109" s="12" t="n">
        <v>45017</v>
      </c>
      <c r="B1109" s="9" t="s">
        <v>96</v>
      </c>
      <c r="C1109" s="3" t="s">
        <v>110</v>
      </c>
      <c r="D1109" s="3" t="n">
        <v>30315412</v>
      </c>
      <c r="E1109" s="3" t="s">
        <v>114</v>
      </c>
      <c r="F1109" s="3" t="n">
        <f aca="false">IF(C1109="848630",0,1)</f>
        <v>1</v>
      </c>
    </row>
    <row r="1110" customFormat="false" ht="15" hidden="false" customHeight="false" outlineLevel="0" collapsed="false">
      <c r="A1110" s="12" t="n">
        <v>45017</v>
      </c>
      <c r="B1110" s="9" t="s">
        <v>96</v>
      </c>
      <c r="C1110" s="3" t="s">
        <v>111</v>
      </c>
      <c r="D1110" s="3" t="n">
        <v>1493771</v>
      </c>
      <c r="E1110" s="3" t="s">
        <v>114</v>
      </c>
      <c r="F1110" s="3" t="n">
        <f aca="false">IF(C1110="848630",0,1)</f>
        <v>1</v>
      </c>
    </row>
    <row r="1111" customFormat="false" ht="15" hidden="false" customHeight="false" outlineLevel="0" collapsed="false">
      <c r="A1111" s="12" t="n">
        <v>45017</v>
      </c>
      <c r="B1111" s="9" t="s">
        <v>96</v>
      </c>
      <c r="C1111" s="3" t="s">
        <v>111</v>
      </c>
      <c r="D1111" s="3" t="n">
        <v>8376495</v>
      </c>
      <c r="E1111" s="3" t="s">
        <v>114</v>
      </c>
      <c r="F1111" s="3" t="n">
        <f aca="false">IF(C1111="848630",0,1)</f>
        <v>1</v>
      </c>
    </row>
    <row r="1112" customFormat="false" ht="15" hidden="false" customHeight="false" outlineLevel="0" collapsed="false">
      <c r="A1112" s="12" t="n">
        <v>45017</v>
      </c>
      <c r="B1112" s="9" t="s">
        <v>96</v>
      </c>
      <c r="C1112" s="3" t="s">
        <v>111</v>
      </c>
      <c r="D1112" s="3" t="n">
        <v>311195</v>
      </c>
      <c r="E1112" s="3" t="s">
        <v>114</v>
      </c>
      <c r="F1112" s="3" t="n">
        <f aca="false">IF(C1112="848630",0,1)</f>
        <v>1</v>
      </c>
    </row>
    <row r="1113" customFormat="false" ht="15" hidden="false" customHeight="false" outlineLevel="0" collapsed="false">
      <c r="A1113" s="12" t="n">
        <v>45047</v>
      </c>
      <c r="B1113" s="9" t="s">
        <v>96</v>
      </c>
      <c r="C1113" s="3" t="s">
        <v>105</v>
      </c>
      <c r="D1113" s="3" t="n">
        <v>13165289</v>
      </c>
      <c r="E1113" s="3" t="s">
        <v>114</v>
      </c>
      <c r="F1113" s="3" t="n">
        <f aca="false">IF(C1113="848630",0,1)</f>
        <v>1</v>
      </c>
    </row>
    <row r="1114" customFormat="false" ht="15" hidden="false" customHeight="false" outlineLevel="0" collapsed="false">
      <c r="A1114" s="12" t="n">
        <v>45047</v>
      </c>
      <c r="B1114" s="9" t="s">
        <v>96</v>
      </c>
      <c r="C1114" s="3" t="s">
        <v>107</v>
      </c>
      <c r="D1114" s="3" t="n">
        <v>227639801</v>
      </c>
      <c r="E1114" s="3" t="s">
        <v>114</v>
      </c>
      <c r="F1114" s="3" t="n">
        <f aca="false">IF(C1114="848630",0,1)</f>
        <v>1</v>
      </c>
    </row>
    <row r="1115" customFormat="false" ht="15" hidden="false" customHeight="false" outlineLevel="0" collapsed="false">
      <c r="A1115" s="12" t="n">
        <v>45047</v>
      </c>
      <c r="B1115" s="9" t="s">
        <v>96</v>
      </c>
      <c r="C1115" s="3" t="s">
        <v>112</v>
      </c>
      <c r="D1115" s="3" t="n">
        <v>107568</v>
      </c>
      <c r="E1115" s="3" t="s">
        <v>114</v>
      </c>
      <c r="F1115" s="3" t="n">
        <f aca="false">IF(C1115="848630",0,1)</f>
        <v>0</v>
      </c>
    </row>
    <row r="1116" customFormat="false" ht="15" hidden="false" customHeight="false" outlineLevel="0" collapsed="false">
      <c r="A1116" s="12" t="n">
        <v>45047</v>
      </c>
      <c r="B1116" s="9" t="s">
        <v>96</v>
      </c>
      <c r="C1116" s="3" t="s">
        <v>108</v>
      </c>
      <c r="D1116" s="3" t="n">
        <v>475918</v>
      </c>
      <c r="E1116" s="3" t="s">
        <v>114</v>
      </c>
      <c r="F1116" s="3" t="n">
        <f aca="false">IF(C1116="848630",0,1)</f>
        <v>1</v>
      </c>
    </row>
    <row r="1117" customFormat="false" ht="15" hidden="false" customHeight="false" outlineLevel="0" collapsed="false">
      <c r="A1117" s="12" t="n">
        <v>45047</v>
      </c>
      <c r="B1117" s="9" t="s">
        <v>96</v>
      </c>
      <c r="C1117" s="3" t="s">
        <v>108</v>
      </c>
      <c r="D1117" s="3" t="n">
        <v>7517986</v>
      </c>
      <c r="E1117" s="3" t="s">
        <v>114</v>
      </c>
      <c r="F1117" s="3" t="n">
        <f aca="false">IF(C1117="848630",0,1)</f>
        <v>1</v>
      </c>
    </row>
    <row r="1118" customFormat="false" ht="15" hidden="false" customHeight="false" outlineLevel="0" collapsed="false">
      <c r="A1118" s="12" t="n">
        <v>45047</v>
      </c>
      <c r="B1118" s="9" t="s">
        <v>96</v>
      </c>
      <c r="C1118" s="3" t="s">
        <v>109</v>
      </c>
      <c r="D1118" s="3" t="n">
        <v>96500083</v>
      </c>
      <c r="E1118" s="3" t="s">
        <v>114</v>
      </c>
      <c r="F1118" s="3" t="n">
        <f aca="false">IF(C1118="848630",0,1)</f>
        <v>1</v>
      </c>
    </row>
    <row r="1119" customFormat="false" ht="15" hidden="false" customHeight="false" outlineLevel="0" collapsed="false">
      <c r="A1119" s="12" t="n">
        <v>45047</v>
      </c>
      <c r="B1119" s="9" t="s">
        <v>96</v>
      </c>
      <c r="C1119" s="3" t="s">
        <v>110</v>
      </c>
      <c r="D1119" s="3" t="n">
        <v>13872770</v>
      </c>
      <c r="E1119" s="3" t="s">
        <v>114</v>
      </c>
      <c r="F1119" s="3" t="n">
        <f aca="false">IF(C1119="848630",0,1)</f>
        <v>1</v>
      </c>
    </row>
    <row r="1120" customFormat="false" ht="15" hidden="false" customHeight="false" outlineLevel="0" collapsed="false">
      <c r="A1120" s="12" t="n">
        <v>45047</v>
      </c>
      <c r="B1120" s="9" t="s">
        <v>96</v>
      </c>
      <c r="C1120" s="3" t="s">
        <v>111</v>
      </c>
      <c r="D1120" s="3" t="n">
        <v>815242</v>
      </c>
      <c r="E1120" s="3" t="s">
        <v>114</v>
      </c>
      <c r="F1120" s="3" t="n">
        <f aca="false">IF(C1120="848630",0,1)</f>
        <v>1</v>
      </c>
    </row>
    <row r="1121" customFormat="false" ht="15" hidden="false" customHeight="false" outlineLevel="0" collapsed="false">
      <c r="A1121" s="12" t="n">
        <v>45047</v>
      </c>
      <c r="B1121" s="9" t="s">
        <v>96</v>
      </c>
      <c r="C1121" s="3" t="s">
        <v>111</v>
      </c>
      <c r="D1121" s="3" t="n">
        <v>2019865</v>
      </c>
      <c r="E1121" s="3" t="s">
        <v>114</v>
      </c>
      <c r="F1121" s="3" t="n">
        <f aca="false">IF(C1121="848630",0,1)</f>
        <v>1</v>
      </c>
    </row>
    <row r="1122" customFormat="false" ht="15" hidden="false" customHeight="false" outlineLevel="0" collapsed="false">
      <c r="A1122" s="12" t="n">
        <v>45047</v>
      </c>
      <c r="B1122" s="9" t="s">
        <v>96</v>
      </c>
      <c r="C1122" s="3" t="s">
        <v>111</v>
      </c>
      <c r="D1122" s="3" t="n">
        <v>195382</v>
      </c>
      <c r="E1122" s="3" t="s">
        <v>114</v>
      </c>
      <c r="F1122" s="3" t="n">
        <f aca="false">IF(C1122="848630",0,1)</f>
        <v>1</v>
      </c>
    </row>
    <row r="1123" customFormat="false" ht="15" hidden="false" customHeight="false" outlineLevel="0" collapsed="false">
      <c r="A1123" s="12" t="n">
        <v>45078</v>
      </c>
      <c r="B1123" s="9" t="s">
        <v>96</v>
      </c>
      <c r="C1123" s="3" t="s">
        <v>105</v>
      </c>
      <c r="D1123" s="3" t="n">
        <v>1162917</v>
      </c>
      <c r="E1123" s="3" t="s">
        <v>114</v>
      </c>
      <c r="F1123" s="3" t="n">
        <f aca="false">IF(C1123="848630",0,1)</f>
        <v>1</v>
      </c>
    </row>
    <row r="1124" customFormat="false" ht="15" hidden="false" customHeight="false" outlineLevel="0" collapsed="false">
      <c r="A1124" s="12" t="n">
        <v>45078</v>
      </c>
      <c r="B1124" s="9" t="s">
        <v>96</v>
      </c>
      <c r="C1124" s="3" t="s">
        <v>107</v>
      </c>
      <c r="D1124" s="3" t="n">
        <v>132504732</v>
      </c>
      <c r="E1124" s="3" t="s">
        <v>114</v>
      </c>
      <c r="F1124" s="3" t="n">
        <f aca="false">IF(C1124="848630",0,1)</f>
        <v>1</v>
      </c>
    </row>
    <row r="1125" customFormat="false" ht="15" hidden="false" customHeight="false" outlineLevel="0" collapsed="false">
      <c r="A1125" s="12" t="n">
        <v>45078</v>
      </c>
      <c r="B1125" s="9" t="s">
        <v>96</v>
      </c>
      <c r="C1125" s="3" t="s">
        <v>112</v>
      </c>
      <c r="D1125" s="3" t="n">
        <v>36341</v>
      </c>
      <c r="E1125" s="3" t="s">
        <v>114</v>
      </c>
      <c r="F1125" s="3" t="n">
        <f aca="false">IF(C1125="848630",0,1)</f>
        <v>0</v>
      </c>
    </row>
    <row r="1126" customFormat="false" ht="15" hidden="false" customHeight="false" outlineLevel="0" collapsed="false">
      <c r="A1126" s="12" t="n">
        <v>45078</v>
      </c>
      <c r="B1126" s="9" t="s">
        <v>96</v>
      </c>
      <c r="C1126" s="3" t="s">
        <v>108</v>
      </c>
      <c r="D1126" s="3" t="n">
        <v>314520</v>
      </c>
      <c r="E1126" s="3" t="s">
        <v>114</v>
      </c>
      <c r="F1126" s="3" t="n">
        <f aca="false">IF(C1126="848630",0,1)</f>
        <v>1</v>
      </c>
    </row>
    <row r="1127" customFormat="false" ht="15" hidden="false" customHeight="false" outlineLevel="0" collapsed="false">
      <c r="A1127" s="12" t="n">
        <v>45078</v>
      </c>
      <c r="B1127" s="9" t="s">
        <v>96</v>
      </c>
      <c r="C1127" s="3" t="s">
        <v>108</v>
      </c>
      <c r="D1127" s="3" t="n">
        <v>1734601</v>
      </c>
      <c r="E1127" s="3" t="s">
        <v>114</v>
      </c>
      <c r="F1127" s="3" t="n">
        <f aca="false">IF(C1127="848630",0,1)</f>
        <v>1</v>
      </c>
    </row>
    <row r="1128" customFormat="false" ht="15" hidden="false" customHeight="false" outlineLevel="0" collapsed="false">
      <c r="A1128" s="12" t="n">
        <v>45078</v>
      </c>
      <c r="B1128" s="9" t="s">
        <v>96</v>
      </c>
      <c r="C1128" s="3" t="s">
        <v>108</v>
      </c>
      <c r="D1128" s="3" t="n">
        <v>11365725</v>
      </c>
      <c r="E1128" s="3" t="s">
        <v>114</v>
      </c>
      <c r="F1128" s="3" t="n">
        <f aca="false">IF(C1128="848630",0,1)</f>
        <v>1</v>
      </c>
    </row>
    <row r="1129" customFormat="false" ht="15" hidden="false" customHeight="false" outlineLevel="0" collapsed="false">
      <c r="A1129" s="12" t="n">
        <v>45078</v>
      </c>
      <c r="B1129" s="9" t="s">
        <v>96</v>
      </c>
      <c r="C1129" s="3" t="s">
        <v>109</v>
      </c>
      <c r="D1129" s="3" t="n">
        <v>89691932</v>
      </c>
      <c r="E1129" s="3" t="s">
        <v>114</v>
      </c>
      <c r="F1129" s="3" t="n">
        <f aca="false">IF(C1129="848630",0,1)</f>
        <v>1</v>
      </c>
    </row>
    <row r="1130" customFormat="false" ht="15" hidden="false" customHeight="false" outlineLevel="0" collapsed="false">
      <c r="A1130" s="12" t="n">
        <v>45078</v>
      </c>
      <c r="B1130" s="9" t="s">
        <v>96</v>
      </c>
      <c r="C1130" s="3" t="s">
        <v>110</v>
      </c>
      <c r="D1130" s="3" t="n">
        <v>11878415</v>
      </c>
      <c r="E1130" s="3" t="s">
        <v>114</v>
      </c>
      <c r="F1130" s="3" t="n">
        <f aca="false">IF(C1130="848630",0,1)</f>
        <v>1</v>
      </c>
    </row>
    <row r="1131" customFormat="false" ht="15" hidden="false" customHeight="false" outlineLevel="0" collapsed="false">
      <c r="A1131" s="12" t="n">
        <v>45078</v>
      </c>
      <c r="B1131" s="9" t="s">
        <v>96</v>
      </c>
      <c r="C1131" s="3" t="s">
        <v>111</v>
      </c>
      <c r="D1131" s="3" t="n">
        <v>758200</v>
      </c>
      <c r="E1131" s="3" t="s">
        <v>114</v>
      </c>
      <c r="F1131" s="3" t="n">
        <f aca="false">IF(C1131="848630",0,1)</f>
        <v>1</v>
      </c>
    </row>
    <row r="1132" customFormat="false" ht="15" hidden="false" customHeight="false" outlineLevel="0" collapsed="false">
      <c r="A1132" s="12" t="n">
        <v>45078</v>
      </c>
      <c r="B1132" s="9" t="s">
        <v>96</v>
      </c>
      <c r="C1132" s="3" t="s">
        <v>111</v>
      </c>
      <c r="D1132" s="3" t="n">
        <v>5619588</v>
      </c>
      <c r="E1132" s="3" t="s">
        <v>114</v>
      </c>
      <c r="F1132" s="3" t="n">
        <f aca="false">IF(C1132="848630",0,1)</f>
        <v>1</v>
      </c>
    </row>
    <row r="1133" customFormat="false" ht="15" hidden="false" customHeight="false" outlineLevel="0" collapsed="false">
      <c r="A1133" s="12" t="n">
        <v>45078</v>
      </c>
      <c r="B1133" s="9" t="s">
        <v>96</v>
      </c>
      <c r="C1133" s="3" t="s">
        <v>111</v>
      </c>
      <c r="D1133" s="3" t="n">
        <v>460471</v>
      </c>
      <c r="E1133" s="3" t="s">
        <v>114</v>
      </c>
      <c r="F1133" s="3" t="n">
        <f aca="false">IF(C1133="848630",0,1)</f>
        <v>1</v>
      </c>
    </row>
    <row r="1134" customFormat="false" ht="15" hidden="false" customHeight="false" outlineLevel="0" collapsed="false">
      <c r="A1134" s="12" t="n">
        <v>45139</v>
      </c>
      <c r="B1134" s="9" t="s">
        <v>96</v>
      </c>
      <c r="C1134" s="3" t="s">
        <v>105</v>
      </c>
      <c r="D1134" s="3" t="n">
        <v>1656156</v>
      </c>
      <c r="E1134" s="3" t="s">
        <v>114</v>
      </c>
      <c r="F1134" s="3" t="n">
        <f aca="false">IF(C1134="848630",0,1)</f>
        <v>1</v>
      </c>
    </row>
    <row r="1135" customFormat="false" ht="15" hidden="false" customHeight="false" outlineLevel="0" collapsed="false">
      <c r="A1135" s="12" t="n">
        <v>45139</v>
      </c>
      <c r="B1135" s="9" t="s">
        <v>96</v>
      </c>
      <c r="C1135" s="3" t="s">
        <v>107</v>
      </c>
      <c r="D1135" s="3" t="n">
        <v>107610526</v>
      </c>
      <c r="E1135" s="3" t="s">
        <v>114</v>
      </c>
      <c r="F1135" s="3" t="n">
        <f aca="false">IF(C1135="848630",0,1)</f>
        <v>1</v>
      </c>
    </row>
    <row r="1136" customFormat="false" ht="15" hidden="false" customHeight="false" outlineLevel="0" collapsed="false">
      <c r="A1136" s="12" t="n">
        <v>45139</v>
      </c>
      <c r="B1136" s="9" t="s">
        <v>96</v>
      </c>
      <c r="C1136" s="3" t="s">
        <v>112</v>
      </c>
      <c r="D1136" s="3" t="n">
        <v>137178</v>
      </c>
      <c r="E1136" s="3" t="s">
        <v>114</v>
      </c>
      <c r="F1136" s="3" t="n">
        <f aca="false">IF(C1136="848630",0,1)</f>
        <v>0</v>
      </c>
    </row>
    <row r="1137" customFormat="false" ht="15" hidden="false" customHeight="false" outlineLevel="0" collapsed="false">
      <c r="A1137" s="12" t="n">
        <v>45139</v>
      </c>
      <c r="B1137" s="9" t="s">
        <v>96</v>
      </c>
      <c r="C1137" s="3" t="s">
        <v>108</v>
      </c>
      <c r="D1137" s="3" t="n">
        <v>0</v>
      </c>
      <c r="E1137" s="3" t="s">
        <v>114</v>
      </c>
      <c r="F1137" s="3" t="n">
        <f aca="false">IF(C1137="848630",0,1)</f>
        <v>1</v>
      </c>
    </row>
    <row r="1138" customFormat="false" ht="15" hidden="false" customHeight="false" outlineLevel="0" collapsed="false">
      <c r="A1138" s="12" t="n">
        <v>45139</v>
      </c>
      <c r="B1138" s="9" t="s">
        <v>96</v>
      </c>
      <c r="C1138" s="3" t="s">
        <v>108</v>
      </c>
      <c r="D1138" s="3" t="n">
        <v>3227424</v>
      </c>
      <c r="E1138" s="3" t="s">
        <v>114</v>
      </c>
      <c r="F1138" s="3" t="n">
        <f aca="false">IF(C1138="848630",0,1)</f>
        <v>1</v>
      </c>
    </row>
    <row r="1139" customFormat="false" ht="15" hidden="false" customHeight="false" outlineLevel="0" collapsed="false">
      <c r="A1139" s="12" t="n">
        <v>45139</v>
      </c>
      <c r="B1139" s="9" t="s">
        <v>96</v>
      </c>
      <c r="C1139" s="3" t="s">
        <v>108</v>
      </c>
      <c r="D1139" s="3" t="n">
        <v>20560441</v>
      </c>
      <c r="E1139" s="3" t="s">
        <v>114</v>
      </c>
      <c r="F1139" s="3" t="n">
        <f aca="false">IF(C1139="848630",0,1)</f>
        <v>1</v>
      </c>
    </row>
    <row r="1140" customFormat="false" ht="15" hidden="false" customHeight="false" outlineLevel="0" collapsed="false">
      <c r="A1140" s="12" t="n">
        <v>45139</v>
      </c>
      <c r="B1140" s="9" t="s">
        <v>96</v>
      </c>
      <c r="C1140" s="3" t="s">
        <v>109</v>
      </c>
      <c r="D1140" s="3" t="n">
        <v>96668667</v>
      </c>
      <c r="E1140" s="3" t="s">
        <v>114</v>
      </c>
      <c r="F1140" s="3" t="n">
        <f aca="false">IF(C1140="848630",0,1)</f>
        <v>1</v>
      </c>
    </row>
    <row r="1141" customFormat="false" ht="15" hidden="false" customHeight="false" outlineLevel="0" collapsed="false">
      <c r="A1141" s="12" t="n">
        <v>45139</v>
      </c>
      <c r="B1141" s="9" t="s">
        <v>96</v>
      </c>
      <c r="C1141" s="3" t="s">
        <v>110</v>
      </c>
      <c r="D1141" s="3" t="n">
        <v>8151815</v>
      </c>
      <c r="E1141" s="3" t="s">
        <v>114</v>
      </c>
      <c r="F1141" s="3" t="n">
        <f aca="false">IF(C1141="848630",0,1)</f>
        <v>1</v>
      </c>
    </row>
    <row r="1142" customFormat="false" ht="15" hidden="false" customHeight="false" outlineLevel="0" collapsed="false">
      <c r="A1142" s="12" t="n">
        <v>45139</v>
      </c>
      <c r="B1142" s="9" t="s">
        <v>96</v>
      </c>
      <c r="C1142" s="3" t="s">
        <v>111</v>
      </c>
      <c r="D1142" s="3" t="n">
        <v>853901</v>
      </c>
      <c r="E1142" s="3" t="s">
        <v>114</v>
      </c>
      <c r="F1142" s="3" t="n">
        <f aca="false">IF(C1142="848630",0,1)</f>
        <v>1</v>
      </c>
    </row>
    <row r="1143" customFormat="false" ht="15" hidden="false" customHeight="false" outlineLevel="0" collapsed="false">
      <c r="A1143" s="12" t="n">
        <v>45139</v>
      </c>
      <c r="B1143" s="9" t="s">
        <v>96</v>
      </c>
      <c r="C1143" s="3" t="s">
        <v>111</v>
      </c>
      <c r="D1143" s="3" t="n">
        <v>5560390</v>
      </c>
      <c r="E1143" s="3" t="s">
        <v>114</v>
      </c>
      <c r="F1143" s="3" t="n">
        <f aca="false">IF(C1143="848630",0,1)</f>
        <v>1</v>
      </c>
    </row>
    <row r="1144" customFormat="false" ht="15" hidden="false" customHeight="false" outlineLevel="0" collapsed="false">
      <c r="A1144" s="12" t="n">
        <v>45139</v>
      </c>
      <c r="B1144" s="9" t="s">
        <v>96</v>
      </c>
      <c r="C1144" s="3" t="s">
        <v>111</v>
      </c>
      <c r="D1144" s="3" t="n">
        <v>282425</v>
      </c>
      <c r="E1144" s="3" t="s">
        <v>114</v>
      </c>
      <c r="F1144" s="3" t="n">
        <f aca="false">IF(C1144="848630",0,1)</f>
        <v>1</v>
      </c>
    </row>
    <row r="1145" customFormat="false" ht="15" hidden="false" customHeight="false" outlineLevel="0" collapsed="false">
      <c r="A1145" s="12" t="n">
        <v>45170</v>
      </c>
      <c r="B1145" s="9" t="s">
        <v>96</v>
      </c>
      <c r="C1145" s="3" t="s">
        <v>105</v>
      </c>
      <c r="D1145" s="3" t="n">
        <v>4830084</v>
      </c>
      <c r="E1145" s="3" t="s">
        <v>114</v>
      </c>
      <c r="F1145" s="3" t="n">
        <f aca="false">IF(C1145="848630",0,1)</f>
        <v>1</v>
      </c>
    </row>
    <row r="1146" customFormat="false" ht="15" hidden="false" customHeight="false" outlineLevel="0" collapsed="false">
      <c r="A1146" s="12" t="n">
        <v>45170</v>
      </c>
      <c r="B1146" s="9" t="s">
        <v>96</v>
      </c>
      <c r="C1146" s="3" t="s">
        <v>107</v>
      </c>
      <c r="D1146" s="3" t="n">
        <v>90784679</v>
      </c>
      <c r="E1146" s="3" t="s">
        <v>114</v>
      </c>
      <c r="F1146" s="3" t="n">
        <f aca="false">IF(C1146="848630",0,1)</f>
        <v>1</v>
      </c>
    </row>
    <row r="1147" customFormat="false" ht="15" hidden="false" customHeight="false" outlineLevel="0" collapsed="false">
      <c r="A1147" s="12" t="n">
        <v>45170</v>
      </c>
      <c r="B1147" s="9" t="s">
        <v>96</v>
      </c>
      <c r="C1147" s="3" t="s">
        <v>112</v>
      </c>
      <c r="D1147" s="3" t="n">
        <v>16075</v>
      </c>
      <c r="E1147" s="3" t="s">
        <v>114</v>
      </c>
      <c r="F1147" s="3" t="n">
        <f aca="false">IF(C1147="848630",0,1)</f>
        <v>0</v>
      </c>
    </row>
    <row r="1148" customFormat="false" ht="15" hidden="false" customHeight="false" outlineLevel="0" collapsed="false">
      <c r="A1148" s="12" t="n">
        <v>45170</v>
      </c>
      <c r="B1148" s="9" t="s">
        <v>96</v>
      </c>
      <c r="C1148" s="3" t="s">
        <v>108</v>
      </c>
      <c r="D1148" s="3" t="n">
        <v>0</v>
      </c>
      <c r="E1148" s="3" t="s">
        <v>114</v>
      </c>
      <c r="F1148" s="3" t="n">
        <f aca="false">IF(C1148="848630",0,1)</f>
        <v>1</v>
      </c>
    </row>
    <row r="1149" customFormat="false" ht="15" hidden="false" customHeight="false" outlineLevel="0" collapsed="false">
      <c r="A1149" s="12" t="n">
        <v>45170</v>
      </c>
      <c r="B1149" s="9" t="s">
        <v>96</v>
      </c>
      <c r="C1149" s="3" t="s">
        <v>108</v>
      </c>
      <c r="D1149" s="3" t="n">
        <v>4177049</v>
      </c>
      <c r="E1149" s="3" t="s">
        <v>114</v>
      </c>
      <c r="F1149" s="3" t="n">
        <f aca="false">IF(C1149="848630",0,1)</f>
        <v>1</v>
      </c>
    </row>
    <row r="1150" customFormat="false" ht="15" hidden="false" customHeight="false" outlineLevel="0" collapsed="false">
      <c r="A1150" s="12" t="n">
        <v>45170</v>
      </c>
      <c r="B1150" s="9" t="s">
        <v>96</v>
      </c>
      <c r="C1150" s="3" t="s">
        <v>108</v>
      </c>
      <c r="D1150" s="3" t="n">
        <v>7918077</v>
      </c>
      <c r="E1150" s="3" t="s">
        <v>114</v>
      </c>
      <c r="F1150" s="3" t="n">
        <f aca="false">IF(C1150="848630",0,1)</f>
        <v>1</v>
      </c>
    </row>
    <row r="1151" customFormat="false" ht="15" hidden="false" customHeight="false" outlineLevel="0" collapsed="false">
      <c r="A1151" s="12" t="n">
        <v>45170</v>
      </c>
      <c r="B1151" s="9" t="s">
        <v>96</v>
      </c>
      <c r="C1151" s="3" t="s">
        <v>109</v>
      </c>
      <c r="D1151" s="3" t="n">
        <v>126518991</v>
      </c>
      <c r="E1151" s="3" t="s">
        <v>114</v>
      </c>
      <c r="F1151" s="3" t="n">
        <f aca="false">IF(C1151="848630",0,1)</f>
        <v>1</v>
      </c>
    </row>
    <row r="1152" customFormat="false" ht="15" hidden="false" customHeight="false" outlineLevel="0" collapsed="false">
      <c r="A1152" s="12" t="n">
        <v>45170</v>
      </c>
      <c r="B1152" s="9" t="s">
        <v>96</v>
      </c>
      <c r="C1152" s="3" t="s">
        <v>110</v>
      </c>
      <c r="D1152" s="3" t="n">
        <v>15770498</v>
      </c>
      <c r="E1152" s="3" t="s">
        <v>114</v>
      </c>
      <c r="F1152" s="3" t="n">
        <f aca="false">IF(C1152="848630",0,1)</f>
        <v>1</v>
      </c>
    </row>
    <row r="1153" customFormat="false" ht="15" hidden="false" customHeight="false" outlineLevel="0" collapsed="false">
      <c r="A1153" s="12" t="n">
        <v>45170</v>
      </c>
      <c r="B1153" s="9" t="s">
        <v>96</v>
      </c>
      <c r="C1153" s="3" t="s">
        <v>111</v>
      </c>
      <c r="D1153" s="3" t="n">
        <v>41720</v>
      </c>
      <c r="E1153" s="3" t="s">
        <v>114</v>
      </c>
      <c r="F1153" s="3" t="n">
        <f aca="false">IF(C1153="848630",0,1)</f>
        <v>1</v>
      </c>
    </row>
    <row r="1154" customFormat="false" ht="15" hidden="false" customHeight="false" outlineLevel="0" collapsed="false">
      <c r="A1154" s="12" t="n">
        <v>45170</v>
      </c>
      <c r="B1154" s="9" t="s">
        <v>96</v>
      </c>
      <c r="C1154" s="3" t="s">
        <v>111</v>
      </c>
      <c r="D1154" s="3" t="n">
        <v>2776615</v>
      </c>
      <c r="E1154" s="3" t="s">
        <v>114</v>
      </c>
      <c r="F1154" s="3" t="n">
        <f aca="false">IF(C1154="848630",0,1)</f>
        <v>1</v>
      </c>
    </row>
    <row r="1155" customFormat="false" ht="15" hidden="false" customHeight="false" outlineLevel="0" collapsed="false">
      <c r="A1155" s="12" t="n">
        <v>45170</v>
      </c>
      <c r="B1155" s="9" t="s">
        <v>96</v>
      </c>
      <c r="C1155" s="3" t="s">
        <v>111</v>
      </c>
      <c r="D1155" s="3" t="n">
        <v>160127</v>
      </c>
      <c r="E1155" s="3" t="s">
        <v>114</v>
      </c>
      <c r="F1155" s="3" t="n">
        <f aca="false">IF(C1155="848630",0,1)</f>
        <v>1</v>
      </c>
    </row>
    <row r="1156" customFormat="false" ht="15" hidden="false" customHeight="false" outlineLevel="0" collapsed="false">
      <c r="A1156" s="12" t="n">
        <v>45200</v>
      </c>
      <c r="B1156" s="9" t="s">
        <v>96</v>
      </c>
      <c r="C1156" s="3" t="s">
        <v>105</v>
      </c>
      <c r="D1156" s="3" t="n">
        <v>1061005</v>
      </c>
      <c r="E1156" s="3" t="s">
        <v>114</v>
      </c>
      <c r="F1156" s="3" t="n">
        <f aca="false">IF(C1156="848630",0,1)</f>
        <v>1</v>
      </c>
    </row>
    <row r="1157" customFormat="false" ht="15" hidden="false" customHeight="false" outlineLevel="0" collapsed="false">
      <c r="A1157" s="12" t="n">
        <v>45200</v>
      </c>
      <c r="B1157" s="9" t="s">
        <v>96</v>
      </c>
      <c r="C1157" s="3" t="s">
        <v>107</v>
      </c>
      <c r="D1157" s="3" t="n">
        <v>160953802</v>
      </c>
      <c r="E1157" s="3" t="s">
        <v>114</v>
      </c>
      <c r="F1157" s="3" t="n">
        <f aca="false">IF(C1157="848630",0,1)</f>
        <v>1</v>
      </c>
    </row>
    <row r="1158" customFormat="false" ht="15" hidden="false" customHeight="false" outlineLevel="0" collapsed="false">
      <c r="A1158" s="12" t="n">
        <v>45200</v>
      </c>
      <c r="B1158" s="9" t="s">
        <v>96</v>
      </c>
      <c r="C1158" s="3" t="s">
        <v>112</v>
      </c>
      <c r="D1158" s="3" t="n">
        <v>4055</v>
      </c>
      <c r="E1158" s="3" t="s">
        <v>114</v>
      </c>
      <c r="F1158" s="3" t="n">
        <f aca="false">IF(C1158="848630",0,1)</f>
        <v>0</v>
      </c>
    </row>
    <row r="1159" customFormat="false" ht="15" hidden="false" customHeight="false" outlineLevel="0" collapsed="false">
      <c r="A1159" s="12" t="n">
        <v>45200</v>
      </c>
      <c r="B1159" s="9" t="s">
        <v>96</v>
      </c>
      <c r="C1159" s="3" t="s">
        <v>108</v>
      </c>
      <c r="D1159" s="3" t="n">
        <v>0</v>
      </c>
      <c r="E1159" s="3" t="s">
        <v>114</v>
      </c>
      <c r="F1159" s="3" t="n">
        <f aca="false">IF(C1159="848630",0,1)</f>
        <v>1</v>
      </c>
    </row>
    <row r="1160" customFormat="false" ht="15" hidden="false" customHeight="false" outlineLevel="0" collapsed="false">
      <c r="A1160" s="12" t="n">
        <v>45200</v>
      </c>
      <c r="B1160" s="9" t="s">
        <v>96</v>
      </c>
      <c r="C1160" s="3" t="s">
        <v>108</v>
      </c>
      <c r="D1160" s="3" t="n">
        <v>3612448</v>
      </c>
      <c r="E1160" s="3" t="s">
        <v>114</v>
      </c>
      <c r="F1160" s="3" t="n">
        <f aca="false">IF(C1160="848630",0,1)</f>
        <v>1</v>
      </c>
    </row>
    <row r="1161" customFormat="false" ht="15" hidden="false" customHeight="false" outlineLevel="0" collapsed="false">
      <c r="A1161" s="12" t="n">
        <v>45200</v>
      </c>
      <c r="B1161" s="9" t="s">
        <v>96</v>
      </c>
      <c r="C1161" s="3" t="s">
        <v>108</v>
      </c>
      <c r="D1161" s="3" t="n">
        <v>9224340</v>
      </c>
      <c r="E1161" s="3" t="s">
        <v>114</v>
      </c>
      <c r="F1161" s="3" t="n">
        <f aca="false">IF(C1161="848630",0,1)</f>
        <v>1</v>
      </c>
    </row>
    <row r="1162" customFormat="false" ht="15" hidden="false" customHeight="false" outlineLevel="0" collapsed="false">
      <c r="A1162" s="12" t="n">
        <v>45200</v>
      </c>
      <c r="B1162" s="9" t="s">
        <v>96</v>
      </c>
      <c r="C1162" s="3" t="s">
        <v>109</v>
      </c>
      <c r="D1162" s="3" t="n">
        <v>96488314</v>
      </c>
      <c r="E1162" s="3" t="s">
        <v>114</v>
      </c>
      <c r="F1162" s="3" t="n">
        <f aca="false">IF(C1162="848630",0,1)</f>
        <v>1</v>
      </c>
    </row>
    <row r="1163" customFormat="false" ht="15" hidden="false" customHeight="false" outlineLevel="0" collapsed="false">
      <c r="A1163" s="12" t="n">
        <v>45200</v>
      </c>
      <c r="B1163" s="9" t="s">
        <v>96</v>
      </c>
      <c r="C1163" s="3" t="s">
        <v>110</v>
      </c>
      <c r="D1163" s="3" t="n">
        <v>10323546</v>
      </c>
      <c r="E1163" s="3" t="s">
        <v>114</v>
      </c>
      <c r="F1163" s="3" t="n">
        <f aca="false">IF(C1163="848630",0,1)</f>
        <v>1</v>
      </c>
    </row>
    <row r="1164" customFormat="false" ht="15" hidden="false" customHeight="false" outlineLevel="0" collapsed="false">
      <c r="A1164" s="12" t="n">
        <v>45200</v>
      </c>
      <c r="B1164" s="9" t="s">
        <v>96</v>
      </c>
      <c r="C1164" s="3" t="s">
        <v>111</v>
      </c>
      <c r="D1164" s="3" t="n">
        <v>930680</v>
      </c>
      <c r="E1164" s="3" t="s">
        <v>114</v>
      </c>
      <c r="F1164" s="3" t="n">
        <f aca="false">IF(C1164="848630",0,1)</f>
        <v>1</v>
      </c>
    </row>
    <row r="1165" customFormat="false" ht="15" hidden="false" customHeight="false" outlineLevel="0" collapsed="false">
      <c r="A1165" s="12" t="n">
        <v>45200</v>
      </c>
      <c r="B1165" s="9" t="s">
        <v>96</v>
      </c>
      <c r="C1165" s="3" t="s">
        <v>111</v>
      </c>
      <c r="D1165" s="3" t="n">
        <v>808385</v>
      </c>
      <c r="E1165" s="3" t="s">
        <v>114</v>
      </c>
      <c r="F1165" s="3" t="n">
        <f aca="false">IF(C1165="848630",0,1)</f>
        <v>1</v>
      </c>
    </row>
    <row r="1166" customFormat="false" ht="15" hidden="false" customHeight="false" outlineLevel="0" collapsed="false">
      <c r="A1166" s="12" t="n">
        <v>45200</v>
      </c>
      <c r="B1166" s="9" t="s">
        <v>96</v>
      </c>
      <c r="C1166" s="3" t="s">
        <v>111</v>
      </c>
      <c r="D1166" s="3" t="n">
        <v>766031</v>
      </c>
      <c r="E1166" s="3" t="s">
        <v>114</v>
      </c>
      <c r="F1166" s="3" t="n">
        <f aca="false">IF(C1166="848630",0,1)</f>
        <v>1</v>
      </c>
    </row>
    <row r="1167" customFormat="false" ht="15" hidden="false" customHeight="false" outlineLevel="0" collapsed="false">
      <c r="A1167" s="12" t="n">
        <v>45231</v>
      </c>
      <c r="B1167" s="9" t="s">
        <v>96</v>
      </c>
      <c r="C1167" s="3" t="s">
        <v>105</v>
      </c>
      <c r="D1167" s="3" t="n">
        <v>4071705</v>
      </c>
      <c r="E1167" s="3" t="s">
        <v>114</v>
      </c>
      <c r="F1167" s="3" t="n">
        <f aca="false">IF(C1167="848630",0,1)</f>
        <v>1</v>
      </c>
    </row>
    <row r="1168" customFormat="false" ht="15" hidden="false" customHeight="false" outlineLevel="0" collapsed="false">
      <c r="A1168" s="12" t="n">
        <v>45231</v>
      </c>
      <c r="B1168" s="9" t="s">
        <v>96</v>
      </c>
      <c r="C1168" s="3" t="s">
        <v>107</v>
      </c>
      <c r="D1168" s="3" t="n">
        <v>185552803</v>
      </c>
      <c r="E1168" s="3" t="s">
        <v>114</v>
      </c>
      <c r="F1168" s="3" t="n">
        <f aca="false">IF(C1168="848630",0,1)</f>
        <v>1</v>
      </c>
    </row>
    <row r="1169" customFormat="false" ht="15" hidden="false" customHeight="false" outlineLevel="0" collapsed="false">
      <c r="A1169" s="12" t="n">
        <v>45231</v>
      </c>
      <c r="B1169" s="9" t="s">
        <v>96</v>
      </c>
      <c r="C1169" s="3" t="s">
        <v>112</v>
      </c>
      <c r="D1169" s="3" t="n">
        <v>0</v>
      </c>
      <c r="E1169" s="3" t="s">
        <v>114</v>
      </c>
      <c r="F1169" s="3" t="n">
        <f aca="false">IF(C1169="848630",0,1)</f>
        <v>0</v>
      </c>
    </row>
    <row r="1170" customFormat="false" ht="15" hidden="false" customHeight="false" outlineLevel="0" collapsed="false">
      <c r="A1170" s="12" t="n">
        <v>45231</v>
      </c>
      <c r="B1170" s="9" t="s">
        <v>96</v>
      </c>
      <c r="C1170" s="3" t="s">
        <v>108</v>
      </c>
      <c r="D1170" s="3" t="n">
        <v>879011</v>
      </c>
      <c r="E1170" s="3" t="s">
        <v>114</v>
      </c>
      <c r="F1170" s="3" t="n">
        <f aca="false">IF(C1170="848630",0,1)</f>
        <v>1</v>
      </c>
    </row>
    <row r="1171" customFormat="false" ht="15" hidden="false" customHeight="false" outlineLevel="0" collapsed="false">
      <c r="A1171" s="12" t="n">
        <v>45231</v>
      </c>
      <c r="B1171" s="9" t="s">
        <v>96</v>
      </c>
      <c r="C1171" s="3" t="s">
        <v>108</v>
      </c>
      <c r="D1171" s="3" t="n">
        <v>6189964</v>
      </c>
      <c r="E1171" s="3" t="s">
        <v>114</v>
      </c>
      <c r="F1171" s="3" t="n">
        <f aca="false">IF(C1171="848630",0,1)</f>
        <v>1</v>
      </c>
    </row>
    <row r="1172" customFormat="false" ht="15" hidden="false" customHeight="false" outlineLevel="0" collapsed="false">
      <c r="A1172" s="12" t="n">
        <v>45231</v>
      </c>
      <c r="B1172" s="9" t="s">
        <v>96</v>
      </c>
      <c r="C1172" s="3" t="s">
        <v>108</v>
      </c>
      <c r="D1172" s="3" t="n">
        <v>7415978</v>
      </c>
      <c r="E1172" s="3" t="s">
        <v>114</v>
      </c>
      <c r="F1172" s="3" t="n">
        <f aca="false">IF(C1172="848630",0,1)</f>
        <v>1</v>
      </c>
    </row>
    <row r="1173" customFormat="false" ht="15" hidden="false" customHeight="false" outlineLevel="0" collapsed="false">
      <c r="A1173" s="12" t="n">
        <v>45231</v>
      </c>
      <c r="B1173" s="9" t="s">
        <v>96</v>
      </c>
      <c r="C1173" s="3" t="s">
        <v>109</v>
      </c>
      <c r="D1173" s="3" t="n">
        <v>105644730</v>
      </c>
      <c r="E1173" s="3" t="s">
        <v>114</v>
      </c>
      <c r="F1173" s="3" t="n">
        <f aca="false">IF(C1173="848630",0,1)</f>
        <v>1</v>
      </c>
    </row>
    <row r="1174" customFormat="false" ht="15" hidden="false" customHeight="false" outlineLevel="0" collapsed="false">
      <c r="A1174" s="12" t="n">
        <v>45231</v>
      </c>
      <c r="B1174" s="9" t="s">
        <v>96</v>
      </c>
      <c r="C1174" s="3" t="s">
        <v>110</v>
      </c>
      <c r="D1174" s="3" t="n">
        <v>9594639</v>
      </c>
      <c r="E1174" s="3" t="s">
        <v>114</v>
      </c>
      <c r="F1174" s="3" t="n">
        <f aca="false">IF(C1174="848630",0,1)</f>
        <v>1</v>
      </c>
    </row>
    <row r="1175" customFormat="false" ht="15" hidden="false" customHeight="false" outlineLevel="0" collapsed="false">
      <c r="A1175" s="12" t="n">
        <v>45231</v>
      </c>
      <c r="B1175" s="9" t="s">
        <v>96</v>
      </c>
      <c r="C1175" s="3" t="s">
        <v>111</v>
      </c>
      <c r="D1175" s="3" t="n">
        <v>4024124</v>
      </c>
      <c r="E1175" s="3" t="s">
        <v>114</v>
      </c>
      <c r="F1175" s="3" t="n">
        <f aca="false">IF(C1175="848630",0,1)</f>
        <v>1</v>
      </c>
    </row>
    <row r="1176" customFormat="false" ht="15" hidden="false" customHeight="false" outlineLevel="0" collapsed="false">
      <c r="A1176" s="12" t="n">
        <v>45231</v>
      </c>
      <c r="B1176" s="9" t="s">
        <v>96</v>
      </c>
      <c r="C1176" s="3" t="s">
        <v>111</v>
      </c>
      <c r="D1176" s="3" t="n">
        <v>2144378</v>
      </c>
      <c r="E1176" s="3" t="s">
        <v>114</v>
      </c>
      <c r="F1176" s="3" t="n">
        <f aca="false">IF(C1176="848630",0,1)</f>
        <v>1</v>
      </c>
    </row>
    <row r="1177" customFormat="false" ht="15" hidden="false" customHeight="false" outlineLevel="0" collapsed="false">
      <c r="A1177" s="12" t="n">
        <v>45231</v>
      </c>
      <c r="B1177" s="9" t="s">
        <v>96</v>
      </c>
      <c r="C1177" s="3" t="s">
        <v>111</v>
      </c>
      <c r="D1177" s="3" t="n">
        <v>247286</v>
      </c>
      <c r="E1177" s="3" t="s">
        <v>114</v>
      </c>
      <c r="F1177" s="3" t="n">
        <f aca="false">IF(C1177="848630",0,1)</f>
        <v>1</v>
      </c>
    </row>
    <row r="1178" customFormat="false" ht="15" hidden="false" customHeight="false" outlineLevel="0" collapsed="false">
      <c r="A1178" s="12" t="n">
        <v>45261</v>
      </c>
      <c r="B1178" s="9" t="s">
        <v>96</v>
      </c>
      <c r="C1178" s="3" t="s">
        <v>105</v>
      </c>
      <c r="D1178" s="3" t="n">
        <v>2105721</v>
      </c>
      <c r="E1178" s="3" t="s">
        <v>114</v>
      </c>
      <c r="F1178" s="3" t="n">
        <f aca="false">IF(C1178="848630",0,1)</f>
        <v>1</v>
      </c>
    </row>
    <row r="1179" customFormat="false" ht="15" hidden="false" customHeight="false" outlineLevel="0" collapsed="false">
      <c r="A1179" s="12" t="n">
        <v>45261</v>
      </c>
      <c r="B1179" s="9" t="s">
        <v>96</v>
      </c>
      <c r="C1179" s="3" t="s">
        <v>107</v>
      </c>
      <c r="D1179" s="3" t="n">
        <v>143623459</v>
      </c>
      <c r="E1179" s="3" t="s">
        <v>114</v>
      </c>
      <c r="F1179" s="3" t="n">
        <f aca="false">IF(C1179="848630",0,1)</f>
        <v>1</v>
      </c>
    </row>
    <row r="1180" customFormat="false" ht="15" hidden="false" customHeight="false" outlineLevel="0" collapsed="false">
      <c r="A1180" s="12" t="n">
        <v>45261</v>
      </c>
      <c r="B1180" s="9" t="s">
        <v>96</v>
      </c>
      <c r="C1180" s="3" t="s">
        <v>112</v>
      </c>
      <c r="D1180" s="3" t="n">
        <v>124356</v>
      </c>
      <c r="E1180" s="3" t="s">
        <v>114</v>
      </c>
      <c r="F1180" s="3" t="n">
        <f aca="false">IF(C1180="848630",0,1)</f>
        <v>0</v>
      </c>
    </row>
    <row r="1181" customFormat="false" ht="15" hidden="false" customHeight="false" outlineLevel="0" collapsed="false">
      <c r="A1181" s="12" t="n">
        <v>45261</v>
      </c>
      <c r="B1181" s="9" t="s">
        <v>96</v>
      </c>
      <c r="C1181" s="3" t="s">
        <v>108</v>
      </c>
      <c r="D1181" s="3" t="n">
        <v>0</v>
      </c>
      <c r="E1181" s="3" t="s">
        <v>114</v>
      </c>
      <c r="F1181" s="3" t="n">
        <f aca="false">IF(C1181="848630",0,1)</f>
        <v>1</v>
      </c>
    </row>
    <row r="1182" customFormat="false" ht="15" hidden="false" customHeight="false" outlineLevel="0" collapsed="false">
      <c r="A1182" s="12" t="n">
        <v>45261</v>
      </c>
      <c r="B1182" s="9" t="s">
        <v>96</v>
      </c>
      <c r="C1182" s="3" t="s">
        <v>108</v>
      </c>
      <c r="D1182" s="3" t="n">
        <v>738455</v>
      </c>
      <c r="E1182" s="3" t="s">
        <v>114</v>
      </c>
      <c r="F1182" s="3" t="n">
        <f aca="false">IF(C1182="848630",0,1)</f>
        <v>1</v>
      </c>
    </row>
    <row r="1183" customFormat="false" ht="15" hidden="false" customHeight="false" outlineLevel="0" collapsed="false">
      <c r="A1183" s="12" t="n">
        <v>45261</v>
      </c>
      <c r="B1183" s="9" t="s">
        <v>96</v>
      </c>
      <c r="C1183" s="3" t="s">
        <v>108</v>
      </c>
      <c r="D1183" s="3" t="n">
        <v>11229389</v>
      </c>
      <c r="E1183" s="3" t="s">
        <v>114</v>
      </c>
      <c r="F1183" s="3" t="n">
        <f aca="false">IF(C1183="848630",0,1)</f>
        <v>1</v>
      </c>
    </row>
    <row r="1184" customFormat="false" ht="15" hidden="false" customHeight="false" outlineLevel="0" collapsed="false">
      <c r="A1184" s="12" t="n">
        <v>45261</v>
      </c>
      <c r="B1184" s="9" t="s">
        <v>96</v>
      </c>
      <c r="C1184" s="3" t="s">
        <v>109</v>
      </c>
      <c r="D1184" s="3" t="n">
        <v>99391791</v>
      </c>
      <c r="E1184" s="3" t="s">
        <v>114</v>
      </c>
      <c r="F1184" s="3" t="n">
        <f aca="false">IF(C1184="848630",0,1)</f>
        <v>1</v>
      </c>
    </row>
    <row r="1185" customFormat="false" ht="15" hidden="false" customHeight="false" outlineLevel="0" collapsed="false">
      <c r="A1185" s="12" t="n">
        <v>45261</v>
      </c>
      <c r="B1185" s="9" t="s">
        <v>96</v>
      </c>
      <c r="C1185" s="3" t="s">
        <v>110</v>
      </c>
      <c r="D1185" s="3" t="n">
        <v>7831639</v>
      </c>
      <c r="E1185" s="3" t="s">
        <v>114</v>
      </c>
      <c r="F1185" s="3" t="n">
        <f aca="false">IF(C1185="848630",0,1)</f>
        <v>1</v>
      </c>
    </row>
    <row r="1186" customFormat="false" ht="15" hidden="false" customHeight="false" outlineLevel="0" collapsed="false">
      <c r="A1186" s="12" t="n">
        <v>45261</v>
      </c>
      <c r="B1186" s="9" t="s">
        <v>96</v>
      </c>
      <c r="C1186" s="3" t="s">
        <v>111</v>
      </c>
      <c r="D1186" s="3" t="n">
        <v>972149</v>
      </c>
      <c r="E1186" s="3" t="s">
        <v>114</v>
      </c>
      <c r="F1186" s="3" t="n">
        <f aca="false">IF(C1186="848630",0,1)</f>
        <v>1</v>
      </c>
    </row>
    <row r="1187" customFormat="false" ht="15" hidden="false" customHeight="false" outlineLevel="0" collapsed="false">
      <c r="A1187" s="12" t="n">
        <v>45261</v>
      </c>
      <c r="B1187" s="9" t="s">
        <v>96</v>
      </c>
      <c r="C1187" s="3" t="s">
        <v>111</v>
      </c>
      <c r="D1187" s="3" t="n">
        <v>8702921</v>
      </c>
      <c r="E1187" s="3" t="s">
        <v>114</v>
      </c>
      <c r="F1187" s="3" t="n">
        <f aca="false">IF(C1187="848630",0,1)</f>
        <v>1</v>
      </c>
    </row>
    <row r="1188" customFormat="false" ht="15" hidden="false" customHeight="false" outlineLevel="0" collapsed="false">
      <c r="A1188" s="12" t="n">
        <v>45261</v>
      </c>
      <c r="B1188" s="9" t="s">
        <v>96</v>
      </c>
      <c r="C1188" s="3" t="s">
        <v>111</v>
      </c>
      <c r="D1188" s="3" t="n">
        <v>391929</v>
      </c>
      <c r="E1188" s="3" t="s">
        <v>114</v>
      </c>
      <c r="F1188" s="3" t="n">
        <f aca="false">IF(C1188="848630",0,1)</f>
        <v>1</v>
      </c>
    </row>
    <row r="1189" customFormat="false" ht="15" hidden="false" customHeight="false" outlineLevel="0" collapsed="false">
      <c r="A1189" s="12" t="n">
        <v>45292</v>
      </c>
      <c r="B1189" s="9" t="s">
        <v>96</v>
      </c>
      <c r="C1189" s="3" t="s">
        <v>105</v>
      </c>
      <c r="D1189" s="3" t="n">
        <v>9583526</v>
      </c>
      <c r="E1189" s="3" t="s">
        <v>114</v>
      </c>
      <c r="F1189" s="3" t="n">
        <f aca="false">IF(C1189="848630",0,1)</f>
        <v>1</v>
      </c>
    </row>
    <row r="1190" customFormat="false" ht="15" hidden="false" customHeight="false" outlineLevel="0" collapsed="false">
      <c r="A1190" s="12" t="n">
        <v>45292</v>
      </c>
      <c r="B1190" s="9" t="s">
        <v>96</v>
      </c>
      <c r="C1190" s="3" t="s">
        <v>107</v>
      </c>
      <c r="D1190" s="3" t="n">
        <v>109485496</v>
      </c>
      <c r="E1190" s="3" t="s">
        <v>114</v>
      </c>
      <c r="F1190" s="3" t="n">
        <f aca="false">IF(C1190="848630",0,1)</f>
        <v>1</v>
      </c>
    </row>
    <row r="1191" customFormat="false" ht="15" hidden="false" customHeight="false" outlineLevel="0" collapsed="false">
      <c r="A1191" s="12" t="n">
        <v>45292</v>
      </c>
      <c r="B1191" s="9" t="s">
        <v>96</v>
      </c>
      <c r="C1191" s="3" t="s">
        <v>112</v>
      </c>
      <c r="D1191" s="3" t="n">
        <v>75287</v>
      </c>
      <c r="E1191" s="3" t="s">
        <v>114</v>
      </c>
      <c r="F1191" s="3" t="n">
        <f aca="false">IF(C1191="848630",0,1)</f>
        <v>0</v>
      </c>
    </row>
    <row r="1192" customFormat="false" ht="15" hidden="false" customHeight="false" outlineLevel="0" collapsed="false">
      <c r="A1192" s="12" t="n">
        <v>45292</v>
      </c>
      <c r="B1192" s="9" t="s">
        <v>96</v>
      </c>
      <c r="C1192" s="3" t="s">
        <v>108</v>
      </c>
      <c r="D1192" s="3" t="n">
        <v>4308050</v>
      </c>
      <c r="E1192" s="3" t="s">
        <v>114</v>
      </c>
      <c r="F1192" s="3" t="n">
        <f aca="false">IF(C1192="848630",0,1)</f>
        <v>1</v>
      </c>
    </row>
    <row r="1193" customFormat="false" ht="15" hidden="false" customHeight="false" outlineLevel="0" collapsed="false">
      <c r="A1193" s="12" t="n">
        <v>45292</v>
      </c>
      <c r="B1193" s="9" t="s">
        <v>96</v>
      </c>
      <c r="C1193" s="3" t="s">
        <v>108</v>
      </c>
      <c r="D1193" s="3" t="n">
        <v>12462359</v>
      </c>
      <c r="E1193" s="3" t="s">
        <v>114</v>
      </c>
      <c r="F1193" s="3" t="n">
        <f aca="false">IF(C1193="848630",0,1)</f>
        <v>1</v>
      </c>
    </row>
    <row r="1194" customFormat="false" ht="15" hidden="false" customHeight="false" outlineLevel="0" collapsed="false">
      <c r="A1194" s="12" t="n">
        <v>45292</v>
      </c>
      <c r="B1194" s="9" t="s">
        <v>96</v>
      </c>
      <c r="C1194" s="3" t="s">
        <v>109</v>
      </c>
      <c r="D1194" s="3" t="n">
        <v>89916748</v>
      </c>
      <c r="E1194" s="3" t="s">
        <v>114</v>
      </c>
      <c r="F1194" s="3" t="n">
        <f aca="false">IF(C1194="848630",0,1)</f>
        <v>1</v>
      </c>
    </row>
    <row r="1195" customFormat="false" ht="15" hidden="false" customHeight="false" outlineLevel="0" collapsed="false">
      <c r="A1195" s="12" t="n">
        <v>45292</v>
      </c>
      <c r="B1195" s="9" t="s">
        <v>96</v>
      </c>
      <c r="C1195" s="3" t="s">
        <v>110</v>
      </c>
      <c r="D1195" s="3" t="n">
        <v>14988173</v>
      </c>
      <c r="E1195" s="3" t="s">
        <v>114</v>
      </c>
      <c r="F1195" s="3" t="n">
        <f aca="false">IF(C1195="848630",0,1)</f>
        <v>1</v>
      </c>
    </row>
    <row r="1196" customFormat="false" ht="15" hidden="false" customHeight="false" outlineLevel="0" collapsed="false">
      <c r="A1196" s="12" t="n">
        <v>45292</v>
      </c>
      <c r="B1196" s="9" t="s">
        <v>96</v>
      </c>
      <c r="C1196" s="3" t="s">
        <v>111</v>
      </c>
      <c r="D1196" s="3" t="n">
        <v>359821</v>
      </c>
      <c r="E1196" s="3" t="s">
        <v>114</v>
      </c>
      <c r="F1196" s="3" t="n">
        <f aca="false">IF(C1196="848630",0,1)</f>
        <v>1</v>
      </c>
    </row>
    <row r="1197" customFormat="false" ht="15" hidden="false" customHeight="false" outlineLevel="0" collapsed="false">
      <c r="A1197" s="12" t="n">
        <v>45292</v>
      </c>
      <c r="B1197" s="9" t="s">
        <v>96</v>
      </c>
      <c r="C1197" s="3" t="s">
        <v>111</v>
      </c>
      <c r="D1197" s="3" t="n">
        <v>3136035</v>
      </c>
      <c r="E1197" s="3" t="s">
        <v>114</v>
      </c>
      <c r="F1197" s="3" t="n">
        <f aca="false">IF(C1197="848630",0,1)</f>
        <v>1</v>
      </c>
    </row>
    <row r="1198" customFormat="false" ht="15" hidden="false" customHeight="false" outlineLevel="0" collapsed="false">
      <c r="A1198" s="12" t="n">
        <v>45292</v>
      </c>
      <c r="B1198" s="9" t="s">
        <v>96</v>
      </c>
      <c r="C1198" s="3" t="s">
        <v>111</v>
      </c>
      <c r="D1198" s="3" t="n">
        <v>723952</v>
      </c>
      <c r="E1198" s="3" t="s">
        <v>114</v>
      </c>
      <c r="F1198" s="3" t="n">
        <f aca="false">IF(C1198="848630",0,1)</f>
        <v>1</v>
      </c>
    </row>
    <row r="1199" customFormat="false" ht="15" hidden="false" customHeight="false" outlineLevel="0" collapsed="false">
      <c r="A1199" s="12" t="n">
        <v>45323</v>
      </c>
      <c r="B1199" s="9" t="s">
        <v>96</v>
      </c>
      <c r="C1199" s="3" t="s">
        <v>105</v>
      </c>
      <c r="D1199" s="3" t="n">
        <v>8527378</v>
      </c>
      <c r="E1199" s="3" t="s">
        <v>114</v>
      </c>
      <c r="F1199" s="3" t="n">
        <f aca="false">IF(C1199="848630",0,1)</f>
        <v>1</v>
      </c>
    </row>
    <row r="1200" customFormat="false" ht="15" hidden="false" customHeight="false" outlineLevel="0" collapsed="false">
      <c r="A1200" s="12" t="n">
        <v>45323</v>
      </c>
      <c r="B1200" s="9" t="s">
        <v>96</v>
      </c>
      <c r="C1200" s="3" t="s">
        <v>107</v>
      </c>
      <c r="D1200" s="3" t="n">
        <v>146179519</v>
      </c>
      <c r="E1200" s="3" t="s">
        <v>114</v>
      </c>
      <c r="F1200" s="3" t="n">
        <f aca="false">IF(C1200="848630",0,1)</f>
        <v>1</v>
      </c>
    </row>
    <row r="1201" customFormat="false" ht="15" hidden="false" customHeight="false" outlineLevel="0" collapsed="false">
      <c r="A1201" s="12" t="n">
        <v>45323</v>
      </c>
      <c r="B1201" s="9" t="s">
        <v>96</v>
      </c>
      <c r="C1201" s="3" t="s">
        <v>112</v>
      </c>
      <c r="D1201" s="3" t="n">
        <v>9350</v>
      </c>
      <c r="E1201" s="3" t="s">
        <v>114</v>
      </c>
      <c r="F1201" s="3" t="n">
        <f aca="false">IF(C1201="848630",0,1)</f>
        <v>0</v>
      </c>
    </row>
    <row r="1202" customFormat="false" ht="15" hidden="false" customHeight="false" outlineLevel="0" collapsed="false">
      <c r="A1202" s="12" t="n">
        <v>45323</v>
      </c>
      <c r="B1202" s="9" t="s">
        <v>96</v>
      </c>
      <c r="C1202" s="3" t="s">
        <v>108</v>
      </c>
      <c r="D1202" s="3" t="n">
        <v>59508</v>
      </c>
      <c r="E1202" s="3" t="s">
        <v>114</v>
      </c>
      <c r="F1202" s="3" t="n">
        <f aca="false">IF(C1202="848630",0,1)</f>
        <v>1</v>
      </c>
    </row>
    <row r="1203" customFormat="false" ht="15" hidden="false" customHeight="false" outlineLevel="0" collapsed="false">
      <c r="A1203" s="12" t="n">
        <v>45323</v>
      </c>
      <c r="B1203" s="9" t="s">
        <v>96</v>
      </c>
      <c r="C1203" s="3" t="s">
        <v>108</v>
      </c>
      <c r="D1203" s="3" t="n">
        <v>22733</v>
      </c>
      <c r="E1203" s="3" t="s">
        <v>114</v>
      </c>
      <c r="F1203" s="3" t="n">
        <f aca="false">IF(C1203="848630",0,1)</f>
        <v>1</v>
      </c>
    </row>
    <row r="1204" customFormat="false" ht="15" hidden="false" customHeight="false" outlineLevel="0" collapsed="false">
      <c r="A1204" s="12" t="n">
        <v>45323</v>
      </c>
      <c r="B1204" s="9" t="s">
        <v>96</v>
      </c>
      <c r="C1204" s="3" t="s">
        <v>108</v>
      </c>
      <c r="D1204" s="3" t="n">
        <v>9127148</v>
      </c>
      <c r="E1204" s="3" t="s">
        <v>114</v>
      </c>
      <c r="F1204" s="3" t="n">
        <f aca="false">IF(C1204="848630",0,1)</f>
        <v>1</v>
      </c>
    </row>
    <row r="1205" customFormat="false" ht="15" hidden="false" customHeight="false" outlineLevel="0" collapsed="false">
      <c r="A1205" s="12" t="n">
        <v>45323</v>
      </c>
      <c r="B1205" s="9" t="s">
        <v>96</v>
      </c>
      <c r="C1205" s="3" t="s">
        <v>109</v>
      </c>
      <c r="D1205" s="3" t="n">
        <v>112060795</v>
      </c>
      <c r="E1205" s="3" t="s">
        <v>114</v>
      </c>
      <c r="F1205" s="3" t="n">
        <f aca="false">IF(C1205="848630",0,1)</f>
        <v>1</v>
      </c>
    </row>
    <row r="1206" customFormat="false" ht="15" hidden="false" customHeight="false" outlineLevel="0" collapsed="false">
      <c r="A1206" s="12" t="n">
        <v>45323</v>
      </c>
      <c r="B1206" s="9" t="s">
        <v>96</v>
      </c>
      <c r="C1206" s="3" t="s">
        <v>110</v>
      </c>
      <c r="D1206" s="3" t="n">
        <v>10634743</v>
      </c>
      <c r="E1206" s="3" t="s">
        <v>114</v>
      </c>
      <c r="F1206" s="3" t="n">
        <f aca="false">IF(C1206="848630",0,1)</f>
        <v>1</v>
      </c>
    </row>
    <row r="1207" customFormat="false" ht="15" hidden="false" customHeight="false" outlineLevel="0" collapsed="false">
      <c r="A1207" s="12" t="n">
        <v>45323</v>
      </c>
      <c r="B1207" s="9" t="s">
        <v>96</v>
      </c>
      <c r="C1207" s="3" t="s">
        <v>111</v>
      </c>
      <c r="D1207" s="3" t="n">
        <v>6784</v>
      </c>
      <c r="E1207" s="3" t="s">
        <v>114</v>
      </c>
      <c r="F1207" s="3" t="n">
        <f aca="false">IF(C1207="848630",0,1)</f>
        <v>1</v>
      </c>
    </row>
    <row r="1208" customFormat="false" ht="15" hidden="false" customHeight="false" outlineLevel="0" collapsed="false">
      <c r="A1208" s="12" t="n">
        <v>45323</v>
      </c>
      <c r="B1208" s="9" t="s">
        <v>96</v>
      </c>
      <c r="C1208" s="3" t="s">
        <v>111</v>
      </c>
      <c r="D1208" s="3" t="n">
        <v>1032931</v>
      </c>
      <c r="E1208" s="3" t="s">
        <v>114</v>
      </c>
      <c r="F1208" s="3" t="n">
        <f aca="false">IF(C1208="848630",0,1)</f>
        <v>1</v>
      </c>
    </row>
    <row r="1209" customFormat="false" ht="15" hidden="false" customHeight="false" outlineLevel="0" collapsed="false">
      <c r="A1209" s="12" t="n">
        <v>45323</v>
      </c>
      <c r="B1209" s="9" t="s">
        <v>96</v>
      </c>
      <c r="C1209" s="3" t="s">
        <v>111</v>
      </c>
      <c r="D1209" s="3" t="n">
        <v>111024</v>
      </c>
      <c r="E1209" s="3" t="s">
        <v>114</v>
      </c>
      <c r="F1209" s="3" t="n">
        <f aca="false">IF(C1209="848630",0,1)</f>
        <v>1</v>
      </c>
    </row>
    <row r="1210" customFormat="false" ht="15" hidden="false" customHeight="false" outlineLevel="0" collapsed="false">
      <c r="A1210" s="12" t="n">
        <v>45352</v>
      </c>
      <c r="B1210" s="9" t="s">
        <v>96</v>
      </c>
      <c r="C1210" s="3" t="s">
        <v>105</v>
      </c>
      <c r="D1210" s="3" t="n">
        <v>14194820</v>
      </c>
      <c r="E1210" s="3" t="s">
        <v>114</v>
      </c>
      <c r="F1210" s="3" t="n">
        <f aca="false">IF(C1210="848630",0,1)</f>
        <v>1</v>
      </c>
    </row>
    <row r="1211" customFormat="false" ht="15" hidden="false" customHeight="false" outlineLevel="0" collapsed="false">
      <c r="A1211" s="12" t="n">
        <v>45352</v>
      </c>
      <c r="B1211" s="9" t="s">
        <v>96</v>
      </c>
      <c r="C1211" s="3" t="s">
        <v>107</v>
      </c>
      <c r="D1211" s="3" t="n">
        <v>146611574</v>
      </c>
      <c r="E1211" s="3" t="s">
        <v>114</v>
      </c>
      <c r="F1211" s="3" t="n">
        <f aca="false">IF(C1211="848630",0,1)</f>
        <v>1</v>
      </c>
    </row>
    <row r="1212" customFormat="false" ht="15" hidden="false" customHeight="false" outlineLevel="0" collapsed="false">
      <c r="A1212" s="12" t="n">
        <v>45352</v>
      </c>
      <c r="B1212" s="9" t="s">
        <v>96</v>
      </c>
      <c r="C1212" s="3" t="s">
        <v>112</v>
      </c>
      <c r="D1212" s="3" t="n">
        <v>0</v>
      </c>
      <c r="E1212" s="3" t="s">
        <v>114</v>
      </c>
      <c r="F1212" s="3" t="n">
        <f aca="false">IF(C1212="848630",0,1)</f>
        <v>0</v>
      </c>
    </row>
    <row r="1213" customFormat="false" ht="15" hidden="false" customHeight="false" outlineLevel="0" collapsed="false">
      <c r="A1213" s="12" t="n">
        <v>45352</v>
      </c>
      <c r="B1213" s="9" t="s">
        <v>96</v>
      </c>
      <c r="C1213" s="3" t="s">
        <v>108</v>
      </c>
      <c r="D1213" s="3" t="n">
        <v>17784</v>
      </c>
      <c r="E1213" s="3" t="s">
        <v>114</v>
      </c>
      <c r="F1213" s="3" t="n">
        <f aca="false">IF(C1213="848630",0,1)</f>
        <v>1</v>
      </c>
    </row>
    <row r="1214" customFormat="false" ht="15" hidden="false" customHeight="false" outlineLevel="0" collapsed="false">
      <c r="A1214" s="12" t="n">
        <v>45352</v>
      </c>
      <c r="B1214" s="9" t="s">
        <v>96</v>
      </c>
      <c r="C1214" s="3" t="s">
        <v>108</v>
      </c>
      <c r="D1214" s="3" t="n">
        <v>90336</v>
      </c>
      <c r="E1214" s="3" t="s">
        <v>114</v>
      </c>
      <c r="F1214" s="3" t="n">
        <f aca="false">IF(C1214="848630",0,1)</f>
        <v>1</v>
      </c>
    </row>
    <row r="1215" customFormat="false" ht="15" hidden="false" customHeight="false" outlineLevel="0" collapsed="false">
      <c r="A1215" s="12" t="n">
        <v>45352</v>
      </c>
      <c r="B1215" s="9" t="s">
        <v>96</v>
      </c>
      <c r="C1215" s="3" t="s">
        <v>108</v>
      </c>
      <c r="D1215" s="3" t="n">
        <v>14196184</v>
      </c>
      <c r="E1215" s="3" t="s">
        <v>114</v>
      </c>
      <c r="F1215" s="3" t="n">
        <f aca="false">IF(C1215="848630",0,1)</f>
        <v>1</v>
      </c>
    </row>
    <row r="1216" customFormat="false" ht="15" hidden="false" customHeight="false" outlineLevel="0" collapsed="false">
      <c r="A1216" s="12" t="n">
        <v>45352</v>
      </c>
      <c r="B1216" s="9" t="s">
        <v>96</v>
      </c>
      <c r="C1216" s="3" t="s">
        <v>109</v>
      </c>
      <c r="D1216" s="3" t="n">
        <v>107677538</v>
      </c>
      <c r="E1216" s="3" t="s">
        <v>114</v>
      </c>
      <c r="F1216" s="3" t="n">
        <f aca="false">IF(C1216="848630",0,1)</f>
        <v>1</v>
      </c>
    </row>
    <row r="1217" customFormat="false" ht="15" hidden="false" customHeight="false" outlineLevel="0" collapsed="false">
      <c r="A1217" s="12" t="n">
        <v>45352</v>
      </c>
      <c r="B1217" s="9" t="s">
        <v>96</v>
      </c>
      <c r="C1217" s="3" t="s">
        <v>110</v>
      </c>
      <c r="D1217" s="3" t="n">
        <v>11899933</v>
      </c>
      <c r="E1217" s="3" t="s">
        <v>114</v>
      </c>
      <c r="F1217" s="3" t="n">
        <f aca="false">IF(C1217="848630",0,1)</f>
        <v>1</v>
      </c>
    </row>
    <row r="1218" customFormat="false" ht="15" hidden="false" customHeight="false" outlineLevel="0" collapsed="false">
      <c r="A1218" s="12" t="n">
        <v>45352</v>
      </c>
      <c r="B1218" s="9" t="s">
        <v>96</v>
      </c>
      <c r="C1218" s="3" t="s">
        <v>111</v>
      </c>
      <c r="D1218" s="3" t="n">
        <v>2743993</v>
      </c>
      <c r="E1218" s="3" t="s">
        <v>114</v>
      </c>
      <c r="F1218" s="3" t="n">
        <f aca="false">IF(C1218="848630",0,1)</f>
        <v>1</v>
      </c>
    </row>
    <row r="1219" customFormat="false" ht="15" hidden="false" customHeight="false" outlineLevel="0" collapsed="false">
      <c r="A1219" s="12" t="n">
        <v>45352</v>
      </c>
      <c r="B1219" s="9" t="s">
        <v>96</v>
      </c>
      <c r="C1219" s="3" t="s">
        <v>111</v>
      </c>
      <c r="D1219" s="3" t="n">
        <v>10974219</v>
      </c>
      <c r="E1219" s="3" t="s">
        <v>114</v>
      </c>
      <c r="F1219" s="3" t="n">
        <f aca="false">IF(C1219="848630",0,1)</f>
        <v>1</v>
      </c>
    </row>
    <row r="1220" customFormat="false" ht="15" hidden="false" customHeight="false" outlineLevel="0" collapsed="false">
      <c r="A1220" s="12" t="n">
        <v>45352</v>
      </c>
      <c r="B1220" s="9" t="s">
        <v>96</v>
      </c>
      <c r="C1220" s="3" t="s">
        <v>111</v>
      </c>
      <c r="D1220" s="3" t="n">
        <v>1128871</v>
      </c>
      <c r="E1220" s="3" t="s">
        <v>114</v>
      </c>
      <c r="F1220" s="3" t="n">
        <f aca="false">IF(C1220="848630",0,1)</f>
        <v>1</v>
      </c>
    </row>
    <row r="1221" customFormat="false" ht="15" hidden="false" customHeight="false" outlineLevel="0" collapsed="false">
      <c r="A1221" s="12" t="n">
        <v>45383</v>
      </c>
      <c r="B1221" s="9" t="s">
        <v>96</v>
      </c>
      <c r="C1221" s="3" t="s">
        <v>105</v>
      </c>
      <c r="D1221" s="3" t="n">
        <v>1940863</v>
      </c>
      <c r="E1221" s="3" t="s">
        <v>114</v>
      </c>
      <c r="F1221" s="3" t="n">
        <f aca="false">IF(C1221="848630",0,1)</f>
        <v>1</v>
      </c>
    </row>
    <row r="1222" customFormat="false" ht="15" hidden="false" customHeight="false" outlineLevel="0" collapsed="false">
      <c r="A1222" s="12" t="n">
        <v>45383</v>
      </c>
      <c r="B1222" s="9" t="s">
        <v>96</v>
      </c>
      <c r="C1222" s="3" t="s">
        <v>107</v>
      </c>
      <c r="D1222" s="3" t="n">
        <v>118956182</v>
      </c>
      <c r="E1222" s="3" t="s">
        <v>114</v>
      </c>
      <c r="F1222" s="3" t="n">
        <f aca="false">IF(C1222="848630",0,1)</f>
        <v>1</v>
      </c>
    </row>
    <row r="1223" customFormat="false" ht="15" hidden="false" customHeight="false" outlineLevel="0" collapsed="false">
      <c r="A1223" s="12" t="n">
        <v>45383</v>
      </c>
      <c r="B1223" s="9" t="s">
        <v>96</v>
      </c>
      <c r="C1223" s="3" t="s">
        <v>108</v>
      </c>
      <c r="D1223" s="3" t="n">
        <v>5824828</v>
      </c>
      <c r="E1223" s="3" t="s">
        <v>114</v>
      </c>
      <c r="F1223" s="3" t="n">
        <f aca="false">IF(C1223="848630",0,1)</f>
        <v>1</v>
      </c>
    </row>
    <row r="1224" customFormat="false" ht="15" hidden="false" customHeight="false" outlineLevel="0" collapsed="false">
      <c r="A1224" s="12" t="n">
        <v>45383</v>
      </c>
      <c r="B1224" s="9" t="s">
        <v>96</v>
      </c>
      <c r="C1224" s="3" t="s">
        <v>108</v>
      </c>
      <c r="D1224" s="3" t="n">
        <v>15760290</v>
      </c>
      <c r="E1224" s="3" t="s">
        <v>114</v>
      </c>
      <c r="F1224" s="3" t="n">
        <f aca="false">IF(C1224="848630",0,1)</f>
        <v>1</v>
      </c>
    </row>
    <row r="1225" customFormat="false" ht="15" hidden="false" customHeight="false" outlineLevel="0" collapsed="false">
      <c r="A1225" s="12" t="n">
        <v>45383</v>
      </c>
      <c r="B1225" s="9" t="s">
        <v>96</v>
      </c>
      <c r="C1225" s="3" t="s">
        <v>109</v>
      </c>
      <c r="D1225" s="3" t="n">
        <v>105500382</v>
      </c>
      <c r="E1225" s="3" t="s">
        <v>114</v>
      </c>
      <c r="F1225" s="3" t="n">
        <f aca="false">IF(C1225="848630",0,1)</f>
        <v>1</v>
      </c>
    </row>
    <row r="1226" customFormat="false" ht="15" hidden="false" customHeight="false" outlineLevel="0" collapsed="false">
      <c r="A1226" s="12" t="n">
        <v>45383</v>
      </c>
      <c r="B1226" s="9" t="s">
        <v>96</v>
      </c>
      <c r="C1226" s="3" t="s">
        <v>110</v>
      </c>
      <c r="D1226" s="3" t="n">
        <v>22242626</v>
      </c>
      <c r="E1226" s="3" t="s">
        <v>114</v>
      </c>
      <c r="F1226" s="3" t="n">
        <f aca="false">IF(C1226="848630",0,1)</f>
        <v>1</v>
      </c>
    </row>
    <row r="1227" customFormat="false" ht="15" hidden="false" customHeight="false" outlineLevel="0" collapsed="false">
      <c r="A1227" s="12" t="n">
        <v>45383</v>
      </c>
      <c r="B1227" s="9" t="s">
        <v>96</v>
      </c>
      <c r="C1227" s="3" t="s">
        <v>111</v>
      </c>
      <c r="D1227" s="3" t="n">
        <v>5173234</v>
      </c>
      <c r="E1227" s="3" t="s">
        <v>114</v>
      </c>
      <c r="F1227" s="3" t="n">
        <f aca="false">IF(C1227="848630",0,1)</f>
        <v>1</v>
      </c>
    </row>
    <row r="1228" customFormat="false" ht="15" hidden="false" customHeight="false" outlineLevel="0" collapsed="false">
      <c r="A1228" s="12" t="n">
        <v>45383</v>
      </c>
      <c r="B1228" s="9" t="s">
        <v>96</v>
      </c>
      <c r="C1228" s="3" t="s">
        <v>111</v>
      </c>
      <c r="D1228" s="3" t="n">
        <v>204995</v>
      </c>
      <c r="E1228" s="3" t="s">
        <v>114</v>
      </c>
      <c r="F1228" s="3" t="n">
        <f aca="false">IF(C1228="848630",0,1)</f>
        <v>1</v>
      </c>
    </row>
    <row r="1229" customFormat="false" ht="15" hidden="false" customHeight="false" outlineLevel="0" collapsed="false">
      <c r="A1229" s="12" t="n">
        <v>45413</v>
      </c>
      <c r="B1229" s="9" t="s">
        <v>96</v>
      </c>
      <c r="C1229" s="3" t="s">
        <v>105</v>
      </c>
      <c r="D1229" s="3" t="n">
        <v>3199563</v>
      </c>
      <c r="E1229" s="3" t="s">
        <v>114</v>
      </c>
      <c r="F1229" s="3" t="n">
        <f aca="false">IF(C1229="848630",0,1)</f>
        <v>1</v>
      </c>
    </row>
    <row r="1230" customFormat="false" ht="15" hidden="false" customHeight="false" outlineLevel="0" collapsed="false">
      <c r="A1230" s="12" t="n">
        <v>45413</v>
      </c>
      <c r="B1230" s="9" t="s">
        <v>96</v>
      </c>
      <c r="C1230" s="3" t="s">
        <v>107</v>
      </c>
      <c r="D1230" s="3" t="n">
        <v>219606752</v>
      </c>
      <c r="E1230" s="3" t="s">
        <v>114</v>
      </c>
      <c r="F1230" s="3" t="n">
        <f aca="false">IF(C1230="848630",0,1)</f>
        <v>1</v>
      </c>
    </row>
    <row r="1231" customFormat="false" ht="15" hidden="false" customHeight="false" outlineLevel="0" collapsed="false">
      <c r="A1231" s="12" t="n">
        <v>45413</v>
      </c>
      <c r="B1231" s="9" t="s">
        <v>96</v>
      </c>
      <c r="C1231" s="3" t="s">
        <v>108</v>
      </c>
      <c r="D1231" s="3" t="n">
        <v>509880</v>
      </c>
      <c r="E1231" s="3" t="s">
        <v>114</v>
      </c>
      <c r="F1231" s="3" t="n">
        <f aca="false">IF(C1231="848630",0,1)</f>
        <v>1</v>
      </c>
    </row>
    <row r="1232" customFormat="false" ht="15" hidden="false" customHeight="false" outlineLevel="0" collapsed="false">
      <c r="A1232" s="12" t="n">
        <v>45413</v>
      </c>
      <c r="B1232" s="9" t="s">
        <v>96</v>
      </c>
      <c r="C1232" s="3" t="s">
        <v>108</v>
      </c>
      <c r="D1232" s="3" t="n">
        <v>8152176</v>
      </c>
      <c r="E1232" s="3" t="s">
        <v>114</v>
      </c>
      <c r="F1232" s="3" t="n">
        <f aca="false">IF(C1232="848630",0,1)</f>
        <v>1</v>
      </c>
    </row>
    <row r="1233" customFormat="false" ht="15" hidden="false" customHeight="false" outlineLevel="0" collapsed="false">
      <c r="A1233" s="12" t="n">
        <v>45413</v>
      </c>
      <c r="B1233" s="9" t="s">
        <v>96</v>
      </c>
      <c r="C1233" s="3" t="s">
        <v>109</v>
      </c>
      <c r="D1233" s="3" t="n">
        <v>84926385</v>
      </c>
      <c r="E1233" s="3" t="s">
        <v>114</v>
      </c>
      <c r="F1233" s="3" t="n">
        <f aca="false">IF(C1233="848630",0,1)</f>
        <v>1</v>
      </c>
    </row>
    <row r="1234" customFormat="false" ht="15" hidden="false" customHeight="false" outlineLevel="0" collapsed="false">
      <c r="A1234" s="12" t="n">
        <v>45413</v>
      </c>
      <c r="B1234" s="9" t="s">
        <v>96</v>
      </c>
      <c r="C1234" s="3" t="s">
        <v>110</v>
      </c>
      <c r="D1234" s="3" t="n">
        <v>13060035</v>
      </c>
      <c r="E1234" s="3" t="s">
        <v>114</v>
      </c>
      <c r="F1234" s="3" t="n">
        <f aca="false">IF(C1234="848630",0,1)</f>
        <v>1</v>
      </c>
    </row>
    <row r="1235" customFormat="false" ht="15" hidden="false" customHeight="false" outlineLevel="0" collapsed="false">
      <c r="A1235" s="12" t="n">
        <v>45413</v>
      </c>
      <c r="B1235" s="9" t="s">
        <v>96</v>
      </c>
      <c r="C1235" s="3" t="s">
        <v>111</v>
      </c>
      <c r="D1235" s="3" t="n">
        <v>3123</v>
      </c>
      <c r="E1235" s="3" t="s">
        <v>114</v>
      </c>
      <c r="F1235" s="3" t="n">
        <f aca="false">IF(C1235="848630",0,1)</f>
        <v>1</v>
      </c>
    </row>
    <row r="1236" customFormat="false" ht="15" hidden="false" customHeight="false" outlineLevel="0" collapsed="false">
      <c r="A1236" s="12" t="n">
        <v>45413</v>
      </c>
      <c r="B1236" s="9" t="s">
        <v>96</v>
      </c>
      <c r="C1236" s="3" t="s">
        <v>111</v>
      </c>
      <c r="D1236" s="3" t="n">
        <v>2134311</v>
      </c>
      <c r="E1236" s="3" t="s">
        <v>114</v>
      </c>
      <c r="F1236" s="3" t="n">
        <f aca="false">IF(C1236="848630",0,1)</f>
        <v>1</v>
      </c>
    </row>
    <row r="1237" customFormat="false" ht="15" hidden="false" customHeight="false" outlineLevel="0" collapsed="false">
      <c r="A1237" s="12" t="n">
        <v>45413</v>
      </c>
      <c r="B1237" s="9" t="s">
        <v>96</v>
      </c>
      <c r="C1237" s="3" t="s">
        <v>111</v>
      </c>
      <c r="D1237" s="3" t="n">
        <v>167116</v>
      </c>
      <c r="E1237" s="3" t="s">
        <v>114</v>
      </c>
      <c r="F1237" s="3" t="n">
        <f aca="false">IF(C1237="848630",0,1)</f>
        <v>1</v>
      </c>
    </row>
    <row r="1238" customFormat="false" ht="15" hidden="false" customHeight="false" outlineLevel="0" collapsed="false">
      <c r="A1238" s="12" t="n">
        <v>45444</v>
      </c>
      <c r="B1238" s="9" t="s">
        <v>96</v>
      </c>
      <c r="C1238" s="3" t="s">
        <v>105</v>
      </c>
      <c r="D1238" s="3" t="n">
        <v>935209</v>
      </c>
      <c r="E1238" s="3" t="s">
        <v>114</v>
      </c>
      <c r="F1238" s="3" t="n">
        <f aca="false">IF(C1238="848630",0,1)</f>
        <v>1</v>
      </c>
    </row>
    <row r="1239" customFormat="false" ht="15" hidden="false" customHeight="false" outlineLevel="0" collapsed="false">
      <c r="A1239" s="12" t="n">
        <v>45444</v>
      </c>
      <c r="B1239" s="9" t="s">
        <v>96</v>
      </c>
      <c r="C1239" s="3" t="s">
        <v>107</v>
      </c>
      <c r="D1239" s="3" t="n">
        <v>159139693</v>
      </c>
      <c r="E1239" s="3" t="s">
        <v>114</v>
      </c>
      <c r="F1239" s="3" t="n">
        <f aca="false">IF(C1239="848630",0,1)</f>
        <v>1</v>
      </c>
    </row>
    <row r="1240" customFormat="false" ht="15" hidden="false" customHeight="false" outlineLevel="0" collapsed="false">
      <c r="A1240" s="12" t="n">
        <v>45444</v>
      </c>
      <c r="B1240" s="9" t="s">
        <v>96</v>
      </c>
      <c r="C1240" s="3" t="s">
        <v>112</v>
      </c>
      <c r="D1240" s="3" t="n">
        <v>28075</v>
      </c>
      <c r="E1240" s="3" t="s">
        <v>114</v>
      </c>
      <c r="F1240" s="3" t="n">
        <f aca="false">IF(C1240="848630",0,1)</f>
        <v>0</v>
      </c>
    </row>
    <row r="1241" customFormat="false" ht="15" hidden="false" customHeight="false" outlineLevel="0" collapsed="false">
      <c r="A1241" s="12" t="n">
        <v>45444</v>
      </c>
      <c r="B1241" s="9" t="s">
        <v>96</v>
      </c>
      <c r="C1241" s="3" t="s">
        <v>108</v>
      </c>
      <c r="D1241" s="3" t="n">
        <v>4119</v>
      </c>
      <c r="E1241" s="3" t="s">
        <v>114</v>
      </c>
      <c r="F1241" s="3" t="n">
        <f aca="false">IF(C1241="848630",0,1)</f>
        <v>1</v>
      </c>
    </row>
    <row r="1242" customFormat="false" ht="15" hidden="false" customHeight="false" outlineLevel="0" collapsed="false">
      <c r="A1242" s="12" t="n">
        <v>45444</v>
      </c>
      <c r="B1242" s="9" t="s">
        <v>96</v>
      </c>
      <c r="C1242" s="3" t="s">
        <v>108</v>
      </c>
      <c r="D1242" s="3" t="n">
        <v>1654971</v>
      </c>
      <c r="E1242" s="3" t="s">
        <v>114</v>
      </c>
      <c r="F1242" s="3" t="n">
        <f aca="false">IF(C1242="848630",0,1)</f>
        <v>1</v>
      </c>
    </row>
    <row r="1243" customFormat="false" ht="15" hidden="false" customHeight="false" outlineLevel="0" collapsed="false">
      <c r="A1243" s="12" t="n">
        <v>45444</v>
      </c>
      <c r="B1243" s="9" t="s">
        <v>96</v>
      </c>
      <c r="C1243" s="3" t="s">
        <v>108</v>
      </c>
      <c r="D1243" s="3" t="n">
        <v>8695725</v>
      </c>
      <c r="E1243" s="3" t="s">
        <v>114</v>
      </c>
      <c r="F1243" s="3" t="n">
        <f aca="false">IF(C1243="848630",0,1)</f>
        <v>1</v>
      </c>
    </row>
    <row r="1244" customFormat="false" ht="15" hidden="false" customHeight="false" outlineLevel="0" collapsed="false">
      <c r="A1244" s="12" t="n">
        <v>45444</v>
      </c>
      <c r="B1244" s="9" t="s">
        <v>96</v>
      </c>
      <c r="C1244" s="3" t="s">
        <v>109</v>
      </c>
      <c r="D1244" s="3" t="n">
        <v>107633600</v>
      </c>
      <c r="E1244" s="3" t="s">
        <v>114</v>
      </c>
      <c r="F1244" s="3" t="n">
        <f aca="false">IF(C1244="848630",0,1)</f>
        <v>1</v>
      </c>
    </row>
    <row r="1245" customFormat="false" ht="15" hidden="false" customHeight="false" outlineLevel="0" collapsed="false">
      <c r="A1245" s="12" t="n">
        <v>45444</v>
      </c>
      <c r="B1245" s="9" t="s">
        <v>96</v>
      </c>
      <c r="C1245" s="3" t="s">
        <v>110</v>
      </c>
      <c r="D1245" s="3" t="n">
        <v>19176084</v>
      </c>
      <c r="E1245" s="3" t="s">
        <v>114</v>
      </c>
      <c r="F1245" s="3" t="n">
        <f aca="false">IF(C1245="848630",0,1)</f>
        <v>1</v>
      </c>
    </row>
    <row r="1246" customFormat="false" ht="15" hidden="false" customHeight="false" outlineLevel="0" collapsed="false">
      <c r="A1246" s="12" t="n">
        <v>45444</v>
      </c>
      <c r="B1246" s="9" t="s">
        <v>96</v>
      </c>
      <c r="C1246" s="3" t="s">
        <v>111</v>
      </c>
      <c r="D1246" s="3" t="n">
        <v>891118</v>
      </c>
      <c r="E1246" s="3" t="s">
        <v>114</v>
      </c>
      <c r="F1246" s="3" t="n">
        <f aca="false">IF(C1246="848630",0,1)</f>
        <v>1</v>
      </c>
    </row>
    <row r="1247" customFormat="false" ht="15" hidden="false" customHeight="false" outlineLevel="0" collapsed="false">
      <c r="A1247" s="12" t="n">
        <v>45444</v>
      </c>
      <c r="B1247" s="9" t="s">
        <v>96</v>
      </c>
      <c r="C1247" s="3" t="s">
        <v>111</v>
      </c>
      <c r="D1247" s="3" t="n">
        <v>8055295</v>
      </c>
      <c r="E1247" s="3" t="s">
        <v>114</v>
      </c>
      <c r="F1247" s="3" t="n">
        <f aca="false">IF(C1247="848630",0,1)</f>
        <v>1</v>
      </c>
    </row>
    <row r="1248" customFormat="false" ht="15" hidden="false" customHeight="false" outlineLevel="0" collapsed="false">
      <c r="A1248" s="12" t="n">
        <v>45444</v>
      </c>
      <c r="B1248" s="9" t="s">
        <v>96</v>
      </c>
      <c r="C1248" s="3" t="s">
        <v>111</v>
      </c>
      <c r="D1248" s="3" t="n">
        <v>722502</v>
      </c>
      <c r="E1248" s="3" t="s">
        <v>114</v>
      </c>
      <c r="F1248" s="3" t="n">
        <f aca="false">IF(C1248="848630",0,1)</f>
        <v>1</v>
      </c>
    </row>
    <row r="1249" customFormat="false" ht="15" hidden="false" customHeight="false" outlineLevel="0" collapsed="false">
      <c r="A1249" s="12" t="n">
        <v>45474</v>
      </c>
      <c r="B1249" s="9" t="s">
        <v>96</v>
      </c>
      <c r="C1249" s="3" t="s">
        <v>105</v>
      </c>
      <c r="D1249" s="3" t="n">
        <v>11649475</v>
      </c>
      <c r="E1249" s="3" t="s">
        <v>114</v>
      </c>
      <c r="F1249" s="3" t="n">
        <f aca="false">IF(C1249="848630",0,1)</f>
        <v>1</v>
      </c>
    </row>
    <row r="1250" customFormat="false" ht="15" hidden="false" customHeight="false" outlineLevel="0" collapsed="false">
      <c r="A1250" s="12" t="n">
        <v>45474</v>
      </c>
      <c r="B1250" s="9" t="s">
        <v>96</v>
      </c>
      <c r="C1250" s="3" t="s">
        <v>107</v>
      </c>
      <c r="D1250" s="3" t="n">
        <v>188959691</v>
      </c>
      <c r="E1250" s="3" t="s">
        <v>114</v>
      </c>
      <c r="F1250" s="3" t="n">
        <f aca="false">IF(C1250="848630",0,1)</f>
        <v>1</v>
      </c>
    </row>
    <row r="1251" customFormat="false" ht="15" hidden="false" customHeight="false" outlineLevel="0" collapsed="false">
      <c r="A1251" s="12" t="n">
        <v>45474</v>
      </c>
      <c r="B1251" s="9" t="s">
        <v>96</v>
      </c>
      <c r="C1251" s="3" t="s">
        <v>112</v>
      </c>
      <c r="D1251" s="3" t="n">
        <v>38072</v>
      </c>
      <c r="E1251" s="3" t="s">
        <v>114</v>
      </c>
      <c r="F1251" s="3" t="n">
        <f aca="false">IF(C1251="848630",0,1)</f>
        <v>0</v>
      </c>
    </row>
    <row r="1252" customFormat="false" ht="15" hidden="false" customHeight="false" outlineLevel="0" collapsed="false">
      <c r="A1252" s="12" t="n">
        <v>45474</v>
      </c>
      <c r="B1252" s="9" t="s">
        <v>96</v>
      </c>
      <c r="C1252" s="3" t="s">
        <v>108</v>
      </c>
      <c r="D1252" s="3" t="n">
        <v>512754</v>
      </c>
      <c r="E1252" s="3" t="s">
        <v>114</v>
      </c>
      <c r="F1252" s="3" t="n">
        <f aca="false">IF(C1252="848630",0,1)</f>
        <v>1</v>
      </c>
    </row>
    <row r="1253" customFormat="false" ht="15" hidden="false" customHeight="false" outlineLevel="0" collapsed="false">
      <c r="A1253" s="12" t="n">
        <v>45474</v>
      </c>
      <c r="B1253" s="9" t="s">
        <v>96</v>
      </c>
      <c r="C1253" s="3" t="s">
        <v>108</v>
      </c>
      <c r="D1253" s="3" t="n">
        <v>8458362</v>
      </c>
      <c r="E1253" s="3" t="s">
        <v>114</v>
      </c>
      <c r="F1253" s="3" t="n">
        <f aca="false">IF(C1253="848630",0,1)</f>
        <v>1</v>
      </c>
    </row>
    <row r="1254" customFormat="false" ht="15" hidden="false" customHeight="false" outlineLevel="0" collapsed="false">
      <c r="A1254" s="12" t="n">
        <v>45474</v>
      </c>
      <c r="B1254" s="9" t="s">
        <v>96</v>
      </c>
      <c r="C1254" s="3" t="s">
        <v>109</v>
      </c>
      <c r="D1254" s="3" t="n">
        <v>170130853</v>
      </c>
      <c r="E1254" s="3" t="s">
        <v>114</v>
      </c>
      <c r="F1254" s="3" t="n">
        <f aca="false">IF(C1254="848630",0,1)</f>
        <v>1</v>
      </c>
    </row>
    <row r="1255" customFormat="false" ht="15" hidden="false" customHeight="false" outlineLevel="0" collapsed="false">
      <c r="A1255" s="12" t="n">
        <v>45474</v>
      </c>
      <c r="B1255" s="9" t="s">
        <v>96</v>
      </c>
      <c r="C1255" s="3" t="s">
        <v>110</v>
      </c>
      <c r="D1255" s="3" t="n">
        <v>16997733</v>
      </c>
      <c r="E1255" s="3" t="s">
        <v>114</v>
      </c>
      <c r="F1255" s="3" t="n">
        <f aca="false">IF(C1255="848630",0,1)</f>
        <v>1</v>
      </c>
    </row>
    <row r="1256" customFormat="false" ht="15" hidden="false" customHeight="false" outlineLevel="0" collapsed="false">
      <c r="A1256" s="12" t="n">
        <v>45474</v>
      </c>
      <c r="B1256" s="9" t="s">
        <v>96</v>
      </c>
      <c r="C1256" s="3" t="s">
        <v>111</v>
      </c>
      <c r="D1256" s="3" t="n">
        <v>1095753</v>
      </c>
      <c r="E1256" s="3" t="s">
        <v>114</v>
      </c>
      <c r="F1256" s="3" t="n">
        <f aca="false">IF(C1256="848630",0,1)</f>
        <v>1</v>
      </c>
    </row>
    <row r="1257" customFormat="false" ht="15" hidden="false" customHeight="false" outlineLevel="0" collapsed="false">
      <c r="A1257" s="12" t="n">
        <v>45474</v>
      </c>
      <c r="B1257" s="9" t="s">
        <v>96</v>
      </c>
      <c r="C1257" s="3" t="s">
        <v>111</v>
      </c>
      <c r="D1257" s="3" t="n">
        <v>3839866</v>
      </c>
      <c r="E1257" s="3" t="s">
        <v>114</v>
      </c>
      <c r="F1257" s="3" t="n">
        <f aca="false">IF(C1257="848630",0,1)</f>
        <v>1</v>
      </c>
    </row>
    <row r="1258" customFormat="false" ht="15" hidden="false" customHeight="false" outlineLevel="0" collapsed="false">
      <c r="A1258" s="12" t="n">
        <v>45474</v>
      </c>
      <c r="B1258" s="9" t="s">
        <v>96</v>
      </c>
      <c r="C1258" s="3" t="s">
        <v>111</v>
      </c>
      <c r="D1258" s="3" t="n">
        <v>133550</v>
      </c>
      <c r="E1258" s="3" t="s">
        <v>114</v>
      </c>
      <c r="F1258" s="3" t="n">
        <f aca="false">IF(C1258="848630",0,1)</f>
        <v>1</v>
      </c>
    </row>
    <row r="1259" customFormat="false" ht="15" hidden="false" customHeight="false" outlineLevel="0" collapsed="false">
      <c r="A1259" s="12" t="n">
        <v>45505</v>
      </c>
      <c r="B1259" s="9" t="s">
        <v>96</v>
      </c>
      <c r="C1259" s="3" t="s">
        <v>105</v>
      </c>
      <c r="D1259" s="3" t="n">
        <v>18051454</v>
      </c>
      <c r="E1259" s="3" t="s">
        <v>114</v>
      </c>
      <c r="F1259" s="3" t="n">
        <f aca="false">IF(C1259="848630",0,1)</f>
        <v>1</v>
      </c>
    </row>
    <row r="1260" customFormat="false" ht="15" hidden="false" customHeight="false" outlineLevel="0" collapsed="false">
      <c r="A1260" s="12" t="n">
        <v>45505</v>
      </c>
      <c r="B1260" s="9" t="s">
        <v>96</v>
      </c>
      <c r="C1260" s="3" t="s">
        <v>107</v>
      </c>
      <c r="D1260" s="3" t="n">
        <v>154019392</v>
      </c>
      <c r="E1260" s="3" t="s">
        <v>114</v>
      </c>
      <c r="F1260" s="3" t="n">
        <f aca="false">IF(C1260="848630",0,1)</f>
        <v>1</v>
      </c>
    </row>
    <row r="1261" customFormat="false" ht="15" hidden="false" customHeight="false" outlineLevel="0" collapsed="false">
      <c r="A1261" s="12" t="n">
        <v>45505</v>
      </c>
      <c r="B1261" s="9" t="s">
        <v>96</v>
      </c>
      <c r="C1261" s="3" t="s">
        <v>112</v>
      </c>
      <c r="D1261" s="3" t="n">
        <v>10275</v>
      </c>
      <c r="E1261" s="3" t="s">
        <v>114</v>
      </c>
      <c r="F1261" s="3" t="n">
        <f aca="false">IF(C1261="848630",0,1)</f>
        <v>0</v>
      </c>
    </row>
    <row r="1262" customFormat="false" ht="15" hidden="false" customHeight="false" outlineLevel="0" collapsed="false">
      <c r="A1262" s="12" t="n">
        <v>45505</v>
      </c>
      <c r="B1262" s="9" t="s">
        <v>96</v>
      </c>
      <c r="C1262" s="3" t="s">
        <v>108</v>
      </c>
      <c r="D1262" s="3" t="n">
        <v>779183</v>
      </c>
      <c r="E1262" s="3" t="s">
        <v>114</v>
      </c>
      <c r="F1262" s="3" t="n">
        <f aca="false">IF(C1262="848630",0,1)</f>
        <v>1</v>
      </c>
    </row>
    <row r="1263" customFormat="false" ht="15" hidden="false" customHeight="false" outlineLevel="0" collapsed="false">
      <c r="A1263" s="12" t="n">
        <v>45505</v>
      </c>
      <c r="B1263" s="9" t="s">
        <v>96</v>
      </c>
      <c r="C1263" s="3" t="s">
        <v>108</v>
      </c>
      <c r="D1263" s="3" t="n">
        <v>4791734</v>
      </c>
      <c r="E1263" s="3" t="s">
        <v>114</v>
      </c>
      <c r="F1263" s="3" t="n">
        <f aca="false">IF(C1263="848630",0,1)</f>
        <v>1</v>
      </c>
    </row>
    <row r="1264" customFormat="false" ht="15" hidden="false" customHeight="false" outlineLevel="0" collapsed="false">
      <c r="A1264" s="12" t="n">
        <v>45505</v>
      </c>
      <c r="B1264" s="9" t="s">
        <v>96</v>
      </c>
      <c r="C1264" s="3" t="s">
        <v>109</v>
      </c>
      <c r="D1264" s="3" t="n">
        <v>107757397</v>
      </c>
      <c r="E1264" s="3" t="s">
        <v>114</v>
      </c>
      <c r="F1264" s="3" t="n">
        <f aca="false">IF(C1264="848630",0,1)</f>
        <v>1</v>
      </c>
    </row>
    <row r="1265" customFormat="false" ht="15" hidden="false" customHeight="false" outlineLevel="0" collapsed="false">
      <c r="A1265" s="12" t="n">
        <v>45505</v>
      </c>
      <c r="B1265" s="9" t="s">
        <v>96</v>
      </c>
      <c r="C1265" s="3" t="s">
        <v>110</v>
      </c>
      <c r="D1265" s="3" t="n">
        <v>11848772</v>
      </c>
      <c r="E1265" s="3" t="s">
        <v>114</v>
      </c>
      <c r="F1265" s="3" t="n">
        <f aca="false">IF(C1265="848630",0,1)</f>
        <v>1</v>
      </c>
    </row>
    <row r="1266" customFormat="false" ht="15" hidden="false" customHeight="false" outlineLevel="0" collapsed="false">
      <c r="A1266" s="12" t="n">
        <v>45505</v>
      </c>
      <c r="B1266" s="9" t="s">
        <v>96</v>
      </c>
      <c r="C1266" s="3" t="s">
        <v>111</v>
      </c>
      <c r="D1266" s="3" t="n">
        <v>7512242</v>
      </c>
      <c r="E1266" s="3" t="s">
        <v>114</v>
      </c>
      <c r="F1266" s="3" t="n">
        <f aca="false">IF(C1266="848630",0,1)</f>
        <v>1</v>
      </c>
    </row>
    <row r="1267" customFormat="false" ht="15" hidden="false" customHeight="false" outlineLevel="0" collapsed="false">
      <c r="A1267" s="12" t="n">
        <v>45505</v>
      </c>
      <c r="B1267" s="9" t="s">
        <v>96</v>
      </c>
      <c r="C1267" s="3" t="s">
        <v>111</v>
      </c>
      <c r="D1267" s="3" t="n">
        <v>15768726</v>
      </c>
      <c r="E1267" s="3" t="s">
        <v>114</v>
      </c>
      <c r="F1267" s="3" t="n">
        <f aca="false">IF(C1267="848630",0,1)</f>
        <v>1</v>
      </c>
    </row>
    <row r="1268" customFormat="false" ht="15" hidden="false" customHeight="false" outlineLevel="0" collapsed="false">
      <c r="A1268" s="12" t="n">
        <v>45505</v>
      </c>
      <c r="B1268" s="9" t="s">
        <v>96</v>
      </c>
      <c r="C1268" s="3" t="s">
        <v>111</v>
      </c>
      <c r="D1268" s="3" t="n">
        <v>465177</v>
      </c>
      <c r="E1268" s="3" t="s">
        <v>114</v>
      </c>
      <c r="F1268" s="3" t="n">
        <f aca="false">IF(C1268="848630",0,1)</f>
        <v>1</v>
      </c>
    </row>
    <row r="1269" customFormat="false" ht="15" hidden="false" customHeight="false" outlineLevel="0" collapsed="false">
      <c r="A1269" s="12" t="n">
        <v>45536</v>
      </c>
      <c r="B1269" s="9" t="s">
        <v>96</v>
      </c>
      <c r="C1269" s="3" t="s">
        <v>105</v>
      </c>
      <c r="D1269" s="3" t="n">
        <v>24725237</v>
      </c>
      <c r="E1269" s="3" t="s">
        <v>114</v>
      </c>
      <c r="F1269" s="3" t="n">
        <f aca="false">IF(C1269="848630",0,1)</f>
        <v>1</v>
      </c>
    </row>
    <row r="1270" customFormat="false" ht="15" hidden="false" customHeight="false" outlineLevel="0" collapsed="false">
      <c r="A1270" s="12" t="n">
        <v>45536</v>
      </c>
      <c r="B1270" s="9" t="s">
        <v>96</v>
      </c>
      <c r="C1270" s="3" t="s">
        <v>107</v>
      </c>
      <c r="D1270" s="3" t="n">
        <v>161217415</v>
      </c>
      <c r="E1270" s="3" t="s">
        <v>114</v>
      </c>
      <c r="F1270" s="3" t="n">
        <f aca="false">IF(C1270="848630",0,1)</f>
        <v>1</v>
      </c>
    </row>
    <row r="1271" customFormat="false" ht="15" hidden="false" customHeight="false" outlineLevel="0" collapsed="false">
      <c r="A1271" s="12" t="n">
        <v>45536</v>
      </c>
      <c r="B1271" s="9" t="s">
        <v>96</v>
      </c>
      <c r="C1271" s="3" t="s">
        <v>108</v>
      </c>
      <c r="D1271" s="3" t="n">
        <v>26125</v>
      </c>
      <c r="E1271" s="3" t="s">
        <v>114</v>
      </c>
      <c r="F1271" s="3" t="n">
        <f aca="false">IF(C1271="848630",0,1)</f>
        <v>1</v>
      </c>
    </row>
    <row r="1272" customFormat="false" ht="15" hidden="false" customHeight="false" outlineLevel="0" collapsed="false">
      <c r="A1272" s="12" t="n">
        <v>45536</v>
      </c>
      <c r="B1272" s="9" t="s">
        <v>96</v>
      </c>
      <c r="C1272" s="3" t="s">
        <v>108</v>
      </c>
      <c r="D1272" s="3" t="n">
        <v>7124456</v>
      </c>
      <c r="E1272" s="3" t="s">
        <v>114</v>
      </c>
      <c r="F1272" s="3" t="n">
        <f aca="false">IF(C1272="848630",0,1)</f>
        <v>1</v>
      </c>
    </row>
    <row r="1273" customFormat="false" ht="15" hidden="false" customHeight="false" outlineLevel="0" collapsed="false">
      <c r="A1273" s="12" t="n">
        <v>45536</v>
      </c>
      <c r="B1273" s="9" t="s">
        <v>96</v>
      </c>
      <c r="C1273" s="3" t="s">
        <v>109</v>
      </c>
      <c r="D1273" s="3" t="n">
        <v>118243835</v>
      </c>
      <c r="E1273" s="3" t="s">
        <v>114</v>
      </c>
      <c r="F1273" s="3" t="n">
        <f aca="false">IF(C1273="848630",0,1)</f>
        <v>1</v>
      </c>
    </row>
    <row r="1274" customFormat="false" ht="15" hidden="false" customHeight="false" outlineLevel="0" collapsed="false">
      <c r="A1274" s="12" t="n">
        <v>45536</v>
      </c>
      <c r="B1274" s="9" t="s">
        <v>96</v>
      </c>
      <c r="C1274" s="3" t="s">
        <v>110</v>
      </c>
      <c r="D1274" s="3" t="n">
        <v>13389734</v>
      </c>
      <c r="E1274" s="3" t="s">
        <v>114</v>
      </c>
      <c r="F1274" s="3" t="n">
        <f aca="false">IF(C1274="848630",0,1)</f>
        <v>1</v>
      </c>
    </row>
    <row r="1275" customFormat="false" ht="15" hidden="false" customHeight="false" outlineLevel="0" collapsed="false">
      <c r="A1275" s="12" t="n">
        <v>45536</v>
      </c>
      <c r="B1275" s="9" t="s">
        <v>96</v>
      </c>
      <c r="C1275" s="3" t="s">
        <v>111</v>
      </c>
      <c r="D1275" s="3" t="n">
        <v>3199476</v>
      </c>
      <c r="E1275" s="3" t="s">
        <v>114</v>
      </c>
      <c r="F1275" s="3" t="n">
        <f aca="false">IF(C1275="848630",0,1)</f>
        <v>1</v>
      </c>
    </row>
    <row r="1276" customFormat="false" ht="15" hidden="false" customHeight="false" outlineLevel="0" collapsed="false">
      <c r="A1276" s="12" t="n">
        <v>45536</v>
      </c>
      <c r="B1276" s="9" t="s">
        <v>96</v>
      </c>
      <c r="C1276" s="3" t="s">
        <v>111</v>
      </c>
      <c r="D1276" s="3" t="n">
        <v>5547945</v>
      </c>
      <c r="E1276" s="3" t="s">
        <v>114</v>
      </c>
      <c r="F1276" s="3" t="n">
        <f aca="false">IF(C1276="848630",0,1)</f>
        <v>1</v>
      </c>
    </row>
    <row r="1277" customFormat="false" ht="15" hidden="false" customHeight="false" outlineLevel="0" collapsed="false">
      <c r="A1277" s="12" t="n">
        <v>45536</v>
      </c>
      <c r="B1277" s="9" t="s">
        <v>96</v>
      </c>
      <c r="C1277" s="3" t="s">
        <v>111</v>
      </c>
      <c r="D1277" s="3" t="n">
        <v>189045</v>
      </c>
      <c r="E1277" s="3" t="s">
        <v>114</v>
      </c>
      <c r="F1277" s="3" t="n">
        <f aca="false">IF(C1277="848630",0,1)</f>
        <v>1</v>
      </c>
    </row>
    <row r="1278" customFormat="false" ht="15" hidden="false" customHeight="false" outlineLevel="0" collapsed="false">
      <c r="A1278" s="12" t="n">
        <v>45566</v>
      </c>
      <c r="B1278" s="9" t="s">
        <v>96</v>
      </c>
      <c r="C1278" s="3" t="s">
        <v>105</v>
      </c>
      <c r="D1278" s="3" t="n">
        <v>24534914</v>
      </c>
      <c r="E1278" s="3" t="s">
        <v>114</v>
      </c>
      <c r="F1278" s="3" t="n">
        <f aca="false">IF(C1278="848630",0,1)</f>
        <v>1</v>
      </c>
    </row>
    <row r="1279" customFormat="false" ht="15" hidden="false" customHeight="false" outlineLevel="0" collapsed="false">
      <c r="A1279" s="12" t="n">
        <v>45566</v>
      </c>
      <c r="B1279" s="9" t="s">
        <v>96</v>
      </c>
      <c r="C1279" s="3" t="s">
        <v>107</v>
      </c>
      <c r="D1279" s="3" t="n">
        <v>407081346</v>
      </c>
      <c r="E1279" s="3" t="s">
        <v>114</v>
      </c>
      <c r="F1279" s="3" t="n">
        <f aca="false">IF(C1279="848630",0,1)</f>
        <v>1</v>
      </c>
    </row>
    <row r="1280" customFormat="false" ht="15" hidden="false" customHeight="false" outlineLevel="0" collapsed="false">
      <c r="A1280" s="12" t="n">
        <v>45566</v>
      </c>
      <c r="B1280" s="9" t="s">
        <v>96</v>
      </c>
      <c r="C1280" s="3" t="s">
        <v>112</v>
      </c>
      <c r="D1280" s="3" t="n">
        <v>42798</v>
      </c>
      <c r="E1280" s="3" t="s">
        <v>114</v>
      </c>
      <c r="F1280" s="3" t="n">
        <f aca="false">IF(C1280="848630",0,1)</f>
        <v>0</v>
      </c>
    </row>
    <row r="1281" customFormat="false" ht="15" hidden="false" customHeight="false" outlineLevel="0" collapsed="false">
      <c r="A1281" s="12" t="n">
        <v>45566</v>
      </c>
      <c r="B1281" s="9" t="s">
        <v>96</v>
      </c>
      <c r="C1281" s="3" t="s">
        <v>108</v>
      </c>
      <c r="D1281" s="3" t="n">
        <v>8579663</v>
      </c>
      <c r="E1281" s="3" t="s">
        <v>114</v>
      </c>
      <c r="F1281" s="3" t="n">
        <f aca="false">IF(C1281="848630",0,1)</f>
        <v>1</v>
      </c>
    </row>
    <row r="1282" customFormat="false" ht="15" hidden="false" customHeight="false" outlineLevel="0" collapsed="false">
      <c r="A1282" s="12" t="n">
        <v>45566</v>
      </c>
      <c r="B1282" s="9" t="s">
        <v>96</v>
      </c>
      <c r="C1282" s="3" t="s">
        <v>108</v>
      </c>
      <c r="D1282" s="3" t="n">
        <v>5482029</v>
      </c>
      <c r="E1282" s="3" t="s">
        <v>114</v>
      </c>
      <c r="F1282" s="3" t="n">
        <f aca="false">IF(C1282="848630",0,1)</f>
        <v>1</v>
      </c>
    </row>
    <row r="1283" customFormat="false" ht="15" hidden="false" customHeight="false" outlineLevel="0" collapsed="false">
      <c r="A1283" s="12" t="n">
        <v>45566</v>
      </c>
      <c r="B1283" s="9" t="s">
        <v>96</v>
      </c>
      <c r="C1283" s="3" t="s">
        <v>108</v>
      </c>
      <c r="D1283" s="3" t="n">
        <v>14390970</v>
      </c>
      <c r="E1283" s="3" t="s">
        <v>114</v>
      </c>
      <c r="F1283" s="3" t="n">
        <f aca="false">IF(C1283="848630",0,1)</f>
        <v>1</v>
      </c>
    </row>
    <row r="1284" customFormat="false" ht="15" hidden="false" customHeight="false" outlineLevel="0" collapsed="false">
      <c r="A1284" s="12" t="n">
        <v>45566</v>
      </c>
      <c r="B1284" s="9" t="s">
        <v>96</v>
      </c>
      <c r="C1284" s="3" t="s">
        <v>109</v>
      </c>
      <c r="D1284" s="3" t="n">
        <v>260377663</v>
      </c>
      <c r="E1284" s="3" t="s">
        <v>114</v>
      </c>
      <c r="F1284" s="3" t="n">
        <f aca="false">IF(C1284="848630",0,1)</f>
        <v>1</v>
      </c>
    </row>
    <row r="1285" customFormat="false" ht="15" hidden="false" customHeight="false" outlineLevel="0" collapsed="false">
      <c r="A1285" s="12" t="n">
        <v>45566</v>
      </c>
      <c r="B1285" s="9" t="s">
        <v>96</v>
      </c>
      <c r="C1285" s="3" t="s">
        <v>110</v>
      </c>
      <c r="D1285" s="3" t="n">
        <v>19715504</v>
      </c>
      <c r="E1285" s="3" t="s">
        <v>114</v>
      </c>
      <c r="F1285" s="3" t="n">
        <f aca="false">IF(C1285="848630",0,1)</f>
        <v>1</v>
      </c>
    </row>
    <row r="1286" customFormat="false" ht="15" hidden="false" customHeight="false" outlineLevel="0" collapsed="false">
      <c r="A1286" s="12" t="n">
        <v>45566</v>
      </c>
      <c r="B1286" s="9" t="s">
        <v>96</v>
      </c>
      <c r="C1286" s="3" t="s">
        <v>111</v>
      </c>
      <c r="D1286" s="3" t="n">
        <v>2499506</v>
      </c>
      <c r="E1286" s="3" t="s">
        <v>114</v>
      </c>
      <c r="F1286" s="3" t="n">
        <f aca="false">IF(C1286="848630",0,1)</f>
        <v>1</v>
      </c>
    </row>
    <row r="1287" customFormat="false" ht="15" hidden="false" customHeight="false" outlineLevel="0" collapsed="false">
      <c r="A1287" s="12" t="n">
        <v>45566</v>
      </c>
      <c r="B1287" s="9" t="s">
        <v>96</v>
      </c>
      <c r="C1287" s="3" t="s">
        <v>111</v>
      </c>
      <c r="D1287" s="3" t="n">
        <v>3609726</v>
      </c>
      <c r="E1287" s="3" t="s">
        <v>114</v>
      </c>
      <c r="F1287" s="3" t="n">
        <f aca="false">IF(C1287="848630",0,1)</f>
        <v>1</v>
      </c>
    </row>
    <row r="1288" customFormat="false" ht="15" hidden="false" customHeight="false" outlineLevel="0" collapsed="false">
      <c r="A1288" s="12" t="n">
        <v>45566</v>
      </c>
      <c r="B1288" s="9" t="s">
        <v>96</v>
      </c>
      <c r="C1288" s="3" t="s">
        <v>111</v>
      </c>
      <c r="D1288" s="3" t="n">
        <v>174218</v>
      </c>
      <c r="E1288" s="3" t="s">
        <v>114</v>
      </c>
      <c r="F1288" s="3" t="n">
        <f aca="false">IF(C1288="848630",0,1)</f>
        <v>1</v>
      </c>
    </row>
    <row r="1289" customFormat="false" ht="15" hidden="false" customHeight="false" outlineLevel="0" collapsed="false">
      <c r="A1289" s="12" t="n">
        <v>45597</v>
      </c>
      <c r="B1289" s="9" t="s">
        <v>96</v>
      </c>
      <c r="C1289" s="3" t="s">
        <v>105</v>
      </c>
      <c r="D1289" s="3" t="n">
        <v>8478293</v>
      </c>
      <c r="E1289" s="3" t="s">
        <v>114</v>
      </c>
      <c r="F1289" s="3" t="n">
        <f aca="false">IF(C1289="848630",0,1)</f>
        <v>1</v>
      </c>
    </row>
    <row r="1290" customFormat="false" ht="15" hidden="false" customHeight="false" outlineLevel="0" collapsed="false">
      <c r="A1290" s="12" t="n">
        <v>45597</v>
      </c>
      <c r="B1290" s="9" t="s">
        <v>96</v>
      </c>
      <c r="C1290" s="3" t="s">
        <v>107</v>
      </c>
      <c r="D1290" s="3" t="n">
        <v>171711459</v>
      </c>
      <c r="E1290" s="3" t="s">
        <v>114</v>
      </c>
      <c r="F1290" s="3" t="n">
        <f aca="false">IF(C1290="848630",0,1)</f>
        <v>1</v>
      </c>
    </row>
    <row r="1291" customFormat="false" ht="15" hidden="false" customHeight="false" outlineLevel="0" collapsed="false">
      <c r="A1291" s="12" t="n">
        <v>45597</v>
      </c>
      <c r="B1291" s="9" t="s">
        <v>96</v>
      </c>
      <c r="C1291" s="3" t="s">
        <v>112</v>
      </c>
      <c r="D1291" s="3" t="n">
        <v>47613</v>
      </c>
      <c r="E1291" s="3" t="s">
        <v>114</v>
      </c>
      <c r="F1291" s="3" t="n">
        <f aca="false">IF(C1291="848630",0,1)</f>
        <v>0</v>
      </c>
    </row>
    <row r="1292" customFormat="false" ht="15" hidden="false" customHeight="false" outlineLevel="0" collapsed="false">
      <c r="A1292" s="12" t="n">
        <v>45597</v>
      </c>
      <c r="B1292" s="9" t="s">
        <v>96</v>
      </c>
      <c r="C1292" s="3" t="s">
        <v>108</v>
      </c>
      <c r="D1292" s="3" t="n">
        <v>11918</v>
      </c>
      <c r="E1292" s="3" t="s">
        <v>114</v>
      </c>
      <c r="F1292" s="3" t="n">
        <f aca="false">IF(C1292="848630",0,1)</f>
        <v>1</v>
      </c>
    </row>
    <row r="1293" customFormat="false" ht="15" hidden="false" customHeight="false" outlineLevel="0" collapsed="false">
      <c r="A1293" s="12" t="n">
        <v>45597</v>
      </c>
      <c r="B1293" s="9" t="s">
        <v>96</v>
      </c>
      <c r="C1293" s="3" t="s">
        <v>108</v>
      </c>
      <c r="D1293" s="3" t="n">
        <v>1834758</v>
      </c>
      <c r="E1293" s="3" t="s">
        <v>114</v>
      </c>
      <c r="F1293" s="3" t="n">
        <f aca="false">IF(C1293="848630",0,1)</f>
        <v>1</v>
      </c>
    </row>
    <row r="1294" customFormat="false" ht="15" hidden="false" customHeight="false" outlineLevel="0" collapsed="false">
      <c r="A1294" s="12" t="n">
        <v>45597</v>
      </c>
      <c r="B1294" s="9" t="s">
        <v>96</v>
      </c>
      <c r="C1294" s="3" t="s">
        <v>108</v>
      </c>
      <c r="D1294" s="3" t="n">
        <v>9397333</v>
      </c>
      <c r="E1294" s="3" t="s">
        <v>114</v>
      </c>
      <c r="F1294" s="3" t="n">
        <f aca="false">IF(C1294="848630",0,1)</f>
        <v>1</v>
      </c>
    </row>
    <row r="1295" customFormat="false" ht="15" hidden="false" customHeight="false" outlineLevel="0" collapsed="false">
      <c r="A1295" s="12" t="n">
        <v>45597</v>
      </c>
      <c r="B1295" s="9" t="s">
        <v>96</v>
      </c>
      <c r="C1295" s="3" t="s">
        <v>109</v>
      </c>
      <c r="D1295" s="3" t="n">
        <v>102144073</v>
      </c>
      <c r="E1295" s="3" t="s">
        <v>114</v>
      </c>
      <c r="F1295" s="3" t="n">
        <f aca="false">IF(C1295="848630",0,1)</f>
        <v>1</v>
      </c>
    </row>
    <row r="1296" customFormat="false" ht="15" hidden="false" customHeight="false" outlineLevel="0" collapsed="false">
      <c r="A1296" s="12" t="n">
        <v>45597</v>
      </c>
      <c r="B1296" s="9" t="s">
        <v>96</v>
      </c>
      <c r="C1296" s="3" t="s">
        <v>110</v>
      </c>
      <c r="D1296" s="3" t="n">
        <v>15984782</v>
      </c>
      <c r="E1296" s="3" t="s">
        <v>114</v>
      </c>
      <c r="F1296" s="3" t="n">
        <f aca="false">IF(C1296="848630",0,1)</f>
        <v>1</v>
      </c>
    </row>
    <row r="1297" customFormat="false" ht="15" hidden="false" customHeight="false" outlineLevel="0" collapsed="false">
      <c r="A1297" s="12" t="n">
        <v>45597</v>
      </c>
      <c r="B1297" s="9" t="s">
        <v>96</v>
      </c>
      <c r="C1297" s="3" t="s">
        <v>111</v>
      </c>
      <c r="D1297" s="3" t="n">
        <v>1094907</v>
      </c>
      <c r="E1297" s="3" t="s">
        <v>114</v>
      </c>
      <c r="F1297" s="3" t="n">
        <f aca="false">IF(C1297="848630",0,1)</f>
        <v>1</v>
      </c>
    </row>
    <row r="1298" customFormat="false" ht="15" hidden="false" customHeight="false" outlineLevel="0" collapsed="false">
      <c r="A1298" s="12" t="n">
        <v>45597</v>
      </c>
      <c r="B1298" s="9" t="s">
        <v>96</v>
      </c>
      <c r="C1298" s="3" t="s">
        <v>111</v>
      </c>
      <c r="D1298" s="3" t="n">
        <v>3267911</v>
      </c>
      <c r="E1298" s="3" t="s">
        <v>114</v>
      </c>
      <c r="F1298" s="3" t="n">
        <f aca="false">IF(C1298="848630",0,1)</f>
        <v>1</v>
      </c>
    </row>
    <row r="1299" customFormat="false" ht="15" hidden="false" customHeight="false" outlineLevel="0" collapsed="false">
      <c r="A1299" s="12" t="n">
        <v>45597</v>
      </c>
      <c r="B1299" s="9" t="s">
        <v>96</v>
      </c>
      <c r="C1299" s="3" t="s">
        <v>111</v>
      </c>
      <c r="D1299" s="3" t="n">
        <v>364719</v>
      </c>
      <c r="E1299" s="3" t="s">
        <v>114</v>
      </c>
      <c r="F1299" s="3" t="n">
        <f aca="false">IF(C1299="848630",0,1)</f>
        <v>1</v>
      </c>
    </row>
    <row r="1300" customFormat="false" ht="15" hidden="false" customHeight="false" outlineLevel="0" collapsed="false">
      <c r="A1300" s="12" t="n">
        <v>45627</v>
      </c>
      <c r="B1300" s="9" t="s">
        <v>96</v>
      </c>
      <c r="C1300" s="3" t="s">
        <v>105</v>
      </c>
      <c r="D1300" s="3" t="n">
        <v>21946686</v>
      </c>
      <c r="E1300" s="3" t="s">
        <v>114</v>
      </c>
      <c r="F1300" s="3" t="n">
        <f aca="false">IF(C1300="848630",0,1)</f>
        <v>1</v>
      </c>
    </row>
    <row r="1301" customFormat="false" ht="15" hidden="false" customHeight="false" outlineLevel="0" collapsed="false">
      <c r="A1301" s="12" t="n">
        <v>45627</v>
      </c>
      <c r="B1301" s="9" t="s">
        <v>96</v>
      </c>
      <c r="C1301" s="3" t="s">
        <v>107</v>
      </c>
      <c r="D1301" s="3" t="n">
        <v>140987310</v>
      </c>
      <c r="E1301" s="3" t="s">
        <v>114</v>
      </c>
      <c r="F1301" s="3" t="n">
        <f aca="false">IF(C1301="848630",0,1)</f>
        <v>1</v>
      </c>
    </row>
    <row r="1302" customFormat="false" ht="15" hidden="false" customHeight="false" outlineLevel="0" collapsed="false">
      <c r="A1302" s="12" t="n">
        <v>45627</v>
      </c>
      <c r="B1302" s="9" t="s">
        <v>96</v>
      </c>
      <c r="C1302" s="3" t="s">
        <v>108</v>
      </c>
      <c r="D1302" s="3" t="n">
        <v>3556</v>
      </c>
      <c r="E1302" s="3" t="s">
        <v>114</v>
      </c>
      <c r="F1302" s="3" t="n">
        <f aca="false">IF(C1302="848630",0,1)</f>
        <v>1</v>
      </c>
    </row>
    <row r="1303" customFormat="false" ht="15" hidden="false" customHeight="false" outlineLevel="0" collapsed="false">
      <c r="A1303" s="12" t="n">
        <v>45627</v>
      </c>
      <c r="B1303" s="9" t="s">
        <v>96</v>
      </c>
      <c r="C1303" s="3" t="s">
        <v>108</v>
      </c>
      <c r="D1303" s="3" t="n">
        <v>1659226</v>
      </c>
      <c r="E1303" s="3" t="s">
        <v>114</v>
      </c>
      <c r="F1303" s="3" t="n">
        <f aca="false">IF(C1303="848630",0,1)</f>
        <v>1</v>
      </c>
    </row>
    <row r="1304" customFormat="false" ht="15" hidden="false" customHeight="false" outlineLevel="0" collapsed="false">
      <c r="A1304" s="12" t="n">
        <v>45627</v>
      </c>
      <c r="B1304" s="9" t="s">
        <v>96</v>
      </c>
      <c r="C1304" s="3" t="s">
        <v>108</v>
      </c>
      <c r="D1304" s="3" t="n">
        <v>10142933</v>
      </c>
      <c r="E1304" s="3" t="s">
        <v>114</v>
      </c>
      <c r="F1304" s="3" t="n">
        <f aca="false">IF(C1304="848630",0,1)</f>
        <v>1</v>
      </c>
    </row>
    <row r="1305" customFormat="false" ht="15" hidden="false" customHeight="false" outlineLevel="0" collapsed="false">
      <c r="A1305" s="12" t="n">
        <v>45627</v>
      </c>
      <c r="B1305" s="9" t="s">
        <v>96</v>
      </c>
      <c r="C1305" s="3" t="s">
        <v>109</v>
      </c>
      <c r="D1305" s="3" t="n">
        <v>103297862</v>
      </c>
      <c r="E1305" s="3" t="s">
        <v>114</v>
      </c>
      <c r="F1305" s="3" t="n">
        <f aca="false">IF(C1305="848630",0,1)</f>
        <v>1</v>
      </c>
    </row>
    <row r="1306" customFormat="false" ht="15" hidden="false" customHeight="false" outlineLevel="0" collapsed="false">
      <c r="A1306" s="12" t="n">
        <v>45627</v>
      </c>
      <c r="B1306" s="9" t="s">
        <v>96</v>
      </c>
      <c r="C1306" s="3" t="s">
        <v>110</v>
      </c>
      <c r="D1306" s="3" t="n">
        <v>8828991</v>
      </c>
      <c r="E1306" s="3" t="s">
        <v>114</v>
      </c>
      <c r="F1306" s="3" t="n">
        <f aca="false">IF(C1306="848630",0,1)</f>
        <v>1</v>
      </c>
    </row>
    <row r="1307" customFormat="false" ht="15" hidden="false" customHeight="false" outlineLevel="0" collapsed="false">
      <c r="A1307" s="12" t="n">
        <v>45627</v>
      </c>
      <c r="B1307" s="9" t="s">
        <v>96</v>
      </c>
      <c r="C1307" s="3" t="s">
        <v>111</v>
      </c>
      <c r="D1307" s="3" t="n">
        <v>801313</v>
      </c>
      <c r="E1307" s="3" t="s">
        <v>114</v>
      </c>
      <c r="F1307" s="3" t="n">
        <f aca="false">IF(C1307="848630",0,1)</f>
        <v>1</v>
      </c>
    </row>
    <row r="1308" customFormat="false" ht="15" hidden="false" customHeight="false" outlineLevel="0" collapsed="false">
      <c r="A1308" s="12" t="n">
        <v>45627</v>
      </c>
      <c r="B1308" s="9" t="s">
        <v>96</v>
      </c>
      <c r="C1308" s="3" t="s">
        <v>111</v>
      </c>
      <c r="D1308" s="3" t="n">
        <v>7524892</v>
      </c>
      <c r="E1308" s="3" t="s">
        <v>114</v>
      </c>
      <c r="F1308" s="3" t="n">
        <f aca="false">IF(C1308="848630",0,1)</f>
        <v>1</v>
      </c>
    </row>
    <row r="1309" customFormat="false" ht="15" hidden="false" customHeight="false" outlineLevel="0" collapsed="false">
      <c r="A1309" s="12" t="n">
        <v>45627</v>
      </c>
      <c r="B1309" s="9" t="s">
        <v>96</v>
      </c>
      <c r="C1309" s="3" t="s">
        <v>111</v>
      </c>
      <c r="D1309" s="3" t="n">
        <v>163296</v>
      </c>
      <c r="E1309" s="3" t="s">
        <v>114</v>
      </c>
      <c r="F1309" s="3" t="n">
        <f aca="false">IF(C1309="848630",0,1)</f>
        <v>1</v>
      </c>
    </row>
    <row r="1310" customFormat="false" ht="15" hidden="false" customHeight="false" outlineLevel="0" collapsed="false">
      <c r="A1310" s="12" t="n">
        <v>45658</v>
      </c>
      <c r="B1310" s="9" t="s">
        <v>96</v>
      </c>
      <c r="C1310" s="3" t="s">
        <v>105</v>
      </c>
      <c r="D1310" s="3" t="n">
        <v>18031992</v>
      </c>
      <c r="E1310" s="3" t="s">
        <v>114</v>
      </c>
      <c r="F1310" s="3" t="n">
        <f aca="false">IF(C1310="848630",0,1)</f>
        <v>1</v>
      </c>
    </row>
    <row r="1311" customFormat="false" ht="15" hidden="false" customHeight="false" outlineLevel="0" collapsed="false">
      <c r="A1311" s="12" t="n">
        <v>45658</v>
      </c>
      <c r="B1311" s="9" t="s">
        <v>96</v>
      </c>
      <c r="C1311" s="3" t="s">
        <v>107</v>
      </c>
      <c r="D1311" s="3" t="n">
        <v>160669645</v>
      </c>
      <c r="E1311" s="3" t="s">
        <v>114</v>
      </c>
      <c r="F1311" s="3" t="n">
        <f aca="false">IF(C1311="848630",0,1)</f>
        <v>1</v>
      </c>
    </row>
    <row r="1312" customFormat="false" ht="15" hidden="false" customHeight="false" outlineLevel="0" collapsed="false">
      <c r="A1312" s="12" t="n">
        <v>45658</v>
      </c>
      <c r="B1312" s="9" t="s">
        <v>96</v>
      </c>
      <c r="C1312" s="3" t="s">
        <v>108</v>
      </c>
      <c r="D1312" s="3" t="n">
        <v>2690379</v>
      </c>
      <c r="E1312" s="3" t="s">
        <v>114</v>
      </c>
      <c r="F1312" s="3" t="n">
        <f aca="false">IF(C1312="848630",0,1)</f>
        <v>1</v>
      </c>
    </row>
    <row r="1313" customFormat="false" ht="15" hidden="false" customHeight="false" outlineLevel="0" collapsed="false">
      <c r="A1313" s="12" t="n">
        <v>45658</v>
      </c>
      <c r="B1313" s="9" t="s">
        <v>96</v>
      </c>
      <c r="C1313" s="3" t="s">
        <v>108</v>
      </c>
      <c r="D1313" s="3" t="n">
        <v>9414152</v>
      </c>
      <c r="E1313" s="3" t="s">
        <v>114</v>
      </c>
      <c r="F1313" s="3" t="n">
        <f aca="false">IF(C1313="848630",0,1)</f>
        <v>1</v>
      </c>
    </row>
    <row r="1314" customFormat="false" ht="15" hidden="false" customHeight="false" outlineLevel="0" collapsed="false">
      <c r="A1314" s="12" t="n">
        <v>45658</v>
      </c>
      <c r="B1314" s="9" t="s">
        <v>96</v>
      </c>
      <c r="C1314" s="3" t="s">
        <v>109</v>
      </c>
      <c r="D1314" s="3" t="n">
        <v>95919772</v>
      </c>
      <c r="E1314" s="3" t="s">
        <v>114</v>
      </c>
      <c r="F1314" s="3" t="n">
        <f aca="false">IF(C1314="848630",0,1)</f>
        <v>1</v>
      </c>
    </row>
    <row r="1315" customFormat="false" ht="15" hidden="false" customHeight="false" outlineLevel="0" collapsed="false">
      <c r="A1315" s="12" t="n">
        <v>45658</v>
      </c>
      <c r="B1315" s="9" t="s">
        <v>96</v>
      </c>
      <c r="C1315" s="3" t="s">
        <v>110</v>
      </c>
      <c r="D1315" s="3" t="n">
        <v>8983194</v>
      </c>
      <c r="E1315" s="3" t="s">
        <v>114</v>
      </c>
      <c r="F1315" s="3" t="n">
        <f aca="false">IF(C1315="848630",0,1)</f>
        <v>1</v>
      </c>
    </row>
    <row r="1316" customFormat="false" ht="15" hidden="false" customHeight="false" outlineLevel="0" collapsed="false">
      <c r="A1316" s="12" t="n">
        <v>45658</v>
      </c>
      <c r="B1316" s="9" t="s">
        <v>96</v>
      </c>
      <c r="C1316" s="3" t="s">
        <v>111</v>
      </c>
      <c r="D1316" s="3" t="n">
        <v>2475258</v>
      </c>
      <c r="E1316" s="3" t="s">
        <v>114</v>
      </c>
      <c r="F1316" s="3" t="n">
        <f aca="false">IF(C1316="848630",0,1)</f>
        <v>1</v>
      </c>
    </row>
    <row r="1317" customFormat="false" ht="15" hidden="false" customHeight="false" outlineLevel="0" collapsed="false">
      <c r="A1317" s="12" t="n">
        <v>45658</v>
      </c>
      <c r="B1317" s="9" t="s">
        <v>96</v>
      </c>
      <c r="C1317" s="3" t="s">
        <v>111</v>
      </c>
      <c r="D1317" s="3" t="n">
        <v>6150296</v>
      </c>
      <c r="E1317" s="3" t="s">
        <v>114</v>
      </c>
      <c r="F1317" s="3" t="n">
        <f aca="false">IF(C1317="848630",0,1)</f>
        <v>1</v>
      </c>
    </row>
    <row r="1318" customFormat="false" ht="15" hidden="false" customHeight="false" outlineLevel="0" collapsed="false">
      <c r="A1318" s="12" t="n">
        <v>45658</v>
      </c>
      <c r="B1318" s="9" t="s">
        <v>96</v>
      </c>
      <c r="C1318" s="3" t="s">
        <v>111</v>
      </c>
      <c r="D1318" s="3" t="n">
        <v>287135</v>
      </c>
      <c r="E1318" s="3" t="s">
        <v>114</v>
      </c>
      <c r="F1318" s="3" t="n">
        <f aca="false">IF(C1318="848630",0,1)</f>
        <v>1</v>
      </c>
    </row>
    <row r="1319" customFormat="false" ht="15" hidden="false" customHeight="false" outlineLevel="0" collapsed="false">
      <c r="A1319" s="12" t="n">
        <v>45689</v>
      </c>
      <c r="B1319" s="9" t="s">
        <v>96</v>
      </c>
      <c r="C1319" s="3" t="s">
        <v>105</v>
      </c>
      <c r="D1319" s="3" t="n">
        <v>10757485</v>
      </c>
      <c r="E1319" s="3" t="s">
        <v>114</v>
      </c>
      <c r="F1319" s="3" t="n">
        <f aca="false">IF(C1319="848630",0,1)</f>
        <v>1</v>
      </c>
    </row>
    <row r="1320" customFormat="false" ht="15" hidden="false" customHeight="false" outlineLevel="0" collapsed="false">
      <c r="A1320" s="12" t="n">
        <v>45689</v>
      </c>
      <c r="B1320" s="9" t="s">
        <v>96</v>
      </c>
      <c r="C1320" s="3" t="s">
        <v>107</v>
      </c>
      <c r="D1320" s="3" t="n">
        <v>125162051</v>
      </c>
      <c r="E1320" s="3" t="s">
        <v>114</v>
      </c>
      <c r="F1320" s="3" t="n">
        <f aca="false">IF(C1320="848630",0,1)</f>
        <v>1</v>
      </c>
    </row>
    <row r="1321" customFormat="false" ht="15" hidden="false" customHeight="false" outlineLevel="0" collapsed="false">
      <c r="A1321" s="12" t="n">
        <v>45689</v>
      </c>
      <c r="B1321" s="9" t="s">
        <v>96</v>
      </c>
      <c r="C1321" s="3" t="s">
        <v>112</v>
      </c>
      <c r="D1321" s="3" t="n">
        <v>33174</v>
      </c>
      <c r="E1321" s="3" t="s">
        <v>114</v>
      </c>
      <c r="F1321" s="3" t="n">
        <f aca="false">IF(C1321="848630",0,1)</f>
        <v>0</v>
      </c>
    </row>
    <row r="1322" customFormat="false" ht="15" hidden="false" customHeight="false" outlineLevel="0" collapsed="false">
      <c r="A1322" s="12" t="n">
        <v>45689</v>
      </c>
      <c r="B1322" s="9" t="s">
        <v>96</v>
      </c>
      <c r="C1322" s="3" t="s">
        <v>108</v>
      </c>
      <c r="D1322" s="3" t="n">
        <v>27104374</v>
      </c>
      <c r="E1322" s="3" t="s">
        <v>114</v>
      </c>
      <c r="F1322" s="3" t="n">
        <f aca="false">IF(C1322="848630",0,1)</f>
        <v>1</v>
      </c>
    </row>
    <row r="1323" customFormat="false" ht="15" hidden="false" customHeight="false" outlineLevel="0" collapsed="false">
      <c r="A1323" s="12" t="n">
        <v>45689</v>
      </c>
      <c r="B1323" s="9" t="s">
        <v>96</v>
      </c>
      <c r="C1323" s="3" t="s">
        <v>108</v>
      </c>
      <c r="D1323" s="3" t="n">
        <v>408022</v>
      </c>
      <c r="E1323" s="3" t="s">
        <v>114</v>
      </c>
      <c r="F1323" s="3" t="n">
        <f aca="false">IF(C1323="848630",0,1)</f>
        <v>1</v>
      </c>
    </row>
    <row r="1324" customFormat="false" ht="15" hidden="false" customHeight="false" outlineLevel="0" collapsed="false">
      <c r="A1324" s="12" t="n">
        <v>45689</v>
      </c>
      <c r="B1324" s="9" t="s">
        <v>96</v>
      </c>
      <c r="C1324" s="3" t="s">
        <v>108</v>
      </c>
      <c r="D1324" s="3" t="n">
        <v>6737882</v>
      </c>
      <c r="E1324" s="3" t="s">
        <v>114</v>
      </c>
      <c r="F1324" s="3" t="n">
        <f aca="false">IF(C1324="848630",0,1)</f>
        <v>1</v>
      </c>
    </row>
    <row r="1325" customFormat="false" ht="15" hidden="false" customHeight="false" outlineLevel="0" collapsed="false">
      <c r="A1325" s="12" t="n">
        <v>45689</v>
      </c>
      <c r="B1325" s="9" t="s">
        <v>96</v>
      </c>
      <c r="C1325" s="3" t="s">
        <v>109</v>
      </c>
      <c r="D1325" s="3" t="n">
        <v>122103730</v>
      </c>
      <c r="E1325" s="3" t="s">
        <v>114</v>
      </c>
      <c r="F1325" s="3" t="n">
        <f aca="false">IF(C1325="848630",0,1)</f>
        <v>1</v>
      </c>
    </row>
    <row r="1326" customFormat="false" ht="15" hidden="false" customHeight="false" outlineLevel="0" collapsed="false">
      <c r="A1326" s="12" t="n">
        <v>45689</v>
      </c>
      <c r="B1326" s="9" t="s">
        <v>96</v>
      </c>
      <c r="C1326" s="3" t="s">
        <v>110</v>
      </c>
      <c r="D1326" s="3" t="n">
        <v>8913606</v>
      </c>
      <c r="E1326" s="3" t="s">
        <v>114</v>
      </c>
      <c r="F1326" s="3" t="n">
        <f aca="false">IF(C1326="848630",0,1)</f>
        <v>1</v>
      </c>
    </row>
    <row r="1327" customFormat="false" ht="15" hidden="false" customHeight="false" outlineLevel="0" collapsed="false">
      <c r="A1327" s="12" t="n">
        <v>45689</v>
      </c>
      <c r="B1327" s="9" t="s">
        <v>96</v>
      </c>
      <c r="C1327" s="3" t="s">
        <v>111</v>
      </c>
      <c r="D1327" s="3" t="n">
        <v>2222397</v>
      </c>
      <c r="E1327" s="3" t="s">
        <v>114</v>
      </c>
      <c r="F1327" s="3" t="n">
        <f aca="false">IF(C1327="848630",0,1)</f>
        <v>1</v>
      </c>
    </row>
    <row r="1328" customFormat="false" ht="15" hidden="false" customHeight="false" outlineLevel="0" collapsed="false">
      <c r="A1328" s="12" t="n">
        <v>45689</v>
      </c>
      <c r="B1328" s="9" t="s">
        <v>96</v>
      </c>
      <c r="C1328" s="3" t="s">
        <v>111</v>
      </c>
      <c r="D1328" s="3" t="n">
        <v>9093618</v>
      </c>
      <c r="E1328" s="3" t="s">
        <v>114</v>
      </c>
      <c r="F1328" s="3" t="n">
        <f aca="false">IF(C1328="848630",0,1)</f>
        <v>1</v>
      </c>
    </row>
    <row r="1329" customFormat="false" ht="15" hidden="false" customHeight="false" outlineLevel="0" collapsed="false">
      <c r="A1329" s="12" t="n">
        <v>45689</v>
      </c>
      <c r="B1329" s="9" t="s">
        <v>96</v>
      </c>
      <c r="C1329" s="3" t="s">
        <v>111</v>
      </c>
      <c r="D1329" s="3" t="n">
        <v>590630</v>
      </c>
      <c r="E1329" s="3" t="s">
        <v>114</v>
      </c>
      <c r="F1329" s="3" t="n">
        <f aca="false">IF(C1329="848630",0,1)</f>
        <v>1</v>
      </c>
    </row>
    <row r="1330" customFormat="false" ht="15" hidden="false" customHeight="false" outlineLevel="0" collapsed="false">
      <c r="A1330" s="12" t="n">
        <v>45717</v>
      </c>
      <c r="B1330" s="9" t="s">
        <v>96</v>
      </c>
      <c r="C1330" s="3" t="s">
        <v>105</v>
      </c>
      <c r="D1330" s="3" t="n">
        <v>15732045</v>
      </c>
      <c r="E1330" s="3" t="s">
        <v>114</v>
      </c>
      <c r="F1330" s="3" t="n">
        <f aca="false">IF(C1330="848630",0,1)</f>
        <v>1</v>
      </c>
    </row>
    <row r="1331" customFormat="false" ht="15" hidden="false" customHeight="false" outlineLevel="0" collapsed="false">
      <c r="A1331" s="12" t="n">
        <v>45717</v>
      </c>
      <c r="B1331" s="9" t="s">
        <v>96</v>
      </c>
      <c r="C1331" s="3" t="s">
        <v>107</v>
      </c>
      <c r="D1331" s="3" t="n">
        <v>167779117</v>
      </c>
      <c r="E1331" s="3" t="s">
        <v>114</v>
      </c>
      <c r="F1331" s="3" t="n">
        <f aca="false">IF(C1331="848630",0,1)</f>
        <v>1</v>
      </c>
    </row>
    <row r="1332" customFormat="false" ht="15" hidden="false" customHeight="false" outlineLevel="0" collapsed="false">
      <c r="A1332" s="12" t="n">
        <v>45717</v>
      </c>
      <c r="B1332" s="9" t="s">
        <v>96</v>
      </c>
      <c r="C1332" s="3" t="s">
        <v>112</v>
      </c>
      <c r="D1332" s="3" t="n">
        <v>45401</v>
      </c>
      <c r="E1332" s="3" t="s">
        <v>114</v>
      </c>
      <c r="F1332" s="3" t="n">
        <f aca="false">IF(C1332="848630",0,1)</f>
        <v>0</v>
      </c>
    </row>
    <row r="1333" customFormat="false" ht="15" hidden="false" customHeight="false" outlineLevel="0" collapsed="false">
      <c r="A1333" s="12" t="n">
        <v>45717</v>
      </c>
      <c r="B1333" s="9" t="s">
        <v>96</v>
      </c>
      <c r="C1333" s="3" t="s">
        <v>108</v>
      </c>
      <c r="D1333" s="3" t="n">
        <v>584866</v>
      </c>
      <c r="E1333" s="3" t="s">
        <v>114</v>
      </c>
      <c r="F1333" s="3" t="n">
        <f aca="false">IF(C1333="848630",0,1)</f>
        <v>1</v>
      </c>
    </row>
    <row r="1334" customFormat="false" ht="15" hidden="false" customHeight="false" outlineLevel="0" collapsed="false">
      <c r="A1334" s="12" t="n">
        <v>45717</v>
      </c>
      <c r="B1334" s="9" t="s">
        <v>96</v>
      </c>
      <c r="C1334" s="3" t="s">
        <v>108</v>
      </c>
      <c r="D1334" s="3" t="n">
        <v>6306776</v>
      </c>
      <c r="E1334" s="3" t="s">
        <v>114</v>
      </c>
      <c r="F1334" s="3" t="n">
        <f aca="false">IF(C1334="848630",0,1)</f>
        <v>1</v>
      </c>
    </row>
    <row r="1335" customFormat="false" ht="15" hidden="false" customHeight="false" outlineLevel="0" collapsed="false">
      <c r="A1335" s="12" t="n">
        <v>45717</v>
      </c>
      <c r="B1335" s="9" t="s">
        <v>96</v>
      </c>
      <c r="C1335" s="3" t="s">
        <v>109</v>
      </c>
      <c r="D1335" s="3" t="n">
        <v>66293250</v>
      </c>
      <c r="E1335" s="3" t="s">
        <v>114</v>
      </c>
      <c r="F1335" s="3" t="n">
        <f aca="false">IF(C1335="848630",0,1)</f>
        <v>1</v>
      </c>
    </row>
    <row r="1336" customFormat="false" ht="15" hidden="false" customHeight="false" outlineLevel="0" collapsed="false">
      <c r="A1336" s="12" t="n">
        <v>45717</v>
      </c>
      <c r="B1336" s="9" t="s">
        <v>96</v>
      </c>
      <c r="C1336" s="3" t="s">
        <v>110</v>
      </c>
      <c r="D1336" s="3" t="n">
        <v>15364457</v>
      </c>
      <c r="E1336" s="3" t="s">
        <v>114</v>
      </c>
      <c r="F1336" s="3" t="n">
        <f aca="false">IF(C1336="848630",0,1)</f>
        <v>1</v>
      </c>
    </row>
    <row r="1337" customFormat="false" ht="15" hidden="false" customHeight="false" outlineLevel="0" collapsed="false">
      <c r="A1337" s="12" t="n">
        <v>45717</v>
      </c>
      <c r="B1337" s="9" t="s">
        <v>96</v>
      </c>
      <c r="C1337" s="3" t="s">
        <v>111</v>
      </c>
      <c r="D1337" s="3" t="n">
        <v>548993</v>
      </c>
      <c r="E1337" s="3" t="s">
        <v>114</v>
      </c>
      <c r="F1337" s="3" t="n">
        <f aca="false">IF(C1337="848630",0,1)</f>
        <v>1</v>
      </c>
    </row>
    <row r="1338" customFormat="false" ht="15" hidden="false" customHeight="false" outlineLevel="0" collapsed="false">
      <c r="A1338" s="12" t="n">
        <v>45717</v>
      </c>
      <c r="B1338" s="9" t="s">
        <v>96</v>
      </c>
      <c r="C1338" s="3" t="s">
        <v>111</v>
      </c>
      <c r="D1338" s="3" t="n">
        <v>1389930</v>
      </c>
      <c r="E1338" s="3" t="s">
        <v>114</v>
      </c>
      <c r="F1338" s="3" t="n">
        <f aca="false">IF(C1338="848630",0,1)</f>
        <v>1</v>
      </c>
    </row>
    <row r="1339" customFormat="false" ht="15" hidden="false" customHeight="false" outlineLevel="0" collapsed="false">
      <c r="A1339" s="12" t="n">
        <v>45717</v>
      </c>
      <c r="B1339" s="9" t="s">
        <v>96</v>
      </c>
      <c r="C1339" s="3" t="s">
        <v>111</v>
      </c>
      <c r="D1339" s="3" t="n">
        <v>304597</v>
      </c>
      <c r="E1339" s="3" t="s">
        <v>114</v>
      </c>
      <c r="F1339" s="3" t="n">
        <f aca="false">IF(C1339="848630",0,1)</f>
        <v>1</v>
      </c>
    </row>
    <row r="1340" customFormat="false" ht="15" hidden="false" customHeight="false" outlineLevel="0" collapsed="false">
      <c r="A1340" s="12" t="n">
        <v>45748</v>
      </c>
      <c r="B1340" s="9" t="s">
        <v>96</v>
      </c>
      <c r="C1340" s="3" t="s">
        <v>105</v>
      </c>
      <c r="D1340" s="3" t="n">
        <v>16992077</v>
      </c>
      <c r="E1340" s="3" t="s">
        <v>114</v>
      </c>
      <c r="F1340" s="3" t="n">
        <f aca="false">IF(C1340="848630",0,1)</f>
        <v>1</v>
      </c>
    </row>
    <row r="1341" customFormat="false" ht="15" hidden="false" customHeight="false" outlineLevel="0" collapsed="false">
      <c r="A1341" s="12" t="n">
        <v>45748</v>
      </c>
      <c r="B1341" s="9" t="s">
        <v>96</v>
      </c>
      <c r="C1341" s="3" t="s">
        <v>107</v>
      </c>
      <c r="D1341" s="3" t="n">
        <v>151909400</v>
      </c>
      <c r="E1341" s="3" t="s">
        <v>114</v>
      </c>
      <c r="F1341" s="3" t="n">
        <f aca="false">IF(C1341="848630",0,1)</f>
        <v>1</v>
      </c>
    </row>
    <row r="1342" customFormat="false" ht="15" hidden="false" customHeight="false" outlineLevel="0" collapsed="false">
      <c r="A1342" s="12" t="n">
        <v>45748</v>
      </c>
      <c r="B1342" s="9" t="s">
        <v>96</v>
      </c>
      <c r="C1342" s="3" t="s">
        <v>112</v>
      </c>
      <c r="D1342" s="3" t="n">
        <v>5529</v>
      </c>
      <c r="E1342" s="3" t="s">
        <v>114</v>
      </c>
      <c r="F1342" s="3" t="n">
        <f aca="false">IF(C1342="848630",0,1)</f>
        <v>0</v>
      </c>
    </row>
    <row r="1343" customFormat="false" ht="15" hidden="false" customHeight="false" outlineLevel="0" collapsed="false">
      <c r="A1343" s="12" t="n">
        <v>45748</v>
      </c>
      <c r="B1343" s="9" t="s">
        <v>96</v>
      </c>
      <c r="C1343" s="3" t="s">
        <v>108</v>
      </c>
      <c r="D1343" s="3" t="n">
        <v>780757</v>
      </c>
      <c r="E1343" s="3" t="s">
        <v>114</v>
      </c>
      <c r="F1343" s="3" t="n">
        <f aca="false">IF(C1343="848630",0,1)</f>
        <v>1</v>
      </c>
    </row>
    <row r="1344" customFormat="false" ht="15" hidden="false" customHeight="false" outlineLevel="0" collapsed="false">
      <c r="A1344" s="12" t="n">
        <v>45748</v>
      </c>
      <c r="B1344" s="9" t="s">
        <v>96</v>
      </c>
      <c r="C1344" s="3" t="s">
        <v>108</v>
      </c>
      <c r="D1344" s="3" t="n">
        <v>12230948</v>
      </c>
      <c r="E1344" s="3" t="s">
        <v>114</v>
      </c>
      <c r="F1344" s="3" t="n">
        <f aca="false">IF(C1344="848630",0,1)</f>
        <v>1</v>
      </c>
    </row>
    <row r="1345" customFormat="false" ht="15" hidden="false" customHeight="false" outlineLevel="0" collapsed="false">
      <c r="A1345" s="12" t="n">
        <v>45748</v>
      </c>
      <c r="B1345" s="9" t="s">
        <v>96</v>
      </c>
      <c r="C1345" s="3" t="s">
        <v>109</v>
      </c>
      <c r="D1345" s="3" t="n">
        <v>77094312</v>
      </c>
      <c r="E1345" s="3" t="s">
        <v>114</v>
      </c>
      <c r="F1345" s="3" t="n">
        <f aca="false">IF(C1345="848630",0,1)</f>
        <v>1</v>
      </c>
    </row>
    <row r="1346" customFormat="false" ht="15" hidden="false" customHeight="false" outlineLevel="0" collapsed="false">
      <c r="A1346" s="12" t="n">
        <v>45748</v>
      </c>
      <c r="B1346" s="9" t="s">
        <v>96</v>
      </c>
      <c r="C1346" s="3" t="s">
        <v>110</v>
      </c>
      <c r="D1346" s="3" t="n">
        <v>10851420</v>
      </c>
      <c r="E1346" s="3" t="s">
        <v>114</v>
      </c>
      <c r="F1346" s="3" t="n">
        <f aca="false">IF(C1346="848630",0,1)</f>
        <v>1</v>
      </c>
    </row>
    <row r="1347" customFormat="false" ht="15" hidden="false" customHeight="false" outlineLevel="0" collapsed="false">
      <c r="A1347" s="12" t="n">
        <v>45748</v>
      </c>
      <c r="B1347" s="9" t="s">
        <v>96</v>
      </c>
      <c r="C1347" s="3" t="s">
        <v>111</v>
      </c>
      <c r="D1347" s="3" t="n">
        <v>509925</v>
      </c>
      <c r="E1347" s="3" t="s">
        <v>114</v>
      </c>
      <c r="F1347" s="3" t="n">
        <f aca="false">IF(C1347="848630",0,1)</f>
        <v>1</v>
      </c>
    </row>
    <row r="1348" customFormat="false" ht="15" hidden="false" customHeight="false" outlineLevel="0" collapsed="false">
      <c r="A1348" s="12" t="n">
        <v>45748</v>
      </c>
      <c r="B1348" s="9" t="s">
        <v>96</v>
      </c>
      <c r="C1348" s="3" t="s">
        <v>111</v>
      </c>
      <c r="D1348" s="3" t="n">
        <v>767348</v>
      </c>
      <c r="E1348" s="3" t="s">
        <v>114</v>
      </c>
      <c r="F1348" s="3" t="n">
        <f aca="false">IF(C1348="848630",0,1)</f>
        <v>1</v>
      </c>
    </row>
    <row r="1349" customFormat="false" ht="15" hidden="false" customHeight="false" outlineLevel="0" collapsed="false">
      <c r="A1349" s="12" t="n">
        <v>45748</v>
      </c>
      <c r="B1349" s="9" t="s">
        <v>96</v>
      </c>
      <c r="C1349" s="3" t="s">
        <v>111</v>
      </c>
      <c r="D1349" s="3" t="n">
        <v>739843</v>
      </c>
      <c r="E1349" s="3" t="s">
        <v>114</v>
      </c>
      <c r="F1349" s="3" t="n">
        <f aca="false">IF(C1349="848630",0,1)</f>
        <v>1</v>
      </c>
    </row>
    <row r="1350" customFormat="false" ht="15" hidden="false" customHeight="false" outlineLevel="0" collapsed="false">
      <c r="A1350" s="12" t="n">
        <v>45778</v>
      </c>
      <c r="B1350" s="9" t="s">
        <v>96</v>
      </c>
      <c r="C1350" s="3" t="s">
        <v>105</v>
      </c>
      <c r="D1350" s="3" t="n">
        <v>10378302</v>
      </c>
      <c r="E1350" s="3" t="s">
        <v>114</v>
      </c>
      <c r="F1350" s="3" t="n">
        <f aca="false">IF(C1350="848630",0,1)</f>
        <v>1</v>
      </c>
    </row>
    <row r="1351" customFormat="false" ht="15" hidden="false" customHeight="false" outlineLevel="0" collapsed="false">
      <c r="A1351" s="12" t="n">
        <v>45778</v>
      </c>
      <c r="B1351" s="9" t="s">
        <v>96</v>
      </c>
      <c r="C1351" s="3" t="s">
        <v>107</v>
      </c>
      <c r="D1351" s="3" t="n">
        <v>136950363</v>
      </c>
      <c r="E1351" s="3" t="s">
        <v>114</v>
      </c>
      <c r="F1351" s="3" t="n">
        <f aca="false">IF(C1351="848630",0,1)</f>
        <v>1</v>
      </c>
    </row>
    <row r="1352" customFormat="false" ht="15" hidden="false" customHeight="false" outlineLevel="0" collapsed="false">
      <c r="A1352" s="12" t="n">
        <v>45778</v>
      </c>
      <c r="B1352" s="9" t="s">
        <v>96</v>
      </c>
      <c r="C1352" s="3" t="s">
        <v>108</v>
      </c>
      <c r="D1352" s="3" t="n">
        <v>2766816</v>
      </c>
      <c r="E1352" s="3" t="s">
        <v>114</v>
      </c>
      <c r="F1352" s="3" t="n">
        <f aca="false">IF(C1352="848630",0,1)</f>
        <v>1</v>
      </c>
    </row>
    <row r="1353" customFormat="false" ht="15" hidden="false" customHeight="false" outlineLevel="0" collapsed="false">
      <c r="A1353" s="12" t="n">
        <v>45778</v>
      </c>
      <c r="B1353" s="9" t="s">
        <v>96</v>
      </c>
      <c r="C1353" s="3" t="s">
        <v>108</v>
      </c>
      <c r="D1353" s="3" t="n">
        <v>17268468</v>
      </c>
      <c r="E1353" s="3" t="s">
        <v>114</v>
      </c>
      <c r="F1353" s="3" t="n">
        <f aca="false">IF(C1353="848630",0,1)</f>
        <v>1</v>
      </c>
    </row>
    <row r="1354" customFormat="false" ht="15" hidden="false" customHeight="false" outlineLevel="0" collapsed="false">
      <c r="A1354" s="12" t="n">
        <v>45778</v>
      </c>
      <c r="B1354" s="9" t="s">
        <v>96</v>
      </c>
      <c r="C1354" s="3" t="s">
        <v>109</v>
      </c>
      <c r="D1354" s="3" t="n">
        <v>86593673</v>
      </c>
      <c r="E1354" s="3" t="s">
        <v>114</v>
      </c>
      <c r="F1354" s="3" t="n">
        <f aca="false">IF(C1354="848630",0,1)</f>
        <v>1</v>
      </c>
    </row>
    <row r="1355" customFormat="false" ht="15" hidden="false" customHeight="false" outlineLevel="0" collapsed="false">
      <c r="A1355" s="12" t="n">
        <v>45778</v>
      </c>
      <c r="B1355" s="9" t="s">
        <v>96</v>
      </c>
      <c r="C1355" s="3" t="s">
        <v>110</v>
      </c>
      <c r="D1355" s="3" t="n">
        <v>9504961</v>
      </c>
      <c r="E1355" s="3" t="s">
        <v>114</v>
      </c>
      <c r="F1355" s="3" t="n">
        <f aca="false">IF(C1355="848630",0,1)</f>
        <v>1</v>
      </c>
    </row>
    <row r="1356" customFormat="false" ht="15" hidden="false" customHeight="false" outlineLevel="0" collapsed="false">
      <c r="A1356" s="12" t="n">
        <v>45778</v>
      </c>
      <c r="B1356" s="9" t="s">
        <v>96</v>
      </c>
      <c r="C1356" s="3" t="s">
        <v>111</v>
      </c>
      <c r="D1356" s="3" t="n">
        <v>744047</v>
      </c>
      <c r="E1356" s="3" t="s">
        <v>114</v>
      </c>
      <c r="F1356" s="3" t="n">
        <f aca="false">IF(C1356="848630",0,1)</f>
        <v>1</v>
      </c>
    </row>
    <row r="1357" customFormat="false" ht="15" hidden="false" customHeight="false" outlineLevel="0" collapsed="false">
      <c r="A1357" s="12" t="n">
        <v>45778</v>
      </c>
      <c r="B1357" s="9" t="s">
        <v>96</v>
      </c>
      <c r="C1357" s="3" t="s">
        <v>111</v>
      </c>
      <c r="D1357" s="3" t="n">
        <v>3054224</v>
      </c>
      <c r="E1357" s="3" t="s">
        <v>114</v>
      </c>
      <c r="F1357" s="3" t="n">
        <f aca="false">IF(C1357="848630",0,1)</f>
        <v>1</v>
      </c>
    </row>
    <row r="1358" customFormat="false" ht="15" hidden="false" customHeight="false" outlineLevel="0" collapsed="false">
      <c r="A1358" s="12" t="n">
        <v>45778</v>
      </c>
      <c r="B1358" s="9" t="s">
        <v>96</v>
      </c>
      <c r="C1358" s="3" t="s">
        <v>111</v>
      </c>
      <c r="D1358" s="3" t="n">
        <v>777310</v>
      </c>
      <c r="E1358" s="3" t="s">
        <v>114</v>
      </c>
      <c r="F1358" s="3" t="n">
        <f aca="false">IF(C1358="848630",0,1)</f>
        <v>1</v>
      </c>
    </row>
    <row r="1359" customFormat="false" ht="15" hidden="false" customHeight="false" outlineLevel="0" collapsed="false">
      <c r="A1359" s="12" t="n">
        <v>45809</v>
      </c>
      <c r="B1359" s="9" t="s">
        <v>96</v>
      </c>
      <c r="C1359" s="3" t="s">
        <v>105</v>
      </c>
      <c r="D1359" s="3" t="n">
        <v>8951256</v>
      </c>
      <c r="E1359" s="3" t="s">
        <v>114</v>
      </c>
      <c r="F1359" s="3" t="n">
        <f aca="false">IF(C1359="848630",0,1)</f>
        <v>1</v>
      </c>
    </row>
    <row r="1360" customFormat="false" ht="15" hidden="false" customHeight="false" outlineLevel="0" collapsed="false">
      <c r="A1360" s="12" t="n">
        <v>45809</v>
      </c>
      <c r="B1360" s="9" t="s">
        <v>96</v>
      </c>
      <c r="C1360" s="3" t="s">
        <v>107</v>
      </c>
      <c r="D1360" s="3" t="n">
        <v>117882429</v>
      </c>
      <c r="E1360" s="3" t="s">
        <v>114</v>
      </c>
      <c r="F1360" s="3" t="n">
        <f aca="false">IF(C1360="848630",0,1)</f>
        <v>1</v>
      </c>
    </row>
    <row r="1361" customFormat="false" ht="15" hidden="false" customHeight="false" outlineLevel="0" collapsed="false">
      <c r="A1361" s="12" t="n">
        <v>45809</v>
      </c>
      <c r="B1361" s="9" t="s">
        <v>96</v>
      </c>
      <c r="C1361" s="3" t="s">
        <v>108</v>
      </c>
      <c r="D1361" s="3" t="n">
        <v>3359108</v>
      </c>
      <c r="E1361" s="3" t="s">
        <v>114</v>
      </c>
      <c r="F1361" s="3" t="n">
        <f aca="false">IF(C1361="848630",0,1)</f>
        <v>1</v>
      </c>
    </row>
    <row r="1362" customFormat="false" ht="15" hidden="false" customHeight="false" outlineLevel="0" collapsed="false">
      <c r="A1362" s="12" t="n">
        <v>45809</v>
      </c>
      <c r="B1362" s="9" t="s">
        <v>96</v>
      </c>
      <c r="C1362" s="3" t="s">
        <v>108</v>
      </c>
      <c r="D1362" s="3" t="n">
        <v>4124896</v>
      </c>
      <c r="E1362" s="3" t="s">
        <v>114</v>
      </c>
      <c r="F1362" s="3" t="n">
        <f aca="false">IF(C1362="848630",0,1)</f>
        <v>1</v>
      </c>
    </row>
    <row r="1363" customFormat="false" ht="15" hidden="false" customHeight="false" outlineLevel="0" collapsed="false">
      <c r="A1363" s="12" t="n">
        <v>45809</v>
      </c>
      <c r="B1363" s="9" t="s">
        <v>96</v>
      </c>
      <c r="C1363" s="3" t="s">
        <v>108</v>
      </c>
      <c r="D1363" s="3" t="n">
        <v>6913298</v>
      </c>
      <c r="E1363" s="3" t="s">
        <v>114</v>
      </c>
      <c r="F1363" s="3" t="n">
        <f aca="false">IF(C1363="848630",0,1)</f>
        <v>1</v>
      </c>
    </row>
    <row r="1364" customFormat="false" ht="15" hidden="false" customHeight="false" outlineLevel="0" collapsed="false">
      <c r="A1364" s="12" t="n">
        <v>45809</v>
      </c>
      <c r="B1364" s="9" t="s">
        <v>96</v>
      </c>
      <c r="C1364" s="3" t="s">
        <v>109</v>
      </c>
      <c r="D1364" s="3" t="n">
        <v>106065534</v>
      </c>
      <c r="E1364" s="3" t="s">
        <v>114</v>
      </c>
      <c r="F1364" s="3" t="n">
        <f aca="false">IF(C1364="848630",0,1)</f>
        <v>1</v>
      </c>
    </row>
    <row r="1365" customFormat="false" ht="15" hidden="false" customHeight="false" outlineLevel="0" collapsed="false">
      <c r="A1365" s="12" t="n">
        <v>45809</v>
      </c>
      <c r="B1365" s="9" t="s">
        <v>96</v>
      </c>
      <c r="C1365" s="3" t="s">
        <v>110</v>
      </c>
      <c r="D1365" s="3" t="n">
        <v>9326339</v>
      </c>
      <c r="E1365" s="3" t="s">
        <v>114</v>
      </c>
      <c r="F1365" s="3" t="n">
        <f aca="false">IF(C1365="848630",0,1)</f>
        <v>1</v>
      </c>
    </row>
    <row r="1366" customFormat="false" ht="15" hidden="false" customHeight="false" outlineLevel="0" collapsed="false">
      <c r="A1366" s="12" t="n">
        <v>45809</v>
      </c>
      <c r="B1366" s="9" t="s">
        <v>96</v>
      </c>
      <c r="C1366" s="3" t="s">
        <v>111</v>
      </c>
      <c r="D1366" s="3" t="n">
        <v>2170344</v>
      </c>
      <c r="E1366" s="3" t="s">
        <v>114</v>
      </c>
      <c r="F1366" s="3" t="n">
        <f aca="false">IF(C1366="848630",0,1)</f>
        <v>1</v>
      </c>
    </row>
    <row r="1367" customFormat="false" ht="15" hidden="false" customHeight="false" outlineLevel="0" collapsed="false">
      <c r="A1367" s="12" t="n">
        <v>45809</v>
      </c>
      <c r="B1367" s="9" t="s">
        <v>96</v>
      </c>
      <c r="C1367" s="3" t="s">
        <v>111</v>
      </c>
      <c r="D1367" s="3" t="n">
        <v>990474</v>
      </c>
      <c r="E1367" s="3" t="s">
        <v>114</v>
      </c>
      <c r="F1367" s="3" t="n">
        <f aca="false">IF(C1367="848630",0,1)</f>
        <v>1</v>
      </c>
    </row>
    <row r="1368" customFormat="false" ht="15" hidden="false" customHeight="false" outlineLevel="0" collapsed="false">
      <c r="A1368" s="12" t="n">
        <v>45839</v>
      </c>
      <c r="B1368" s="9" t="s">
        <v>96</v>
      </c>
      <c r="C1368" s="3" t="s">
        <v>105</v>
      </c>
      <c r="D1368" s="3" t="n">
        <v>22093441</v>
      </c>
      <c r="E1368" s="3" t="s">
        <v>114</v>
      </c>
      <c r="F1368" s="3" t="n">
        <f aca="false">IF(C1368="848630",0,1)</f>
        <v>1</v>
      </c>
    </row>
    <row r="1369" customFormat="false" ht="15" hidden="false" customHeight="false" outlineLevel="0" collapsed="false">
      <c r="A1369" s="12" t="n">
        <v>45839</v>
      </c>
      <c r="B1369" s="9" t="s">
        <v>96</v>
      </c>
      <c r="C1369" s="3" t="s">
        <v>107</v>
      </c>
      <c r="D1369" s="3" t="n">
        <v>127146565</v>
      </c>
      <c r="E1369" s="3" t="s">
        <v>114</v>
      </c>
      <c r="F1369" s="3" t="n">
        <f aca="false">IF(C1369="848630",0,1)</f>
        <v>1</v>
      </c>
    </row>
    <row r="1370" customFormat="false" ht="15" hidden="false" customHeight="false" outlineLevel="0" collapsed="false">
      <c r="A1370" s="12" t="n">
        <v>45839</v>
      </c>
      <c r="B1370" s="9" t="s">
        <v>96</v>
      </c>
      <c r="C1370" s="3" t="s">
        <v>112</v>
      </c>
      <c r="D1370" s="3" t="n">
        <v>27950</v>
      </c>
      <c r="E1370" s="3" t="s">
        <v>114</v>
      </c>
      <c r="F1370" s="3" t="n">
        <f aca="false">IF(C1370="848630",0,1)</f>
        <v>0</v>
      </c>
    </row>
    <row r="1371" customFormat="false" ht="15" hidden="false" customHeight="false" outlineLevel="0" collapsed="false">
      <c r="A1371" s="12" t="n">
        <v>45839</v>
      </c>
      <c r="B1371" s="9" t="s">
        <v>96</v>
      </c>
      <c r="C1371" s="3" t="s">
        <v>108</v>
      </c>
      <c r="D1371" s="3" t="n">
        <v>12630444</v>
      </c>
      <c r="E1371" s="3" t="s">
        <v>114</v>
      </c>
      <c r="F1371" s="3" t="n">
        <f aca="false">IF(C1371="848630",0,1)</f>
        <v>1</v>
      </c>
    </row>
    <row r="1372" customFormat="false" ht="15" hidden="false" customHeight="false" outlineLevel="0" collapsed="false">
      <c r="A1372" s="12" t="n">
        <v>45839</v>
      </c>
      <c r="B1372" s="9" t="s">
        <v>96</v>
      </c>
      <c r="C1372" s="3" t="s">
        <v>108</v>
      </c>
      <c r="D1372" s="3" t="n">
        <v>1398492</v>
      </c>
      <c r="E1372" s="3" t="s">
        <v>114</v>
      </c>
      <c r="F1372" s="3" t="n">
        <f aca="false">IF(C1372="848630",0,1)</f>
        <v>1</v>
      </c>
    </row>
    <row r="1373" customFormat="false" ht="15" hidden="false" customHeight="false" outlineLevel="0" collapsed="false">
      <c r="A1373" s="12" t="n">
        <v>45839</v>
      </c>
      <c r="B1373" s="9" t="s">
        <v>96</v>
      </c>
      <c r="C1373" s="3" t="s">
        <v>108</v>
      </c>
      <c r="D1373" s="3" t="n">
        <v>13468171</v>
      </c>
      <c r="E1373" s="3" t="s">
        <v>114</v>
      </c>
      <c r="F1373" s="3" t="n">
        <f aca="false">IF(C1373="848630",0,1)</f>
        <v>1</v>
      </c>
    </row>
    <row r="1374" customFormat="false" ht="15" hidden="false" customHeight="false" outlineLevel="0" collapsed="false">
      <c r="A1374" s="12" t="n">
        <v>45839</v>
      </c>
      <c r="B1374" s="9" t="s">
        <v>96</v>
      </c>
      <c r="C1374" s="3" t="s">
        <v>109</v>
      </c>
      <c r="D1374" s="3" t="n">
        <v>113650980</v>
      </c>
      <c r="E1374" s="3" t="s">
        <v>114</v>
      </c>
      <c r="F1374" s="3" t="n">
        <f aca="false">IF(C1374="848630",0,1)</f>
        <v>1</v>
      </c>
    </row>
    <row r="1375" customFormat="false" ht="15" hidden="false" customHeight="false" outlineLevel="0" collapsed="false">
      <c r="A1375" s="12" t="n">
        <v>45839</v>
      </c>
      <c r="B1375" s="9" t="s">
        <v>96</v>
      </c>
      <c r="C1375" s="3" t="s">
        <v>110</v>
      </c>
      <c r="D1375" s="3" t="n">
        <v>6278680</v>
      </c>
      <c r="E1375" s="3" t="s">
        <v>114</v>
      </c>
      <c r="F1375" s="3" t="n">
        <f aca="false">IF(C1375="848630",0,1)</f>
        <v>1</v>
      </c>
    </row>
    <row r="1376" customFormat="false" ht="15" hidden="false" customHeight="false" outlineLevel="0" collapsed="false">
      <c r="A1376" s="12" t="n">
        <v>45839</v>
      </c>
      <c r="B1376" s="9" t="s">
        <v>96</v>
      </c>
      <c r="C1376" s="3" t="s">
        <v>111</v>
      </c>
      <c r="D1376" s="3" t="n">
        <v>51441</v>
      </c>
      <c r="E1376" s="3" t="s">
        <v>114</v>
      </c>
      <c r="F1376" s="3" t="n">
        <f aca="false">IF(C1376="848630",0,1)</f>
        <v>1</v>
      </c>
    </row>
    <row r="1377" customFormat="false" ht="15" hidden="false" customHeight="false" outlineLevel="0" collapsed="false">
      <c r="A1377" s="12" t="n">
        <v>45839</v>
      </c>
      <c r="B1377" s="9" t="s">
        <v>96</v>
      </c>
      <c r="C1377" s="3" t="s">
        <v>111</v>
      </c>
      <c r="D1377" s="3" t="n">
        <v>742298</v>
      </c>
      <c r="E1377" s="3" t="s">
        <v>114</v>
      </c>
      <c r="F1377" s="3" t="n">
        <f aca="false">IF(C1377="848630",0,1)</f>
        <v>1</v>
      </c>
    </row>
    <row r="1378" customFormat="false" ht="15" hidden="false" customHeight="false" outlineLevel="0" collapsed="false">
      <c r="A1378" s="12" t="n">
        <v>45839</v>
      </c>
      <c r="B1378" s="9" t="s">
        <v>96</v>
      </c>
      <c r="C1378" s="3" t="s">
        <v>111</v>
      </c>
      <c r="D1378" s="3" t="n">
        <v>721993</v>
      </c>
      <c r="E1378" s="3" t="s">
        <v>114</v>
      </c>
      <c r="F1378" s="3" t="n">
        <f aca="false">IF(C1378="848630",0,1)</f>
        <v>1</v>
      </c>
    </row>
    <row r="1379" customFormat="false" ht="15" hidden="false" customHeight="false" outlineLevel="0" collapsed="false">
      <c r="A1379" s="12" t="n">
        <v>45870</v>
      </c>
      <c r="B1379" s="9" t="s">
        <v>96</v>
      </c>
      <c r="C1379" s="3" t="s">
        <v>105</v>
      </c>
      <c r="D1379" s="3" t="n">
        <v>19977097</v>
      </c>
      <c r="E1379" s="3" t="s">
        <v>114</v>
      </c>
      <c r="F1379" s="3" t="n">
        <f aca="false">IF(C1379="848630",0,1)</f>
        <v>1</v>
      </c>
    </row>
    <row r="1380" customFormat="false" ht="15" hidden="false" customHeight="false" outlineLevel="0" collapsed="false">
      <c r="A1380" s="12" t="n">
        <v>45870</v>
      </c>
      <c r="B1380" s="9" t="s">
        <v>96</v>
      </c>
      <c r="C1380" s="3" t="s">
        <v>107</v>
      </c>
      <c r="D1380" s="3" t="n">
        <v>102200825</v>
      </c>
      <c r="E1380" s="3" t="s">
        <v>114</v>
      </c>
      <c r="F1380" s="3" t="n">
        <f aca="false">IF(C1380="848630",0,1)</f>
        <v>1</v>
      </c>
    </row>
    <row r="1381" customFormat="false" ht="15" hidden="false" customHeight="false" outlineLevel="0" collapsed="false">
      <c r="A1381" s="12" t="n">
        <v>45870</v>
      </c>
      <c r="B1381" s="9" t="s">
        <v>96</v>
      </c>
      <c r="C1381" s="3" t="s">
        <v>112</v>
      </c>
      <c r="D1381" s="3" t="n">
        <v>0</v>
      </c>
      <c r="E1381" s="3" t="s">
        <v>114</v>
      </c>
      <c r="F1381" s="3" t="n">
        <f aca="false">IF(C1381="848630",0,1)</f>
        <v>0</v>
      </c>
    </row>
    <row r="1382" customFormat="false" ht="15" hidden="false" customHeight="false" outlineLevel="0" collapsed="false">
      <c r="A1382" s="12" t="n">
        <v>45870</v>
      </c>
      <c r="B1382" s="9" t="s">
        <v>96</v>
      </c>
      <c r="C1382" s="3" t="s">
        <v>108</v>
      </c>
      <c r="D1382" s="3" t="n">
        <v>894605</v>
      </c>
      <c r="E1382" s="3" t="s">
        <v>114</v>
      </c>
      <c r="F1382" s="3" t="n">
        <f aca="false">IF(C1382="848630",0,1)</f>
        <v>1</v>
      </c>
    </row>
    <row r="1383" customFormat="false" ht="15" hidden="false" customHeight="false" outlineLevel="0" collapsed="false">
      <c r="A1383" s="12" t="n">
        <v>45870</v>
      </c>
      <c r="B1383" s="9" t="s">
        <v>96</v>
      </c>
      <c r="C1383" s="3" t="s">
        <v>108</v>
      </c>
      <c r="D1383" s="3" t="n">
        <v>200661</v>
      </c>
      <c r="E1383" s="3" t="s">
        <v>114</v>
      </c>
      <c r="F1383" s="3" t="n">
        <f aca="false">IF(C1383="848630",0,1)</f>
        <v>1</v>
      </c>
    </row>
    <row r="1384" customFormat="false" ht="15" hidden="false" customHeight="false" outlineLevel="0" collapsed="false">
      <c r="A1384" s="12" t="n">
        <v>45870</v>
      </c>
      <c r="B1384" s="9" t="s">
        <v>96</v>
      </c>
      <c r="C1384" s="3" t="s">
        <v>108</v>
      </c>
      <c r="D1384" s="3" t="n">
        <v>8942759</v>
      </c>
      <c r="E1384" s="3" t="s">
        <v>114</v>
      </c>
      <c r="F1384" s="3" t="n">
        <f aca="false">IF(C1384="848630",0,1)</f>
        <v>1</v>
      </c>
    </row>
    <row r="1385" customFormat="false" ht="15" hidden="false" customHeight="false" outlineLevel="0" collapsed="false">
      <c r="A1385" s="12" t="n">
        <v>45870</v>
      </c>
      <c r="B1385" s="9" t="s">
        <v>96</v>
      </c>
      <c r="C1385" s="3" t="s">
        <v>111</v>
      </c>
      <c r="D1385" s="3" t="n">
        <v>86250</v>
      </c>
      <c r="E1385" s="3" t="s">
        <v>114</v>
      </c>
      <c r="F1385" s="3" t="n">
        <f aca="false">IF(C1385="848630",0,1)</f>
        <v>1</v>
      </c>
    </row>
    <row r="1386" customFormat="false" ht="15" hidden="false" customHeight="false" outlineLevel="0" collapsed="false">
      <c r="A1386" s="12" t="n">
        <v>45870</v>
      </c>
      <c r="B1386" s="9" t="s">
        <v>96</v>
      </c>
      <c r="C1386" s="3" t="s">
        <v>111</v>
      </c>
      <c r="D1386" s="3" t="n">
        <v>2293241</v>
      </c>
      <c r="E1386" s="3" t="s">
        <v>114</v>
      </c>
      <c r="F1386" s="3" t="n">
        <f aca="false">IF(C1386="848630",0,1)</f>
        <v>1</v>
      </c>
    </row>
    <row r="1387" customFormat="false" ht="15" hidden="false" customHeight="false" outlineLevel="0" collapsed="false">
      <c r="A1387" s="12" t="n">
        <v>45870</v>
      </c>
      <c r="B1387" s="9" t="s">
        <v>96</v>
      </c>
      <c r="C1387" s="3" t="s">
        <v>111</v>
      </c>
      <c r="D1387" s="3" t="n">
        <v>511007</v>
      </c>
      <c r="E1387" s="3" t="s">
        <v>114</v>
      </c>
      <c r="F1387" s="3" t="n">
        <f aca="false">IF(C1387="848630",0,1)</f>
        <v>1</v>
      </c>
    </row>
    <row r="1388" customFormat="false" ht="15" hidden="false" customHeight="false" outlineLevel="0" collapsed="false">
      <c r="A1388" s="12" t="n">
        <v>45901</v>
      </c>
      <c r="B1388" s="9" t="s">
        <v>96</v>
      </c>
      <c r="C1388" s="3" t="s">
        <v>112</v>
      </c>
      <c r="D1388" s="3" t="n">
        <v>64761</v>
      </c>
      <c r="E1388" s="3" t="s">
        <v>114</v>
      </c>
      <c r="F1388" s="3" t="n">
        <f aca="false">IF(C1388="848630",0,1)</f>
        <v>0</v>
      </c>
    </row>
    <row r="1389" customFormat="false" ht="15" hidden="false" customHeight="false" outlineLevel="0" collapsed="false">
      <c r="A1389" s="12" t="n">
        <v>45901</v>
      </c>
      <c r="B1389" s="9" t="s">
        <v>96</v>
      </c>
      <c r="C1389" s="3" t="s">
        <v>108</v>
      </c>
      <c r="D1389" s="3" t="n">
        <v>0</v>
      </c>
      <c r="E1389" s="3" t="s">
        <v>114</v>
      </c>
      <c r="F1389" s="3" t="n">
        <f aca="false">IF(C1389="848630",0,1)</f>
        <v>1</v>
      </c>
    </row>
    <row r="1390" customFormat="false" ht="15" hidden="false" customHeight="false" outlineLevel="0" collapsed="false">
      <c r="A1390" s="12" t="n">
        <v>45901</v>
      </c>
      <c r="B1390" s="9" t="s">
        <v>96</v>
      </c>
      <c r="C1390" s="3" t="s">
        <v>108</v>
      </c>
      <c r="D1390" s="3" t="n">
        <v>4621359</v>
      </c>
      <c r="E1390" s="3" t="s">
        <v>114</v>
      </c>
      <c r="F1390" s="3" t="n">
        <f aca="false">IF(C1390="848630",0,1)</f>
        <v>1</v>
      </c>
    </row>
    <row r="1391" customFormat="false" ht="15" hidden="false" customHeight="false" outlineLevel="0" collapsed="false">
      <c r="A1391" s="12" t="n">
        <v>45901</v>
      </c>
      <c r="B1391" s="9" t="s">
        <v>96</v>
      </c>
      <c r="C1391" s="3" t="s">
        <v>108</v>
      </c>
      <c r="D1391" s="3" t="n">
        <v>12209238</v>
      </c>
      <c r="E1391" s="3" t="s">
        <v>114</v>
      </c>
      <c r="F1391" s="3" t="n">
        <f aca="false">IF(C1391="848630",0,1)</f>
        <v>1</v>
      </c>
    </row>
    <row r="1392" customFormat="false" ht="15" hidden="false" customHeight="false" outlineLevel="0" collapsed="false">
      <c r="A1392" s="12" t="n">
        <v>45901</v>
      </c>
      <c r="B1392" s="9" t="s">
        <v>96</v>
      </c>
      <c r="C1392" s="3" t="s">
        <v>111</v>
      </c>
      <c r="D1392" s="3" t="n">
        <v>0</v>
      </c>
      <c r="E1392" s="3" t="s">
        <v>114</v>
      </c>
      <c r="F1392" s="3" t="n">
        <f aca="false">IF(C1392="848630",0,1)</f>
        <v>1</v>
      </c>
    </row>
    <row r="1393" customFormat="false" ht="15" hidden="false" customHeight="false" outlineLevel="0" collapsed="false">
      <c r="A1393" s="12" t="n">
        <v>45901</v>
      </c>
      <c r="B1393" s="9" t="s">
        <v>96</v>
      </c>
      <c r="C1393" s="3" t="s">
        <v>111</v>
      </c>
      <c r="D1393" s="3" t="n">
        <v>1057582</v>
      </c>
      <c r="E1393" s="3" t="s">
        <v>114</v>
      </c>
      <c r="F1393" s="3" t="n">
        <f aca="false">IF(C1393="848630",0,1)</f>
        <v>1</v>
      </c>
    </row>
    <row r="1394" customFormat="false" ht="15" hidden="false" customHeight="false" outlineLevel="0" collapsed="false">
      <c r="A1394" s="12" t="n">
        <v>45901</v>
      </c>
      <c r="B1394" s="9" t="s">
        <v>96</v>
      </c>
      <c r="C1394" s="3" t="s">
        <v>111</v>
      </c>
      <c r="D1394" s="3" t="n">
        <v>705891</v>
      </c>
      <c r="E1394" s="3" t="s">
        <v>114</v>
      </c>
      <c r="F1394" s="3" t="n">
        <f aca="false">IF(C1394="848630",0,1)</f>
        <v>1</v>
      </c>
    </row>
    <row r="1395" customFormat="false" ht="15" hidden="false" customHeight="false" outlineLevel="0" collapsed="false">
      <c r="A1395" s="12" t="n">
        <v>45962</v>
      </c>
      <c r="B1395" s="9" t="s">
        <v>96</v>
      </c>
      <c r="C1395" s="3" t="s">
        <v>105</v>
      </c>
      <c r="D1395" s="3" t="n">
        <v>4329748</v>
      </c>
      <c r="E1395" s="3" t="s">
        <v>114</v>
      </c>
      <c r="F1395" s="3" t="n">
        <f aca="false">IF(C1395="848630",0,1)</f>
        <v>1</v>
      </c>
    </row>
    <row r="1396" customFormat="false" ht="15" hidden="false" customHeight="false" outlineLevel="0" collapsed="false">
      <c r="A1396" s="12" t="n">
        <v>45962</v>
      </c>
      <c r="B1396" s="9" t="s">
        <v>96</v>
      </c>
      <c r="C1396" s="3" t="s">
        <v>107</v>
      </c>
      <c r="D1396" s="3" t="n">
        <v>73473053</v>
      </c>
      <c r="E1396" s="3" t="s">
        <v>114</v>
      </c>
      <c r="F1396" s="3" t="n">
        <f aca="false">IF(C1396="848630",0,1)</f>
        <v>1</v>
      </c>
    </row>
    <row r="1397" customFormat="false" ht="15" hidden="false" customHeight="false" outlineLevel="0" collapsed="false">
      <c r="A1397" s="12" t="n">
        <v>45962</v>
      </c>
      <c r="B1397" s="9" t="s">
        <v>96</v>
      </c>
      <c r="C1397" s="3" t="s">
        <v>112</v>
      </c>
      <c r="D1397" s="3" t="n">
        <v>556525</v>
      </c>
      <c r="E1397" s="3" t="s">
        <v>114</v>
      </c>
      <c r="F1397" s="3" t="n">
        <f aca="false">IF(C1397="848630",0,1)</f>
        <v>0</v>
      </c>
    </row>
    <row r="1398" customFormat="false" ht="15" hidden="false" customHeight="false" outlineLevel="0" collapsed="false">
      <c r="A1398" s="12" t="n">
        <v>45962</v>
      </c>
      <c r="B1398" s="9" t="s">
        <v>96</v>
      </c>
      <c r="C1398" s="3" t="s">
        <v>108</v>
      </c>
      <c r="D1398" s="3" t="n">
        <v>4844728</v>
      </c>
      <c r="E1398" s="3" t="s">
        <v>114</v>
      </c>
      <c r="F1398" s="3" t="n">
        <f aca="false">IF(C1398="848630",0,1)</f>
        <v>1</v>
      </c>
    </row>
    <row r="1399" customFormat="false" ht="15" hidden="false" customHeight="false" outlineLevel="0" collapsed="false">
      <c r="A1399" s="12" t="n">
        <v>45962</v>
      </c>
      <c r="B1399" s="9" t="s">
        <v>96</v>
      </c>
      <c r="C1399" s="3" t="s">
        <v>108</v>
      </c>
      <c r="D1399" s="3" t="n">
        <v>1519316</v>
      </c>
      <c r="E1399" s="3" t="s">
        <v>114</v>
      </c>
      <c r="F1399" s="3" t="n">
        <f aca="false">IF(C1399="848630",0,1)</f>
        <v>1</v>
      </c>
    </row>
    <row r="1400" customFormat="false" ht="15" hidden="false" customHeight="false" outlineLevel="0" collapsed="false">
      <c r="A1400" s="12" t="n">
        <v>45962</v>
      </c>
      <c r="B1400" s="9" t="s">
        <v>96</v>
      </c>
      <c r="C1400" s="3" t="s">
        <v>108</v>
      </c>
      <c r="D1400" s="3" t="n">
        <v>20487308</v>
      </c>
      <c r="E1400" s="3" t="s">
        <v>114</v>
      </c>
      <c r="F1400" s="3" t="n">
        <f aca="false">IF(C1400="848630",0,1)</f>
        <v>1</v>
      </c>
    </row>
    <row r="1401" customFormat="false" ht="15" hidden="false" customHeight="false" outlineLevel="0" collapsed="false">
      <c r="A1401" s="12" t="n">
        <v>45962</v>
      </c>
      <c r="B1401" s="9" t="s">
        <v>96</v>
      </c>
      <c r="C1401" s="3" t="s">
        <v>109</v>
      </c>
      <c r="D1401" s="3" t="n">
        <v>100943747</v>
      </c>
      <c r="E1401" s="3" t="s">
        <v>114</v>
      </c>
      <c r="F1401" s="3" t="n">
        <f aca="false">IF(C1401="848630",0,1)</f>
        <v>1</v>
      </c>
    </row>
    <row r="1402" customFormat="false" ht="15" hidden="false" customHeight="false" outlineLevel="0" collapsed="false">
      <c r="A1402" s="12" t="n">
        <v>45962</v>
      </c>
      <c r="B1402" s="9" t="s">
        <v>96</v>
      </c>
      <c r="C1402" s="3" t="s">
        <v>110</v>
      </c>
      <c r="D1402" s="3" t="n">
        <v>8769965</v>
      </c>
      <c r="E1402" s="3" t="s">
        <v>114</v>
      </c>
      <c r="F1402" s="3" t="n">
        <f aca="false">IF(C1402="848630",0,1)</f>
        <v>1</v>
      </c>
    </row>
    <row r="1403" customFormat="false" ht="15" hidden="false" customHeight="false" outlineLevel="0" collapsed="false">
      <c r="A1403" s="12" t="n">
        <v>45962</v>
      </c>
      <c r="B1403" s="9" t="s">
        <v>96</v>
      </c>
      <c r="C1403" s="3" t="s">
        <v>111</v>
      </c>
      <c r="D1403" s="3" t="n">
        <v>64959</v>
      </c>
      <c r="E1403" s="3" t="s">
        <v>114</v>
      </c>
      <c r="F1403" s="3" t="n">
        <f aca="false">IF(C1403="848630",0,1)</f>
        <v>1</v>
      </c>
    </row>
    <row r="1404" customFormat="false" ht="15" hidden="false" customHeight="false" outlineLevel="0" collapsed="false">
      <c r="A1404" s="12" t="n">
        <v>45962</v>
      </c>
      <c r="B1404" s="9" t="s">
        <v>96</v>
      </c>
      <c r="C1404" s="3" t="s">
        <v>111</v>
      </c>
      <c r="D1404" s="3" t="n">
        <v>1577248</v>
      </c>
      <c r="E1404" s="3" t="s">
        <v>114</v>
      </c>
      <c r="F1404" s="3" t="n">
        <f aca="false">IF(C1404="848630",0,1)</f>
        <v>1</v>
      </c>
    </row>
    <row r="1405" customFormat="false" ht="15" hidden="false" customHeight="false" outlineLevel="0" collapsed="false">
      <c r="A1405" s="12" t="n">
        <v>45962</v>
      </c>
      <c r="B1405" s="9" t="s">
        <v>96</v>
      </c>
      <c r="C1405" s="3" t="s">
        <v>111</v>
      </c>
      <c r="D1405" s="3" t="n">
        <v>679347</v>
      </c>
      <c r="E1405" s="3" t="s">
        <v>114</v>
      </c>
      <c r="F1405" s="3" t="n">
        <f aca="false">IF(C1405="848630",0,1)</f>
        <v>1</v>
      </c>
    </row>
    <row r="1406" customFormat="false" ht="15" hidden="false" customHeight="false" outlineLevel="0" collapsed="false">
      <c r="A1406" s="12" t="n">
        <v>45992</v>
      </c>
      <c r="B1406" s="9" t="s">
        <v>96</v>
      </c>
      <c r="C1406" s="3" t="s">
        <v>105</v>
      </c>
      <c r="D1406" s="3" t="n">
        <v>6155963</v>
      </c>
      <c r="E1406" s="3" t="s">
        <v>114</v>
      </c>
      <c r="F1406" s="3" t="n">
        <f aca="false">IF(C1406="848630",0,1)</f>
        <v>1</v>
      </c>
    </row>
    <row r="1407" customFormat="false" ht="15" hidden="false" customHeight="false" outlineLevel="0" collapsed="false">
      <c r="A1407" s="12" t="n">
        <v>45992</v>
      </c>
      <c r="B1407" s="9" t="s">
        <v>96</v>
      </c>
      <c r="C1407" s="3" t="s">
        <v>107</v>
      </c>
      <c r="D1407" s="3" t="n">
        <v>93315310</v>
      </c>
      <c r="E1407" s="3" t="s">
        <v>114</v>
      </c>
      <c r="F1407" s="3" t="n">
        <f aca="false">IF(C1407="848630",0,1)</f>
        <v>1</v>
      </c>
    </row>
    <row r="1408" customFormat="false" ht="15" hidden="false" customHeight="false" outlineLevel="0" collapsed="false">
      <c r="A1408" s="12" t="n">
        <v>45992</v>
      </c>
      <c r="B1408" s="9" t="s">
        <v>96</v>
      </c>
      <c r="C1408" s="3" t="s">
        <v>112</v>
      </c>
      <c r="D1408" s="3" t="n">
        <v>9570</v>
      </c>
      <c r="E1408" s="3" t="s">
        <v>114</v>
      </c>
      <c r="F1408" s="3" t="n">
        <f aca="false">IF(C1408="848630",0,1)</f>
        <v>0</v>
      </c>
    </row>
    <row r="1409" customFormat="false" ht="15" hidden="false" customHeight="false" outlineLevel="0" collapsed="false">
      <c r="A1409" s="12" t="n">
        <v>45992</v>
      </c>
      <c r="B1409" s="9" t="s">
        <v>96</v>
      </c>
      <c r="C1409" s="3" t="s">
        <v>108</v>
      </c>
      <c r="D1409" s="3" t="n">
        <v>129480</v>
      </c>
      <c r="E1409" s="3" t="s">
        <v>114</v>
      </c>
      <c r="F1409" s="3" t="n">
        <f aca="false">IF(C1409="848630",0,1)</f>
        <v>1</v>
      </c>
    </row>
    <row r="1410" customFormat="false" ht="15" hidden="false" customHeight="false" outlineLevel="0" collapsed="false">
      <c r="A1410" s="12" t="n">
        <v>45992</v>
      </c>
      <c r="B1410" s="9" t="s">
        <v>96</v>
      </c>
      <c r="C1410" s="3" t="s">
        <v>108</v>
      </c>
      <c r="D1410" s="3" t="n">
        <v>931495</v>
      </c>
      <c r="E1410" s="3" t="s">
        <v>114</v>
      </c>
      <c r="F1410" s="3" t="n">
        <f aca="false">IF(C1410="848630",0,1)</f>
        <v>1</v>
      </c>
    </row>
    <row r="1411" customFormat="false" ht="15" hidden="false" customHeight="false" outlineLevel="0" collapsed="false">
      <c r="A1411" s="12" t="n">
        <v>45992</v>
      </c>
      <c r="B1411" s="9" t="s">
        <v>96</v>
      </c>
      <c r="C1411" s="3" t="s">
        <v>108</v>
      </c>
      <c r="D1411" s="3" t="n">
        <v>20809602</v>
      </c>
      <c r="E1411" s="3" t="s">
        <v>114</v>
      </c>
      <c r="F1411" s="3" t="n">
        <f aca="false">IF(C1411="848630",0,1)</f>
        <v>1</v>
      </c>
    </row>
    <row r="1412" customFormat="false" ht="15" hidden="false" customHeight="false" outlineLevel="0" collapsed="false">
      <c r="A1412" s="12" t="n">
        <v>45992</v>
      </c>
      <c r="B1412" s="9" t="s">
        <v>96</v>
      </c>
      <c r="C1412" s="3" t="s">
        <v>109</v>
      </c>
      <c r="D1412" s="3" t="n">
        <v>113024211</v>
      </c>
      <c r="E1412" s="3" t="s">
        <v>114</v>
      </c>
      <c r="F1412" s="3" t="n">
        <f aca="false">IF(C1412="848630",0,1)</f>
        <v>1</v>
      </c>
    </row>
    <row r="1413" customFormat="false" ht="15" hidden="false" customHeight="false" outlineLevel="0" collapsed="false">
      <c r="A1413" s="12" t="n">
        <v>45992</v>
      </c>
      <c r="B1413" s="9" t="s">
        <v>96</v>
      </c>
      <c r="C1413" s="3" t="s">
        <v>110</v>
      </c>
      <c r="D1413" s="3" t="n">
        <v>6944555</v>
      </c>
      <c r="E1413" s="3" t="s">
        <v>114</v>
      </c>
      <c r="F1413" s="3" t="n">
        <f aca="false">IF(C1413="848630",0,1)</f>
        <v>1</v>
      </c>
    </row>
    <row r="1414" customFormat="false" ht="15" hidden="false" customHeight="false" outlineLevel="0" collapsed="false">
      <c r="A1414" s="12" t="n">
        <v>45992</v>
      </c>
      <c r="B1414" s="9" t="s">
        <v>96</v>
      </c>
      <c r="C1414" s="3" t="s">
        <v>111</v>
      </c>
      <c r="D1414" s="3" t="n">
        <v>1296240</v>
      </c>
      <c r="E1414" s="3" t="s">
        <v>114</v>
      </c>
      <c r="F1414" s="3" t="n">
        <f aca="false">IF(C1414="848630",0,1)</f>
        <v>1</v>
      </c>
    </row>
    <row r="1415" customFormat="false" ht="15" hidden="false" customHeight="false" outlineLevel="0" collapsed="false">
      <c r="A1415" s="12" t="n">
        <v>45992</v>
      </c>
      <c r="B1415" s="9" t="s">
        <v>96</v>
      </c>
      <c r="C1415" s="3" t="s">
        <v>111</v>
      </c>
      <c r="D1415" s="3" t="n">
        <v>725095</v>
      </c>
      <c r="E1415" s="3" t="s">
        <v>114</v>
      </c>
      <c r="F1415" s="3" t="n">
        <f aca="false">IF(C1415="848630",0,1)</f>
        <v>1</v>
      </c>
    </row>
    <row r="1416" customFormat="false" ht="15" hidden="false" customHeight="false" outlineLevel="0" collapsed="false">
      <c r="A1416" s="12" t="n">
        <v>45992</v>
      </c>
      <c r="B1416" s="9" t="s">
        <v>96</v>
      </c>
      <c r="C1416" s="3" t="s">
        <v>111</v>
      </c>
      <c r="D1416" s="3" t="n">
        <v>290298</v>
      </c>
      <c r="E1416" s="3" t="s">
        <v>114</v>
      </c>
      <c r="F1416" s="3" t="n">
        <f aca="false">IF(C1416="848630",0,1)</f>
        <v>1</v>
      </c>
    </row>
    <row r="1417" customFormat="false" ht="15" hidden="false" customHeight="false" outlineLevel="0" collapsed="false">
      <c r="A1417" s="12" t="n">
        <v>46023</v>
      </c>
      <c r="B1417" s="9" t="s">
        <v>96</v>
      </c>
      <c r="C1417" s="3" t="s">
        <v>105</v>
      </c>
      <c r="D1417" s="3" t="n">
        <v>16915544</v>
      </c>
      <c r="E1417" s="3" t="s">
        <v>114</v>
      </c>
      <c r="F1417" s="3" t="n">
        <f aca="false">IF(C1417="848630",0,1)</f>
        <v>1</v>
      </c>
    </row>
    <row r="1418" customFormat="false" ht="15" hidden="false" customHeight="false" outlineLevel="0" collapsed="false">
      <c r="A1418" s="12" t="n">
        <v>46023</v>
      </c>
      <c r="B1418" s="9" t="s">
        <v>96</v>
      </c>
      <c r="C1418" s="3" t="s">
        <v>107</v>
      </c>
      <c r="D1418" s="3" t="n">
        <v>82004695</v>
      </c>
      <c r="E1418" s="3" t="s">
        <v>114</v>
      </c>
      <c r="F1418" s="3" t="n">
        <f aca="false">IF(C1418="848630",0,1)</f>
        <v>1</v>
      </c>
    </row>
    <row r="1419" customFormat="false" ht="15" hidden="false" customHeight="false" outlineLevel="0" collapsed="false">
      <c r="A1419" s="12" t="n">
        <v>46023</v>
      </c>
      <c r="B1419" s="9" t="s">
        <v>96</v>
      </c>
      <c r="C1419" s="3" t="s">
        <v>112</v>
      </c>
      <c r="D1419" s="3" t="n">
        <v>51297</v>
      </c>
      <c r="E1419" s="3" t="s">
        <v>114</v>
      </c>
      <c r="F1419" s="3" t="n">
        <f aca="false">IF(C1419="848630",0,1)</f>
        <v>0</v>
      </c>
    </row>
    <row r="1420" customFormat="false" ht="15" hidden="false" customHeight="false" outlineLevel="0" collapsed="false">
      <c r="A1420" s="12" t="n">
        <v>46023</v>
      </c>
      <c r="B1420" s="9" t="s">
        <v>96</v>
      </c>
      <c r="C1420" s="3" t="s">
        <v>108</v>
      </c>
      <c r="D1420" s="3" t="n">
        <v>516422</v>
      </c>
      <c r="E1420" s="3" t="s">
        <v>114</v>
      </c>
      <c r="F1420" s="3" t="n">
        <f aca="false">IF(C1420="848630",0,1)</f>
        <v>1</v>
      </c>
    </row>
    <row r="1421" customFormat="false" ht="15" hidden="false" customHeight="false" outlineLevel="0" collapsed="false">
      <c r="A1421" s="12" t="n">
        <v>46023</v>
      </c>
      <c r="B1421" s="9" t="s">
        <v>96</v>
      </c>
      <c r="C1421" s="3" t="s">
        <v>108</v>
      </c>
      <c r="D1421" s="3" t="n">
        <v>247626</v>
      </c>
      <c r="E1421" s="3" t="s">
        <v>114</v>
      </c>
      <c r="F1421" s="3" t="n">
        <f aca="false">IF(C1421="848630",0,1)</f>
        <v>1</v>
      </c>
    </row>
    <row r="1422" customFormat="false" ht="15" hidden="false" customHeight="false" outlineLevel="0" collapsed="false">
      <c r="A1422" s="12" t="n">
        <v>46023</v>
      </c>
      <c r="B1422" s="9" t="s">
        <v>96</v>
      </c>
      <c r="C1422" s="3" t="s">
        <v>108</v>
      </c>
      <c r="D1422" s="3" t="n">
        <v>48292199</v>
      </c>
      <c r="E1422" s="3" t="s">
        <v>114</v>
      </c>
      <c r="F1422" s="3" t="n">
        <f aca="false">IF(C1422="848630",0,1)</f>
        <v>1</v>
      </c>
    </row>
    <row r="1423" customFormat="false" ht="15" hidden="false" customHeight="false" outlineLevel="0" collapsed="false">
      <c r="A1423" s="12" t="n">
        <v>46023</v>
      </c>
      <c r="B1423" s="9" t="s">
        <v>96</v>
      </c>
      <c r="C1423" s="3" t="s">
        <v>109</v>
      </c>
      <c r="D1423" s="3" t="n">
        <v>150751258</v>
      </c>
      <c r="E1423" s="3" t="s">
        <v>114</v>
      </c>
      <c r="F1423" s="3" t="n">
        <f aca="false">IF(C1423="848630",0,1)</f>
        <v>1</v>
      </c>
    </row>
    <row r="1424" customFormat="false" ht="15" hidden="false" customHeight="false" outlineLevel="0" collapsed="false">
      <c r="A1424" s="12" t="n">
        <v>46023</v>
      </c>
      <c r="B1424" s="9" t="s">
        <v>96</v>
      </c>
      <c r="C1424" s="3" t="s">
        <v>110</v>
      </c>
      <c r="D1424" s="3" t="n">
        <v>6642350</v>
      </c>
      <c r="E1424" s="3" t="s">
        <v>114</v>
      </c>
      <c r="F1424" s="3" t="n">
        <f aca="false">IF(C1424="848630",0,1)</f>
        <v>1</v>
      </c>
    </row>
    <row r="1425" customFormat="false" ht="15" hidden="false" customHeight="false" outlineLevel="0" collapsed="false">
      <c r="A1425" s="12" t="n">
        <v>46023</v>
      </c>
      <c r="B1425" s="9" t="s">
        <v>96</v>
      </c>
      <c r="C1425" s="3" t="s">
        <v>111</v>
      </c>
      <c r="D1425" s="3" t="n">
        <v>5665170</v>
      </c>
      <c r="E1425" s="3" t="s">
        <v>114</v>
      </c>
      <c r="F1425" s="3" t="n">
        <f aca="false">IF(C1425="848630",0,1)</f>
        <v>1</v>
      </c>
    </row>
    <row r="1426" customFormat="false" ht="15" hidden="false" customHeight="false" outlineLevel="0" collapsed="false">
      <c r="A1426" s="12" t="n">
        <v>46023</v>
      </c>
      <c r="B1426" s="9" t="s">
        <v>96</v>
      </c>
      <c r="C1426" s="3" t="s">
        <v>111</v>
      </c>
      <c r="D1426" s="3" t="n">
        <v>546799</v>
      </c>
      <c r="E1426" s="3" t="s">
        <v>114</v>
      </c>
      <c r="F1426" s="3" t="n">
        <f aca="false">IF(C1426="848630",0,1)</f>
        <v>1</v>
      </c>
    </row>
    <row r="1427" customFormat="false" ht="15" hidden="false" customHeight="false" outlineLevel="0" collapsed="false">
      <c r="A1427" s="12" t="n">
        <v>46023</v>
      </c>
      <c r="B1427" s="9" t="s">
        <v>96</v>
      </c>
      <c r="C1427" s="3" t="s">
        <v>111</v>
      </c>
      <c r="D1427" s="3" t="n">
        <v>552920</v>
      </c>
      <c r="E1427" s="3" t="s">
        <v>114</v>
      </c>
      <c r="F1427" s="3" t="n">
        <f aca="false">IF(C1427="848630",0,1)</f>
        <v>1</v>
      </c>
    </row>
    <row r="1428" customFormat="false" ht="15" hidden="false" customHeight="false" outlineLevel="0" collapsed="false">
      <c r="A1428" s="12" t="n">
        <v>46082</v>
      </c>
      <c r="B1428" s="9" t="s">
        <v>96</v>
      </c>
      <c r="C1428" s="3" t="s">
        <v>105</v>
      </c>
      <c r="D1428" s="3" t="n">
        <v>12140290</v>
      </c>
      <c r="E1428" s="3" t="s">
        <v>114</v>
      </c>
      <c r="F1428" s="3" t="n">
        <f aca="false">IF(C1428="848630",0,1)</f>
        <v>1</v>
      </c>
    </row>
    <row r="1429" customFormat="false" ht="15" hidden="false" customHeight="false" outlineLevel="0" collapsed="false">
      <c r="A1429" s="12" t="n">
        <v>46082</v>
      </c>
      <c r="B1429" s="9" t="s">
        <v>96</v>
      </c>
      <c r="C1429" s="3" t="s">
        <v>107</v>
      </c>
      <c r="D1429" s="3" t="n">
        <v>180434793</v>
      </c>
      <c r="E1429" s="3" t="s">
        <v>114</v>
      </c>
      <c r="F1429" s="3" t="n">
        <f aca="false">IF(C1429="848630",0,1)</f>
        <v>1</v>
      </c>
    </row>
    <row r="1430" customFormat="false" ht="15" hidden="false" customHeight="false" outlineLevel="0" collapsed="false">
      <c r="A1430" s="12" t="n">
        <v>46082</v>
      </c>
      <c r="B1430" s="9" t="s">
        <v>96</v>
      </c>
      <c r="C1430" s="3" t="s">
        <v>112</v>
      </c>
      <c r="D1430" s="3" t="n">
        <v>25307</v>
      </c>
      <c r="E1430" s="3" t="s">
        <v>114</v>
      </c>
      <c r="F1430" s="3" t="n">
        <f aca="false">IF(C1430="848630",0,1)</f>
        <v>0</v>
      </c>
    </row>
    <row r="1431" customFormat="false" ht="15" hidden="false" customHeight="false" outlineLevel="0" collapsed="false">
      <c r="A1431" s="12" t="n">
        <v>46082</v>
      </c>
      <c r="B1431" s="9" t="s">
        <v>96</v>
      </c>
      <c r="C1431" s="3" t="s">
        <v>108</v>
      </c>
      <c r="D1431" s="3" t="n">
        <v>100635</v>
      </c>
      <c r="E1431" s="3" t="s">
        <v>114</v>
      </c>
      <c r="F1431" s="3" t="n">
        <f aca="false">IF(C1431="848630",0,1)</f>
        <v>1</v>
      </c>
    </row>
    <row r="1432" customFormat="false" ht="15" hidden="false" customHeight="false" outlineLevel="0" collapsed="false">
      <c r="A1432" s="12" t="n">
        <v>46082</v>
      </c>
      <c r="B1432" s="9" t="s">
        <v>96</v>
      </c>
      <c r="C1432" s="3" t="s">
        <v>108</v>
      </c>
      <c r="D1432" s="3" t="n">
        <v>2018028</v>
      </c>
      <c r="E1432" s="3" t="s">
        <v>114</v>
      </c>
      <c r="F1432" s="3" t="n">
        <f aca="false">IF(C1432="848630",0,1)</f>
        <v>1</v>
      </c>
    </row>
    <row r="1433" customFormat="false" ht="15" hidden="false" customHeight="false" outlineLevel="0" collapsed="false">
      <c r="A1433" s="12" t="n">
        <v>46082</v>
      </c>
      <c r="B1433" s="9" t="s">
        <v>96</v>
      </c>
      <c r="C1433" s="3" t="s">
        <v>108</v>
      </c>
      <c r="D1433" s="3" t="n">
        <v>35725814</v>
      </c>
      <c r="E1433" s="3" t="s">
        <v>114</v>
      </c>
      <c r="F1433" s="3" t="n">
        <f aca="false">IF(C1433="848630",0,1)</f>
        <v>1</v>
      </c>
    </row>
    <row r="1434" customFormat="false" ht="15" hidden="false" customHeight="false" outlineLevel="0" collapsed="false">
      <c r="A1434" s="12" t="n">
        <v>46082</v>
      </c>
      <c r="B1434" s="9" t="s">
        <v>96</v>
      </c>
      <c r="C1434" s="3" t="s">
        <v>109</v>
      </c>
      <c r="D1434" s="3" t="n">
        <v>132115918</v>
      </c>
      <c r="E1434" s="3" t="s">
        <v>114</v>
      </c>
      <c r="F1434" s="3" t="n">
        <f aca="false">IF(C1434="848630",0,1)</f>
        <v>1</v>
      </c>
    </row>
    <row r="1435" customFormat="false" ht="15" hidden="false" customHeight="false" outlineLevel="0" collapsed="false">
      <c r="A1435" s="12" t="n">
        <v>46082</v>
      </c>
      <c r="B1435" s="9" t="s">
        <v>96</v>
      </c>
      <c r="C1435" s="3" t="s">
        <v>110</v>
      </c>
      <c r="D1435" s="3" t="n">
        <v>13501720</v>
      </c>
      <c r="E1435" s="3" t="s">
        <v>114</v>
      </c>
      <c r="F1435" s="3" t="n">
        <f aca="false">IF(C1435="848630",0,1)</f>
        <v>1</v>
      </c>
    </row>
    <row r="1436" customFormat="false" ht="15" hidden="false" customHeight="false" outlineLevel="0" collapsed="false">
      <c r="A1436" s="12" t="n">
        <v>46082</v>
      </c>
      <c r="B1436" s="9" t="s">
        <v>96</v>
      </c>
      <c r="C1436" s="3" t="s">
        <v>111</v>
      </c>
      <c r="D1436" s="3" t="n">
        <v>7300592</v>
      </c>
      <c r="E1436" s="3" t="s">
        <v>114</v>
      </c>
      <c r="F1436" s="3" t="n">
        <f aca="false">IF(C1436="848630",0,1)</f>
        <v>1</v>
      </c>
    </row>
    <row r="1437" customFormat="false" ht="15" hidden="false" customHeight="false" outlineLevel="0" collapsed="false">
      <c r="A1437" s="12" t="n">
        <v>46082</v>
      </c>
      <c r="B1437" s="9" t="s">
        <v>96</v>
      </c>
      <c r="C1437" s="3" t="s">
        <v>111</v>
      </c>
      <c r="D1437" s="3" t="n">
        <v>346279</v>
      </c>
      <c r="E1437" s="3" t="s">
        <v>114</v>
      </c>
      <c r="F1437" s="3" t="n">
        <f aca="false">IF(C1437="848630",0,1)</f>
        <v>1</v>
      </c>
    </row>
    <row r="1438" customFormat="false" ht="15" hidden="false" customHeight="false" outlineLevel="0" collapsed="false">
      <c r="A1438" s="12" t="n">
        <v>46082</v>
      </c>
      <c r="B1438" s="9" t="s">
        <v>96</v>
      </c>
      <c r="C1438" s="3" t="s">
        <v>111</v>
      </c>
      <c r="D1438" s="3" t="n">
        <v>361082</v>
      </c>
      <c r="E1438" s="3" t="s">
        <v>114</v>
      </c>
      <c r="F1438" s="3" t="n">
        <f aca="false">IF(C1438="848630",0,1)</f>
        <v>1</v>
      </c>
    </row>
    <row r="1439" customFormat="false" ht="15" hidden="false" customHeight="false" outlineLevel="0" collapsed="false">
      <c r="A1439" s="12" t="n">
        <v>46113</v>
      </c>
      <c r="B1439" s="9" t="s">
        <v>96</v>
      </c>
      <c r="C1439" s="3" t="s">
        <v>105</v>
      </c>
      <c r="D1439" s="3" t="n">
        <v>1238548</v>
      </c>
      <c r="E1439" s="3" t="s">
        <v>114</v>
      </c>
      <c r="F1439" s="3" t="n">
        <f aca="false">IF(C1439="848630",0,1)</f>
        <v>1</v>
      </c>
    </row>
    <row r="1440" customFormat="false" ht="15" hidden="false" customHeight="false" outlineLevel="0" collapsed="false">
      <c r="A1440" s="12" t="n">
        <v>46113</v>
      </c>
      <c r="B1440" s="9" t="s">
        <v>96</v>
      </c>
      <c r="C1440" s="3" t="s">
        <v>107</v>
      </c>
      <c r="D1440" s="3" t="n">
        <v>232196942</v>
      </c>
      <c r="E1440" s="3" t="s">
        <v>114</v>
      </c>
      <c r="F1440" s="3" t="n">
        <f aca="false">IF(C1440="848630",0,1)</f>
        <v>1</v>
      </c>
    </row>
    <row r="1441" customFormat="false" ht="15" hidden="false" customHeight="false" outlineLevel="0" collapsed="false">
      <c r="A1441" s="12" t="n">
        <v>46113</v>
      </c>
      <c r="B1441" s="9" t="s">
        <v>96</v>
      </c>
      <c r="C1441" s="3" t="s">
        <v>108</v>
      </c>
      <c r="D1441" s="3" t="n">
        <v>105392</v>
      </c>
      <c r="E1441" s="3" t="s">
        <v>114</v>
      </c>
      <c r="F1441" s="3" t="n">
        <f aca="false">IF(C1441="848630",0,1)</f>
        <v>1</v>
      </c>
    </row>
    <row r="1442" customFormat="false" ht="15" hidden="false" customHeight="false" outlineLevel="0" collapsed="false">
      <c r="A1442" s="12" t="n">
        <v>46113</v>
      </c>
      <c r="B1442" s="9" t="s">
        <v>96</v>
      </c>
      <c r="C1442" s="3" t="s">
        <v>108</v>
      </c>
      <c r="D1442" s="3" t="n">
        <v>3591634</v>
      </c>
      <c r="E1442" s="3" t="s">
        <v>114</v>
      </c>
      <c r="F1442" s="3" t="n">
        <f aca="false">IF(C1442="848630",0,1)</f>
        <v>1</v>
      </c>
    </row>
    <row r="1443" customFormat="false" ht="15" hidden="false" customHeight="false" outlineLevel="0" collapsed="false">
      <c r="A1443" s="12" t="n">
        <v>46113</v>
      </c>
      <c r="B1443" s="9" t="s">
        <v>96</v>
      </c>
      <c r="C1443" s="3" t="s">
        <v>108</v>
      </c>
      <c r="D1443" s="3" t="n">
        <v>34515777</v>
      </c>
      <c r="E1443" s="3" t="s">
        <v>114</v>
      </c>
      <c r="F1443" s="3" t="n">
        <f aca="false">IF(C1443="848630",0,1)</f>
        <v>1</v>
      </c>
    </row>
    <row r="1444" customFormat="false" ht="15" hidden="false" customHeight="false" outlineLevel="0" collapsed="false">
      <c r="A1444" s="12" t="n">
        <v>46113</v>
      </c>
      <c r="B1444" s="9" t="s">
        <v>96</v>
      </c>
      <c r="C1444" s="3" t="s">
        <v>109</v>
      </c>
      <c r="D1444" s="3" t="n">
        <v>130950527</v>
      </c>
      <c r="E1444" s="3" t="s">
        <v>114</v>
      </c>
      <c r="F1444" s="3" t="n">
        <f aca="false">IF(C1444="848630",0,1)</f>
        <v>1</v>
      </c>
    </row>
    <row r="1445" customFormat="false" ht="15" hidden="false" customHeight="false" outlineLevel="0" collapsed="false">
      <c r="A1445" s="12" t="n">
        <v>46113</v>
      </c>
      <c r="B1445" s="9" t="s">
        <v>96</v>
      </c>
      <c r="C1445" s="3" t="s">
        <v>110</v>
      </c>
      <c r="D1445" s="3" t="n">
        <v>13738573</v>
      </c>
      <c r="E1445" s="3" t="s">
        <v>114</v>
      </c>
      <c r="F1445" s="3" t="n">
        <f aca="false">IF(C1445="848630",0,1)</f>
        <v>1</v>
      </c>
    </row>
    <row r="1446" customFormat="false" ht="15" hidden="false" customHeight="false" outlineLevel="0" collapsed="false">
      <c r="A1446" s="12" t="n">
        <v>46113</v>
      </c>
      <c r="B1446" s="9" t="s">
        <v>96</v>
      </c>
      <c r="C1446" s="3" t="s">
        <v>111</v>
      </c>
      <c r="D1446" s="3" t="n">
        <v>5269179</v>
      </c>
      <c r="E1446" s="3" t="s">
        <v>114</v>
      </c>
      <c r="F1446" s="3" t="n">
        <f aca="false">IF(C1446="848630",0,1)</f>
        <v>1</v>
      </c>
    </row>
    <row r="1447" customFormat="false" ht="15" hidden="false" customHeight="false" outlineLevel="0" collapsed="false">
      <c r="A1447" s="12" t="n">
        <v>46113</v>
      </c>
      <c r="B1447" s="9" t="s">
        <v>96</v>
      </c>
      <c r="C1447" s="3" t="s">
        <v>111</v>
      </c>
      <c r="D1447" s="3" t="n">
        <v>382956</v>
      </c>
      <c r="E1447" s="3" t="s">
        <v>114</v>
      </c>
      <c r="F1447" s="3" t="n">
        <f aca="false">IF(C1447="848630",0,1)</f>
        <v>1</v>
      </c>
    </row>
    <row r="1448" customFormat="false" ht="15" hidden="false" customHeight="false" outlineLevel="0" collapsed="false">
      <c r="A1448" s="12" t="n">
        <v>46113</v>
      </c>
      <c r="B1448" s="9" t="s">
        <v>96</v>
      </c>
      <c r="C1448" s="3" t="s">
        <v>111</v>
      </c>
      <c r="D1448" s="3" t="n">
        <v>658335</v>
      </c>
      <c r="E1448" s="3" t="s">
        <v>114</v>
      </c>
      <c r="F1448" s="3" t="n">
        <f aca="false">IF(C1448="848630",0,1)</f>
        <v>1</v>
      </c>
    </row>
    <row r="1449" customFormat="false" ht="15" hidden="false" customHeight="false" outlineLevel="0" collapsed="false">
      <c r="A1449" s="12" t="n">
        <v>46143</v>
      </c>
      <c r="B1449" s="9" t="s">
        <v>96</v>
      </c>
      <c r="C1449" s="3" t="s">
        <v>105</v>
      </c>
      <c r="D1449" s="3" t="n">
        <v>6297805</v>
      </c>
      <c r="E1449" s="3" t="s">
        <v>114</v>
      </c>
      <c r="F1449" s="3" t="n">
        <f aca="false">IF(C1449="848630",0,1)</f>
        <v>1</v>
      </c>
    </row>
    <row r="1450" customFormat="false" ht="15" hidden="false" customHeight="false" outlineLevel="0" collapsed="false">
      <c r="A1450" s="12" t="n">
        <v>46143</v>
      </c>
      <c r="B1450" s="9" t="s">
        <v>96</v>
      </c>
      <c r="C1450" s="3" t="s">
        <v>107</v>
      </c>
      <c r="D1450" s="3" t="n">
        <v>179324797</v>
      </c>
      <c r="E1450" s="3" t="s">
        <v>114</v>
      </c>
      <c r="F1450" s="3" t="n">
        <f aca="false">IF(C1450="848630",0,1)</f>
        <v>1</v>
      </c>
    </row>
    <row r="1451" customFormat="false" ht="15" hidden="false" customHeight="false" outlineLevel="0" collapsed="false">
      <c r="A1451" s="12" t="n">
        <v>46143</v>
      </c>
      <c r="B1451" s="9" t="s">
        <v>96</v>
      </c>
      <c r="C1451" s="3" t="s">
        <v>108</v>
      </c>
      <c r="D1451" s="3" t="n">
        <v>14998</v>
      </c>
      <c r="E1451" s="3" t="s">
        <v>114</v>
      </c>
      <c r="F1451" s="3" t="n">
        <f aca="false">IF(C1451="848630",0,1)</f>
        <v>1</v>
      </c>
    </row>
    <row r="1452" customFormat="false" ht="15" hidden="false" customHeight="false" outlineLevel="0" collapsed="false">
      <c r="A1452" s="12" t="n">
        <v>46143</v>
      </c>
      <c r="B1452" s="9" t="s">
        <v>96</v>
      </c>
      <c r="C1452" s="3" t="s">
        <v>108</v>
      </c>
      <c r="D1452" s="3" t="n">
        <v>1742179</v>
      </c>
      <c r="E1452" s="3" t="s">
        <v>114</v>
      </c>
      <c r="F1452" s="3" t="n">
        <f aca="false">IF(C1452="848630",0,1)</f>
        <v>1</v>
      </c>
    </row>
    <row r="1453" customFormat="false" ht="15" hidden="false" customHeight="false" outlineLevel="0" collapsed="false">
      <c r="A1453" s="12" t="n">
        <v>46143</v>
      </c>
      <c r="B1453" s="9" t="s">
        <v>96</v>
      </c>
      <c r="C1453" s="3" t="s">
        <v>108</v>
      </c>
      <c r="D1453" s="3" t="n">
        <v>33661048</v>
      </c>
      <c r="E1453" s="3" t="s">
        <v>114</v>
      </c>
      <c r="F1453" s="3" t="n">
        <f aca="false">IF(C1453="848630",0,1)</f>
        <v>1</v>
      </c>
    </row>
    <row r="1454" customFormat="false" ht="15" hidden="false" customHeight="false" outlineLevel="0" collapsed="false">
      <c r="A1454" s="12" t="n">
        <v>46143</v>
      </c>
      <c r="B1454" s="9" t="s">
        <v>96</v>
      </c>
      <c r="C1454" s="3" t="s">
        <v>109</v>
      </c>
      <c r="D1454" s="3" t="n">
        <v>110335006</v>
      </c>
      <c r="E1454" s="3" t="s">
        <v>114</v>
      </c>
      <c r="F1454" s="3" t="n">
        <f aca="false">IF(C1454="848630",0,1)</f>
        <v>1</v>
      </c>
    </row>
    <row r="1455" customFormat="false" ht="15" hidden="false" customHeight="false" outlineLevel="0" collapsed="false">
      <c r="A1455" s="12" t="n">
        <v>46143</v>
      </c>
      <c r="B1455" s="9" t="s">
        <v>96</v>
      </c>
      <c r="C1455" s="3" t="s">
        <v>110</v>
      </c>
      <c r="D1455" s="3" t="n">
        <v>9604620</v>
      </c>
      <c r="E1455" s="3" t="s">
        <v>114</v>
      </c>
      <c r="F1455" s="3" t="n">
        <f aca="false">IF(C1455="848630",0,1)</f>
        <v>1</v>
      </c>
    </row>
    <row r="1456" customFormat="false" ht="15" hidden="false" customHeight="false" outlineLevel="0" collapsed="false">
      <c r="A1456" s="12" t="n">
        <v>46143</v>
      </c>
      <c r="B1456" s="9" t="s">
        <v>96</v>
      </c>
      <c r="C1456" s="3" t="s">
        <v>111</v>
      </c>
      <c r="D1456" s="3" t="n">
        <v>4730579</v>
      </c>
      <c r="E1456" s="3" t="s">
        <v>114</v>
      </c>
      <c r="F1456" s="3" t="n">
        <f aca="false">IF(C1456="848630",0,1)</f>
        <v>1</v>
      </c>
    </row>
    <row r="1457" customFormat="false" ht="15" hidden="false" customHeight="false" outlineLevel="0" collapsed="false">
      <c r="A1457" s="12" t="n">
        <v>46143</v>
      </c>
      <c r="B1457" s="9" t="s">
        <v>96</v>
      </c>
      <c r="C1457" s="3" t="s">
        <v>111</v>
      </c>
      <c r="D1457" s="3" t="n">
        <v>1800476</v>
      </c>
      <c r="E1457" s="3" t="s">
        <v>114</v>
      </c>
      <c r="F1457" s="3" t="n">
        <f aca="false">IF(C1457="848630",0,1)</f>
        <v>1</v>
      </c>
    </row>
    <row r="1458" customFormat="false" ht="15" hidden="false" customHeight="false" outlineLevel="0" collapsed="false">
      <c r="A1458" s="12" t="n">
        <v>46143</v>
      </c>
      <c r="B1458" s="9" t="s">
        <v>96</v>
      </c>
      <c r="C1458" s="3" t="s">
        <v>111</v>
      </c>
      <c r="D1458" s="3" t="n">
        <v>290232</v>
      </c>
      <c r="E1458" s="3" t="s">
        <v>114</v>
      </c>
      <c r="F1458" s="3" t="n">
        <f aca="false">IF(C1458="848630",0,1)</f>
        <v>1</v>
      </c>
    </row>
    <row r="1459" customFormat="false" ht="15" hidden="false" customHeight="false" outlineLevel="0" collapsed="false">
      <c r="A1459" s="12" t="n">
        <v>46174</v>
      </c>
      <c r="B1459" s="9" t="s">
        <v>96</v>
      </c>
      <c r="C1459" s="3" t="s">
        <v>105</v>
      </c>
      <c r="D1459" s="3" t="n">
        <v>251526</v>
      </c>
      <c r="E1459" s="3" t="s">
        <v>114</v>
      </c>
      <c r="F1459" s="3" t="n">
        <f aca="false">IF(C1459="848630",0,1)</f>
        <v>1</v>
      </c>
    </row>
    <row r="1460" customFormat="false" ht="15" hidden="false" customHeight="false" outlineLevel="0" collapsed="false">
      <c r="A1460" s="12" t="n">
        <v>46174</v>
      </c>
      <c r="B1460" s="9" t="s">
        <v>96</v>
      </c>
      <c r="C1460" s="3" t="s">
        <v>107</v>
      </c>
      <c r="D1460" s="3" t="n">
        <v>170431516</v>
      </c>
      <c r="E1460" s="3" t="s">
        <v>114</v>
      </c>
      <c r="F1460" s="3" t="n">
        <f aca="false">IF(C1460="848630",0,1)</f>
        <v>1</v>
      </c>
    </row>
    <row r="1461" customFormat="false" ht="15" hidden="false" customHeight="false" outlineLevel="0" collapsed="false">
      <c r="A1461" s="12" t="n">
        <v>46174</v>
      </c>
      <c r="B1461" s="9" t="s">
        <v>96</v>
      </c>
      <c r="C1461" s="3" t="s">
        <v>108</v>
      </c>
      <c r="D1461" s="3" t="n">
        <v>1700736</v>
      </c>
      <c r="E1461" s="3" t="s">
        <v>114</v>
      </c>
      <c r="F1461" s="3" t="n">
        <f aca="false">IF(C1461="848630",0,1)</f>
        <v>1</v>
      </c>
    </row>
    <row r="1462" customFormat="false" ht="15" hidden="false" customHeight="false" outlineLevel="0" collapsed="false">
      <c r="A1462" s="12" t="n">
        <v>46174</v>
      </c>
      <c r="B1462" s="9" t="s">
        <v>96</v>
      </c>
      <c r="C1462" s="3" t="s">
        <v>108</v>
      </c>
      <c r="D1462" s="3" t="n">
        <v>687307</v>
      </c>
      <c r="E1462" s="3" t="s">
        <v>114</v>
      </c>
      <c r="F1462" s="3" t="n">
        <f aca="false">IF(C1462="848630",0,1)</f>
        <v>1</v>
      </c>
    </row>
    <row r="1463" customFormat="false" ht="15" hidden="false" customHeight="false" outlineLevel="0" collapsed="false">
      <c r="A1463" s="12" t="n">
        <v>46174</v>
      </c>
      <c r="B1463" s="9" t="s">
        <v>96</v>
      </c>
      <c r="C1463" s="3" t="s">
        <v>108</v>
      </c>
      <c r="D1463" s="3" t="n">
        <v>25762122</v>
      </c>
      <c r="E1463" s="3" t="s">
        <v>114</v>
      </c>
      <c r="F1463" s="3" t="n">
        <f aca="false">IF(C1463="848630",0,1)</f>
        <v>1</v>
      </c>
    </row>
    <row r="1464" customFormat="false" ht="15" hidden="false" customHeight="false" outlineLevel="0" collapsed="false">
      <c r="A1464" s="12" t="n">
        <v>46174</v>
      </c>
      <c r="B1464" s="9" t="s">
        <v>96</v>
      </c>
      <c r="C1464" s="3" t="s">
        <v>109</v>
      </c>
      <c r="D1464" s="3" t="n">
        <v>117055309</v>
      </c>
      <c r="E1464" s="3" t="s">
        <v>114</v>
      </c>
      <c r="F1464" s="3" t="n">
        <f aca="false">IF(C1464="848630",0,1)</f>
        <v>1</v>
      </c>
    </row>
    <row r="1465" customFormat="false" ht="15" hidden="false" customHeight="false" outlineLevel="0" collapsed="false">
      <c r="A1465" s="12" t="n">
        <v>46174</v>
      </c>
      <c r="B1465" s="9" t="s">
        <v>96</v>
      </c>
      <c r="C1465" s="3" t="s">
        <v>110</v>
      </c>
      <c r="D1465" s="3" t="n">
        <v>12956033</v>
      </c>
      <c r="E1465" s="3" t="s">
        <v>114</v>
      </c>
      <c r="F1465" s="3" t="n">
        <f aca="false">IF(C1465="848630",0,1)</f>
        <v>1</v>
      </c>
    </row>
    <row r="1466" customFormat="false" ht="15" hidden="false" customHeight="false" outlineLevel="0" collapsed="false">
      <c r="A1466" s="12" t="n">
        <v>46174</v>
      </c>
      <c r="B1466" s="9" t="s">
        <v>96</v>
      </c>
      <c r="C1466" s="3" t="s">
        <v>111</v>
      </c>
      <c r="D1466" s="3" t="n">
        <v>4534944</v>
      </c>
      <c r="E1466" s="3" t="s">
        <v>114</v>
      </c>
      <c r="F1466" s="3" t="n">
        <f aca="false">IF(C1466="848630",0,1)</f>
        <v>1</v>
      </c>
    </row>
    <row r="1467" customFormat="false" ht="15" hidden="false" customHeight="false" outlineLevel="0" collapsed="false">
      <c r="A1467" s="12" t="n">
        <v>46174</v>
      </c>
      <c r="B1467" s="9" t="s">
        <v>96</v>
      </c>
      <c r="C1467" s="3" t="s">
        <v>111</v>
      </c>
      <c r="D1467" s="3" t="n">
        <v>1217914</v>
      </c>
      <c r="E1467" s="3" t="s">
        <v>114</v>
      </c>
      <c r="F1467" s="3" t="n">
        <f aca="false">IF(C1467="848630",0,1)</f>
        <v>1</v>
      </c>
    </row>
    <row r="1468" customFormat="false" ht="15" hidden="false" customHeight="false" outlineLevel="0" collapsed="false">
      <c r="A1468" s="12" t="n">
        <v>46174</v>
      </c>
      <c r="B1468" s="9" t="s">
        <v>96</v>
      </c>
      <c r="C1468" s="3" t="s">
        <v>111</v>
      </c>
      <c r="D1468" s="3" t="n">
        <v>2594166</v>
      </c>
      <c r="E1468" s="3" t="s">
        <v>114</v>
      </c>
      <c r="F1468" s="3" t="n">
        <f aca="false">IF(C1468="848630",0,1)</f>
        <v>1</v>
      </c>
    </row>
    <row r="1469" customFormat="false" ht="15" hidden="false" customHeight="false" outlineLevel="0" collapsed="false">
      <c r="A1469" s="12" t="n">
        <v>46204</v>
      </c>
      <c r="B1469" s="9" t="s">
        <v>96</v>
      </c>
      <c r="C1469" s="3" t="s">
        <v>105</v>
      </c>
      <c r="D1469" s="3" t="n">
        <v>550804</v>
      </c>
      <c r="E1469" s="3" t="s">
        <v>114</v>
      </c>
      <c r="F1469" s="3" t="n">
        <f aca="false">IF(C1469="848630",0,1)</f>
        <v>1</v>
      </c>
    </row>
    <row r="1470" customFormat="false" ht="15" hidden="false" customHeight="false" outlineLevel="0" collapsed="false">
      <c r="A1470" s="12" t="n">
        <v>46204</v>
      </c>
      <c r="B1470" s="9" t="s">
        <v>96</v>
      </c>
      <c r="C1470" s="3" t="s">
        <v>107</v>
      </c>
      <c r="D1470" s="3" t="n">
        <v>124079561</v>
      </c>
      <c r="E1470" s="3" t="s">
        <v>114</v>
      </c>
      <c r="F1470" s="3" t="n">
        <f aca="false">IF(C1470="848630",0,1)</f>
        <v>1</v>
      </c>
    </row>
    <row r="1471" customFormat="false" ht="15" hidden="false" customHeight="false" outlineLevel="0" collapsed="false">
      <c r="A1471" s="12" t="n">
        <v>46204</v>
      </c>
      <c r="B1471" s="9" t="s">
        <v>96</v>
      </c>
      <c r="C1471" s="3" t="s">
        <v>108</v>
      </c>
      <c r="D1471" s="3" t="n">
        <v>4828320</v>
      </c>
      <c r="E1471" s="3" t="s">
        <v>114</v>
      </c>
      <c r="F1471" s="3" t="n">
        <f aca="false">IF(C1471="848630",0,1)</f>
        <v>1</v>
      </c>
    </row>
    <row r="1472" customFormat="false" ht="15" hidden="false" customHeight="false" outlineLevel="0" collapsed="false">
      <c r="A1472" s="12" t="n">
        <v>46204</v>
      </c>
      <c r="B1472" s="9" t="s">
        <v>96</v>
      </c>
      <c r="C1472" s="3" t="s">
        <v>108</v>
      </c>
      <c r="D1472" s="3" t="n">
        <v>4162649</v>
      </c>
      <c r="E1472" s="3" t="s">
        <v>114</v>
      </c>
      <c r="F1472" s="3" t="n">
        <f aca="false">IF(C1472="848630",0,1)</f>
        <v>1</v>
      </c>
    </row>
    <row r="1473" customFormat="false" ht="15" hidden="false" customHeight="false" outlineLevel="0" collapsed="false">
      <c r="A1473" s="12" t="n">
        <v>46204</v>
      </c>
      <c r="B1473" s="9" t="s">
        <v>96</v>
      </c>
      <c r="C1473" s="3" t="s">
        <v>108</v>
      </c>
      <c r="D1473" s="3" t="n">
        <v>40141464</v>
      </c>
      <c r="E1473" s="3" t="s">
        <v>114</v>
      </c>
      <c r="F1473" s="3" t="n">
        <f aca="false">IF(C1473="848630",0,1)</f>
        <v>1</v>
      </c>
    </row>
    <row r="1474" customFormat="false" ht="15" hidden="false" customHeight="false" outlineLevel="0" collapsed="false">
      <c r="A1474" s="12" t="n">
        <v>46204</v>
      </c>
      <c r="B1474" s="9" t="s">
        <v>96</v>
      </c>
      <c r="C1474" s="3" t="s">
        <v>109</v>
      </c>
      <c r="D1474" s="3" t="n">
        <v>116306471</v>
      </c>
      <c r="E1474" s="3" t="s">
        <v>114</v>
      </c>
      <c r="F1474" s="3" t="n">
        <f aca="false">IF(C1474="848630",0,1)</f>
        <v>1</v>
      </c>
    </row>
    <row r="1475" customFormat="false" ht="15" hidden="false" customHeight="false" outlineLevel="0" collapsed="false">
      <c r="A1475" s="12" t="n">
        <v>46204</v>
      </c>
      <c r="B1475" s="9" t="s">
        <v>96</v>
      </c>
      <c r="C1475" s="3" t="s">
        <v>110</v>
      </c>
      <c r="D1475" s="3" t="n">
        <v>13660738</v>
      </c>
      <c r="E1475" s="3" t="s">
        <v>114</v>
      </c>
      <c r="F1475" s="3" t="n">
        <f aca="false">IF(C1475="848630",0,1)</f>
        <v>1</v>
      </c>
    </row>
    <row r="1476" customFormat="false" ht="15" hidden="false" customHeight="false" outlineLevel="0" collapsed="false">
      <c r="A1476" s="12" t="n">
        <v>46204</v>
      </c>
      <c r="B1476" s="9" t="s">
        <v>96</v>
      </c>
      <c r="C1476" s="3" t="s">
        <v>111</v>
      </c>
      <c r="D1476" s="3" t="n">
        <v>12813954</v>
      </c>
      <c r="E1476" s="3" t="s">
        <v>114</v>
      </c>
      <c r="F1476" s="3" t="n">
        <f aca="false">IF(C1476="848630",0,1)</f>
        <v>1</v>
      </c>
    </row>
    <row r="1477" customFormat="false" ht="15" hidden="false" customHeight="false" outlineLevel="0" collapsed="false">
      <c r="A1477" s="12" t="n">
        <v>46204</v>
      </c>
      <c r="B1477" s="9" t="s">
        <v>96</v>
      </c>
      <c r="C1477" s="3" t="s">
        <v>111</v>
      </c>
      <c r="D1477" s="3" t="n">
        <v>2344996</v>
      </c>
      <c r="E1477" s="3" t="s">
        <v>114</v>
      </c>
      <c r="F1477" s="3" t="n">
        <f aca="false">IF(C1477="848630",0,1)</f>
        <v>1</v>
      </c>
    </row>
    <row r="1478" customFormat="false" ht="15" hidden="false" customHeight="false" outlineLevel="0" collapsed="false">
      <c r="A1478" s="12" t="n">
        <v>46204</v>
      </c>
      <c r="B1478" s="9" t="s">
        <v>96</v>
      </c>
      <c r="C1478" s="3" t="s">
        <v>111</v>
      </c>
      <c r="D1478" s="3" t="n">
        <v>190909</v>
      </c>
      <c r="E1478" s="3" t="s">
        <v>114</v>
      </c>
      <c r="F1478" s="3" t="n">
        <f aca="false">IF(C1478="848630",0,1)</f>
        <v>1</v>
      </c>
    </row>
    <row r="1479" customFormat="false" ht="15" hidden="false" customHeight="false" outlineLevel="0" collapsed="false">
      <c r="A1479" s="12" t="n">
        <v>44927</v>
      </c>
      <c r="B1479" s="9" t="s">
        <v>93</v>
      </c>
      <c r="C1479" s="3" t="s">
        <v>105</v>
      </c>
      <c r="D1479" s="3" t="n">
        <v>0</v>
      </c>
      <c r="E1479" s="3" t="s">
        <v>114</v>
      </c>
      <c r="F1479" s="3" t="n">
        <f aca="false">IF(C1479="848630",0,1)</f>
        <v>1</v>
      </c>
    </row>
    <row r="1480" customFormat="false" ht="15" hidden="false" customHeight="false" outlineLevel="0" collapsed="false">
      <c r="A1480" s="12" t="n">
        <v>44927</v>
      </c>
      <c r="B1480" s="9" t="s">
        <v>93</v>
      </c>
      <c r="C1480" s="3" t="s">
        <v>105</v>
      </c>
      <c r="D1480" s="3" t="n">
        <v>2303000</v>
      </c>
      <c r="E1480" s="3" t="s">
        <v>114</v>
      </c>
      <c r="F1480" s="3" t="n">
        <f aca="false">IF(C1480="848630",0,1)</f>
        <v>1</v>
      </c>
    </row>
    <row r="1481" customFormat="false" ht="15" hidden="false" customHeight="false" outlineLevel="0" collapsed="false">
      <c r="A1481" s="12" t="n">
        <v>44927</v>
      </c>
      <c r="B1481" s="9" t="s">
        <v>93</v>
      </c>
      <c r="C1481" s="3" t="s">
        <v>105</v>
      </c>
      <c r="D1481" s="3" t="n">
        <v>2975000</v>
      </c>
      <c r="E1481" s="3" t="s">
        <v>114</v>
      </c>
      <c r="F1481" s="3" t="n">
        <f aca="false">IF(C1481="848630",0,1)</f>
        <v>1</v>
      </c>
    </row>
    <row r="1482" customFormat="false" ht="15" hidden="false" customHeight="false" outlineLevel="0" collapsed="false">
      <c r="A1482" s="12" t="n">
        <v>44927</v>
      </c>
      <c r="B1482" s="9" t="s">
        <v>93</v>
      </c>
      <c r="C1482" s="3" t="s">
        <v>105</v>
      </c>
      <c r="D1482" s="3" t="n">
        <v>120000</v>
      </c>
      <c r="E1482" s="3" t="s">
        <v>114</v>
      </c>
      <c r="F1482" s="3" t="n">
        <f aca="false">IF(C1482="848630",0,1)</f>
        <v>1</v>
      </c>
    </row>
    <row r="1483" customFormat="false" ht="15" hidden="false" customHeight="false" outlineLevel="0" collapsed="false">
      <c r="A1483" s="12" t="n">
        <v>44927</v>
      </c>
      <c r="B1483" s="9" t="s">
        <v>93</v>
      </c>
      <c r="C1483" s="3" t="s">
        <v>105</v>
      </c>
      <c r="D1483" s="3" t="n">
        <v>0</v>
      </c>
      <c r="E1483" s="3" t="s">
        <v>114</v>
      </c>
      <c r="F1483" s="3" t="n">
        <f aca="false">IF(C1483="848630",0,1)</f>
        <v>1</v>
      </c>
    </row>
    <row r="1484" customFormat="false" ht="15" hidden="false" customHeight="false" outlineLevel="0" collapsed="false">
      <c r="A1484" s="12" t="n">
        <v>44927</v>
      </c>
      <c r="B1484" s="9" t="s">
        <v>93</v>
      </c>
      <c r="C1484" s="3" t="s">
        <v>107</v>
      </c>
      <c r="D1484" s="3" t="n">
        <v>0</v>
      </c>
      <c r="E1484" s="3" t="s">
        <v>114</v>
      </c>
      <c r="F1484" s="3" t="n">
        <f aca="false">IF(C1484="848630",0,1)</f>
        <v>1</v>
      </c>
    </row>
    <row r="1485" customFormat="false" ht="15" hidden="false" customHeight="false" outlineLevel="0" collapsed="false">
      <c r="A1485" s="12" t="n">
        <v>44927</v>
      </c>
      <c r="B1485" s="9" t="s">
        <v>93</v>
      </c>
      <c r="C1485" s="3" t="s">
        <v>107</v>
      </c>
      <c r="D1485" s="3" t="n">
        <v>3491000</v>
      </c>
      <c r="E1485" s="3" t="s">
        <v>114</v>
      </c>
      <c r="F1485" s="3" t="n">
        <f aca="false">IF(C1485="848630",0,1)</f>
        <v>1</v>
      </c>
    </row>
    <row r="1486" customFormat="false" ht="15" hidden="false" customHeight="false" outlineLevel="0" collapsed="false">
      <c r="A1486" s="12" t="n">
        <v>44927</v>
      </c>
      <c r="B1486" s="9" t="s">
        <v>93</v>
      </c>
      <c r="C1486" s="3" t="s">
        <v>107</v>
      </c>
      <c r="D1486" s="3" t="n">
        <v>65000</v>
      </c>
      <c r="E1486" s="3" t="s">
        <v>114</v>
      </c>
      <c r="F1486" s="3" t="n">
        <f aca="false">IF(C1486="848630",0,1)</f>
        <v>1</v>
      </c>
    </row>
    <row r="1487" customFormat="false" ht="15" hidden="false" customHeight="false" outlineLevel="0" collapsed="false">
      <c r="A1487" s="12" t="n">
        <v>44927</v>
      </c>
      <c r="B1487" s="9" t="s">
        <v>93</v>
      </c>
      <c r="C1487" s="3" t="s">
        <v>107</v>
      </c>
      <c r="D1487" s="3" t="n">
        <v>3712000</v>
      </c>
      <c r="E1487" s="3" t="s">
        <v>114</v>
      </c>
      <c r="F1487" s="3" t="n">
        <f aca="false">IF(C1487="848630",0,1)</f>
        <v>1</v>
      </c>
    </row>
    <row r="1488" customFormat="false" ht="15" hidden="false" customHeight="false" outlineLevel="0" collapsed="false">
      <c r="A1488" s="12" t="n">
        <v>44927</v>
      </c>
      <c r="B1488" s="9" t="s">
        <v>93</v>
      </c>
      <c r="C1488" s="3" t="s">
        <v>107</v>
      </c>
      <c r="D1488" s="3" t="n">
        <v>9000</v>
      </c>
      <c r="E1488" s="3" t="s">
        <v>114</v>
      </c>
      <c r="F1488" s="3" t="n">
        <f aca="false">IF(C1488="848630",0,1)</f>
        <v>1</v>
      </c>
    </row>
    <row r="1489" customFormat="false" ht="15" hidden="false" customHeight="false" outlineLevel="0" collapsed="false">
      <c r="A1489" s="12" t="n">
        <v>44927</v>
      </c>
      <c r="B1489" s="9" t="s">
        <v>93</v>
      </c>
      <c r="C1489" s="3" t="s">
        <v>107</v>
      </c>
      <c r="D1489" s="3" t="n">
        <v>62817000</v>
      </c>
      <c r="E1489" s="3" t="s">
        <v>114</v>
      </c>
      <c r="F1489" s="3" t="n">
        <f aca="false">IF(C1489="848630",0,1)</f>
        <v>1</v>
      </c>
    </row>
    <row r="1490" customFormat="false" ht="15" hidden="false" customHeight="false" outlineLevel="0" collapsed="false">
      <c r="A1490" s="12" t="n">
        <v>44927</v>
      </c>
      <c r="B1490" s="9" t="s">
        <v>93</v>
      </c>
      <c r="C1490" s="3" t="s">
        <v>107</v>
      </c>
      <c r="D1490" s="3" t="n">
        <v>1261000</v>
      </c>
      <c r="E1490" s="3" t="s">
        <v>114</v>
      </c>
      <c r="F1490" s="3" t="n">
        <f aca="false">IF(C1490="848630",0,1)</f>
        <v>1</v>
      </c>
    </row>
    <row r="1491" customFormat="false" ht="15" hidden="false" customHeight="false" outlineLevel="0" collapsed="false">
      <c r="A1491" s="12" t="n">
        <v>44927</v>
      </c>
      <c r="B1491" s="9" t="s">
        <v>93</v>
      </c>
      <c r="C1491" s="3" t="s">
        <v>107</v>
      </c>
      <c r="D1491" s="3" t="n">
        <v>3760000</v>
      </c>
      <c r="E1491" s="3" t="s">
        <v>114</v>
      </c>
      <c r="F1491" s="3" t="n">
        <f aca="false">IF(C1491="848630",0,1)</f>
        <v>1</v>
      </c>
    </row>
    <row r="1492" customFormat="false" ht="15" hidden="false" customHeight="false" outlineLevel="0" collapsed="false">
      <c r="A1492" s="12" t="n">
        <v>44927</v>
      </c>
      <c r="B1492" s="9" t="s">
        <v>93</v>
      </c>
      <c r="C1492" s="3" t="s">
        <v>107</v>
      </c>
      <c r="D1492" s="3" t="n">
        <v>9365000</v>
      </c>
      <c r="E1492" s="3" t="s">
        <v>114</v>
      </c>
      <c r="F1492" s="3" t="n">
        <f aca="false">IF(C1492="848630",0,1)</f>
        <v>1</v>
      </c>
    </row>
    <row r="1493" customFormat="false" ht="15" hidden="false" customHeight="false" outlineLevel="0" collapsed="false">
      <c r="A1493" s="12" t="n">
        <v>44927</v>
      </c>
      <c r="B1493" s="9" t="s">
        <v>93</v>
      </c>
      <c r="C1493" s="3" t="s">
        <v>107</v>
      </c>
      <c r="D1493" s="3" t="n">
        <v>20373000</v>
      </c>
      <c r="E1493" s="3" t="s">
        <v>114</v>
      </c>
      <c r="F1493" s="3" t="n">
        <f aca="false">IF(C1493="848630",0,1)</f>
        <v>1</v>
      </c>
    </row>
    <row r="1494" customFormat="false" ht="15" hidden="false" customHeight="false" outlineLevel="0" collapsed="false">
      <c r="A1494" s="12" t="n">
        <v>44927</v>
      </c>
      <c r="B1494" s="9" t="s">
        <v>93</v>
      </c>
      <c r="C1494" s="3" t="s">
        <v>107</v>
      </c>
      <c r="D1494" s="3" t="n">
        <v>0</v>
      </c>
      <c r="E1494" s="3" t="s">
        <v>114</v>
      </c>
      <c r="F1494" s="3" t="n">
        <f aca="false">IF(C1494="848630",0,1)</f>
        <v>1</v>
      </c>
    </row>
    <row r="1495" customFormat="false" ht="15" hidden="false" customHeight="false" outlineLevel="0" collapsed="false">
      <c r="A1495" s="12" t="n">
        <v>44927</v>
      </c>
      <c r="B1495" s="9" t="s">
        <v>93</v>
      </c>
      <c r="C1495" s="3" t="s">
        <v>107</v>
      </c>
      <c r="D1495" s="3" t="n">
        <v>40482000</v>
      </c>
      <c r="E1495" s="3" t="s">
        <v>114</v>
      </c>
      <c r="F1495" s="3" t="n">
        <f aca="false">IF(C1495="848630",0,1)</f>
        <v>1</v>
      </c>
    </row>
    <row r="1496" customFormat="false" ht="15" hidden="false" customHeight="false" outlineLevel="0" collapsed="false">
      <c r="A1496" s="12" t="n">
        <v>44927</v>
      </c>
      <c r="B1496" s="9" t="s">
        <v>93</v>
      </c>
      <c r="C1496" s="3" t="s">
        <v>107</v>
      </c>
      <c r="D1496" s="3" t="n">
        <v>21000</v>
      </c>
      <c r="E1496" s="3" t="s">
        <v>114</v>
      </c>
      <c r="F1496" s="3" t="n">
        <f aca="false">IF(C1496="848630",0,1)</f>
        <v>1</v>
      </c>
    </row>
    <row r="1497" customFormat="false" ht="15" hidden="false" customHeight="false" outlineLevel="0" collapsed="false">
      <c r="A1497" s="12" t="n">
        <v>44927</v>
      </c>
      <c r="B1497" s="9" t="s">
        <v>93</v>
      </c>
      <c r="C1497" s="3" t="s">
        <v>107</v>
      </c>
      <c r="D1497" s="3" t="n">
        <v>36600000</v>
      </c>
      <c r="E1497" s="3" t="s">
        <v>114</v>
      </c>
      <c r="F1497" s="3" t="n">
        <f aca="false">IF(C1497="848630",0,1)</f>
        <v>1</v>
      </c>
    </row>
    <row r="1498" customFormat="false" ht="15" hidden="false" customHeight="false" outlineLevel="0" collapsed="false">
      <c r="A1498" s="12" t="n">
        <v>44927</v>
      </c>
      <c r="B1498" s="9" t="s">
        <v>93</v>
      </c>
      <c r="C1498" s="3" t="s">
        <v>107</v>
      </c>
      <c r="D1498" s="3" t="n">
        <v>7300000</v>
      </c>
      <c r="E1498" s="3" t="s">
        <v>114</v>
      </c>
      <c r="F1498" s="3" t="n">
        <f aca="false">IF(C1498="848630",0,1)</f>
        <v>1</v>
      </c>
    </row>
    <row r="1499" customFormat="false" ht="15" hidden="false" customHeight="false" outlineLevel="0" collapsed="false">
      <c r="A1499" s="12" t="n">
        <v>44927</v>
      </c>
      <c r="B1499" s="9" t="s">
        <v>93</v>
      </c>
      <c r="C1499" s="3" t="s">
        <v>107</v>
      </c>
      <c r="D1499" s="3" t="n">
        <v>65000</v>
      </c>
      <c r="E1499" s="3" t="s">
        <v>114</v>
      </c>
      <c r="F1499" s="3" t="n">
        <f aca="false">IF(C1499="848630",0,1)</f>
        <v>1</v>
      </c>
    </row>
    <row r="1500" customFormat="false" ht="15" hidden="false" customHeight="false" outlineLevel="0" collapsed="false">
      <c r="A1500" s="12" t="n">
        <v>44927</v>
      </c>
      <c r="B1500" s="9" t="s">
        <v>93</v>
      </c>
      <c r="C1500" s="3" t="s">
        <v>107</v>
      </c>
      <c r="D1500" s="3" t="n">
        <v>2020000</v>
      </c>
      <c r="E1500" s="3" t="s">
        <v>114</v>
      </c>
      <c r="F1500" s="3" t="n">
        <f aca="false">IF(C1500="848630",0,1)</f>
        <v>1</v>
      </c>
    </row>
    <row r="1501" customFormat="false" ht="15" hidden="false" customHeight="false" outlineLevel="0" collapsed="false">
      <c r="A1501" s="12" t="n">
        <v>44927</v>
      </c>
      <c r="B1501" s="9" t="s">
        <v>93</v>
      </c>
      <c r="C1501" s="3" t="s">
        <v>107</v>
      </c>
      <c r="D1501" s="3" t="n">
        <v>221000</v>
      </c>
      <c r="E1501" s="3" t="s">
        <v>114</v>
      </c>
      <c r="F1501" s="3" t="n">
        <f aca="false">IF(C1501="848630",0,1)</f>
        <v>1</v>
      </c>
    </row>
    <row r="1502" customFormat="false" ht="15" hidden="false" customHeight="false" outlineLevel="0" collapsed="false">
      <c r="A1502" s="12" t="n">
        <v>44927</v>
      </c>
      <c r="B1502" s="9" t="s">
        <v>93</v>
      </c>
      <c r="C1502" s="3" t="s">
        <v>112</v>
      </c>
      <c r="D1502" s="3" t="n">
        <v>10676000</v>
      </c>
      <c r="E1502" s="3" t="s">
        <v>114</v>
      </c>
      <c r="F1502" s="3" t="n">
        <f aca="false">IF(C1502="848630",0,1)</f>
        <v>0</v>
      </c>
    </row>
    <row r="1503" customFormat="false" ht="15" hidden="false" customHeight="false" outlineLevel="0" collapsed="false">
      <c r="A1503" s="12" t="n">
        <v>44927</v>
      </c>
      <c r="B1503" s="9" t="s">
        <v>93</v>
      </c>
      <c r="C1503" s="3" t="s">
        <v>112</v>
      </c>
      <c r="D1503" s="3" t="n">
        <v>19000</v>
      </c>
      <c r="E1503" s="3" t="s">
        <v>114</v>
      </c>
      <c r="F1503" s="3" t="n">
        <f aca="false">IF(C1503="848630",0,1)</f>
        <v>0</v>
      </c>
    </row>
    <row r="1504" customFormat="false" ht="15" hidden="false" customHeight="false" outlineLevel="0" collapsed="false">
      <c r="A1504" s="12" t="n">
        <v>44927</v>
      </c>
      <c r="B1504" s="9" t="s">
        <v>93</v>
      </c>
      <c r="C1504" s="3" t="s">
        <v>112</v>
      </c>
      <c r="D1504" s="3" t="n">
        <v>0</v>
      </c>
      <c r="E1504" s="3" t="s">
        <v>114</v>
      </c>
      <c r="F1504" s="3" t="n">
        <f aca="false">IF(C1504="848630",0,1)</f>
        <v>0</v>
      </c>
    </row>
    <row r="1505" customFormat="false" ht="15" hidden="false" customHeight="false" outlineLevel="0" collapsed="false">
      <c r="A1505" s="12" t="n">
        <v>44927</v>
      </c>
      <c r="B1505" s="9" t="s">
        <v>93</v>
      </c>
      <c r="C1505" s="3" t="s">
        <v>112</v>
      </c>
      <c r="D1505" s="3" t="n">
        <v>0</v>
      </c>
      <c r="E1505" s="3" t="s">
        <v>114</v>
      </c>
      <c r="F1505" s="3" t="n">
        <f aca="false">IF(C1505="848630",0,1)</f>
        <v>0</v>
      </c>
    </row>
    <row r="1506" customFormat="false" ht="15" hidden="false" customHeight="false" outlineLevel="0" collapsed="false">
      <c r="A1506" s="12" t="n">
        <v>44927</v>
      </c>
      <c r="B1506" s="9" t="s">
        <v>93</v>
      </c>
      <c r="C1506" s="3" t="s">
        <v>112</v>
      </c>
      <c r="D1506" s="3" t="n">
        <v>0</v>
      </c>
      <c r="E1506" s="3" t="s">
        <v>114</v>
      </c>
      <c r="F1506" s="3" t="n">
        <f aca="false">IF(C1506="848630",0,1)</f>
        <v>0</v>
      </c>
    </row>
    <row r="1507" customFormat="false" ht="15" hidden="false" customHeight="false" outlineLevel="0" collapsed="false">
      <c r="A1507" s="12" t="n">
        <v>44927</v>
      </c>
      <c r="B1507" s="9" t="s">
        <v>93</v>
      </c>
      <c r="C1507" s="3" t="s">
        <v>108</v>
      </c>
      <c r="D1507" s="3" t="n">
        <v>2000</v>
      </c>
      <c r="E1507" s="3" t="s">
        <v>114</v>
      </c>
      <c r="F1507" s="3" t="n">
        <f aca="false">IF(C1507="848630",0,1)</f>
        <v>1</v>
      </c>
    </row>
    <row r="1508" customFormat="false" ht="15" hidden="false" customHeight="false" outlineLevel="0" collapsed="false">
      <c r="A1508" s="12" t="n">
        <v>44927</v>
      </c>
      <c r="B1508" s="9" t="s">
        <v>93</v>
      </c>
      <c r="C1508" s="3" t="s">
        <v>108</v>
      </c>
      <c r="D1508" s="3" t="n">
        <v>3157000</v>
      </c>
      <c r="E1508" s="3" t="s">
        <v>114</v>
      </c>
      <c r="F1508" s="3" t="n">
        <f aca="false">IF(C1508="848630",0,1)</f>
        <v>1</v>
      </c>
    </row>
    <row r="1509" customFormat="false" ht="15" hidden="false" customHeight="false" outlineLevel="0" collapsed="false">
      <c r="A1509" s="12" t="n">
        <v>44927</v>
      </c>
      <c r="B1509" s="9" t="s">
        <v>93</v>
      </c>
      <c r="C1509" s="3" t="s">
        <v>108</v>
      </c>
      <c r="D1509" s="3" t="n">
        <v>0</v>
      </c>
      <c r="E1509" s="3" t="s">
        <v>114</v>
      </c>
      <c r="F1509" s="3" t="n">
        <f aca="false">IF(C1509="848630",0,1)</f>
        <v>1</v>
      </c>
    </row>
    <row r="1510" customFormat="false" ht="15" hidden="false" customHeight="false" outlineLevel="0" collapsed="false">
      <c r="A1510" s="12" t="n">
        <v>44927</v>
      </c>
      <c r="B1510" s="9" t="s">
        <v>93</v>
      </c>
      <c r="C1510" s="3" t="s">
        <v>108</v>
      </c>
      <c r="D1510" s="3" t="n">
        <v>0</v>
      </c>
      <c r="E1510" s="3" t="s">
        <v>114</v>
      </c>
      <c r="F1510" s="3" t="n">
        <f aca="false">IF(C1510="848630",0,1)</f>
        <v>1</v>
      </c>
    </row>
    <row r="1511" customFormat="false" ht="15" hidden="false" customHeight="false" outlineLevel="0" collapsed="false">
      <c r="A1511" s="12" t="n">
        <v>44927</v>
      </c>
      <c r="B1511" s="9" t="s">
        <v>93</v>
      </c>
      <c r="C1511" s="3" t="s">
        <v>108</v>
      </c>
      <c r="D1511" s="3" t="n">
        <v>1271000</v>
      </c>
      <c r="E1511" s="3" t="s">
        <v>114</v>
      </c>
      <c r="F1511" s="3" t="n">
        <f aca="false">IF(C1511="848630",0,1)</f>
        <v>1</v>
      </c>
    </row>
    <row r="1512" customFormat="false" ht="15" hidden="false" customHeight="false" outlineLevel="0" collapsed="false">
      <c r="A1512" s="12" t="n">
        <v>44927</v>
      </c>
      <c r="B1512" s="9" t="s">
        <v>93</v>
      </c>
      <c r="C1512" s="3" t="s">
        <v>108</v>
      </c>
      <c r="D1512" s="3" t="n">
        <v>0</v>
      </c>
      <c r="E1512" s="3" t="s">
        <v>114</v>
      </c>
      <c r="F1512" s="3" t="n">
        <f aca="false">IF(C1512="848630",0,1)</f>
        <v>1</v>
      </c>
    </row>
    <row r="1513" customFormat="false" ht="15" hidden="false" customHeight="false" outlineLevel="0" collapsed="false">
      <c r="A1513" s="12" t="n">
        <v>44927</v>
      </c>
      <c r="B1513" s="9" t="s">
        <v>93</v>
      </c>
      <c r="C1513" s="3" t="s">
        <v>108</v>
      </c>
      <c r="D1513" s="3" t="n">
        <v>1093000</v>
      </c>
      <c r="E1513" s="3" t="s">
        <v>114</v>
      </c>
      <c r="F1513" s="3" t="n">
        <f aca="false">IF(C1513="848630",0,1)</f>
        <v>1</v>
      </c>
    </row>
    <row r="1514" customFormat="false" ht="15" hidden="false" customHeight="false" outlineLevel="0" collapsed="false">
      <c r="A1514" s="12" t="n">
        <v>44927</v>
      </c>
      <c r="B1514" s="9" t="s">
        <v>93</v>
      </c>
      <c r="C1514" s="3" t="s">
        <v>108</v>
      </c>
      <c r="D1514" s="3" t="n">
        <v>8241000</v>
      </c>
      <c r="E1514" s="3" t="s">
        <v>114</v>
      </c>
      <c r="F1514" s="3" t="n">
        <f aca="false">IF(C1514="848630",0,1)</f>
        <v>1</v>
      </c>
    </row>
    <row r="1515" customFormat="false" ht="15" hidden="false" customHeight="false" outlineLevel="0" collapsed="false">
      <c r="A1515" s="12" t="n">
        <v>44927</v>
      </c>
      <c r="B1515" s="9" t="s">
        <v>93</v>
      </c>
      <c r="C1515" s="3" t="s">
        <v>108</v>
      </c>
      <c r="D1515" s="3" t="n">
        <v>454000</v>
      </c>
      <c r="E1515" s="3" t="s">
        <v>114</v>
      </c>
      <c r="F1515" s="3" t="n">
        <f aca="false">IF(C1515="848630",0,1)</f>
        <v>1</v>
      </c>
    </row>
    <row r="1516" customFormat="false" ht="15" hidden="false" customHeight="false" outlineLevel="0" collapsed="false">
      <c r="A1516" s="12" t="n">
        <v>44927</v>
      </c>
      <c r="B1516" s="9" t="s">
        <v>93</v>
      </c>
      <c r="C1516" s="3" t="s">
        <v>108</v>
      </c>
      <c r="D1516" s="3" t="n">
        <v>924000</v>
      </c>
      <c r="E1516" s="3" t="s">
        <v>114</v>
      </c>
      <c r="F1516" s="3" t="n">
        <f aca="false">IF(C1516="848630",0,1)</f>
        <v>1</v>
      </c>
    </row>
    <row r="1517" customFormat="false" ht="15" hidden="false" customHeight="false" outlineLevel="0" collapsed="false">
      <c r="A1517" s="12" t="n">
        <v>44927</v>
      </c>
      <c r="B1517" s="9" t="s">
        <v>93</v>
      </c>
      <c r="C1517" s="3" t="s">
        <v>109</v>
      </c>
      <c r="D1517" s="3" t="n">
        <v>887000</v>
      </c>
      <c r="E1517" s="3" t="s">
        <v>114</v>
      </c>
      <c r="F1517" s="3" t="n">
        <f aca="false">IF(C1517="848630",0,1)</f>
        <v>1</v>
      </c>
    </row>
    <row r="1518" customFormat="false" ht="15" hidden="false" customHeight="false" outlineLevel="0" collapsed="false">
      <c r="A1518" s="12" t="n">
        <v>44927</v>
      </c>
      <c r="B1518" s="9" t="s">
        <v>93</v>
      </c>
      <c r="C1518" s="3" t="s">
        <v>109</v>
      </c>
      <c r="D1518" s="3" t="n">
        <v>3457000</v>
      </c>
      <c r="E1518" s="3" t="s">
        <v>114</v>
      </c>
      <c r="F1518" s="3" t="n">
        <f aca="false">IF(C1518="848630",0,1)</f>
        <v>1</v>
      </c>
    </row>
    <row r="1519" customFormat="false" ht="15" hidden="false" customHeight="false" outlineLevel="0" collapsed="false">
      <c r="A1519" s="12" t="n">
        <v>44927</v>
      </c>
      <c r="B1519" s="9" t="s">
        <v>93</v>
      </c>
      <c r="C1519" s="3" t="s">
        <v>109</v>
      </c>
      <c r="D1519" s="3" t="n">
        <v>26614000</v>
      </c>
      <c r="E1519" s="3" t="s">
        <v>114</v>
      </c>
      <c r="F1519" s="3" t="n">
        <f aca="false">IF(C1519="848630",0,1)</f>
        <v>1</v>
      </c>
    </row>
    <row r="1520" customFormat="false" ht="15" hidden="false" customHeight="false" outlineLevel="0" collapsed="false">
      <c r="A1520" s="12" t="n">
        <v>44927</v>
      </c>
      <c r="B1520" s="9" t="s">
        <v>93</v>
      </c>
      <c r="C1520" s="3" t="s">
        <v>109</v>
      </c>
      <c r="D1520" s="3" t="n">
        <v>10496000</v>
      </c>
      <c r="E1520" s="3" t="s">
        <v>114</v>
      </c>
      <c r="F1520" s="3" t="n">
        <f aca="false">IF(C1520="848630",0,1)</f>
        <v>1</v>
      </c>
    </row>
    <row r="1521" customFormat="false" ht="15" hidden="false" customHeight="false" outlineLevel="0" collapsed="false">
      <c r="A1521" s="12" t="n">
        <v>44927</v>
      </c>
      <c r="B1521" s="9" t="s">
        <v>93</v>
      </c>
      <c r="C1521" s="3" t="s">
        <v>109</v>
      </c>
      <c r="D1521" s="3" t="n">
        <v>314000</v>
      </c>
      <c r="E1521" s="3" t="s">
        <v>114</v>
      </c>
      <c r="F1521" s="3" t="n">
        <f aca="false">IF(C1521="848630",0,1)</f>
        <v>1</v>
      </c>
    </row>
    <row r="1522" customFormat="false" ht="15" hidden="false" customHeight="false" outlineLevel="0" collapsed="false">
      <c r="A1522" s="12" t="n">
        <v>44927</v>
      </c>
      <c r="B1522" s="9" t="s">
        <v>93</v>
      </c>
      <c r="C1522" s="3" t="s">
        <v>109</v>
      </c>
      <c r="D1522" s="3" t="n">
        <v>1208000</v>
      </c>
      <c r="E1522" s="3" t="s">
        <v>114</v>
      </c>
      <c r="F1522" s="3" t="n">
        <f aca="false">IF(C1522="848630",0,1)</f>
        <v>1</v>
      </c>
    </row>
    <row r="1523" customFormat="false" ht="15" hidden="false" customHeight="false" outlineLevel="0" collapsed="false">
      <c r="A1523" s="12" t="n">
        <v>44927</v>
      </c>
      <c r="B1523" s="9" t="s">
        <v>93</v>
      </c>
      <c r="C1523" s="3" t="s">
        <v>109</v>
      </c>
      <c r="D1523" s="3" t="n">
        <v>130000</v>
      </c>
      <c r="E1523" s="3" t="s">
        <v>114</v>
      </c>
      <c r="F1523" s="3" t="n">
        <f aca="false">IF(C1523="848630",0,1)</f>
        <v>1</v>
      </c>
    </row>
    <row r="1524" customFormat="false" ht="15" hidden="false" customHeight="false" outlineLevel="0" collapsed="false">
      <c r="A1524" s="12" t="n">
        <v>44927</v>
      </c>
      <c r="B1524" s="9" t="s">
        <v>93</v>
      </c>
      <c r="C1524" s="3" t="s">
        <v>109</v>
      </c>
      <c r="D1524" s="3" t="n">
        <v>6200000</v>
      </c>
      <c r="E1524" s="3" t="s">
        <v>114</v>
      </c>
      <c r="F1524" s="3" t="n">
        <f aca="false">IF(C1524="848630",0,1)</f>
        <v>1</v>
      </c>
    </row>
    <row r="1525" customFormat="false" ht="15" hidden="false" customHeight="false" outlineLevel="0" collapsed="false">
      <c r="A1525" s="12" t="n">
        <v>44927</v>
      </c>
      <c r="B1525" s="9" t="s">
        <v>93</v>
      </c>
      <c r="C1525" s="3" t="s">
        <v>110</v>
      </c>
      <c r="D1525" s="3" t="n">
        <v>35173000</v>
      </c>
      <c r="E1525" s="3" t="s">
        <v>114</v>
      </c>
      <c r="F1525" s="3" t="n">
        <f aca="false">IF(C1525="848630",0,1)</f>
        <v>1</v>
      </c>
    </row>
    <row r="1526" customFormat="false" ht="15" hidden="false" customHeight="false" outlineLevel="0" collapsed="false">
      <c r="A1526" s="12" t="n">
        <v>44927</v>
      </c>
      <c r="B1526" s="9" t="s">
        <v>93</v>
      </c>
      <c r="C1526" s="3" t="s">
        <v>111</v>
      </c>
      <c r="D1526" s="3" t="n">
        <v>8000</v>
      </c>
      <c r="E1526" s="3" t="s">
        <v>114</v>
      </c>
      <c r="F1526" s="3" t="n">
        <f aca="false">IF(C1526="848630",0,1)</f>
        <v>1</v>
      </c>
    </row>
    <row r="1527" customFormat="false" ht="15" hidden="false" customHeight="false" outlineLevel="0" collapsed="false">
      <c r="A1527" s="12" t="n">
        <v>44927</v>
      </c>
      <c r="B1527" s="9" t="s">
        <v>93</v>
      </c>
      <c r="C1527" s="3" t="s">
        <v>111</v>
      </c>
      <c r="D1527" s="3" t="n">
        <v>7597000</v>
      </c>
      <c r="E1527" s="3" t="s">
        <v>114</v>
      </c>
      <c r="F1527" s="3" t="n">
        <f aca="false">IF(C1527="848630",0,1)</f>
        <v>1</v>
      </c>
    </row>
    <row r="1528" customFormat="false" ht="15" hidden="false" customHeight="false" outlineLevel="0" collapsed="false">
      <c r="A1528" s="12" t="n">
        <v>44958</v>
      </c>
      <c r="B1528" s="9" t="s">
        <v>93</v>
      </c>
      <c r="C1528" s="3" t="s">
        <v>105</v>
      </c>
      <c r="D1528" s="3" t="n">
        <v>451000</v>
      </c>
      <c r="E1528" s="3" t="s">
        <v>114</v>
      </c>
      <c r="F1528" s="3" t="n">
        <f aca="false">IF(C1528="848630",0,1)</f>
        <v>1</v>
      </c>
    </row>
    <row r="1529" customFormat="false" ht="15" hidden="false" customHeight="false" outlineLevel="0" collapsed="false">
      <c r="A1529" s="12" t="n">
        <v>44958</v>
      </c>
      <c r="B1529" s="9" t="s">
        <v>93</v>
      </c>
      <c r="C1529" s="3" t="s">
        <v>105</v>
      </c>
      <c r="D1529" s="3" t="n">
        <v>2523000</v>
      </c>
      <c r="E1529" s="3" t="s">
        <v>114</v>
      </c>
      <c r="F1529" s="3" t="n">
        <f aca="false">IF(C1529="848630",0,1)</f>
        <v>1</v>
      </c>
    </row>
    <row r="1530" customFormat="false" ht="15" hidden="false" customHeight="false" outlineLevel="0" collapsed="false">
      <c r="A1530" s="12" t="n">
        <v>44958</v>
      </c>
      <c r="B1530" s="9" t="s">
        <v>93</v>
      </c>
      <c r="C1530" s="3" t="s">
        <v>107</v>
      </c>
      <c r="D1530" s="3" t="n">
        <v>2028000</v>
      </c>
      <c r="E1530" s="3" t="s">
        <v>114</v>
      </c>
      <c r="F1530" s="3" t="n">
        <f aca="false">IF(C1530="848630",0,1)</f>
        <v>1</v>
      </c>
    </row>
    <row r="1531" customFormat="false" ht="15" hidden="false" customHeight="false" outlineLevel="0" collapsed="false">
      <c r="A1531" s="12" t="n">
        <v>44958</v>
      </c>
      <c r="B1531" s="9" t="s">
        <v>93</v>
      </c>
      <c r="C1531" s="3" t="s">
        <v>107</v>
      </c>
      <c r="D1531" s="3" t="n">
        <v>77000</v>
      </c>
      <c r="E1531" s="3" t="s">
        <v>114</v>
      </c>
      <c r="F1531" s="3" t="n">
        <f aca="false">IF(C1531="848630",0,1)</f>
        <v>1</v>
      </c>
    </row>
    <row r="1532" customFormat="false" ht="15" hidden="false" customHeight="false" outlineLevel="0" collapsed="false">
      <c r="A1532" s="12" t="n">
        <v>44958</v>
      </c>
      <c r="B1532" s="9" t="s">
        <v>93</v>
      </c>
      <c r="C1532" s="3" t="s">
        <v>107</v>
      </c>
      <c r="D1532" s="3" t="n">
        <v>3999000</v>
      </c>
      <c r="E1532" s="3" t="s">
        <v>114</v>
      </c>
      <c r="F1532" s="3" t="n">
        <f aca="false">IF(C1532="848630",0,1)</f>
        <v>1</v>
      </c>
    </row>
    <row r="1533" customFormat="false" ht="15" hidden="false" customHeight="false" outlineLevel="0" collapsed="false">
      <c r="A1533" s="12" t="n">
        <v>44958</v>
      </c>
      <c r="B1533" s="9" t="s">
        <v>93</v>
      </c>
      <c r="C1533" s="3" t="s">
        <v>107</v>
      </c>
      <c r="D1533" s="3" t="n">
        <v>3133000</v>
      </c>
      <c r="E1533" s="3" t="s">
        <v>114</v>
      </c>
      <c r="F1533" s="3" t="n">
        <f aca="false">IF(C1533="848630",0,1)</f>
        <v>1</v>
      </c>
    </row>
    <row r="1534" customFormat="false" ht="15" hidden="false" customHeight="false" outlineLevel="0" collapsed="false">
      <c r="A1534" s="12" t="n">
        <v>44958</v>
      </c>
      <c r="B1534" s="9" t="s">
        <v>93</v>
      </c>
      <c r="C1534" s="3" t="s">
        <v>107</v>
      </c>
      <c r="D1534" s="3" t="n">
        <v>92762000</v>
      </c>
      <c r="E1534" s="3" t="s">
        <v>114</v>
      </c>
      <c r="F1534" s="3" t="n">
        <f aca="false">IF(C1534="848630",0,1)</f>
        <v>1</v>
      </c>
    </row>
    <row r="1535" customFormat="false" ht="15" hidden="false" customHeight="false" outlineLevel="0" collapsed="false">
      <c r="A1535" s="12" t="n">
        <v>44958</v>
      </c>
      <c r="B1535" s="9" t="s">
        <v>93</v>
      </c>
      <c r="C1535" s="3" t="s">
        <v>107</v>
      </c>
      <c r="D1535" s="3" t="n">
        <v>0</v>
      </c>
      <c r="E1535" s="3" t="s">
        <v>114</v>
      </c>
      <c r="F1535" s="3" t="n">
        <f aca="false">IF(C1535="848630",0,1)</f>
        <v>1</v>
      </c>
    </row>
    <row r="1536" customFormat="false" ht="15" hidden="false" customHeight="false" outlineLevel="0" collapsed="false">
      <c r="A1536" s="12" t="n">
        <v>44958</v>
      </c>
      <c r="B1536" s="9" t="s">
        <v>93</v>
      </c>
      <c r="C1536" s="3" t="s">
        <v>107</v>
      </c>
      <c r="D1536" s="3" t="n">
        <v>5387000</v>
      </c>
      <c r="E1536" s="3" t="s">
        <v>114</v>
      </c>
      <c r="F1536" s="3" t="n">
        <f aca="false">IF(C1536="848630",0,1)</f>
        <v>1</v>
      </c>
    </row>
    <row r="1537" customFormat="false" ht="15" hidden="false" customHeight="false" outlineLevel="0" collapsed="false">
      <c r="A1537" s="12" t="n">
        <v>44958</v>
      </c>
      <c r="B1537" s="9" t="s">
        <v>93</v>
      </c>
      <c r="C1537" s="3" t="s">
        <v>107</v>
      </c>
      <c r="D1537" s="3" t="n">
        <v>43465000</v>
      </c>
      <c r="E1537" s="3" t="s">
        <v>114</v>
      </c>
      <c r="F1537" s="3" t="n">
        <f aca="false">IF(C1537="848630",0,1)</f>
        <v>1</v>
      </c>
    </row>
    <row r="1538" customFormat="false" ht="15" hidden="false" customHeight="false" outlineLevel="0" collapsed="false">
      <c r="A1538" s="12" t="n">
        <v>44958</v>
      </c>
      <c r="B1538" s="9" t="s">
        <v>93</v>
      </c>
      <c r="C1538" s="3" t="s">
        <v>107</v>
      </c>
      <c r="D1538" s="3" t="n">
        <v>611000</v>
      </c>
      <c r="E1538" s="3" t="s">
        <v>114</v>
      </c>
      <c r="F1538" s="3" t="n">
        <f aca="false">IF(C1538="848630",0,1)</f>
        <v>1</v>
      </c>
    </row>
    <row r="1539" customFormat="false" ht="15" hidden="false" customHeight="false" outlineLevel="0" collapsed="false">
      <c r="A1539" s="12" t="n">
        <v>44958</v>
      </c>
      <c r="B1539" s="9" t="s">
        <v>93</v>
      </c>
      <c r="C1539" s="3" t="s">
        <v>107</v>
      </c>
      <c r="D1539" s="3" t="n">
        <v>57019000</v>
      </c>
      <c r="E1539" s="3" t="s">
        <v>114</v>
      </c>
      <c r="F1539" s="3" t="n">
        <f aca="false">IF(C1539="848630",0,1)</f>
        <v>1</v>
      </c>
    </row>
    <row r="1540" customFormat="false" ht="15" hidden="false" customHeight="false" outlineLevel="0" collapsed="false">
      <c r="A1540" s="12" t="n">
        <v>44958</v>
      </c>
      <c r="B1540" s="9" t="s">
        <v>93</v>
      </c>
      <c r="C1540" s="3" t="s">
        <v>107</v>
      </c>
      <c r="D1540" s="3" t="n">
        <v>0</v>
      </c>
      <c r="E1540" s="3" t="s">
        <v>114</v>
      </c>
      <c r="F1540" s="3" t="n">
        <f aca="false">IF(C1540="848630",0,1)</f>
        <v>1</v>
      </c>
    </row>
    <row r="1541" customFormat="false" ht="15" hidden="false" customHeight="false" outlineLevel="0" collapsed="false">
      <c r="A1541" s="12" t="n">
        <v>44958</v>
      </c>
      <c r="B1541" s="9" t="s">
        <v>93</v>
      </c>
      <c r="C1541" s="3" t="s">
        <v>107</v>
      </c>
      <c r="D1541" s="3" t="n">
        <v>4251000</v>
      </c>
      <c r="E1541" s="3" t="s">
        <v>114</v>
      </c>
      <c r="F1541" s="3" t="n">
        <f aca="false">IF(C1541="848630",0,1)</f>
        <v>1</v>
      </c>
    </row>
    <row r="1542" customFormat="false" ht="15" hidden="false" customHeight="false" outlineLevel="0" collapsed="false">
      <c r="A1542" s="12" t="n">
        <v>44958</v>
      </c>
      <c r="B1542" s="9" t="s">
        <v>93</v>
      </c>
      <c r="C1542" s="3" t="s">
        <v>107</v>
      </c>
      <c r="D1542" s="3" t="n">
        <v>26617000</v>
      </c>
      <c r="E1542" s="3" t="s">
        <v>114</v>
      </c>
      <c r="F1542" s="3" t="n">
        <f aca="false">IF(C1542="848630",0,1)</f>
        <v>1</v>
      </c>
    </row>
    <row r="1543" customFormat="false" ht="15" hidden="false" customHeight="false" outlineLevel="0" collapsed="false">
      <c r="A1543" s="12" t="n">
        <v>44958</v>
      </c>
      <c r="B1543" s="9" t="s">
        <v>93</v>
      </c>
      <c r="C1543" s="3" t="s">
        <v>107</v>
      </c>
      <c r="D1543" s="3" t="n">
        <v>3303000</v>
      </c>
      <c r="E1543" s="3" t="s">
        <v>114</v>
      </c>
      <c r="F1543" s="3" t="n">
        <f aca="false">IF(C1543="848630",0,1)</f>
        <v>1</v>
      </c>
    </row>
    <row r="1544" customFormat="false" ht="15" hidden="false" customHeight="false" outlineLevel="0" collapsed="false">
      <c r="A1544" s="12" t="n">
        <v>44958</v>
      </c>
      <c r="B1544" s="9" t="s">
        <v>93</v>
      </c>
      <c r="C1544" s="3" t="s">
        <v>107</v>
      </c>
      <c r="D1544" s="3" t="n">
        <v>224000</v>
      </c>
      <c r="E1544" s="3" t="s">
        <v>114</v>
      </c>
      <c r="F1544" s="3" t="n">
        <f aca="false">IF(C1544="848630",0,1)</f>
        <v>1</v>
      </c>
    </row>
    <row r="1545" customFormat="false" ht="15" hidden="false" customHeight="false" outlineLevel="0" collapsed="false">
      <c r="A1545" s="12" t="n">
        <v>44958</v>
      </c>
      <c r="B1545" s="9" t="s">
        <v>93</v>
      </c>
      <c r="C1545" s="3" t="s">
        <v>107</v>
      </c>
      <c r="D1545" s="3" t="n">
        <v>42000</v>
      </c>
      <c r="E1545" s="3" t="s">
        <v>114</v>
      </c>
      <c r="F1545" s="3" t="n">
        <f aca="false">IF(C1545="848630",0,1)</f>
        <v>1</v>
      </c>
    </row>
    <row r="1546" customFormat="false" ht="15" hidden="false" customHeight="false" outlineLevel="0" collapsed="false">
      <c r="A1546" s="12" t="n">
        <v>44958</v>
      </c>
      <c r="B1546" s="9" t="s">
        <v>93</v>
      </c>
      <c r="C1546" s="3" t="s">
        <v>112</v>
      </c>
      <c r="D1546" s="3" t="n">
        <v>936000</v>
      </c>
      <c r="E1546" s="3" t="s">
        <v>114</v>
      </c>
      <c r="F1546" s="3" t="n">
        <f aca="false">IF(C1546="848630",0,1)</f>
        <v>0</v>
      </c>
    </row>
    <row r="1547" customFormat="false" ht="15" hidden="false" customHeight="false" outlineLevel="0" collapsed="false">
      <c r="A1547" s="12" t="n">
        <v>44958</v>
      </c>
      <c r="B1547" s="9" t="s">
        <v>93</v>
      </c>
      <c r="C1547" s="3" t="s">
        <v>112</v>
      </c>
      <c r="D1547" s="3" t="n">
        <v>0</v>
      </c>
      <c r="E1547" s="3" t="s">
        <v>114</v>
      </c>
      <c r="F1547" s="3" t="n">
        <f aca="false">IF(C1547="848630",0,1)</f>
        <v>0</v>
      </c>
    </row>
    <row r="1548" customFormat="false" ht="15" hidden="false" customHeight="false" outlineLevel="0" collapsed="false">
      <c r="A1548" s="12" t="n">
        <v>44958</v>
      </c>
      <c r="B1548" s="9" t="s">
        <v>93</v>
      </c>
      <c r="C1548" s="3" t="s">
        <v>112</v>
      </c>
      <c r="D1548" s="3" t="n">
        <v>0</v>
      </c>
      <c r="E1548" s="3" t="s">
        <v>114</v>
      </c>
      <c r="F1548" s="3" t="n">
        <f aca="false">IF(C1548="848630",0,1)</f>
        <v>0</v>
      </c>
    </row>
    <row r="1549" customFormat="false" ht="15" hidden="false" customHeight="false" outlineLevel="0" collapsed="false">
      <c r="A1549" s="12" t="n">
        <v>44958</v>
      </c>
      <c r="B1549" s="9" t="s">
        <v>93</v>
      </c>
      <c r="C1549" s="3" t="s">
        <v>112</v>
      </c>
      <c r="D1549" s="3" t="n">
        <v>4000</v>
      </c>
      <c r="E1549" s="3" t="s">
        <v>114</v>
      </c>
      <c r="F1549" s="3" t="n">
        <f aca="false">IF(C1549="848630",0,1)</f>
        <v>0</v>
      </c>
    </row>
    <row r="1550" customFormat="false" ht="15" hidden="false" customHeight="false" outlineLevel="0" collapsed="false">
      <c r="A1550" s="12" t="n">
        <v>44958</v>
      </c>
      <c r="B1550" s="9" t="s">
        <v>93</v>
      </c>
      <c r="C1550" s="3" t="s">
        <v>112</v>
      </c>
      <c r="D1550" s="3" t="n">
        <v>0</v>
      </c>
      <c r="E1550" s="3" t="s">
        <v>114</v>
      </c>
      <c r="F1550" s="3" t="n">
        <f aca="false">IF(C1550="848630",0,1)</f>
        <v>0</v>
      </c>
    </row>
    <row r="1551" customFormat="false" ht="15" hidden="false" customHeight="false" outlineLevel="0" collapsed="false">
      <c r="A1551" s="12" t="n">
        <v>44958</v>
      </c>
      <c r="B1551" s="9" t="s">
        <v>93</v>
      </c>
      <c r="C1551" s="3" t="s">
        <v>108</v>
      </c>
      <c r="D1551" s="3" t="n">
        <v>99000</v>
      </c>
      <c r="E1551" s="3" t="s">
        <v>114</v>
      </c>
      <c r="F1551" s="3" t="n">
        <f aca="false">IF(C1551="848630",0,1)</f>
        <v>1</v>
      </c>
    </row>
    <row r="1552" customFormat="false" ht="15" hidden="false" customHeight="false" outlineLevel="0" collapsed="false">
      <c r="A1552" s="12" t="n">
        <v>44958</v>
      </c>
      <c r="B1552" s="9" t="s">
        <v>93</v>
      </c>
      <c r="C1552" s="3" t="s">
        <v>108</v>
      </c>
      <c r="D1552" s="3" t="n">
        <v>0</v>
      </c>
      <c r="E1552" s="3" t="s">
        <v>114</v>
      </c>
      <c r="F1552" s="3" t="n">
        <f aca="false">IF(C1552="848630",0,1)</f>
        <v>1</v>
      </c>
    </row>
    <row r="1553" customFormat="false" ht="15" hidden="false" customHeight="false" outlineLevel="0" collapsed="false">
      <c r="A1553" s="12" t="n">
        <v>44958</v>
      </c>
      <c r="B1553" s="9" t="s">
        <v>93</v>
      </c>
      <c r="C1553" s="3" t="s">
        <v>108</v>
      </c>
      <c r="D1553" s="3" t="n">
        <v>1179000</v>
      </c>
      <c r="E1553" s="3" t="s">
        <v>114</v>
      </c>
      <c r="F1553" s="3" t="n">
        <f aca="false">IF(C1553="848630",0,1)</f>
        <v>1</v>
      </c>
    </row>
    <row r="1554" customFormat="false" ht="15" hidden="false" customHeight="false" outlineLevel="0" collapsed="false">
      <c r="A1554" s="12" t="n">
        <v>44958</v>
      </c>
      <c r="B1554" s="9" t="s">
        <v>93</v>
      </c>
      <c r="C1554" s="3" t="s">
        <v>108</v>
      </c>
      <c r="D1554" s="3" t="n">
        <v>63000</v>
      </c>
      <c r="E1554" s="3" t="s">
        <v>114</v>
      </c>
      <c r="F1554" s="3" t="n">
        <f aca="false">IF(C1554="848630",0,1)</f>
        <v>1</v>
      </c>
    </row>
    <row r="1555" customFormat="false" ht="15" hidden="false" customHeight="false" outlineLevel="0" collapsed="false">
      <c r="A1555" s="12" t="n">
        <v>44958</v>
      </c>
      <c r="B1555" s="9" t="s">
        <v>93</v>
      </c>
      <c r="C1555" s="3" t="s">
        <v>108</v>
      </c>
      <c r="D1555" s="3" t="n">
        <v>0</v>
      </c>
      <c r="E1555" s="3" t="s">
        <v>114</v>
      </c>
      <c r="F1555" s="3" t="n">
        <f aca="false">IF(C1555="848630",0,1)</f>
        <v>1</v>
      </c>
    </row>
    <row r="1556" customFormat="false" ht="15" hidden="false" customHeight="false" outlineLevel="0" collapsed="false">
      <c r="A1556" s="12" t="n">
        <v>44958</v>
      </c>
      <c r="B1556" s="9" t="s">
        <v>93</v>
      </c>
      <c r="C1556" s="3" t="s">
        <v>108</v>
      </c>
      <c r="D1556" s="3" t="n">
        <v>447000</v>
      </c>
      <c r="E1556" s="3" t="s">
        <v>114</v>
      </c>
      <c r="F1556" s="3" t="n">
        <f aca="false">IF(C1556="848630",0,1)</f>
        <v>1</v>
      </c>
    </row>
    <row r="1557" customFormat="false" ht="15" hidden="false" customHeight="false" outlineLevel="0" collapsed="false">
      <c r="A1557" s="12" t="n">
        <v>44958</v>
      </c>
      <c r="B1557" s="9" t="s">
        <v>93</v>
      </c>
      <c r="C1557" s="3" t="s">
        <v>108</v>
      </c>
      <c r="D1557" s="3" t="n">
        <v>6000</v>
      </c>
      <c r="E1557" s="3" t="s">
        <v>114</v>
      </c>
      <c r="F1557" s="3" t="n">
        <f aca="false">IF(C1557="848630",0,1)</f>
        <v>1</v>
      </c>
    </row>
    <row r="1558" customFormat="false" ht="15" hidden="false" customHeight="false" outlineLevel="0" collapsed="false">
      <c r="A1558" s="12" t="n">
        <v>44958</v>
      </c>
      <c r="B1558" s="9" t="s">
        <v>93</v>
      </c>
      <c r="C1558" s="3" t="s">
        <v>108</v>
      </c>
      <c r="D1558" s="3" t="n">
        <v>1119000</v>
      </c>
      <c r="E1558" s="3" t="s">
        <v>114</v>
      </c>
      <c r="F1558" s="3" t="n">
        <f aca="false">IF(C1558="848630",0,1)</f>
        <v>1</v>
      </c>
    </row>
    <row r="1559" customFormat="false" ht="15" hidden="false" customHeight="false" outlineLevel="0" collapsed="false">
      <c r="A1559" s="12" t="n">
        <v>44958</v>
      </c>
      <c r="B1559" s="9" t="s">
        <v>93</v>
      </c>
      <c r="C1559" s="3" t="s">
        <v>108</v>
      </c>
      <c r="D1559" s="3" t="n">
        <v>2707000</v>
      </c>
      <c r="E1559" s="3" t="s">
        <v>114</v>
      </c>
      <c r="F1559" s="3" t="n">
        <f aca="false">IF(C1559="848630",0,1)</f>
        <v>1</v>
      </c>
    </row>
    <row r="1560" customFormat="false" ht="15" hidden="false" customHeight="false" outlineLevel="0" collapsed="false">
      <c r="A1560" s="12" t="n">
        <v>44958</v>
      </c>
      <c r="B1560" s="9" t="s">
        <v>93</v>
      </c>
      <c r="C1560" s="3" t="s">
        <v>108</v>
      </c>
      <c r="D1560" s="3" t="n">
        <v>7444000</v>
      </c>
      <c r="E1560" s="3" t="s">
        <v>114</v>
      </c>
      <c r="F1560" s="3" t="n">
        <f aca="false">IF(C1560="848630",0,1)</f>
        <v>1</v>
      </c>
    </row>
    <row r="1561" customFormat="false" ht="15" hidden="false" customHeight="false" outlineLevel="0" collapsed="false">
      <c r="A1561" s="12" t="n">
        <v>44958</v>
      </c>
      <c r="B1561" s="9" t="s">
        <v>93</v>
      </c>
      <c r="C1561" s="3" t="s">
        <v>108</v>
      </c>
      <c r="D1561" s="3" t="n">
        <v>1908000</v>
      </c>
      <c r="E1561" s="3" t="s">
        <v>114</v>
      </c>
      <c r="F1561" s="3" t="n">
        <f aca="false">IF(C1561="848630",0,1)</f>
        <v>1</v>
      </c>
    </row>
    <row r="1562" customFormat="false" ht="15" hidden="false" customHeight="false" outlineLevel="0" collapsed="false">
      <c r="A1562" s="12" t="n">
        <v>44958</v>
      </c>
      <c r="B1562" s="9" t="s">
        <v>93</v>
      </c>
      <c r="C1562" s="3" t="s">
        <v>108</v>
      </c>
      <c r="D1562" s="3" t="n">
        <v>1176000</v>
      </c>
      <c r="E1562" s="3" t="s">
        <v>114</v>
      </c>
      <c r="F1562" s="3" t="n">
        <f aca="false">IF(C1562="848630",0,1)</f>
        <v>1</v>
      </c>
    </row>
    <row r="1563" customFormat="false" ht="15" hidden="false" customHeight="false" outlineLevel="0" collapsed="false">
      <c r="A1563" s="12" t="n">
        <v>44958</v>
      </c>
      <c r="B1563" s="9" t="s">
        <v>93</v>
      </c>
      <c r="C1563" s="3" t="s">
        <v>109</v>
      </c>
      <c r="D1563" s="3" t="n">
        <v>1027000</v>
      </c>
      <c r="E1563" s="3" t="s">
        <v>114</v>
      </c>
      <c r="F1563" s="3" t="n">
        <f aca="false">IF(C1563="848630",0,1)</f>
        <v>1</v>
      </c>
    </row>
    <row r="1564" customFormat="false" ht="15" hidden="false" customHeight="false" outlineLevel="0" collapsed="false">
      <c r="A1564" s="12" t="n">
        <v>44958</v>
      </c>
      <c r="B1564" s="9" t="s">
        <v>93</v>
      </c>
      <c r="C1564" s="3" t="s">
        <v>109</v>
      </c>
      <c r="D1564" s="3" t="n">
        <v>10938000</v>
      </c>
      <c r="E1564" s="3" t="s">
        <v>114</v>
      </c>
      <c r="F1564" s="3" t="n">
        <f aca="false">IF(C1564="848630",0,1)</f>
        <v>1</v>
      </c>
    </row>
    <row r="1565" customFormat="false" ht="15" hidden="false" customHeight="false" outlineLevel="0" collapsed="false">
      <c r="A1565" s="12" t="n">
        <v>44958</v>
      </c>
      <c r="B1565" s="9" t="s">
        <v>93</v>
      </c>
      <c r="C1565" s="3" t="s">
        <v>109</v>
      </c>
      <c r="D1565" s="3" t="n">
        <v>20875000</v>
      </c>
      <c r="E1565" s="3" t="s">
        <v>114</v>
      </c>
      <c r="F1565" s="3" t="n">
        <f aca="false">IF(C1565="848630",0,1)</f>
        <v>1</v>
      </c>
    </row>
    <row r="1566" customFormat="false" ht="15" hidden="false" customHeight="false" outlineLevel="0" collapsed="false">
      <c r="A1566" s="12" t="n">
        <v>44958</v>
      </c>
      <c r="B1566" s="9" t="s">
        <v>93</v>
      </c>
      <c r="C1566" s="3" t="s">
        <v>109</v>
      </c>
      <c r="D1566" s="3" t="n">
        <v>9015000</v>
      </c>
      <c r="E1566" s="3" t="s">
        <v>114</v>
      </c>
      <c r="F1566" s="3" t="n">
        <f aca="false">IF(C1566="848630",0,1)</f>
        <v>1</v>
      </c>
    </row>
    <row r="1567" customFormat="false" ht="15" hidden="false" customHeight="false" outlineLevel="0" collapsed="false">
      <c r="A1567" s="12" t="n">
        <v>44958</v>
      </c>
      <c r="B1567" s="9" t="s">
        <v>93</v>
      </c>
      <c r="C1567" s="3" t="s">
        <v>109</v>
      </c>
      <c r="D1567" s="3" t="n">
        <v>561000</v>
      </c>
      <c r="E1567" s="3" t="s">
        <v>114</v>
      </c>
      <c r="F1567" s="3" t="n">
        <f aca="false">IF(C1567="848630",0,1)</f>
        <v>1</v>
      </c>
    </row>
    <row r="1568" customFormat="false" ht="15" hidden="false" customHeight="false" outlineLevel="0" collapsed="false">
      <c r="A1568" s="12" t="n">
        <v>44958</v>
      </c>
      <c r="B1568" s="9" t="s">
        <v>93</v>
      </c>
      <c r="C1568" s="3" t="s">
        <v>109</v>
      </c>
      <c r="D1568" s="3" t="n">
        <v>2334000</v>
      </c>
      <c r="E1568" s="3" t="s">
        <v>114</v>
      </c>
      <c r="F1568" s="3" t="n">
        <f aca="false">IF(C1568="848630",0,1)</f>
        <v>1</v>
      </c>
    </row>
    <row r="1569" customFormat="false" ht="15" hidden="false" customHeight="false" outlineLevel="0" collapsed="false">
      <c r="A1569" s="12" t="n">
        <v>44958</v>
      </c>
      <c r="B1569" s="9" t="s">
        <v>93</v>
      </c>
      <c r="C1569" s="3" t="s">
        <v>109</v>
      </c>
      <c r="D1569" s="3" t="n">
        <v>201000</v>
      </c>
      <c r="E1569" s="3" t="s">
        <v>114</v>
      </c>
      <c r="F1569" s="3" t="n">
        <f aca="false">IF(C1569="848630",0,1)</f>
        <v>1</v>
      </c>
    </row>
    <row r="1570" customFormat="false" ht="15" hidden="false" customHeight="false" outlineLevel="0" collapsed="false">
      <c r="A1570" s="12" t="n">
        <v>44958</v>
      </c>
      <c r="B1570" s="9" t="s">
        <v>93</v>
      </c>
      <c r="C1570" s="3" t="s">
        <v>109</v>
      </c>
      <c r="D1570" s="3" t="n">
        <v>9487000</v>
      </c>
      <c r="E1570" s="3" t="s">
        <v>114</v>
      </c>
      <c r="F1570" s="3" t="n">
        <f aca="false">IF(C1570="848630",0,1)</f>
        <v>1</v>
      </c>
    </row>
    <row r="1571" customFormat="false" ht="15" hidden="false" customHeight="false" outlineLevel="0" collapsed="false">
      <c r="A1571" s="12" t="n">
        <v>44958</v>
      </c>
      <c r="B1571" s="9" t="s">
        <v>93</v>
      </c>
      <c r="C1571" s="3" t="s">
        <v>110</v>
      </c>
      <c r="D1571" s="3" t="n">
        <v>36152000</v>
      </c>
      <c r="E1571" s="3" t="s">
        <v>114</v>
      </c>
      <c r="F1571" s="3" t="n">
        <f aca="false">IF(C1571="848630",0,1)</f>
        <v>1</v>
      </c>
    </row>
    <row r="1572" customFormat="false" ht="15" hidden="false" customHeight="false" outlineLevel="0" collapsed="false">
      <c r="A1572" s="12" t="n">
        <v>44958</v>
      </c>
      <c r="B1572" s="9" t="s">
        <v>93</v>
      </c>
      <c r="C1572" s="3" t="s">
        <v>111</v>
      </c>
      <c r="D1572" s="3" t="n">
        <v>3000</v>
      </c>
      <c r="E1572" s="3" t="s">
        <v>114</v>
      </c>
      <c r="F1572" s="3" t="n">
        <f aca="false">IF(C1572="848630",0,1)</f>
        <v>1</v>
      </c>
    </row>
    <row r="1573" customFormat="false" ht="15" hidden="false" customHeight="false" outlineLevel="0" collapsed="false">
      <c r="A1573" s="12" t="n">
        <v>44958</v>
      </c>
      <c r="B1573" s="9" t="s">
        <v>93</v>
      </c>
      <c r="C1573" s="3" t="s">
        <v>111</v>
      </c>
      <c r="D1573" s="3" t="n">
        <v>24505000</v>
      </c>
      <c r="E1573" s="3" t="s">
        <v>114</v>
      </c>
      <c r="F1573" s="3" t="n">
        <f aca="false">IF(C1573="848630",0,1)</f>
        <v>1</v>
      </c>
    </row>
    <row r="1574" customFormat="false" ht="15" hidden="false" customHeight="false" outlineLevel="0" collapsed="false">
      <c r="A1574" s="12" t="n">
        <v>44986</v>
      </c>
      <c r="B1574" s="9" t="s">
        <v>93</v>
      </c>
      <c r="C1574" s="3" t="s">
        <v>105</v>
      </c>
      <c r="D1574" s="3" t="n">
        <v>3243000</v>
      </c>
      <c r="E1574" s="3" t="s">
        <v>114</v>
      </c>
      <c r="F1574" s="3" t="n">
        <f aca="false">IF(C1574="848630",0,1)</f>
        <v>1</v>
      </c>
    </row>
    <row r="1575" customFormat="false" ht="15" hidden="false" customHeight="false" outlineLevel="0" collapsed="false">
      <c r="A1575" s="12" t="n">
        <v>44986</v>
      </c>
      <c r="B1575" s="9" t="s">
        <v>93</v>
      </c>
      <c r="C1575" s="3" t="s">
        <v>105</v>
      </c>
      <c r="D1575" s="3" t="n">
        <v>9689000</v>
      </c>
      <c r="E1575" s="3" t="s">
        <v>114</v>
      </c>
      <c r="F1575" s="3" t="n">
        <f aca="false">IF(C1575="848630",0,1)</f>
        <v>1</v>
      </c>
    </row>
    <row r="1576" customFormat="false" ht="15" hidden="false" customHeight="false" outlineLevel="0" collapsed="false">
      <c r="A1576" s="12" t="n">
        <v>44986</v>
      </c>
      <c r="B1576" s="9" t="s">
        <v>93</v>
      </c>
      <c r="C1576" s="3" t="s">
        <v>105</v>
      </c>
      <c r="D1576" s="3" t="n">
        <v>165000</v>
      </c>
      <c r="E1576" s="3" t="s">
        <v>114</v>
      </c>
      <c r="F1576" s="3" t="n">
        <f aca="false">IF(C1576="848630",0,1)</f>
        <v>1</v>
      </c>
    </row>
    <row r="1577" customFormat="false" ht="15" hidden="false" customHeight="false" outlineLevel="0" collapsed="false">
      <c r="A1577" s="12" t="n">
        <v>44986</v>
      </c>
      <c r="B1577" s="9" t="s">
        <v>93</v>
      </c>
      <c r="C1577" s="3" t="s">
        <v>105</v>
      </c>
      <c r="D1577" s="3" t="n">
        <v>0</v>
      </c>
      <c r="E1577" s="3" t="s">
        <v>114</v>
      </c>
      <c r="F1577" s="3" t="n">
        <f aca="false">IF(C1577="848630",0,1)</f>
        <v>1</v>
      </c>
    </row>
    <row r="1578" customFormat="false" ht="15" hidden="false" customHeight="false" outlineLevel="0" collapsed="false">
      <c r="A1578" s="12" t="n">
        <v>44986</v>
      </c>
      <c r="B1578" s="9" t="s">
        <v>93</v>
      </c>
      <c r="C1578" s="3" t="s">
        <v>105</v>
      </c>
      <c r="D1578" s="3" t="n">
        <v>24000</v>
      </c>
      <c r="E1578" s="3" t="s">
        <v>114</v>
      </c>
      <c r="F1578" s="3" t="n">
        <f aca="false">IF(C1578="848630",0,1)</f>
        <v>1</v>
      </c>
    </row>
    <row r="1579" customFormat="false" ht="15" hidden="false" customHeight="false" outlineLevel="0" collapsed="false">
      <c r="A1579" s="12" t="n">
        <v>44986</v>
      </c>
      <c r="B1579" s="9" t="s">
        <v>93</v>
      </c>
      <c r="C1579" s="3" t="s">
        <v>107</v>
      </c>
      <c r="D1579" s="3" t="n">
        <v>69000</v>
      </c>
      <c r="E1579" s="3" t="s">
        <v>114</v>
      </c>
      <c r="F1579" s="3" t="n">
        <f aca="false">IF(C1579="848630",0,1)</f>
        <v>1</v>
      </c>
    </row>
    <row r="1580" customFormat="false" ht="15" hidden="false" customHeight="false" outlineLevel="0" collapsed="false">
      <c r="A1580" s="12" t="n">
        <v>44986</v>
      </c>
      <c r="B1580" s="9" t="s">
        <v>93</v>
      </c>
      <c r="C1580" s="3" t="s">
        <v>107</v>
      </c>
      <c r="D1580" s="3" t="n">
        <v>121000</v>
      </c>
      <c r="E1580" s="3" t="s">
        <v>114</v>
      </c>
      <c r="F1580" s="3" t="n">
        <f aca="false">IF(C1580="848630",0,1)</f>
        <v>1</v>
      </c>
    </row>
    <row r="1581" customFormat="false" ht="15" hidden="false" customHeight="false" outlineLevel="0" collapsed="false">
      <c r="A1581" s="12" t="n">
        <v>44986</v>
      </c>
      <c r="B1581" s="9" t="s">
        <v>93</v>
      </c>
      <c r="C1581" s="3" t="s">
        <v>107</v>
      </c>
      <c r="D1581" s="3" t="n">
        <v>3940000</v>
      </c>
      <c r="E1581" s="3" t="s">
        <v>114</v>
      </c>
      <c r="F1581" s="3" t="n">
        <f aca="false">IF(C1581="848630",0,1)</f>
        <v>1</v>
      </c>
    </row>
    <row r="1582" customFormat="false" ht="15" hidden="false" customHeight="false" outlineLevel="0" collapsed="false">
      <c r="A1582" s="12" t="n">
        <v>44986</v>
      </c>
      <c r="B1582" s="9" t="s">
        <v>93</v>
      </c>
      <c r="C1582" s="3" t="s">
        <v>107</v>
      </c>
      <c r="D1582" s="3" t="n">
        <v>105265000</v>
      </c>
      <c r="E1582" s="3" t="s">
        <v>114</v>
      </c>
      <c r="F1582" s="3" t="n">
        <f aca="false">IF(C1582="848630",0,1)</f>
        <v>1</v>
      </c>
    </row>
    <row r="1583" customFormat="false" ht="15" hidden="false" customHeight="false" outlineLevel="0" collapsed="false">
      <c r="A1583" s="12" t="n">
        <v>44986</v>
      </c>
      <c r="B1583" s="9" t="s">
        <v>93</v>
      </c>
      <c r="C1583" s="3" t="s">
        <v>107</v>
      </c>
      <c r="D1583" s="3" t="n">
        <v>5675000</v>
      </c>
      <c r="E1583" s="3" t="s">
        <v>114</v>
      </c>
      <c r="F1583" s="3" t="n">
        <f aca="false">IF(C1583="848630",0,1)</f>
        <v>1</v>
      </c>
    </row>
    <row r="1584" customFormat="false" ht="15" hidden="false" customHeight="false" outlineLevel="0" collapsed="false">
      <c r="A1584" s="12" t="n">
        <v>44986</v>
      </c>
      <c r="B1584" s="9" t="s">
        <v>93</v>
      </c>
      <c r="C1584" s="3" t="s">
        <v>107</v>
      </c>
      <c r="D1584" s="3" t="n">
        <v>35358000</v>
      </c>
      <c r="E1584" s="3" t="s">
        <v>114</v>
      </c>
      <c r="F1584" s="3" t="n">
        <f aca="false">IF(C1584="848630",0,1)</f>
        <v>1</v>
      </c>
    </row>
    <row r="1585" customFormat="false" ht="15" hidden="false" customHeight="false" outlineLevel="0" collapsed="false">
      <c r="A1585" s="12" t="n">
        <v>44986</v>
      </c>
      <c r="B1585" s="9" t="s">
        <v>93</v>
      </c>
      <c r="C1585" s="3" t="s">
        <v>107</v>
      </c>
      <c r="D1585" s="3" t="n">
        <v>2380000</v>
      </c>
      <c r="E1585" s="3" t="s">
        <v>114</v>
      </c>
      <c r="F1585" s="3" t="n">
        <f aca="false">IF(C1585="848630",0,1)</f>
        <v>1</v>
      </c>
    </row>
    <row r="1586" customFormat="false" ht="15" hidden="false" customHeight="false" outlineLevel="0" collapsed="false">
      <c r="A1586" s="12" t="n">
        <v>44986</v>
      </c>
      <c r="B1586" s="9" t="s">
        <v>93</v>
      </c>
      <c r="C1586" s="3" t="s">
        <v>107</v>
      </c>
      <c r="D1586" s="3" t="n">
        <v>91127000</v>
      </c>
      <c r="E1586" s="3" t="s">
        <v>114</v>
      </c>
      <c r="F1586" s="3" t="n">
        <f aca="false">IF(C1586="848630",0,1)</f>
        <v>1</v>
      </c>
    </row>
    <row r="1587" customFormat="false" ht="15" hidden="false" customHeight="false" outlineLevel="0" collapsed="false">
      <c r="A1587" s="12" t="n">
        <v>44986</v>
      </c>
      <c r="B1587" s="9" t="s">
        <v>93</v>
      </c>
      <c r="C1587" s="3" t="s">
        <v>107</v>
      </c>
      <c r="D1587" s="3" t="n">
        <v>28207000</v>
      </c>
      <c r="E1587" s="3" t="s">
        <v>114</v>
      </c>
      <c r="F1587" s="3" t="n">
        <f aca="false">IF(C1587="848630",0,1)</f>
        <v>1</v>
      </c>
    </row>
    <row r="1588" customFormat="false" ht="15" hidden="false" customHeight="false" outlineLevel="0" collapsed="false">
      <c r="A1588" s="12" t="n">
        <v>44986</v>
      </c>
      <c r="B1588" s="9" t="s">
        <v>93</v>
      </c>
      <c r="C1588" s="3" t="s">
        <v>107</v>
      </c>
      <c r="D1588" s="3" t="n">
        <v>48651000</v>
      </c>
      <c r="E1588" s="3" t="s">
        <v>114</v>
      </c>
      <c r="F1588" s="3" t="n">
        <f aca="false">IF(C1588="848630",0,1)</f>
        <v>1</v>
      </c>
    </row>
    <row r="1589" customFormat="false" ht="15" hidden="false" customHeight="false" outlineLevel="0" collapsed="false">
      <c r="A1589" s="12" t="n">
        <v>44986</v>
      </c>
      <c r="B1589" s="9" t="s">
        <v>93</v>
      </c>
      <c r="C1589" s="3" t="s">
        <v>107</v>
      </c>
      <c r="D1589" s="3" t="n">
        <v>13992000</v>
      </c>
      <c r="E1589" s="3" t="s">
        <v>114</v>
      </c>
      <c r="F1589" s="3" t="n">
        <f aca="false">IF(C1589="848630",0,1)</f>
        <v>1</v>
      </c>
    </row>
    <row r="1590" customFormat="false" ht="15" hidden="false" customHeight="false" outlineLevel="0" collapsed="false">
      <c r="A1590" s="12" t="n">
        <v>44986</v>
      </c>
      <c r="B1590" s="9" t="s">
        <v>93</v>
      </c>
      <c r="C1590" s="3" t="s">
        <v>107</v>
      </c>
      <c r="D1590" s="3" t="n">
        <v>0</v>
      </c>
      <c r="E1590" s="3" t="s">
        <v>114</v>
      </c>
      <c r="F1590" s="3" t="n">
        <f aca="false">IF(C1590="848630",0,1)</f>
        <v>1</v>
      </c>
    </row>
    <row r="1591" customFormat="false" ht="15" hidden="false" customHeight="false" outlineLevel="0" collapsed="false">
      <c r="A1591" s="12" t="n">
        <v>44986</v>
      </c>
      <c r="B1591" s="9" t="s">
        <v>93</v>
      </c>
      <c r="C1591" s="3" t="s">
        <v>107</v>
      </c>
      <c r="D1591" s="3" t="n">
        <v>2372000</v>
      </c>
      <c r="E1591" s="3" t="s">
        <v>114</v>
      </c>
      <c r="F1591" s="3" t="n">
        <f aca="false">IF(C1591="848630",0,1)</f>
        <v>1</v>
      </c>
    </row>
    <row r="1592" customFormat="false" ht="15" hidden="false" customHeight="false" outlineLevel="0" collapsed="false">
      <c r="A1592" s="12" t="n">
        <v>44986</v>
      </c>
      <c r="B1592" s="9" t="s">
        <v>93</v>
      </c>
      <c r="C1592" s="3" t="s">
        <v>107</v>
      </c>
      <c r="D1592" s="3" t="n">
        <v>2789000</v>
      </c>
      <c r="E1592" s="3" t="s">
        <v>114</v>
      </c>
      <c r="F1592" s="3" t="n">
        <f aca="false">IF(C1592="848630",0,1)</f>
        <v>1</v>
      </c>
    </row>
    <row r="1593" customFormat="false" ht="15" hidden="false" customHeight="false" outlineLevel="0" collapsed="false">
      <c r="A1593" s="12" t="n">
        <v>44986</v>
      </c>
      <c r="B1593" s="9" t="s">
        <v>93</v>
      </c>
      <c r="C1593" s="3" t="s">
        <v>112</v>
      </c>
      <c r="D1593" s="3" t="n">
        <v>4403000</v>
      </c>
      <c r="E1593" s="3" t="s">
        <v>114</v>
      </c>
      <c r="F1593" s="3" t="n">
        <f aca="false">IF(C1593="848630",0,1)</f>
        <v>0</v>
      </c>
    </row>
    <row r="1594" customFormat="false" ht="15" hidden="false" customHeight="false" outlineLevel="0" collapsed="false">
      <c r="A1594" s="12" t="n">
        <v>44986</v>
      </c>
      <c r="B1594" s="9" t="s">
        <v>93</v>
      </c>
      <c r="C1594" s="3" t="s">
        <v>112</v>
      </c>
      <c r="D1594" s="3" t="n">
        <v>0</v>
      </c>
      <c r="E1594" s="3" t="s">
        <v>114</v>
      </c>
      <c r="F1594" s="3" t="n">
        <f aca="false">IF(C1594="848630",0,1)</f>
        <v>0</v>
      </c>
    </row>
    <row r="1595" customFormat="false" ht="15" hidden="false" customHeight="false" outlineLevel="0" collapsed="false">
      <c r="A1595" s="12" t="n">
        <v>44986</v>
      </c>
      <c r="B1595" s="9" t="s">
        <v>93</v>
      </c>
      <c r="C1595" s="3" t="s">
        <v>112</v>
      </c>
      <c r="D1595" s="3" t="n">
        <v>267000</v>
      </c>
      <c r="E1595" s="3" t="s">
        <v>114</v>
      </c>
      <c r="F1595" s="3" t="n">
        <f aca="false">IF(C1595="848630",0,1)</f>
        <v>0</v>
      </c>
    </row>
    <row r="1596" customFormat="false" ht="15" hidden="false" customHeight="false" outlineLevel="0" collapsed="false">
      <c r="A1596" s="12" t="n">
        <v>44986</v>
      </c>
      <c r="B1596" s="9" t="s">
        <v>93</v>
      </c>
      <c r="C1596" s="3" t="s">
        <v>112</v>
      </c>
      <c r="D1596" s="3" t="n">
        <v>1000</v>
      </c>
      <c r="E1596" s="3" t="s">
        <v>114</v>
      </c>
      <c r="F1596" s="3" t="n">
        <f aca="false">IF(C1596="848630",0,1)</f>
        <v>0</v>
      </c>
    </row>
    <row r="1597" customFormat="false" ht="15" hidden="false" customHeight="false" outlineLevel="0" collapsed="false">
      <c r="A1597" s="12" t="n">
        <v>44986</v>
      </c>
      <c r="B1597" s="9" t="s">
        <v>93</v>
      </c>
      <c r="C1597" s="3" t="s">
        <v>112</v>
      </c>
      <c r="D1597" s="3" t="n">
        <v>21000</v>
      </c>
      <c r="E1597" s="3" t="s">
        <v>114</v>
      </c>
      <c r="F1597" s="3" t="n">
        <f aca="false">IF(C1597="848630",0,1)</f>
        <v>0</v>
      </c>
    </row>
    <row r="1598" customFormat="false" ht="15" hidden="false" customHeight="false" outlineLevel="0" collapsed="false">
      <c r="A1598" s="12" t="n">
        <v>44986</v>
      </c>
      <c r="B1598" s="9" t="s">
        <v>93</v>
      </c>
      <c r="C1598" s="3" t="s">
        <v>108</v>
      </c>
      <c r="D1598" s="3" t="n">
        <v>41824000</v>
      </c>
      <c r="E1598" s="3" t="s">
        <v>114</v>
      </c>
      <c r="F1598" s="3" t="n">
        <f aca="false">IF(C1598="848630",0,1)</f>
        <v>1</v>
      </c>
    </row>
    <row r="1599" customFormat="false" ht="15" hidden="false" customHeight="false" outlineLevel="0" collapsed="false">
      <c r="A1599" s="12" t="n">
        <v>44986</v>
      </c>
      <c r="B1599" s="9" t="s">
        <v>93</v>
      </c>
      <c r="C1599" s="3" t="s">
        <v>108</v>
      </c>
      <c r="D1599" s="3" t="n">
        <v>1266000</v>
      </c>
      <c r="E1599" s="3" t="s">
        <v>114</v>
      </c>
      <c r="F1599" s="3" t="n">
        <f aca="false">IF(C1599="848630",0,1)</f>
        <v>1</v>
      </c>
    </row>
    <row r="1600" customFormat="false" ht="15" hidden="false" customHeight="false" outlineLevel="0" collapsed="false">
      <c r="A1600" s="12" t="n">
        <v>44986</v>
      </c>
      <c r="B1600" s="9" t="s">
        <v>93</v>
      </c>
      <c r="C1600" s="3" t="s">
        <v>108</v>
      </c>
      <c r="D1600" s="3" t="n">
        <v>0</v>
      </c>
      <c r="E1600" s="3" t="s">
        <v>114</v>
      </c>
      <c r="F1600" s="3" t="n">
        <f aca="false">IF(C1600="848630",0,1)</f>
        <v>1</v>
      </c>
    </row>
    <row r="1601" customFormat="false" ht="15" hidden="false" customHeight="false" outlineLevel="0" collapsed="false">
      <c r="A1601" s="12" t="n">
        <v>44986</v>
      </c>
      <c r="B1601" s="9" t="s">
        <v>93</v>
      </c>
      <c r="C1601" s="3" t="s">
        <v>108</v>
      </c>
      <c r="D1601" s="3" t="n">
        <v>1860000</v>
      </c>
      <c r="E1601" s="3" t="s">
        <v>114</v>
      </c>
      <c r="F1601" s="3" t="n">
        <f aca="false">IF(C1601="848630",0,1)</f>
        <v>1</v>
      </c>
    </row>
    <row r="1602" customFormat="false" ht="15" hidden="false" customHeight="false" outlineLevel="0" collapsed="false">
      <c r="A1602" s="12" t="n">
        <v>44986</v>
      </c>
      <c r="B1602" s="9" t="s">
        <v>93</v>
      </c>
      <c r="C1602" s="3" t="s">
        <v>108</v>
      </c>
      <c r="D1602" s="3" t="n">
        <v>443000</v>
      </c>
      <c r="E1602" s="3" t="s">
        <v>114</v>
      </c>
      <c r="F1602" s="3" t="n">
        <f aca="false">IF(C1602="848630",0,1)</f>
        <v>1</v>
      </c>
    </row>
    <row r="1603" customFormat="false" ht="15" hidden="false" customHeight="false" outlineLevel="0" collapsed="false">
      <c r="A1603" s="12" t="n">
        <v>44986</v>
      </c>
      <c r="B1603" s="9" t="s">
        <v>93</v>
      </c>
      <c r="C1603" s="3" t="s">
        <v>108</v>
      </c>
      <c r="D1603" s="3" t="n">
        <v>25000</v>
      </c>
      <c r="E1603" s="3" t="s">
        <v>114</v>
      </c>
      <c r="F1603" s="3" t="n">
        <f aca="false">IF(C1603="848630",0,1)</f>
        <v>1</v>
      </c>
    </row>
    <row r="1604" customFormat="false" ht="15" hidden="false" customHeight="false" outlineLevel="0" collapsed="false">
      <c r="A1604" s="12" t="n">
        <v>44986</v>
      </c>
      <c r="B1604" s="9" t="s">
        <v>93</v>
      </c>
      <c r="C1604" s="3" t="s">
        <v>108</v>
      </c>
      <c r="D1604" s="3" t="n">
        <v>0</v>
      </c>
      <c r="E1604" s="3" t="s">
        <v>114</v>
      </c>
      <c r="F1604" s="3" t="n">
        <f aca="false">IF(C1604="848630",0,1)</f>
        <v>1</v>
      </c>
    </row>
    <row r="1605" customFormat="false" ht="15" hidden="false" customHeight="false" outlineLevel="0" collapsed="false">
      <c r="A1605" s="12" t="n">
        <v>44986</v>
      </c>
      <c r="B1605" s="9" t="s">
        <v>93</v>
      </c>
      <c r="C1605" s="3" t="s">
        <v>108</v>
      </c>
      <c r="D1605" s="3" t="n">
        <v>12047000</v>
      </c>
      <c r="E1605" s="3" t="s">
        <v>114</v>
      </c>
      <c r="F1605" s="3" t="n">
        <f aca="false">IF(C1605="848630",0,1)</f>
        <v>1</v>
      </c>
    </row>
    <row r="1606" customFormat="false" ht="15" hidden="false" customHeight="false" outlineLevel="0" collapsed="false">
      <c r="A1606" s="12" t="n">
        <v>44986</v>
      </c>
      <c r="B1606" s="9" t="s">
        <v>93</v>
      </c>
      <c r="C1606" s="3" t="s">
        <v>108</v>
      </c>
      <c r="D1606" s="3" t="n">
        <v>1198000</v>
      </c>
      <c r="E1606" s="3" t="s">
        <v>114</v>
      </c>
      <c r="F1606" s="3" t="n">
        <f aca="false">IF(C1606="848630",0,1)</f>
        <v>1</v>
      </c>
    </row>
    <row r="1607" customFormat="false" ht="15" hidden="false" customHeight="false" outlineLevel="0" collapsed="false">
      <c r="A1607" s="12" t="n">
        <v>44986</v>
      </c>
      <c r="B1607" s="9" t="s">
        <v>93</v>
      </c>
      <c r="C1607" s="3" t="s">
        <v>108</v>
      </c>
      <c r="D1607" s="3" t="n">
        <v>2429000</v>
      </c>
      <c r="E1607" s="3" t="s">
        <v>114</v>
      </c>
      <c r="F1607" s="3" t="n">
        <f aca="false">IF(C1607="848630",0,1)</f>
        <v>1</v>
      </c>
    </row>
    <row r="1608" customFormat="false" ht="15" hidden="false" customHeight="false" outlineLevel="0" collapsed="false">
      <c r="A1608" s="12" t="n">
        <v>44986</v>
      </c>
      <c r="B1608" s="9" t="s">
        <v>93</v>
      </c>
      <c r="C1608" s="3" t="s">
        <v>109</v>
      </c>
      <c r="D1608" s="3" t="n">
        <v>2883000</v>
      </c>
      <c r="E1608" s="3" t="s">
        <v>114</v>
      </c>
      <c r="F1608" s="3" t="n">
        <f aca="false">IF(C1608="848630",0,1)</f>
        <v>1</v>
      </c>
    </row>
    <row r="1609" customFormat="false" ht="15" hidden="false" customHeight="false" outlineLevel="0" collapsed="false">
      <c r="A1609" s="12" t="n">
        <v>44986</v>
      </c>
      <c r="B1609" s="9" t="s">
        <v>93</v>
      </c>
      <c r="C1609" s="3" t="s">
        <v>109</v>
      </c>
      <c r="D1609" s="3" t="n">
        <v>12841000</v>
      </c>
      <c r="E1609" s="3" t="s">
        <v>114</v>
      </c>
      <c r="F1609" s="3" t="n">
        <f aca="false">IF(C1609="848630",0,1)</f>
        <v>1</v>
      </c>
    </row>
    <row r="1610" customFormat="false" ht="15" hidden="false" customHeight="false" outlineLevel="0" collapsed="false">
      <c r="A1610" s="12" t="n">
        <v>44986</v>
      </c>
      <c r="B1610" s="9" t="s">
        <v>93</v>
      </c>
      <c r="C1610" s="3" t="s">
        <v>109</v>
      </c>
      <c r="D1610" s="3" t="n">
        <v>22101000</v>
      </c>
      <c r="E1610" s="3" t="s">
        <v>114</v>
      </c>
      <c r="F1610" s="3" t="n">
        <f aca="false">IF(C1610="848630",0,1)</f>
        <v>1</v>
      </c>
    </row>
    <row r="1611" customFormat="false" ht="15" hidden="false" customHeight="false" outlineLevel="0" collapsed="false">
      <c r="A1611" s="12" t="n">
        <v>44986</v>
      </c>
      <c r="B1611" s="9" t="s">
        <v>93</v>
      </c>
      <c r="C1611" s="3" t="s">
        <v>109</v>
      </c>
      <c r="D1611" s="3" t="n">
        <v>9710000</v>
      </c>
      <c r="E1611" s="3" t="s">
        <v>114</v>
      </c>
      <c r="F1611" s="3" t="n">
        <f aca="false">IF(C1611="848630",0,1)</f>
        <v>1</v>
      </c>
    </row>
    <row r="1612" customFormat="false" ht="15" hidden="false" customHeight="false" outlineLevel="0" collapsed="false">
      <c r="A1612" s="12" t="n">
        <v>44986</v>
      </c>
      <c r="B1612" s="9" t="s">
        <v>93</v>
      </c>
      <c r="C1612" s="3" t="s">
        <v>109</v>
      </c>
      <c r="D1612" s="3" t="n">
        <v>320000</v>
      </c>
      <c r="E1612" s="3" t="s">
        <v>114</v>
      </c>
      <c r="F1612" s="3" t="n">
        <f aca="false">IF(C1612="848630",0,1)</f>
        <v>1</v>
      </c>
    </row>
    <row r="1613" customFormat="false" ht="15" hidden="false" customHeight="false" outlineLevel="0" collapsed="false">
      <c r="A1613" s="12" t="n">
        <v>44986</v>
      </c>
      <c r="B1613" s="9" t="s">
        <v>93</v>
      </c>
      <c r="C1613" s="3" t="s">
        <v>109</v>
      </c>
      <c r="D1613" s="3" t="n">
        <v>1039000</v>
      </c>
      <c r="E1613" s="3" t="s">
        <v>114</v>
      </c>
      <c r="F1613" s="3" t="n">
        <f aca="false">IF(C1613="848630",0,1)</f>
        <v>1</v>
      </c>
    </row>
    <row r="1614" customFormat="false" ht="15" hidden="false" customHeight="false" outlineLevel="0" collapsed="false">
      <c r="A1614" s="12" t="n">
        <v>44986</v>
      </c>
      <c r="B1614" s="9" t="s">
        <v>93</v>
      </c>
      <c r="C1614" s="3" t="s">
        <v>109</v>
      </c>
      <c r="D1614" s="3" t="n">
        <v>363000</v>
      </c>
      <c r="E1614" s="3" t="s">
        <v>114</v>
      </c>
      <c r="F1614" s="3" t="n">
        <f aca="false">IF(C1614="848630",0,1)</f>
        <v>1</v>
      </c>
    </row>
    <row r="1615" customFormat="false" ht="15" hidden="false" customHeight="false" outlineLevel="0" collapsed="false">
      <c r="A1615" s="12" t="n">
        <v>44986</v>
      </c>
      <c r="B1615" s="9" t="s">
        <v>93</v>
      </c>
      <c r="C1615" s="3" t="s">
        <v>109</v>
      </c>
      <c r="D1615" s="3" t="n">
        <v>8623000</v>
      </c>
      <c r="E1615" s="3" t="s">
        <v>114</v>
      </c>
      <c r="F1615" s="3" t="n">
        <f aca="false">IF(C1615="848630",0,1)</f>
        <v>1</v>
      </c>
    </row>
    <row r="1616" customFormat="false" ht="15" hidden="false" customHeight="false" outlineLevel="0" collapsed="false">
      <c r="A1616" s="12" t="n">
        <v>44986</v>
      </c>
      <c r="B1616" s="9" t="s">
        <v>93</v>
      </c>
      <c r="C1616" s="3" t="s">
        <v>110</v>
      </c>
      <c r="D1616" s="3" t="n">
        <v>41452000</v>
      </c>
      <c r="E1616" s="3" t="s">
        <v>114</v>
      </c>
      <c r="F1616" s="3" t="n">
        <f aca="false">IF(C1616="848630",0,1)</f>
        <v>1</v>
      </c>
    </row>
    <row r="1617" customFormat="false" ht="15" hidden="false" customHeight="false" outlineLevel="0" collapsed="false">
      <c r="A1617" s="12" t="n">
        <v>44986</v>
      </c>
      <c r="B1617" s="9" t="s">
        <v>93</v>
      </c>
      <c r="C1617" s="3" t="s">
        <v>111</v>
      </c>
      <c r="D1617" s="3" t="n">
        <v>32183000</v>
      </c>
      <c r="E1617" s="3" t="s">
        <v>114</v>
      </c>
      <c r="F1617" s="3" t="n">
        <f aca="false">IF(C1617="848630",0,1)</f>
        <v>1</v>
      </c>
    </row>
    <row r="1618" customFormat="false" ht="15" hidden="false" customHeight="false" outlineLevel="0" collapsed="false">
      <c r="A1618" s="12" t="n">
        <v>45017</v>
      </c>
      <c r="B1618" s="9" t="s">
        <v>93</v>
      </c>
      <c r="C1618" s="3" t="s">
        <v>105</v>
      </c>
      <c r="D1618" s="3" t="n">
        <v>6193000</v>
      </c>
      <c r="E1618" s="3" t="s">
        <v>114</v>
      </c>
      <c r="F1618" s="3" t="n">
        <f aca="false">IF(C1618="848630",0,1)</f>
        <v>1</v>
      </c>
    </row>
    <row r="1619" customFormat="false" ht="15" hidden="false" customHeight="false" outlineLevel="0" collapsed="false">
      <c r="A1619" s="12" t="n">
        <v>45017</v>
      </c>
      <c r="B1619" s="9" t="s">
        <v>93</v>
      </c>
      <c r="C1619" s="3" t="s">
        <v>105</v>
      </c>
      <c r="D1619" s="3" t="n">
        <v>0</v>
      </c>
      <c r="E1619" s="3" t="s">
        <v>114</v>
      </c>
      <c r="F1619" s="3" t="n">
        <f aca="false">IF(C1619="848630",0,1)</f>
        <v>1</v>
      </c>
    </row>
    <row r="1620" customFormat="false" ht="15" hidden="false" customHeight="false" outlineLevel="0" collapsed="false">
      <c r="A1620" s="12" t="n">
        <v>45017</v>
      </c>
      <c r="B1620" s="9" t="s">
        <v>93</v>
      </c>
      <c r="C1620" s="3" t="s">
        <v>105</v>
      </c>
      <c r="D1620" s="3" t="n">
        <v>0</v>
      </c>
      <c r="E1620" s="3" t="s">
        <v>114</v>
      </c>
      <c r="F1620" s="3" t="n">
        <f aca="false">IF(C1620="848630",0,1)</f>
        <v>1</v>
      </c>
    </row>
    <row r="1621" customFormat="false" ht="15" hidden="false" customHeight="false" outlineLevel="0" collapsed="false">
      <c r="A1621" s="12" t="n">
        <v>45017</v>
      </c>
      <c r="B1621" s="9" t="s">
        <v>93</v>
      </c>
      <c r="C1621" s="3" t="s">
        <v>107</v>
      </c>
      <c r="D1621" s="3" t="n">
        <v>0</v>
      </c>
      <c r="E1621" s="3" t="s">
        <v>114</v>
      </c>
      <c r="F1621" s="3" t="n">
        <f aca="false">IF(C1621="848630",0,1)</f>
        <v>1</v>
      </c>
    </row>
    <row r="1622" customFormat="false" ht="15" hidden="false" customHeight="false" outlineLevel="0" collapsed="false">
      <c r="A1622" s="12" t="n">
        <v>45017</v>
      </c>
      <c r="B1622" s="9" t="s">
        <v>93</v>
      </c>
      <c r="C1622" s="3" t="s">
        <v>107</v>
      </c>
      <c r="D1622" s="3" t="n">
        <v>17000</v>
      </c>
      <c r="E1622" s="3" t="s">
        <v>114</v>
      </c>
      <c r="F1622" s="3" t="n">
        <f aca="false">IF(C1622="848630",0,1)</f>
        <v>1</v>
      </c>
    </row>
    <row r="1623" customFormat="false" ht="15" hidden="false" customHeight="false" outlineLevel="0" collapsed="false">
      <c r="A1623" s="12" t="n">
        <v>45017</v>
      </c>
      <c r="B1623" s="9" t="s">
        <v>93</v>
      </c>
      <c r="C1623" s="3" t="s">
        <v>107</v>
      </c>
      <c r="D1623" s="3" t="n">
        <v>2738000</v>
      </c>
      <c r="E1623" s="3" t="s">
        <v>114</v>
      </c>
      <c r="F1623" s="3" t="n">
        <f aca="false">IF(C1623="848630",0,1)</f>
        <v>1</v>
      </c>
    </row>
    <row r="1624" customFormat="false" ht="15" hidden="false" customHeight="false" outlineLevel="0" collapsed="false">
      <c r="A1624" s="12" t="n">
        <v>45017</v>
      </c>
      <c r="B1624" s="9" t="s">
        <v>93</v>
      </c>
      <c r="C1624" s="3" t="s">
        <v>107</v>
      </c>
      <c r="D1624" s="3" t="n">
        <v>3133000</v>
      </c>
      <c r="E1624" s="3" t="s">
        <v>114</v>
      </c>
      <c r="F1624" s="3" t="n">
        <f aca="false">IF(C1624="848630",0,1)</f>
        <v>1</v>
      </c>
    </row>
    <row r="1625" customFormat="false" ht="15" hidden="false" customHeight="false" outlineLevel="0" collapsed="false">
      <c r="A1625" s="12" t="n">
        <v>45017</v>
      </c>
      <c r="B1625" s="9" t="s">
        <v>93</v>
      </c>
      <c r="C1625" s="3" t="s">
        <v>107</v>
      </c>
      <c r="D1625" s="3" t="n">
        <v>110451000</v>
      </c>
      <c r="E1625" s="3" t="s">
        <v>114</v>
      </c>
      <c r="F1625" s="3" t="n">
        <f aca="false">IF(C1625="848630",0,1)</f>
        <v>1</v>
      </c>
    </row>
    <row r="1626" customFormat="false" ht="15" hidden="false" customHeight="false" outlineLevel="0" collapsed="false">
      <c r="A1626" s="12" t="n">
        <v>45017</v>
      </c>
      <c r="B1626" s="9" t="s">
        <v>93</v>
      </c>
      <c r="C1626" s="3" t="s">
        <v>107</v>
      </c>
      <c r="D1626" s="3" t="n">
        <v>7390000</v>
      </c>
      <c r="E1626" s="3" t="s">
        <v>114</v>
      </c>
      <c r="F1626" s="3" t="n">
        <f aca="false">IF(C1626="848630",0,1)</f>
        <v>1</v>
      </c>
    </row>
    <row r="1627" customFormat="false" ht="15" hidden="false" customHeight="false" outlineLevel="0" collapsed="false">
      <c r="A1627" s="12" t="n">
        <v>45017</v>
      </c>
      <c r="B1627" s="9" t="s">
        <v>93</v>
      </c>
      <c r="C1627" s="3" t="s">
        <v>107</v>
      </c>
      <c r="D1627" s="3" t="n">
        <v>9176000</v>
      </c>
      <c r="E1627" s="3" t="s">
        <v>114</v>
      </c>
      <c r="F1627" s="3" t="n">
        <f aca="false">IF(C1627="848630",0,1)</f>
        <v>1</v>
      </c>
    </row>
    <row r="1628" customFormat="false" ht="15" hidden="false" customHeight="false" outlineLevel="0" collapsed="false">
      <c r="A1628" s="12" t="n">
        <v>45017</v>
      </c>
      <c r="B1628" s="9" t="s">
        <v>93</v>
      </c>
      <c r="C1628" s="3" t="s">
        <v>107</v>
      </c>
      <c r="D1628" s="3" t="n">
        <v>14132000</v>
      </c>
      <c r="E1628" s="3" t="s">
        <v>114</v>
      </c>
      <c r="F1628" s="3" t="n">
        <f aca="false">IF(C1628="848630",0,1)</f>
        <v>1</v>
      </c>
    </row>
    <row r="1629" customFormat="false" ht="15" hidden="false" customHeight="false" outlineLevel="0" collapsed="false">
      <c r="A1629" s="12" t="n">
        <v>45017</v>
      </c>
      <c r="B1629" s="9" t="s">
        <v>93</v>
      </c>
      <c r="C1629" s="3" t="s">
        <v>107</v>
      </c>
      <c r="D1629" s="3" t="n">
        <v>110000</v>
      </c>
      <c r="E1629" s="3" t="s">
        <v>114</v>
      </c>
      <c r="F1629" s="3" t="n">
        <f aca="false">IF(C1629="848630",0,1)</f>
        <v>1</v>
      </c>
    </row>
    <row r="1630" customFormat="false" ht="15" hidden="false" customHeight="false" outlineLevel="0" collapsed="false">
      <c r="A1630" s="12" t="n">
        <v>45017</v>
      </c>
      <c r="B1630" s="9" t="s">
        <v>93</v>
      </c>
      <c r="C1630" s="3" t="s">
        <v>107</v>
      </c>
      <c r="D1630" s="3" t="n">
        <v>52600000</v>
      </c>
      <c r="E1630" s="3" t="s">
        <v>114</v>
      </c>
      <c r="F1630" s="3" t="n">
        <f aca="false">IF(C1630="848630",0,1)</f>
        <v>1</v>
      </c>
    </row>
    <row r="1631" customFormat="false" ht="15" hidden="false" customHeight="false" outlineLevel="0" collapsed="false">
      <c r="A1631" s="12" t="n">
        <v>45017</v>
      </c>
      <c r="B1631" s="9" t="s">
        <v>93</v>
      </c>
      <c r="C1631" s="3" t="s">
        <v>107</v>
      </c>
      <c r="D1631" s="3" t="n">
        <v>10000</v>
      </c>
      <c r="E1631" s="3" t="s">
        <v>114</v>
      </c>
      <c r="F1631" s="3" t="n">
        <f aca="false">IF(C1631="848630",0,1)</f>
        <v>1</v>
      </c>
    </row>
    <row r="1632" customFormat="false" ht="15" hidden="false" customHeight="false" outlineLevel="0" collapsed="false">
      <c r="A1632" s="12" t="n">
        <v>45017</v>
      </c>
      <c r="B1632" s="9" t="s">
        <v>93</v>
      </c>
      <c r="C1632" s="3" t="s">
        <v>107</v>
      </c>
      <c r="D1632" s="3" t="n">
        <v>46661000</v>
      </c>
      <c r="E1632" s="3" t="s">
        <v>114</v>
      </c>
      <c r="F1632" s="3" t="n">
        <f aca="false">IF(C1632="848630",0,1)</f>
        <v>1</v>
      </c>
    </row>
    <row r="1633" customFormat="false" ht="15" hidden="false" customHeight="false" outlineLevel="0" collapsed="false">
      <c r="A1633" s="12" t="n">
        <v>45017</v>
      </c>
      <c r="B1633" s="9" t="s">
        <v>93</v>
      </c>
      <c r="C1633" s="3" t="s">
        <v>107</v>
      </c>
      <c r="D1633" s="3" t="n">
        <v>37899000</v>
      </c>
      <c r="E1633" s="3" t="s">
        <v>114</v>
      </c>
      <c r="F1633" s="3" t="n">
        <f aca="false">IF(C1633="848630",0,1)</f>
        <v>1</v>
      </c>
    </row>
    <row r="1634" customFormat="false" ht="15" hidden="false" customHeight="false" outlineLevel="0" collapsed="false">
      <c r="A1634" s="12" t="n">
        <v>45017</v>
      </c>
      <c r="B1634" s="9" t="s">
        <v>93</v>
      </c>
      <c r="C1634" s="3" t="s">
        <v>107</v>
      </c>
      <c r="D1634" s="3" t="n">
        <v>1366000</v>
      </c>
      <c r="E1634" s="3" t="s">
        <v>114</v>
      </c>
      <c r="F1634" s="3" t="n">
        <f aca="false">IF(C1634="848630",0,1)</f>
        <v>1</v>
      </c>
    </row>
    <row r="1635" customFormat="false" ht="15" hidden="false" customHeight="false" outlineLevel="0" collapsed="false">
      <c r="A1635" s="12" t="n">
        <v>45017</v>
      </c>
      <c r="B1635" s="9" t="s">
        <v>93</v>
      </c>
      <c r="C1635" s="3" t="s">
        <v>107</v>
      </c>
      <c r="D1635" s="3" t="n">
        <v>2951000</v>
      </c>
      <c r="E1635" s="3" t="s">
        <v>114</v>
      </c>
      <c r="F1635" s="3" t="n">
        <f aca="false">IF(C1635="848630",0,1)</f>
        <v>1</v>
      </c>
    </row>
    <row r="1636" customFormat="false" ht="15" hidden="false" customHeight="false" outlineLevel="0" collapsed="false">
      <c r="A1636" s="12" t="n">
        <v>45017</v>
      </c>
      <c r="B1636" s="9" t="s">
        <v>93</v>
      </c>
      <c r="C1636" s="3" t="s">
        <v>112</v>
      </c>
      <c r="D1636" s="3" t="n">
        <v>23000</v>
      </c>
      <c r="E1636" s="3" t="s">
        <v>114</v>
      </c>
      <c r="F1636" s="3" t="n">
        <f aca="false">IF(C1636="848630",0,1)</f>
        <v>0</v>
      </c>
    </row>
    <row r="1637" customFormat="false" ht="15" hidden="false" customHeight="false" outlineLevel="0" collapsed="false">
      <c r="A1637" s="12" t="n">
        <v>45017</v>
      </c>
      <c r="B1637" s="9" t="s">
        <v>93</v>
      </c>
      <c r="C1637" s="3" t="s">
        <v>112</v>
      </c>
      <c r="D1637" s="3" t="n">
        <v>0</v>
      </c>
      <c r="E1637" s="3" t="s">
        <v>114</v>
      </c>
      <c r="F1637" s="3" t="n">
        <f aca="false">IF(C1637="848630",0,1)</f>
        <v>0</v>
      </c>
    </row>
    <row r="1638" customFormat="false" ht="15" hidden="false" customHeight="false" outlineLevel="0" collapsed="false">
      <c r="A1638" s="12" t="n">
        <v>45017</v>
      </c>
      <c r="B1638" s="9" t="s">
        <v>93</v>
      </c>
      <c r="C1638" s="3" t="s">
        <v>112</v>
      </c>
      <c r="D1638" s="3" t="n">
        <v>0</v>
      </c>
      <c r="E1638" s="3" t="s">
        <v>114</v>
      </c>
      <c r="F1638" s="3" t="n">
        <f aca="false">IF(C1638="848630",0,1)</f>
        <v>0</v>
      </c>
    </row>
    <row r="1639" customFormat="false" ht="15" hidden="false" customHeight="false" outlineLevel="0" collapsed="false">
      <c r="A1639" s="12" t="n">
        <v>45017</v>
      </c>
      <c r="B1639" s="9" t="s">
        <v>93</v>
      </c>
      <c r="C1639" s="3" t="s">
        <v>108</v>
      </c>
      <c r="D1639" s="3" t="n">
        <v>0</v>
      </c>
      <c r="E1639" s="3" t="s">
        <v>114</v>
      </c>
      <c r="F1639" s="3" t="n">
        <f aca="false">IF(C1639="848630",0,1)</f>
        <v>1</v>
      </c>
    </row>
    <row r="1640" customFormat="false" ht="15" hidden="false" customHeight="false" outlineLevel="0" collapsed="false">
      <c r="A1640" s="12" t="n">
        <v>45017</v>
      </c>
      <c r="B1640" s="9" t="s">
        <v>93</v>
      </c>
      <c r="C1640" s="3" t="s">
        <v>108</v>
      </c>
      <c r="D1640" s="3" t="n">
        <v>2752000</v>
      </c>
      <c r="E1640" s="3" t="s">
        <v>114</v>
      </c>
      <c r="F1640" s="3" t="n">
        <f aca="false">IF(C1640="848630",0,1)</f>
        <v>1</v>
      </c>
    </row>
    <row r="1641" customFormat="false" ht="15" hidden="false" customHeight="false" outlineLevel="0" collapsed="false">
      <c r="A1641" s="12" t="n">
        <v>45017</v>
      </c>
      <c r="B1641" s="9" t="s">
        <v>93</v>
      </c>
      <c r="C1641" s="3" t="s">
        <v>108</v>
      </c>
      <c r="D1641" s="3" t="n">
        <v>0</v>
      </c>
      <c r="E1641" s="3" t="s">
        <v>114</v>
      </c>
      <c r="F1641" s="3" t="n">
        <f aca="false">IF(C1641="848630",0,1)</f>
        <v>1</v>
      </c>
    </row>
    <row r="1642" customFormat="false" ht="15" hidden="false" customHeight="false" outlineLevel="0" collapsed="false">
      <c r="A1642" s="12" t="n">
        <v>45017</v>
      </c>
      <c r="B1642" s="9" t="s">
        <v>93</v>
      </c>
      <c r="C1642" s="3" t="s">
        <v>108</v>
      </c>
      <c r="D1642" s="3" t="n">
        <v>2907000</v>
      </c>
      <c r="E1642" s="3" t="s">
        <v>114</v>
      </c>
      <c r="F1642" s="3" t="n">
        <f aca="false">IF(C1642="848630",0,1)</f>
        <v>1</v>
      </c>
    </row>
    <row r="1643" customFormat="false" ht="15" hidden="false" customHeight="false" outlineLevel="0" collapsed="false">
      <c r="A1643" s="12" t="n">
        <v>45017</v>
      </c>
      <c r="B1643" s="9" t="s">
        <v>93</v>
      </c>
      <c r="C1643" s="3" t="s">
        <v>108</v>
      </c>
      <c r="D1643" s="3" t="n">
        <v>5000</v>
      </c>
      <c r="E1643" s="3" t="s">
        <v>114</v>
      </c>
      <c r="F1643" s="3" t="n">
        <f aca="false">IF(C1643="848630",0,1)</f>
        <v>1</v>
      </c>
    </row>
    <row r="1644" customFormat="false" ht="15" hidden="false" customHeight="false" outlineLevel="0" collapsed="false">
      <c r="A1644" s="12" t="n">
        <v>45017</v>
      </c>
      <c r="B1644" s="9" t="s">
        <v>93</v>
      </c>
      <c r="C1644" s="3" t="s">
        <v>108</v>
      </c>
      <c r="D1644" s="3" t="n">
        <v>569000</v>
      </c>
      <c r="E1644" s="3" t="s">
        <v>114</v>
      </c>
      <c r="F1644" s="3" t="n">
        <f aca="false">IF(C1644="848630",0,1)</f>
        <v>1</v>
      </c>
    </row>
    <row r="1645" customFormat="false" ht="15" hidden="false" customHeight="false" outlineLevel="0" collapsed="false">
      <c r="A1645" s="12" t="n">
        <v>45017</v>
      </c>
      <c r="B1645" s="9" t="s">
        <v>93</v>
      </c>
      <c r="C1645" s="3" t="s">
        <v>108</v>
      </c>
      <c r="D1645" s="3" t="n">
        <v>3537000</v>
      </c>
      <c r="E1645" s="3" t="s">
        <v>114</v>
      </c>
      <c r="F1645" s="3" t="n">
        <f aca="false">IF(C1645="848630",0,1)</f>
        <v>1</v>
      </c>
    </row>
    <row r="1646" customFormat="false" ht="15" hidden="false" customHeight="false" outlineLevel="0" collapsed="false">
      <c r="A1646" s="12" t="n">
        <v>45017</v>
      </c>
      <c r="B1646" s="9" t="s">
        <v>93</v>
      </c>
      <c r="C1646" s="3" t="s">
        <v>108</v>
      </c>
      <c r="D1646" s="3" t="n">
        <v>1387000</v>
      </c>
      <c r="E1646" s="3" t="s">
        <v>114</v>
      </c>
      <c r="F1646" s="3" t="n">
        <f aca="false">IF(C1646="848630",0,1)</f>
        <v>1</v>
      </c>
    </row>
    <row r="1647" customFormat="false" ht="15" hidden="false" customHeight="false" outlineLevel="0" collapsed="false">
      <c r="A1647" s="12" t="n">
        <v>45017</v>
      </c>
      <c r="B1647" s="9" t="s">
        <v>93</v>
      </c>
      <c r="C1647" s="3" t="s">
        <v>108</v>
      </c>
      <c r="D1647" s="3" t="n">
        <v>6799000</v>
      </c>
      <c r="E1647" s="3" t="s">
        <v>114</v>
      </c>
      <c r="F1647" s="3" t="n">
        <f aca="false">IF(C1647="848630",0,1)</f>
        <v>1</v>
      </c>
    </row>
    <row r="1648" customFormat="false" ht="15" hidden="false" customHeight="false" outlineLevel="0" collapsed="false">
      <c r="A1648" s="12" t="n">
        <v>45017</v>
      </c>
      <c r="B1648" s="9" t="s">
        <v>93</v>
      </c>
      <c r="C1648" s="3" t="s">
        <v>108</v>
      </c>
      <c r="D1648" s="3" t="n">
        <v>1221000</v>
      </c>
      <c r="E1648" s="3" t="s">
        <v>114</v>
      </c>
      <c r="F1648" s="3" t="n">
        <f aca="false">IF(C1648="848630",0,1)</f>
        <v>1</v>
      </c>
    </row>
    <row r="1649" customFormat="false" ht="15" hidden="false" customHeight="false" outlineLevel="0" collapsed="false">
      <c r="A1649" s="12" t="n">
        <v>45017</v>
      </c>
      <c r="B1649" s="9" t="s">
        <v>93</v>
      </c>
      <c r="C1649" s="3" t="s">
        <v>108</v>
      </c>
      <c r="D1649" s="3" t="n">
        <v>617000</v>
      </c>
      <c r="E1649" s="3" t="s">
        <v>114</v>
      </c>
      <c r="F1649" s="3" t="n">
        <f aca="false">IF(C1649="848630",0,1)</f>
        <v>1</v>
      </c>
    </row>
    <row r="1650" customFormat="false" ht="15" hidden="false" customHeight="false" outlineLevel="0" collapsed="false">
      <c r="A1650" s="12" t="n">
        <v>45017</v>
      </c>
      <c r="B1650" s="9" t="s">
        <v>93</v>
      </c>
      <c r="C1650" s="3" t="s">
        <v>109</v>
      </c>
      <c r="D1650" s="3" t="n">
        <v>3825000</v>
      </c>
      <c r="E1650" s="3" t="s">
        <v>114</v>
      </c>
      <c r="F1650" s="3" t="n">
        <f aca="false">IF(C1650="848630",0,1)</f>
        <v>1</v>
      </c>
    </row>
    <row r="1651" customFormat="false" ht="15" hidden="false" customHeight="false" outlineLevel="0" collapsed="false">
      <c r="A1651" s="12" t="n">
        <v>45017</v>
      </c>
      <c r="B1651" s="9" t="s">
        <v>93</v>
      </c>
      <c r="C1651" s="3" t="s">
        <v>109</v>
      </c>
      <c r="D1651" s="3" t="n">
        <v>12112000</v>
      </c>
      <c r="E1651" s="3" t="s">
        <v>114</v>
      </c>
      <c r="F1651" s="3" t="n">
        <f aca="false">IF(C1651="848630",0,1)</f>
        <v>1</v>
      </c>
    </row>
    <row r="1652" customFormat="false" ht="15" hidden="false" customHeight="false" outlineLevel="0" collapsed="false">
      <c r="A1652" s="12" t="n">
        <v>45017</v>
      </c>
      <c r="B1652" s="9" t="s">
        <v>93</v>
      </c>
      <c r="C1652" s="3" t="s">
        <v>109</v>
      </c>
      <c r="D1652" s="3" t="n">
        <v>22494000</v>
      </c>
      <c r="E1652" s="3" t="s">
        <v>114</v>
      </c>
      <c r="F1652" s="3" t="n">
        <f aca="false">IF(C1652="848630",0,1)</f>
        <v>1</v>
      </c>
    </row>
    <row r="1653" customFormat="false" ht="15" hidden="false" customHeight="false" outlineLevel="0" collapsed="false">
      <c r="A1653" s="12" t="n">
        <v>45017</v>
      </c>
      <c r="B1653" s="9" t="s">
        <v>93</v>
      </c>
      <c r="C1653" s="3" t="s">
        <v>109</v>
      </c>
      <c r="D1653" s="3" t="n">
        <v>6731000</v>
      </c>
      <c r="E1653" s="3" t="s">
        <v>114</v>
      </c>
      <c r="F1653" s="3" t="n">
        <f aca="false">IF(C1653="848630",0,1)</f>
        <v>1</v>
      </c>
    </row>
    <row r="1654" customFormat="false" ht="15" hidden="false" customHeight="false" outlineLevel="0" collapsed="false">
      <c r="A1654" s="12" t="n">
        <v>45017</v>
      </c>
      <c r="B1654" s="9" t="s">
        <v>93</v>
      </c>
      <c r="C1654" s="3" t="s">
        <v>109</v>
      </c>
      <c r="D1654" s="3" t="n">
        <v>1438000</v>
      </c>
      <c r="E1654" s="3" t="s">
        <v>114</v>
      </c>
      <c r="F1654" s="3" t="n">
        <f aca="false">IF(C1654="848630",0,1)</f>
        <v>1</v>
      </c>
    </row>
    <row r="1655" customFormat="false" ht="15" hidden="false" customHeight="false" outlineLevel="0" collapsed="false">
      <c r="A1655" s="12" t="n">
        <v>45017</v>
      </c>
      <c r="B1655" s="9" t="s">
        <v>93</v>
      </c>
      <c r="C1655" s="3" t="s">
        <v>109</v>
      </c>
      <c r="D1655" s="3" t="n">
        <v>3137000</v>
      </c>
      <c r="E1655" s="3" t="s">
        <v>114</v>
      </c>
      <c r="F1655" s="3" t="n">
        <f aca="false">IF(C1655="848630",0,1)</f>
        <v>1</v>
      </c>
    </row>
    <row r="1656" customFormat="false" ht="15" hidden="false" customHeight="false" outlineLevel="0" collapsed="false">
      <c r="A1656" s="12" t="n">
        <v>45017</v>
      </c>
      <c r="B1656" s="9" t="s">
        <v>93</v>
      </c>
      <c r="C1656" s="3" t="s">
        <v>109</v>
      </c>
      <c r="D1656" s="3" t="n">
        <v>550000</v>
      </c>
      <c r="E1656" s="3" t="s">
        <v>114</v>
      </c>
      <c r="F1656" s="3" t="n">
        <f aca="false">IF(C1656="848630",0,1)</f>
        <v>1</v>
      </c>
    </row>
    <row r="1657" customFormat="false" ht="15" hidden="false" customHeight="false" outlineLevel="0" collapsed="false">
      <c r="A1657" s="12" t="n">
        <v>45017</v>
      </c>
      <c r="B1657" s="9" t="s">
        <v>93</v>
      </c>
      <c r="C1657" s="3" t="s">
        <v>109</v>
      </c>
      <c r="D1657" s="3" t="n">
        <v>7241000</v>
      </c>
      <c r="E1657" s="3" t="s">
        <v>114</v>
      </c>
      <c r="F1657" s="3" t="n">
        <f aca="false">IF(C1657="848630",0,1)</f>
        <v>1</v>
      </c>
    </row>
    <row r="1658" customFormat="false" ht="15" hidden="false" customHeight="false" outlineLevel="0" collapsed="false">
      <c r="A1658" s="12" t="n">
        <v>45017</v>
      </c>
      <c r="B1658" s="9" t="s">
        <v>93</v>
      </c>
      <c r="C1658" s="3" t="s">
        <v>110</v>
      </c>
      <c r="D1658" s="3" t="n">
        <v>27533000</v>
      </c>
      <c r="E1658" s="3" t="s">
        <v>114</v>
      </c>
      <c r="F1658" s="3" t="n">
        <f aca="false">IF(C1658="848630",0,1)</f>
        <v>1</v>
      </c>
    </row>
    <row r="1659" customFormat="false" ht="15" hidden="false" customHeight="false" outlineLevel="0" collapsed="false">
      <c r="A1659" s="12" t="n">
        <v>45017</v>
      </c>
      <c r="B1659" s="9" t="s">
        <v>93</v>
      </c>
      <c r="C1659" s="3" t="s">
        <v>111</v>
      </c>
      <c r="D1659" s="3" t="n">
        <v>44926000</v>
      </c>
      <c r="E1659" s="3" t="s">
        <v>114</v>
      </c>
      <c r="F1659" s="3" t="n">
        <f aca="false">IF(C1659="848630",0,1)</f>
        <v>1</v>
      </c>
    </row>
    <row r="1660" customFormat="false" ht="15" hidden="false" customHeight="false" outlineLevel="0" collapsed="false">
      <c r="A1660" s="12" t="n">
        <v>45047</v>
      </c>
      <c r="B1660" s="9" t="s">
        <v>93</v>
      </c>
      <c r="C1660" s="3" t="s">
        <v>105</v>
      </c>
      <c r="D1660" s="3" t="n">
        <v>207000</v>
      </c>
      <c r="E1660" s="3" t="s">
        <v>114</v>
      </c>
      <c r="F1660" s="3" t="n">
        <f aca="false">IF(C1660="848630",0,1)</f>
        <v>1</v>
      </c>
    </row>
    <row r="1661" customFormat="false" ht="15" hidden="false" customHeight="false" outlineLevel="0" collapsed="false">
      <c r="A1661" s="12" t="n">
        <v>45047</v>
      </c>
      <c r="B1661" s="9" t="s">
        <v>93</v>
      </c>
      <c r="C1661" s="3" t="s">
        <v>105</v>
      </c>
      <c r="D1661" s="3" t="n">
        <v>437000</v>
      </c>
      <c r="E1661" s="3" t="s">
        <v>114</v>
      </c>
      <c r="F1661" s="3" t="n">
        <f aca="false">IF(C1661="848630",0,1)</f>
        <v>1</v>
      </c>
    </row>
    <row r="1662" customFormat="false" ht="15" hidden="false" customHeight="false" outlineLevel="0" collapsed="false">
      <c r="A1662" s="12" t="n">
        <v>45047</v>
      </c>
      <c r="B1662" s="9" t="s">
        <v>93</v>
      </c>
      <c r="C1662" s="3" t="s">
        <v>105</v>
      </c>
      <c r="D1662" s="3" t="n">
        <v>1903000</v>
      </c>
      <c r="E1662" s="3" t="s">
        <v>114</v>
      </c>
      <c r="F1662" s="3" t="n">
        <f aca="false">IF(C1662="848630",0,1)</f>
        <v>1</v>
      </c>
    </row>
    <row r="1663" customFormat="false" ht="15" hidden="false" customHeight="false" outlineLevel="0" collapsed="false">
      <c r="A1663" s="12" t="n">
        <v>45047</v>
      </c>
      <c r="B1663" s="9" t="s">
        <v>93</v>
      </c>
      <c r="C1663" s="3" t="s">
        <v>105</v>
      </c>
      <c r="D1663" s="3" t="n">
        <v>186000</v>
      </c>
      <c r="E1663" s="3" t="s">
        <v>114</v>
      </c>
      <c r="F1663" s="3" t="n">
        <f aca="false">IF(C1663="848630",0,1)</f>
        <v>1</v>
      </c>
    </row>
    <row r="1664" customFormat="false" ht="15" hidden="false" customHeight="false" outlineLevel="0" collapsed="false">
      <c r="A1664" s="12" t="n">
        <v>45047</v>
      </c>
      <c r="B1664" s="9" t="s">
        <v>93</v>
      </c>
      <c r="C1664" s="3" t="s">
        <v>107</v>
      </c>
      <c r="D1664" s="3" t="n">
        <v>1936000</v>
      </c>
      <c r="E1664" s="3" t="s">
        <v>114</v>
      </c>
      <c r="F1664" s="3" t="n">
        <f aca="false">IF(C1664="848630",0,1)</f>
        <v>1</v>
      </c>
    </row>
    <row r="1665" customFormat="false" ht="15" hidden="false" customHeight="false" outlineLevel="0" collapsed="false">
      <c r="A1665" s="12" t="n">
        <v>45047</v>
      </c>
      <c r="B1665" s="9" t="s">
        <v>93</v>
      </c>
      <c r="C1665" s="3" t="s">
        <v>107</v>
      </c>
      <c r="D1665" s="3" t="n">
        <v>34000</v>
      </c>
      <c r="E1665" s="3" t="s">
        <v>114</v>
      </c>
      <c r="F1665" s="3" t="n">
        <f aca="false">IF(C1665="848630",0,1)</f>
        <v>1</v>
      </c>
    </row>
    <row r="1666" customFormat="false" ht="15" hidden="false" customHeight="false" outlineLevel="0" collapsed="false">
      <c r="A1666" s="12" t="n">
        <v>45047</v>
      </c>
      <c r="B1666" s="9" t="s">
        <v>93</v>
      </c>
      <c r="C1666" s="3" t="s">
        <v>107</v>
      </c>
      <c r="D1666" s="3" t="n">
        <v>91519000</v>
      </c>
      <c r="E1666" s="3" t="s">
        <v>114</v>
      </c>
      <c r="F1666" s="3" t="n">
        <f aca="false">IF(C1666="848630",0,1)</f>
        <v>1</v>
      </c>
    </row>
    <row r="1667" customFormat="false" ht="15" hidden="false" customHeight="false" outlineLevel="0" collapsed="false">
      <c r="A1667" s="12" t="n">
        <v>45047</v>
      </c>
      <c r="B1667" s="9" t="s">
        <v>93</v>
      </c>
      <c r="C1667" s="3" t="s">
        <v>107</v>
      </c>
      <c r="D1667" s="3" t="n">
        <v>6922000</v>
      </c>
      <c r="E1667" s="3" t="s">
        <v>114</v>
      </c>
      <c r="F1667" s="3" t="n">
        <f aca="false">IF(C1667="848630",0,1)</f>
        <v>1</v>
      </c>
    </row>
    <row r="1668" customFormat="false" ht="15" hidden="false" customHeight="false" outlineLevel="0" collapsed="false">
      <c r="A1668" s="12" t="n">
        <v>45047</v>
      </c>
      <c r="B1668" s="9" t="s">
        <v>93</v>
      </c>
      <c r="C1668" s="3" t="s">
        <v>107</v>
      </c>
      <c r="D1668" s="3" t="n">
        <v>18082000</v>
      </c>
      <c r="E1668" s="3" t="s">
        <v>114</v>
      </c>
      <c r="F1668" s="3" t="n">
        <f aca="false">IF(C1668="848630",0,1)</f>
        <v>1</v>
      </c>
    </row>
    <row r="1669" customFormat="false" ht="15" hidden="false" customHeight="false" outlineLevel="0" collapsed="false">
      <c r="A1669" s="12" t="n">
        <v>45047</v>
      </c>
      <c r="B1669" s="9" t="s">
        <v>93</v>
      </c>
      <c r="C1669" s="3" t="s">
        <v>107</v>
      </c>
      <c r="D1669" s="3" t="n">
        <v>17219000</v>
      </c>
      <c r="E1669" s="3" t="s">
        <v>114</v>
      </c>
      <c r="F1669" s="3" t="n">
        <f aca="false">IF(C1669="848630",0,1)</f>
        <v>1</v>
      </c>
    </row>
    <row r="1670" customFormat="false" ht="15" hidden="false" customHeight="false" outlineLevel="0" collapsed="false">
      <c r="A1670" s="12" t="n">
        <v>45047</v>
      </c>
      <c r="B1670" s="9" t="s">
        <v>93</v>
      </c>
      <c r="C1670" s="3" t="s">
        <v>107</v>
      </c>
      <c r="D1670" s="3" t="n">
        <v>65495000</v>
      </c>
      <c r="E1670" s="3" t="s">
        <v>114</v>
      </c>
      <c r="F1670" s="3" t="n">
        <f aca="false">IF(C1670="848630",0,1)</f>
        <v>1</v>
      </c>
    </row>
    <row r="1671" customFormat="false" ht="15" hidden="false" customHeight="false" outlineLevel="0" collapsed="false">
      <c r="A1671" s="12" t="n">
        <v>45047</v>
      </c>
      <c r="B1671" s="9" t="s">
        <v>93</v>
      </c>
      <c r="C1671" s="3" t="s">
        <v>107</v>
      </c>
      <c r="D1671" s="3" t="n">
        <v>42073000</v>
      </c>
      <c r="E1671" s="3" t="s">
        <v>114</v>
      </c>
      <c r="F1671" s="3" t="n">
        <f aca="false">IF(C1671="848630",0,1)</f>
        <v>1</v>
      </c>
    </row>
    <row r="1672" customFormat="false" ht="15" hidden="false" customHeight="false" outlineLevel="0" collapsed="false">
      <c r="A1672" s="12" t="n">
        <v>45047</v>
      </c>
      <c r="B1672" s="9" t="s">
        <v>93</v>
      </c>
      <c r="C1672" s="3" t="s">
        <v>107</v>
      </c>
      <c r="D1672" s="3" t="n">
        <v>20756000</v>
      </c>
      <c r="E1672" s="3" t="s">
        <v>114</v>
      </c>
      <c r="F1672" s="3" t="n">
        <f aca="false">IF(C1672="848630",0,1)</f>
        <v>1</v>
      </c>
    </row>
    <row r="1673" customFormat="false" ht="15" hidden="false" customHeight="false" outlineLevel="0" collapsed="false">
      <c r="A1673" s="12" t="n">
        <v>45047</v>
      </c>
      <c r="B1673" s="9" t="s">
        <v>93</v>
      </c>
      <c r="C1673" s="3" t="s">
        <v>107</v>
      </c>
      <c r="D1673" s="3" t="n">
        <v>426000</v>
      </c>
      <c r="E1673" s="3" t="s">
        <v>114</v>
      </c>
      <c r="F1673" s="3" t="n">
        <f aca="false">IF(C1673="848630",0,1)</f>
        <v>1</v>
      </c>
    </row>
    <row r="1674" customFormat="false" ht="15" hidden="false" customHeight="false" outlineLevel="0" collapsed="false">
      <c r="A1674" s="12" t="n">
        <v>45047</v>
      </c>
      <c r="B1674" s="9" t="s">
        <v>93</v>
      </c>
      <c r="C1674" s="3" t="s">
        <v>107</v>
      </c>
      <c r="D1674" s="3" t="n">
        <v>3150000</v>
      </c>
      <c r="E1674" s="3" t="s">
        <v>114</v>
      </c>
      <c r="F1674" s="3" t="n">
        <f aca="false">IF(C1674="848630",0,1)</f>
        <v>1</v>
      </c>
    </row>
    <row r="1675" customFormat="false" ht="15" hidden="false" customHeight="false" outlineLevel="0" collapsed="false">
      <c r="A1675" s="12" t="n">
        <v>45047</v>
      </c>
      <c r="B1675" s="9" t="s">
        <v>93</v>
      </c>
      <c r="C1675" s="3" t="s">
        <v>112</v>
      </c>
      <c r="D1675" s="3" t="n">
        <v>5000</v>
      </c>
      <c r="E1675" s="3" t="s">
        <v>114</v>
      </c>
      <c r="F1675" s="3" t="n">
        <f aca="false">IF(C1675="848630",0,1)</f>
        <v>0</v>
      </c>
    </row>
    <row r="1676" customFormat="false" ht="15" hidden="false" customHeight="false" outlineLevel="0" collapsed="false">
      <c r="A1676" s="12" t="n">
        <v>45047</v>
      </c>
      <c r="B1676" s="9" t="s">
        <v>93</v>
      </c>
      <c r="C1676" s="3" t="s">
        <v>112</v>
      </c>
      <c r="D1676" s="3" t="n">
        <v>0</v>
      </c>
      <c r="E1676" s="3" t="s">
        <v>114</v>
      </c>
      <c r="F1676" s="3" t="n">
        <f aca="false">IF(C1676="848630",0,1)</f>
        <v>0</v>
      </c>
    </row>
    <row r="1677" customFormat="false" ht="15" hidden="false" customHeight="false" outlineLevel="0" collapsed="false">
      <c r="A1677" s="12" t="n">
        <v>45047</v>
      </c>
      <c r="B1677" s="9" t="s">
        <v>93</v>
      </c>
      <c r="C1677" s="3" t="s">
        <v>112</v>
      </c>
      <c r="D1677" s="3" t="n">
        <v>0</v>
      </c>
      <c r="E1677" s="3" t="s">
        <v>114</v>
      </c>
      <c r="F1677" s="3" t="n">
        <f aca="false">IF(C1677="848630",0,1)</f>
        <v>0</v>
      </c>
    </row>
    <row r="1678" customFormat="false" ht="15" hidden="false" customHeight="false" outlineLevel="0" collapsed="false">
      <c r="A1678" s="12" t="n">
        <v>45047</v>
      </c>
      <c r="B1678" s="9" t="s">
        <v>93</v>
      </c>
      <c r="C1678" s="3" t="s">
        <v>112</v>
      </c>
      <c r="D1678" s="3" t="n">
        <v>0</v>
      </c>
      <c r="E1678" s="3" t="s">
        <v>114</v>
      </c>
      <c r="F1678" s="3" t="n">
        <f aca="false">IF(C1678="848630",0,1)</f>
        <v>0</v>
      </c>
    </row>
    <row r="1679" customFormat="false" ht="15" hidden="false" customHeight="false" outlineLevel="0" collapsed="false">
      <c r="A1679" s="12" t="n">
        <v>45047</v>
      </c>
      <c r="B1679" s="9" t="s">
        <v>93</v>
      </c>
      <c r="C1679" s="3" t="s">
        <v>108</v>
      </c>
      <c r="D1679" s="3" t="n">
        <v>0</v>
      </c>
      <c r="E1679" s="3" t="s">
        <v>114</v>
      </c>
      <c r="F1679" s="3" t="n">
        <f aca="false">IF(C1679="848630",0,1)</f>
        <v>1</v>
      </c>
    </row>
    <row r="1680" customFormat="false" ht="15" hidden="false" customHeight="false" outlineLevel="0" collapsed="false">
      <c r="A1680" s="12" t="n">
        <v>45047</v>
      </c>
      <c r="B1680" s="9" t="s">
        <v>93</v>
      </c>
      <c r="C1680" s="3" t="s">
        <v>108</v>
      </c>
      <c r="D1680" s="3" t="n">
        <v>54000</v>
      </c>
      <c r="E1680" s="3" t="s">
        <v>114</v>
      </c>
      <c r="F1680" s="3" t="n">
        <f aca="false">IF(C1680="848630",0,1)</f>
        <v>1</v>
      </c>
    </row>
    <row r="1681" customFormat="false" ht="15" hidden="false" customHeight="false" outlineLevel="0" collapsed="false">
      <c r="A1681" s="12" t="n">
        <v>45047</v>
      </c>
      <c r="B1681" s="9" t="s">
        <v>93</v>
      </c>
      <c r="C1681" s="3" t="s">
        <v>108</v>
      </c>
      <c r="D1681" s="3" t="n">
        <v>422000</v>
      </c>
      <c r="E1681" s="3" t="s">
        <v>114</v>
      </c>
      <c r="F1681" s="3" t="n">
        <f aca="false">IF(C1681="848630",0,1)</f>
        <v>1</v>
      </c>
    </row>
    <row r="1682" customFormat="false" ht="15" hidden="false" customHeight="false" outlineLevel="0" collapsed="false">
      <c r="A1682" s="12" t="n">
        <v>45047</v>
      </c>
      <c r="B1682" s="9" t="s">
        <v>93</v>
      </c>
      <c r="C1682" s="3" t="s">
        <v>108</v>
      </c>
      <c r="D1682" s="3" t="n">
        <v>0</v>
      </c>
      <c r="E1682" s="3" t="s">
        <v>114</v>
      </c>
      <c r="F1682" s="3" t="n">
        <f aca="false">IF(C1682="848630",0,1)</f>
        <v>1</v>
      </c>
    </row>
    <row r="1683" customFormat="false" ht="15" hidden="false" customHeight="false" outlineLevel="0" collapsed="false">
      <c r="A1683" s="12" t="n">
        <v>45047</v>
      </c>
      <c r="B1683" s="9" t="s">
        <v>93</v>
      </c>
      <c r="C1683" s="3" t="s">
        <v>108</v>
      </c>
      <c r="D1683" s="3" t="n">
        <v>82000</v>
      </c>
      <c r="E1683" s="3" t="s">
        <v>114</v>
      </c>
      <c r="F1683" s="3" t="n">
        <f aca="false">IF(C1683="848630",0,1)</f>
        <v>1</v>
      </c>
    </row>
    <row r="1684" customFormat="false" ht="15" hidden="false" customHeight="false" outlineLevel="0" collapsed="false">
      <c r="A1684" s="12" t="n">
        <v>45047</v>
      </c>
      <c r="B1684" s="9" t="s">
        <v>93</v>
      </c>
      <c r="C1684" s="3" t="s">
        <v>108</v>
      </c>
      <c r="D1684" s="3" t="n">
        <v>0</v>
      </c>
      <c r="E1684" s="3" t="s">
        <v>114</v>
      </c>
      <c r="F1684" s="3" t="n">
        <f aca="false">IF(C1684="848630",0,1)</f>
        <v>1</v>
      </c>
    </row>
    <row r="1685" customFormat="false" ht="15" hidden="false" customHeight="false" outlineLevel="0" collapsed="false">
      <c r="A1685" s="12" t="n">
        <v>45047</v>
      </c>
      <c r="B1685" s="9" t="s">
        <v>93</v>
      </c>
      <c r="C1685" s="3" t="s">
        <v>108</v>
      </c>
      <c r="D1685" s="3" t="n">
        <v>20000</v>
      </c>
      <c r="E1685" s="3" t="s">
        <v>114</v>
      </c>
      <c r="F1685" s="3" t="n">
        <f aca="false">IF(C1685="848630",0,1)</f>
        <v>1</v>
      </c>
    </row>
    <row r="1686" customFormat="false" ht="15" hidden="false" customHeight="false" outlineLevel="0" collapsed="false">
      <c r="A1686" s="12" t="n">
        <v>45047</v>
      </c>
      <c r="B1686" s="9" t="s">
        <v>93</v>
      </c>
      <c r="C1686" s="3" t="s">
        <v>108</v>
      </c>
      <c r="D1686" s="3" t="n">
        <v>0</v>
      </c>
      <c r="E1686" s="3" t="s">
        <v>114</v>
      </c>
      <c r="F1686" s="3" t="n">
        <f aca="false">IF(C1686="848630",0,1)</f>
        <v>1</v>
      </c>
    </row>
    <row r="1687" customFormat="false" ht="15" hidden="false" customHeight="false" outlineLevel="0" collapsed="false">
      <c r="A1687" s="12" t="n">
        <v>45047</v>
      </c>
      <c r="B1687" s="9" t="s">
        <v>93</v>
      </c>
      <c r="C1687" s="3" t="s">
        <v>108</v>
      </c>
      <c r="D1687" s="3" t="n">
        <v>936000</v>
      </c>
      <c r="E1687" s="3" t="s">
        <v>114</v>
      </c>
      <c r="F1687" s="3" t="n">
        <f aca="false">IF(C1687="848630",0,1)</f>
        <v>1</v>
      </c>
    </row>
    <row r="1688" customFormat="false" ht="15" hidden="false" customHeight="false" outlineLevel="0" collapsed="false">
      <c r="A1688" s="12" t="n">
        <v>45047</v>
      </c>
      <c r="B1688" s="9" t="s">
        <v>93</v>
      </c>
      <c r="C1688" s="3" t="s">
        <v>108</v>
      </c>
      <c r="D1688" s="3" t="n">
        <v>5500000</v>
      </c>
      <c r="E1688" s="3" t="s">
        <v>114</v>
      </c>
      <c r="F1688" s="3" t="n">
        <f aca="false">IF(C1688="848630",0,1)</f>
        <v>1</v>
      </c>
    </row>
    <row r="1689" customFormat="false" ht="15" hidden="false" customHeight="false" outlineLevel="0" collapsed="false">
      <c r="A1689" s="12" t="n">
        <v>45047</v>
      </c>
      <c r="B1689" s="9" t="s">
        <v>93</v>
      </c>
      <c r="C1689" s="3" t="s">
        <v>108</v>
      </c>
      <c r="D1689" s="3" t="n">
        <v>130000</v>
      </c>
      <c r="E1689" s="3" t="s">
        <v>114</v>
      </c>
      <c r="F1689" s="3" t="n">
        <f aca="false">IF(C1689="848630",0,1)</f>
        <v>1</v>
      </c>
    </row>
    <row r="1690" customFormat="false" ht="15" hidden="false" customHeight="false" outlineLevel="0" collapsed="false">
      <c r="A1690" s="12" t="n">
        <v>45047</v>
      </c>
      <c r="B1690" s="9" t="s">
        <v>93</v>
      </c>
      <c r="C1690" s="3" t="s">
        <v>108</v>
      </c>
      <c r="D1690" s="3" t="n">
        <v>677000</v>
      </c>
      <c r="E1690" s="3" t="s">
        <v>114</v>
      </c>
      <c r="F1690" s="3" t="n">
        <f aca="false">IF(C1690="848630",0,1)</f>
        <v>1</v>
      </c>
    </row>
    <row r="1691" customFormat="false" ht="15" hidden="false" customHeight="false" outlineLevel="0" collapsed="false">
      <c r="A1691" s="12" t="n">
        <v>45047</v>
      </c>
      <c r="B1691" s="9" t="s">
        <v>93</v>
      </c>
      <c r="C1691" s="3" t="s">
        <v>109</v>
      </c>
      <c r="D1691" s="3" t="n">
        <v>1643000</v>
      </c>
      <c r="E1691" s="3" t="s">
        <v>114</v>
      </c>
      <c r="F1691" s="3" t="n">
        <f aca="false">IF(C1691="848630",0,1)</f>
        <v>1</v>
      </c>
    </row>
    <row r="1692" customFormat="false" ht="15" hidden="false" customHeight="false" outlineLevel="0" collapsed="false">
      <c r="A1692" s="12" t="n">
        <v>45047</v>
      </c>
      <c r="B1692" s="9" t="s">
        <v>93</v>
      </c>
      <c r="C1692" s="3" t="s">
        <v>109</v>
      </c>
      <c r="D1692" s="3" t="n">
        <v>11131000</v>
      </c>
      <c r="E1692" s="3" t="s">
        <v>114</v>
      </c>
      <c r="F1692" s="3" t="n">
        <f aca="false">IF(C1692="848630",0,1)</f>
        <v>1</v>
      </c>
    </row>
    <row r="1693" customFormat="false" ht="15" hidden="false" customHeight="false" outlineLevel="0" collapsed="false">
      <c r="A1693" s="12" t="n">
        <v>45047</v>
      </c>
      <c r="B1693" s="9" t="s">
        <v>93</v>
      </c>
      <c r="C1693" s="3" t="s">
        <v>109</v>
      </c>
      <c r="D1693" s="3" t="n">
        <v>18100000</v>
      </c>
      <c r="E1693" s="3" t="s">
        <v>114</v>
      </c>
      <c r="F1693" s="3" t="n">
        <f aca="false">IF(C1693="848630",0,1)</f>
        <v>1</v>
      </c>
    </row>
    <row r="1694" customFormat="false" ht="15" hidden="false" customHeight="false" outlineLevel="0" collapsed="false">
      <c r="A1694" s="12" t="n">
        <v>45047</v>
      </c>
      <c r="B1694" s="9" t="s">
        <v>93</v>
      </c>
      <c r="C1694" s="3" t="s">
        <v>109</v>
      </c>
      <c r="D1694" s="3" t="n">
        <v>9822000</v>
      </c>
      <c r="E1694" s="3" t="s">
        <v>114</v>
      </c>
      <c r="F1694" s="3" t="n">
        <f aca="false">IF(C1694="848630",0,1)</f>
        <v>1</v>
      </c>
    </row>
    <row r="1695" customFormat="false" ht="15" hidden="false" customHeight="false" outlineLevel="0" collapsed="false">
      <c r="A1695" s="12" t="n">
        <v>45047</v>
      </c>
      <c r="B1695" s="9" t="s">
        <v>93</v>
      </c>
      <c r="C1695" s="3" t="s">
        <v>109</v>
      </c>
      <c r="D1695" s="3" t="n">
        <v>2557000</v>
      </c>
      <c r="E1695" s="3" t="s">
        <v>114</v>
      </c>
      <c r="F1695" s="3" t="n">
        <f aca="false">IF(C1695="848630",0,1)</f>
        <v>1</v>
      </c>
    </row>
    <row r="1696" customFormat="false" ht="15" hidden="false" customHeight="false" outlineLevel="0" collapsed="false">
      <c r="A1696" s="12" t="n">
        <v>45047</v>
      </c>
      <c r="B1696" s="9" t="s">
        <v>93</v>
      </c>
      <c r="C1696" s="3" t="s">
        <v>109</v>
      </c>
      <c r="D1696" s="3" t="n">
        <v>1610000</v>
      </c>
      <c r="E1696" s="3" t="s">
        <v>114</v>
      </c>
      <c r="F1696" s="3" t="n">
        <f aca="false">IF(C1696="848630",0,1)</f>
        <v>1</v>
      </c>
    </row>
    <row r="1697" customFormat="false" ht="15" hidden="false" customHeight="false" outlineLevel="0" collapsed="false">
      <c r="A1697" s="12" t="n">
        <v>45047</v>
      </c>
      <c r="B1697" s="9" t="s">
        <v>93</v>
      </c>
      <c r="C1697" s="3" t="s">
        <v>109</v>
      </c>
      <c r="D1697" s="3" t="n">
        <v>382000</v>
      </c>
      <c r="E1697" s="3" t="s">
        <v>114</v>
      </c>
      <c r="F1697" s="3" t="n">
        <f aca="false">IF(C1697="848630",0,1)</f>
        <v>1</v>
      </c>
    </row>
    <row r="1698" customFormat="false" ht="15" hidden="false" customHeight="false" outlineLevel="0" collapsed="false">
      <c r="A1698" s="12" t="n">
        <v>45047</v>
      </c>
      <c r="B1698" s="9" t="s">
        <v>93</v>
      </c>
      <c r="C1698" s="3" t="s">
        <v>109</v>
      </c>
      <c r="D1698" s="3" t="n">
        <v>7296000</v>
      </c>
      <c r="E1698" s="3" t="s">
        <v>114</v>
      </c>
      <c r="F1698" s="3" t="n">
        <f aca="false">IF(C1698="848630",0,1)</f>
        <v>1</v>
      </c>
    </row>
    <row r="1699" customFormat="false" ht="15" hidden="false" customHeight="false" outlineLevel="0" collapsed="false">
      <c r="A1699" s="12" t="n">
        <v>45047</v>
      </c>
      <c r="B1699" s="9" t="s">
        <v>93</v>
      </c>
      <c r="C1699" s="3" t="s">
        <v>110</v>
      </c>
      <c r="D1699" s="3" t="n">
        <v>8927000</v>
      </c>
      <c r="E1699" s="3" t="s">
        <v>114</v>
      </c>
      <c r="F1699" s="3" t="n">
        <f aca="false">IF(C1699="848630",0,1)</f>
        <v>1</v>
      </c>
    </row>
    <row r="1700" customFormat="false" ht="15" hidden="false" customHeight="false" outlineLevel="0" collapsed="false">
      <c r="A1700" s="12" t="n">
        <v>45047</v>
      </c>
      <c r="B1700" s="9" t="s">
        <v>93</v>
      </c>
      <c r="C1700" s="3" t="s">
        <v>111</v>
      </c>
      <c r="D1700" s="3" t="n">
        <v>0</v>
      </c>
      <c r="E1700" s="3" t="s">
        <v>114</v>
      </c>
      <c r="F1700" s="3" t="n">
        <f aca="false">IF(C1700="848630",0,1)</f>
        <v>1</v>
      </c>
    </row>
    <row r="1701" customFormat="false" ht="15" hidden="false" customHeight="false" outlineLevel="0" collapsed="false">
      <c r="A1701" s="12" t="n">
        <v>45047</v>
      </c>
      <c r="B1701" s="9" t="s">
        <v>93</v>
      </c>
      <c r="C1701" s="3" t="s">
        <v>111</v>
      </c>
      <c r="D1701" s="3" t="n">
        <v>41666000</v>
      </c>
      <c r="E1701" s="3" t="s">
        <v>114</v>
      </c>
      <c r="F1701" s="3" t="n">
        <f aca="false">IF(C1701="848630",0,1)</f>
        <v>1</v>
      </c>
    </row>
    <row r="1702" customFormat="false" ht="15" hidden="false" customHeight="false" outlineLevel="0" collapsed="false">
      <c r="A1702" s="12" t="n">
        <v>45078</v>
      </c>
      <c r="B1702" s="9" t="s">
        <v>93</v>
      </c>
      <c r="C1702" s="3" t="s">
        <v>105</v>
      </c>
      <c r="D1702" s="3" t="n">
        <v>0</v>
      </c>
      <c r="E1702" s="3" t="s">
        <v>114</v>
      </c>
      <c r="F1702" s="3" t="n">
        <f aca="false">IF(C1702="848630",0,1)</f>
        <v>1</v>
      </c>
    </row>
    <row r="1703" customFormat="false" ht="15" hidden="false" customHeight="false" outlineLevel="0" collapsed="false">
      <c r="A1703" s="12" t="n">
        <v>45078</v>
      </c>
      <c r="B1703" s="9" t="s">
        <v>93</v>
      </c>
      <c r="C1703" s="3" t="s">
        <v>105</v>
      </c>
      <c r="D1703" s="3" t="n">
        <v>2084000</v>
      </c>
      <c r="E1703" s="3" t="s">
        <v>114</v>
      </c>
      <c r="F1703" s="3" t="n">
        <f aca="false">IF(C1703="848630",0,1)</f>
        <v>1</v>
      </c>
    </row>
    <row r="1704" customFormat="false" ht="15" hidden="false" customHeight="false" outlineLevel="0" collapsed="false">
      <c r="A1704" s="12" t="n">
        <v>45078</v>
      </c>
      <c r="B1704" s="9" t="s">
        <v>93</v>
      </c>
      <c r="C1704" s="3" t="s">
        <v>105</v>
      </c>
      <c r="D1704" s="3" t="n">
        <v>0</v>
      </c>
      <c r="E1704" s="3" t="s">
        <v>114</v>
      </c>
      <c r="F1704" s="3" t="n">
        <f aca="false">IF(C1704="848630",0,1)</f>
        <v>1</v>
      </c>
    </row>
    <row r="1705" customFormat="false" ht="15" hidden="false" customHeight="false" outlineLevel="0" collapsed="false">
      <c r="A1705" s="12" t="n">
        <v>45078</v>
      </c>
      <c r="B1705" s="9" t="s">
        <v>93</v>
      </c>
      <c r="C1705" s="3" t="s">
        <v>105</v>
      </c>
      <c r="D1705" s="3" t="n">
        <v>122000</v>
      </c>
      <c r="E1705" s="3" t="s">
        <v>114</v>
      </c>
      <c r="F1705" s="3" t="n">
        <f aca="false">IF(C1705="848630",0,1)</f>
        <v>1</v>
      </c>
    </row>
    <row r="1706" customFormat="false" ht="15" hidden="false" customHeight="false" outlineLevel="0" collapsed="false">
      <c r="A1706" s="12" t="n">
        <v>45078</v>
      </c>
      <c r="B1706" s="9" t="s">
        <v>93</v>
      </c>
      <c r="C1706" s="3" t="s">
        <v>107</v>
      </c>
      <c r="D1706" s="3" t="n">
        <v>25000</v>
      </c>
      <c r="E1706" s="3" t="s">
        <v>114</v>
      </c>
      <c r="F1706" s="3" t="n">
        <f aca="false">IF(C1706="848630",0,1)</f>
        <v>1</v>
      </c>
    </row>
    <row r="1707" customFormat="false" ht="15" hidden="false" customHeight="false" outlineLevel="0" collapsed="false">
      <c r="A1707" s="12" t="n">
        <v>45078</v>
      </c>
      <c r="B1707" s="9" t="s">
        <v>93</v>
      </c>
      <c r="C1707" s="3" t="s">
        <v>107</v>
      </c>
      <c r="D1707" s="3" t="n">
        <v>3529000</v>
      </c>
      <c r="E1707" s="3" t="s">
        <v>114</v>
      </c>
      <c r="F1707" s="3" t="n">
        <f aca="false">IF(C1707="848630",0,1)</f>
        <v>1</v>
      </c>
    </row>
    <row r="1708" customFormat="false" ht="15" hidden="false" customHeight="false" outlineLevel="0" collapsed="false">
      <c r="A1708" s="12" t="n">
        <v>45078</v>
      </c>
      <c r="B1708" s="9" t="s">
        <v>93</v>
      </c>
      <c r="C1708" s="3" t="s">
        <v>107</v>
      </c>
      <c r="D1708" s="3" t="n">
        <v>3259000</v>
      </c>
      <c r="E1708" s="3" t="s">
        <v>114</v>
      </c>
      <c r="F1708" s="3" t="n">
        <f aca="false">IF(C1708="848630",0,1)</f>
        <v>1</v>
      </c>
    </row>
    <row r="1709" customFormat="false" ht="15" hidden="false" customHeight="false" outlineLevel="0" collapsed="false">
      <c r="A1709" s="12" t="n">
        <v>45078</v>
      </c>
      <c r="B1709" s="9" t="s">
        <v>93</v>
      </c>
      <c r="C1709" s="3" t="s">
        <v>107</v>
      </c>
      <c r="D1709" s="3" t="n">
        <v>76012000</v>
      </c>
      <c r="E1709" s="3" t="s">
        <v>114</v>
      </c>
      <c r="F1709" s="3" t="n">
        <f aca="false">IF(C1709="848630",0,1)</f>
        <v>1</v>
      </c>
    </row>
    <row r="1710" customFormat="false" ht="15" hidden="false" customHeight="false" outlineLevel="0" collapsed="false">
      <c r="A1710" s="12" t="n">
        <v>45078</v>
      </c>
      <c r="B1710" s="9" t="s">
        <v>93</v>
      </c>
      <c r="C1710" s="3" t="s">
        <v>107</v>
      </c>
      <c r="D1710" s="3" t="n">
        <v>10800000</v>
      </c>
      <c r="E1710" s="3" t="s">
        <v>114</v>
      </c>
      <c r="F1710" s="3" t="n">
        <f aca="false">IF(C1710="848630",0,1)</f>
        <v>1</v>
      </c>
    </row>
    <row r="1711" customFormat="false" ht="15" hidden="false" customHeight="false" outlineLevel="0" collapsed="false">
      <c r="A1711" s="12" t="n">
        <v>45078</v>
      </c>
      <c r="B1711" s="9" t="s">
        <v>93</v>
      </c>
      <c r="C1711" s="3" t="s">
        <v>107</v>
      </c>
      <c r="D1711" s="3" t="n">
        <v>8678000</v>
      </c>
      <c r="E1711" s="3" t="s">
        <v>114</v>
      </c>
      <c r="F1711" s="3" t="n">
        <f aca="false">IF(C1711="848630",0,1)</f>
        <v>1</v>
      </c>
    </row>
    <row r="1712" customFormat="false" ht="15" hidden="false" customHeight="false" outlineLevel="0" collapsed="false">
      <c r="A1712" s="12" t="n">
        <v>45078</v>
      </c>
      <c r="B1712" s="9" t="s">
        <v>93</v>
      </c>
      <c r="C1712" s="3" t="s">
        <v>107</v>
      </c>
      <c r="D1712" s="3" t="n">
        <v>36898000</v>
      </c>
      <c r="E1712" s="3" t="s">
        <v>114</v>
      </c>
      <c r="F1712" s="3" t="n">
        <f aca="false">IF(C1712="848630",0,1)</f>
        <v>1</v>
      </c>
    </row>
    <row r="1713" customFormat="false" ht="15" hidden="false" customHeight="false" outlineLevel="0" collapsed="false">
      <c r="A1713" s="12" t="n">
        <v>45078</v>
      </c>
      <c r="B1713" s="9" t="s">
        <v>93</v>
      </c>
      <c r="C1713" s="3" t="s">
        <v>107</v>
      </c>
      <c r="D1713" s="3" t="n">
        <v>1132000</v>
      </c>
      <c r="E1713" s="3" t="s">
        <v>114</v>
      </c>
      <c r="F1713" s="3" t="n">
        <f aca="false">IF(C1713="848630",0,1)</f>
        <v>1</v>
      </c>
    </row>
    <row r="1714" customFormat="false" ht="15" hidden="false" customHeight="false" outlineLevel="0" collapsed="false">
      <c r="A1714" s="12" t="n">
        <v>45078</v>
      </c>
      <c r="B1714" s="9" t="s">
        <v>93</v>
      </c>
      <c r="C1714" s="3" t="s">
        <v>107</v>
      </c>
      <c r="D1714" s="3" t="n">
        <v>68195000</v>
      </c>
      <c r="E1714" s="3" t="s">
        <v>114</v>
      </c>
      <c r="F1714" s="3" t="n">
        <f aca="false">IF(C1714="848630",0,1)</f>
        <v>1</v>
      </c>
    </row>
    <row r="1715" customFormat="false" ht="15" hidden="false" customHeight="false" outlineLevel="0" collapsed="false">
      <c r="A1715" s="12" t="n">
        <v>45078</v>
      </c>
      <c r="B1715" s="9" t="s">
        <v>93</v>
      </c>
      <c r="C1715" s="3" t="s">
        <v>107</v>
      </c>
      <c r="D1715" s="3" t="n">
        <v>3956000</v>
      </c>
      <c r="E1715" s="3" t="s">
        <v>114</v>
      </c>
      <c r="F1715" s="3" t="n">
        <f aca="false">IF(C1715="848630",0,1)</f>
        <v>1</v>
      </c>
    </row>
    <row r="1716" customFormat="false" ht="15" hidden="false" customHeight="false" outlineLevel="0" collapsed="false">
      <c r="A1716" s="12" t="n">
        <v>45078</v>
      </c>
      <c r="B1716" s="9" t="s">
        <v>93</v>
      </c>
      <c r="C1716" s="3" t="s">
        <v>107</v>
      </c>
      <c r="D1716" s="3" t="n">
        <v>32717000</v>
      </c>
      <c r="E1716" s="3" t="s">
        <v>114</v>
      </c>
      <c r="F1716" s="3" t="n">
        <f aca="false">IF(C1716="848630",0,1)</f>
        <v>1</v>
      </c>
    </row>
    <row r="1717" customFormat="false" ht="15" hidden="false" customHeight="false" outlineLevel="0" collapsed="false">
      <c r="A1717" s="12" t="n">
        <v>45078</v>
      </c>
      <c r="B1717" s="9" t="s">
        <v>93</v>
      </c>
      <c r="C1717" s="3" t="s">
        <v>107</v>
      </c>
      <c r="D1717" s="3" t="n">
        <v>27319000</v>
      </c>
      <c r="E1717" s="3" t="s">
        <v>114</v>
      </c>
      <c r="F1717" s="3" t="n">
        <f aca="false">IF(C1717="848630",0,1)</f>
        <v>1</v>
      </c>
    </row>
    <row r="1718" customFormat="false" ht="15" hidden="false" customHeight="false" outlineLevel="0" collapsed="false">
      <c r="A1718" s="12" t="n">
        <v>45078</v>
      </c>
      <c r="B1718" s="9" t="s">
        <v>93</v>
      </c>
      <c r="C1718" s="3" t="s">
        <v>107</v>
      </c>
      <c r="D1718" s="3" t="n">
        <v>0</v>
      </c>
      <c r="E1718" s="3" t="s">
        <v>114</v>
      </c>
      <c r="F1718" s="3" t="n">
        <f aca="false">IF(C1718="848630",0,1)</f>
        <v>1</v>
      </c>
    </row>
    <row r="1719" customFormat="false" ht="15" hidden="false" customHeight="false" outlineLevel="0" collapsed="false">
      <c r="A1719" s="12" t="n">
        <v>45078</v>
      </c>
      <c r="B1719" s="9" t="s">
        <v>93</v>
      </c>
      <c r="C1719" s="3" t="s">
        <v>107</v>
      </c>
      <c r="D1719" s="3" t="n">
        <v>664000</v>
      </c>
      <c r="E1719" s="3" t="s">
        <v>114</v>
      </c>
      <c r="F1719" s="3" t="n">
        <f aca="false">IF(C1719="848630",0,1)</f>
        <v>1</v>
      </c>
    </row>
    <row r="1720" customFormat="false" ht="15" hidden="false" customHeight="false" outlineLevel="0" collapsed="false">
      <c r="A1720" s="12" t="n">
        <v>45078</v>
      </c>
      <c r="B1720" s="9" t="s">
        <v>93</v>
      </c>
      <c r="C1720" s="3" t="s">
        <v>107</v>
      </c>
      <c r="D1720" s="3" t="n">
        <v>54000</v>
      </c>
      <c r="E1720" s="3" t="s">
        <v>114</v>
      </c>
      <c r="F1720" s="3" t="n">
        <f aca="false">IF(C1720="848630",0,1)</f>
        <v>1</v>
      </c>
    </row>
    <row r="1721" customFormat="false" ht="15" hidden="false" customHeight="false" outlineLevel="0" collapsed="false">
      <c r="A1721" s="12" t="n">
        <v>45078</v>
      </c>
      <c r="B1721" s="9" t="s">
        <v>93</v>
      </c>
      <c r="C1721" s="3" t="s">
        <v>112</v>
      </c>
      <c r="D1721" s="3" t="n">
        <v>1359000</v>
      </c>
      <c r="E1721" s="3" t="s">
        <v>114</v>
      </c>
      <c r="F1721" s="3" t="n">
        <f aca="false">IF(C1721="848630",0,1)</f>
        <v>0</v>
      </c>
    </row>
    <row r="1722" customFormat="false" ht="15" hidden="false" customHeight="false" outlineLevel="0" collapsed="false">
      <c r="A1722" s="12" t="n">
        <v>45078</v>
      </c>
      <c r="B1722" s="9" t="s">
        <v>93</v>
      </c>
      <c r="C1722" s="3" t="s">
        <v>112</v>
      </c>
      <c r="D1722" s="3" t="n">
        <v>54000</v>
      </c>
      <c r="E1722" s="3" t="s">
        <v>114</v>
      </c>
      <c r="F1722" s="3" t="n">
        <f aca="false">IF(C1722="848630",0,1)</f>
        <v>0</v>
      </c>
    </row>
    <row r="1723" customFormat="false" ht="15" hidden="false" customHeight="false" outlineLevel="0" collapsed="false">
      <c r="A1723" s="12" t="n">
        <v>45078</v>
      </c>
      <c r="B1723" s="9" t="s">
        <v>93</v>
      </c>
      <c r="C1723" s="3" t="s">
        <v>112</v>
      </c>
      <c r="D1723" s="3" t="n">
        <v>0</v>
      </c>
      <c r="E1723" s="3" t="s">
        <v>114</v>
      </c>
      <c r="F1723" s="3" t="n">
        <f aca="false">IF(C1723="848630",0,1)</f>
        <v>0</v>
      </c>
    </row>
    <row r="1724" customFormat="false" ht="15" hidden="false" customHeight="false" outlineLevel="0" collapsed="false">
      <c r="A1724" s="12" t="n">
        <v>45078</v>
      </c>
      <c r="B1724" s="9" t="s">
        <v>93</v>
      </c>
      <c r="C1724" s="3" t="s">
        <v>112</v>
      </c>
      <c r="D1724" s="3" t="n">
        <v>0</v>
      </c>
      <c r="E1724" s="3" t="s">
        <v>114</v>
      </c>
      <c r="F1724" s="3" t="n">
        <f aca="false">IF(C1724="848630",0,1)</f>
        <v>0</v>
      </c>
    </row>
    <row r="1725" customFormat="false" ht="15" hidden="false" customHeight="false" outlineLevel="0" collapsed="false">
      <c r="A1725" s="12" t="n">
        <v>45078</v>
      </c>
      <c r="B1725" s="9" t="s">
        <v>93</v>
      </c>
      <c r="C1725" s="3" t="s">
        <v>112</v>
      </c>
      <c r="D1725" s="3" t="n">
        <v>6000</v>
      </c>
      <c r="E1725" s="3" t="s">
        <v>114</v>
      </c>
      <c r="F1725" s="3" t="n">
        <f aca="false">IF(C1725="848630",0,1)</f>
        <v>0</v>
      </c>
    </row>
    <row r="1726" customFormat="false" ht="15" hidden="false" customHeight="false" outlineLevel="0" collapsed="false">
      <c r="A1726" s="12" t="n">
        <v>45078</v>
      </c>
      <c r="B1726" s="9" t="s">
        <v>93</v>
      </c>
      <c r="C1726" s="3" t="s">
        <v>112</v>
      </c>
      <c r="D1726" s="3" t="n">
        <v>0</v>
      </c>
      <c r="E1726" s="3" t="s">
        <v>114</v>
      </c>
      <c r="F1726" s="3" t="n">
        <f aca="false">IF(C1726="848630",0,1)</f>
        <v>0</v>
      </c>
    </row>
    <row r="1727" customFormat="false" ht="15" hidden="false" customHeight="false" outlineLevel="0" collapsed="false">
      <c r="A1727" s="12" t="n">
        <v>45078</v>
      </c>
      <c r="B1727" s="9" t="s">
        <v>93</v>
      </c>
      <c r="C1727" s="3" t="s">
        <v>112</v>
      </c>
      <c r="D1727" s="3" t="n">
        <v>0</v>
      </c>
      <c r="E1727" s="3" t="s">
        <v>114</v>
      </c>
      <c r="F1727" s="3" t="n">
        <f aca="false">IF(C1727="848630",0,1)</f>
        <v>0</v>
      </c>
    </row>
    <row r="1728" customFormat="false" ht="15" hidden="false" customHeight="false" outlineLevel="0" collapsed="false">
      <c r="A1728" s="12" t="n">
        <v>45078</v>
      </c>
      <c r="B1728" s="9" t="s">
        <v>93</v>
      </c>
      <c r="C1728" s="3" t="s">
        <v>108</v>
      </c>
      <c r="D1728" s="3" t="n">
        <v>0</v>
      </c>
      <c r="E1728" s="3" t="s">
        <v>114</v>
      </c>
      <c r="F1728" s="3" t="n">
        <f aca="false">IF(C1728="848630",0,1)</f>
        <v>1</v>
      </c>
    </row>
    <row r="1729" customFormat="false" ht="15" hidden="false" customHeight="false" outlineLevel="0" collapsed="false">
      <c r="A1729" s="12" t="n">
        <v>45078</v>
      </c>
      <c r="B1729" s="9" t="s">
        <v>93</v>
      </c>
      <c r="C1729" s="3" t="s">
        <v>108</v>
      </c>
      <c r="D1729" s="3" t="n">
        <v>1205000</v>
      </c>
      <c r="E1729" s="3" t="s">
        <v>114</v>
      </c>
      <c r="F1729" s="3" t="n">
        <f aca="false">IF(C1729="848630",0,1)</f>
        <v>1</v>
      </c>
    </row>
    <row r="1730" customFormat="false" ht="15" hidden="false" customHeight="false" outlineLevel="0" collapsed="false">
      <c r="A1730" s="12" t="n">
        <v>45078</v>
      </c>
      <c r="B1730" s="9" t="s">
        <v>93</v>
      </c>
      <c r="C1730" s="3" t="s">
        <v>108</v>
      </c>
      <c r="D1730" s="3" t="n">
        <v>1167000</v>
      </c>
      <c r="E1730" s="3" t="s">
        <v>114</v>
      </c>
      <c r="F1730" s="3" t="n">
        <f aca="false">IF(C1730="848630",0,1)</f>
        <v>1</v>
      </c>
    </row>
    <row r="1731" customFormat="false" ht="15" hidden="false" customHeight="false" outlineLevel="0" collapsed="false">
      <c r="A1731" s="12" t="n">
        <v>45078</v>
      </c>
      <c r="B1731" s="9" t="s">
        <v>93</v>
      </c>
      <c r="C1731" s="3" t="s">
        <v>108</v>
      </c>
      <c r="D1731" s="3" t="n">
        <v>222000</v>
      </c>
      <c r="E1731" s="3" t="s">
        <v>114</v>
      </c>
      <c r="F1731" s="3" t="n">
        <f aca="false">IF(C1731="848630",0,1)</f>
        <v>1</v>
      </c>
    </row>
    <row r="1732" customFormat="false" ht="15" hidden="false" customHeight="false" outlineLevel="0" collapsed="false">
      <c r="A1732" s="12" t="n">
        <v>45078</v>
      </c>
      <c r="B1732" s="9" t="s">
        <v>93</v>
      </c>
      <c r="C1732" s="3" t="s">
        <v>108</v>
      </c>
      <c r="D1732" s="3" t="n">
        <v>453000</v>
      </c>
      <c r="E1732" s="3" t="s">
        <v>114</v>
      </c>
      <c r="F1732" s="3" t="n">
        <f aca="false">IF(C1732="848630",0,1)</f>
        <v>1</v>
      </c>
    </row>
    <row r="1733" customFormat="false" ht="15" hidden="false" customHeight="false" outlineLevel="0" collapsed="false">
      <c r="A1733" s="12" t="n">
        <v>45078</v>
      </c>
      <c r="B1733" s="9" t="s">
        <v>93</v>
      </c>
      <c r="C1733" s="3" t="s">
        <v>108</v>
      </c>
      <c r="D1733" s="3" t="n">
        <v>6198000</v>
      </c>
      <c r="E1733" s="3" t="s">
        <v>114</v>
      </c>
      <c r="F1733" s="3" t="n">
        <f aca="false">IF(C1733="848630",0,1)</f>
        <v>1</v>
      </c>
    </row>
    <row r="1734" customFormat="false" ht="15" hidden="false" customHeight="false" outlineLevel="0" collapsed="false">
      <c r="A1734" s="12" t="n">
        <v>45078</v>
      </c>
      <c r="B1734" s="9" t="s">
        <v>93</v>
      </c>
      <c r="C1734" s="3" t="s">
        <v>108</v>
      </c>
      <c r="D1734" s="3" t="n">
        <v>555000</v>
      </c>
      <c r="E1734" s="3" t="s">
        <v>114</v>
      </c>
      <c r="F1734" s="3" t="n">
        <f aca="false">IF(C1734="848630",0,1)</f>
        <v>1</v>
      </c>
    </row>
    <row r="1735" customFormat="false" ht="15" hidden="false" customHeight="false" outlineLevel="0" collapsed="false">
      <c r="A1735" s="12" t="n">
        <v>45078</v>
      </c>
      <c r="B1735" s="9" t="s">
        <v>93</v>
      </c>
      <c r="C1735" s="3" t="s">
        <v>108</v>
      </c>
      <c r="D1735" s="3" t="n">
        <v>1889000</v>
      </c>
      <c r="E1735" s="3" t="s">
        <v>114</v>
      </c>
      <c r="F1735" s="3" t="n">
        <f aca="false">IF(C1735="848630",0,1)</f>
        <v>1</v>
      </c>
    </row>
    <row r="1736" customFormat="false" ht="15" hidden="false" customHeight="false" outlineLevel="0" collapsed="false">
      <c r="A1736" s="12" t="n">
        <v>45078</v>
      </c>
      <c r="B1736" s="9" t="s">
        <v>93</v>
      </c>
      <c r="C1736" s="3" t="s">
        <v>109</v>
      </c>
      <c r="D1736" s="3" t="n">
        <v>3290000</v>
      </c>
      <c r="E1736" s="3" t="s">
        <v>114</v>
      </c>
      <c r="F1736" s="3" t="n">
        <f aca="false">IF(C1736="848630",0,1)</f>
        <v>1</v>
      </c>
    </row>
    <row r="1737" customFormat="false" ht="15" hidden="false" customHeight="false" outlineLevel="0" collapsed="false">
      <c r="A1737" s="12" t="n">
        <v>45078</v>
      </c>
      <c r="B1737" s="9" t="s">
        <v>93</v>
      </c>
      <c r="C1737" s="3" t="s">
        <v>109</v>
      </c>
      <c r="D1737" s="3" t="n">
        <v>11189000</v>
      </c>
      <c r="E1737" s="3" t="s">
        <v>114</v>
      </c>
      <c r="F1737" s="3" t="n">
        <f aca="false">IF(C1737="848630",0,1)</f>
        <v>1</v>
      </c>
    </row>
    <row r="1738" customFormat="false" ht="15" hidden="false" customHeight="false" outlineLevel="0" collapsed="false">
      <c r="A1738" s="12" t="n">
        <v>45078</v>
      </c>
      <c r="B1738" s="9" t="s">
        <v>93</v>
      </c>
      <c r="C1738" s="3" t="s">
        <v>109</v>
      </c>
      <c r="D1738" s="3" t="n">
        <v>25130000</v>
      </c>
      <c r="E1738" s="3" t="s">
        <v>114</v>
      </c>
      <c r="F1738" s="3" t="n">
        <f aca="false">IF(C1738="848630",0,1)</f>
        <v>1</v>
      </c>
    </row>
    <row r="1739" customFormat="false" ht="15" hidden="false" customHeight="false" outlineLevel="0" collapsed="false">
      <c r="A1739" s="12" t="n">
        <v>45078</v>
      </c>
      <c r="B1739" s="9" t="s">
        <v>93</v>
      </c>
      <c r="C1739" s="3" t="s">
        <v>109</v>
      </c>
      <c r="D1739" s="3" t="n">
        <v>6642000</v>
      </c>
      <c r="E1739" s="3" t="s">
        <v>114</v>
      </c>
      <c r="F1739" s="3" t="n">
        <f aca="false">IF(C1739="848630",0,1)</f>
        <v>1</v>
      </c>
    </row>
    <row r="1740" customFormat="false" ht="15" hidden="false" customHeight="false" outlineLevel="0" collapsed="false">
      <c r="A1740" s="12" t="n">
        <v>45078</v>
      </c>
      <c r="B1740" s="9" t="s">
        <v>93</v>
      </c>
      <c r="C1740" s="3" t="s">
        <v>109</v>
      </c>
      <c r="D1740" s="3" t="n">
        <v>1908000</v>
      </c>
      <c r="E1740" s="3" t="s">
        <v>114</v>
      </c>
      <c r="F1740" s="3" t="n">
        <f aca="false">IF(C1740="848630",0,1)</f>
        <v>1</v>
      </c>
    </row>
    <row r="1741" customFormat="false" ht="15" hidden="false" customHeight="false" outlineLevel="0" collapsed="false">
      <c r="A1741" s="12" t="n">
        <v>45078</v>
      </c>
      <c r="B1741" s="9" t="s">
        <v>93</v>
      </c>
      <c r="C1741" s="3" t="s">
        <v>109</v>
      </c>
      <c r="D1741" s="3" t="n">
        <v>1147000</v>
      </c>
      <c r="E1741" s="3" t="s">
        <v>114</v>
      </c>
      <c r="F1741" s="3" t="n">
        <f aca="false">IF(C1741="848630",0,1)</f>
        <v>1</v>
      </c>
    </row>
    <row r="1742" customFormat="false" ht="15" hidden="false" customHeight="false" outlineLevel="0" collapsed="false">
      <c r="A1742" s="12" t="n">
        <v>45078</v>
      </c>
      <c r="B1742" s="9" t="s">
        <v>93</v>
      </c>
      <c r="C1742" s="3" t="s">
        <v>109</v>
      </c>
      <c r="D1742" s="3" t="n">
        <v>1027000</v>
      </c>
      <c r="E1742" s="3" t="s">
        <v>114</v>
      </c>
      <c r="F1742" s="3" t="n">
        <f aca="false">IF(C1742="848630",0,1)</f>
        <v>1</v>
      </c>
    </row>
    <row r="1743" customFormat="false" ht="15" hidden="false" customHeight="false" outlineLevel="0" collapsed="false">
      <c r="A1743" s="12" t="n">
        <v>45078</v>
      </c>
      <c r="B1743" s="9" t="s">
        <v>93</v>
      </c>
      <c r="C1743" s="3" t="s">
        <v>109</v>
      </c>
      <c r="D1743" s="3" t="n">
        <v>6813000</v>
      </c>
      <c r="E1743" s="3" t="s">
        <v>114</v>
      </c>
      <c r="F1743" s="3" t="n">
        <f aca="false">IF(C1743="848630",0,1)</f>
        <v>1</v>
      </c>
    </row>
    <row r="1744" customFormat="false" ht="15" hidden="false" customHeight="false" outlineLevel="0" collapsed="false">
      <c r="A1744" s="12" t="n">
        <v>45078</v>
      </c>
      <c r="B1744" s="9" t="s">
        <v>93</v>
      </c>
      <c r="C1744" s="3" t="s">
        <v>110</v>
      </c>
      <c r="D1744" s="3" t="n">
        <v>31458000</v>
      </c>
      <c r="E1744" s="3" t="s">
        <v>114</v>
      </c>
      <c r="F1744" s="3" t="n">
        <f aca="false">IF(C1744="848630",0,1)</f>
        <v>1</v>
      </c>
    </row>
    <row r="1745" customFormat="false" ht="15" hidden="false" customHeight="false" outlineLevel="0" collapsed="false">
      <c r="A1745" s="12" t="n">
        <v>45078</v>
      </c>
      <c r="B1745" s="9" t="s">
        <v>93</v>
      </c>
      <c r="C1745" s="3" t="s">
        <v>111</v>
      </c>
      <c r="D1745" s="3" t="n">
        <v>92892000</v>
      </c>
      <c r="E1745" s="3" t="s">
        <v>114</v>
      </c>
      <c r="F1745" s="3" t="n">
        <f aca="false">IF(C1745="848630",0,1)</f>
        <v>1</v>
      </c>
    </row>
    <row r="1746" customFormat="false" ht="15" hidden="false" customHeight="false" outlineLevel="0" collapsed="false">
      <c r="A1746" s="12" t="n">
        <v>45108</v>
      </c>
      <c r="B1746" s="9" t="s">
        <v>93</v>
      </c>
      <c r="C1746" s="3" t="s">
        <v>105</v>
      </c>
      <c r="D1746" s="3" t="n">
        <v>3303000</v>
      </c>
      <c r="E1746" s="3" t="s">
        <v>114</v>
      </c>
      <c r="F1746" s="3" t="n">
        <f aca="false">IF(C1746="848630",0,1)</f>
        <v>1</v>
      </c>
    </row>
    <row r="1747" customFormat="false" ht="15" hidden="false" customHeight="false" outlineLevel="0" collapsed="false">
      <c r="A1747" s="12" t="n">
        <v>45108</v>
      </c>
      <c r="B1747" s="9" t="s">
        <v>93</v>
      </c>
      <c r="C1747" s="3" t="s">
        <v>105</v>
      </c>
      <c r="D1747" s="3" t="n">
        <v>5978000</v>
      </c>
      <c r="E1747" s="3" t="s">
        <v>114</v>
      </c>
      <c r="F1747" s="3" t="n">
        <f aca="false">IF(C1747="848630",0,1)</f>
        <v>1</v>
      </c>
    </row>
    <row r="1748" customFormat="false" ht="15" hidden="false" customHeight="false" outlineLevel="0" collapsed="false">
      <c r="A1748" s="12" t="n">
        <v>45108</v>
      </c>
      <c r="B1748" s="9" t="s">
        <v>93</v>
      </c>
      <c r="C1748" s="3" t="s">
        <v>105</v>
      </c>
      <c r="D1748" s="3" t="n">
        <v>601000</v>
      </c>
      <c r="E1748" s="3" t="s">
        <v>114</v>
      </c>
      <c r="F1748" s="3" t="n">
        <f aca="false">IF(C1748="848630",0,1)</f>
        <v>1</v>
      </c>
    </row>
    <row r="1749" customFormat="false" ht="15" hidden="false" customHeight="false" outlineLevel="0" collapsed="false">
      <c r="A1749" s="12" t="n">
        <v>45108</v>
      </c>
      <c r="B1749" s="9" t="s">
        <v>93</v>
      </c>
      <c r="C1749" s="3" t="s">
        <v>107</v>
      </c>
      <c r="D1749" s="3" t="n">
        <v>1586000</v>
      </c>
      <c r="E1749" s="3" t="s">
        <v>114</v>
      </c>
      <c r="F1749" s="3" t="n">
        <f aca="false">IF(C1749="848630",0,1)</f>
        <v>1</v>
      </c>
    </row>
    <row r="1750" customFormat="false" ht="15" hidden="false" customHeight="false" outlineLevel="0" collapsed="false">
      <c r="A1750" s="12" t="n">
        <v>45108</v>
      </c>
      <c r="B1750" s="9" t="s">
        <v>93</v>
      </c>
      <c r="C1750" s="3" t="s">
        <v>107</v>
      </c>
      <c r="D1750" s="3" t="n">
        <v>0</v>
      </c>
      <c r="E1750" s="3" t="s">
        <v>114</v>
      </c>
      <c r="F1750" s="3" t="n">
        <f aca="false">IF(C1750="848630",0,1)</f>
        <v>1</v>
      </c>
    </row>
    <row r="1751" customFormat="false" ht="15" hidden="false" customHeight="false" outlineLevel="0" collapsed="false">
      <c r="A1751" s="12" t="n">
        <v>45108</v>
      </c>
      <c r="B1751" s="9" t="s">
        <v>93</v>
      </c>
      <c r="C1751" s="3" t="s">
        <v>107</v>
      </c>
      <c r="D1751" s="3" t="n">
        <v>3695000</v>
      </c>
      <c r="E1751" s="3" t="s">
        <v>114</v>
      </c>
      <c r="F1751" s="3" t="n">
        <f aca="false">IF(C1751="848630",0,1)</f>
        <v>1</v>
      </c>
    </row>
    <row r="1752" customFormat="false" ht="15" hidden="false" customHeight="false" outlineLevel="0" collapsed="false">
      <c r="A1752" s="12" t="n">
        <v>45108</v>
      </c>
      <c r="B1752" s="9" t="s">
        <v>93</v>
      </c>
      <c r="C1752" s="3" t="s">
        <v>107</v>
      </c>
      <c r="D1752" s="3" t="n">
        <v>6468000</v>
      </c>
      <c r="E1752" s="3" t="s">
        <v>114</v>
      </c>
      <c r="F1752" s="3" t="n">
        <f aca="false">IF(C1752="848630",0,1)</f>
        <v>1</v>
      </c>
    </row>
    <row r="1753" customFormat="false" ht="15" hidden="false" customHeight="false" outlineLevel="0" collapsed="false">
      <c r="A1753" s="12" t="n">
        <v>45108</v>
      </c>
      <c r="B1753" s="9" t="s">
        <v>93</v>
      </c>
      <c r="C1753" s="3" t="s">
        <v>107</v>
      </c>
      <c r="D1753" s="3" t="n">
        <v>86768000</v>
      </c>
      <c r="E1753" s="3" t="s">
        <v>114</v>
      </c>
      <c r="F1753" s="3" t="n">
        <f aca="false">IF(C1753="848630",0,1)</f>
        <v>1</v>
      </c>
    </row>
    <row r="1754" customFormat="false" ht="15" hidden="false" customHeight="false" outlineLevel="0" collapsed="false">
      <c r="A1754" s="12" t="n">
        <v>45108</v>
      </c>
      <c r="B1754" s="9" t="s">
        <v>93</v>
      </c>
      <c r="C1754" s="3" t="s">
        <v>107</v>
      </c>
      <c r="D1754" s="3" t="n">
        <v>6567000</v>
      </c>
      <c r="E1754" s="3" t="s">
        <v>114</v>
      </c>
      <c r="F1754" s="3" t="n">
        <f aca="false">IF(C1754="848630",0,1)</f>
        <v>1</v>
      </c>
    </row>
    <row r="1755" customFormat="false" ht="15" hidden="false" customHeight="false" outlineLevel="0" collapsed="false">
      <c r="A1755" s="12" t="n">
        <v>45108</v>
      </c>
      <c r="B1755" s="9" t="s">
        <v>93</v>
      </c>
      <c r="C1755" s="3" t="s">
        <v>107</v>
      </c>
      <c r="D1755" s="3" t="n">
        <v>21827000</v>
      </c>
      <c r="E1755" s="3" t="s">
        <v>114</v>
      </c>
      <c r="F1755" s="3" t="n">
        <f aca="false">IF(C1755="848630",0,1)</f>
        <v>1</v>
      </c>
    </row>
    <row r="1756" customFormat="false" ht="15" hidden="false" customHeight="false" outlineLevel="0" collapsed="false">
      <c r="A1756" s="12" t="n">
        <v>45108</v>
      </c>
      <c r="B1756" s="9" t="s">
        <v>93</v>
      </c>
      <c r="C1756" s="3" t="s">
        <v>107</v>
      </c>
      <c r="D1756" s="3" t="n">
        <v>129000</v>
      </c>
      <c r="E1756" s="3" t="s">
        <v>114</v>
      </c>
      <c r="F1756" s="3" t="n">
        <f aca="false">IF(C1756="848630",0,1)</f>
        <v>1</v>
      </c>
    </row>
    <row r="1757" customFormat="false" ht="15" hidden="false" customHeight="false" outlineLevel="0" collapsed="false">
      <c r="A1757" s="12" t="n">
        <v>45108</v>
      </c>
      <c r="B1757" s="9" t="s">
        <v>93</v>
      </c>
      <c r="C1757" s="3" t="s">
        <v>107</v>
      </c>
      <c r="D1757" s="3" t="n">
        <v>33327000</v>
      </c>
      <c r="E1757" s="3" t="s">
        <v>114</v>
      </c>
      <c r="F1757" s="3" t="n">
        <f aca="false">IF(C1757="848630",0,1)</f>
        <v>1</v>
      </c>
    </row>
    <row r="1758" customFormat="false" ht="15" hidden="false" customHeight="false" outlineLevel="0" collapsed="false">
      <c r="A1758" s="12" t="n">
        <v>45108</v>
      </c>
      <c r="B1758" s="9" t="s">
        <v>93</v>
      </c>
      <c r="C1758" s="3" t="s">
        <v>107</v>
      </c>
      <c r="D1758" s="3" t="n">
        <v>826000</v>
      </c>
      <c r="E1758" s="3" t="s">
        <v>114</v>
      </c>
      <c r="F1758" s="3" t="n">
        <f aca="false">IF(C1758="848630",0,1)</f>
        <v>1</v>
      </c>
    </row>
    <row r="1759" customFormat="false" ht="15" hidden="false" customHeight="false" outlineLevel="0" collapsed="false">
      <c r="A1759" s="12" t="n">
        <v>45108</v>
      </c>
      <c r="B1759" s="9" t="s">
        <v>93</v>
      </c>
      <c r="C1759" s="3" t="s">
        <v>107</v>
      </c>
      <c r="D1759" s="3" t="n">
        <v>4514000</v>
      </c>
      <c r="E1759" s="3" t="s">
        <v>114</v>
      </c>
      <c r="F1759" s="3" t="n">
        <f aca="false">IF(C1759="848630",0,1)</f>
        <v>1</v>
      </c>
    </row>
    <row r="1760" customFormat="false" ht="15" hidden="false" customHeight="false" outlineLevel="0" collapsed="false">
      <c r="A1760" s="12" t="n">
        <v>45108</v>
      </c>
      <c r="B1760" s="9" t="s">
        <v>93</v>
      </c>
      <c r="C1760" s="3" t="s">
        <v>107</v>
      </c>
      <c r="D1760" s="3" t="n">
        <v>43471000</v>
      </c>
      <c r="E1760" s="3" t="s">
        <v>114</v>
      </c>
      <c r="F1760" s="3" t="n">
        <f aca="false">IF(C1760="848630",0,1)</f>
        <v>1</v>
      </c>
    </row>
    <row r="1761" customFormat="false" ht="15" hidden="false" customHeight="false" outlineLevel="0" collapsed="false">
      <c r="A1761" s="12" t="n">
        <v>45108</v>
      </c>
      <c r="B1761" s="9" t="s">
        <v>93</v>
      </c>
      <c r="C1761" s="3" t="s">
        <v>107</v>
      </c>
      <c r="D1761" s="3" t="n">
        <v>1656000</v>
      </c>
      <c r="E1761" s="3" t="s">
        <v>114</v>
      </c>
      <c r="F1761" s="3" t="n">
        <f aca="false">IF(C1761="848630",0,1)</f>
        <v>1</v>
      </c>
    </row>
    <row r="1762" customFormat="false" ht="15" hidden="false" customHeight="false" outlineLevel="0" collapsed="false">
      <c r="A1762" s="12" t="n">
        <v>45108</v>
      </c>
      <c r="B1762" s="9" t="s">
        <v>93</v>
      </c>
      <c r="C1762" s="3" t="s">
        <v>107</v>
      </c>
      <c r="D1762" s="3" t="n">
        <v>1078000</v>
      </c>
      <c r="E1762" s="3" t="s">
        <v>114</v>
      </c>
      <c r="F1762" s="3" t="n">
        <f aca="false">IF(C1762="848630",0,1)</f>
        <v>1</v>
      </c>
    </row>
    <row r="1763" customFormat="false" ht="15" hidden="false" customHeight="false" outlineLevel="0" collapsed="false">
      <c r="A1763" s="12" t="n">
        <v>45108</v>
      </c>
      <c r="B1763" s="9" t="s">
        <v>93</v>
      </c>
      <c r="C1763" s="3" t="s">
        <v>107</v>
      </c>
      <c r="D1763" s="3" t="n">
        <v>599000</v>
      </c>
      <c r="E1763" s="3" t="s">
        <v>114</v>
      </c>
      <c r="F1763" s="3" t="n">
        <f aca="false">IF(C1763="848630",0,1)</f>
        <v>1</v>
      </c>
    </row>
    <row r="1764" customFormat="false" ht="15" hidden="false" customHeight="false" outlineLevel="0" collapsed="false">
      <c r="A1764" s="12" t="n">
        <v>45108</v>
      </c>
      <c r="B1764" s="9" t="s">
        <v>93</v>
      </c>
      <c r="C1764" s="3" t="s">
        <v>107</v>
      </c>
      <c r="D1764" s="3" t="n">
        <v>831000</v>
      </c>
      <c r="E1764" s="3" t="s">
        <v>114</v>
      </c>
      <c r="F1764" s="3" t="n">
        <f aca="false">IF(C1764="848630",0,1)</f>
        <v>1</v>
      </c>
    </row>
    <row r="1765" customFormat="false" ht="15" hidden="false" customHeight="false" outlineLevel="0" collapsed="false">
      <c r="A1765" s="12" t="n">
        <v>45108</v>
      </c>
      <c r="B1765" s="9" t="s">
        <v>93</v>
      </c>
      <c r="C1765" s="3" t="s">
        <v>107</v>
      </c>
      <c r="D1765" s="3" t="n">
        <v>3137000</v>
      </c>
      <c r="E1765" s="3" t="s">
        <v>114</v>
      </c>
      <c r="F1765" s="3" t="n">
        <f aca="false">IF(C1765="848630",0,1)</f>
        <v>1</v>
      </c>
    </row>
    <row r="1766" customFormat="false" ht="15" hidden="false" customHeight="false" outlineLevel="0" collapsed="false">
      <c r="A1766" s="12" t="n">
        <v>45108</v>
      </c>
      <c r="B1766" s="9" t="s">
        <v>93</v>
      </c>
      <c r="C1766" s="3" t="s">
        <v>112</v>
      </c>
      <c r="D1766" s="3" t="n">
        <v>92000</v>
      </c>
      <c r="E1766" s="3" t="s">
        <v>114</v>
      </c>
      <c r="F1766" s="3" t="n">
        <f aca="false">IF(C1766="848630",0,1)</f>
        <v>0</v>
      </c>
    </row>
    <row r="1767" customFormat="false" ht="15" hidden="false" customHeight="false" outlineLevel="0" collapsed="false">
      <c r="A1767" s="12" t="n">
        <v>45108</v>
      </c>
      <c r="B1767" s="9" t="s">
        <v>93</v>
      </c>
      <c r="C1767" s="3" t="s">
        <v>112</v>
      </c>
      <c r="D1767" s="3" t="n">
        <v>1000</v>
      </c>
      <c r="E1767" s="3" t="s">
        <v>114</v>
      </c>
      <c r="F1767" s="3" t="n">
        <f aca="false">IF(C1767="848630",0,1)</f>
        <v>0</v>
      </c>
    </row>
    <row r="1768" customFormat="false" ht="15" hidden="false" customHeight="false" outlineLevel="0" collapsed="false">
      <c r="A1768" s="12" t="n">
        <v>45108</v>
      </c>
      <c r="B1768" s="9" t="s">
        <v>93</v>
      </c>
      <c r="C1768" s="3" t="s">
        <v>112</v>
      </c>
      <c r="D1768" s="3" t="n">
        <v>21189000</v>
      </c>
      <c r="E1768" s="3" t="s">
        <v>114</v>
      </c>
      <c r="F1768" s="3" t="n">
        <f aca="false">IF(C1768="848630",0,1)</f>
        <v>0</v>
      </c>
    </row>
    <row r="1769" customFormat="false" ht="15" hidden="false" customHeight="false" outlineLevel="0" collapsed="false">
      <c r="A1769" s="12" t="n">
        <v>45108</v>
      </c>
      <c r="B1769" s="9" t="s">
        <v>93</v>
      </c>
      <c r="C1769" s="3" t="s">
        <v>112</v>
      </c>
      <c r="D1769" s="3" t="n">
        <v>0</v>
      </c>
      <c r="E1769" s="3" t="s">
        <v>114</v>
      </c>
      <c r="F1769" s="3" t="n">
        <f aca="false">IF(C1769="848630",0,1)</f>
        <v>0</v>
      </c>
    </row>
    <row r="1770" customFormat="false" ht="15" hidden="false" customHeight="false" outlineLevel="0" collapsed="false">
      <c r="A1770" s="12" t="n">
        <v>45108</v>
      </c>
      <c r="B1770" s="9" t="s">
        <v>93</v>
      </c>
      <c r="C1770" s="3" t="s">
        <v>108</v>
      </c>
      <c r="D1770" s="3" t="n">
        <v>2938000</v>
      </c>
      <c r="E1770" s="3" t="s">
        <v>114</v>
      </c>
      <c r="F1770" s="3" t="n">
        <f aca="false">IF(C1770="848630",0,1)</f>
        <v>1</v>
      </c>
    </row>
    <row r="1771" customFormat="false" ht="15" hidden="false" customHeight="false" outlineLevel="0" collapsed="false">
      <c r="A1771" s="12" t="n">
        <v>45108</v>
      </c>
      <c r="B1771" s="9" t="s">
        <v>93</v>
      </c>
      <c r="C1771" s="3" t="s">
        <v>108</v>
      </c>
      <c r="D1771" s="3" t="n">
        <v>0</v>
      </c>
      <c r="E1771" s="3" t="s">
        <v>114</v>
      </c>
      <c r="F1771" s="3" t="n">
        <f aca="false">IF(C1771="848630",0,1)</f>
        <v>1</v>
      </c>
    </row>
    <row r="1772" customFormat="false" ht="15" hidden="false" customHeight="false" outlineLevel="0" collapsed="false">
      <c r="A1772" s="12" t="n">
        <v>45108</v>
      </c>
      <c r="B1772" s="9" t="s">
        <v>93</v>
      </c>
      <c r="C1772" s="3" t="s">
        <v>108</v>
      </c>
      <c r="D1772" s="3" t="n">
        <v>38000</v>
      </c>
      <c r="E1772" s="3" t="s">
        <v>114</v>
      </c>
      <c r="F1772" s="3" t="n">
        <f aca="false">IF(C1772="848630",0,1)</f>
        <v>1</v>
      </c>
    </row>
    <row r="1773" customFormat="false" ht="15" hidden="false" customHeight="false" outlineLevel="0" collapsed="false">
      <c r="A1773" s="12" t="n">
        <v>45108</v>
      </c>
      <c r="B1773" s="9" t="s">
        <v>93</v>
      </c>
      <c r="C1773" s="3" t="s">
        <v>108</v>
      </c>
      <c r="D1773" s="3" t="n">
        <v>69000</v>
      </c>
      <c r="E1773" s="3" t="s">
        <v>114</v>
      </c>
      <c r="F1773" s="3" t="n">
        <f aca="false">IF(C1773="848630",0,1)</f>
        <v>1</v>
      </c>
    </row>
    <row r="1774" customFormat="false" ht="15" hidden="false" customHeight="false" outlineLevel="0" collapsed="false">
      <c r="A1774" s="12" t="n">
        <v>45108</v>
      </c>
      <c r="B1774" s="9" t="s">
        <v>93</v>
      </c>
      <c r="C1774" s="3" t="s">
        <v>108</v>
      </c>
      <c r="D1774" s="3" t="n">
        <v>1434000</v>
      </c>
      <c r="E1774" s="3" t="s">
        <v>114</v>
      </c>
      <c r="F1774" s="3" t="n">
        <f aca="false">IF(C1774="848630",0,1)</f>
        <v>1</v>
      </c>
    </row>
    <row r="1775" customFormat="false" ht="15" hidden="false" customHeight="false" outlineLevel="0" collapsed="false">
      <c r="A1775" s="12" t="n">
        <v>45108</v>
      </c>
      <c r="B1775" s="9" t="s">
        <v>93</v>
      </c>
      <c r="C1775" s="3" t="s">
        <v>108</v>
      </c>
      <c r="D1775" s="3" t="n">
        <v>4511000</v>
      </c>
      <c r="E1775" s="3" t="s">
        <v>114</v>
      </c>
      <c r="F1775" s="3" t="n">
        <f aca="false">IF(C1775="848630",0,1)</f>
        <v>1</v>
      </c>
    </row>
    <row r="1776" customFormat="false" ht="15" hidden="false" customHeight="false" outlineLevel="0" collapsed="false">
      <c r="A1776" s="12" t="n">
        <v>45108</v>
      </c>
      <c r="B1776" s="9" t="s">
        <v>93</v>
      </c>
      <c r="C1776" s="3" t="s">
        <v>108</v>
      </c>
      <c r="D1776" s="3" t="n">
        <v>66000</v>
      </c>
      <c r="E1776" s="3" t="s">
        <v>114</v>
      </c>
      <c r="F1776" s="3" t="n">
        <f aca="false">IF(C1776="848630",0,1)</f>
        <v>1</v>
      </c>
    </row>
    <row r="1777" customFormat="false" ht="15" hidden="false" customHeight="false" outlineLevel="0" collapsed="false">
      <c r="A1777" s="12" t="n">
        <v>45108</v>
      </c>
      <c r="B1777" s="9" t="s">
        <v>93</v>
      </c>
      <c r="C1777" s="3" t="s">
        <v>108</v>
      </c>
      <c r="D1777" s="3" t="n">
        <v>923000</v>
      </c>
      <c r="E1777" s="3" t="s">
        <v>114</v>
      </c>
      <c r="F1777" s="3" t="n">
        <f aca="false">IF(C1777="848630",0,1)</f>
        <v>1</v>
      </c>
    </row>
    <row r="1778" customFormat="false" ht="15" hidden="false" customHeight="false" outlineLevel="0" collapsed="false">
      <c r="A1778" s="12" t="n">
        <v>45108</v>
      </c>
      <c r="B1778" s="9" t="s">
        <v>93</v>
      </c>
      <c r="C1778" s="3" t="s">
        <v>109</v>
      </c>
      <c r="D1778" s="3" t="n">
        <v>5033000</v>
      </c>
      <c r="E1778" s="3" t="s">
        <v>114</v>
      </c>
      <c r="F1778" s="3" t="n">
        <f aca="false">IF(C1778="848630",0,1)</f>
        <v>1</v>
      </c>
    </row>
    <row r="1779" customFormat="false" ht="15" hidden="false" customHeight="false" outlineLevel="0" collapsed="false">
      <c r="A1779" s="12" t="n">
        <v>45108</v>
      </c>
      <c r="B1779" s="9" t="s">
        <v>93</v>
      </c>
      <c r="C1779" s="3" t="s">
        <v>109</v>
      </c>
      <c r="D1779" s="3" t="n">
        <v>10009000</v>
      </c>
      <c r="E1779" s="3" t="s">
        <v>114</v>
      </c>
      <c r="F1779" s="3" t="n">
        <f aca="false">IF(C1779="848630",0,1)</f>
        <v>1</v>
      </c>
    </row>
    <row r="1780" customFormat="false" ht="15" hidden="false" customHeight="false" outlineLevel="0" collapsed="false">
      <c r="A1780" s="12" t="n">
        <v>45108</v>
      </c>
      <c r="B1780" s="9" t="s">
        <v>93</v>
      </c>
      <c r="C1780" s="3" t="s">
        <v>109</v>
      </c>
      <c r="D1780" s="3" t="n">
        <v>17131000</v>
      </c>
      <c r="E1780" s="3" t="s">
        <v>114</v>
      </c>
      <c r="F1780" s="3" t="n">
        <f aca="false">IF(C1780="848630",0,1)</f>
        <v>1</v>
      </c>
    </row>
    <row r="1781" customFormat="false" ht="15" hidden="false" customHeight="false" outlineLevel="0" collapsed="false">
      <c r="A1781" s="12" t="n">
        <v>45108</v>
      </c>
      <c r="B1781" s="9" t="s">
        <v>93</v>
      </c>
      <c r="C1781" s="3" t="s">
        <v>109</v>
      </c>
      <c r="D1781" s="3" t="n">
        <v>7755000</v>
      </c>
      <c r="E1781" s="3" t="s">
        <v>114</v>
      </c>
      <c r="F1781" s="3" t="n">
        <f aca="false">IF(C1781="848630",0,1)</f>
        <v>1</v>
      </c>
    </row>
    <row r="1782" customFormat="false" ht="15" hidden="false" customHeight="false" outlineLevel="0" collapsed="false">
      <c r="A1782" s="12" t="n">
        <v>45108</v>
      </c>
      <c r="B1782" s="9" t="s">
        <v>93</v>
      </c>
      <c r="C1782" s="3" t="s">
        <v>109</v>
      </c>
      <c r="D1782" s="3" t="n">
        <v>498000</v>
      </c>
      <c r="E1782" s="3" t="s">
        <v>114</v>
      </c>
      <c r="F1782" s="3" t="n">
        <f aca="false">IF(C1782="848630",0,1)</f>
        <v>1</v>
      </c>
    </row>
    <row r="1783" customFormat="false" ht="15" hidden="false" customHeight="false" outlineLevel="0" collapsed="false">
      <c r="A1783" s="12" t="n">
        <v>45108</v>
      </c>
      <c r="B1783" s="9" t="s">
        <v>93</v>
      </c>
      <c r="C1783" s="3" t="s">
        <v>109</v>
      </c>
      <c r="D1783" s="3" t="n">
        <v>1164000</v>
      </c>
      <c r="E1783" s="3" t="s">
        <v>114</v>
      </c>
      <c r="F1783" s="3" t="n">
        <f aca="false">IF(C1783="848630",0,1)</f>
        <v>1</v>
      </c>
    </row>
    <row r="1784" customFormat="false" ht="15" hidden="false" customHeight="false" outlineLevel="0" collapsed="false">
      <c r="A1784" s="12" t="n">
        <v>45108</v>
      </c>
      <c r="B1784" s="9" t="s">
        <v>93</v>
      </c>
      <c r="C1784" s="3" t="s">
        <v>109</v>
      </c>
      <c r="D1784" s="3" t="n">
        <v>434000</v>
      </c>
      <c r="E1784" s="3" t="s">
        <v>114</v>
      </c>
      <c r="F1784" s="3" t="n">
        <f aca="false">IF(C1784="848630",0,1)</f>
        <v>1</v>
      </c>
    </row>
    <row r="1785" customFormat="false" ht="15" hidden="false" customHeight="false" outlineLevel="0" collapsed="false">
      <c r="A1785" s="12" t="n">
        <v>45108</v>
      </c>
      <c r="B1785" s="9" t="s">
        <v>93</v>
      </c>
      <c r="C1785" s="3" t="s">
        <v>109</v>
      </c>
      <c r="D1785" s="3" t="n">
        <v>5652000</v>
      </c>
      <c r="E1785" s="3" t="s">
        <v>114</v>
      </c>
      <c r="F1785" s="3" t="n">
        <f aca="false">IF(C1785="848630",0,1)</f>
        <v>1</v>
      </c>
    </row>
    <row r="1786" customFormat="false" ht="15" hidden="false" customHeight="false" outlineLevel="0" collapsed="false">
      <c r="A1786" s="12" t="n">
        <v>45108</v>
      </c>
      <c r="B1786" s="9" t="s">
        <v>93</v>
      </c>
      <c r="C1786" s="3" t="s">
        <v>110</v>
      </c>
      <c r="D1786" s="3" t="n">
        <v>32256000</v>
      </c>
      <c r="E1786" s="3" t="s">
        <v>114</v>
      </c>
      <c r="F1786" s="3" t="n">
        <f aca="false">IF(C1786="848630",0,1)</f>
        <v>1</v>
      </c>
    </row>
    <row r="1787" customFormat="false" ht="15" hidden="false" customHeight="false" outlineLevel="0" collapsed="false">
      <c r="A1787" s="12" t="n">
        <v>45108</v>
      </c>
      <c r="B1787" s="9" t="s">
        <v>93</v>
      </c>
      <c r="C1787" s="3" t="s">
        <v>111</v>
      </c>
      <c r="D1787" s="3" t="n">
        <v>3000</v>
      </c>
      <c r="E1787" s="3" t="s">
        <v>114</v>
      </c>
      <c r="F1787" s="3" t="n">
        <f aca="false">IF(C1787="848630",0,1)</f>
        <v>1</v>
      </c>
    </row>
    <row r="1788" customFormat="false" ht="15" hidden="false" customHeight="false" outlineLevel="0" collapsed="false">
      <c r="A1788" s="12" t="n">
        <v>45108</v>
      </c>
      <c r="B1788" s="9" t="s">
        <v>93</v>
      </c>
      <c r="C1788" s="3" t="s">
        <v>111</v>
      </c>
      <c r="D1788" s="3" t="n">
        <v>96336000</v>
      </c>
      <c r="E1788" s="3" t="s">
        <v>114</v>
      </c>
      <c r="F1788" s="3" t="n">
        <f aca="false">IF(C1788="848630",0,1)</f>
        <v>1</v>
      </c>
    </row>
    <row r="1789" customFormat="false" ht="15" hidden="false" customHeight="false" outlineLevel="0" collapsed="false">
      <c r="A1789" s="12" t="n">
        <v>45139</v>
      </c>
      <c r="B1789" s="9" t="s">
        <v>93</v>
      </c>
      <c r="C1789" s="3" t="s">
        <v>105</v>
      </c>
      <c r="D1789" s="3" t="n">
        <v>385000</v>
      </c>
      <c r="E1789" s="3" t="s">
        <v>114</v>
      </c>
      <c r="F1789" s="3" t="n">
        <f aca="false">IF(C1789="848630",0,1)</f>
        <v>1</v>
      </c>
    </row>
    <row r="1790" customFormat="false" ht="15" hidden="false" customHeight="false" outlineLevel="0" collapsed="false">
      <c r="A1790" s="12" t="n">
        <v>45139</v>
      </c>
      <c r="B1790" s="9" t="s">
        <v>93</v>
      </c>
      <c r="C1790" s="3" t="s">
        <v>105</v>
      </c>
      <c r="D1790" s="3" t="n">
        <v>23000</v>
      </c>
      <c r="E1790" s="3" t="s">
        <v>114</v>
      </c>
      <c r="F1790" s="3" t="n">
        <f aca="false">IF(C1790="848630",0,1)</f>
        <v>1</v>
      </c>
    </row>
    <row r="1791" customFormat="false" ht="15" hidden="false" customHeight="false" outlineLevel="0" collapsed="false">
      <c r="A1791" s="12" t="n">
        <v>45139</v>
      </c>
      <c r="B1791" s="9" t="s">
        <v>93</v>
      </c>
      <c r="C1791" s="3" t="s">
        <v>105</v>
      </c>
      <c r="D1791" s="3" t="n">
        <v>25000</v>
      </c>
      <c r="E1791" s="3" t="s">
        <v>114</v>
      </c>
      <c r="F1791" s="3" t="n">
        <f aca="false">IF(C1791="848630",0,1)</f>
        <v>1</v>
      </c>
    </row>
    <row r="1792" customFormat="false" ht="15" hidden="false" customHeight="false" outlineLevel="0" collapsed="false">
      <c r="A1792" s="12" t="n">
        <v>45139</v>
      </c>
      <c r="B1792" s="9" t="s">
        <v>93</v>
      </c>
      <c r="C1792" s="3" t="s">
        <v>105</v>
      </c>
      <c r="D1792" s="3" t="n">
        <v>3865000</v>
      </c>
      <c r="E1792" s="3" t="s">
        <v>114</v>
      </c>
      <c r="F1792" s="3" t="n">
        <f aca="false">IF(C1792="848630",0,1)</f>
        <v>1</v>
      </c>
    </row>
    <row r="1793" customFormat="false" ht="15" hidden="false" customHeight="false" outlineLevel="0" collapsed="false">
      <c r="A1793" s="12" t="n">
        <v>45139</v>
      </c>
      <c r="B1793" s="9" t="s">
        <v>93</v>
      </c>
      <c r="C1793" s="3" t="s">
        <v>107</v>
      </c>
      <c r="D1793" s="3" t="n">
        <v>7000</v>
      </c>
      <c r="E1793" s="3" t="s">
        <v>114</v>
      </c>
      <c r="F1793" s="3" t="n">
        <f aca="false">IF(C1793="848630",0,1)</f>
        <v>1</v>
      </c>
    </row>
    <row r="1794" customFormat="false" ht="15" hidden="false" customHeight="false" outlineLevel="0" collapsed="false">
      <c r="A1794" s="12" t="n">
        <v>45139</v>
      </c>
      <c r="B1794" s="9" t="s">
        <v>93</v>
      </c>
      <c r="C1794" s="3" t="s">
        <v>107</v>
      </c>
      <c r="D1794" s="3" t="n">
        <v>0</v>
      </c>
      <c r="E1794" s="3" t="s">
        <v>114</v>
      </c>
      <c r="F1794" s="3" t="n">
        <f aca="false">IF(C1794="848630",0,1)</f>
        <v>1</v>
      </c>
    </row>
    <row r="1795" customFormat="false" ht="15" hidden="false" customHeight="false" outlineLevel="0" collapsed="false">
      <c r="A1795" s="12" t="n">
        <v>45139</v>
      </c>
      <c r="B1795" s="9" t="s">
        <v>93</v>
      </c>
      <c r="C1795" s="3" t="s">
        <v>107</v>
      </c>
      <c r="D1795" s="3" t="n">
        <v>3223000</v>
      </c>
      <c r="E1795" s="3" t="s">
        <v>114</v>
      </c>
      <c r="F1795" s="3" t="n">
        <f aca="false">IF(C1795="848630",0,1)</f>
        <v>1</v>
      </c>
    </row>
    <row r="1796" customFormat="false" ht="15" hidden="false" customHeight="false" outlineLevel="0" collapsed="false">
      <c r="A1796" s="12" t="n">
        <v>45139</v>
      </c>
      <c r="B1796" s="9" t="s">
        <v>93</v>
      </c>
      <c r="C1796" s="3" t="s">
        <v>107</v>
      </c>
      <c r="D1796" s="3" t="n">
        <v>44082000</v>
      </c>
      <c r="E1796" s="3" t="s">
        <v>114</v>
      </c>
      <c r="F1796" s="3" t="n">
        <f aca="false">IF(C1796="848630",0,1)</f>
        <v>1</v>
      </c>
    </row>
    <row r="1797" customFormat="false" ht="15" hidden="false" customHeight="false" outlineLevel="0" collapsed="false">
      <c r="A1797" s="12" t="n">
        <v>45139</v>
      </c>
      <c r="B1797" s="9" t="s">
        <v>93</v>
      </c>
      <c r="C1797" s="3" t="s">
        <v>107</v>
      </c>
      <c r="D1797" s="3" t="n">
        <v>3070000</v>
      </c>
      <c r="E1797" s="3" t="s">
        <v>114</v>
      </c>
      <c r="F1797" s="3" t="n">
        <f aca="false">IF(C1797="848630",0,1)</f>
        <v>1</v>
      </c>
    </row>
    <row r="1798" customFormat="false" ht="15" hidden="false" customHeight="false" outlineLevel="0" collapsed="false">
      <c r="A1798" s="12" t="n">
        <v>45139</v>
      </c>
      <c r="B1798" s="9" t="s">
        <v>93</v>
      </c>
      <c r="C1798" s="3" t="s">
        <v>107</v>
      </c>
      <c r="D1798" s="3" t="n">
        <v>8460000</v>
      </c>
      <c r="E1798" s="3" t="s">
        <v>114</v>
      </c>
      <c r="F1798" s="3" t="n">
        <f aca="false">IF(C1798="848630",0,1)</f>
        <v>1</v>
      </c>
    </row>
    <row r="1799" customFormat="false" ht="15" hidden="false" customHeight="false" outlineLevel="0" collapsed="false">
      <c r="A1799" s="12" t="n">
        <v>45139</v>
      </c>
      <c r="B1799" s="9" t="s">
        <v>93</v>
      </c>
      <c r="C1799" s="3" t="s">
        <v>107</v>
      </c>
      <c r="D1799" s="3" t="n">
        <v>10747000</v>
      </c>
      <c r="E1799" s="3" t="s">
        <v>114</v>
      </c>
      <c r="F1799" s="3" t="n">
        <f aca="false">IF(C1799="848630",0,1)</f>
        <v>1</v>
      </c>
    </row>
    <row r="1800" customFormat="false" ht="15" hidden="false" customHeight="false" outlineLevel="0" collapsed="false">
      <c r="A1800" s="12" t="n">
        <v>45139</v>
      </c>
      <c r="B1800" s="9" t="s">
        <v>93</v>
      </c>
      <c r="C1800" s="3" t="s">
        <v>107</v>
      </c>
      <c r="D1800" s="3" t="n">
        <v>1122000</v>
      </c>
      <c r="E1800" s="3" t="s">
        <v>114</v>
      </c>
      <c r="F1800" s="3" t="n">
        <f aca="false">IF(C1800="848630",0,1)</f>
        <v>1</v>
      </c>
    </row>
    <row r="1801" customFormat="false" ht="15" hidden="false" customHeight="false" outlineLevel="0" collapsed="false">
      <c r="A1801" s="12" t="n">
        <v>45139</v>
      </c>
      <c r="B1801" s="9" t="s">
        <v>93</v>
      </c>
      <c r="C1801" s="3" t="s">
        <v>107</v>
      </c>
      <c r="D1801" s="3" t="n">
        <v>28609000</v>
      </c>
      <c r="E1801" s="3" t="s">
        <v>114</v>
      </c>
      <c r="F1801" s="3" t="n">
        <f aca="false">IF(C1801="848630",0,1)</f>
        <v>1</v>
      </c>
    </row>
    <row r="1802" customFormat="false" ht="15" hidden="false" customHeight="false" outlineLevel="0" collapsed="false">
      <c r="A1802" s="12" t="n">
        <v>45139</v>
      </c>
      <c r="B1802" s="9" t="s">
        <v>93</v>
      </c>
      <c r="C1802" s="3" t="s">
        <v>107</v>
      </c>
      <c r="D1802" s="3" t="n">
        <v>0</v>
      </c>
      <c r="E1802" s="3" t="s">
        <v>114</v>
      </c>
      <c r="F1802" s="3" t="n">
        <f aca="false">IF(C1802="848630",0,1)</f>
        <v>1</v>
      </c>
    </row>
    <row r="1803" customFormat="false" ht="15" hidden="false" customHeight="false" outlineLevel="0" collapsed="false">
      <c r="A1803" s="12" t="n">
        <v>45139</v>
      </c>
      <c r="B1803" s="9" t="s">
        <v>93</v>
      </c>
      <c r="C1803" s="3" t="s">
        <v>107</v>
      </c>
      <c r="D1803" s="3" t="n">
        <v>19176000</v>
      </c>
      <c r="E1803" s="3" t="s">
        <v>114</v>
      </c>
      <c r="F1803" s="3" t="n">
        <f aca="false">IF(C1803="848630",0,1)</f>
        <v>1</v>
      </c>
    </row>
    <row r="1804" customFormat="false" ht="15" hidden="false" customHeight="false" outlineLevel="0" collapsed="false">
      <c r="A1804" s="12" t="n">
        <v>45139</v>
      </c>
      <c r="B1804" s="9" t="s">
        <v>93</v>
      </c>
      <c r="C1804" s="3" t="s">
        <v>107</v>
      </c>
      <c r="D1804" s="3" t="n">
        <v>9179000</v>
      </c>
      <c r="E1804" s="3" t="s">
        <v>114</v>
      </c>
      <c r="F1804" s="3" t="n">
        <f aca="false">IF(C1804="848630",0,1)</f>
        <v>1</v>
      </c>
    </row>
    <row r="1805" customFormat="false" ht="15" hidden="false" customHeight="false" outlineLevel="0" collapsed="false">
      <c r="A1805" s="12" t="n">
        <v>45139</v>
      </c>
      <c r="B1805" s="9" t="s">
        <v>93</v>
      </c>
      <c r="C1805" s="3" t="s">
        <v>107</v>
      </c>
      <c r="D1805" s="3" t="n">
        <v>1151000</v>
      </c>
      <c r="E1805" s="3" t="s">
        <v>114</v>
      </c>
      <c r="F1805" s="3" t="n">
        <f aca="false">IF(C1805="848630",0,1)</f>
        <v>1</v>
      </c>
    </row>
    <row r="1806" customFormat="false" ht="15" hidden="false" customHeight="false" outlineLevel="0" collapsed="false">
      <c r="A1806" s="12" t="n">
        <v>45139</v>
      </c>
      <c r="B1806" s="9" t="s">
        <v>93</v>
      </c>
      <c r="C1806" s="3" t="s">
        <v>107</v>
      </c>
      <c r="D1806" s="3" t="n">
        <v>779000</v>
      </c>
      <c r="E1806" s="3" t="s">
        <v>114</v>
      </c>
      <c r="F1806" s="3" t="n">
        <f aca="false">IF(C1806="848630",0,1)</f>
        <v>1</v>
      </c>
    </row>
    <row r="1807" customFormat="false" ht="15" hidden="false" customHeight="false" outlineLevel="0" collapsed="false">
      <c r="A1807" s="12" t="n">
        <v>45139</v>
      </c>
      <c r="B1807" s="9" t="s">
        <v>93</v>
      </c>
      <c r="C1807" s="3" t="s">
        <v>107</v>
      </c>
      <c r="D1807" s="3" t="n">
        <v>647000</v>
      </c>
      <c r="E1807" s="3" t="s">
        <v>114</v>
      </c>
      <c r="F1807" s="3" t="n">
        <f aca="false">IF(C1807="848630",0,1)</f>
        <v>1</v>
      </c>
    </row>
    <row r="1808" customFormat="false" ht="15" hidden="false" customHeight="false" outlineLevel="0" collapsed="false">
      <c r="A1808" s="12" t="n">
        <v>45139</v>
      </c>
      <c r="B1808" s="9" t="s">
        <v>93</v>
      </c>
      <c r="C1808" s="3" t="s">
        <v>112</v>
      </c>
      <c r="D1808" s="3" t="n">
        <v>0</v>
      </c>
      <c r="E1808" s="3" t="s">
        <v>114</v>
      </c>
      <c r="F1808" s="3" t="n">
        <f aca="false">IF(C1808="848630",0,1)</f>
        <v>0</v>
      </c>
    </row>
    <row r="1809" customFormat="false" ht="15" hidden="false" customHeight="false" outlineLevel="0" collapsed="false">
      <c r="A1809" s="12" t="n">
        <v>45139</v>
      </c>
      <c r="B1809" s="9" t="s">
        <v>93</v>
      </c>
      <c r="C1809" s="3" t="s">
        <v>112</v>
      </c>
      <c r="D1809" s="3" t="n">
        <v>265000</v>
      </c>
      <c r="E1809" s="3" t="s">
        <v>114</v>
      </c>
      <c r="F1809" s="3" t="n">
        <f aca="false">IF(C1809="848630",0,1)</f>
        <v>0</v>
      </c>
    </row>
    <row r="1810" customFormat="false" ht="15" hidden="false" customHeight="false" outlineLevel="0" collapsed="false">
      <c r="A1810" s="12" t="n">
        <v>45139</v>
      </c>
      <c r="B1810" s="9" t="s">
        <v>93</v>
      </c>
      <c r="C1810" s="3" t="s">
        <v>112</v>
      </c>
      <c r="D1810" s="3" t="n">
        <v>10563000</v>
      </c>
      <c r="E1810" s="3" t="s">
        <v>114</v>
      </c>
      <c r="F1810" s="3" t="n">
        <f aca="false">IF(C1810="848630",0,1)</f>
        <v>0</v>
      </c>
    </row>
    <row r="1811" customFormat="false" ht="15" hidden="false" customHeight="false" outlineLevel="0" collapsed="false">
      <c r="A1811" s="12" t="n">
        <v>45139</v>
      </c>
      <c r="B1811" s="9" t="s">
        <v>93</v>
      </c>
      <c r="C1811" s="3" t="s">
        <v>108</v>
      </c>
      <c r="D1811" s="3" t="n">
        <v>1322000</v>
      </c>
      <c r="E1811" s="3" t="s">
        <v>114</v>
      </c>
      <c r="F1811" s="3" t="n">
        <f aca="false">IF(C1811="848630",0,1)</f>
        <v>1</v>
      </c>
    </row>
    <row r="1812" customFormat="false" ht="15" hidden="false" customHeight="false" outlineLevel="0" collapsed="false">
      <c r="A1812" s="12" t="n">
        <v>45139</v>
      </c>
      <c r="B1812" s="9" t="s">
        <v>93</v>
      </c>
      <c r="C1812" s="3" t="s">
        <v>108</v>
      </c>
      <c r="D1812" s="3" t="n">
        <v>458000</v>
      </c>
      <c r="E1812" s="3" t="s">
        <v>114</v>
      </c>
      <c r="F1812" s="3" t="n">
        <f aca="false">IF(C1812="848630",0,1)</f>
        <v>1</v>
      </c>
    </row>
    <row r="1813" customFormat="false" ht="15" hidden="false" customHeight="false" outlineLevel="0" collapsed="false">
      <c r="A1813" s="12" t="n">
        <v>45139</v>
      </c>
      <c r="B1813" s="9" t="s">
        <v>93</v>
      </c>
      <c r="C1813" s="3" t="s">
        <v>108</v>
      </c>
      <c r="D1813" s="3" t="n">
        <v>0</v>
      </c>
      <c r="E1813" s="3" t="s">
        <v>114</v>
      </c>
      <c r="F1813" s="3" t="n">
        <f aca="false">IF(C1813="848630",0,1)</f>
        <v>1</v>
      </c>
    </row>
    <row r="1814" customFormat="false" ht="15" hidden="false" customHeight="false" outlineLevel="0" collapsed="false">
      <c r="A1814" s="12" t="n">
        <v>45139</v>
      </c>
      <c r="B1814" s="9" t="s">
        <v>93</v>
      </c>
      <c r="C1814" s="3" t="s">
        <v>108</v>
      </c>
      <c r="D1814" s="3" t="n">
        <v>1000</v>
      </c>
      <c r="E1814" s="3" t="s">
        <v>114</v>
      </c>
      <c r="F1814" s="3" t="n">
        <f aca="false">IF(C1814="848630",0,1)</f>
        <v>1</v>
      </c>
    </row>
    <row r="1815" customFormat="false" ht="15" hidden="false" customHeight="false" outlineLevel="0" collapsed="false">
      <c r="A1815" s="12" t="n">
        <v>45139</v>
      </c>
      <c r="B1815" s="9" t="s">
        <v>93</v>
      </c>
      <c r="C1815" s="3" t="s">
        <v>108</v>
      </c>
      <c r="D1815" s="3" t="n">
        <v>8000</v>
      </c>
      <c r="E1815" s="3" t="s">
        <v>114</v>
      </c>
      <c r="F1815" s="3" t="n">
        <f aca="false">IF(C1815="848630",0,1)</f>
        <v>1</v>
      </c>
    </row>
    <row r="1816" customFormat="false" ht="15" hidden="false" customHeight="false" outlineLevel="0" collapsed="false">
      <c r="A1816" s="12" t="n">
        <v>45139</v>
      </c>
      <c r="B1816" s="9" t="s">
        <v>93</v>
      </c>
      <c r="C1816" s="3" t="s">
        <v>108</v>
      </c>
      <c r="D1816" s="3" t="n">
        <v>33000</v>
      </c>
      <c r="E1816" s="3" t="s">
        <v>114</v>
      </c>
      <c r="F1816" s="3" t="n">
        <f aca="false">IF(C1816="848630",0,1)</f>
        <v>1</v>
      </c>
    </row>
    <row r="1817" customFormat="false" ht="15" hidden="false" customHeight="false" outlineLevel="0" collapsed="false">
      <c r="A1817" s="12" t="n">
        <v>45139</v>
      </c>
      <c r="B1817" s="9" t="s">
        <v>93</v>
      </c>
      <c r="C1817" s="3" t="s">
        <v>108</v>
      </c>
      <c r="D1817" s="3" t="n">
        <v>213000</v>
      </c>
      <c r="E1817" s="3" t="s">
        <v>114</v>
      </c>
      <c r="F1817" s="3" t="n">
        <f aca="false">IF(C1817="848630",0,1)</f>
        <v>1</v>
      </c>
    </row>
    <row r="1818" customFormat="false" ht="15" hidden="false" customHeight="false" outlineLevel="0" collapsed="false">
      <c r="A1818" s="12" t="n">
        <v>45139</v>
      </c>
      <c r="B1818" s="9" t="s">
        <v>93</v>
      </c>
      <c r="C1818" s="3" t="s">
        <v>108</v>
      </c>
      <c r="D1818" s="3" t="n">
        <v>4733000</v>
      </c>
      <c r="E1818" s="3" t="s">
        <v>114</v>
      </c>
      <c r="F1818" s="3" t="n">
        <f aca="false">IF(C1818="848630",0,1)</f>
        <v>1</v>
      </c>
    </row>
    <row r="1819" customFormat="false" ht="15" hidden="false" customHeight="false" outlineLevel="0" collapsed="false">
      <c r="A1819" s="12" t="n">
        <v>45139</v>
      </c>
      <c r="B1819" s="9" t="s">
        <v>93</v>
      </c>
      <c r="C1819" s="3" t="s">
        <v>108</v>
      </c>
      <c r="D1819" s="3" t="n">
        <v>33000</v>
      </c>
      <c r="E1819" s="3" t="s">
        <v>114</v>
      </c>
      <c r="F1819" s="3" t="n">
        <f aca="false">IF(C1819="848630",0,1)</f>
        <v>1</v>
      </c>
    </row>
    <row r="1820" customFormat="false" ht="15" hidden="false" customHeight="false" outlineLevel="0" collapsed="false">
      <c r="A1820" s="12" t="n">
        <v>45139</v>
      </c>
      <c r="B1820" s="9" t="s">
        <v>93</v>
      </c>
      <c r="C1820" s="3" t="s">
        <v>108</v>
      </c>
      <c r="D1820" s="3" t="n">
        <v>677000</v>
      </c>
      <c r="E1820" s="3" t="s">
        <v>114</v>
      </c>
      <c r="F1820" s="3" t="n">
        <f aca="false">IF(C1820="848630",0,1)</f>
        <v>1</v>
      </c>
    </row>
    <row r="1821" customFormat="false" ht="15" hidden="false" customHeight="false" outlineLevel="0" collapsed="false">
      <c r="A1821" s="12" t="n">
        <v>45139</v>
      </c>
      <c r="B1821" s="9" t="s">
        <v>93</v>
      </c>
      <c r="C1821" s="3" t="s">
        <v>109</v>
      </c>
      <c r="D1821" s="3" t="n">
        <v>3552000</v>
      </c>
      <c r="E1821" s="3" t="s">
        <v>114</v>
      </c>
      <c r="F1821" s="3" t="n">
        <f aca="false">IF(C1821="848630",0,1)</f>
        <v>1</v>
      </c>
    </row>
    <row r="1822" customFormat="false" ht="15" hidden="false" customHeight="false" outlineLevel="0" collapsed="false">
      <c r="A1822" s="12" t="n">
        <v>45139</v>
      </c>
      <c r="B1822" s="9" t="s">
        <v>93</v>
      </c>
      <c r="C1822" s="3" t="s">
        <v>109</v>
      </c>
      <c r="D1822" s="3" t="n">
        <v>9886000</v>
      </c>
      <c r="E1822" s="3" t="s">
        <v>114</v>
      </c>
      <c r="F1822" s="3" t="n">
        <f aca="false">IF(C1822="848630",0,1)</f>
        <v>1</v>
      </c>
    </row>
    <row r="1823" customFormat="false" ht="15" hidden="false" customHeight="false" outlineLevel="0" collapsed="false">
      <c r="A1823" s="12" t="n">
        <v>45139</v>
      </c>
      <c r="B1823" s="9" t="s">
        <v>93</v>
      </c>
      <c r="C1823" s="3" t="s">
        <v>109</v>
      </c>
      <c r="D1823" s="3" t="n">
        <v>17891000</v>
      </c>
      <c r="E1823" s="3" t="s">
        <v>114</v>
      </c>
      <c r="F1823" s="3" t="n">
        <f aca="false">IF(C1823="848630",0,1)</f>
        <v>1</v>
      </c>
    </row>
    <row r="1824" customFormat="false" ht="15" hidden="false" customHeight="false" outlineLevel="0" collapsed="false">
      <c r="A1824" s="12" t="n">
        <v>45139</v>
      </c>
      <c r="B1824" s="9" t="s">
        <v>93</v>
      </c>
      <c r="C1824" s="3" t="s">
        <v>109</v>
      </c>
      <c r="D1824" s="3" t="n">
        <v>9084000</v>
      </c>
      <c r="E1824" s="3" t="s">
        <v>114</v>
      </c>
      <c r="F1824" s="3" t="n">
        <f aca="false">IF(C1824="848630",0,1)</f>
        <v>1</v>
      </c>
    </row>
    <row r="1825" customFormat="false" ht="15" hidden="false" customHeight="false" outlineLevel="0" collapsed="false">
      <c r="A1825" s="12" t="n">
        <v>45139</v>
      </c>
      <c r="B1825" s="9" t="s">
        <v>93</v>
      </c>
      <c r="C1825" s="3" t="s">
        <v>109</v>
      </c>
      <c r="D1825" s="3" t="n">
        <v>45000</v>
      </c>
      <c r="E1825" s="3" t="s">
        <v>114</v>
      </c>
      <c r="F1825" s="3" t="n">
        <f aca="false">IF(C1825="848630",0,1)</f>
        <v>1</v>
      </c>
    </row>
    <row r="1826" customFormat="false" ht="15" hidden="false" customHeight="false" outlineLevel="0" collapsed="false">
      <c r="A1826" s="12" t="n">
        <v>45139</v>
      </c>
      <c r="B1826" s="9" t="s">
        <v>93</v>
      </c>
      <c r="C1826" s="3" t="s">
        <v>109</v>
      </c>
      <c r="D1826" s="3" t="n">
        <v>1015000</v>
      </c>
      <c r="E1826" s="3" t="s">
        <v>114</v>
      </c>
      <c r="F1826" s="3" t="n">
        <f aca="false">IF(C1826="848630",0,1)</f>
        <v>1</v>
      </c>
    </row>
    <row r="1827" customFormat="false" ht="15" hidden="false" customHeight="false" outlineLevel="0" collapsed="false">
      <c r="A1827" s="12" t="n">
        <v>45139</v>
      </c>
      <c r="B1827" s="9" t="s">
        <v>93</v>
      </c>
      <c r="C1827" s="3" t="s">
        <v>109</v>
      </c>
      <c r="D1827" s="3" t="n">
        <v>242000</v>
      </c>
      <c r="E1827" s="3" t="s">
        <v>114</v>
      </c>
      <c r="F1827" s="3" t="n">
        <f aca="false">IF(C1827="848630",0,1)</f>
        <v>1</v>
      </c>
    </row>
    <row r="1828" customFormat="false" ht="15" hidden="false" customHeight="false" outlineLevel="0" collapsed="false">
      <c r="A1828" s="12" t="n">
        <v>45139</v>
      </c>
      <c r="B1828" s="9" t="s">
        <v>93</v>
      </c>
      <c r="C1828" s="3" t="s">
        <v>109</v>
      </c>
      <c r="D1828" s="3" t="n">
        <v>6591000</v>
      </c>
      <c r="E1828" s="3" t="s">
        <v>114</v>
      </c>
      <c r="F1828" s="3" t="n">
        <f aca="false">IF(C1828="848630",0,1)</f>
        <v>1</v>
      </c>
    </row>
    <row r="1829" customFormat="false" ht="15" hidden="false" customHeight="false" outlineLevel="0" collapsed="false">
      <c r="A1829" s="12" t="n">
        <v>45139</v>
      </c>
      <c r="B1829" s="9" t="s">
        <v>93</v>
      </c>
      <c r="C1829" s="3" t="s">
        <v>110</v>
      </c>
      <c r="D1829" s="3" t="n">
        <v>26409000</v>
      </c>
      <c r="E1829" s="3" t="s">
        <v>114</v>
      </c>
      <c r="F1829" s="3" t="n">
        <f aca="false">IF(C1829="848630",0,1)</f>
        <v>1</v>
      </c>
    </row>
    <row r="1830" customFormat="false" ht="15" hidden="false" customHeight="false" outlineLevel="0" collapsed="false">
      <c r="A1830" s="12" t="n">
        <v>45139</v>
      </c>
      <c r="B1830" s="9" t="s">
        <v>93</v>
      </c>
      <c r="C1830" s="3" t="s">
        <v>111</v>
      </c>
      <c r="D1830" s="3" t="n">
        <v>1000</v>
      </c>
      <c r="E1830" s="3" t="s">
        <v>114</v>
      </c>
      <c r="F1830" s="3" t="n">
        <f aca="false">IF(C1830="848630",0,1)</f>
        <v>1</v>
      </c>
    </row>
    <row r="1831" customFormat="false" ht="15" hidden="false" customHeight="false" outlineLevel="0" collapsed="false">
      <c r="A1831" s="12" t="n">
        <v>45139</v>
      </c>
      <c r="B1831" s="9" t="s">
        <v>93</v>
      </c>
      <c r="C1831" s="3" t="s">
        <v>111</v>
      </c>
      <c r="D1831" s="3" t="n">
        <v>41747000</v>
      </c>
      <c r="E1831" s="3" t="s">
        <v>114</v>
      </c>
      <c r="F1831" s="3" t="n">
        <f aca="false">IF(C1831="848630",0,1)</f>
        <v>1</v>
      </c>
    </row>
    <row r="1832" customFormat="false" ht="15" hidden="false" customHeight="false" outlineLevel="0" collapsed="false">
      <c r="A1832" s="12" t="n">
        <v>45170</v>
      </c>
      <c r="B1832" s="9" t="s">
        <v>93</v>
      </c>
      <c r="C1832" s="3" t="s">
        <v>105</v>
      </c>
      <c r="D1832" s="3" t="n">
        <v>1388000</v>
      </c>
      <c r="E1832" s="3" t="s">
        <v>114</v>
      </c>
      <c r="F1832" s="3" t="n">
        <f aca="false">IF(C1832="848630",0,1)</f>
        <v>1</v>
      </c>
    </row>
    <row r="1833" customFormat="false" ht="15" hidden="false" customHeight="false" outlineLevel="0" collapsed="false">
      <c r="A1833" s="12" t="n">
        <v>45170</v>
      </c>
      <c r="B1833" s="9" t="s">
        <v>93</v>
      </c>
      <c r="C1833" s="3" t="s">
        <v>105</v>
      </c>
      <c r="D1833" s="3" t="n">
        <v>49000</v>
      </c>
      <c r="E1833" s="3" t="s">
        <v>114</v>
      </c>
      <c r="F1833" s="3" t="n">
        <f aca="false">IF(C1833="848630",0,1)</f>
        <v>1</v>
      </c>
    </row>
    <row r="1834" customFormat="false" ht="15" hidden="false" customHeight="false" outlineLevel="0" collapsed="false">
      <c r="A1834" s="12" t="n">
        <v>45170</v>
      </c>
      <c r="B1834" s="9" t="s">
        <v>93</v>
      </c>
      <c r="C1834" s="3" t="s">
        <v>105</v>
      </c>
      <c r="D1834" s="3" t="n">
        <v>57000</v>
      </c>
      <c r="E1834" s="3" t="s">
        <v>114</v>
      </c>
      <c r="F1834" s="3" t="n">
        <f aca="false">IF(C1834="848630",0,1)</f>
        <v>1</v>
      </c>
    </row>
    <row r="1835" customFormat="false" ht="15" hidden="false" customHeight="false" outlineLevel="0" collapsed="false">
      <c r="A1835" s="12" t="n">
        <v>45170</v>
      </c>
      <c r="B1835" s="9" t="s">
        <v>93</v>
      </c>
      <c r="C1835" s="3" t="s">
        <v>105</v>
      </c>
      <c r="D1835" s="3" t="n">
        <v>5000</v>
      </c>
      <c r="E1835" s="3" t="s">
        <v>114</v>
      </c>
      <c r="F1835" s="3" t="n">
        <f aca="false">IF(C1835="848630",0,1)</f>
        <v>1</v>
      </c>
    </row>
    <row r="1836" customFormat="false" ht="15" hidden="false" customHeight="false" outlineLevel="0" collapsed="false">
      <c r="A1836" s="12" t="n">
        <v>45170</v>
      </c>
      <c r="B1836" s="9" t="s">
        <v>93</v>
      </c>
      <c r="C1836" s="3" t="s">
        <v>107</v>
      </c>
      <c r="D1836" s="3" t="n">
        <v>1434000</v>
      </c>
      <c r="E1836" s="3" t="s">
        <v>114</v>
      </c>
      <c r="F1836" s="3" t="n">
        <f aca="false">IF(C1836="848630",0,1)</f>
        <v>1</v>
      </c>
    </row>
    <row r="1837" customFormat="false" ht="15" hidden="false" customHeight="false" outlineLevel="0" collapsed="false">
      <c r="A1837" s="12" t="n">
        <v>45170</v>
      </c>
      <c r="B1837" s="9" t="s">
        <v>93</v>
      </c>
      <c r="C1837" s="3" t="s">
        <v>107</v>
      </c>
      <c r="D1837" s="3" t="n">
        <v>39000</v>
      </c>
      <c r="E1837" s="3" t="s">
        <v>114</v>
      </c>
      <c r="F1837" s="3" t="n">
        <f aca="false">IF(C1837="848630",0,1)</f>
        <v>1</v>
      </c>
    </row>
    <row r="1838" customFormat="false" ht="15" hidden="false" customHeight="false" outlineLevel="0" collapsed="false">
      <c r="A1838" s="12" t="n">
        <v>45170</v>
      </c>
      <c r="B1838" s="9" t="s">
        <v>93</v>
      </c>
      <c r="C1838" s="3" t="s">
        <v>107</v>
      </c>
      <c r="D1838" s="3" t="n">
        <v>3562000</v>
      </c>
      <c r="E1838" s="3" t="s">
        <v>114</v>
      </c>
      <c r="F1838" s="3" t="n">
        <f aca="false">IF(C1838="848630",0,1)</f>
        <v>1</v>
      </c>
    </row>
    <row r="1839" customFormat="false" ht="15" hidden="false" customHeight="false" outlineLevel="0" collapsed="false">
      <c r="A1839" s="12" t="n">
        <v>45170</v>
      </c>
      <c r="B1839" s="9" t="s">
        <v>93</v>
      </c>
      <c r="C1839" s="3" t="s">
        <v>107</v>
      </c>
      <c r="D1839" s="3" t="n">
        <v>5768000</v>
      </c>
      <c r="E1839" s="3" t="s">
        <v>114</v>
      </c>
      <c r="F1839" s="3" t="n">
        <f aca="false">IF(C1839="848630",0,1)</f>
        <v>1</v>
      </c>
    </row>
    <row r="1840" customFormat="false" ht="15" hidden="false" customHeight="false" outlineLevel="0" collapsed="false">
      <c r="A1840" s="12" t="n">
        <v>45170</v>
      </c>
      <c r="B1840" s="9" t="s">
        <v>93</v>
      </c>
      <c r="C1840" s="3" t="s">
        <v>107</v>
      </c>
      <c r="D1840" s="3" t="n">
        <v>36641000</v>
      </c>
      <c r="E1840" s="3" t="s">
        <v>114</v>
      </c>
      <c r="F1840" s="3" t="n">
        <f aca="false">IF(C1840="848630",0,1)</f>
        <v>1</v>
      </c>
    </row>
    <row r="1841" customFormat="false" ht="15" hidden="false" customHeight="false" outlineLevel="0" collapsed="false">
      <c r="A1841" s="12" t="n">
        <v>45170</v>
      </c>
      <c r="B1841" s="9" t="s">
        <v>93</v>
      </c>
      <c r="C1841" s="3" t="s">
        <v>107</v>
      </c>
      <c r="D1841" s="3" t="n">
        <v>8707000</v>
      </c>
      <c r="E1841" s="3" t="s">
        <v>114</v>
      </c>
      <c r="F1841" s="3" t="n">
        <f aca="false">IF(C1841="848630",0,1)</f>
        <v>1</v>
      </c>
    </row>
    <row r="1842" customFormat="false" ht="15" hidden="false" customHeight="false" outlineLevel="0" collapsed="false">
      <c r="A1842" s="12" t="n">
        <v>45170</v>
      </c>
      <c r="B1842" s="9" t="s">
        <v>93</v>
      </c>
      <c r="C1842" s="3" t="s">
        <v>107</v>
      </c>
      <c r="D1842" s="3" t="n">
        <v>8374000</v>
      </c>
      <c r="E1842" s="3" t="s">
        <v>114</v>
      </c>
      <c r="F1842" s="3" t="n">
        <f aca="false">IF(C1842="848630",0,1)</f>
        <v>1</v>
      </c>
    </row>
    <row r="1843" customFormat="false" ht="15" hidden="false" customHeight="false" outlineLevel="0" collapsed="false">
      <c r="A1843" s="12" t="n">
        <v>45170</v>
      </c>
      <c r="B1843" s="9" t="s">
        <v>93</v>
      </c>
      <c r="C1843" s="3" t="s">
        <v>107</v>
      </c>
      <c r="D1843" s="3" t="n">
        <v>9208000</v>
      </c>
      <c r="E1843" s="3" t="s">
        <v>114</v>
      </c>
      <c r="F1843" s="3" t="n">
        <f aca="false">IF(C1843="848630",0,1)</f>
        <v>1</v>
      </c>
    </row>
    <row r="1844" customFormat="false" ht="15" hidden="false" customHeight="false" outlineLevel="0" collapsed="false">
      <c r="A1844" s="12" t="n">
        <v>45170</v>
      </c>
      <c r="B1844" s="9" t="s">
        <v>93</v>
      </c>
      <c r="C1844" s="3" t="s">
        <v>107</v>
      </c>
      <c r="D1844" s="3" t="n">
        <v>1067000</v>
      </c>
      <c r="E1844" s="3" t="s">
        <v>114</v>
      </c>
      <c r="F1844" s="3" t="n">
        <f aca="false">IF(C1844="848630",0,1)</f>
        <v>1</v>
      </c>
    </row>
    <row r="1845" customFormat="false" ht="15" hidden="false" customHeight="false" outlineLevel="0" collapsed="false">
      <c r="A1845" s="12" t="n">
        <v>45170</v>
      </c>
      <c r="B1845" s="9" t="s">
        <v>93</v>
      </c>
      <c r="C1845" s="3" t="s">
        <v>107</v>
      </c>
      <c r="D1845" s="3" t="n">
        <v>27933000</v>
      </c>
      <c r="E1845" s="3" t="s">
        <v>114</v>
      </c>
      <c r="F1845" s="3" t="n">
        <f aca="false">IF(C1845="848630",0,1)</f>
        <v>1</v>
      </c>
    </row>
    <row r="1846" customFormat="false" ht="15" hidden="false" customHeight="false" outlineLevel="0" collapsed="false">
      <c r="A1846" s="12" t="n">
        <v>45170</v>
      </c>
      <c r="B1846" s="9" t="s">
        <v>93</v>
      </c>
      <c r="C1846" s="3" t="s">
        <v>107</v>
      </c>
      <c r="D1846" s="3" t="n">
        <v>0</v>
      </c>
      <c r="E1846" s="3" t="s">
        <v>114</v>
      </c>
      <c r="F1846" s="3" t="n">
        <f aca="false">IF(C1846="848630",0,1)</f>
        <v>1</v>
      </c>
    </row>
    <row r="1847" customFormat="false" ht="15" hidden="false" customHeight="false" outlineLevel="0" collapsed="false">
      <c r="A1847" s="12" t="n">
        <v>45170</v>
      </c>
      <c r="B1847" s="9" t="s">
        <v>93</v>
      </c>
      <c r="C1847" s="3" t="s">
        <v>107</v>
      </c>
      <c r="D1847" s="3" t="n">
        <v>0</v>
      </c>
      <c r="E1847" s="3" t="s">
        <v>114</v>
      </c>
      <c r="F1847" s="3" t="n">
        <f aca="false">IF(C1847="848630",0,1)</f>
        <v>1</v>
      </c>
    </row>
    <row r="1848" customFormat="false" ht="15" hidden="false" customHeight="false" outlineLevel="0" collapsed="false">
      <c r="A1848" s="12" t="n">
        <v>45170</v>
      </c>
      <c r="B1848" s="9" t="s">
        <v>93</v>
      </c>
      <c r="C1848" s="3" t="s">
        <v>107</v>
      </c>
      <c r="D1848" s="3" t="n">
        <v>5297000</v>
      </c>
      <c r="E1848" s="3" t="s">
        <v>114</v>
      </c>
      <c r="F1848" s="3" t="n">
        <f aca="false">IF(C1848="848630",0,1)</f>
        <v>1</v>
      </c>
    </row>
    <row r="1849" customFormat="false" ht="15" hidden="false" customHeight="false" outlineLevel="0" collapsed="false">
      <c r="A1849" s="12" t="n">
        <v>45170</v>
      </c>
      <c r="B1849" s="9" t="s">
        <v>93</v>
      </c>
      <c r="C1849" s="3" t="s">
        <v>107</v>
      </c>
      <c r="D1849" s="3" t="n">
        <v>2368000</v>
      </c>
      <c r="E1849" s="3" t="s">
        <v>114</v>
      </c>
      <c r="F1849" s="3" t="n">
        <f aca="false">IF(C1849="848630",0,1)</f>
        <v>1</v>
      </c>
    </row>
    <row r="1850" customFormat="false" ht="15" hidden="false" customHeight="false" outlineLevel="0" collapsed="false">
      <c r="A1850" s="12" t="n">
        <v>45170</v>
      </c>
      <c r="B1850" s="9" t="s">
        <v>93</v>
      </c>
      <c r="C1850" s="3" t="s">
        <v>107</v>
      </c>
      <c r="D1850" s="3" t="n">
        <v>1143000</v>
      </c>
      <c r="E1850" s="3" t="s">
        <v>114</v>
      </c>
      <c r="F1850" s="3" t="n">
        <f aca="false">IF(C1850="848630",0,1)</f>
        <v>1</v>
      </c>
    </row>
    <row r="1851" customFormat="false" ht="15" hidden="false" customHeight="false" outlineLevel="0" collapsed="false">
      <c r="A1851" s="12" t="n">
        <v>45170</v>
      </c>
      <c r="B1851" s="9" t="s">
        <v>93</v>
      </c>
      <c r="C1851" s="3" t="s">
        <v>107</v>
      </c>
      <c r="D1851" s="3" t="n">
        <v>397000</v>
      </c>
      <c r="E1851" s="3" t="s">
        <v>114</v>
      </c>
      <c r="F1851" s="3" t="n">
        <f aca="false">IF(C1851="848630",0,1)</f>
        <v>1</v>
      </c>
    </row>
    <row r="1852" customFormat="false" ht="15" hidden="false" customHeight="false" outlineLevel="0" collapsed="false">
      <c r="A1852" s="12" t="n">
        <v>45170</v>
      </c>
      <c r="B1852" s="9" t="s">
        <v>93</v>
      </c>
      <c r="C1852" s="3" t="s">
        <v>107</v>
      </c>
      <c r="D1852" s="3" t="n">
        <v>3405000</v>
      </c>
      <c r="E1852" s="3" t="s">
        <v>114</v>
      </c>
      <c r="F1852" s="3" t="n">
        <f aca="false">IF(C1852="848630",0,1)</f>
        <v>1</v>
      </c>
    </row>
    <row r="1853" customFormat="false" ht="15" hidden="false" customHeight="false" outlineLevel="0" collapsed="false">
      <c r="A1853" s="12" t="n">
        <v>45170</v>
      </c>
      <c r="B1853" s="9" t="s">
        <v>93</v>
      </c>
      <c r="C1853" s="3" t="s">
        <v>112</v>
      </c>
      <c r="D1853" s="3" t="n">
        <v>0</v>
      </c>
      <c r="E1853" s="3" t="s">
        <v>114</v>
      </c>
      <c r="F1853" s="3" t="n">
        <f aca="false">IF(C1853="848630",0,1)</f>
        <v>0</v>
      </c>
    </row>
    <row r="1854" customFormat="false" ht="15" hidden="false" customHeight="false" outlineLevel="0" collapsed="false">
      <c r="A1854" s="12" t="n">
        <v>45170</v>
      </c>
      <c r="B1854" s="9" t="s">
        <v>93</v>
      </c>
      <c r="C1854" s="3" t="s">
        <v>112</v>
      </c>
      <c r="D1854" s="3" t="n">
        <v>57000</v>
      </c>
      <c r="E1854" s="3" t="s">
        <v>114</v>
      </c>
      <c r="F1854" s="3" t="n">
        <f aca="false">IF(C1854="848630",0,1)</f>
        <v>0</v>
      </c>
    </row>
    <row r="1855" customFormat="false" ht="15" hidden="false" customHeight="false" outlineLevel="0" collapsed="false">
      <c r="A1855" s="12" t="n">
        <v>45170</v>
      </c>
      <c r="B1855" s="9" t="s">
        <v>93</v>
      </c>
      <c r="C1855" s="3" t="s">
        <v>112</v>
      </c>
      <c r="D1855" s="3" t="n">
        <v>0</v>
      </c>
      <c r="E1855" s="3" t="s">
        <v>114</v>
      </c>
      <c r="F1855" s="3" t="n">
        <f aca="false">IF(C1855="848630",0,1)</f>
        <v>0</v>
      </c>
    </row>
    <row r="1856" customFormat="false" ht="15" hidden="false" customHeight="false" outlineLevel="0" collapsed="false">
      <c r="A1856" s="12" t="n">
        <v>45170</v>
      </c>
      <c r="B1856" s="9" t="s">
        <v>93</v>
      </c>
      <c r="C1856" s="3" t="s">
        <v>108</v>
      </c>
      <c r="D1856" s="3" t="n">
        <v>46911000</v>
      </c>
      <c r="E1856" s="3" t="s">
        <v>114</v>
      </c>
      <c r="F1856" s="3" t="n">
        <f aca="false">IF(C1856="848630",0,1)</f>
        <v>1</v>
      </c>
    </row>
    <row r="1857" customFormat="false" ht="15" hidden="false" customHeight="false" outlineLevel="0" collapsed="false">
      <c r="A1857" s="12" t="n">
        <v>45170</v>
      </c>
      <c r="B1857" s="9" t="s">
        <v>93</v>
      </c>
      <c r="C1857" s="3" t="s">
        <v>108</v>
      </c>
      <c r="D1857" s="3" t="n">
        <v>127000</v>
      </c>
      <c r="E1857" s="3" t="s">
        <v>114</v>
      </c>
      <c r="F1857" s="3" t="n">
        <f aca="false">IF(C1857="848630",0,1)</f>
        <v>1</v>
      </c>
    </row>
    <row r="1858" customFormat="false" ht="15" hidden="false" customHeight="false" outlineLevel="0" collapsed="false">
      <c r="A1858" s="12" t="n">
        <v>45170</v>
      </c>
      <c r="B1858" s="9" t="s">
        <v>93</v>
      </c>
      <c r="C1858" s="3" t="s">
        <v>108</v>
      </c>
      <c r="D1858" s="3" t="n">
        <v>11450000</v>
      </c>
      <c r="E1858" s="3" t="s">
        <v>114</v>
      </c>
      <c r="F1858" s="3" t="n">
        <f aca="false">IF(C1858="848630",0,1)</f>
        <v>1</v>
      </c>
    </row>
    <row r="1859" customFormat="false" ht="15" hidden="false" customHeight="false" outlineLevel="0" collapsed="false">
      <c r="A1859" s="12" t="n">
        <v>45170</v>
      </c>
      <c r="B1859" s="9" t="s">
        <v>93</v>
      </c>
      <c r="C1859" s="3" t="s">
        <v>108</v>
      </c>
      <c r="D1859" s="3" t="n">
        <v>2311000</v>
      </c>
      <c r="E1859" s="3" t="s">
        <v>114</v>
      </c>
      <c r="F1859" s="3" t="n">
        <f aca="false">IF(C1859="848630",0,1)</f>
        <v>1</v>
      </c>
    </row>
    <row r="1860" customFormat="false" ht="15" hidden="false" customHeight="false" outlineLevel="0" collapsed="false">
      <c r="A1860" s="12" t="n">
        <v>45170</v>
      </c>
      <c r="B1860" s="9" t="s">
        <v>93</v>
      </c>
      <c r="C1860" s="3" t="s">
        <v>108</v>
      </c>
      <c r="D1860" s="3" t="n">
        <v>408000</v>
      </c>
      <c r="E1860" s="3" t="s">
        <v>114</v>
      </c>
      <c r="F1860" s="3" t="n">
        <f aca="false">IF(C1860="848630",0,1)</f>
        <v>1</v>
      </c>
    </row>
    <row r="1861" customFormat="false" ht="15" hidden="false" customHeight="false" outlineLevel="0" collapsed="false">
      <c r="A1861" s="12" t="n">
        <v>45170</v>
      </c>
      <c r="B1861" s="9" t="s">
        <v>93</v>
      </c>
      <c r="C1861" s="3" t="s">
        <v>108</v>
      </c>
      <c r="D1861" s="3" t="n">
        <v>407000</v>
      </c>
      <c r="E1861" s="3" t="s">
        <v>114</v>
      </c>
      <c r="F1861" s="3" t="n">
        <f aca="false">IF(C1861="848630",0,1)</f>
        <v>1</v>
      </c>
    </row>
    <row r="1862" customFormat="false" ht="15" hidden="false" customHeight="false" outlineLevel="0" collapsed="false">
      <c r="A1862" s="12" t="n">
        <v>45170</v>
      </c>
      <c r="B1862" s="9" t="s">
        <v>93</v>
      </c>
      <c r="C1862" s="3" t="s">
        <v>108</v>
      </c>
      <c r="D1862" s="3" t="n">
        <v>3000</v>
      </c>
      <c r="E1862" s="3" t="s">
        <v>114</v>
      </c>
      <c r="F1862" s="3" t="n">
        <f aca="false">IF(C1862="848630",0,1)</f>
        <v>1</v>
      </c>
    </row>
    <row r="1863" customFormat="false" ht="15" hidden="false" customHeight="false" outlineLevel="0" collapsed="false">
      <c r="A1863" s="12" t="n">
        <v>45170</v>
      </c>
      <c r="B1863" s="9" t="s">
        <v>93</v>
      </c>
      <c r="C1863" s="3" t="s">
        <v>108</v>
      </c>
      <c r="D1863" s="3" t="n">
        <v>2569000</v>
      </c>
      <c r="E1863" s="3" t="s">
        <v>114</v>
      </c>
      <c r="F1863" s="3" t="n">
        <f aca="false">IF(C1863="848630",0,1)</f>
        <v>1</v>
      </c>
    </row>
    <row r="1864" customFormat="false" ht="15" hidden="false" customHeight="false" outlineLevel="0" collapsed="false">
      <c r="A1864" s="12" t="n">
        <v>45170</v>
      </c>
      <c r="B1864" s="9" t="s">
        <v>93</v>
      </c>
      <c r="C1864" s="3" t="s">
        <v>108</v>
      </c>
      <c r="D1864" s="3" t="n">
        <v>5356000</v>
      </c>
      <c r="E1864" s="3" t="s">
        <v>114</v>
      </c>
      <c r="F1864" s="3" t="n">
        <f aca="false">IF(C1864="848630",0,1)</f>
        <v>1</v>
      </c>
    </row>
    <row r="1865" customFormat="false" ht="15" hidden="false" customHeight="false" outlineLevel="0" collapsed="false">
      <c r="A1865" s="12" t="n">
        <v>45170</v>
      </c>
      <c r="B1865" s="9" t="s">
        <v>93</v>
      </c>
      <c r="C1865" s="3" t="s">
        <v>108</v>
      </c>
      <c r="D1865" s="3" t="n">
        <v>132000</v>
      </c>
      <c r="E1865" s="3" t="s">
        <v>114</v>
      </c>
      <c r="F1865" s="3" t="n">
        <f aca="false">IF(C1865="848630",0,1)</f>
        <v>1</v>
      </c>
    </row>
    <row r="1866" customFormat="false" ht="15" hidden="false" customHeight="false" outlineLevel="0" collapsed="false">
      <c r="A1866" s="12" t="n">
        <v>45170</v>
      </c>
      <c r="B1866" s="9" t="s">
        <v>93</v>
      </c>
      <c r="C1866" s="3" t="s">
        <v>108</v>
      </c>
      <c r="D1866" s="3" t="n">
        <v>1484000</v>
      </c>
      <c r="E1866" s="3" t="s">
        <v>114</v>
      </c>
      <c r="F1866" s="3" t="n">
        <f aca="false">IF(C1866="848630",0,1)</f>
        <v>1</v>
      </c>
    </row>
    <row r="1867" customFormat="false" ht="15" hidden="false" customHeight="false" outlineLevel="0" collapsed="false">
      <c r="A1867" s="12" t="n">
        <v>45170</v>
      </c>
      <c r="B1867" s="9" t="s">
        <v>93</v>
      </c>
      <c r="C1867" s="3" t="s">
        <v>109</v>
      </c>
      <c r="D1867" s="3" t="n">
        <v>1195000</v>
      </c>
      <c r="E1867" s="3" t="s">
        <v>114</v>
      </c>
      <c r="F1867" s="3" t="n">
        <f aca="false">IF(C1867="848630",0,1)</f>
        <v>1</v>
      </c>
    </row>
    <row r="1868" customFormat="false" ht="15" hidden="false" customHeight="false" outlineLevel="0" collapsed="false">
      <c r="A1868" s="12" t="n">
        <v>45170</v>
      </c>
      <c r="B1868" s="9" t="s">
        <v>93</v>
      </c>
      <c r="C1868" s="3" t="s">
        <v>109</v>
      </c>
      <c r="D1868" s="3" t="n">
        <v>5601000</v>
      </c>
      <c r="E1868" s="3" t="s">
        <v>114</v>
      </c>
      <c r="F1868" s="3" t="n">
        <f aca="false">IF(C1868="848630",0,1)</f>
        <v>1</v>
      </c>
    </row>
    <row r="1869" customFormat="false" ht="15" hidden="false" customHeight="false" outlineLevel="0" collapsed="false">
      <c r="A1869" s="12" t="n">
        <v>45170</v>
      </c>
      <c r="B1869" s="9" t="s">
        <v>93</v>
      </c>
      <c r="C1869" s="3" t="s">
        <v>109</v>
      </c>
      <c r="D1869" s="3" t="n">
        <v>18757000</v>
      </c>
      <c r="E1869" s="3" t="s">
        <v>114</v>
      </c>
      <c r="F1869" s="3" t="n">
        <f aca="false">IF(C1869="848630",0,1)</f>
        <v>1</v>
      </c>
    </row>
    <row r="1870" customFormat="false" ht="15" hidden="false" customHeight="false" outlineLevel="0" collapsed="false">
      <c r="A1870" s="12" t="n">
        <v>45170</v>
      </c>
      <c r="B1870" s="9" t="s">
        <v>93</v>
      </c>
      <c r="C1870" s="3" t="s">
        <v>109</v>
      </c>
      <c r="D1870" s="3" t="n">
        <v>6527000</v>
      </c>
      <c r="E1870" s="3" t="s">
        <v>114</v>
      </c>
      <c r="F1870" s="3" t="n">
        <f aca="false">IF(C1870="848630",0,1)</f>
        <v>1</v>
      </c>
    </row>
    <row r="1871" customFormat="false" ht="15" hidden="false" customHeight="false" outlineLevel="0" collapsed="false">
      <c r="A1871" s="12" t="n">
        <v>45170</v>
      </c>
      <c r="B1871" s="9" t="s">
        <v>93</v>
      </c>
      <c r="C1871" s="3" t="s">
        <v>109</v>
      </c>
      <c r="D1871" s="3" t="n">
        <v>323000</v>
      </c>
      <c r="E1871" s="3" t="s">
        <v>114</v>
      </c>
      <c r="F1871" s="3" t="n">
        <f aca="false">IF(C1871="848630",0,1)</f>
        <v>1</v>
      </c>
    </row>
    <row r="1872" customFormat="false" ht="15" hidden="false" customHeight="false" outlineLevel="0" collapsed="false">
      <c r="A1872" s="12" t="n">
        <v>45170</v>
      </c>
      <c r="B1872" s="9" t="s">
        <v>93</v>
      </c>
      <c r="C1872" s="3" t="s">
        <v>109</v>
      </c>
      <c r="D1872" s="3" t="n">
        <v>3512000</v>
      </c>
      <c r="E1872" s="3" t="s">
        <v>114</v>
      </c>
      <c r="F1872" s="3" t="n">
        <f aca="false">IF(C1872="848630",0,1)</f>
        <v>1</v>
      </c>
    </row>
    <row r="1873" customFormat="false" ht="15" hidden="false" customHeight="false" outlineLevel="0" collapsed="false">
      <c r="A1873" s="12" t="n">
        <v>45170</v>
      </c>
      <c r="B1873" s="9" t="s">
        <v>93</v>
      </c>
      <c r="C1873" s="3" t="s">
        <v>109</v>
      </c>
      <c r="D1873" s="3" t="n">
        <v>472000</v>
      </c>
      <c r="E1873" s="3" t="s">
        <v>114</v>
      </c>
      <c r="F1873" s="3" t="n">
        <f aca="false">IF(C1873="848630",0,1)</f>
        <v>1</v>
      </c>
    </row>
    <row r="1874" customFormat="false" ht="15" hidden="false" customHeight="false" outlineLevel="0" collapsed="false">
      <c r="A1874" s="12" t="n">
        <v>45170</v>
      </c>
      <c r="B1874" s="9" t="s">
        <v>93</v>
      </c>
      <c r="C1874" s="3" t="s">
        <v>109</v>
      </c>
      <c r="D1874" s="3" t="n">
        <v>6434000</v>
      </c>
      <c r="E1874" s="3" t="s">
        <v>114</v>
      </c>
      <c r="F1874" s="3" t="n">
        <f aca="false">IF(C1874="848630",0,1)</f>
        <v>1</v>
      </c>
    </row>
    <row r="1875" customFormat="false" ht="15" hidden="false" customHeight="false" outlineLevel="0" collapsed="false">
      <c r="A1875" s="12" t="n">
        <v>45170</v>
      </c>
      <c r="B1875" s="9" t="s">
        <v>93</v>
      </c>
      <c r="C1875" s="3" t="s">
        <v>110</v>
      </c>
      <c r="D1875" s="3" t="n">
        <v>62238000</v>
      </c>
      <c r="E1875" s="3" t="s">
        <v>114</v>
      </c>
      <c r="F1875" s="3" t="n">
        <f aca="false">IF(C1875="848630",0,1)</f>
        <v>1</v>
      </c>
    </row>
    <row r="1876" customFormat="false" ht="15" hidden="false" customHeight="false" outlineLevel="0" collapsed="false">
      <c r="A1876" s="12" t="n">
        <v>45170</v>
      </c>
      <c r="B1876" s="9" t="s">
        <v>93</v>
      </c>
      <c r="C1876" s="3" t="s">
        <v>111</v>
      </c>
      <c r="D1876" s="3" t="n">
        <v>34324000</v>
      </c>
      <c r="E1876" s="3" t="s">
        <v>114</v>
      </c>
      <c r="F1876" s="3" t="n">
        <f aca="false">IF(C1876="848630",0,1)</f>
        <v>1</v>
      </c>
    </row>
    <row r="1877" customFormat="false" ht="15" hidden="false" customHeight="false" outlineLevel="0" collapsed="false">
      <c r="A1877" s="12" t="n">
        <v>45200</v>
      </c>
      <c r="B1877" s="9" t="s">
        <v>93</v>
      </c>
      <c r="C1877" s="3" t="s">
        <v>105</v>
      </c>
      <c r="D1877" s="3" t="n">
        <v>41000</v>
      </c>
      <c r="E1877" s="3" t="s">
        <v>114</v>
      </c>
      <c r="F1877" s="3" t="n">
        <f aca="false">IF(C1877="848630",0,1)</f>
        <v>1</v>
      </c>
    </row>
    <row r="1878" customFormat="false" ht="15" hidden="false" customHeight="false" outlineLevel="0" collapsed="false">
      <c r="A1878" s="12" t="n">
        <v>45200</v>
      </c>
      <c r="B1878" s="9" t="s">
        <v>93</v>
      </c>
      <c r="C1878" s="3" t="s">
        <v>105</v>
      </c>
      <c r="D1878" s="3" t="n">
        <v>2044000</v>
      </c>
      <c r="E1878" s="3" t="s">
        <v>114</v>
      </c>
      <c r="F1878" s="3" t="n">
        <f aca="false">IF(C1878="848630",0,1)</f>
        <v>1</v>
      </c>
    </row>
    <row r="1879" customFormat="false" ht="15" hidden="false" customHeight="false" outlineLevel="0" collapsed="false">
      <c r="A1879" s="12" t="n">
        <v>45200</v>
      </c>
      <c r="B1879" s="9" t="s">
        <v>93</v>
      </c>
      <c r="C1879" s="3" t="s">
        <v>105</v>
      </c>
      <c r="D1879" s="3" t="n">
        <v>21000</v>
      </c>
      <c r="E1879" s="3" t="s">
        <v>114</v>
      </c>
      <c r="F1879" s="3" t="n">
        <f aca="false">IF(C1879="848630",0,1)</f>
        <v>1</v>
      </c>
    </row>
    <row r="1880" customFormat="false" ht="15" hidden="false" customHeight="false" outlineLevel="0" collapsed="false">
      <c r="A1880" s="12" t="n">
        <v>45200</v>
      </c>
      <c r="B1880" s="9" t="s">
        <v>93</v>
      </c>
      <c r="C1880" s="3" t="s">
        <v>105</v>
      </c>
      <c r="D1880" s="3" t="n">
        <v>0</v>
      </c>
      <c r="E1880" s="3" t="s">
        <v>114</v>
      </c>
      <c r="F1880" s="3" t="n">
        <f aca="false">IF(C1880="848630",0,1)</f>
        <v>1</v>
      </c>
    </row>
    <row r="1881" customFormat="false" ht="15" hidden="false" customHeight="false" outlineLevel="0" collapsed="false">
      <c r="A1881" s="12" t="n">
        <v>45200</v>
      </c>
      <c r="B1881" s="9" t="s">
        <v>93</v>
      </c>
      <c r="C1881" s="3" t="s">
        <v>105</v>
      </c>
      <c r="D1881" s="3" t="n">
        <v>0</v>
      </c>
      <c r="E1881" s="3" t="s">
        <v>114</v>
      </c>
      <c r="F1881" s="3" t="n">
        <f aca="false">IF(C1881="848630",0,1)</f>
        <v>1</v>
      </c>
    </row>
    <row r="1882" customFormat="false" ht="15" hidden="false" customHeight="false" outlineLevel="0" collapsed="false">
      <c r="A1882" s="12" t="n">
        <v>45200</v>
      </c>
      <c r="B1882" s="9" t="s">
        <v>93</v>
      </c>
      <c r="C1882" s="3" t="s">
        <v>107</v>
      </c>
      <c r="D1882" s="3" t="n">
        <v>1490000</v>
      </c>
      <c r="E1882" s="3" t="s">
        <v>114</v>
      </c>
      <c r="F1882" s="3" t="n">
        <f aca="false">IF(C1882="848630",0,1)</f>
        <v>1</v>
      </c>
    </row>
    <row r="1883" customFormat="false" ht="15" hidden="false" customHeight="false" outlineLevel="0" collapsed="false">
      <c r="A1883" s="12" t="n">
        <v>45200</v>
      </c>
      <c r="B1883" s="9" t="s">
        <v>93</v>
      </c>
      <c r="C1883" s="3" t="s">
        <v>107</v>
      </c>
      <c r="D1883" s="3" t="n">
        <v>3983000</v>
      </c>
      <c r="E1883" s="3" t="s">
        <v>114</v>
      </c>
      <c r="F1883" s="3" t="n">
        <f aca="false">IF(C1883="848630",0,1)</f>
        <v>1</v>
      </c>
    </row>
    <row r="1884" customFormat="false" ht="15" hidden="false" customHeight="false" outlineLevel="0" collapsed="false">
      <c r="A1884" s="12" t="n">
        <v>45200</v>
      </c>
      <c r="B1884" s="9" t="s">
        <v>93</v>
      </c>
      <c r="C1884" s="3" t="s">
        <v>107</v>
      </c>
      <c r="D1884" s="3" t="n">
        <v>58085000</v>
      </c>
      <c r="E1884" s="3" t="s">
        <v>114</v>
      </c>
      <c r="F1884" s="3" t="n">
        <f aca="false">IF(C1884="848630",0,1)</f>
        <v>1</v>
      </c>
    </row>
    <row r="1885" customFormat="false" ht="15" hidden="false" customHeight="false" outlineLevel="0" collapsed="false">
      <c r="A1885" s="12" t="n">
        <v>45200</v>
      </c>
      <c r="B1885" s="9" t="s">
        <v>93</v>
      </c>
      <c r="C1885" s="3" t="s">
        <v>107</v>
      </c>
      <c r="D1885" s="3" t="n">
        <v>15196000</v>
      </c>
      <c r="E1885" s="3" t="s">
        <v>114</v>
      </c>
      <c r="F1885" s="3" t="n">
        <f aca="false">IF(C1885="848630",0,1)</f>
        <v>1</v>
      </c>
    </row>
    <row r="1886" customFormat="false" ht="15" hidden="false" customHeight="false" outlineLevel="0" collapsed="false">
      <c r="A1886" s="12" t="n">
        <v>45200</v>
      </c>
      <c r="B1886" s="9" t="s">
        <v>93</v>
      </c>
      <c r="C1886" s="3" t="s">
        <v>107</v>
      </c>
      <c r="D1886" s="3" t="n">
        <v>32000</v>
      </c>
      <c r="E1886" s="3" t="s">
        <v>114</v>
      </c>
      <c r="F1886" s="3" t="n">
        <f aca="false">IF(C1886="848630",0,1)</f>
        <v>1</v>
      </c>
    </row>
    <row r="1887" customFormat="false" ht="15" hidden="false" customHeight="false" outlineLevel="0" collapsed="false">
      <c r="A1887" s="12" t="n">
        <v>45200</v>
      </c>
      <c r="B1887" s="9" t="s">
        <v>93</v>
      </c>
      <c r="C1887" s="3" t="s">
        <v>107</v>
      </c>
      <c r="D1887" s="3" t="n">
        <v>23278000</v>
      </c>
      <c r="E1887" s="3" t="s">
        <v>114</v>
      </c>
      <c r="F1887" s="3" t="n">
        <f aca="false">IF(C1887="848630",0,1)</f>
        <v>1</v>
      </c>
    </row>
    <row r="1888" customFormat="false" ht="15" hidden="false" customHeight="false" outlineLevel="0" collapsed="false">
      <c r="A1888" s="12" t="n">
        <v>45200</v>
      </c>
      <c r="B1888" s="9" t="s">
        <v>93</v>
      </c>
      <c r="C1888" s="3" t="s">
        <v>107</v>
      </c>
      <c r="D1888" s="3" t="n">
        <v>0</v>
      </c>
      <c r="E1888" s="3" t="s">
        <v>114</v>
      </c>
      <c r="F1888" s="3" t="n">
        <f aca="false">IF(C1888="848630",0,1)</f>
        <v>1</v>
      </c>
    </row>
    <row r="1889" customFormat="false" ht="15" hidden="false" customHeight="false" outlineLevel="0" collapsed="false">
      <c r="A1889" s="12" t="n">
        <v>45200</v>
      </c>
      <c r="B1889" s="9" t="s">
        <v>93</v>
      </c>
      <c r="C1889" s="3" t="s">
        <v>107</v>
      </c>
      <c r="D1889" s="3" t="n">
        <v>17540000</v>
      </c>
      <c r="E1889" s="3" t="s">
        <v>114</v>
      </c>
      <c r="F1889" s="3" t="n">
        <f aca="false">IF(C1889="848630",0,1)</f>
        <v>1</v>
      </c>
    </row>
    <row r="1890" customFormat="false" ht="15" hidden="false" customHeight="false" outlineLevel="0" collapsed="false">
      <c r="A1890" s="12" t="n">
        <v>45200</v>
      </c>
      <c r="B1890" s="9" t="s">
        <v>93</v>
      </c>
      <c r="C1890" s="3" t="s">
        <v>107</v>
      </c>
      <c r="D1890" s="3" t="n">
        <v>2234000</v>
      </c>
      <c r="E1890" s="3" t="s">
        <v>114</v>
      </c>
      <c r="F1890" s="3" t="n">
        <f aca="false">IF(C1890="848630",0,1)</f>
        <v>1</v>
      </c>
    </row>
    <row r="1891" customFormat="false" ht="15" hidden="false" customHeight="false" outlineLevel="0" collapsed="false">
      <c r="A1891" s="12" t="n">
        <v>45200</v>
      </c>
      <c r="B1891" s="9" t="s">
        <v>93</v>
      </c>
      <c r="C1891" s="3" t="s">
        <v>107</v>
      </c>
      <c r="D1891" s="3" t="n">
        <v>14874000</v>
      </c>
      <c r="E1891" s="3" t="s">
        <v>114</v>
      </c>
      <c r="F1891" s="3" t="n">
        <f aca="false">IF(C1891="848630",0,1)</f>
        <v>1</v>
      </c>
    </row>
    <row r="1892" customFormat="false" ht="15" hidden="false" customHeight="false" outlineLevel="0" collapsed="false">
      <c r="A1892" s="12" t="n">
        <v>45200</v>
      </c>
      <c r="B1892" s="9" t="s">
        <v>93</v>
      </c>
      <c r="C1892" s="3" t="s">
        <v>107</v>
      </c>
      <c r="D1892" s="3" t="n">
        <v>502000</v>
      </c>
      <c r="E1892" s="3" t="s">
        <v>114</v>
      </c>
      <c r="F1892" s="3" t="n">
        <f aca="false">IF(C1892="848630",0,1)</f>
        <v>1</v>
      </c>
    </row>
    <row r="1893" customFormat="false" ht="15" hidden="false" customHeight="false" outlineLevel="0" collapsed="false">
      <c r="A1893" s="12" t="n">
        <v>45200</v>
      </c>
      <c r="B1893" s="9" t="s">
        <v>93</v>
      </c>
      <c r="C1893" s="3" t="s">
        <v>107</v>
      </c>
      <c r="D1893" s="3" t="n">
        <v>1202000</v>
      </c>
      <c r="E1893" s="3" t="s">
        <v>114</v>
      </c>
      <c r="F1893" s="3" t="n">
        <f aca="false">IF(C1893="848630",0,1)</f>
        <v>1</v>
      </c>
    </row>
    <row r="1894" customFormat="false" ht="15" hidden="false" customHeight="false" outlineLevel="0" collapsed="false">
      <c r="A1894" s="12" t="n">
        <v>45200</v>
      </c>
      <c r="B1894" s="9" t="s">
        <v>93</v>
      </c>
      <c r="C1894" s="3" t="s">
        <v>107</v>
      </c>
      <c r="D1894" s="3" t="n">
        <v>800000</v>
      </c>
      <c r="E1894" s="3" t="s">
        <v>114</v>
      </c>
      <c r="F1894" s="3" t="n">
        <f aca="false">IF(C1894="848630",0,1)</f>
        <v>1</v>
      </c>
    </row>
    <row r="1895" customFormat="false" ht="15" hidden="false" customHeight="false" outlineLevel="0" collapsed="false">
      <c r="A1895" s="12" t="n">
        <v>45200</v>
      </c>
      <c r="B1895" s="9" t="s">
        <v>93</v>
      </c>
      <c r="C1895" s="3" t="s">
        <v>107</v>
      </c>
      <c r="D1895" s="3" t="n">
        <v>1436000</v>
      </c>
      <c r="E1895" s="3" t="s">
        <v>114</v>
      </c>
      <c r="F1895" s="3" t="n">
        <f aca="false">IF(C1895="848630",0,1)</f>
        <v>1</v>
      </c>
    </row>
    <row r="1896" customFormat="false" ht="15" hidden="false" customHeight="false" outlineLevel="0" collapsed="false">
      <c r="A1896" s="12" t="n">
        <v>45200</v>
      </c>
      <c r="B1896" s="9" t="s">
        <v>93</v>
      </c>
      <c r="C1896" s="3" t="s">
        <v>112</v>
      </c>
      <c r="D1896" s="3" t="n">
        <v>74000</v>
      </c>
      <c r="E1896" s="3" t="s">
        <v>114</v>
      </c>
      <c r="F1896" s="3" t="n">
        <f aca="false">IF(C1896="848630",0,1)</f>
        <v>0</v>
      </c>
    </row>
    <row r="1897" customFormat="false" ht="15" hidden="false" customHeight="false" outlineLevel="0" collapsed="false">
      <c r="A1897" s="12" t="n">
        <v>45200</v>
      </c>
      <c r="B1897" s="9" t="s">
        <v>93</v>
      </c>
      <c r="C1897" s="3" t="s">
        <v>112</v>
      </c>
      <c r="D1897" s="3" t="n">
        <v>0</v>
      </c>
      <c r="E1897" s="3" t="s">
        <v>114</v>
      </c>
      <c r="F1897" s="3" t="n">
        <f aca="false">IF(C1897="848630",0,1)</f>
        <v>0</v>
      </c>
    </row>
    <row r="1898" customFormat="false" ht="15" hidden="false" customHeight="false" outlineLevel="0" collapsed="false">
      <c r="A1898" s="12" t="n">
        <v>45200</v>
      </c>
      <c r="B1898" s="9" t="s">
        <v>93</v>
      </c>
      <c r="C1898" s="3" t="s">
        <v>112</v>
      </c>
      <c r="D1898" s="3" t="n">
        <v>169000</v>
      </c>
      <c r="E1898" s="3" t="s">
        <v>114</v>
      </c>
      <c r="F1898" s="3" t="n">
        <f aca="false">IF(C1898="848630",0,1)</f>
        <v>0</v>
      </c>
    </row>
    <row r="1899" customFormat="false" ht="15" hidden="false" customHeight="false" outlineLevel="0" collapsed="false">
      <c r="A1899" s="12" t="n">
        <v>45200</v>
      </c>
      <c r="B1899" s="9" t="s">
        <v>93</v>
      </c>
      <c r="C1899" s="3" t="s">
        <v>112</v>
      </c>
      <c r="D1899" s="3" t="n">
        <v>0</v>
      </c>
      <c r="E1899" s="3" t="s">
        <v>114</v>
      </c>
      <c r="F1899" s="3" t="n">
        <f aca="false">IF(C1899="848630",0,1)</f>
        <v>0</v>
      </c>
    </row>
    <row r="1900" customFormat="false" ht="15" hidden="false" customHeight="false" outlineLevel="0" collapsed="false">
      <c r="A1900" s="12" t="n">
        <v>45200</v>
      </c>
      <c r="B1900" s="9" t="s">
        <v>93</v>
      </c>
      <c r="C1900" s="3" t="s">
        <v>108</v>
      </c>
      <c r="D1900" s="3" t="n">
        <v>0</v>
      </c>
      <c r="E1900" s="3" t="s">
        <v>114</v>
      </c>
      <c r="F1900" s="3" t="n">
        <f aca="false">IF(C1900="848630",0,1)</f>
        <v>1</v>
      </c>
    </row>
    <row r="1901" customFormat="false" ht="15" hidden="false" customHeight="false" outlineLevel="0" collapsed="false">
      <c r="A1901" s="12" t="n">
        <v>45200</v>
      </c>
      <c r="B1901" s="9" t="s">
        <v>93</v>
      </c>
      <c r="C1901" s="3" t="s">
        <v>108</v>
      </c>
      <c r="D1901" s="3" t="n">
        <v>0</v>
      </c>
      <c r="E1901" s="3" t="s">
        <v>114</v>
      </c>
      <c r="F1901" s="3" t="n">
        <f aca="false">IF(C1901="848630",0,1)</f>
        <v>1</v>
      </c>
    </row>
    <row r="1902" customFormat="false" ht="15" hidden="false" customHeight="false" outlineLevel="0" collapsed="false">
      <c r="A1902" s="12" t="n">
        <v>45200</v>
      </c>
      <c r="B1902" s="9" t="s">
        <v>93</v>
      </c>
      <c r="C1902" s="3" t="s">
        <v>108</v>
      </c>
      <c r="D1902" s="3" t="n">
        <v>0</v>
      </c>
      <c r="E1902" s="3" t="s">
        <v>114</v>
      </c>
      <c r="F1902" s="3" t="n">
        <f aca="false">IF(C1902="848630",0,1)</f>
        <v>1</v>
      </c>
    </row>
    <row r="1903" customFormat="false" ht="15" hidden="false" customHeight="false" outlineLevel="0" collapsed="false">
      <c r="A1903" s="12" t="n">
        <v>45200</v>
      </c>
      <c r="B1903" s="9" t="s">
        <v>93</v>
      </c>
      <c r="C1903" s="3" t="s">
        <v>108</v>
      </c>
      <c r="D1903" s="3" t="n">
        <v>104000</v>
      </c>
      <c r="E1903" s="3" t="s">
        <v>114</v>
      </c>
      <c r="F1903" s="3" t="n">
        <f aca="false">IF(C1903="848630",0,1)</f>
        <v>1</v>
      </c>
    </row>
    <row r="1904" customFormat="false" ht="15" hidden="false" customHeight="false" outlineLevel="0" collapsed="false">
      <c r="A1904" s="12" t="n">
        <v>45200</v>
      </c>
      <c r="B1904" s="9" t="s">
        <v>93</v>
      </c>
      <c r="C1904" s="3" t="s">
        <v>108</v>
      </c>
      <c r="D1904" s="3" t="n">
        <v>3000</v>
      </c>
      <c r="E1904" s="3" t="s">
        <v>114</v>
      </c>
      <c r="F1904" s="3" t="n">
        <f aca="false">IF(C1904="848630",0,1)</f>
        <v>1</v>
      </c>
    </row>
    <row r="1905" customFormat="false" ht="15" hidden="false" customHeight="false" outlineLevel="0" collapsed="false">
      <c r="A1905" s="12" t="n">
        <v>45200</v>
      </c>
      <c r="B1905" s="9" t="s">
        <v>93</v>
      </c>
      <c r="C1905" s="3" t="s">
        <v>108</v>
      </c>
      <c r="D1905" s="3" t="n">
        <v>497000</v>
      </c>
      <c r="E1905" s="3" t="s">
        <v>114</v>
      </c>
      <c r="F1905" s="3" t="n">
        <f aca="false">IF(C1905="848630",0,1)</f>
        <v>1</v>
      </c>
    </row>
    <row r="1906" customFormat="false" ht="15" hidden="false" customHeight="false" outlineLevel="0" collapsed="false">
      <c r="A1906" s="12" t="n">
        <v>45200</v>
      </c>
      <c r="B1906" s="9" t="s">
        <v>93</v>
      </c>
      <c r="C1906" s="3" t="s">
        <v>108</v>
      </c>
      <c r="D1906" s="3" t="n">
        <v>5054000</v>
      </c>
      <c r="E1906" s="3" t="s">
        <v>114</v>
      </c>
      <c r="F1906" s="3" t="n">
        <f aca="false">IF(C1906="848630",0,1)</f>
        <v>1</v>
      </c>
    </row>
    <row r="1907" customFormat="false" ht="15" hidden="false" customHeight="false" outlineLevel="0" collapsed="false">
      <c r="A1907" s="12" t="n">
        <v>45200</v>
      </c>
      <c r="B1907" s="9" t="s">
        <v>93</v>
      </c>
      <c r="C1907" s="3" t="s">
        <v>108</v>
      </c>
      <c r="D1907" s="3" t="n">
        <v>586000</v>
      </c>
      <c r="E1907" s="3" t="s">
        <v>114</v>
      </c>
      <c r="F1907" s="3" t="n">
        <f aca="false">IF(C1907="848630",0,1)</f>
        <v>1</v>
      </c>
    </row>
    <row r="1908" customFormat="false" ht="15" hidden="false" customHeight="false" outlineLevel="0" collapsed="false">
      <c r="A1908" s="12" t="n">
        <v>45200</v>
      </c>
      <c r="B1908" s="9" t="s">
        <v>93</v>
      </c>
      <c r="C1908" s="3" t="s">
        <v>108</v>
      </c>
      <c r="D1908" s="3" t="n">
        <v>208000</v>
      </c>
      <c r="E1908" s="3" t="s">
        <v>114</v>
      </c>
      <c r="F1908" s="3" t="n">
        <f aca="false">IF(C1908="848630",0,1)</f>
        <v>1</v>
      </c>
    </row>
    <row r="1909" customFormat="false" ht="15" hidden="false" customHeight="false" outlineLevel="0" collapsed="false">
      <c r="A1909" s="12" t="n">
        <v>45200</v>
      </c>
      <c r="B1909" s="9" t="s">
        <v>93</v>
      </c>
      <c r="C1909" s="3" t="s">
        <v>109</v>
      </c>
      <c r="D1909" s="3" t="n">
        <v>7365000</v>
      </c>
      <c r="E1909" s="3" t="s">
        <v>114</v>
      </c>
      <c r="F1909" s="3" t="n">
        <f aca="false">IF(C1909="848630",0,1)</f>
        <v>1</v>
      </c>
    </row>
    <row r="1910" customFormat="false" ht="15" hidden="false" customHeight="false" outlineLevel="0" collapsed="false">
      <c r="A1910" s="12" t="n">
        <v>45200</v>
      </c>
      <c r="B1910" s="9" t="s">
        <v>93</v>
      </c>
      <c r="C1910" s="3" t="s">
        <v>109</v>
      </c>
      <c r="D1910" s="3" t="n">
        <v>10209000</v>
      </c>
      <c r="E1910" s="3" t="s">
        <v>114</v>
      </c>
      <c r="F1910" s="3" t="n">
        <f aca="false">IF(C1910="848630",0,1)</f>
        <v>1</v>
      </c>
    </row>
    <row r="1911" customFormat="false" ht="15" hidden="false" customHeight="false" outlineLevel="0" collapsed="false">
      <c r="A1911" s="12" t="n">
        <v>45200</v>
      </c>
      <c r="B1911" s="9" t="s">
        <v>93</v>
      </c>
      <c r="C1911" s="3" t="s">
        <v>109</v>
      </c>
      <c r="D1911" s="3" t="n">
        <v>19735000</v>
      </c>
      <c r="E1911" s="3" t="s">
        <v>114</v>
      </c>
      <c r="F1911" s="3" t="n">
        <f aca="false">IF(C1911="848630",0,1)</f>
        <v>1</v>
      </c>
    </row>
    <row r="1912" customFormat="false" ht="15" hidden="false" customHeight="false" outlineLevel="0" collapsed="false">
      <c r="A1912" s="12" t="n">
        <v>45200</v>
      </c>
      <c r="B1912" s="9" t="s">
        <v>93</v>
      </c>
      <c r="C1912" s="3" t="s">
        <v>109</v>
      </c>
      <c r="D1912" s="3" t="n">
        <v>5879000</v>
      </c>
      <c r="E1912" s="3" t="s">
        <v>114</v>
      </c>
      <c r="F1912" s="3" t="n">
        <f aca="false">IF(C1912="848630",0,1)</f>
        <v>1</v>
      </c>
    </row>
    <row r="1913" customFormat="false" ht="15" hidden="false" customHeight="false" outlineLevel="0" collapsed="false">
      <c r="A1913" s="12" t="n">
        <v>45200</v>
      </c>
      <c r="B1913" s="9" t="s">
        <v>93</v>
      </c>
      <c r="C1913" s="3" t="s">
        <v>109</v>
      </c>
      <c r="D1913" s="3" t="n">
        <v>330000</v>
      </c>
      <c r="E1913" s="3" t="s">
        <v>114</v>
      </c>
      <c r="F1913" s="3" t="n">
        <f aca="false">IF(C1913="848630",0,1)</f>
        <v>1</v>
      </c>
    </row>
    <row r="1914" customFormat="false" ht="15" hidden="false" customHeight="false" outlineLevel="0" collapsed="false">
      <c r="A1914" s="12" t="n">
        <v>45200</v>
      </c>
      <c r="B1914" s="9" t="s">
        <v>93</v>
      </c>
      <c r="C1914" s="3" t="s">
        <v>109</v>
      </c>
      <c r="D1914" s="3" t="n">
        <v>1449000</v>
      </c>
      <c r="E1914" s="3" t="s">
        <v>114</v>
      </c>
      <c r="F1914" s="3" t="n">
        <f aca="false">IF(C1914="848630",0,1)</f>
        <v>1</v>
      </c>
    </row>
    <row r="1915" customFormat="false" ht="15" hidden="false" customHeight="false" outlineLevel="0" collapsed="false">
      <c r="A1915" s="12" t="n">
        <v>45200</v>
      </c>
      <c r="B1915" s="9" t="s">
        <v>93</v>
      </c>
      <c r="C1915" s="3" t="s">
        <v>109</v>
      </c>
      <c r="D1915" s="3" t="n">
        <v>500000</v>
      </c>
      <c r="E1915" s="3" t="s">
        <v>114</v>
      </c>
      <c r="F1915" s="3" t="n">
        <f aca="false">IF(C1915="848630",0,1)</f>
        <v>1</v>
      </c>
    </row>
    <row r="1916" customFormat="false" ht="15" hidden="false" customHeight="false" outlineLevel="0" collapsed="false">
      <c r="A1916" s="12" t="n">
        <v>45200</v>
      </c>
      <c r="B1916" s="9" t="s">
        <v>93</v>
      </c>
      <c r="C1916" s="3" t="s">
        <v>109</v>
      </c>
      <c r="D1916" s="3" t="n">
        <v>7582000</v>
      </c>
      <c r="E1916" s="3" t="s">
        <v>114</v>
      </c>
      <c r="F1916" s="3" t="n">
        <f aca="false">IF(C1916="848630",0,1)</f>
        <v>1</v>
      </c>
    </row>
    <row r="1917" customFormat="false" ht="15" hidden="false" customHeight="false" outlineLevel="0" collapsed="false">
      <c r="A1917" s="12" t="n">
        <v>45200</v>
      </c>
      <c r="B1917" s="9" t="s">
        <v>93</v>
      </c>
      <c r="C1917" s="3" t="s">
        <v>110</v>
      </c>
      <c r="D1917" s="3" t="n">
        <v>38044000</v>
      </c>
      <c r="E1917" s="3" t="s">
        <v>114</v>
      </c>
      <c r="F1917" s="3" t="n">
        <f aca="false">IF(C1917="848630",0,1)</f>
        <v>1</v>
      </c>
    </row>
    <row r="1918" customFormat="false" ht="15" hidden="false" customHeight="false" outlineLevel="0" collapsed="false">
      <c r="A1918" s="12" t="n">
        <v>45200</v>
      </c>
      <c r="B1918" s="9" t="s">
        <v>93</v>
      </c>
      <c r="C1918" s="3" t="s">
        <v>111</v>
      </c>
      <c r="D1918" s="3" t="n">
        <v>0</v>
      </c>
      <c r="E1918" s="3" t="s">
        <v>114</v>
      </c>
      <c r="F1918" s="3" t="n">
        <f aca="false">IF(C1918="848630",0,1)</f>
        <v>1</v>
      </c>
    </row>
    <row r="1919" customFormat="false" ht="15" hidden="false" customHeight="false" outlineLevel="0" collapsed="false">
      <c r="A1919" s="12" t="n">
        <v>45200</v>
      </c>
      <c r="B1919" s="9" t="s">
        <v>93</v>
      </c>
      <c r="C1919" s="3" t="s">
        <v>111</v>
      </c>
      <c r="D1919" s="3" t="n">
        <v>2386000</v>
      </c>
      <c r="E1919" s="3" t="s">
        <v>114</v>
      </c>
      <c r="F1919" s="3" t="n">
        <f aca="false">IF(C1919="848630",0,1)</f>
        <v>1</v>
      </c>
    </row>
    <row r="1920" customFormat="false" ht="15" hidden="false" customHeight="false" outlineLevel="0" collapsed="false">
      <c r="A1920" s="12" t="n">
        <v>45231</v>
      </c>
      <c r="B1920" s="9" t="s">
        <v>93</v>
      </c>
      <c r="C1920" s="3" t="s">
        <v>105</v>
      </c>
      <c r="D1920" s="3" t="n">
        <v>0</v>
      </c>
      <c r="E1920" s="3" t="s">
        <v>114</v>
      </c>
      <c r="F1920" s="3" t="n">
        <f aca="false">IF(C1920="848630",0,1)</f>
        <v>1</v>
      </c>
    </row>
    <row r="1921" customFormat="false" ht="15" hidden="false" customHeight="false" outlineLevel="0" collapsed="false">
      <c r="A1921" s="12" t="n">
        <v>45231</v>
      </c>
      <c r="B1921" s="9" t="s">
        <v>93</v>
      </c>
      <c r="C1921" s="3" t="s">
        <v>105</v>
      </c>
      <c r="D1921" s="3" t="n">
        <v>65000</v>
      </c>
      <c r="E1921" s="3" t="s">
        <v>114</v>
      </c>
      <c r="F1921" s="3" t="n">
        <f aca="false">IF(C1921="848630",0,1)</f>
        <v>1</v>
      </c>
    </row>
    <row r="1922" customFormat="false" ht="15" hidden="false" customHeight="false" outlineLevel="0" collapsed="false">
      <c r="A1922" s="12" t="n">
        <v>45231</v>
      </c>
      <c r="B1922" s="9" t="s">
        <v>93</v>
      </c>
      <c r="C1922" s="3" t="s">
        <v>105</v>
      </c>
      <c r="D1922" s="3" t="n">
        <v>0</v>
      </c>
      <c r="E1922" s="3" t="s">
        <v>114</v>
      </c>
      <c r="F1922" s="3" t="n">
        <f aca="false">IF(C1922="848630",0,1)</f>
        <v>1</v>
      </c>
    </row>
    <row r="1923" customFormat="false" ht="15" hidden="false" customHeight="false" outlineLevel="0" collapsed="false">
      <c r="A1923" s="12" t="n">
        <v>45231</v>
      </c>
      <c r="B1923" s="9" t="s">
        <v>93</v>
      </c>
      <c r="C1923" s="3" t="s">
        <v>105</v>
      </c>
      <c r="D1923" s="3" t="n">
        <v>0</v>
      </c>
      <c r="E1923" s="3" t="s">
        <v>114</v>
      </c>
      <c r="F1923" s="3" t="n">
        <f aca="false">IF(C1923="848630",0,1)</f>
        <v>1</v>
      </c>
    </row>
    <row r="1924" customFormat="false" ht="15" hidden="false" customHeight="false" outlineLevel="0" collapsed="false">
      <c r="A1924" s="12" t="n">
        <v>45231</v>
      </c>
      <c r="B1924" s="9" t="s">
        <v>93</v>
      </c>
      <c r="C1924" s="3" t="s">
        <v>107</v>
      </c>
      <c r="D1924" s="3" t="n">
        <v>0</v>
      </c>
      <c r="E1924" s="3" t="s">
        <v>114</v>
      </c>
      <c r="F1924" s="3" t="n">
        <f aca="false">IF(C1924="848630",0,1)</f>
        <v>1</v>
      </c>
    </row>
    <row r="1925" customFormat="false" ht="15" hidden="false" customHeight="false" outlineLevel="0" collapsed="false">
      <c r="A1925" s="12" t="n">
        <v>45231</v>
      </c>
      <c r="B1925" s="9" t="s">
        <v>93</v>
      </c>
      <c r="C1925" s="3" t="s">
        <v>107</v>
      </c>
      <c r="D1925" s="3" t="n">
        <v>1166000</v>
      </c>
      <c r="E1925" s="3" t="s">
        <v>114</v>
      </c>
      <c r="F1925" s="3" t="n">
        <f aca="false">IF(C1925="848630",0,1)</f>
        <v>1</v>
      </c>
    </row>
    <row r="1926" customFormat="false" ht="15" hidden="false" customHeight="false" outlineLevel="0" collapsed="false">
      <c r="A1926" s="12" t="n">
        <v>45231</v>
      </c>
      <c r="B1926" s="9" t="s">
        <v>93</v>
      </c>
      <c r="C1926" s="3" t="s">
        <v>107</v>
      </c>
      <c r="D1926" s="3" t="n">
        <v>17000</v>
      </c>
      <c r="E1926" s="3" t="s">
        <v>114</v>
      </c>
      <c r="F1926" s="3" t="n">
        <f aca="false">IF(C1926="848630",0,1)</f>
        <v>1</v>
      </c>
    </row>
    <row r="1927" customFormat="false" ht="15" hidden="false" customHeight="false" outlineLevel="0" collapsed="false">
      <c r="A1927" s="12" t="n">
        <v>45231</v>
      </c>
      <c r="B1927" s="9" t="s">
        <v>93</v>
      </c>
      <c r="C1927" s="3" t="s">
        <v>107</v>
      </c>
      <c r="D1927" s="3" t="n">
        <v>3557000</v>
      </c>
      <c r="E1927" s="3" t="s">
        <v>114</v>
      </c>
      <c r="F1927" s="3" t="n">
        <f aca="false">IF(C1927="848630",0,1)</f>
        <v>1</v>
      </c>
    </row>
    <row r="1928" customFormat="false" ht="15" hidden="false" customHeight="false" outlineLevel="0" collapsed="false">
      <c r="A1928" s="12" t="n">
        <v>45231</v>
      </c>
      <c r="B1928" s="9" t="s">
        <v>93</v>
      </c>
      <c r="C1928" s="3" t="s">
        <v>107</v>
      </c>
      <c r="D1928" s="3" t="n">
        <v>25929000</v>
      </c>
      <c r="E1928" s="3" t="s">
        <v>114</v>
      </c>
      <c r="F1928" s="3" t="n">
        <f aca="false">IF(C1928="848630",0,1)</f>
        <v>1</v>
      </c>
    </row>
    <row r="1929" customFormat="false" ht="15" hidden="false" customHeight="false" outlineLevel="0" collapsed="false">
      <c r="A1929" s="12" t="n">
        <v>45231</v>
      </c>
      <c r="B1929" s="9" t="s">
        <v>93</v>
      </c>
      <c r="C1929" s="3" t="s">
        <v>107</v>
      </c>
      <c r="D1929" s="3" t="n">
        <v>7721000</v>
      </c>
      <c r="E1929" s="3" t="s">
        <v>114</v>
      </c>
      <c r="F1929" s="3" t="n">
        <f aca="false">IF(C1929="848630",0,1)</f>
        <v>1</v>
      </c>
    </row>
    <row r="1930" customFormat="false" ht="15" hidden="false" customHeight="false" outlineLevel="0" collapsed="false">
      <c r="A1930" s="12" t="n">
        <v>45231</v>
      </c>
      <c r="B1930" s="9" t="s">
        <v>93</v>
      </c>
      <c r="C1930" s="3" t="s">
        <v>107</v>
      </c>
      <c r="D1930" s="3" t="n">
        <v>8073000</v>
      </c>
      <c r="E1930" s="3" t="s">
        <v>114</v>
      </c>
      <c r="F1930" s="3" t="n">
        <f aca="false">IF(C1930="848630",0,1)</f>
        <v>1</v>
      </c>
    </row>
    <row r="1931" customFormat="false" ht="15" hidden="false" customHeight="false" outlineLevel="0" collapsed="false">
      <c r="A1931" s="12" t="n">
        <v>45231</v>
      </c>
      <c r="B1931" s="9" t="s">
        <v>93</v>
      </c>
      <c r="C1931" s="3" t="s">
        <v>107</v>
      </c>
      <c r="D1931" s="3" t="n">
        <v>4000</v>
      </c>
      <c r="E1931" s="3" t="s">
        <v>114</v>
      </c>
      <c r="F1931" s="3" t="n">
        <f aca="false">IF(C1931="848630",0,1)</f>
        <v>1</v>
      </c>
    </row>
    <row r="1932" customFormat="false" ht="15" hidden="false" customHeight="false" outlineLevel="0" collapsed="false">
      <c r="A1932" s="12" t="n">
        <v>45231</v>
      </c>
      <c r="B1932" s="9" t="s">
        <v>93</v>
      </c>
      <c r="C1932" s="3" t="s">
        <v>107</v>
      </c>
      <c r="D1932" s="3" t="n">
        <v>22033000</v>
      </c>
      <c r="E1932" s="3" t="s">
        <v>114</v>
      </c>
      <c r="F1932" s="3" t="n">
        <f aca="false">IF(C1932="848630",0,1)</f>
        <v>1</v>
      </c>
    </row>
    <row r="1933" customFormat="false" ht="15" hidden="false" customHeight="false" outlineLevel="0" collapsed="false">
      <c r="A1933" s="12" t="n">
        <v>45231</v>
      </c>
      <c r="B1933" s="9" t="s">
        <v>93</v>
      </c>
      <c r="C1933" s="3" t="s">
        <v>107</v>
      </c>
      <c r="D1933" s="3" t="n">
        <v>1042000</v>
      </c>
      <c r="E1933" s="3" t="s">
        <v>114</v>
      </c>
      <c r="F1933" s="3" t="n">
        <f aca="false">IF(C1933="848630",0,1)</f>
        <v>1</v>
      </c>
    </row>
    <row r="1934" customFormat="false" ht="15" hidden="false" customHeight="false" outlineLevel="0" collapsed="false">
      <c r="A1934" s="12" t="n">
        <v>45231</v>
      </c>
      <c r="B1934" s="9" t="s">
        <v>93</v>
      </c>
      <c r="C1934" s="3" t="s">
        <v>107</v>
      </c>
      <c r="D1934" s="3" t="n">
        <v>225000</v>
      </c>
      <c r="E1934" s="3" t="s">
        <v>114</v>
      </c>
      <c r="F1934" s="3" t="n">
        <f aca="false">IF(C1934="848630",0,1)</f>
        <v>1</v>
      </c>
    </row>
    <row r="1935" customFormat="false" ht="15" hidden="false" customHeight="false" outlineLevel="0" collapsed="false">
      <c r="A1935" s="12" t="n">
        <v>45231</v>
      </c>
      <c r="B1935" s="9" t="s">
        <v>93</v>
      </c>
      <c r="C1935" s="3" t="s">
        <v>107</v>
      </c>
      <c r="D1935" s="3" t="n">
        <v>0</v>
      </c>
      <c r="E1935" s="3" t="s">
        <v>114</v>
      </c>
      <c r="F1935" s="3" t="n">
        <f aca="false">IF(C1935="848630",0,1)</f>
        <v>1</v>
      </c>
    </row>
    <row r="1936" customFormat="false" ht="15" hidden="false" customHeight="false" outlineLevel="0" collapsed="false">
      <c r="A1936" s="12" t="n">
        <v>45231</v>
      </c>
      <c r="B1936" s="9" t="s">
        <v>93</v>
      </c>
      <c r="C1936" s="3" t="s">
        <v>107</v>
      </c>
      <c r="D1936" s="3" t="n">
        <v>24014000</v>
      </c>
      <c r="E1936" s="3" t="s">
        <v>114</v>
      </c>
      <c r="F1936" s="3" t="n">
        <f aca="false">IF(C1936="848630",0,1)</f>
        <v>1</v>
      </c>
    </row>
    <row r="1937" customFormat="false" ht="15" hidden="false" customHeight="false" outlineLevel="0" collapsed="false">
      <c r="A1937" s="12" t="n">
        <v>45231</v>
      </c>
      <c r="B1937" s="9" t="s">
        <v>93</v>
      </c>
      <c r="C1937" s="3" t="s">
        <v>107</v>
      </c>
      <c r="D1937" s="3" t="n">
        <v>20378000</v>
      </c>
      <c r="E1937" s="3" t="s">
        <v>114</v>
      </c>
      <c r="F1937" s="3" t="n">
        <f aca="false">IF(C1937="848630",0,1)</f>
        <v>1</v>
      </c>
    </row>
    <row r="1938" customFormat="false" ht="15" hidden="false" customHeight="false" outlineLevel="0" collapsed="false">
      <c r="A1938" s="12" t="n">
        <v>45231</v>
      </c>
      <c r="B1938" s="9" t="s">
        <v>93</v>
      </c>
      <c r="C1938" s="3" t="s">
        <v>107</v>
      </c>
      <c r="D1938" s="3" t="n">
        <v>2394000</v>
      </c>
      <c r="E1938" s="3" t="s">
        <v>114</v>
      </c>
      <c r="F1938" s="3" t="n">
        <f aca="false">IF(C1938="848630",0,1)</f>
        <v>1</v>
      </c>
    </row>
    <row r="1939" customFormat="false" ht="15" hidden="false" customHeight="false" outlineLevel="0" collapsed="false">
      <c r="A1939" s="12" t="n">
        <v>45231</v>
      </c>
      <c r="B1939" s="9" t="s">
        <v>93</v>
      </c>
      <c r="C1939" s="3" t="s">
        <v>107</v>
      </c>
      <c r="D1939" s="3" t="n">
        <v>622000</v>
      </c>
      <c r="E1939" s="3" t="s">
        <v>114</v>
      </c>
      <c r="F1939" s="3" t="n">
        <f aca="false">IF(C1939="848630",0,1)</f>
        <v>1</v>
      </c>
    </row>
    <row r="1940" customFormat="false" ht="15" hidden="false" customHeight="false" outlineLevel="0" collapsed="false">
      <c r="A1940" s="12" t="n">
        <v>45231</v>
      </c>
      <c r="B1940" s="9" t="s">
        <v>93</v>
      </c>
      <c r="C1940" s="3" t="s">
        <v>107</v>
      </c>
      <c r="D1940" s="3" t="n">
        <v>2580000</v>
      </c>
      <c r="E1940" s="3" t="s">
        <v>114</v>
      </c>
      <c r="F1940" s="3" t="n">
        <f aca="false">IF(C1940="848630",0,1)</f>
        <v>1</v>
      </c>
    </row>
    <row r="1941" customFormat="false" ht="15" hidden="false" customHeight="false" outlineLevel="0" collapsed="false">
      <c r="A1941" s="12" t="n">
        <v>45231</v>
      </c>
      <c r="B1941" s="9" t="s">
        <v>93</v>
      </c>
      <c r="C1941" s="3" t="s">
        <v>107</v>
      </c>
      <c r="D1941" s="3" t="n">
        <v>8774000</v>
      </c>
      <c r="E1941" s="3" t="s">
        <v>114</v>
      </c>
      <c r="F1941" s="3" t="n">
        <f aca="false">IF(C1941="848630",0,1)</f>
        <v>1</v>
      </c>
    </row>
    <row r="1942" customFormat="false" ht="15" hidden="false" customHeight="false" outlineLevel="0" collapsed="false">
      <c r="A1942" s="12" t="n">
        <v>45231</v>
      </c>
      <c r="B1942" s="9" t="s">
        <v>93</v>
      </c>
      <c r="C1942" s="3" t="s">
        <v>112</v>
      </c>
      <c r="D1942" s="3" t="n">
        <v>414000</v>
      </c>
      <c r="E1942" s="3" t="s">
        <v>114</v>
      </c>
      <c r="F1942" s="3" t="n">
        <f aca="false">IF(C1942="848630",0,1)</f>
        <v>0</v>
      </c>
    </row>
    <row r="1943" customFormat="false" ht="15" hidden="false" customHeight="false" outlineLevel="0" collapsed="false">
      <c r="A1943" s="12" t="n">
        <v>45231</v>
      </c>
      <c r="B1943" s="9" t="s">
        <v>93</v>
      </c>
      <c r="C1943" s="3" t="s">
        <v>112</v>
      </c>
      <c r="D1943" s="3" t="n">
        <v>0</v>
      </c>
      <c r="E1943" s="3" t="s">
        <v>114</v>
      </c>
      <c r="F1943" s="3" t="n">
        <f aca="false">IF(C1943="848630",0,1)</f>
        <v>0</v>
      </c>
    </row>
    <row r="1944" customFormat="false" ht="15" hidden="false" customHeight="false" outlineLevel="0" collapsed="false">
      <c r="A1944" s="12" t="n">
        <v>45231</v>
      </c>
      <c r="B1944" s="9" t="s">
        <v>93</v>
      </c>
      <c r="C1944" s="3" t="s">
        <v>112</v>
      </c>
      <c r="D1944" s="3" t="n">
        <v>0</v>
      </c>
      <c r="E1944" s="3" t="s">
        <v>114</v>
      </c>
      <c r="F1944" s="3" t="n">
        <f aca="false">IF(C1944="848630",0,1)</f>
        <v>0</v>
      </c>
    </row>
    <row r="1945" customFormat="false" ht="15" hidden="false" customHeight="false" outlineLevel="0" collapsed="false">
      <c r="A1945" s="12" t="n">
        <v>45231</v>
      </c>
      <c r="B1945" s="9" t="s">
        <v>93</v>
      </c>
      <c r="C1945" s="3" t="s">
        <v>108</v>
      </c>
      <c r="D1945" s="3" t="n">
        <v>2546000</v>
      </c>
      <c r="E1945" s="3" t="s">
        <v>114</v>
      </c>
      <c r="F1945" s="3" t="n">
        <f aca="false">IF(C1945="848630",0,1)</f>
        <v>1</v>
      </c>
    </row>
    <row r="1946" customFormat="false" ht="15" hidden="false" customHeight="false" outlineLevel="0" collapsed="false">
      <c r="A1946" s="12" t="n">
        <v>45231</v>
      </c>
      <c r="B1946" s="9" t="s">
        <v>93</v>
      </c>
      <c r="C1946" s="3" t="s">
        <v>108</v>
      </c>
      <c r="D1946" s="3" t="n">
        <v>0</v>
      </c>
      <c r="E1946" s="3" t="s">
        <v>114</v>
      </c>
      <c r="F1946" s="3" t="n">
        <f aca="false">IF(C1946="848630",0,1)</f>
        <v>1</v>
      </c>
    </row>
    <row r="1947" customFormat="false" ht="15" hidden="false" customHeight="false" outlineLevel="0" collapsed="false">
      <c r="A1947" s="12" t="n">
        <v>45231</v>
      </c>
      <c r="B1947" s="9" t="s">
        <v>93</v>
      </c>
      <c r="C1947" s="3" t="s">
        <v>108</v>
      </c>
      <c r="D1947" s="3" t="n">
        <v>265000</v>
      </c>
      <c r="E1947" s="3" t="s">
        <v>114</v>
      </c>
      <c r="F1947" s="3" t="n">
        <f aca="false">IF(C1947="848630",0,1)</f>
        <v>1</v>
      </c>
    </row>
    <row r="1948" customFormat="false" ht="15" hidden="false" customHeight="false" outlineLevel="0" collapsed="false">
      <c r="A1948" s="12" t="n">
        <v>45231</v>
      </c>
      <c r="B1948" s="9" t="s">
        <v>93</v>
      </c>
      <c r="C1948" s="3" t="s">
        <v>108</v>
      </c>
      <c r="D1948" s="3" t="n">
        <v>0</v>
      </c>
      <c r="E1948" s="3" t="s">
        <v>114</v>
      </c>
      <c r="F1948" s="3" t="n">
        <f aca="false">IF(C1948="848630",0,1)</f>
        <v>1</v>
      </c>
    </row>
    <row r="1949" customFormat="false" ht="15" hidden="false" customHeight="false" outlineLevel="0" collapsed="false">
      <c r="A1949" s="12" t="n">
        <v>45231</v>
      </c>
      <c r="B1949" s="9" t="s">
        <v>93</v>
      </c>
      <c r="C1949" s="3" t="s">
        <v>108</v>
      </c>
      <c r="D1949" s="3" t="n">
        <v>69000</v>
      </c>
      <c r="E1949" s="3" t="s">
        <v>114</v>
      </c>
      <c r="F1949" s="3" t="n">
        <f aca="false">IF(C1949="848630",0,1)</f>
        <v>1</v>
      </c>
    </row>
    <row r="1950" customFormat="false" ht="15" hidden="false" customHeight="false" outlineLevel="0" collapsed="false">
      <c r="A1950" s="12" t="n">
        <v>45231</v>
      </c>
      <c r="B1950" s="9" t="s">
        <v>93</v>
      </c>
      <c r="C1950" s="3" t="s">
        <v>108</v>
      </c>
      <c r="D1950" s="3" t="n">
        <v>207000</v>
      </c>
      <c r="E1950" s="3" t="s">
        <v>114</v>
      </c>
      <c r="F1950" s="3" t="n">
        <f aca="false">IF(C1950="848630",0,1)</f>
        <v>1</v>
      </c>
    </row>
    <row r="1951" customFormat="false" ht="15" hidden="false" customHeight="false" outlineLevel="0" collapsed="false">
      <c r="A1951" s="12" t="n">
        <v>45231</v>
      </c>
      <c r="B1951" s="9" t="s">
        <v>93</v>
      </c>
      <c r="C1951" s="3" t="s">
        <v>108</v>
      </c>
      <c r="D1951" s="3" t="n">
        <v>1146000</v>
      </c>
      <c r="E1951" s="3" t="s">
        <v>114</v>
      </c>
      <c r="F1951" s="3" t="n">
        <f aca="false">IF(C1951="848630",0,1)</f>
        <v>1</v>
      </c>
    </row>
    <row r="1952" customFormat="false" ht="15" hidden="false" customHeight="false" outlineLevel="0" collapsed="false">
      <c r="A1952" s="12" t="n">
        <v>45231</v>
      </c>
      <c r="B1952" s="9" t="s">
        <v>93</v>
      </c>
      <c r="C1952" s="3" t="s">
        <v>108</v>
      </c>
      <c r="D1952" s="3" t="n">
        <v>446000</v>
      </c>
      <c r="E1952" s="3" t="s">
        <v>114</v>
      </c>
      <c r="F1952" s="3" t="n">
        <f aca="false">IF(C1952="848630",0,1)</f>
        <v>1</v>
      </c>
    </row>
    <row r="1953" customFormat="false" ht="15" hidden="false" customHeight="false" outlineLevel="0" collapsed="false">
      <c r="A1953" s="12" t="n">
        <v>45231</v>
      </c>
      <c r="B1953" s="9" t="s">
        <v>93</v>
      </c>
      <c r="C1953" s="3" t="s">
        <v>108</v>
      </c>
      <c r="D1953" s="3" t="n">
        <v>9142000</v>
      </c>
      <c r="E1953" s="3" t="s">
        <v>114</v>
      </c>
      <c r="F1953" s="3" t="n">
        <f aca="false">IF(C1953="848630",0,1)</f>
        <v>1</v>
      </c>
    </row>
    <row r="1954" customFormat="false" ht="15" hidden="false" customHeight="false" outlineLevel="0" collapsed="false">
      <c r="A1954" s="12" t="n">
        <v>45231</v>
      </c>
      <c r="B1954" s="9" t="s">
        <v>93</v>
      </c>
      <c r="C1954" s="3" t="s">
        <v>108</v>
      </c>
      <c r="D1954" s="3" t="n">
        <v>233000</v>
      </c>
      <c r="E1954" s="3" t="s">
        <v>114</v>
      </c>
      <c r="F1954" s="3" t="n">
        <f aca="false">IF(C1954="848630",0,1)</f>
        <v>1</v>
      </c>
    </row>
    <row r="1955" customFormat="false" ht="15" hidden="false" customHeight="false" outlineLevel="0" collapsed="false">
      <c r="A1955" s="12" t="n">
        <v>45231</v>
      </c>
      <c r="B1955" s="9" t="s">
        <v>93</v>
      </c>
      <c r="C1955" s="3" t="s">
        <v>108</v>
      </c>
      <c r="D1955" s="3" t="n">
        <v>961000</v>
      </c>
      <c r="E1955" s="3" t="s">
        <v>114</v>
      </c>
      <c r="F1955" s="3" t="n">
        <f aca="false">IF(C1955="848630",0,1)</f>
        <v>1</v>
      </c>
    </row>
    <row r="1956" customFormat="false" ht="15" hidden="false" customHeight="false" outlineLevel="0" collapsed="false">
      <c r="A1956" s="12" t="n">
        <v>45231</v>
      </c>
      <c r="B1956" s="9" t="s">
        <v>93</v>
      </c>
      <c r="C1956" s="3" t="s">
        <v>109</v>
      </c>
      <c r="D1956" s="3" t="n">
        <v>2383000</v>
      </c>
      <c r="E1956" s="3" t="s">
        <v>114</v>
      </c>
      <c r="F1956" s="3" t="n">
        <f aca="false">IF(C1956="848630",0,1)</f>
        <v>1</v>
      </c>
    </row>
    <row r="1957" customFormat="false" ht="15" hidden="false" customHeight="false" outlineLevel="0" collapsed="false">
      <c r="A1957" s="12" t="n">
        <v>45231</v>
      </c>
      <c r="B1957" s="9" t="s">
        <v>93</v>
      </c>
      <c r="C1957" s="3" t="s">
        <v>109</v>
      </c>
      <c r="D1957" s="3" t="n">
        <v>8213000</v>
      </c>
      <c r="E1957" s="3" t="s">
        <v>114</v>
      </c>
      <c r="F1957" s="3" t="n">
        <f aca="false">IF(C1957="848630",0,1)</f>
        <v>1</v>
      </c>
    </row>
    <row r="1958" customFormat="false" ht="15" hidden="false" customHeight="false" outlineLevel="0" collapsed="false">
      <c r="A1958" s="12" t="n">
        <v>45231</v>
      </c>
      <c r="B1958" s="9" t="s">
        <v>93</v>
      </c>
      <c r="C1958" s="3" t="s">
        <v>109</v>
      </c>
      <c r="D1958" s="3" t="n">
        <v>15668000</v>
      </c>
      <c r="E1958" s="3" t="s">
        <v>114</v>
      </c>
      <c r="F1958" s="3" t="n">
        <f aca="false">IF(C1958="848630",0,1)</f>
        <v>1</v>
      </c>
    </row>
    <row r="1959" customFormat="false" ht="15" hidden="false" customHeight="false" outlineLevel="0" collapsed="false">
      <c r="A1959" s="12" t="n">
        <v>45231</v>
      </c>
      <c r="B1959" s="9" t="s">
        <v>93</v>
      </c>
      <c r="C1959" s="3" t="s">
        <v>109</v>
      </c>
      <c r="D1959" s="3" t="n">
        <v>8583000</v>
      </c>
      <c r="E1959" s="3" t="s">
        <v>114</v>
      </c>
      <c r="F1959" s="3" t="n">
        <f aca="false">IF(C1959="848630",0,1)</f>
        <v>1</v>
      </c>
    </row>
    <row r="1960" customFormat="false" ht="15" hidden="false" customHeight="false" outlineLevel="0" collapsed="false">
      <c r="A1960" s="12" t="n">
        <v>45231</v>
      </c>
      <c r="B1960" s="9" t="s">
        <v>93</v>
      </c>
      <c r="C1960" s="3" t="s">
        <v>109</v>
      </c>
      <c r="D1960" s="3" t="n">
        <v>645000</v>
      </c>
      <c r="E1960" s="3" t="s">
        <v>114</v>
      </c>
      <c r="F1960" s="3" t="n">
        <f aca="false">IF(C1960="848630",0,1)</f>
        <v>1</v>
      </c>
    </row>
    <row r="1961" customFormat="false" ht="15" hidden="false" customHeight="false" outlineLevel="0" collapsed="false">
      <c r="A1961" s="12" t="n">
        <v>45231</v>
      </c>
      <c r="B1961" s="9" t="s">
        <v>93</v>
      </c>
      <c r="C1961" s="3" t="s">
        <v>109</v>
      </c>
      <c r="D1961" s="3" t="n">
        <v>1164000</v>
      </c>
      <c r="E1961" s="3" t="s">
        <v>114</v>
      </c>
      <c r="F1961" s="3" t="n">
        <f aca="false">IF(C1961="848630",0,1)</f>
        <v>1</v>
      </c>
    </row>
    <row r="1962" customFormat="false" ht="15" hidden="false" customHeight="false" outlineLevel="0" collapsed="false">
      <c r="A1962" s="12" t="n">
        <v>45231</v>
      </c>
      <c r="B1962" s="9" t="s">
        <v>93</v>
      </c>
      <c r="C1962" s="3" t="s">
        <v>109</v>
      </c>
      <c r="D1962" s="3" t="n">
        <v>916000</v>
      </c>
      <c r="E1962" s="3" t="s">
        <v>114</v>
      </c>
      <c r="F1962" s="3" t="n">
        <f aca="false">IF(C1962="848630",0,1)</f>
        <v>1</v>
      </c>
    </row>
    <row r="1963" customFormat="false" ht="15" hidden="false" customHeight="false" outlineLevel="0" collapsed="false">
      <c r="A1963" s="12" t="n">
        <v>45231</v>
      </c>
      <c r="B1963" s="9" t="s">
        <v>93</v>
      </c>
      <c r="C1963" s="3" t="s">
        <v>109</v>
      </c>
      <c r="D1963" s="3" t="n">
        <v>8923000</v>
      </c>
      <c r="E1963" s="3" t="s">
        <v>114</v>
      </c>
      <c r="F1963" s="3" t="n">
        <f aca="false">IF(C1963="848630",0,1)</f>
        <v>1</v>
      </c>
    </row>
    <row r="1964" customFormat="false" ht="15" hidden="false" customHeight="false" outlineLevel="0" collapsed="false">
      <c r="A1964" s="12" t="n">
        <v>45231</v>
      </c>
      <c r="B1964" s="9" t="s">
        <v>93</v>
      </c>
      <c r="C1964" s="3" t="s">
        <v>110</v>
      </c>
      <c r="D1964" s="3" t="n">
        <v>28410000</v>
      </c>
      <c r="E1964" s="3" t="s">
        <v>114</v>
      </c>
      <c r="F1964" s="3" t="n">
        <f aca="false">IF(C1964="848630",0,1)</f>
        <v>1</v>
      </c>
    </row>
    <row r="1965" customFormat="false" ht="15" hidden="false" customHeight="false" outlineLevel="0" collapsed="false">
      <c r="A1965" s="12" t="n">
        <v>45231</v>
      </c>
      <c r="B1965" s="9" t="s">
        <v>93</v>
      </c>
      <c r="C1965" s="3" t="s">
        <v>111</v>
      </c>
      <c r="D1965" s="3" t="n">
        <v>47761000</v>
      </c>
      <c r="E1965" s="3" t="s">
        <v>114</v>
      </c>
      <c r="F1965" s="3" t="n">
        <f aca="false">IF(C1965="848630",0,1)</f>
        <v>1</v>
      </c>
    </row>
    <row r="1966" customFormat="false" ht="15" hidden="false" customHeight="false" outlineLevel="0" collapsed="false">
      <c r="A1966" s="12" t="n">
        <v>45261</v>
      </c>
      <c r="B1966" s="9" t="s">
        <v>93</v>
      </c>
      <c r="C1966" s="3" t="s">
        <v>105</v>
      </c>
      <c r="D1966" s="3" t="n">
        <v>877000</v>
      </c>
      <c r="E1966" s="3" t="s">
        <v>114</v>
      </c>
      <c r="F1966" s="3" t="n">
        <f aca="false">IF(C1966="848630",0,1)</f>
        <v>1</v>
      </c>
    </row>
    <row r="1967" customFormat="false" ht="15" hidden="false" customHeight="false" outlineLevel="0" collapsed="false">
      <c r="A1967" s="12" t="n">
        <v>45261</v>
      </c>
      <c r="B1967" s="9" t="s">
        <v>93</v>
      </c>
      <c r="C1967" s="3" t="s">
        <v>105</v>
      </c>
      <c r="D1967" s="3" t="n">
        <v>110000</v>
      </c>
      <c r="E1967" s="3" t="s">
        <v>114</v>
      </c>
      <c r="F1967" s="3" t="n">
        <f aca="false">IF(C1967="848630",0,1)</f>
        <v>1</v>
      </c>
    </row>
    <row r="1968" customFormat="false" ht="15" hidden="false" customHeight="false" outlineLevel="0" collapsed="false">
      <c r="A1968" s="12" t="n">
        <v>45261</v>
      </c>
      <c r="B1968" s="9" t="s">
        <v>93</v>
      </c>
      <c r="C1968" s="3" t="s">
        <v>105</v>
      </c>
      <c r="D1968" s="3" t="n">
        <v>0</v>
      </c>
      <c r="E1968" s="3" t="s">
        <v>114</v>
      </c>
      <c r="F1968" s="3" t="n">
        <f aca="false">IF(C1968="848630",0,1)</f>
        <v>1</v>
      </c>
    </row>
    <row r="1969" customFormat="false" ht="15" hidden="false" customHeight="false" outlineLevel="0" collapsed="false">
      <c r="A1969" s="12" t="n">
        <v>45261</v>
      </c>
      <c r="B1969" s="9" t="s">
        <v>93</v>
      </c>
      <c r="C1969" s="3" t="s">
        <v>107</v>
      </c>
      <c r="D1969" s="3" t="n">
        <v>0</v>
      </c>
      <c r="E1969" s="3" t="s">
        <v>114</v>
      </c>
      <c r="F1969" s="3" t="n">
        <f aca="false">IF(C1969="848630",0,1)</f>
        <v>1</v>
      </c>
    </row>
    <row r="1970" customFormat="false" ht="15" hidden="false" customHeight="false" outlineLevel="0" collapsed="false">
      <c r="A1970" s="12" t="n">
        <v>45261</v>
      </c>
      <c r="B1970" s="9" t="s">
        <v>93</v>
      </c>
      <c r="C1970" s="3" t="s">
        <v>107</v>
      </c>
      <c r="D1970" s="3" t="n">
        <v>1101000</v>
      </c>
      <c r="E1970" s="3" t="s">
        <v>114</v>
      </c>
      <c r="F1970" s="3" t="n">
        <f aca="false">IF(C1970="848630",0,1)</f>
        <v>1</v>
      </c>
    </row>
    <row r="1971" customFormat="false" ht="15" hidden="false" customHeight="false" outlineLevel="0" collapsed="false">
      <c r="A1971" s="12" t="n">
        <v>45261</v>
      </c>
      <c r="B1971" s="9" t="s">
        <v>93</v>
      </c>
      <c r="C1971" s="3" t="s">
        <v>107</v>
      </c>
      <c r="D1971" s="3" t="n">
        <v>12000</v>
      </c>
      <c r="E1971" s="3" t="s">
        <v>114</v>
      </c>
      <c r="F1971" s="3" t="n">
        <f aca="false">IF(C1971="848630",0,1)</f>
        <v>1</v>
      </c>
    </row>
    <row r="1972" customFormat="false" ht="15" hidden="false" customHeight="false" outlineLevel="0" collapsed="false">
      <c r="A1972" s="12" t="n">
        <v>45261</v>
      </c>
      <c r="B1972" s="9" t="s">
        <v>93</v>
      </c>
      <c r="C1972" s="3" t="s">
        <v>107</v>
      </c>
      <c r="D1972" s="3" t="n">
        <v>52000</v>
      </c>
      <c r="E1972" s="3" t="s">
        <v>114</v>
      </c>
      <c r="F1972" s="3" t="n">
        <f aca="false">IF(C1972="848630",0,1)</f>
        <v>1</v>
      </c>
    </row>
    <row r="1973" customFormat="false" ht="15" hidden="false" customHeight="false" outlineLevel="0" collapsed="false">
      <c r="A1973" s="12" t="n">
        <v>45261</v>
      </c>
      <c r="B1973" s="9" t="s">
        <v>93</v>
      </c>
      <c r="C1973" s="3" t="s">
        <v>107</v>
      </c>
      <c r="D1973" s="3" t="n">
        <v>3127000</v>
      </c>
      <c r="E1973" s="3" t="s">
        <v>114</v>
      </c>
      <c r="F1973" s="3" t="n">
        <f aca="false">IF(C1973="848630",0,1)</f>
        <v>1</v>
      </c>
    </row>
    <row r="1974" customFormat="false" ht="15" hidden="false" customHeight="false" outlineLevel="0" collapsed="false">
      <c r="A1974" s="12" t="n">
        <v>45261</v>
      </c>
      <c r="B1974" s="9" t="s">
        <v>93</v>
      </c>
      <c r="C1974" s="3" t="s">
        <v>107</v>
      </c>
      <c r="D1974" s="3" t="n">
        <v>80379000</v>
      </c>
      <c r="E1974" s="3" t="s">
        <v>114</v>
      </c>
      <c r="F1974" s="3" t="n">
        <f aca="false">IF(C1974="848630",0,1)</f>
        <v>1</v>
      </c>
    </row>
    <row r="1975" customFormat="false" ht="15" hidden="false" customHeight="false" outlineLevel="0" collapsed="false">
      <c r="A1975" s="12" t="n">
        <v>45261</v>
      </c>
      <c r="B1975" s="9" t="s">
        <v>93</v>
      </c>
      <c r="C1975" s="3" t="s">
        <v>107</v>
      </c>
      <c r="D1975" s="3" t="n">
        <v>13559000</v>
      </c>
      <c r="E1975" s="3" t="s">
        <v>114</v>
      </c>
      <c r="F1975" s="3" t="n">
        <f aca="false">IF(C1975="848630",0,1)</f>
        <v>1</v>
      </c>
    </row>
    <row r="1976" customFormat="false" ht="15" hidden="false" customHeight="false" outlineLevel="0" collapsed="false">
      <c r="A1976" s="12" t="n">
        <v>45261</v>
      </c>
      <c r="B1976" s="9" t="s">
        <v>93</v>
      </c>
      <c r="C1976" s="3" t="s">
        <v>107</v>
      </c>
      <c r="D1976" s="3" t="n">
        <v>15601000</v>
      </c>
      <c r="E1976" s="3" t="s">
        <v>114</v>
      </c>
      <c r="F1976" s="3" t="n">
        <f aca="false">IF(C1976="848630",0,1)</f>
        <v>1</v>
      </c>
    </row>
    <row r="1977" customFormat="false" ht="15" hidden="false" customHeight="false" outlineLevel="0" collapsed="false">
      <c r="A1977" s="12" t="n">
        <v>45261</v>
      </c>
      <c r="B1977" s="9" t="s">
        <v>93</v>
      </c>
      <c r="C1977" s="3" t="s">
        <v>107</v>
      </c>
      <c r="D1977" s="3" t="n">
        <v>1114000</v>
      </c>
      <c r="E1977" s="3" t="s">
        <v>114</v>
      </c>
      <c r="F1977" s="3" t="n">
        <f aca="false">IF(C1977="848630",0,1)</f>
        <v>1</v>
      </c>
    </row>
    <row r="1978" customFormat="false" ht="15" hidden="false" customHeight="false" outlineLevel="0" collapsed="false">
      <c r="A1978" s="12" t="n">
        <v>45261</v>
      </c>
      <c r="B1978" s="9" t="s">
        <v>93</v>
      </c>
      <c r="C1978" s="3" t="s">
        <v>107</v>
      </c>
      <c r="D1978" s="3" t="n">
        <v>43577000</v>
      </c>
      <c r="E1978" s="3" t="s">
        <v>114</v>
      </c>
      <c r="F1978" s="3" t="n">
        <f aca="false">IF(C1978="848630",0,1)</f>
        <v>1</v>
      </c>
    </row>
    <row r="1979" customFormat="false" ht="15" hidden="false" customHeight="false" outlineLevel="0" collapsed="false">
      <c r="A1979" s="12" t="n">
        <v>45261</v>
      </c>
      <c r="B1979" s="9" t="s">
        <v>93</v>
      </c>
      <c r="C1979" s="3" t="s">
        <v>107</v>
      </c>
      <c r="D1979" s="3" t="n">
        <v>499000</v>
      </c>
      <c r="E1979" s="3" t="s">
        <v>114</v>
      </c>
      <c r="F1979" s="3" t="n">
        <f aca="false">IF(C1979="848630",0,1)</f>
        <v>1</v>
      </c>
    </row>
    <row r="1980" customFormat="false" ht="15" hidden="false" customHeight="false" outlineLevel="0" collapsed="false">
      <c r="A1980" s="12" t="n">
        <v>45261</v>
      </c>
      <c r="B1980" s="9" t="s">
        <v>93</v>
      </c>
      <c r="C1980" s="3" t="s">
        <v>107</v>
      </c>
      <c r="D1980" s="3" t="n">
        <v>22139000</v>
      </c>
      <c r="E1980" s="3" t="s">
        <v>114</v>
      </c>
      <c r="F1980" s="3" t="n">
        <f aca="false">IF(C1980="848630",0,1)</f>
        <v>1</v>
      </c>
    </row>
    <row r="1981" customFormat="false" ht="15" hidden="false" customHeight="false" outlineLevel="0" collapsed="false">
      <c r="A1981" s="12" t="n">
        <v>45261</v>
      </c>
      <c r="B1981" s="9" t="s">
        <v>93</v>
      </c>
      <c r="C1981" s="3" t="s">
        <v>107</v>
      </c>
      <c r="D1981" s="3" t="n">
        <v>15889000</v>
      </c>
      <c r="E1981" s="3" t="s">
        <v>114</v>
      </c>
      <c r="F1981" s="3" t="n">
        <f aca="false">IF(C1981="848630",0,1)</f>
        <v>1</v>
      </c>
    </row>
    <row r="1982" customFormat="false" ht="15" hidden="false" customHeight="false" outlineLevel="0" collapsed="false">
      <c r="A1982" s="12" t="n">
        <v>45261</v>
      </c>
      <c r="B1982" s="9" t="s">
        <v>93</v>
      </c>
      <c r="C1982" s="3" t="s">
        <v>107</v>
      </c>
      <c r="D1982" s="3" t="n">
        <v>1007000</v>
      </c>
      <c r="E1982" s="3" t="s">
        <v>114</v>
      </c>
      <c r="F1982" s="3" t="n">
        <f aca="false">IF(C1982="848630",0,1)</f>
        <v>1</v>
      </c>
    </row>
    <row r="1983" customFormat="false" ht="15" hidden="false" customHeight="false" outlineLevel="0" collapsed="false">
      <c r="A1983" s="12" t="n">
        <v>45261</v>
      </c>
      <c r="B1983" s="9" t="s">
        <v>93</v>
      </c>
      <c r="C1983" s="3" t="s">
        <v>107</v>
      </c>
      <c r="D1983" s="3" t="n">
        <v>1675000</v>
      </c>
      <c r="E1983" s="3" t="s">
        <v>114</v>
      </c>
      <c r="F1983" s="3" t="n">
        <f aca="false">IF(C1983="848630",0,1)</f>
        <v>1</v>
      </c>
    </row>
    <row r="1984" customFormat="false" ht="15" hidden="false" customHeight="false" outlineLevel="0" collapsed="false">
      <c r="A1984" s="12" t="n">
        <v>45261</v>
      </c>
      <c r="B1984" s="9" t="s">
        <v>93</v>
      </c>
      <c r="C1984" s="3" t="s">
        <v>107</v>
      </c>
      <c r="D1984" s="3" t="n">
        <v>1267000</v>
      </c>
      <c r="E1984" s="3" t="s">
        <v>114</v>
      </c>
      <c r="F1984" s="3" t="n">
        <f aca="false">IF(C1984="848630",0,1)</f>
        <v>1</v>
      </c>
    </row>
    <row r="1985" customFormat="false" ht="15" hidden="false" customHeight="false" outlineLevel="0" collapsed="false">
      <c r="A1985" s="12" t="n">
        <v>45261</v>
      </c>
      <c r="B1985" s="9" t="s">
        <v>93</v>
      </c>
      <c r="C1985" s="3" t="s">
        <v>107</v>
      </c>
      <c r="D1985" s="3" t="n">
        <v>5615000</v>
      </c>
      <c r="E1985" s="3" t="s">
        <v>114</v>
      </c>
      <c r="F1985" s="3" t="n">
        <f aca="false">IF(C1985="848630",0,1)</f>
        <v>1</v>
      </c>
    </row>
    <row r="1986" customFormat="false" ht="15" hidden="false" customHeight="false" outlineLevel="0" collapsed="false">
      <c r="A1986" s="12" t="n">
        <v>45261</v>
      </c>
      <c r="B1986" s="9" t="s">
        <v>93</v>
      </c>
      <c r="C1986" s="3" t="s">
        <v>112</v>
      </c>
      <c r="D1986" s="3" t="n">
        <v>9729000</v>
      </c>
      <c r="E1986" s="3" t="s">
        <v>114</v>
      </c>
      <c r="F1986" s="3" t="n">
        <f aca="false">IF(C1986="848630",0,1)</f>
        <v>0</v>
      </c>
    </row>
    <row r="1987" customFormat="false" ht="15" hidden="false" customHeight="false" outlineLevel="0" collapsed="false">
      <c r="A1987" s="12" t="n">
        <v>45261</v>
      </c>
      <c r="B1987" s="9" t="s">
        <v>93</v>
      </c>
      <c r="C1987" s="3" t="s">
        <v>112</v>
      </c>
      <c r="D1987" s="3" t="n">
        <v>15200000</v>
      </c>
      <c r="E1987" s="3" t="s">
        <v>114</v>
      </c>
      <c r="F1987" s="3" t="n">
        <f aca="false">IF(C1987="848630",0,1)</f>
        <v>0</v>
      </c>
    </row>
    <row r="1988" customFormat="false" ht="15" hidden="false" customHeight="false" outlineLevel="0" collapsed="false">
      <c r="A1988" s="12" t="n">
        <v>45261</v>
      </c>
      <c r="B1988" s="9" t="s">
        <v>93</v>
      </c>
      <c r="C1988" s="3" t="s">
        <v>112</v>
      </c>
      <c r="D1988" s="3" t="n">
        <v>449000</v>
      </c>
      <c r="E1988" s="3" t="s">
        <v>114</v>
      </c>
      <c r="F1988" s="3" t="n">
        <f aca="false">IF(C1988="848630",0,1)</f>
        <v>0</v>
      </c>
    </row>
    <row r="1989" customFormat="false" ht="15" hidden="false" customHeight="false" outlineLevel="0" collapsed="false">
      <c r="A1989" s="12" t="n">
        <v>45261</v>
      </c>
      <c r="B1989" s="9" t="s">
        <v>93</v>
      </c>
      <c r="C1989" s="3" t="s">
        <v>112</v>
      </c>
      <c r="D1989" s="3" t="n">
        <v>11000</v>
      </c>
      <c r="E1989" s="3" t="s">
        <v>114</v>
      </c>
      <c r="F1989" s="3" t="n">
        <f aca="false">IF(C1989="848630",0,1)</f>
        <v>0</v>
      </c>
    </row>
    <row r="1990" customFormat="false" ht="15" hidden="false" customHeight="false" outlineLevel="0" collapsed="false">
      <c r="A1990" s="12" t="n">
        <v>45261</v>
      </c>
      <c r="B1990" s="9" t="s">
        <v>93</v>
      </c>
      <c r="C1990" s="3" t="s">
        <v>112</v>
      </c>
      <c r="D1990" s="3" t="n">
        <v>0</v>
      </c>
      <c r="E1990" s="3" t="s">
        <v>114</v>
      </c>
      <c r="F1990" s="3" t="n">
        <f aca="false">IF(C1990="848630",0,1)</f>
        <v>0</v>
      </c>
    </row>
    <row r="1991" customFormat="false" ht="15" hidden="false" customHeight="false" outlineLevel="0" collapsed="false">
      <c r="A1991" s="12" t="n">
        <v>45261</v>
      </c>
      <c r="B1991" s="9" t="s">
        <v>93</v>
      </c>
      <c r="C1991" s="3" t="s">
        <v>108</v>
      </c>
      <c r="D1991" s="3" t="n">
        <v>878000</v>
      </c>
      <c r="E1991" s="3" t="s">
        <v>114</v>
      </c>
      <c r="F1991" s="3" t="n">
        <f aca="false">IF(C1991="848630",0,1)</f>
        <v>1</v>
      </c>
    </row>
    <row r="1992" customFormat="false" ht="15" hidden="false" customHeight="false" outlineLevel="0" collapsed="false">
      <c r="A1992" s="12" t="n">
        <v>45261</v>
      </c>
      <c r="B1992" s="9" t="s">
        <v>93</v>
      </c>
      <c r="C1992" s="3" t="s">
        <v>108</v>
      </c>
      <c r="D1992" s="3" t="n">
        <v>0</v>
      </c>
      <c r="E1992" s="3" t="s">
        <v>114</v>
      </c>
      <c r="F1992" s="3" t="n">
        <f aca="false">IF(C1992="848630",0,1)</f>
        <v>1</v>
      </c>
    </row>
    <row r="1993" customFormat="false" ht="15" hidden="false" customHeight="false" outlineLevel="0" collapsed="false">
      <c r="A1993" s="12" t="n">
        <v>45261</v>
      </c>
      <c r="B1993" s="9" t="s">
        <v>93</v>
      </c>
      <c r="C1993" s="3" t="s">
        <v>108</v>
      </c>
      <c r="D1993" s="3" t="n">
        <v>3357000</v>
      </c>
      <c r="E1993" s="3" t="s">
        <v>114</v>
      </c>
      <c r="F1993" s="3" t="n">
        <f aca="false">IF(C1993="848630",0,1)</f>
        <v>1</v>
      </c>
    </row>
    <row r="1994" customFormat="false" ht="15" hidden="false" customHeight="false" outlineLevel="0" collapsed="false">
      <c r="A1994" s="12" t="n">
        <v>45261</v>
      </c>
      <c r="B1994" s="9" t="s">
        <v>93</v>
      </c>
      <c r="C1994" s="3" t="s">
        <v>108</v>
      </c>
      <c r="D1994" s="3" t="n">
        <v>1184000</v>
      </c>
      <c r="E1994" s="3" t="s">
        <v>114</v>
      </c>
      <c r="F1994" s="3" t="n">
        <f aca="false">IF(C1994="848630",0,1)</f>
        <v>1</v>
      </c>
    </row>
    <row r="1995" customFormat="false" ht="15" hidden="false" customHeight="false" outlineLevel="0" collapsed="false">
      <c r="A1995" s="12" t="n">
        <v>45261</v>
      </c>
      <c r="B1995" s="9" t="s">
        <v>93</v>
      </c>
      <c r="C1995" s="3" t="s">
        <v>108</v>
      </c>
      <c r="D1995" s="3" t="n">
        <v>71000</v>
      </c>
      <c r="E1995" s="3" t="s">
        <v>114</v>
      </c>
      <c r="F1995" s="3" t="n">
        <f aca="false">IF(C1995="848630",0,1)</f>
        <v>1</v>
      </c>
    </row>
    <row r="1996" customFormat="false" ht="15" hidden="false" customHeight="false" outlineLevel="0" collapsed="false">
      <c r="A1996" s="12" t="n">
        <v>45261</v>
      </c>
      <c r="B1996" s="9" t="s">
        <v>93</v>
      </c>
      <c r="C1996" s="3" t="s">
        <v>108</v>
      </c>
      <c r="D1996" s="3" t="n">
        <v>5000</v>
      </c>
      <c r="E1996" s="3" t="s">
        <v>114</v>
      </c>
      <c r="F1996" s="3" t="n">
        <f aca="false">IF(C1996="848630",0,1)</f>
        <v>1</v>
      </c>
    </row>
    <row r="1997" customFormat="false" ht="15" hidden="false" customHeight="false" outlineLevel="0" collapsed="false">
      <c r="A1997" s="12" t="n">
        <v>45261</v>
      </c>
      <c r="B1997" s="9" t="s">
        <v>93</v>
      </c>
      <c r="C1997" s="3" t="s">
        <v>108</v>
      </c>
      <c r="D1997" s="3" t="n">
        <v>8015000</v>
      </c>
      <c r="E1997" s="3" t="s">
        <v>114</v>
      </c>
      <c r="F1997" s="3" t="n">
        <f aca="false">IF(C1997="848630",0,1)</f>
        <v>1</v>
      </c>
    </row>
    <row r="1998" customFormat="false" ht="15" hidden="false" customHeight="false" outlineLevel="0" collapsed="false">
      <c r="A1998" s="12" t="n">
        <v>45261</v>
      </c>
      <c r="B1998" s="9" t="s">
        <v>93</v>
      </c>
      <c r="C1998" s="3" t="s">
        <v>108</v>
      </c>
      <c r="D1998" s="3" t="n">
        <v>6292000</v>
      </c>
      <c r="E1998" s="3" t="s">
        <v>114</v>
      </c>
      <c r="F1998" s="3" t="n">
        <f aca="false">IF(C1998="848630",0,1)</f>
        <v>1</v>
      </c>
    </row>
    <row r="1999" customFormat="false" ht="15" hidden="false" customHeight="false" outlineLevel="0" collapsed="false">
      <c r="A1999" s="12" t="n">
        <v>45261</v>
      </c>
      <c r="B1999" s="9" t="s">
        <v>93</v>
      </c>
      <c r="C1999" s="3" t="s">
        <v>108</v>
      </c>
      <c r="D1999" s="3" t="n">
        <v>41000</v>
      </c>
      <c r="E1999" s="3" t="s">
        <v>114</v>
      </c>
      <c r="F1999" s="3" t="n">
        <f aca="false">IF(C1999="848630",0,1)</f>
        <v>1</v>
      </c>
    </row>
    <row r="2000" customFormat="false" ht="15" hidden="false" customHeight="false" outlineLevel="0" collapsed="false">
      <c r="A2000" s="12" t="n">
        <v>45261</v>
      </c>
      <c r="B2000" s="9" t="s">
        <v>93</v>
      </c>
      <c r="C2000" s="3" t="s">
        <v>108</v>
      </c>
      <c r="D2000" s="3" t="n">
        <v>2900000</v>
      </c>
      <c r="E2000" s="3" t="s">
        <v>114</v>
      </c>
      <c r="F2000" s="3" t="n">
        <f aca="false">IF(C2000="848630",0,1)</f>
        <v>1</v>
      </c>
    </row>
    <row r="2001" customFormat="false" ht="15" hidden="false" customHeight="false" outlineLevel="0" collapsed="false">
      <c r="A2001" s="12" t="n">
        <v>45261</v>
      </c>
      <c r="B2001" s="9" t="s">
        <v>93</v>
      </c>
      <c r="C2001" s="3" t="s">
        <v>109</v>
      </c>
      <c r="D2001" s="3" t="n">
        <v>7225000</v>
      </c>
      <c r="E2001" s="3" t="s">
        <v>114</v>
      </c>
      <c r="F2001" s="3" t="n">
        <f aca="false">IF(C2001="848630",0,1)</f>
        <v>1</v>
      </c>
    </row>
    <row r="2002" customFormat="false" ht="15" hidden="false" customHeight="false" outlineLevel="0" collapsed="false">
      <c r="A2002" s="12" t="n">
        <v>45261</v>
      </c>
      <c r="B2002" s="9" t="s">
        <v>93</v>
      </c>
      <c r="C2002" s="3" t="s">
        <v>109</v>
      </c>
      <c r="D2002" s="3" t="n">
        <v>11956000</v>
      </c>
      <c r="E2002" s="3" t="s">
        <v>114</v>
      </c>
      <c r="F2002" s="3" t="n">
        <f aca="false">IF(C2002="848630",0,1)</f>
        <v>1</v>
      </c>
    </row>
    <row r="2003" customFormat="false" ht="15" hidden="false" customHeight="false" outlineLevel="0" collapsed="false">
      <c r="A2003" s="12" t="n">
        <v>45261</v>
      </c>
      <c r="B2003" s="9" t="s">
        <v>93</v>
      </c>
      <c r="C2003" s="3" t="s">
        <v>109</v>
      </c>
      <c r="D2003" s="3" t="n">
        <v>17734000</v>
      </c>
      <c r="E2003" s="3" t="s">
        <v>114</v>
      </c>
      <c r="F2003" s="3" t="n">
        <f aca="false">IF(C2003="848630",0,1)</f>
        <v>1</v>
      </c>
    </row>
    <row r="2004" customFormat="false" ht="15" hidden="false" customHeight="false" outlineLevel="0" collapsed="false">
      <c r="A2004" s="12" t="n">
        <v>45261</v>
      </c>
      <c r="B2004" s="9" t="s">
        <v>93</v>
      </c>
      <c r="C2004" s="3" t="s">
        <v>109</v>
      </c>
      <c r="D2004" s="3" t="n">
        <v>6851000</v>
      </c>
      <c r="E2004" s="3" t="s">
        <v>114</v>
      </c>
      <c r="F2004" s="3" t="n">
        <f aca="false">IF(C2004="848630",0,1)</f>
        <v>1</v>
      </c>
    </row>
    <row r="2005" customFormat="false" ht="15" hidden="false" customHeight="false" outlineLevel="0" collapsed="false">
      <c r="A2005" s="12" t="n">
        <v>45261</v>
      </c>
      <c r="B2005" s="9" t="s">
        <v>93</v>
      </c>
      <c r="C2005" s="3" t="s">
        <v>109</v>
      </c>
      <c r="D2005" s="3" t="n">
        <v>25000</v>
      </c>
      <c r="E2005" s="3" t="s">
        <v>114</v>
      </c>
      <c r="F2005" s="3" t="n">
        <f aca="false">IF(C2005="848630",0,1)</f>
        <v>1</v>
      </c>
    </row>
    <row r="2006" customFormat="false" ht="15" hidden="false" customHeight="false" outlineLevel="0" collapsed="false">
      <c r="A2006" s="12" t="n">
        <v>45261</v>
      </c>
      <c r="B2006" s="9" t="s">
        <v>93</v>
      </c>
      <c r="C2006" s="3" t="s">
        <v>109</v>
      </c>
      <c r="D2006" s="3" t="n">
        <v>2136000</v>
      </c>
      <c r="E2006" s="3" t="s">
        <v>114</v>
      </c>
      <c r="F2006" s="3" t="n">
        <f aca="false">IF(C2006="848630",0,1)</f>
        <v>1</v>
      </c>
    </row>
    <row r="2007" customFormat="false" ht="15" hidden="false" customHeight="false" outlineLevel="0" collapsed="false">
      <c r="A2007" s="12" t="n">
        <v>45261</v>
      </c>
      <c r="B2007" s="9" t="s">
        <v>93</v>
      </c>
      <c r="C2007" s="3" t="s">
        <v>109</v>
      </c>
      <c r="D2007" s="3" t="n">
        <v>1388000</v>
      </c>
      <c r="E2007" s="3" t="s">
        <v>114</v>
      </c>
      <c r="F2007" s="3" t="n">
        <f aca="false">IF(C2007="848630",0,1)</f>
        <v>1</v>
      </c>
    </row>
    <row r="2008" customFormat="false" ht="15" hidden="false" customHeight="false" outlineLevel="0" collapsed="false">
      <c r="A2008" s="12" t="n">
        <v>45261</v>
      </c>
      <c r="B2008" s="9" t="s">
        <v>93</v>
      </c>
      <c r="C2008" s="3" t="s">
        <v>109</v>
      </c>
      <c r="D2008" s="3" t="n">
        <v>12732000</v>
      </c>
      <c r="E2008" s="3" t="s">
        <v>114</v>
      </c>
      <c r="F2008" s="3" t="n">
        <f aca="false">IF(C2008="848630",0,1)</f>
        <v>1</v>
      </c>
    </row>
    <row r="2009" customFormat="false" ht="15" hidden="false" customHeight="false" outlineLevel="0" collapsed="false">
      <c r="A2009" s="12" t="n">
        <v>45261</v>
      </c>
      <c r="B2009" s="9" t="s">
        <v>93</v>
      </c>
      <c r="C2009" s="3" t="s">
        <v>110</v>
      </c>
      <c r="D2009" s="3" t="n">
        <v>50098000</v>
      </c>
      <c r="E2009" s="3" t="s">
        <v>114</v>
      </c>
      <c r="F2009" s="3" t="n">
        <f aca="false">IF(C2009="848630",0,1)</f>
        <v>1</v>
      </c>
    </row>
    <row r="2010" customFormat="false" ht="15" hidden="false" customHeight="false" outlineLevel="0" collapsed="false">
      <c r="A2010" s="12" t="n">
        <v>45261</v>
      </c>
      <c r="B2010" s="9" t="s">
        <v>93</v>
      </c>
      <c r="C2010" s="3" t="s">
        <v>111</v>
      </c>
      <c r="D2010" s="3" t="n">
        <v>1000</v>
      </c>
      <c r="E2010" s="3" t="s">
        <v>114</v>
      </c>
      <c r="F2010" s="3" t="n">
        <f aca="false">IF(C2010="848630",0,1)</f>
        <v>1</v>
      </c>
    </row>
    <row r="2011" customFormat="false" ht="15" hidden="false" customHeight="false" outlineLevel="0" collapsed="false">
      <c r="A2011" s="12" t="n">
        <v>45261</v>
      </c>
      <c r="B2011" s="9" t="s">
        <v>93</v>
      </c>
      <c r="C2011" s="3" t="s">
        <v>111</v>
      </c>
      <c r="D2011" s="3" t="n">
        <v>22025000</v>
      </c>
      <c r="E2011" s="3" t="s">
        <v>114</v>
      </c>
      <c r="F2011" s="3" t="n">
        <f aca="false">IF(C2011="848630",0,1)</f>
        <v>1</v>
      </c>
    </row>
    <row r="2012" customFormat="false" ht="15" hidden="false" customHeight="false" outlineLevel="0" collapsed="false">
      <c r="A2012" s="12" t="n">
        <v>45292</v>
      </c>
      <c r="B2012" s="9" t="s">
        <v>93</v>
      </c>
      <c r="C2012" s="3" t="s">
        <v>105</v>
      </c>
      <c r="D2012" s="3" t="n">
        <v>0</v>
      </c>
      <c r="E2012" s="3" t="s">
        <v>114</v>
      </c>
      <c r="F2012" s="3" t="n">
        <f aca="false">IF(C2012="848630",0,1)</f>
        <v>1</v>
      </c>
    </row>
    <row r="2013" customFormat="false" ht="15" hidden="false" customHeight="false" outlineLevel="0" collapsed="false">
      <c r="A2013" s="12" t="n">
        <v>45292</v>
      </c>
      <c r="B2013" s="9" t="s">
        <v>93</v>
      </c>
      <c r="C2013" s="3" t="s">
        <v>105</v>
      </c>
      <c r="D2013" s="3" t="n">
        <v>2485000</v>
      </c>
      <c r="E2013" s="3" t="s">
        <v>114</v>
      </c>
      <c r="F2013" s="3" t="n">
        <f aca="false">IF(C2013="848630",0,1)</f>
        <v>1</v>
      </c>
    </row>
    <row r="2014" customFormat="false" ht="15" hidden="false" customHeight="false" outlineLevel="0" collapsed="false">
      <c r="A2014" s="12" t="n">
        <v>45292</v>
      </c>
      <c r="B2014" s="9" t="s">
        <v>93</v>
      </c>
      <c r="C2014" s="3" t="s">
        <v>105</v>
      </c>
      <c r="D2014" s="3" t="n">
        <v>9000</v>
      </c>
      <c r="E2014" s="3" t="s">
        <v>114</v>
      </c>
      <c r="F2014" s="3" t="n">
        <f aca="false">IF(C2014="848630",0,1)</f>
        <v>1</v>
      </c>
    </row>
    <row r="2015" customFormat="false" ht="15" hidden="false" customHeight="false" outlineLevel="0" collapsed="false">
      <c r="A2015" s="12" t="n">
        <v>45292</v>
      </c>
      <c r="B2015" s="9" t="s">
        <v>93</v>
      </c>
      <c r="C2015" s="3" t="s">
        <v>105</v>
      </c>
      <c r="D2015" s="3" t="n">
        <v>109000</v>
      </c>
      <c r="E2015" s="3" t="s">
        <v>114</v>
      </c>
      <c r="F2015" s="3" t="n">
        <f aca="false">IF(C2015="848630",0,1)</f>
        <v>1</v>
      </c>
    </row>
    <row r="2016" customFormat="false" ht="15" hidden="false" customHeight="false" outlineLevel="0" collapsed="false">
      <c r="A2016" s="12" t="n">
        <v>45292</v>
      </c>
      <c r="B2016" s="9" t="s">
        <v>93</v>
      </c>
      <c r="C2016" s="3" t="s">
        <v>105</v>
      </c>
      <c r="D2016" s="3" t="n">
        <v>0</v>
      </c>
      <c r="E2016" s="3" t="s">
        <v>114</v>
      </c>
      <c r="F2016" s="3" t="n">
        <f aca="false">IF(C2016="848630",0,1)</f>
        <v>1</v>
      </c>
    </row>
    <row r="2017" customFormat="false" ht="15" hidden="false" customHeight="false" outlineLevel="0" collapsed="false">
      <c r="A2017" s="12" t="n">
        <v>45292</v>
      </c>
      <c r="B2017" s="9" t="s">
        <v>93</v>
      </c>
      <c r="C2017" s="3" t="s">
        <v>105</v>
      </c>
      <c r="D2017" s="3" t="n">
        <v>0</v>
      </c>
      <c r="E2017" s="3" t="s">
        <v>114</v>
      </c>
      <c r="F2017" s="3" t="n">
        <f aca="false">IF(C2017="848630",0,1)</f>
        <v>1</v>
      </c>
    </row>
    <row r="2018" customFormat="false" ht="15" hidden="false" customHeight="false" outlineLevel="0" collapsed="false">
      <c r="A2018" s="12" t="n">
        <v>45292</v>
      </c>
      <c r="B2018" s="9" t="s">
        <v>93</v>
      </c>
      <c r="C2018" s="3" t="s">
        <v>107</v>
      </c>
      <c r="D2018" s="3" t="n">
        <v>2983000</v>
      </c>
      <c r="E2018" s="3" t="s">
        <v>114</v>
      </c>
      <c r="F2018" s="3" t="n">
        <f aca="false">IF(C2018="848630",0,1)</f>
        <v>1</v>
      </c>
    </row>
    <row r="2019" customFormat="false" ht="15" hidden="false" customHeight="false" outlineLevel="0" collapsed="false">
      <c r="A2019" s="12" t="n">
        <v>45292</v>
      </c>
      <c r="B2019" s="9" t="s">
        <v>93</v>
      </c>
      <c r="C2019" s="3" t="s">
        <v>107</v>
      </c>
      <c r="D2019" s="3" t="n">
        <v>15000</v>
      </c>
      <c r="E2019" s="3" t="s">
        <v>114</v>
      </c>
      <c r="F2019" s="3" t="n">
        <f aca="false">IF(C2019="848630",0,1)</f>
        <v>1</v>
      </c>
    </row>
    <row r="2020" customFormat="false" ht="15" hidden="false" customHeight="false" outlineLevel="0" collapsed="false">
      <c r="A2020" s="12" t="n">
        <v>45292</v>
      </c>
      <c r="B2020" s="9" t="s">
        <v>93</v>
      </c>
      <c r="C2020" s="3" t="s">
        <v>107</v>
      </c>
      <c r="D2020" s="3" t="n">
        <v>4777000</v>
      </c>
      <c r="E2020" s="3" t="s">
        <v>114</v>
      </c>
      <c r="F2020" s="3" t="n">
        <f aca="false">IF(C2020="848630",0,1)</f>
        <v>1</v>
      </c>
    </row>
    <row r="2021" customFormat="false" ht="15" hidden="false" customHeight="false" outlineLevel="0" collapsed="false">
      <c r="A2021" s="12" t="n">
        <v>45292</v>
      </c>
      <c r="B2021" s="9" t="s">
        <v>93</v>
      </c>
      <c r="C2021" s="3" t="s">
        <v>107</v>
      </c>
      <c r="D2021" s="3" t="n">
        <v>68422000</v>
      </c>
      <c r="E2021" s="3" t="s">
        <v>114</v>
      </c>
      <c r="F2021" s="3" t="n">
        <f aca="false">IF(C2021="848630",0,1)</f>
        <v>1</v>
      </c>
    </row>
    <row r="2022" customFormat="false" ht="15" hidden="false" customHeight="false" outlineLevel="0" collapsed="false">
      <c r="A2022" s="12" t="n">
        <v>45292</v>
      </c>
      <c r="B2022" s="9" t="s">
        <v>93</v>
      </c>
      <c r="C2022" s="3" t="s">
        <v>107</v>
      </c>
      <c r="D2022" s="3" t="n">
        <v>10005000</v>
      </c>
      <c r="E2022" s="3" t="s">
        <v>114</v>
      </c>
      <c r="F2022" s="3" t="n">
        <f aca="false">IF(C2022="848630",0,1)</f>
        <v>1</v>
      </c>
    </row>
    <row r="2023" customFormat="false" ht="15" hidden="false" customHeight="false" outlineLevel="0" collapsed="false">
      <c r="A2023" s="12" t="n">
        <v>45292</v>
      </c>
      <c r="B2023" s="9" t="s">
        <v>93</v>
      </c>
      <c r="C2023" s="3" t="s">
        <v>107</v>
      </c>
      <c r="D2023" s="3" t="n">
        <v>9175000</v>
      </c>
      <c r="E2023" s="3" t="s">
        <v>114</v>
      </c>
      <c r="F2023" s="3" t="n">
        <f aca="false">IF(C2023="848630",0,1)</f>
        <v>1</v>
      </c>
    </row>
    <row r="2024" customFormat="false" ht="15" hidden="false" customHeight="false" outlineLevel="0" collapsed="false">
      <c r="A2024" s="12" t="n">
        <v>45292</v>
      </c>
      <c r="B2024" s="9" t="s">
        <v>93</v>
      </c>
      <c r="C2024" s="3" t="s">
        <v>107</v>
      </c>
      <c r="D2024" s="3" t="n">
        <v>1902000</v>
      </c>
      <c r="E2024" s="3" t="s">
        <v>114</v>
      </c>
      <c r="F2024" s="3" t="n">
        <f aca="false">IF(C2024="848630",0,1)</f>
        <v>1</v>
      </c>
    </row>
    <row r="2025" customFormat="false" ht="15" hidden="false" customHeight="false" outlineLevel="0" collapsed="false">
      <c r="A2025" s="12" t="n">
        <v>45292</v>
      </c>
      <c r="B2025" s="9" t="s">
        <v>93</v>
      </c>
      <c r="C2025" s="3" t="s">
        <v>107</v>
      </c>
      <c r="D2025" s="3" t="n">
        <v>24612000</v>
      </c>
      <c r="E2025" s="3" t="s">
        <v>114</v>
      </c>
      <c r="F2025" s="3" t="n">
        <f aca="false">IF(C2025="848630",0,1)</f>
        <v>1</v>
      </c>
    </row>
    <row r="2026" customFormat="false" ht="15" hidden="false" customHeight="false" outlineLevel="0" collapsed="false">
      <c r="A2026" s="12" t="n">
        <v>45292</v>
      </c>
      <c r="B2026" s="9" t="s">
        <v>93</v>
      </c>
      <c r="C2026" s="3" t="s">
        <v>107</v>
      </c>
      <c r="D2026" s="3" t="n">
        <v>9000</v>
      </c>
      <c r="E2026" s="3" t="s">
        <v>114</v>
      </c>
      <c r="F2026" s="3" t="n">
        <f aca="false">IF(C2026="848630",0,1)</f>
        <v>1</v>
      </c>
    </row>
    <row r="2027" customFormat="false" ht="15" hidden="false" customHeight="false" outlineLevel="0" collapsed="false">
      <c r="A2027" s="12" t="n">
        <v>45292</v>
      </c>
      <c r="B2027" s="9" t="s">
        <v>93</v>
      </c>
      <c r="C2027" s="3" t="s">
        <v>107</v>
      </c>
      <c r="D2027" s="3" t="n">
        <v>41864000</v>
      </c>
      <c r="E2027" s="3" t="s">
        <v>114</v>
      </c>
      <c r="F2027" s="3" t="n">
        <f aca="false">IF(C2027="848630",0,1)</f>
        <v>1</v>
      </c>
    </row>
    <row r="2028" customFormat="false" ht="15" hidden="false" customHeight="false" outlineLevel="0" collapsed="false">
      <c r="A2028" s="12" t="n">
        <v>45292</v>
      </c>
      <c r="B2028" s="9" t="s">
        <v>93</v>
      </c>
      <c r="C2028" s="3" t="s">
        <v>107</v>
      </c>
      <c r="D2028" s="3" t="n">
        <v>0</v>
      </c>
      <c r="E2028" s="3" t="s">
        <v>114</v>
      </c>
      <c r="F2028" s="3" t="n">
        <f aca="false">IF(C2028="848630",0,1)</f>
        <v>1</v>
      </c>
    </row>
    <row r="2029" customFormat="false" ht="15" hidden="false" customHeight="false" outlineLevel="0" collapsed="false">
      <c r="A2029" s="12" t="n">
        <v>45292</v>
      </c>
      <c r="B2029" s="9" t="s">
        <v>93</v>
      </c>
      <c r="C2029" s="3" t="s">
        <v>107</v>
      </c>
      <c r="D2029" s="3" t="n">
        <v>0</v>
      </c>
      <c r="E2029" s="3" t="s">
        <v>114</v>
      </c>
      <c r="F2029" s="3" t="n">
        <f aca="false">IF(C2029="848630",0,1)</f>
        <v>1</v>
      </c>
    </row>
    <row r="2030" customFormat="false" ht="15" hidden="false" customHeight="false" outlineLevel="0" collapsed="false">
      <c r="A2030" s="12" t="n">
        <v>45292</v>
      </c>
      <c r="B2030" s="9" t="s">
        <v>93</v>
      </c>
      <c r="C2030" s="3" t="s">
        <v>107</v>
      </c>
      <c r="D2030" s="3" t="n">
        <v>43405000</v>
      </c>
      <c r="E2030" s="3" t="s">
        <v>114</v>
      </c>
      <c r="F2030" s="3" t="n">
        <f aca="false">IF(C2030="848630",0,1)</f>
        <v>1</v>
      </c>
    </row>
    <row r="2031" customFormat="false" ht="15" hidden="false" customHeight="false" outlineLevel="0" collapsed="false">
      <c r="A2031" s="12" t="n">
        <v>45292</v>
      </c>
      <c r="B2031" s="9" t="s">
        <v>93</v>
      </c>
      <c r="C2031" s="3" t="s">
        <v>107</v>
      </c>
      <c r="D2031" s="3" t="n">
        <v>23545000</v>
      </c>
      <c r="E2031" s="3" t="s">
        <v>114</v>
      </c>
      <c r="F2031" s="3" t="n">
        <f aca="false">IF(C2031="848630",0,1)</f>
        <v>1</v>
      </c>
    </row>
    <row r="2032" customFormat="false" ht="15" hidden="false" customHeight="false" outlineLevel="0" collapsed="false">
      <c r="A2032" s="12" t="n">
        <v>45292</v>
      </c>
      <c r="B2032" s="9" t="s">
        <v>93</v>
      </c>
      <c r="C2032" s="3" t="s">
        <v>107</v>
      </c>
      <c r="D2032" s="3" t="n">
        <v>6728000</v>
      </c>
      <c r="E2032" s="3" t="s">
        <v>114</v>
      </c>
      <c r="F2032" s="3" t="n">
        <f aca="false">IF(C2032="848630",0,1)</f>
        <v>1</v>
      </c>
    </row>
    <row r="2033" customFormat="false" ht="15" hidden="false" customHeight="false" outlineLevel="0" collapsed="false">
      <c r="A2033" s="12" t="n">
        <v>45292</v>
      </c>
      <c r="B2033" s="9" t="s">
        <v>93</v>
      </c>
      <c r="C2033" s="3" t="s">
        <v>107</v>
      </c>
      <c r="D2033" s="3" t="n">
        <v>1671000</v>
      </c>
      <c r="E2033" s="3" t="s">
        <v>114</v>
      </c>
      <c r="F2033" s="3" t="n">
        <f aca="false">IF(C2033="848630",0,1)</f>
        <v>1</v>
      </c>
    </row>
    <row r="2034" customFormat="false" ht="15" hidden="false" customHeight="false" outlineLevel="0" collapsed="false">
      <c r="A2034" s="12" t="n">
        <v>45292</v>
      </c>
      <c r="B2034" s="9" t="s">
        <v>93</v>
      </c>
      <c r="C2034" s="3" t="s">
        <v>107</v>
      </c>
      <c r="D2034" s="3" t="n">
        <v>3459000</v>
      </c>
      <c r="E2034" s="3" t="s">
        <v>114</v>
      </c>
      <c r="F2034" s="3" t="n">
        <f aca="false">IF(C2034="848630",0,1)</f>
        <v>1</v>
      </c>
    </row>
    <row r="2035" customFormat="false" ht="15" hidden="false" customHeight="false" outlineLevel="0" collapsed="false">
      <c r="A2035" s="12" t="n">
        <v>45292</v>
      </c>
      <c r="B2035" s="9" t="s">
        <v>93</v>
      </c>
      <c r="C2035" s="3" t="s">
        <v>107</v>
      </c>
      <c r="D2035" s="3" t="n">
        <v>20070000</v>
      </c>
      <c r="E2035" s="3" t="s">
        <v>114</v>
      </c>
      <c r="F2035" s="3" t="n">
        <f aca="false">IF(C2035="848630",0,1)</f>
        <v>1</v>
      </c>
    </row>
    <row r="2036" customFormat="false" ht="15" hidden="false" customHeight="false" outlineLevel="0" collapsed="false">
      <c r="A2036" s="12" t="n">
        <v>45292</v>
      </c>
      <c r="B2036" s="9" t="s">
        <v>93</v>
      </c>
      <c r="C2036" s="3" t="s">
        <v>112</v>
      </c>
      <c r="D2036" s="3" t="n">
        <v>9261000</v>
      </c>
      <c r="E2036" s="3" t="s">
        <v>114</v>
      </c>
      <c r="F2036" s="3" t="n">
        <f aca="false">IF(C2036="848630",0,1)</f>
        <v>0</v>
      </c>
    </row>
    <row r="2037" customFormat="false" ht="15" hidden="false" customHeight="false" outlineLevel="0" collapsed="false">
      <c r="A2037" s="12" t="n">
        <v>45292</v>
      </c>
      <c r="B2037" s="9" t="s">
        <v>93</v>
      </c>
      <c r="C2037" s="3" t="s">
        <v>112</v>
      </c>
      <c r="D2037" s="3" t="n">
        <v>3931000</v>
      </c>
      <c r="E2037" s="3" t="s">
        <v>114</v>
      </c>
      <c r="F2037" s="3" t="n">
        <f aca="false">IF(C2037="848630",0,1)</f>
        <v>0</v>
      </c>
    </row>
    <row r="2038" customFormat="false" ht="15" hidden="false" customHeight="false" outlineLevel="0" collapsed="false">
      <c r="A2038" s="12" t="n">
        <v>45292</v>
      </c>
      <c r="B2038" s="9" t="s">
        <v>93</v>
      </c>
      <c r="C2038" s="3" t="s">
        <v>112</v>
      </c>
      <c r="D2038" s="3" t="n">
        <v>1000</v>
      </c>
      <c r="E2038" s="3" t="s">
        <v>114</v>
      </c>
      <c r="F2038" s="3" t="n">
        <f aca="false">IF(C2038="848630",0,1)</f>
        <v>0</v>
      </c>
    </row>
    <row r="2039" customFormat="false" ht="15" hidden="false" customHeight="false" outlineLevel="0" collapsed="false">
      <c r="A2039" s="12" t="n">
        <v>45292</v>
      </c>
      <c r="B2039" s="9" t="s">
        <v>93</v>
      </c>
      <c r="C2039" s="3" t="s">
        <v>112</v>
      </c>
      <c r="D2039" s="3" t="n">
        <v>23000</v>
      </c>
      <c r="E2039" s="3" t="s">
        <v>114</v>
      </c>
      <c r="F2039" s="3" t="n">
        <f aca="false">IF(C2039="848630",0,1)</f>
        <v>0</v>
      </c>
    </row>
    <row r="2040" customFormat="false" ht="15" hidden="false" customHeight="false" outlineLevel="0" collapsed="false">
      <c r="A2040" s="12" t="n">
        <v>45292</v>
      </c>
      <c r="B2040" s="9" t="s">
        <v>93</v>
      </c>
      <c r="C2040" s="3" t="s">
        <v>112</v>
      </c>
      <c r="D2040" s="3" t="n">
        <v>622000</v>
      </c>
      <c r="E2040" s="3" t="s">
        <v>114</v>
      </c>
      <c r="F2040" s="3" t="n">
        <f aca="false">IF(C2040="848630",0,1)</f>
        <v>0</v>
      </c>
    </row>
    <row r="2041" customFormat="false" ht="15" hidden="false" customHeight="false" outlineLevel="0" collapsed="false">
      <c r="A2041" s="12" t="n">
        <v>45292</v>
      </c>
      <c r="B2041" s="9" t="s">
        <v>93</v>
      </c>
      <c r="C2041" s="3" t="s">
        <v>108</v>
      </c>
      <c r="D2041" s="3" t="n">
        <v>32000</v>
      </c>
      <c r="E2041" s="3" t="s">
        <v>114</v>
      </c>
      <c r="F2041" s="3" t="n">
        <f aca="false">IF(C2041="848630",0,1)</f>
        <v>1</v>
      </c>
    </row>
    <row r="2042" customFormat="false" ht="15" hidden="false" customHeight="false" outlineLevel="0" collapsed="false">
      <c r="A2042" s="12" t="n">
        <v>45292</v>
      </c>
      <c r="B2042" s="9" t="s">
        <v>93</v>
      </c>
      <c r="C2042" s="3" t="s">
        <v>108</v>
      </c>
      <c r="D2042" s="3" t="n">
        <v>0</v>
      </c>
      <c r="E2042" s="3" t="s">
        <v>114</v>
      </c>
      <c r="F2042" s="3" t="n">
        <f aca="false">IF(C2042="848630",0,1)</f>
        <v>1</v>
      </c>
    </row>
    <row r="2043" customFormat="false" ht="15" hidden="false" customHeight="false" outlineLevel="0" collapsed="false">
      <c r="A2043" s="12" t="n">
        <v>45292</v>
      </c>
      <c r="B2043" s="9" t="s">
        <v>93</v>
      </c>
      <c r="C2043" s="3" t="s">
        <v>108</v>
      </c>
      <c r="D2043" s="3" t="n">
        <v>5468000</v>
      </c>
      <c r="E2043" s="3" t="s">
        <v>114</v>
      </c>
      <c r="F2043" s="3" t="n">
        <f aca="false">IF(C2043="848630",0,1)</f>
        <v>1</v>
      </c>
    </row>
    <row r="2044" customFormat="false" ht="15" hidden="false" customHeight="false" outlineLevel="0" collapsed="false">
      <c r="A2044" s="12" t="n">
        <v>45292</v>
      </c>
      <c r="B2044" s="9" t="s">
        <v>93</v>
      </c>
      <c r="C2044" s="3" t="s">
        <v>108</v>
      </c>
      <c r="D2044" s="3" t="n">
        <v>742000</v>
      </c>
      <c r="E2044" s="3" t="s">
        <v>114</v>
      </c>
      <c r="F2044" s="3" t="n">
        <f aca="false">IF(C2044="848630",0,1)</f>
        <v>1</v>
      </c>
    </row>
    <row r="2045" customFormat="false" ht="15" hidden="false" customHeight="false" outlineLevel="0" collapsed="false">
      <c r="A2045" s="12" t="n">
        <v>45292</v>
      </c>
      <c r="B2045" s="9" t="s">
        <v>93</v>
      </c>
      <c r="C2045" s="3" t="s">
        <v>108</v>
      </c>
      <c r="D2045" s="3" t="n">
        <v>280000</v>
      </c>
      <c r="E2045" s="3" t="s">
        <v>114</v>
      </c>
      <c r="F2045" s="3" t="n">
        <f aca="false">IF(C2045="848630",0,1)</f>
        <v>1</v>
      </c>
    </row>
    <row r="2046" customFormat="false" ht="15" hidden="false" customHeight="false" outlineLevel="0" collapsed="false">
      <c r="A2046" s="12" t="n">
        <v>45292</v>
      </c>
      <c r="B2046" s="9" t="s">
        <v>93</v>
      </c>
      <c r="C2046" s="3" t="s">
        <v>108</v>
      </c>
      <c r="D2046" s="3" t="n">
        <v>0</v>
      </c>
      <c r="E2046" s="3" t="s">
        <v>114</v>
      </c>
      <c r="F2046" s="3" t="n">
        <f aca="false">IF(C2046="848630",0,1)</f>
        <v>1</v>
      </c>
    </row>
    <row r="2047" customFormat="false" ht="15" hidden="false" customHeight="false" outlineLevel="0" collapsed="false">
      <c r="A2047" s="12" t="n">
        <v>45292</v>
      </c>
      <c r="B2047" s="9" t="s">
        <v>93</v>
      </c>
      <c r="C2047" s="3" t="s">
        <v>108</v>
      </c>
      <c r="D2047" s="3" t="n">
        <v>526000</v>
      </c>
      <c r="E2047" s="3" t="s">
        <v>114</v>
      </c>
      <c r="F2047" s="3" t="n">
        <f aca="false">IF(C2047="848630",0,1)</f>
        <v>1</v>
      </c>
    </row>
    <row r="2048" customFormat="false" ht="15" hidden="false" customHeight="false" outlineLevel="0" collapsed="false">
      <c r="A2048" s="12" t="n">
        <v>45292</v>
      </c>
      <c r="B2048" s="9" t="s">
        <v>93</v>
      </c>
      <c r="C2048" s="3" t="s">
        <v>108</v>
      </c>
      <c r="D2048" s="3" t="n">
        <v>12526000</v>
      </c>
      <c r="E2048" s="3" t="s">
        <v>114</v>
      </c>
      <c r="F2048" s="3" t="n">
        <f aca="false">IF(C2048="848630",0,1)</f>
        <v>1</v>
      </c>
    </row>
    <row r="2049" customFormat="false" ht="15" hidden="false" customHeight="false" outlineLevel="0" collapsed="false">
      <c r="A2049" s="12" t="n">
        <v>45292</v>
      </c>
      <c r="B2049" s="9" t="s">
        <v>93</v>
      </c>
      <c r="C2049" s="3" t="s">
        <v>108</v>
      </c>
      <c r="D2049" s="3" t="n">
        <v>281000</v>
      </c>
      <c r="E2049" s="3" t="s">
        <v>114</v>
      </c>
      <c r="F2049" s="3" t="n">
        <f aca="false">IF(C2049="848630",0,1)</f>
        <v>1</v>
      </c>
    </row>
    <row r="2050" customFormat="false" ht="15" hidden="false" customHeight="false" outlineLevel="0" collapsed="false">
      <c r="A2050" s="12" t="n">
        <v>45292</v>
      </c>
      <c r="B2050" s="9" t="s">
        <v>93</v>
      </c>
      <c r="C2050" s="3" t="s">
        <v>108</v>
      </c>
      <c r="D2050" s="3" t="n">
        <v>2879000</v>
      </c>
      <c r="E2050" s="3" t="s">
        <v>114</v>
      </c>
      <c r="F2050" s="3" t="n">
        <f aca="false">IF(C2050="848630",0,1)</f>
        <v>1</v>
      </c>
    </row>
    <row r="2051" customFormat="false" ht="15" hidden="false" customHeight="false" outlineLevel="0" collapsed="false">
      <c r="A2051" s="12" t="n">
        <v>45292</v>
      </c>
      <c r="B2051" s="9" t="s">
        <v>93</v>
      </c>
      <c r="C2051" s="3" t="s">
        <v>109</v>
      </c>
      <c r="D2051" s="3" t="n">
        <v>2650000</v>
      </c>
      <c r="E2051" s="3" t="s">
        <v>114</v>
      </c>
      <c r="F2051" s="3" t="n">
        <f aca="false">IF(C2051="848630",0,1)</f>
        <v>1</v>
      </c>
    </row>
    <row r="2052" customFormat="false" ht="15" hidden="false" customHeight="false" outlineLevel="0" collapsed="false">
      <c r="A2052" s="12" t="n">
        <v>45292</v>
      </c>
      <c r="B2052" s="9" t="s">
        <v>93</v>
      </c>
      <c r="C2052" s="3" t="s">
        <v>109</v>
      </c>
      <c r="D2052" s="3" t="n">
        <v>17305000</v>
      </c>
      <c r="E2052" s="3" t="s">
        <v>114</v>
      </c>
      <c r="F2052" s="3" t="n">
        <f aca="false">IF(C2052="848630",0,1)</f>
        <v>1</v>
      </c>
    </row>
    <row r="2053" customFormat="false" ht="15" hidden="false" customHeight="false" outlineLevel="0" collapsed="false">
      <c r="A2053" s="12" t="n">
        <v>45292</v>
      </c>
      <c r="B2053" s="9" t="s">
        <v>93</v>
      </c>
      <c r="C2053" s="3" t="s">
        <v>109</v>
      </c>
      <c r="D2053" s="3" t="n">
        <v>20096000</v>
      </c>
      <c r="E2053" s="3" t="s">
        <v>114</v>
      </c>
      <c r="F2053" s="3" t="n">
        <f aca="false">IF(C2053="848630",0,1)</f>
        <v>1</v>
      </c>
    </row>
    <row r="2054" customFormat="false" ht="15" hidden="false" customHeight="false" outlineLevel="0" collapsed="false">
      <c r="A2054" s="12" t="n">
        <v>45292</v>
      </c>
      <c r="B2054" s="9" t="s">
        <v>93</v>
      </c>
      <c r="C2054" s="3" t="s">
        <v>109</v>
      </c>
      <c r="D2054" s="3" t="n">
        <v>6487000</v>
      </c>
      <c r="E2054" s="3" t="s">
        <v>114</v>
      </c>
      <c r="F2054" s="3" t="n">
        <f aca="false">IF(C2054="848630",0,1)</f>
        <v>1</v>
      </c>
    </row>
    <row r="2055" customFormat="false" ht="15" hidden="false" customHeight="false" outlineLevel="0" collapsed="false">
      <c r="A2055" s="12" t="n">
        <v>45292</v>
      </c>
      <c r="B2055" s="9" t="s">
        <v>93</v>
      </c>
      <c r="C2055" s="3" t="s">
        <v>109</v>
      </c>
      <c r="D2055" s="3" t="n">
        <v>751000</v>
      </c>
      <c r="E2055" s="3" t="s">
        <v>114</v>
      </c>
      <c r="F2055" s="3" t="n">
        <f aca="false">IF(C2055="848630",0,1)</f>
        <v>1</v>
      </c>
    </row>
    <row r="2056" customFormat="false" ht="15" hidden="false" customHeight="false" outlineLevel="0" collapsed="false">
      <c r="A2056" s="12" t="n">
        <v>45292</v>
      </c>
      <c r="B2056" s="9" t="s">
        <v>93</v>
      </c>
      <c r="C2056" s="3" t="s">
        <v>109</v>
      </c>
      <c r="D2056" s="3" t="n">
        <v>2183000</v>
      </c>
      <c r="E2056" s="3" t="s">
        <v>114</v>
      </c>
      <c r="F2056" s="3" t="n">
        <f aca="false">IF(C2056="848630",0,1)</f>
        <v>1</v>
      </c>
    </row>
    <row r="2057" customFormat="false" ht="15" hidden="false" customHeight="false" outlineLevel="0" collapsed="false">
      <c r="A2057" s="12" t="n">
        <v>45292</v>
      </c>
      <c r="B2057" s="9" t="s">
        <v>93</v>
      </c>
      <c r="C2057" s="3" t="s">
        <v>109</v>
      </c>
      <c r="D2057" s="3" t="n">
        <v>948000</v>
      </c>
      <c r="E2057" s="3" t="s">
        <v>114</v>
      </c>
      <c r="F2057" s="3" t="n">
        <f aca="false">IF(C2057="848630",0,1)</f>
        <v>1</v>
      </c>
    </row>
    <row r="2058" customFormat="false" ht="15" hidden="false" customHeight="false" outlineLevel="0" collapsed="false">
      <c r="A2058" s="12" t="n">
        <v>45292</v>
      </c>
      <c r="B2058" s="9" t="s">
        <v>93</v>
      </c>
      <c r="C2058" s="3" t="s">
        <v>109</v>
      </c>
      <c r="D2058" s="3" t="n">
        <v>3898000</v>
      </c>
      <c r="E2058" s="3" t="s">
        <v>114</v>
      </c>
      <c r="F2058" s="3" t="n">
        <f aca="false">IF(C2058="848630",0,1)</f>
        <v>1</v>
      </c>
    </row>
    <row r="2059" customFormat="false" ht="15" hidden="false" customHeight="false" outlineLevel="0" collapsed="false">
      <c r="A2059" s="12" t="n">
        <v>45292</v>
      </c>
      <c r="B2059" s="9" t="s">
        <v>93</v>
      </c>
      <c r="C2059" s="3" t="s">
        <v>110</v>
      </c>
      <c r="D2059" s="3" t="n">
        <v>36696000</v>
      </c>
      <c r="E2059" s="3" t="s">
        <v>114</v>
      </c>
      <c r="F2059" s="3" t="n">
        <f aca="false">IF(C2059="848630",0,1)</f>
        <v>1</v>
      </c>
    </row>
    <row r="2060" customFormat="false" ht="15" hidden="false" customHeight="false" outlineLevel="0" collapsed="false">
      <c r="A2060" s="12" t="n">
        <v>45292</v>
      </c>
      <c r="B2060" s="9" t="s">
        <v>93</v>
      </c>
      <c r="C2060" s="3" t="s">
        <v>111</v>
      </c>
      <c r="D2060" s="3" t="n">
        <v>11319000</v>
      </c>
      <c r="E2060" s="3" t="s">
        <v>114</v>
      </c>
      <c r="F2060" s="3" t="n">
        <f aca="false">IF(C2060="848630",0,1)</f>
        <v>1</v>
      </c>
    </row>
    <row r="2061" customFormat="false" ht="15" hidden="false" customHeight="false" outlineLevel="0" collapsed="false">
      <c r="A2061" s="12" t="n">
        <v>45323</v>
      </c>
      <c r="B2061" s="9" t="s">
        <v>93</v>
      </c>
      <c r="C2061" s="3" t="s">
        <v>105</v>
      </c>
      <c r="D2061" s="3" t="n">
        <v>7886000</v>
      </c>
      <c r="E2061" s="3" t="s">
        <v>114</v>
      </c>
      <c r="F2061" s="3" t="n">
        <f aca="false">IF(C2061="848630",0,1)</f>
        <v>1</v>
      </c>
    </row>
    <row r="2062" customFormat="false" ht="15" hidden="false" customHeight="false" outlineLevel="0" collapsed="false">
      <c r="A2062" s="12" t="n">
        <v>45323</v>
      </c>
      <c r="B2062" s="9" t="s">
        <v>93</v>
      </c>
      <c r="C2062" s="3" t="s">
        <v>105</v>
      </c>
      <c r="D2062" s="3" t="n">
        <v>2000</v>
      </c>
      <c r="E2062" s="3" t="s">
        <v>114</v>
      </c>
      <c r="F2062" s="3" t="n">
        <f aca="false">IF(C2062="848630",0,1)</f>
        <v>1</v>
      </c>
    </row>
    <row r="2063" customFormat="false" ht="15" hidden="false" customHeight="false" outlineLevel="0" collapsed="false">
      <c r="A2063" s="12" t="n">
        <v>45323</v>
      </c>
      <c r="B2063" s="9" t="s">
        <v>93</v>
      </c>
      <c r="C2063" s="3" t="s">
        <v>105</v>
      </c>
      <c r="D2063" s="3" t="n">
        <v>0</v>
      </c>
      <c r="E2063" s="3" t="s">
        <v>114</v>
      </c>
      <c r="F2063" s="3" t="n">
        <f aca="false">IF(C2063="848630",0,1)</f>
        <v>1</v>
      </c>
    </row>
    <row r="2064" customFormat="false" ht="15" hidden="false" customHeight="false" outlineLevel="0" collapsed="false">
      <c r="A2064" s="12" t="n">
        <v>45323</v>
      </c>
      <c r="B2064" s="9" t="s">
        <v>93</v>
      </c>
      <c r="C2064" s="3" t="s">
        <v>107</v>
      </c>
      <c r="D2064" s="3" t="n">
        <v>2520000</v>
      </c>
      <c r="E2064" s="3" t="s">
        <v>114</v>
      </c>
      <c r="F2064" s="3" t="n">
        <f aca="false">IF(C2064="848630",0,1)</f>
        <v>1</v>
      </c>
    </row>
    <row r="2065" customFormat="false" ht="15" hidden="false" customHeight="false" outlineLevel="0" collapsed="false">
      <c r="A2065" s="12" t="n">
        <v>45323</v>
      </c>
      <c r="B2065" s="9" t="s">
        <v>93</v>
      </c>
      <c r="C2065" s="3" t="s">
        <v>107</v>
      </c>
      <c r="D2065" s="3" t="n">
        <v>31000</v>
      </c>
      <c r="E2065" s="3" t="s">
        <v>114</v>
      </c>
      <c r="F2065" s="3" t="n">
        <f aca="false">IF(C2065="848630",0,1)</f>
        <v>1</v>
      </c>
    </row>
    <row r="2066" customFormat="false" ht="15" hidden="false" customHeight="false" outlineLevel="0" collapsed="false">
      <c r="A2066" s="12" t="n">
        <v>45323</v>
      </c>
      <c r="B2066" s="9" t="s">
        <v>93</v>
      </c>
      <c r="C2066" s="3" t="s">
        <v>107</v>
      </c>
      <c r="D2066" s="3" t="n">
        <v>2938000</v>
      </c>
      <c r="E2066" s="3" t="s">
        <v>114</v>
      </c>
      <c r="F2066" s="3" t="n">
        <f aca="false">IF(C2066="848630",0,1)</f>
        <v>1</v>
      </c>
    </row>
    <row r="2067" customFormat="false" ht="15" hidden="false" customHeight="false" outlineLevel="0" collapsed="false">
      <c r="A2067" s="12" t="n">
        <v>45323</v>
      </c>
      <c r="B2067" s="9" t="s">
        <v>93</v>
      </c>
      <c r="C2067" s="3" t="s">
        <v>107</v>
      </c>
      <c r="D2067" s="3" t="n">
        <v>91173000</v>
      </c>
      <c r="E2067" s="3" t="s">
        <v>114</v>
      </c>
      <c r="F2067" s="3" t="n">
        <f aca="false">IF(C2067="848630",0,1)</f>
        <v>1</v>
      </c>
    </row>
    <row r="2068" customFormat="false" ht="15" hidden="false" customHeight="false" outlineLevel="0" collapsed="false">
      <c r="A2068" s="12" t="n">
        <v>45323</v>
      </c>
      <c r="B2068" s="9" t="s">
        <v>93</v>
      </c>
      <c r="C2068" s="3" t="s">
        <v>107</v>
      </c>
      <c r="D2068" s="3" t="n">
        <v>6411000</v>
      </c>
      <c r="E2068" s="3" t="s">
        <v>114</v>
      </c>
      <c r="F2068" s="3" t="n">
        <f aca="false">IF(C2068="848630",0,1)</f>
        <v>1</v>
      </c>
    </row>
    <row r="2069" customFormat="false" ht="15" hidden="false" customHeight="false" outlineLevel="0" collapsed="false">
      <c r="A2069" s="12" t="n">
        <v>45323</v>
      </c>
      <c r="B2069" s="9" t="s">
        <v>93</v>
      </c>
      <c r="C2069" s="3" t="s">
        <v>107</v>
      </c>
      <c r="D2069" s="3" t="n">
        <v>21196000</v>
      </c>
      <c r="E2069" s="3" t="s">
        <v>114</v>
      </c>
      <c r="F2069" s="3" t="n">
        <f aca="false">IF(C2069="848630",0,1)</f>
        <v>1</v>
      </c>
    </row>
    <row r="2070" customFormat="false" ht="15" hidden="false" customHeight="false" outlineLevel="0" collapsed="false">
      <c r="A2070" s="12" t="n">
        <v>45323</v>
      </c>
      <c r="B2070" s="9" t="s">
        <v>93</v>
      </c>
      <c r="C2070" s="3" t="s">
        <v>107</v>
      </c>
      <c r="D2070" s="3" t="n">
        <v>145000</v>
      </c>
      <c r="E2070" s="3" t="s">
        <v>114</v>
      </c>
      <c r="F2070" s="3" t="n">
        <f aca="false">IF(C2070="848630",0,1)</f>
        <v>1</v>
      </c>
    </row>
    <row r="2071" customFormat="false" ht="15" hidden="false" customHeight="false" outlineLevel="0" collapsed="false">
      <c r="A2071" s="12" t="n">
        <v>45323</v>
      </c>
      <c r="B2071" s="9" t="s">
        <v>93</v>
      </c>
      <c r="C2071" s="3" t="s">
        <v>107</v>
      </c>
      <c r="D2071" s="3" t="n">
        <v>46616000</v>
      </c>
      <c r="E2071" s="3" t="s">
        <v>114</v>
      </c>
      <c r="F2071" s="3" t="n">
        <f aca="false">IF(C2071="848630",0,1)</f>
        <v>1</v>
      </c>
    </row>
    <row r="2072" customFormat="false" ht="15" hidden="false" customHeight="false" outlineLevel="0" collapsed="false">
      <c r="A2072" s="12" t="n">
        <v>45323</v>
      </c>
      <c r="B2072" s="9" t="s">
        <v>93</v>
      </c>
      <c r="C2072" s="3" t="s">
        <v>107</v>
      </c>
      <c r="D2072" s="3" t="n">
        <v>7520000</v>
      </c>
      <c r="E2072" s="3" t="s">
        <v>114</v>
      </c>
      <c r="F2072" s="3" t="n">
        <f aca="false">IF(C2072="848630",0,1)</f>
        <v>1</v>
      </c>
    </row>
    <row r="2073" customFormat="false" ht="15" hidden="false" customHeight="false" outlineLevel="0" collapsed="false">
      <c r="A2073" s="12" t="n">
        <v>45323</v>
      </c>
      <c r="B2073" s="9" t="s">
        <v>93</v>
      </c>
      <c r="C2073" s="3" t="s">
        <v>107</v>
      </c>
      <c r="D2073" s="3" t="n">
        <v>20463000</v>
      </c>
      <c r="E2073" s="3" t="s">
        <v>114</v>
      </c>
      <c r="F2073" s="3" t="n">
        <f aca="false">IF(C2073="848630",0,1)</f>
        <v>1</v>
      </c>
    </row>
    <row r="2074" customFormat="false" ht="15" hidden="false" customHeight="false" outlineLevel="0" collapsed="false">
      <c r="A2074" s="12" t="n">
        <v>45323</v>
      </c>
      <c r="B2074" s="9" t="s">
        <v>93</v>
      </c>
      <c r="C2074" s="3" t="s">
        <v>107</v>
      </c>
      <c r="D2074" s="3" t="n">
        <v>19036000</v>
      </c>
      <c r="E2074" s="3" t="s">
        <v>114</v>
      </c>
      <c r="F2074" s="3" t="n">
        <f aca="false">IF(C2074="848630",0,1)</f>
        <v>1</v>
      </c>
    </row>
    <row r="2075" customFormat="false" ht="15" hidden="false" customHeight="false" outlineLevel="0" collapsed="false">
      <c r="A2075" s="12" t="n">
        <v>45323</v>
      </c>
      <c r="B2075" s="9" t="s">
        <v>93</v>
      </c>
      <c r="C2075" s="3" t="s">
        <v>107</v>
      </c>
      <c r="D2075" s="3" t="n">
        <v>5266000</v>
      </c>
      <c r="E2075" s="3" t="s">
        <v>114</v>
      </c>
      <c r="F2075" s="3" t="n">
        <f aca="false">IF(C2075="848630",0,1)</f>
        <v>1</v>
      </c>
    </row>
    <row r="2076" customFormat="false" ht="15" hidden="false" customHeight="false" outlineLevel="0" collapsed="false">
      <c r="A2076" s="12" t="n">
        <v>45323</v>
      </c>
      <c r="B2076" s="9" t="s">
        <v>93</v>
      </c>
      <c r="C2076" s="3" t="s">
        <v>107</v>
      </c>
      <c r="D2076" s="3" t="n">
        <v>4836000</v>
      </c>
      <c r="E2076" s="3" t="s">
        <v>114</v>
      </c>
      <c r="F2076" s="3" t="n">
        <f aca="false">IF(C2076="848630",0,1)</f>
        <v>1</v>
      </c>
    </row>
    <row r="2077" customFormat="false" ht="15" hidden="false" customHeight="false" outlineLevel="0" collapsed="false">
      <c r="A2077" s="12" t="n">
        <v>45323</v>
      </c>
      <c r="B2077" s="9" t="s">
        <v>93</v>
      </c>
      <c r="C2077" s="3" t="s">
        <v>107</v>
      </c>
      <c r="D2077" s="3" t="n">
        <v>980000</v>
      </c>
      <c r="E2077" s="3" t="s">
        <v>114</v>
      </c>
      <c r="F2077" s="3" t="n">
        <f aca="false">IF(C2077="848630",0,1)</f>
        <v>1</v>
      </c>
    </row>
    <row r="2078" customFormat="false" ht="15" hidden="false" customHeight="false" outlineLevel="0" collapsed="false">
      <c r="A2078" s="12" t="n">
        <v>45323</v>
      </c>
      <c r="B2078" s="9" t="s">
        <v>93</v>
      </c>
      <c r="C2078" s="3" t="s">
        <v>107</v>
      </c>
      <c r="D2078" s="3" t="n">
        <v>27941000</v>
      </c>
      <c r="E2078" s="3" t="s">
        <v>114</v>
      </c>
      <c r="F2078" s="3" t="n">
        <f aca="false">IF(C2078="848630",0,1)</f>
        <v>1</v>
      </c>
    </row>
    <row r="2079" customFormat="false" ht="15" hidden="false" customHeight="false" outlineLevel="0" collapsed="false">
      <c r="A2079" s="12" t="n">
        <v>45323</v>
      </c>
      <c r="B2079" s="9" t="s">
        <v>93</v>
      </c>
      <c r="C2079" s="3" t="s">
        <v>112</v>
      </c>
      <c r="D2079" s="3" t="n">
        <v>3902000</v>
      </c>
      <c r="E2079" s="3" t="s">
        <v>114</v>
      </c>
      <c r="F2079" s="3" t="n">
        <f aca="false">IF(C2079="848630",0,1)</f>
        <v>0</v>
      </c>
    </row>
    <row r="2080" customFormat="false" ht="15" hidden="false" customHeight="false" outlineLevel="0" collapsed="false">
      <c r="A2080" s="12" t="n">
        <v>45323</v>
      </c>
      <c r="B2080" s="9" t="s">
        <v>93</v>
      </c>
      <c r="C2080" s="3" t="s">
        <v>112</v>
      </c>
      <c r="D2080" s="3" t="n">
        <v>4200000</v>
      </c>
      <c r="E2080" s="3" t="s">
        <v>114</v>
      </c>
      <c r="F2080" s="3" t="n">
        <f aca="false">IF(C2080="848630",0,1)</f>
        <v>0</v>
      </c>
    </row>
    <row r="2081" customFormat="false" ht="15" hidden="false" customHeight="false" outlineLevel="0" collapsed="false">
      <c r="A2081" s="12" t="n">
        <v>45323</v>
      </c>
      <c r="B2081" s="9" t="s">
        <v>93</v>
      </c>
      <c r="C2081" s="3" t="s">
        <v>112</v>
      </c>
      <c r="D2081" s="3" t="n">
        <v>6110000</v>
      </c>
      <c r="E2081" s="3" t="s">
        <v>114</v>
      </c>
      <c r="F2081" s="3" t="n">
        <f aca="false">IF(C2081="848630",0,1)</f>
        <v>0</v>
      </c>
    </row>
    <row r="2082" customFormat="false" ht="15" hidden="false" customHeight="false" outlineLevel="0" collapsed="false">
      <c r="A2082" s="12" t="n">
        <v>45323</v>
      </c>
      <c r="B2082" s="9" t="s">
        <v>93</v>
      </c>
      <c r="C2082" s="3" t="s">
        <v>112</v>
      </c>
      <c r="D2082" s="3" t="n">
        <v>709000</v>
      </c>
      <c r="E2082" s="3" t="s">
        <v>114</v>
      </c>
      <c r="F2082" s="3" t="n">
        <f aca="false">IF(C2082="848630",0,1)</f>
        <v>0</v>
      </c>
    </row>
    <row r="2083" customFormat="false" ht="15" hidden="false" customHeight="false" outlineLevel="0" collapsed="false">
      <c r="A2083" s="12" t="n">
        <v>45323</v>
      </c>
      <c r="B2083" s="9" t="s">
        <v>93</v>
      </c>
      <c r="C2083" s="3" t="s">
        <v>112</v>
      </c>
      <c r="D2083" s="3" t="n">
        <v>0</v>
      </c>
      <c r="E2083" s="3" t="s">
        <v>114</v>
      </c>
      <c r="F2083" s="3" t="n">
        <f aca="false">IF(C2083="848630",0,1)</f>
        <v>0</v>
      </c>
    </row>
    <row r="2084" customFormat="false" ht="15" hidden="false" customHeight="false" outlineLevel="0" collapsed="false">
      <c r="A2084" s="12" t="n">
        <v>45323</v>
      </c>
      <c r="B2084" s="9" t="s">
        <v>93</v>
      </c>
      <c r="C2084" s="3" t="s">
        <v>112</v>
      </c>
      <c r="D2084" s="3" t="n">
        <v>26000</v>
      </c>
      <c r="E2084" s="3" t="s">
        <v>114</v>
      </c>
      <c r="F2084" s="3" t="n">
        <f aca="false">IF(C2084="848630",0,1)</f>
        <v>0</v>
      </c>
    </row>
    <row r="2085" customFormat="false" ht="15" hidden="false" customHeight="false" outlineLevel="0" collapsed="false">
      <c r="A2085" s="12" t="n">
        <v>45323</v>
      </c>
      <c r="B2085" s="9" t="s">
        <v>93</v>
      </c>
      <c r="C2085" s="3" t="s">
        <v>112</v>
      </c>
      <c r="D2085" s="3" t="n">
        <v>355000</v>
      </c>
      <c r="E2085" s="3" t="s">
        <v>114</v>
      </c>
      <c r="F2085" s="3" t="n">
        <f aca="false">IF(C2085="848630",0,1)</f>
        <v>0</v>
      </c>
    </row>
    <row r="2086" customFormat="false" ht="15" hidden="false" customHeight="false" outlineLevel="0" collapsed="false">
      <c r="A2086" s="12" t="n">
        <v>45323</v>
      </c>
      <c r="B2086" s="9" t="s">
        <v>93</v>
      </c>
      <c r="C2086" s="3" t="s">
        <v>108</v>
      </c>
      <c r="D2086" s="3" t="n">
        <v>2809000</v>
      </c>
      <c r="E2086" s="3" t="s">
        <v>114</v>
      </c>
      <c r="F2086" s="3" t="n">
        <f aca="false">IF(C2086="848630",0,1)</f>
        <v>1</v>
      </c>
    </row>
    <row r="2087" customFormat="false" ht="15" hidden="false" customHeight="false" outlineLevel="0" collapsed="false">
      <c r="A2087" s="12" t="n">
        <v>45323</v>
      </c>
      <c r="B2087" s="9" t="s">
        <v>93</v>
      </c>
      <c r="C2087" s="3" t="s">
        <v>108</v>
      </c>
      <c r="D2087" s="3" t="n">
        <v>0</v>
      </c>
      <c r="E2087" s="3" t="s">
        <v>114</v>
      </c>
      <c r="F2087" s="3" t="n">
        <f aca="false">IF(C2087="848630",0,1)</f>
        <v>1</v>
      </c>
    </row>
    <row r="2088" customFormat="false" ht="15" hidden="false" customHeight="false" outlineLevel="0" collapsed="false">
      <c r="A2088" s="12" t="n">
        <v>45323</v>
      </c>
      <c r="B2088" s="9" t="s">
        <v>93</v>
      </c>
      <c r="C2088" s="3" t="s">
        <v>108</v>
      </c>
      <c r="D2088" s="3" t="n">
        <v>3243000</v>
      </c>
      <c r="E2088" s="3" t="s">
        <v>114</v>
      </c>
      <c r="F2088" s="3" t="n">
        <f aca="false">IF(C2088="848630",0,1)</f>
        <v>1</v>
      </c>
    </row>
    <row r="2089" customFormat="false" ht="15" hidden="false" customHeight="false" outlineLevel="0" collapsed="false">
      <c r="A2089" s="12" t="n">
        <v>45323</v>
      </c>
      <c r="B2089" s="9" t="s">
        <v>93</v>
      </c>
      <c r="C2089" s="3" t="s">
        <v>108</v>
      </c>
      <c r="D2089" s="3" t="n">
        <v>8000</v>
      </c>
      <c r="E2089" s="3" t="s">
        <v>114</v>
      </c>
      <c r="F2089" s="3" t="n">
        <f aca="false">IF(C2089="848630",0,1)</f>
        <v>1</v>
      </c>
    </row>
    <row r="2090" customFormat="false" ht="15" hidden="false" customHeight="false" outlineLevel="0" collapsed="false">
      <c r="A2090" s="12" t="n">
        <v>45323</v>
      </c>
      <c r="B2090" s="9" t="s">
        <v>93</v>
      </c>
      <c r="C2090" s="3" t="s">
        <v>108</v>
      </c>
      <c r="D2090" s="3" t="n">
        <v>5506000</v>
      </c>
      <c r="E2090" s="3" t="s">
        <v>114</v>
      </c>
      <c r="F2090" s="3" t="n">
        <f aca="false">IF(C2090="848630",0,1)</f>
        <v>1</v>
      </c>
    </row>
    <row r="2091" customFormat="false" ht="15" hidden="false" customHeight="false" outlineLevel="0" collapsed="false">
      <c r="A2091" s="12" t="n">
        <v>45323</v>
      </c>
      <c r="B2091" s="9" t="s">
        <v>93</v>
      </c>
      <c r="C2091" s="3" t="s">
        <v>108</v>
      </c>
      <c r="D2091" s="3" t="n">
        <v>11779000</v>
      </c>
      <c r="E2091" s="3" t="s">
        <v>114</v>
      </c>
      <c r="F2091" s="3" t="n">
        <f aca="false">IF(C2091="848630",0,1)</f>
        <v>1</v>
      </c>
    </row>
    <row r="2092" customFormat="false" ht="15" hidden="false" customHeight="false" outlineLevel="0" collapsed="false">
      <c r="A2092" s="12" t="n">
        <v>45323</v>
      </c>
      <c r="B2092" s="9" t="s">
        <v>93</v>
      </c>
      <c r="C2092" s="3" t="s">
        <v>108</v>
      </c>
      <c r="D2092" s="3" t="n">
        <v>402000</v>
      </c>
      <c r="E2092" s="3" t="s">
        <v>114</v>
      </c>
      <c r="F2092" s="3" t="n">
        <f aca="false">IF(C2092="848630",0,1)</f>
        <v>1</v>
      </c>
    </row>
    <row r="2093" customFormat="false" ht="15" hidden="false" customHeight="false" outlineLevel="0" collapsed="false">
      <c r="A2093" s="12" t="n">
        <v>45323</v>
      </c>
      <c r="B2093" s="9" t="s">
        <v>93</v>
      </c>
      <c r="C2093" s="3" t="s">
        <v>108</v>
      </c>
      <c r="D2093" s="3" t="n">
        <v>2376000</v>
      </c>
      <c r="E2093" s="3" t="s">
        <v>114</v>
      </c>
      <c r="F2093" s="3" t="n">
        <f aca="false">IF(C2093="848630",0,1)</f>
        <v>1</v>
      </c>
    </row>
    <row r="2094" customFormat="false" ht="15" hidden="false" customHeight="false" outlineLevel="0" collapsed="false">
      <c r="A2094" s="12" t="n">
        <v>45323</v>
      </c>
      <c r="B2094" s="9" t="s">
        <v>93</v>
      </c>
      <c r="C2094" s="3" t="s">
        <v>109</v>
      </c>
      <c r="D2094" s="3" t="n">
        <v>3801000</v>
      </c>
      <c r="E2094" s="3" t="s">
        <v>114</v>
      </c>
      <c r="F2094" s="3" t="n">
        <f aca="false">IF(C2094="848630",0,1)</f>
        <v>1</v>
      </c>
    </row>
    <row r="2095" customFormat="false" ht="15" hidden="false" customHeight="false" outlineLevel="0" collapsed="false">
      <c r="A2095" s="12" t="n">
        <v>45323</v>
      </c>
      <c r="B2095" s="9" t="s">
        <v>93</v>
      </c>
      <c r="C2095" s="3" t="s">
        <v>109</v>
      </c>
      <c r="D2095" s="3" t="n">
        <v>13085000</v>
      </c>
      <c r="E2095" s="3" t="s">
        <v>114</v>
      </c>
      <c r="F2095" s="3" t="n">
        <f aca="false">IF(C2095="848630",0,1)</f>
        <v>1</v>
      </c>
    </row>
    <row r="2096" customFormat="false" ht="15" hidden="false" customHeight="false" outlineLevel="0" collapsed="false">
      <c r="A2096" s="12" t="n">
        <v>45323</v>
      </c>
      <c r="B2096" s="9" t="s">
        <v>93</v>
      </c>
      <c r="C2096" s="3" t="s">
        <v>109</v>
      </c>
      <c r="D2096" s="3" t="n">
        <v>19600000</v>
      </c>
      <c r="E2096" s="3" t="s">
        <v>114</v>
      </c>
      <c r="F2096" s="3" t="n">
        <f aca="false">IF(C2096="848630",0,1)</f>
        <v>1</v>
      </c>
    </row>
    <row r="2097" customFormat="false" ht="15" hidden="false" customHeight="false" outlineLevel="0" collapsed="false">
      <c r="A2097" s="12" t="n">
        <v>45323</v>
      </c>
      <c r="B2097" s="9" t="s">
        <v>93</v>
      </c>
      <c r="C2097" s="3" t="s">
        <v>109</v>
      </c>
      <c r="D2097" s="3" t="n">
        <v>8727000</v>
      </c>
      <c r="E2097" s="3" t="s">
        <v>114</v>
      </c>
      <c r="F2097" s="3" t="n">
        <f aca="false">IF(C2097="848630",0,1)</f>
        <v>1</v>
      </c>
    </row>
    <row r="2098" customFormat="false" ht="15" hidden="false" customHeight="false" outlineLevel="0" collapsed="false">
      <c r="A2098" s="12" t="n">
        <v>45323</v>
      </c>
      <c r="B2098" s="9" t="s">
        <v>93</v>
      </c>
      <c r="C2098" s="3" t="s">
        <v>109</v>
      </c>
      <c r="D2098" s="3" t="n">
        <v>99000</v>
      </c>
      <c r="E2098" s="3" t="s">
        <v>114</v>
      </c>
      <c r="F2098" s="3" t="n">
        <f aca="false">IF(C2098="848630",0,1)</f>
        <v>1</v>
      </c>
    </row>
    <row r="2099" customFormat="false" ht="15" hidden="false" customHeight="false" outlineLevel="0" collapsed="false">
      <c r="A2099" s="12" t="n">
        <v>45323</v>
      </c>
      <c r="B2099" s="9" t="s">
        <v>93</v>
      </c>
      <c r="C2099" s="3" t="s">
        <v>109</v>
      </c>
      <c r="D2099" s="3" t="n">
        <v>1776000</v>
      </c>
      <c r="E2099" s="3" t="s">
        <v>114</v>
      </c>
      <c r="F2099" s="3" t="n">
        <f aca="false">IF(C2099="848630",0,1)</f>
        <v>1</v>
      </c>
    </row>
    <row r="2100" customFormat="false" ht="15" hidden="false" customHeight="false" outlineLevel="0" collapsed="false">
      <c r="A2100" s="12" t="n">
        <v>45323</v>
      </c>
      <c r="B2100" s="9" t="s">
        <v>93</v>
      </c>
      <c r="C2100" s="3" t="s">
        <v>109</v>
      </c>
      <c r="D2100" s="3" t="n">
        <v>2357000</v>
      </c>
      <c r="E2100" s="3" t="s">
        <v>114</v>
      </c>
      <c r="F2100" s="3" t="n">
        <f aca="false">IF(C2100="848630",0,1)</f>
        <v>1</v>
      </c>
    </row>
    <row r="2101" customFormat="false" ht="15" hidden="false" customHeight="false" outlineLevel="0" collapsed="false">
      <c r="A2101" s="12" t="n">
        <v>45323</v>
      </c>
      <c r="B2101" s="9" t="s">
        <v>93</v>
      </c>
      <c r="C2101" s="3" t="s">
        <v>109</v>
      </c>
      <c r="D2101" s="3" t="n">
        <v>6841000</v>
      </c>
      <c r="E2101" s="3" t="s">
        <v>114</v>
      </c>
      <c r="F2101" s="3" t="n">
        <f aca="false">IF(C2101="848630",0,1)</f>
        <v>1</v>
      </c>
    </row>
    <row r="2102" customFormat="false" ht="15" hidden="false" customHeight="false" outlineLevel="0" collapsed="false">
      <c r="A2102" s="12" t="n">
        <v>45323</v>
      </c>
      <c r="B2102" s="9" t="s">
        <v>93</v>
      </c>
      <c r="C2102" s="3" t="s">
        <v>110</v>
      </c>
      <c r="D2102" s="3" t="n">
        <v>30984000</v>
      </c>
      <c r="E2102" s="3" t="s">
        <v>114</v>
      </c>
      <c r="F2102" s="3" t="n">
        <f aca="false">IF(C2102="848630",0,1)</f>
        <v>1</v>
      </c>
    </row>
    <row r="2103" customFormat="false" ht="15" hidden="false" customHeight="false" outlineLevel="0" collapsed="false">
      <c r="A2103" s="12" t="n">
        <v>45323</v>
      </c>
      <c r="B2103" s="9" t="s">
        <v>93</v>
      </c>
      <c r="C2103" s="3" t="s">
        <v>111</v>
      </c>
      <c r="D2103" s="3" t="n">
        <v>10038000</v>
      </c>
      <c r="E2103" s="3" t="s">
        <v>114</v>
      </c>
      <c r="F2103" s="3" t="n">
        <f aca="false">IF(C2103="848630",0,1)</f>
        <v>1</v>
      </c>
    </row>
    <row r="2104" customFormat="false" ht="15" hidden="false" customHeight="false" outlineLevel="0" collapsed="false">
      <c r="A2104" s="12" t="n">
        <v>45352</v>
      </c>
      <c r="B2104" s="9" t="s">
        <v>93</v>
      </c>
      <c r="C2104" s="3" t="s">
        <v>105</v>
      </c>
      <c r="D2104" s="3" t="n">
        <v>19077000</v>
      </c>
      <c r="E2104" s="3" t="s">
        <v>114</v>
      </c>
      <c r="F2104" s="3" t="n">
        <f aca="false">IF(C2104="848630",0,1)</f>
        <v>1</v>
      </c>
    </row>
    <row r="2105" customFormat="false" ht="15" hidden="false" customHeight="false" outlineLevel="0" collapsed="false">
      <c r="A2105" s="12" t="n">
        <v>45352</v>
      </c>
      <c r="B2105" s="9" t="s">
        <v>93</v>
      </c>
      <c r="C2105" s="3" t="s">
        <v>105</v>
      </c>
      <c r="D2105" s="3" t="n">
        <v>1026000</v>
      </c>
      <c r="E2105" s="3" t="s">
        <v>114</v>
      </c>
      <c r="F2105" s="3" t="n">
        <f aca="false">IF(C2105="848630",0,1)</f>
        <v>1</v>
      </c>
    </row>
    <row r="2106" customFormat="false" ht="15" hidden="false" customHeight="false" outlineLevel="0" collapsed="false">
      <c r="A2106" s="12" t="n">
        <v>45352</v>
      </c>
      <c r="B2106" s="9" t="s">
        <v>93</v>
      </c>
      <c r="C2106" s="3" t="s">
        <v>105</v>
      </c>
      <c r="D2106" s="3" t="n">
        <v>10000</v>
      </c>
      <c r="E2106" s="3" t="s">
        <v>114</v>
      </c>
      <c r="F2106" s="3" t="n">
        <f aca="false">IF(C2106="848630",0,1)</f>
        <v>1</v>
      </c>
    </row>
    <row r="2107" customFormat="false" ht="15" hidden="false" customHeight="false" outlineLevel="0" collapsed="false">
      <c r="A2107" s="12" t="n">
        <v>45352</v>
      </c>
      <c r="B2107" s="9" t="s">
        <v>93</v>
      </c>
      <c r="C2107" s="3" t="s">
        <v>107</v>
      </c>
      <c r="D2107" s="3" t="n">
        <v>1000</v>
      </c>
      <c r="E2107" s="3" t="s">
        <v>114</v>
      </c>
      <c r="F2107" s="3" t="n">
        <f aca="false">IF(C2107="848630",0,1)</f>
        <v>1</v>
      </c>
    </row>
    <row r="2108" customFormat="false" ht="15" hidden="false" customHeight="false" outlineLevel="0" collapsed="false">
      <c r="A2108" s="12" t="n">
        <v>45352</v>
      </c>
      <c r="B2108" s="9" t="s">
        <v>93</v>
      </c>
      <c r="C2108" s="3" t="s">
        <v>107</v>
      </c>
      <c r="D2108" s="3" t="n">
        <v>2274000</v>
      </c>
      <c r="E2108" s="3" t="s">
        <v>114</v>
      </c>
      <c r="F2108" s="3" t="n">
        <f aca="false">IF(C2108="848630",0,1)</f>
        <v>1</v>
      </c>
    </row>
    <row r="2109" customFormat="false" ht="15" hidden="false" customHeight="false" outlineLevel="0" collapsed="false">
      <c r="A2109" s="12" t="n">
        <v>45352</v>
      </c>
      <c r="B2109" s="9" t="s">
        <v>93</v>
      </c>
      <c r="C2109" s="3" t="s">
        <v>107</v>
      </c>
      <c r="D2109" s="3" t="n">
        <v>8173000</v>
      </c>
      <c r="E2109" s="3" t="s">
        <v>114</v>
      </c>
      <c r="F2109" s="3" t="n">
        <f aca="false">IF(C2109="848630",0,1)</f>
        <v>1</v>
      </c>
    </row>
    <row r="2110" customFormat="false" ht="15" hidden="false" customHeight="false" outlineLevel="0" collapsed="false">
      <c r="A2110" s="12" t="n">
        <v>45352</v>
      </c>
      <c r="B2110" s="9" t="s">
        <v>93</v>
      </c>
      <c r="C2110" s="3" t="s">
        <v>107</v>
      </c>
      <c r="D2110" s="3" t="n">
        <v>5756000</v>
      </c>
      <c r="E2110" s="3" t="s">
        <v>114</v>
      </c>
      <c r="F2110" s="3" t="n">
        <f aca="false">IF(C2110="848630",0,1)</f>
        <v>1</v>
      </c>
    </row>
    <row r="2111" customFormat="false" ht="15" hidden="false" customHeight="false" outlineLevel="0" collapsed="false">
      <c r="A2111" s="12" t="n">
        <v>45352</v>
      </c>
      <c r="B2111" s="9" t="s">
        <v>93</v>
      </c>
      <c r="C2111" s="3" t="s">
        <v>107</v>
      </c>
      <c r="D2111" s="3" t="n">
        <v>69080000</v>
      </c>
      <c r="E2111" s="3" t="s">
        <v>114</v>
      </c>
      <c r="F2111" s="3" t="n">
        <f aca="false">IF(C2111="848630",0,1)</f>
        <v>1</v>
      </c>
    </row>
    <row r="2112" customFormat="false" ht="15" hidden="false" customHeight="false" outlineLevel="0" collapsed="false">
      <c r="A2112" s="12" t="n">
        <v>45352</v>
      </c>
      <c r="B2112" s="9" t="s">
        <v>93</v>
      </c>
      <c r="C2112" s="3" t="s">
        <v>107</v>
      </c>
      <c r="D2112" s="3" t="n">
        <v>16203000</v>
      </c>
      <c r="E2112" s="3" t="s">
        <v>114</v>
      </c>
      <c r="F2112" s="3" t="n">
        <f aca="false">IF(C2112="848630",0,1)</f>
        <v>1</v>
      </c>
    </row>
    <row r="2113" customFormat="false" ht="15" hidden="false" customHeight="false" outlineLevel="0" collapsed="false">
      <c r="A2113" s="12" t="n">
        <v>45352</v>
      </c>
      <c r="B2113" s="9" t="s">
        <v>93</v>
      </c>
      <c r="C2113" s="3" t="s">
        <v>107</v>
      </c>
      <c r="D2113" s="3" t="n">
        <v>20159000</v>
      </c>
      <c r="E2113" s="3" t="s">
        <v>114</v>
      </c>
      <c r="F2113" s="3" t="n">
        <f aca="false">IF(C2113="848630",0,1)</f>
        <v>1</v>
      </c>
    </row>
    <row r="2114" customFormat="false" ht="15" hidden="false" customHeight="false" outlineLevel="0" collapsed="false">
      <c r="A2114" s="12" t="n">
        <v>45352</v>
      </c>
      <c r="B2114" s="9" t="s">
        <v>93</v>
      </c>
      <c r="C2114" s="3" t="s">
        <v>107</v>
      </c>
      <c r="D2114" s="3" t="n">
        <v>137000</v>
      </c>
      <c r="E2114" s="3" t="s">
        <v>114</v>
      </c>
      <c r="F2114" s="3" t="n">
        <f aca="false">IF(C2114="848630",0,1)</f>
        <v>1</v>
      </c>
    </row>
    <row r="2115" customFormat="false" ht="15" hidden="false" customHeight="false" outlineLevel="0" collapsed="false">
      <c r="A2115" s="12" t="n">
        <v>45352</v>
      </c>
      <c r="B2115" s="9" t="s">
        <v>93</v>
      </c>
      <c r="C2115" s="3" t="s">
        <v>107</v>
      </c>
      <c r="D2115" s="3" t="n">
        <v>38311000</v>
      </c>
      <c r="E2115" s="3" t="s">
        <v>114</v>
      </c>
      <c r="F2115" s="3" t="n">
        <f aca="false">IF(C2115="848630",0,1)</f>
        <v>1</v>
      </c>
    </row>
    <row r="2116" customFormat="false" ht="15" hidden="false" customHeight="false" outlineLevel="0" collapsed="false">
      <c r="A2116" s="12" t="n">
        <v>45352</v>
      </c>
      <c r="B2116" s="9" t="s">
        <v>93</v>
      </c>
      <c r="C2116" s="3" t="s">
        <v>107</v>
      </c>
      <c r="D2116" s="3" t="n">
        <v>474000</v>
      </c>
      <c r="E2116" s="3" t="s">
        <v>114</v>
      </c>
      <c r="F2116" s="3" t="n">
        <f aca="false">IF(C2116="848630",0,1)</f>
        <v>1</v>
      </c>
    </row>
    <row r="2117" customFormat="false" ht="15" hidden="false" customHeight="false" outlineLevel="0" collapsed="false">
      <c r="A2117" s="12" t="n">
        <v>45352</v>
      </c>
      <c r="B2117" s="9" t="s">
        <v>93</v>
      </c>
      <c r="C2117" s="3" t="s">
        <v>107</v>
      </c>
      <c r="D2117" s="3" t="n">
        <v>12191000</v>
      </c>
      <c r="E2117" s="3" t="s">
        <v>114</v>
      </c>
      <c r="F2117" s="3" t="n">
        <f aca="false">IF(C2117="848630",0,1)</f>
        <v>1</v>
      </c>
    </row>
    <row r="2118" customFormat="false" ht="15" hidden="false" customHeight="false" outlineLevel="0" collapsed="false">
      <c r="A2118" s="12" t="n">
        <v>45352</v>
      </c>
      <c r="B2118" s="9" t="s">
        <v>93</v>
      </c>
      <c r="C2118" s="3" t="s">
        <v>107</v>
      </c>
      <c r="D2118" s="3" t="n">
        <v>16399000</v>
      </c>
      <c r="E2118" s="3" t="s">
        <v>114</v>
      </c>
      <c r="F2118" s="3" t="n">
        <f aca="false">IF(C2118="848630",0,1)</f>
        <v>1</v>
      </c>
    </row>
    <row r="2119" customFormat="false" ht="15" hidden="false" customHeight="false" outlineLevel="0" collapsed="false">
      <c r="A2119" s="12" t="n">
        <v>45352</v>
      </c>
      <c r="B2119" s="9" t="s">
        <v>93</v>
      </c>
      <c r="C2119" s="3" t="s">
        <v>107</v>
      </c>
      <c r="D2119" s="3" t="n">
        <v>2600000</v>
      </c>
      <c r="E2119" s="3" t="s">
        <v>114</v>
      </c>
      <c r="F2119" s="3" t="n">
        <f aca="false">IF(C2119="848630",0,1)</f>
        <v>1</v>
      </c>
    </row>
    <row r="2120" customFormat="false" ht="15" hidden="false" customHeight="false" outlineLevel="0" collapsed="false">
      <c r="A2120" s="12" t="n">
        <v>45352</v>
      </c>
      <c r="B2120" s="9" t="s">
        <v>93</v>
      </c>
      <c r="C2120" s="3" t="s">
        <v>107</v>
      </c>
      <c r="D2120" s="3" t="n">
        <v>2977000</v>
      </c>
      <c r="E2120" s="3" t="s">
        <v>114</v>
      </c>
      <c r="F2120" s="3" t="n">
        <f aca="false">IF(C2120="848630",0,1)</f>
        <v>1</v>
      </c>
    </row>
    <row r="2121" customFormat="false" ht="15" hidden="false" customHeight="false" outlineLevel="0" collapsed="false">
      <c r="A2121" s="12" t="n">
        <v>45352</v>
      </c>
      <c r="B2121" s="9" t="s">
        <v>93</v>
      </c>
      <c r="C2121" s="3" t="s">
        <v>107</v>
      </c>
      <c r="D2121" s="3" t="n">
        <v>2139000</v>
      </c>
      <c r="E2121" s="3" t="s">
        <v>114</v>
      </c>
      <c r="F2121" s="3" t="n">
        <f aca="false">IF(C2121="848630",0,1)</f>
        <v>1</v>
      </c>
    </row>
    <row r="2122" customFormat="false" ht="15" hidden="false" customHeight="false" outlineLevel="0" collapsed="false">
      <c r="A2122" s="12" t="n">
        <v>45352</v>
      </c>
      <c r="B2122" s="9" t="s">
        <v>93</v>
      </c>
      <c r="C2122" s="3" t="s">
        <v>107</v>
      </c>
      <c r="D2122" s="3" t="n">
        <v>23150000</v>
      </c>
      <c r="E2122" s="3" t="s">
        <v>114</v>
      </c>
      <c r="F2122" s="3" t="n">
        <f aca="false">IF(C2122="848630",0,1)</f>
        <v>1</v>
      </c>
    </row>
    <row r="2123" customFormat="false" ht="15" hidden="false" customHeight="false" outlineLevel="0" collapsed="false">
      <c r="A2123" s="12" t="n">
        <v>45352</v>
      </c>
      <c r="B2123" s="9" t="s">
        <v>93</v>
      </c>
      <c r="C2123" s="3" t="s">
        <v>112</v>
      </c>
      <c r="D2123" s="3" t="n">
        <v>2260000</v>
      </c>
      <c r="E2123" s="3" t="s">
        <v>114</v>
      </c>
      <c r="F2123" s="3" t="n">
        <f aca="false">IF(C2123="848630",0,1)</f>
        <v>0</v>
      </c>
    </row>
    <row r="2124" customFormat="false" ht="15" hidden="false" customHeight="false" outlineLevel="0" collapsed="false">
      <c r="A2124" s="12" t="n">
        <v>45352</v>
      </c>
      <c r="B2124" s="9" t="s">
        <v>93</v>
      </c>
      <c r="C2124" s="3" t="s">
        <v>112</v>
      </c>
      <c r="D2124" s="3" t="n">
        <v>554000</v>
      </c>
      <c r="E2124" s="3" t="s">
        <v>114</v>
      </c>
      <c r="F2124" s="3" t="n">
        <f aca="false">IF(C2124="848630",0,1)</f>
        <v>0</v>
      </c>
    </row>
    <row r="2125" customFormat="false" ht="15" hidden="false" customHeight="false" outlineLevel="0" collapsed="false">
      <c r="A2125" s="12" t="n">
        <v>45352</v>
      </c>
      <c r="B2125" s="9" t="s">
        <v>93</v>
      </c>
      <c r="C2125" s="3" t="s">
        <v>112</v>
      </c>
      <c r="D2125" s="3" t="n">
        <v>0</v>
      </c>
      <c r="E2125" s="3" t="s">
        <v>114</v>
      </c>
      <c r="F2125" s="3" t="n">
        <f aca="false">IF(C2125="848630",0,1)</f>
        <v>0</v>
      </c>
    </row>
    <row r="2126" customFormat="false" ht="15" hidden="false" customHeight="false" outlineLevel="0" collapsed="false">
      <c r="A2126" s="12" t="n">
        <v>45352</v>
      </c>
      <c r="B2126" s="9" t="s">
        <v>93</v>
      </c>
      <c r="C2126" s="3" t="s">
        <v>112</v>
      </c>
      <c r="D2126" s="3" t="n">
        <v>0</v>
      </c>
      <c r="E2126" s="3" t="s">
        <v>114</v>
      </c>
      <c r="F2126" s="3" t="n">
        <f aca="false">IF(C2126="848630",0,1)</f>
        <v>0</v>
      </c>
    </row>
    <row r="2127" customFormat="false" ht="15" hidden="false" customHeight="false" outlineLevel="0" collapsed="false">
      <c r="A2127" s="12" t="n">
        <v>45352</v>
      </c>
      <c r="B2127" s="9" t="s">
        <v>93</v>
      </c>
      <c r="C2127" s="3" t="s">
        <v>112</v>
      </c>
      <c r="D2127" s="3" t="n">
        <v>53000</v>
      </c>
      <c r="E2127" s="3" t="s">
        <v>114</v>
      </c>
      <c r="F2127" s="3" t="n">
        <f aca="false">IF(C2127="848630",0,1)</f>
        <v>0</v>
      </c>
    </row>
    <row r="2128" customFormat="false" ht="15" hidden="false" customHeight="false" outlineLevel="0" collapsed="false">
      <c r="A2128" s="12" t="n">
        <v>45352</v>
      </c>
      <c r="B2128" s="9" t="s">
        <v>93</v>
      </c>
      <c r="C2128" s="3" t="s">
        <v>112</v>
      </c>
      <c r="D2128" s="3" t="n">
        <v>0</v>
      </c>
      <c r="E2128" s="3" t="s">
        <v>114</v>
      </c>
      <c r="F2128" s="3" t="n">
        <f aca="false">IF(C2128="848630",0,1)</f>
        <v>0</v>
      </c>
    </row>
    <row r="2129" customFormat="false" ht="15" hidden="false" customHeight="false" outlineLevel="0" collapsed="false">
      <c r="A2129" s="12" t="n">
        <v>45352</v>
      </c>
      <c r="B2129" s="9" t="s">
        <v>93</v>
      </c>
      <c r="C2129" s="3" t="s">
        <v>112</v>
      </c>
      <c r="D2129" s="3" t="n">
        <v>0</v>
      </c>
      <c r="E2129" s="3" t="s">
        <v>114</v>
      </c>
      <c r="F2129" s="3" t="n">
        <f aca="false">IF(C2129="848630",0,1)</f>
        <v>0</v>
      </c>
    </row>
    <row r="2130" customFormat="false" ht="15" hidden="false" customHeight="false" outlineLevel="0" collapsed="false">
      <c r="A2130" s="12" t="n">
        <v>45352</v>
      </c>
      <c r="B2130" s="9" t="s">
        <v>93</v>
      </c>
      <c r="C2130" s="3" t="s">
        <v>108</v>
      </c>
      <c r="D2130" s="3" t="n">
        <v>1814000</v>
      </c>
      <c r="E2130" s="3" t="s">
        <v>114</v>
      </c>
      <c r="F2130" s="3" t="n">
        <f aca="false">IF(C2130="848630",0,1)</f>
        <v>1</v>
      </c>
    </row>
    <row r="2131" customFormat="false" ht="15" hidden="false" customHeight="false" outlineLevel="0" collapsed="false">
      <c r="A2131" s="12" t="n">
        <v>45352</v>
      </c>
      <c r="B2131" s="9" t="s">
        <v>93</v>
      </c>
      <c r="C2131" s="3" t="s">
        <v>108</v>
      </c>
      <c r="D2131" s="3" t="n">
        <v>412000</v>
      </c>
      <c r="E2131" s="3" t="s">
        <v>114</v>
      </c>
      <c r="F2131" s="3" t="n">
        <f aca="false">IF(C2131="848630",0,1)</f>
        <v>1</v>
      </c>
    </row>
    <row r="2132" customFormat="false" ht="15" hidden="false" customHeight="false" outlineLevel="0" collapsed="false">
      <c r="A2132" s="12" t="n">
        <v>45352</v>
      </c>
      <c r="B2132" s="9" t="s">
        <v>93</v>
      </c>
      <c r="C2132" s="3" t="s">
        <v>108</v>
      </c>
      <c r="D2132" s="3" t="n">
        <v>25877000</v>
      </c>
      <c r="E2132" s="3" t="s">
        <v>114</v>
      </c>
      <c r="F2132" s="3" t="n">
        <f aca="false">IF(C2132="848630",0,1)</f>
        <v>1</v>
      </c>
    </row>
    <row r="2133" customFormat="false" ht="15" hidden="false" customHeight="false" outlineLevel="0" collapsed="false">
      <c r="A2133" s="12" t="n">
        <v>45352</v>
      </c>
      <c r="B2133" s="9" t="s">
        <v>93</v>
      </c>
      <c r="C2133" s="3" t="s">
        <v>108</v>
      </c>
      <c r="D2133" s="3" t="n">
        <v>1225000</v>
      </c>
      <c r="E2133" s="3" t="s">
        <v>114</v>
      </c>
      <c r="F2133" s="3" t="n">
        <f aca="false">IF(C2133="848630",0,1)</f>
        <v>1</v>
      </c>
    </row>
    <row r="2134" customFormat="false" ht="15" hidden="false" customHeight="false" outlineLevel="0" collapsed="false">
      <c r="A2134" s="12" t="n">
        <v>45352</v>
      </c>
      <c r="B2134" s="9" t="s">
        <v>93</v>
      </c>
      <c r="C2134" s="3" t="s">
        <v>108</v>
      </c>
      <c r="D2134" s="3" t="n">
        <v>642000</v>
      </c>
      <c r="E2134" s="3" t="s">
        <v>114</v>
      </c>
      <c r="F2134" s="3" t="n">
        <f aca="false">IF(C2134="848630",0,1)</f>
        <v>1</v>
      </c>
    </row>
    <row r="2135" customFormat="false" ht="15" hidden="false" customHeight="false" outlineLevel="0" collapsed="false">
      <c r="A2135" s="12" t="n">
        <v>45352</v>
      </c>
      <c r="B2135" s="9" t="s">
        <v>93</v>
      </c>
      <c r="C2135" s="3" t="s">
        <v>108</v>
      </c>
      <c r="D2135" s="3" t="n">
        <v>2497000</v>
      </c>
      <c r="E2135" s="3" t="s">
        <v>114</v>
      </c>
      <c r="F2135" s="3" t="n">
        <f aca="false">IF(C2135="848630",0,1)</f>
        <v>1</v>
      </c>
    </row>
    <row r="2136" customFormat="false" ht="15" hidden="false" customHeight="false" outlineLevel="0" collapsed="false">
      <c r="A2136" s="12" t="n">
        <v>45352</v>
      </c>
      <c r="B2136" s="9" t="s">
        <v>93</v>
      </c>
      <c r="C2136" s="3" t="s">
        <v>108</v>
      </c>
      <c r="D2136" s="3" t="n">
        <v>18045000</v>
      </c>
      <c r="E2136" s="3" t="s">
        <v>114</v>
      </c>
      <c r="F2136" s="3" t="n">
        <f aca="false">IF(C2136="848630",0,1)</f>
        <v>1</v>
      </c>
    </row>
    <row r="2137" customFormat="false" ht="15" hidden="false" customHeight="false" outlineLevel="0" collapsed="false">
      <c r="A2137" s="12" t="n">
        <v>45352</v>
      </c>
      <c r="B2137" s="9" t="s">
        <v>93</v>
      </c>
      <c r="C2137" s="3" t="s">
        <v>108</v>
      </c>
      <c r="D2137" s="3" t="n">
        <v>1351000</v>
      </c>
      <c r="E2137" s="3" t="s">
        <v>114</v>
      </c>
      <c r="F2137" s="3" t="n">
        <f aca="false">IF(C2137="848630",0,1)</f>
        <v>1</v>
      </c>
    </row>
    <row r="2138" customFormat="false" ht="15" hidden="false" customHeight="false" outlineLevel="0" collapsed="false">
      <c r="A2138" s="12" t="n">
        <v>45352</v>
      </c>
      <c r="B2138" s="9" t="s">
        <v>93</v>
      </c>
      <c r="C2138" s="3" t="s">
        <v>108</v>
      </c>
      <c r="D2138" s="3" t="n">
        <v>3104000</v>
      </c>
      <c r="E2138" s="3" t="s">
        <v>114</v>
      </c>
      <c r="F2138" s="3" t="n">
        <f aca="false">IF(C2138="848630",0,1)</f>
        <v>1</v>
      </c>
    </row>
    <row r="2139" customFormat="false" ht="15" hidden="false" customHeight="false" outlineLevel="0" collapsed="false">
      <c r="A2139" s="12" t="n">
        <v>45352</v>
      </c>
      <c r="B2139" s="9" t="s">
        <v>93</v>
      </c>
      <c r="C2139" s="3" t="s">
        <v>109</v>
      </c>
      <c r="D2139" s="3" t="n">
        <v>2405000</v>
      </c>
      <c r="E2139" s="3" t="s">
        <v>114</v>
      </c>
      <c r="F2139" s="3" t="n">
        <f aca="false">IF(C2139="848630",0,1)</f>
        <v>1</v>
      </c>
    </row>
    <row r="2140" customFormat="false" ht="15" hidden="false" customHeight="false" outlineLevel="0" collapsed="false">
      <c r="A2140" s="12" t="n">
        <v>45352</v>
      </c>
      <c r="B2140" s="9" t="s">
        <v>93</v>
      </c>
      <c r="C2140" s="3" t="s">
        <v>109</v>
      </c>
      <c r="D2140" s="3" t="n">
        <v>11283000</v>
      </c>
      <c r="E2140" s="3" t="s">
        <v>114</v>
      </c>
      <c r="F2140" s="3" t="n">
        <f aca="false">IF(C2140="848630",0,1)</f>
        <v>1</v>
      </c>
    </row>
    <row r="2141" customFormat="false" ht="15" hidden="false" customHeight="false" outlineLevel="0" collapsed="false">
      <c r="A2141" s="12" t="n">
        <v>45352</v>
      </c>
      <c r="B2141" s="9" t="s">
        <v>93</v>
      </c>
      <c r="C2141" s="3" t="s">
        <v>109</v>
      </c>
      <c r="D2141" s="3" t="n">
        <v>22755000</v>
      </c>
      <c r="E2141" s="3" t="s">
        <v>114</v>
      </c>
      <c r="F2141" s="3" t="n">
        <f aca="false">IF(C2141="848630",0,1)</f>
        <v>1</v>
      </c>
    </row>
    <row r="2142" customFormat="false" ht="15" hidden="false" customHeight="false" outlineLevel="0" collapsed="false">
      <c r="A2142" s="12" t="n">
        <v>45352</v>
      </c>
      <c r="B2142" s="9" t="s">
        <v>93</v>
      </c>
      <c r="C2142" s="3" t="s">
        <v>109</v>
      </c>
      <c r="D2142" s="3" t="n">
        <v>7673000</v>
      </c>
      <c r="E2142" s="3" t="s">
        <v>114</v>
      </c>
      <c r="F2142" s="3" t="n">
        <f aca="false">IF(C2142="848630",0,1)</f>
        <v>1</v>
      </c>
    </row>
    <row r="2143" customFormat="false" ht="15" hidden="false" customHeight="false" outlineLevel="0" collapsed="false">
      <c r="A2143" s="12" t="n">
        <v>45352</v>
      </c>
      <c r="B2143" s="9" t="s">
        <v>93</v>
      </c>
      <c r="C2143" s="3" t="s">
        <v>109</v>
      </c>
      <c r="D2143" s="3" t="n">
        <v>2444000</v>
      </c>
      <c r="E2143" s="3" t="s">
        <v>114</v>
      </c>
      <c r="F2143" s="3" t="n">
        <f aca="false">IF(C2143="848630",0,1)</f>
        <v>1</v>
      </c>
    </row>
    <row r="2144" customFormat="false" ht="15" hidden="false" customHeight="false" outlineLevel="0" collapsed="false">
      <c r="A2144" s="12" t="n">
        <v>45352</v>
      </c>
      <c r="B2144" s="9" t="s">
        <v>93</v>
      </c>
      <c r="C2144" s="3" t="s">
        <v>109</v>
      </c>
      <c r="D2144" s="3" t="n">
        <v>2084000</v>
      </c>
      <c r="E2144" s="3" t="s">
        <v>114</v>
      </c>
      <c r="F2144" s="3" t="n">
        <f aca="false">IF(C2144="848630",0,1)</f>
        <v>1</v>
      </c>
    </row>
    <row r="2145" customFormat="false" ht="15" hidden="false" customHeight="false" outlineLevel="0" collapsed="false">
      <c r="A2145" s="12" t="n">
        <v>45352</v>
      </c>
      <c r="B2145" s="9" t="s">
        <v>93</v>
      </c>
      <c r="C2145" s="3" t="s">
        <v>109</v>
      </c>
      <c r="D2145" s="3" t="n">
        <v>1528000</v>
      </c>
      <c r="E2145" s="3" t="s">
        <v>114</v>
      </c>
      <c r="F2145" s="3" t="n">
        <f aca="false">IF(C2145="848630",0,1)</f>
        <v>1</v>
      </c>
    </row>
    <row r="2146" customFormat="false" ht="15" hidden="false" customHeight="false" outlineLevel="0" collapsed="false">
      <c r="A2146" s="12" t="n">
        <v>45352</v>
      </c>
      <c r="B2146" s="9" t="s">
        <v>93</v>
      </c>
      <c r="C2146" s="3" t="s">
        <v>109</v>
      </c>
      <c r="D2146" s="3" t="n">
        <v>5569000</v>
      </c>
      <c r="E2146" s="3" t="s">
        <v>114</v>
      </c>
      <c r="F2146" s="3" t="n">
        <f aca="false">IF(C2146="848630",0,1)</f>
        <v>1</v>
      </c>
    </row>
    <row r="2147" customFormat="false" ht="15" hidden="false" customHeight="false" outlineLevel="0" collapsed="false">
      <c r="A2147" s="12" t="n">
        <v>45352</v>
      </c>
      <c r="B2147" s="9" t="s">
        <v>93</v>
      </c>
      <c r="C2147" s="3" t="s">
        <v>110</v>
      </c>
      <c r="D2147" s="3" t="n">
        <v>42284000</v>
      </c>
      <c r="E2147" s="3" t="s">
        <v>114</v>
      </c>
      <c r="F2147" s="3" t="n">
        <f aca="false">IF(C2147="848630",0,1)</f>
        <v>1</v>
      </c>
    </row>
    <row r="2148" customFormat="false" ht="15" hidden="false" customHeight="false" outlineLevel="0" collapsed="false">
      <c r="A2148" s="12" t="n">
        <v>45352</v>
      </c>
      <c r="B2148" s="9" t="s">
        <v>93</v>
      </c>
      <c r="C2148" s="3" t="s">
        <v>111</v>
      </c>
      <c r="D2148" s="3" t="n">
        <v>23679000</v>
      </c>
      <c r="E2148" s="3" t="s">
        <v>114</v>
      </c>
      <c r="F2148" s="3" t="n">
        <f aca="false">IF(C2148="848630",0,1)</f>
        <v>1</v>
      </c>
    </row>
    <row r="2149" customFormat="false" ht="15" hidden="false" customHeight="false" outlineLevel="0" collapsed="false">
      <c r="A2149" s="12" t="n">
        <v>45383</v>
      </c>
      <c r="B2149" s="9" t="s">
        <v>93</v>
      </c>
      <c r="C2149" s="3" t="s">
        <v>105</v>
      </c>
      <c r="D2149" s="3" t="n">
        <v>3000</v>
      </c>
      <c r="E2149" s="3" t="s">
        <v>114</v>
      </c>
      <c r="F2149" s="3" t="n">
        <f aca="false">IF(C2149="848630",0,1)</f>
        <v>1</v>
      </c>
    </row>
    <row r="2150" customFormat="false" ht="15" hidden="false" customHeight="false" outlineLevel="0" collapsed="false">
      <c r="A2150" s="12" t="n">
        <v>45383</v>
      </c>
      <c r="B2150" s="9" t="s">
        <v>93</v>
      </c>
      <c r="C2150" s="3" t="s">
        <v>105</v>
      </c>
      <c r="D2150" s="3" t="n">
        <v>14000</v>
      </c>
      <c r="E2150" s="3" t="s">
        <v>114</v>
      </c>
      <c r="F2150" s="3" t="n">
        <f aca="false">IF(C2150="848630",0,1)</f>
        <v>1</v>
      </c>
    </row>
    <row r="2151" customFormat="false" ht="15" hidden="false" customHeight="false" outlineLevel="0" collapsed="false">
      <c r="A2151" s="12" t="n">
        <v>45383</v>
      </c>
      <c r="B2151" s="9" t="s">
        <v>93</v>
      </c>
      <c r="C2151" s="3" t="s">
        <v>107</v>
      </c>
      <c r="D2151" s="3" t="n">
        <v>1287000</v>
      </c>
      <c r="E2151" s="3" t="s">
        <v>114</v>
      </c>
      <c r="F2151" s="3" t="n">
        <f aca="false">IF(C2151="848630",0,1)</f>
        <v>1</v>
      </c>
    </row>
    <row r="2152" customFormat="false" ht="15" hidden="false" customHeight="false" outlineLevel="0" collapsed="false">
      <c r="A2152" s="12" t="n">
        <v>45383</v>
      </c>
      <c r="B2152" s="9" t="s">
        <v>93</v>
      </c>
      <c r="C2152" s="3" t="s">
        <v>107</v>
      </c>
      <c r="D2152" s="3" t="n">
        <v>13000</v>
      </c>
      <c r="E2152" s="3" t="s">
        <v>114</v>
      </c>
      <c r="F2152" s="3" t="n">
        <f aca="false">IF(C2152="848630",0,1)</f>
        <v>1</v>
      </c>
    </row>
    <row r="2153" customFormat="false" ht="15" hidden="false" customHeight="false" outlineLevel="0" collapsed="false">
      <c r="A2153" s="12" t="n">
        <v>45383</v>
      </c>
      <c r="B2153" s="9" t="s">
        <v>93</v>
      </c>
      <c r="C2153" s="3" t="s">
        <v>107</v>
      </c>
      <c r="D2153" s="3" t="n">
        <v>0</v>
      </c>
      <c r="E2153" s="3" t="s">
        <v>114</v>
      </c>
      <c r="F2153" s="3" t="n">
        <f aca="false">IF(C2153="848630",0,1)</f>
        <v>1</v>
      </c>
    </row>
    <row r="2154" customFormat="false" ht="15" hidden="false" customHeight="false" outlineLevel="0" collapsed="false">
      <c r="A2154" s="12" t="n">
        <v>45383</v>
      </c>
      <c r="B2154" s="9" t="s">
        <v>93</v>
      </c>
      <c r="C2154" s="3" t="s">
        <v>107</v>
      </c>
      <c r="D2154" s="3" t="n">
        <v>61474000</v>
      </c>
      <c r="E2154" s="3" t="s">
        <v>114</v>
      </c>
      <c r="F2154" s="3" t="n">
        <f aca="false">IF(C2154="848630",0,1)</f>
        <v>1</v>
      </c>
    </row>
    <row r="2155" customFormat="false" ht="15" hidden="false" customHeight="false" outlineLevel="0" collapsed="false">
      <c r="A2155" s="12" t="n">
        <v>45383</v>
      </c>
      <c r="B2155" s="9" t="s">
        <v>93</v>
      </c>
      <c r="C2155" s="3" t="s">
        <v>107</v>
      </c>
      <c r="D2155" s="3" t="n">
        <v>16397000</v>
      </c>
      <c r="E2155" s="3" t="s">
        <v>114</v>
      </c>
      <c r="F2155" s="3" t="n">
        <f aca="false">IF(C2155="848630",0,1)</f>
        <v>1</v>
      </c>
    </row>
    <row r="2156" customFormat="false" ht="15" hidden="false" customHeight="false" outlineLevel="0" collapsed="false">
      <c r="A2156" s="12" t="n">
        <v>45383</v>
      </c>
      <c r="B2156" s="9" t="s">
        <v>93</v>
      </c>
      <c r="C2156" s="3" t="s">
        <v>107</v>
      </c>
      <c r="D2156" s="3" t="n">
        <v>3655000</v>
      </c>
      <c r="E2156" s="3" t="s">
        <v>114</v>
      </c>
      <c r="F2156" s="3" t="n">
        <f aca="false">IF(C2156="848630",0,1)</f>
        <v>1</v>
      </c>
    </row>
    <row r="2157" customFormat="false" ht="15" hidden="false" customHeight="false" outlineLevel="0" collapsed="false">
      <c r="A2157" s="12" t="n">
        <v>45383</v>
      </c>
      <c r="B2157" s="9" t="s">
        <v>93</v>
      </c>
      <c r="C2157" s="3" t="s">
        <v>107</v>
      </c>
      <c r="D2157" s="3" t="n">
        <v>84000</v>
      </c>
      <c r="E2157" s="3" t="s">
        <v>114</v>
      </c>
      <c r="F2157" s="3" t="n">
        <f aca="false">IF(C2157="848630",0,1)</f>
        <v>1</v>
      </c>
    </row>
    <row r="2158" customFormat="false" ht="15" hidden="false" customHeight="false" outlineLevel="0" collapsed="false">
      <c r="A2158" s="12" t="n">
        <v>45383</v>
      </c>
      <c r="B2158" s="9" t="s">
        <v>93</v>
      </c>
      <c r="C2158" s="3" t="s">
        <v>107</v>
      </c>
      <c r="D2158" s="3" t="n">
        <v>51519000</v>
      </c>
      <c r="E2158" s="3" t="s">
        <v>114</v>
      </c>
      <c r="F2158" s="3" t="n">
        <f aca="false">IF(C2158="848630",0,1)</f>
        <v>1</v>
      </c>
    </row>
    <row r="2159" customFormat="false" ht="15" hidden="false" customHeight="false" outlineLevel="0" collapsed="false">
      <c r="A2159" s="12" t="n">
        <v>45383</v>
      </c>
      <c r="B2159" s="9" t="s">
        <v>93</v>
      </c>
      <c r="C2159" s="3" t="s">
        <v>107</v>
      </c>
      <c r="D2159" s="3" t="n">
        <v>0</v>
      </c>
      <c r="E2159" s="3" t="s">
        <v>114</v>
      </c>
      <c r="F2159" s="3" t="n">
        <f aca="false">IF(C2159="848630",0,1)</f>
        <v>1</v>
      </c>
    </row>
    <row r="2160" customFormat="false" ht="15" hidden="false" customHeight="false" outlineLevel="0" collapsed="false">
      <c r="A2160" s="12" t="n">
        <v>45383</v>
      </c>
      <c r="B2160" s="9" t="s">
        <v>93</v>
      </c>
      <c r="C2160" s="3" t="s">
        <v>107</v>
      </c>
      <c r="D2160" s="3" t="n">
        <v>1039000</v>
      </c>
      <c r="E2160" s="3" t="s">
        <v>114</v>
      </c>
      <c r="F2160" s="3" t="n">
        <f aca="false">IF(C2160="848630",0,1)</f>
        <v>1</v>
      </c>
    </row>
    <row r="2161" customFormat="false" ht="15" hidden="false" customHeight="false" outlineLevel="0" collapsed="false">
      <c r="A2161" s="12" t="n">
        <v>45383</v>
      </c>
      <c r="B2161" s="9" t="s">
        <v>93</v>
      </c>
      <c r="C2161" s="3" t="s">
        <v>107</v>
      </c>
      <c r="D2161" s="3" t="n">
        <v>456000</v>
      </c>
      <c r="E2161" s="3" t="s">
        <v>114</v>
      </c>
      <c r="F2161" s="3" t="n">
        <f aca="false">IF(C2161="848630",0,1)</f>
        <v>1</v>
      </c>
    </row>
    <row r="2162" customFormat="false" ht="15" hidden="false" customHeight="false" outlineLevel="0" collapsed="false">
      <c r="A2162" s="12" t="n">
        <v>45383</v>
      </c>
      <c r="B2162" s="9" t="s">
        <v>93</v>
      </c>
      <c r="C2162" s="3" t="s">
        <v>107</v>
      </c>
      <c r="D2162" s="3" t="n">
        <v>23630000</v>
      </c>
      <c r="E2162" s="3" t="s">
        <v>114</v>
      </c>
      <c r="F2162" s="3" t="n">
        <f aca="false">IF(C2162="848630",0,1)</f>
        <v>1</v>
      </c>
    </row>
    <row r="2163" customFormat="false" ht="15" hidden="false" customHeight="false" outlineLevel="0" collapsed="false">
      <c r="A2163" s="12" t="n">
        <v>45383</v>
      </c>
      <c r="B2163" s="9" t="s">
        <v>93</v>
      </c>
      <c r="C2163" s="3" t="s">
        <v>107</v>
      </c>
      <c r="D2163" s="3" t="n">
        <v>24605000</v>
      </c>
      <c r="E2163" s="3" t="s">
        <v>114</v>
      </c>
      <c r="F2163" s="3" t="n">
        <f aca="false">IF(C2163="848630",0,1)</f>
        <v>1</v>
      </c>
    </row>
    <row r="2164" customFormat="false" ht="15" hidden="false" customHeight="false" outlineLevel="0" collapsed="false">
      <c r="A2164" s="12" t="n">
        <v>45383</v>
      </c>
      <c r="B2164" s="9" t="s">
        <v>93</v>
      </c>
      <c r="C2164" s="3" t="s">
        <v>107</v>
      </c>
      <c r="D2164" s="3" t="n">
        <v>4414000</v>
      </c>
      <c r="E2164" s="3" t="s">
        <v>114</v>
      </c>
      <c r="F2164" s="3" t="n">
        <f aca="false">IF(C2164="848630",0,1)</f>
        <v>1</v>
      </c>
    </row>
    <row r="2165" customFormat="false" ht="15" hidden="false" customHeight="false" outlineLevel="0" collapsed="false">
      <c r="A2165" s="12" t="n">
        <v>45383</v>
      </c>
      <c r="B2165" s="9" t="s">
        <v>93</v>
      </c>
      <c r="C2165" s="3" t="s">
        <v>107</v>
      </c>
      <c r="D2165" s="3" t="n">
        <v>0</v>
      </c>
      <c r="E2165" s="3" t="s">
        <v>114</v>
      </c>
      <c r="F2165" s="3" t="n">
        <f aca="false">IF(C2165="848630",0,1)</f>
        <v>1</v>
      </c>
    </row>
    <row r="2166" customFormat="false" ht="15" hidden="false" customHeight="false" outlineLevel="0" collapsed="false">
      <c r="A2166" s="12" t="n">
        <v>45383</v>
      </c>
      <c r="B2166" s="9" t="s">
        <v>93</v>
      </c>
      <c r="C2166" s="3" t="s">
        <v>107</v>
      </c>
      <c r="D2166" s="3" t="n">
        <v>981000</v>
      </c>
      <c r="E2166" s="3" t="s">
        <v>114</v>
      </c>
      <c r="F2166" s="3" t="n">
        <f aca="false">IF(C2166="848630",0,1)</f>
        <v>1</v>
      </c>
    </row>
    <row r="2167" customFormat="false" ht="15" hidden="false" customHeight="false" outlineLevel="0" collapsed="false">
      <c r="A2167" s="12" t="n">
        <v>45383</v>
      </c>
      <c r="B2167" s="9" t="s">
        <v>93</v>
      </c>
      <c r="C2167" s="3" t="s">
        <v>107</v>
      </c>
      <c r="D2167" s="3" t="n">
        <v>1821000</v>
      </c>
      <c r="E2167" s="3" t="s">
        <v>114</v>
      </c>
      <c r="F2167" s="3" t="n">
        <f aca="false">IF(C2167="848630",0,1)</f>
        <v>1</v>
      </c>
    </row>
    <row r="2168" customFormat="false" ht="15" hidden="false" customHeight="false" outlineLevel="0" collapsed="false">
      <c r="A2168" s="12" t="n">
        <v>45383</v>
      </c>
      <c r="B2168" s="9" t="s">
        <v>93</v>
      </c>
      <c r="C2168" s="3" t="s">
        <v>107</v>
      </c>
      <c r="D2168" s="3" t="n">
        <v>1965000</v>
      </c>
      <c r="E2168" s="3" t="s">
        <v>114</v>
      </c>
      <c r="F2168" s="3" t="n">
        <f aca="false">IF(C2168="848630",0,1)</f>
        <v>1</v>
      </c>
    </row>
    <row r="2169" customFormat="false" ht="15" hidden="false" customHeight="false" outlineLevel="0" collapsed="false">
      <c r="A2169" s="12" t="n">
        <v>45383</v>
      </c>
      <c r="B2169" s="9" t="s">
        <v>93</v>
      </c>
      <c r="C2169" s="3" t="s">
        <v>107</v>
      </c>
      <c r="D2169" s="3" t="n">
        <v>26671000</v>
      </c>
      <c r="E2169" s="3" t="s">
        <v>114</v>
      </c>
      <c r="F2169" s="3" t="n">
        <f aca="false">IF(C2169="848630",0,1)</f>
        <v>1</v>
      </c>
    </row>
    <row r="2170" customFormat="false" ht="15" hidden="false" customHeight="false" outlineLevel="0" collapsed="false">
      <c r="A2170" s="12" t="n">
        <v>45383</v>
      </c>
      <c r="B2170" s="9" t="s">
        <v>93</v>
      </c>
      <c r="C2170" s="3" t="s">
        <v>112</v>
      </c>
      <c r="D2170" s="3" t="n">
        <v>12770000</v>
      </c>
      <c r="E2170" s="3" t="s">
        <v>114</v>
      </c>
      <c r="F2170" s="3" t="n">
        <f aca="false">IF(C2170="848630",0,1)</f>
        <v>0</v>
      </c>
    </row>
    <row r="2171" customFormat="false" ht="15" hidden="false" customHeight="false" outlineLevel="0" collapsed="false">
      <c r="A2171" s="12" t="n">
        <v>45383</v>
      </c>
      <c r="B2171" s="9" t="s">
        <v>93</v>
      </c>
      <c r="C2171" s="3" t="s">
        <v>112</v>
      </c>
      <c r="D2171" s="3" t="n">
        <v>473000</v>
      </c>
      <c r="E2171" s="3" t="s">
        <v>114</v>
      </c>
      <c r="F2171" s="3" t="n">
        <f aca="false">IF(C2171="848630",0,1)</f>
        <v>0</v>
      </c>
    </row>
    <row r="2172" customFormat="false" ht="15" hidden="false" customHeight="false" outlineLevel="0" collapsed="false">
      <c r="A2172" s="12" t="n">
        <v>45383</v>
      </c>
      <c r="B2172" s="9" t="s">
        <v>93</v>
      </c>
      <c r="C2172" s="3" t="s">
        <v>112</v>
      </c>
      <c r="D2172" s="3" t="n">
        <v>103000</v>
      </c>
      <c r="E2172" s="3" t="s">
        <v>114</v>
      </c>
      <c r="F2172" s="3" t="n">
        <f aca="false">IF(C2172="848630",0,1)</f>
        <v>0</v>
      </c>
    </row>
    <row r="2173" customFormat="false" ht="15" hidden="false" customHeight="false" outlineLevel="0" collapsed="false">
      <c r="A2173" s="12" t="n">
        <v>45383</v>
      </c>
      <c r="B2173" s="9" t="s">
        <v>93</v>
      </c>
      <c r="C2173" s="3" t="s">
        <v>112</v>
      </c>
      <c r="D2173" s="3" t="n">
        <v>31000</v>
      </c>
      <c r="E2173" s="3" t="s">
        <v>114</v>
      </c>
      <c r="F2173" s="3" t="n">
        <f aca="false">IF(C2173="848630",0,1)</f>
        <v>0</v>
      </c>
    </row>
    <row r="2174" customFormat="false" ht="15" hidden="false" customHeight="false" outlineLevel="0" collapsed="false">
      <c r="A2174" s="12" t="n">
        <v>45383</v>
      </c>
      <c r="B2174" s="9" t="s">
        <v>93</v>
      </c>
      <c r="C2174" s="3" t="s">
        <v>112</v>
      </c>
      <c r="D2174" s="3" t="n">
        <v>4701000</v>
      </c>
      <c r="E2174" s="3" t="s">
        <v>114</v>
      </c>
      <c r="F2174" s="3" t="n">
        <f aca="false">IF(C2174="848630",0,1)</f>
        <v>0</v>
      </c>
    </row>
    <row r="2175" customFormat="false" ht="15" hidden="false" customHeight="false" outlineLevel="0" collapsed="false">
      <c r="A2175" s="12" t="n">
        <v>45383</v>
      </c>
      <c r="B2175" s="9" t="s">
        <v>93</v>
      </c>
      <c r="C2175" s="3" t="s">
        <v>108</v>
      </c>
      <c r="D2175" s="3" t="n">
        <v>12232000</v>
      </c>
      <c r="E2175" s="3" t="s">
        <v>114</v>
      </c>
      <c r="F2175" s="3" t="n">
        <f aca="false">IF(C2175="848630",0,1)</f>
        <v>1</v>
      </c>
    </row>
    <row r="2176" customFormat="false" ht="15" hidden="false" customHeight="false" outlineLevel="0" collapsed="false">
      <c r="A2176" s="12" t="n">
        <v>45383</v>
      </c>
      <c r="B2176" s="9" t="s">
        <v>93</v>
      </c>
      <c r="C2176" s="3" t="s">
        <v>108</v>
      </c>
      <c r="D2176" s="3" t="n">
        <v>3385000</v>
      </c>
      <c r="E2176" s="3" t="s">
        <v>114</v>
      </c>
      <c r="F2176" s="3" t="n">
        <f aca="false">IF(C2176="848630",0,1)</f>
        <v>1</v>
      </c>
    </row>
    <row r="2177" customFormat="false" ht="15" hidden="false" customHeight="false" outlineLevel="0" collapsed="false">
      <c r="A2177" s="12" t="n">
        <v>45383</v>
      </c>
      <c r="B2177" s="9" t="s">
        <v>93</v>
      </c>
      <c r="C2177" s="3" t="s">
        <v>108</v>
      </c>
      <c r="D2177" s="3" t="n">
        <v>2467000</v>
      </c>
      <c r="E2177" s="3" t="s">
        <v>114</v>
      </c>
      <c r="F2177" s="3" t="n">
        <f aca="false">IF(C2177="848630",0,1)</f>
        <v>1</v>
      </c>
    </row>
    <row r="2178" customFormat="false" ht="15" hidden="false" customHeight="false" outlineLevel="0" collapsed="false">
      <c r="A2178" s="12" t="n">
        <v>45383</v>
      </c>
      <c r="B2178" s="9" t="s">
        <v>93</v>
      </c>
      <c r="C2178" s="3" t="s">
        <v>108</v>
      </c>
      <c r="D2178" s="3" t="n">
        <v>236000</v>
      </c>
      <c r="E2178" s="3" t="s">
        <v>114</v>
      </c>
      <c r="F2178" s="3" t="n">
        <f aca="false">IF(C2178="848630",0,1)</f>
        <v>1</v>
      </c>
    </row>
    <row r="2179" customFormat="false" ht="15" hidden="false" customHeight="false" outlineLevel="0" collapsed="false">
      <c r="A2179" s="12" t="n">
        <v>45383</v>
      </c>
      <c r="B2179" s="9" t="s">
        <v>93</v>
      </c>
      <c r="C2179" s="3" t="s">
        <v>108</v>
      </c>
      <c r="D2179" s="3" t="n">
        <v>32000</v>
      </c>
      <c r="E2179" s="3" t="s">
        <v>114</v>
      </c>
      <c r="F2179" s="3" t="n">
        <f aca="false">IF(C2179="848630",0,1)</f>
        <v>1</v>
      </c>
    </row>
    <row r="2180" customFormat="false" ht="15" hidden="false" customHeight="false" outlineLevel="0" collapsed="false">
      <c r="A2180" s="12" t="n">
        <v>45383</v>
      </c>
      <c r="B2180" s="9" t="s">
        <v>93</v>
      </c>
      <c r="C2180" s="3" t="s">
        <v>108</v>
      </c>
      <c r="D2180" s="3" t="n">
        <v>8190000</v>
      </c>
      <c r="E2180" s="3" t="s">
        <v>114</v>
      </c>
      <c r="F2180" s="3" t="n">
        <f aca="false">IF(C2180="848630",0,1)</f>
        <v>1</v>
      </c>
    </row>
    <row r="2181" customFormat="false" ht="15" hidden="false" customHeight="false" outlineLevel="0" collapsed="false">
      <c r="A2181" s="12" t="n">
        <v>45383</v>
      </c>
      <c r="B2181" s="9" t="s">
        <v>93</v>
      </c>
      <c r="C2181" s="3" t="s">
        <v>108</v>
      </c>
      <c r="D2181" s="3" t="n">
        <v>10465000</v>
      </c>
      <c r="E2181" s="3" t="s">
        <v>114</v>
      </c>
      <c r="F2181" s="3" t="n">
        <f aca="false">IF(C2181="848630",0,1)</f>
        <v>1</v>
      </c>
    </row>
    <row r="2182" customFormat="false" ht="15" hidden="false" customHeight="false" outlineLevel="0" collapsed="false">
      <c r="A2182" s="12" t="n">
        <v>45383</v>
      </c>
      <c r="B2182" s="9" t="s">
        <v>93</v>
      </c>
      <c r="C2182" s="3" t="s">
        <v>108</v>
      </c>
      <c r="D2182" s="3" t="n">
        <v>852000</v>
      </c>
      <c r="E2182" s="3" t="s">
        <v>114</v>
      </c>
      <c r="F2182" s="3" t="n">
        <f aca="false">IF(C2182="848630",0,1)</f>
        <v>1</v>
      </c>
    </row>
    <row r="2183" customFormat="false" ht="15" hidden="false" customHeight="false" outlineLevel="0" collapsed="false">
      <c r="A2183" s="12" t="n">
        <v>45383</v>
      </c>
      <c r="B2183" s="9" t="s">
        <v>93</v>
      </c>
      <c r="C2183" s="3" t="s">
        <v>108</v>
      </c>
      <c r="D2183" s="3" t="n">
        <v>2059000</v>
      </c>
      <c r="E2183" s="3" t="s">
        <v>114</v>
      </c>
      <c r="F2183" s="3" t="n">
        <f aca="false">IF(C2183="848630",0,1)</f>
        <v>1</v>
      </c>
    </row>
    <row r="2184" customFormat="false" ht="15" hidden="false" customHeight="false" outlineLevel="0" collapsed="false">
      <c r="A2184" s="12" t="n">
        <v>45383</v>
      </c>
      <c r="B2184" s="9" t="s">
        <v>93</v>
      </c>
      <c r="C2184" s="3" t="s">
        <v>109</v>
      </c>
      <c r="D2184" s="3" t="n">
        <v>1115000</v>
      </c>
      <c r="E2184" s="3" t="s">
        <v>114</v>
      </c>
      <c r="F2184" s="3" t="n">
        <f aca="false">IF(C2184="848630",0,1)</f>
        <v>1</v>
      </c>
    </row>
    <row r="2185" customFormat="false" ht="15" hidden="false" customHeight="false" outlineLevel="0" collapsed="false">
      <c r="A2185" s="12" t="n">
        <v>45383</v>
      </c>
      <c r="B2185" s="9" t="s">
        <v>93</v>
      </c>
      <c r="C2185" s="3" t="s">
        <v>109</v>
      </c>
      <c r="D2185" s="3" t="n">
        <v>10642000</v>
      </c>
      <c r="E2185" s="3" t="s">
        <v>114</v>
      </c>
      <c r="F2185" s="3" t="n">
        <f aca="false">IF(C2185="848630",0,1)</f>
        <v>1</v>
      </c>
    </row>
    <row r="2186" customFormat="false" ht="15" hidden="false" customHeight="false" outlineLevel="0" collapsed="false">
      <c r="A2186" s="12" t="n">
        <v>45383</v>
      </c>
      <c r="B2186" s="9" t="s">
        <v>93</v>
      </c>
      <c r="C2186" s="3" t="s">
        <v>109</v>
      </c>
      <c r="D2186" s="3" t="n">
        <v>21346000</v>
      </c>
      <c r="E2186" s="3" t="s">
        <v>114</v>
      </c>
      <c r="F2186" s="3" t="n">
        <f aca="false">IF(C2186="848630",0,1)</f>
        <v>1</v>
      </c>
    </row>
    <row r="2187" customFormat="false" ht="15" hidden="false" customHeight="false" outlineLevel="0" collapsed="false">
      <c r="A2187" s="12" t="n">
        <v>45383</v>
      </c>
      <c r="B2187" s="9" t="s">
        <v>93</v>
      </c>
      <c r="C2187" s="3" t="s">
        <v>109</v>
      </c>
      <c r="D2187" s="3" t="n">
        <v>8504000</v>
      </c>
      <c r="E2187" s="3" t="s">
        <v>114</v>
      </c>
      <c r="F2187" s="3" t="n">
        <f aca="false">IF(C2187="848630",0,1)</f>
        <v>1</v>
      </c>
    </row>
    <row r="2188" customFormat="false" ht="15" hidden="false" customHeight="false" outlineLevel="0" collapsed="false">
      <c r="A2188" s="12" t="n">
        <v>45383</v>
      </c>
      <c r="B2188" s="9" t="s">
        <v>93</v>
      </c>
      <c r="C2188" s="3" t="s">
        <v>109</v>
      </c>
      <c r="D2188" s="3" t="n">
        <v>11127000</v>
      </c>
      <c r="E2188" s="3" t="s">
        <v>114</v>
      </c>
      <c r="F2188" s="3" t="n">
        <f aca="false">IF(C2188="848630",0,1)</f>
        <v>1</v>
      </c>
    </row>
    <row r="2189" customFormat="false" ht="15" hidden="false" customHeight="false" outlineLevel="0" collapsed="false">
      <c r="A2189" s="12" t="n">
        <v>45383</v>
      </c>
      <c r="B2189" s="9" t="s">
        <v>93</v>
      </c>
      <c r="C2189" s="3" t="s">
        <v>109</v>
      </c>
      <c r="D2189" s="3" t="n">
        <v>2084000</v>
      </c>
      <c r="E2189" s="3" t="s">
        <v>114</v>
      </c>
      <c r="F2189" s="3" t="n">
        <f aca="false">IF(C2189="848630",0,1)</f>
        <v>1</v>
      </c>
    </row>
    <row r="2190" customFormat="false" ht="15" hidden="false" customHeight="false" outlineLevel="0" collapsed="false">
      <c r="A2190" s="12" t="n">
        <v>45383</v>
      </c>
      <c r="B2190" s="9" t="s">
        <v>93</v>
      </c>
      <c r="C2190" s="3" t="s">
        <v>109</v>
      </c>
      <c r="D2190" s="3" t="n">
        <v>221000</v>
      </c>
      <c r="E2190" s="3" t="s">
        <v>114</v>
      </c>
      <c r="F2190" s="3" t="n">
        <f aca="false">IF(C2190="848630",0,1)</f>
        <v>1</v>
      </c>
    </row>
    <row r="2191" customFormat="false" ht="15" hidden="false" customHeight="false" outlineLevel="0" collapsed="false">
      <c r="A2191" s="12" t="n">
        <v>45383</v>
      </c>
      <c r="B2191" s="9" t="s">
        <v>93</v>
      </c>
      <c r="C2191" s="3" t="s">
        <v>109</v>
      </c>
      <c r="D2191" s="3" t="n">
        <v>5968000</v>
      </c>
      <c r="E2191" s="3" t="s">
        <v>114</v>
      </c>
      <c r="F2191" s="3" t="n">
        <f aca="false">IF(C2191="848630",0,1)</f>
        <v>1</v>
      </c>
    </row>
    <row r="2192" customFormat="false" ht="15" hidden="false" customHeight="false" outlineLevel="0" collapsed="false">
      <c r="A2192" s="12" t="n">
        <v>45383</v>
      </c>
      <c r="B2192" s="9" t="s">
        <v>93</v>
      </c>
      <c r="C2192" s="3" t="s">
        <v>110</v>
      </c>
      <c r="D2192" s="3" t="n">
        <v>49358000</v>
      </c>
      <c r="E2192" s="3" t="s">
        <v>114</v>
      </c>
      <c r="F2192" s="3" t="n">
        <f aca="false">IF(C2192="848630",0,1)</f>
        <v>1</v>
      </c>
    </row>
    <row r="2193" customFormat="false" ht="15" hidden="false" customHeight="false" outlineLevel="0" collapsed="false">
      <c r="A2193" s="12" t="n">
        <v>45383</v>
      </c>
      <c r="B2193" s="9" t="s">
        <v>93</v>
      </c>
      <c r="C2193" s="3" t="s">
        <v>111</v>
      </c>
      <c r="D2193" s="3" t="n">
        <v>15961000</v>
      </c>
      <c r="E2193" s="3" t="s">
        <v>114</v>
      </c>
      <c r="F2193" s="3" t="n">
        <f aca="false">IF(C2193="848630",0,1)</f>
        <v>1</v>
      </c>
    </row>
    <row r="2194" customFormat="false" ht="15" hidden="false" customHeight="false" outlineLevel="0" collapsed="false">
      <c r="A2194" s="12" t="n">
        <v>45413</v>
      </c>
      <c r="B2194" s="9" t="s">
        <v>93</v>
      </c>
      <c r="C2194" s="3" t="s">
        <v>105</v>
      </c>
      <c r="D2194" s="3" t="n">
        <v>6456000</v>
      </c>
      <c r="E2194" s="3" t="s">
        <v>114</v>
      </c>
      <c r="F2194" s="3" t="n">
        <f aca="false">IF(C2194="848630",0,1)</f>
        <v>1</v>
      </c>
    </row>
    <row r="2195" customFormat="false" ht="15" hidden="false" customHeight="false" outlineLevel="0" collapsed="false">
      <c r="A2195" s="12" t="n">
        <v>45413</v>
      </c>
      <c r="B2195" s="9" t="s">
        <v>93</v>
      </c>
      <c r="C2195" s="3" t="s">
        <v>105</v>
      </c>
      <c r="D2195" s="3" t="n">
        <v>3000</v>
      </c>
      <c r="E2195" s="3" t="s">
        <v>114</v>
      </c>
      <c r="F2195" s="3" t="n">
        <f aca="false">IF(C2195="848630",0,1)</f>
        <v>1</v>
      </c>
    </row>
    <row r="2196" customFormat="false" ht="15" hidden="false" customHeight="false" outlineLevel="0" collapsed="false">
      <c r="A2196" s="12" t="n">
        <v>45413</v>
      </c>
      <c r="B2196" s="9" t="s">
        <v>93</v>
      </c>
      <c r="C2196" s="3" t="s">
        <v>105</v>
      </c>
      <c r="D2196" s="3" t="n">
        <v>0</v>
      </c>
      <c r="E2196" s="3" t="s">
        <v>114</v>
      </c>
      <c r="F2196" s="3" t="n">
        <f aca="false">IF(C2196="848630",0,1)</f>
        <v>1</v>
      </c>
    </row>
    <row r="2197" customFormat="false" ht="15" hidden="false" customHeight="false" outlineLevel="0" collapsed="false">
      <c r="A2197" s="12" t="n">
        <v>45413</v>
      </c>
      <c r="B2197" s="9" t="s">
        <v>93</v>
      </c>
      <c r="C2197" s="3" t="s">
        <v>107</v>
      </c>
      <c r="D2197" s="3" t="n">
        <v>31000</v>
      </c>
      <c r="E2197" s="3" t="s">
        <v>114</v>
      </c>
      <c r="F2197" s="3" t="n">
        <f aca="false">IF(C2197="848630",0,1)</f>
        <v>1</v>
      </c>
    </row>
    <row r="2198" customFormat="false" ht="15" hidden="false" customHeight="false" outlineLevel="0" collapsed="false">
      <c r="A2198" s="12" t="n">
        <v>45413</v>
      </c>
      <c r="B2198" s="9" t="s">
        <v>93</v>
      </c>
      <c r="C2198" s="3" t="s">
        <v>107</v>
      </c>
      <c r="D2198" s="3" t="n">
        <v>38000</v>
      </c>
      <c r="E2198" s="3" t="s">
        <v>114</v>
      </c>
      <c r="F2198" s="3" t="n">
        <f aca="false">IF(C2198="848630",0,1)</f>
        <v>1</v>
      </c>
    </row>
    <row r="2199" customFormat="false" ht="15" hidden="false" customHeight="false" outlineLevel="0" collapsed="false">
      <c r="A2199" s="12" t="n">
        <v>45413</v>
      </c>
      <c r="B2199" s="9" t="s">
        <v>93</v>
      </c>
      <c r="C2199" s="3" t="s">
        <v>107</v>
      </c>
      <c r="D2199" s="3" t="n">
        <v>2990000</v>
      </c>
      <c r="E2199" s="3" t="s">
        <v>114</v>
      </c>
      <c r="F2199" s="3" t="n">
        <f aca="false">IF(C2199="848630",0,1)</f>
        <v>1</v>
      </c>
    </row>
    <row r="2200" customFormat="false" ht="15" hidden="false" customHeight="false" outlineLevel="0" collapsed="false">
      <c r="A2200" s="12" t="n">
        <v>45413</v>
      </c>
      <c r="B2200" s="9" t="s">
        <v>93</v>
      </c>
      <c r="C2200" s="3" t="s">
        <v>107</v>
      </c>
      <c r="D2200" s="3" t="n">
        <v>13725000</v>
      </c>
      <c r="E2200" s="3" t="s">
        <v>114</v>
      </c>
      <c r="F2200" s="3" t="n">
        <f aca="false">IF(C2200="848630",0,1)</f>
        <v>1</v>
      </c>
    </row>
    <row r="2201" customFormat="false" ht="15" hidden="false" customHeight="false" outlineLevel="0" collapsed="false">
      <c r="A2201" s="12" t="n">
        <v>45413</v>
      </c>
      <c r="B2201" s="9" t="s">
        <v>93</v>
      </c>
      <c r="C2201" s="3" t="s">
        <v>107</v>
      </c>
      <c r="D2201" s="3" t="n">
        <v>6069000</v>
      </c>
      <c r="E2201" s="3" t="s">
        <v>114</v>
      </c>
      <c r="F2201" s="3" t="n">
        <f aca="false">IF(C2201="848630",0,1)</f>
        <v>1</v>
      </c>
    </row>
    <row r="2202" customFormat="false" ht="15" hidden="false" customHeight="false" outlineLevel="0" collapsed="false">
      <c r="A2202" s="12" t="n">
        <v>45413</v>
      </c>
      <c r="B2202" s="9" t="s">
        <v>93</v>
      </c>
      <c r="C2202" s="3" t="s">
        <v>107</v>
      </c>
      <c r="D2202" s="3" t="n">
        <v>14321000</v>
      </c>
      <c r="E2202" s="3" t="s">
        <v>114</v>
      </c>
      <c r="F2202" s="3" t="n">
        <f aca="false">IF(C2202="848630",0,1)</f>
        <v>1</v>
      </c>
    </row>
    <row r="2203" customFormat="false" ht="15" hidden="false" customHeight="false" outlineLevel="0" collapsed="false">
      <c r="A2203" s="12" t="n">
        <v>45413</v>
      </c>
      <c r="B2203" s="9" t="s">
        <v>93</v>
      </c>
      <c r="C2203" s="3" t="s">
        <v>107</v>
      </c>
      <c r="D2203" s="3" t="n">
        <v>3000</v>
      </c>
      <c r="E2203" s="3" t="s">
        <v>114</v>
      </c>
      <c r="F2203" s="3" t="n">
        <f aca="false">IF(C2203="848630",0,1)</f>
        <v>1</v>
      </c>
    </row>
    <row r="2204" customFormat="false" ht="15" hidden="false" customHeight="false" outlineLevel="0" collapsed="false">
      <c r="A2204" s="12" t="n">
        <v>45413</v>
      </c>
      <c r="B2204" s="9" t="s">
        <v>93</v>
      </c>
      <c r="C2204" s="3" t="s">
        <v>107</v>
      </c>
      <c r="D2204" s="3" t="n">
        <v>22088000</v>
      </c>
      <c r="E2204" s="3" t="s">
        <v>114</v>
      </c>
      <c r="F2204" s="3" t="n">
        <f aca="false">IF(C2204="848630",0,1)</f>
        <v>1</v>
      </c>
    </row>
    <row r="2205" customFormat="false" ht="15" hidden="false" customHeight="false" outlineLevel="0" collapsed="false">
      <c r="A2205" s="12" t="n">
        <v>45413</v>
      </c>
      <c r="B2205" s="9" t="s">
        <v>93</v>
      </c>
      <c r="C2205" s="3" t="s">
        <v>107</v>
      </c>
      <c r="D2205" s="3" t="n">
        <v>458000</v>
      </c>
      <c r="E2205" s="3" t="s">
        <v>114</v>
      </c>
      <c r="F2205" s="3" t="n">
        <f aca="false">IF(C2205="848630",0,1)</f>
        <v>1</v>
      </c>
    </row>
    <row r="2206" customFormat="false" ht="15" hidden="false" customHeight="false" outlineLevel="0" collapsed="false">
      <c r="A2206" s="12" t="n">
        <v>45413</v>
      </c>
      <c r="B2206" s="9" t="s">
        <v>93</v>
      </c>
      <c r="C2206" s="3" t="s">
        <v>107</v>
      </c>
      <c r="D2206" s="3" t="n">
        <v>11297000</v>
      </c>
      <c r="E2206" s="3" t="s">
        <v>114</v>
      </c>
      <c r="F2206" s="3" t="n">
        <f aca="false">IF(C2206="848630",0,1)</f>
        <v>1</v>
      </c>
    </row>
    <row r="2207" customFormat="false" ht="15" hidden="false" customHeight="false" outlineLevel="0" collapsed="false">
      <c r="A2207" s="12" t="n">
        <v>45413</v>
      </c>
      <c r="B2207" s="9" t="s">
        <v>93</v>
      </c>
      <c r="C2207" s="3" t="s">
        <v>107</v>
      </c>
      <c r="D2207" s="3" t="n">
        <v>19668000</v>
      </c>
      <c r="E2207" s="3" t="s">
        <v>114</v>
      </c>
      <c r="F2207" s="3" t="n">
        <f aca="false">IF(C2207="848630",0,1)</f>
        <v>1</v>
      </c>
    </row>
    <row r="2208" customFormat="false" ht="15" hidden="false" customHeight="false" outlineLevel="0" collapsed="false">
      <c r="A2208" s="12" t="n">
        <v>45413</v>
      </c>
      <c r="B2208" s="9" t="s">
        <v>93</v>
      </c>
      <c r="C2208" s="3" t="s">
        <v>107</v>
      </c>
      <c r="D2208" s="3" t="n">
        <v>7665000</v>
      </c>
      <c r="E2208" s="3" t="s">
        <v>114</v>
      </c>
      <c r="F2208" s="3" t="n">
        <f aca="false">IF(C2208="848630",0,1)</f>
        <v>1</v>
      </c>
    </row>
    <row r="2209" customFormat="false" ht="15" hidden="false" customHeight="false" outlineLevel="0" collapsed="false">
      <c r="A2209" s="12" t="n">
        <v>45413</v>
      </c>
      <c r="B2209" s="9" t="s">
        <v>93</v>
      </c>
      <c r="C2209" s="3" t="s">
        <v>107</v>
      </c>
      <c r="D2209" s="3" t="n">
        <v>4084000</v>
      </c>
      <c r="E2209" s="3" t="s">
        <v>114</v>
      </c>
      <c r="F2209" s="3" t="n">
        <f aca="false">IF(C2209="848630",0,1)</f>
        <v>1</v>
      </c>
    </row>
    <row r="2210" customFormat="false" ht="15" hidden="false" customHeight="false" outlineLevel="0" collapsed="false">
      <c r="A2210" s="12" t="n">
        <v>45413</v>
      </c>
      <c r="B2210" s="9" t="s">
        <v>93</v>
      </c>
      <c r="C2210" s="3" t="s">
        <v>107</v>
      </c>
      <c r="D2210" s="3" t="n">
        <v>965000</v>
      </c>
      <c r="E2210" s="3" t="s">
        <v>114</v>
      </c>
      <c r="F2210" s="3" t="n">
        <f aca="false">IF(C2210="848630",0,1)</f>
        <v>1</v>
      </c>
    </row>
    <row r="2211" customFormat="false" ht="15" hidden="false" customHeight="false" outlineLevel="0" collapsed="false">
      <c r="A2211" s="12" t="n">
        <v>45413</v>
      </c>
      <c r="B2211" s="9" t="s">
        <v>93</v>
      </c>
      <c r="C2211" s="3" t="s">
        <v>107</v>
      </c>
      <c r="D2211" s="3" t="n">
        <v>3083000</v>
      </c>
      <c r="E2211" s="3" t="s">
        <v>114</v>
      </c>
      <c r="F2211" s="3" t="n">
        <f aca="false">IF(C2211="848630",0,1)</f>
        <v>1</v>
      </c>
    </row>
    <row r="2212" customFormat="false" ht="15" hidden="false" customHeight="false" outlineLevel="0" collapsed="false">
      <c r="A2212" s="12" t="n">
        <v>45413</v>
      </c>
      <c r="B2212" s="9" t="s">
        <v>93</v>
      </c>
      <c r="C2212" s="3" t="s">
        <v>107</v>
      </c>
      <c r="D2212" s="3" t="n">
        <v>4349000</v>
      </c>
      <c r="E2212" s="3" t="s">
        <v>114</v>
      </c>
      <c r="F2212" s="3" t="n">
        <f aca="false">IF(C2212="848630",0,1)</f>
        <v>1</v>
      </c>
    </row>
    <row r="2213" customFormat="false" ht="15" hidden="false" customHeight="false" outlineLevel="0" collapsed="false">
      <c r="A2213" s="12" t="n">
        <v>45413</v>
      </c>
      <c r="B2213" s="9" t="s">
        <v>93</v>
      </c>
      <c r="C2213" s="3" t="s">
        <v>107</v>
      </c>
      <c r="D2213" s="3" t="n">
        <v>13503000</v>
      </c>
      <c r="E2213" s="3" t="s">
        <v>114</v>
      </c>
      <c r="F2213" s="3" t="n">
        <f aca="false">IF(C2213="848630",0,1)</f>
        <v>1</v>
      </c>
    </row>
    <row r="2214" customFormat="false" ht="15" hidden="false" customHeight="false" outlineLevel="0" collapsed="false">
      <c r="A2214" s="12" t="n">
        <v>45413</v>
      </c>
      <c r="B2214" s="9" t="s">
        <v>93</v>
      </c>
      <c r="C2214" s="3" t="s">
        <v>112</v>
      </c>
      <c r="D2214" s="3" t="n">
        <v>24943000</v>
      </c>
      <c r="E2214" s="3" t="s">
        <v>114</v>
      </c>
      <c r="F2214" s="3" t="n">
        <f aca="false">IF(C2214="848630",0,1)</f>
        <v>0</v>
      </c>
    </row>
    <row r="2215" customFormat="false" ht="15" hidden="false" customHeight="false" outlineLevel="0" collapsed="false">
      <c r="A2215" s="12" t="n">
        <v>45413</v>
      </c>
      <c r="B2215" s="9" t="s">
        <v>93</v>
      </c>
      <c r="C2215" s="3" t="s">
        <v>112</v>
      </c>
      <c r="D2215" s="3" t="n">
        <v>26192000</v>
      </c>
      <c r="E2215" s="3" t="s">
        <v>114</v>
      </c>
      <c r="F2215" s="3" t="n">
        <f aca="false">IF(C2215="848630",0,1)</f>
        <v>0</v>
      </c>
    </row>
    <row r="2216" customFormat="false" ht="15" hidden="false" customHeight="false" outlineLevel="0" collapsed="false">
      <c r="A2216" s="12" t="n">
        <v>45413</v>
      </c>
      <c r="B2216" s="9" t="s">
        <v>93</v>
      </c>
      <c r="C2216" s="3" t="s">
        <v>112</v>
      </c>
      <c r="D2216" s="3" t="n">
        <v>459000</v>
      </c>
      <c r="E2216" s="3" t="s">
        <v>114</v>
      </c>
      <c r="F2216" s="3" t="n">
        <f aca="false">IF(C2216="848630",0,1)</f>
        <v>0</v>
      </c>
    </row>
    <row r="2217" customFormat="false" ht="15" hidden="false" customHeight="false" outlineLevel="0" collapsed="false">
      <c r="A2217" s="12" t="n">
        <v>45413</v>
      </c>
      <c r="B2217" s="9" t="s">
        <v>93</v>
      </c>
      <c r="C2217" s="3" t="s">
        <v>112</v>
      </c>
      <c r="D2217" s="3" t="n">
        <v>15000</v>
      </c>
      <c r="E2217" s="3" t="s">
        <v>114</v>
      </c>
      <c r="F2217" s="3" t="n">
        <f aca="false">IF(C2217="848630",0,1)</f>
        <v>0</v>
      </c>
    </row>
    <row r="2218" customFormat="false" ht="15" hidden="false" customHeight="false" outlineLevel="0" collapsed="false">
      <c r="A2218" s="12" t="n">
        <v>45413</v>
      </c>
      <c r="B2218" s="9" t="s">
        <v>93</v>
      </c>
      <c r="C2218" s="3" t="s">
        <v>112</v>
      </c>
      <c r="D2218" s="3" t="n">
        <v>161000</v>
      </c>
      <c r="E2218" s="3" t="s">
        <v>114</v>
      </c>
      <c r="F2218" s="3" t="n">
        <f aca="false">IF(C2218="848630",0,1)</f>
        <v>0</v>
      </c>
    </row>
    <row r="2219" customFormat="false" ht="15" hidden="false" customHeight="false" outlineLevel="0" collapsed="false">
      <c r="A2219" s="12" t="n">
        <v>45413</v>
      </c>
      <c r="B2219" s="9" t="s">
        <v>93</v>
      </c>
      <c r="C2219" s="3" t="s">
        <v>112</v>
      </c>
      <c r="D2219" s="3" t="n">
        <v>4301000</v>
      </c>
      <c r="E2219" s="3" t="s">
        <v>114</v>
      </c>
      <c r="F2219" s="3" t="n">
        <f aca="false">IF(C2219="848630",0,1)</f>
        <v>0</v>
      </c>
    </row>
    <row r="2220" customFormat="false" ht="15" hidden="false" customHeight="false" outlineLevel="0" collapsed="false">
      <c r="A2220" s="12" t="n">
        <v>45413</v>
      </c>
      <c r="B2220" s="9" t="s">
        <v>93</v>
      </c>
      <c r="C2220" s="3" t="s">
        <v>108</v>
      </c>
      <c r="D2220" s="3" t="n">
        <v>799000</v>
      </c>
      <c r="E2220" s="3" t="s">
        <v>114</v>
      </c>
      <c r="F2220" s="3" t="n">
        <f aca="false">IF(C2220="848630",0,1)</f>
        <v>1</v>
      </c>
    </row>
    <row r="2221" customFormat="false" ht="15" hidden="false" customHeight="false" outlineLevel="0" collapsed="false">
      <c r="A2221" s="12" t="n">
        <v>45413</v>
      </c>
      <c r="B2221" s="9" t="s">
        <v>93</v>
      </c>
      <c r="C2221" s="3" t="s">
        <v>108</v>
      </c>
      <c r="D2221" s="3" t="n">
        <v>6000</v>
      </c>
      <c r="E2221" s="3" t="s">
        <v>114</v>
      </c>
      <c r="F2221" s="3" t="n">
        <f aca="false">IF(C2221="848630",0,1)</f>
        <v>1</v>
      </c>
    </row>
    <row r="2222" customFormat="false" ht="15" hidden="false" customHeight="false" outlineLevel="0" collapsed="false">
      <c r="A2222" s="12" t="n">
        <v>45413</v>
      </c>
      <c r="B2222" s="9" t="s">
        <v>93</v>
      </c>
      <c r="C2222" s="3" t="s">
        <v>108</v>
      </c>
      <c r="D2222" s="3" t="n">
        <v>5980000</v>
      </c>
      <c r="E2222" s="3" t="s">
        <v>114</v>
      </c>
      <c r="F2222" s="3" t="n">
        <f aca="false">IF(C2222="848630",0,1)</f>
        <v>1</v>
      </c>
    </row>
    <row r="2223" customFormat="false" ht="15" hidden="false" customHeight="false" outlineLevel="0" collapsed="false">
      <c r="A2223" s="12" t="n">
        <v>45413</v>
      </c>
      <c r="B2223" s="9" t="s">
        <v>93</v>
      </c>
      <c r="C2223" s="3" t="s">
        <v>108</v>
      </c>
      <c r="D2223" s="3" t="n">
        <v>421000</v>
      </c>
      <c r="E2223" s="3" t="s">
        <v>114</v>
      </c>
      <c r="F2223" s="3" t="n">
        <f aca="false">IF(C2223="848630",0,1)</f>
        <v>1</v>
      </c>
    </row>
    <row r="2224" customFormat="false" ht="15" hidden="false" customHeight="false" outlineLevel="0" collapsed="false">
      <c r="A2224" s="12" t="n">
        <v>45413</v>
      </c>
      <c r="B2224" s="9" t="s">
        <v>93</v>
      </c>
      <c r="C2224" s="3" t="s">
        <v>108</v>
      </c>
      <c r="D2224" s="3" t="n">
        <v>328000</v>
      </c>
      <c r="E2224" s="3" t="s">
        <v>114</v>
      </c>
      <c r="F2224" s="3" t="n">
        <f aca="false">IF(C2224="848630",0,1)</f>
        <v>1</v>
      </c>
    </row>
    <row r="2225" customFormat="false" ht="15" hidden="false" customHeight="false" outlineLevel="0" collapsed="false">
      <c r="A2225" s="12" t="n">
        <v>45413</v>
      </c>
      <c r="B2225" s="9" t="s">
        <v>93</v>
      </c>
      <c r="C2225" s="3" t="s">
        <v>108</v>
      </c>
      <c r="D2225" s="3" t="n">
        <v>2950000</v>
      </c>
      <c r="E2225" s="3" t="s">
        <v>114</v>
      </c>
      <c r="F2225" s="3" t="n">
        <f aca="false">IF(C2225="848630",0,1)</f>
        <v>1</v>
      </c>
    </row>
    <row r="2226" customFormat="false" ht="15" hidden="false" customHeight="false" outlineLevel="0" collapsed="false">
      <c r="A2226" s="12" t="n">
        <v>45413</v>
      </c>
      <c r="B2226" s="9" t="s">
        <v>93</v>
      </c>
      <c r="C2226" s="3" t="s">
        <v>108</v>
      </c>
      <c r="D2226" s="3" t="n">
        <v>12433000</v>
      </c>
      <c r="E2226" s="3" t="s">
        <v>114</v>
      </c>
      <c r="F2226" s="3" t="n">
        <f aca="false">IF(C2226="848630",0,1)</f>
        <v>1</v>
      </c>
    </row>
    <row r="2227" customFormat="false" ht="15" hidden="false" customHeight="false" outlineLevel="0" collapsed="false">
      <c r="A2227" s="12" t="n">
        <v>45413</v>
      </c>
      <c r="B2227" s="9" t="s">
        <v>93</v>
      </c>
      <c r="C2227" s="3" t="s">
        <v>108</v>
      </c>
      <c r="D2227" s="3" t="n">
        <v>706000</v>
      </c>
      <c r="E2227" s="3" t="s">
        <v>114</v>
      </c>
      <c r="F2227" s="3" t="n">
        <f aca="false">IF(C2227="848630",0,1)</f>
        <v>1</v>
      </c>
    </row>
    <row r="2228" customFormat="false" ht="15" hidden="false" customHeight="false" outlineLevel="0" collapsed="false">
      <c r="A2228" s="12" t="n">
        <v>45413</v>
      </c>
      <c r="B2228" s="9" t="s">
        <v>93</v>
      </c>
      <c r="C2228" s="3" t="s">
        <v>108</v>
      </c>
      <c r="D2228" s="3" t="n">
        <v>2327000</v>
      </c>
      <c r="E2228" s="3" t="s">
        <v>114</v>
      </c>
      <c r="F2228" s="3" t="n">
        <f aca="false">IF(C2228="848630",0,1)</f>
        <v>1</v>
      </c>
    </row>
    <row r="2229" customFormat="false" ht="15" hidden="false" customHeight="false" outlineLevel="0" collapsed="false">
      <c r="A2229" s="12" t="n">
        <v>45413</v>
      </c>
      <c r="B2229" s="9" t="s">
        <v>93</v>
      </c>
      <c r="C2229" s="3" t="s">
        <v>109</v>
      </c>
      <c r="D2229" s="3" t="n">
        <v>2312000</v>
      </c>
      <c r="E2229" s="3" t="s">
        <v>114</v>
      </c>
      <c r="F2229" s="3" t="n">
        <f aca="false">IF(C2229="848630",0,1)</f>
        <v>1</v>
      </c>
    </row>
    <row r="2230" customFormat="false" ht="15" hidden="false" customHeight="false" outlineLevel="0" collapsed="false">
      <c r="A2230" s="12" t="n">
        <v>45413</v>
      </c>
      <c r="B2230" s="9" t="s">
        <v>93</v>
      </c>
      <c r="C2230" s="3" t="s">
        <v>109</v>
      </c>
      <c r="D2230" s="3" t="n">
        <v>14668000</v>
      </c>
      <c r="E2230" s="3" t="s">
        <v>114</v>
      </c>
      <c r="F2230" s="3" t="n">
        <f aca="false">IF(C2230="848630",0,1)</f>
        <v>1</v>
      </c>
    </row>
    <row r="2231" customFormat="false" ht="15" hidden="false" customHeight="false" outlineLevel="0" collapsed="false">
      <c r="A2231" s="12" t="n">
        <v>45413</v>
      </c>
      <c r="B2231" s="9" t="s">
        <v>93</v>
      </c>
      <c r="C2231" s="3" t="s">
        <v>109</v>
      </c>
      <c r="D2231" s="3" t="n">
        <v>25874000</v>
      </c>
      <c r="E2231" s="3" t="s">
        <v>114</v>
      </c>
      <c r="F2231" s="3" t="n">
        <f aca="false">IF(C2231="848630",0,1)</f>
        <v>1</v>
      </c>
    </row>
    <row r="2232" customFormat="false" ht="15" hidden="false" customHeight="false" outlineLevel="0" collapsed="false">
      <c r="A2232" s="12" t="n">
        <v>45413</v>
      </c>
      <c r="B2232" s="9" t="s">
        <v>93</v>
      </c>
      <c r="C2232" s="3" t="s">
        <v>109</v>
      </c>
      <c r="D2232" s="3" t="n">
        <v>5418000</v>
      </c>
      <c r="E2232" s="3" t="s">
        <v>114</v>
      </c>
      <c r="F2232" s="3" t="n">
        <f aca="false">IF(C2232="848630",0,1)</f>
        <v>1</v>
      </c>
    </row>
    <row r="2233" customFormat="false" ht="15" hidden="false" customHeight="false" outlineLevel="0" collapsed="false">
      <c r="A2233" s="12" t="n">
        <v>45413</v>
      </c>
      <c r="B2233" s="9" t="s">
        <v>93</v>
      </c>
      <c r="C2233" s="3" t="s">
        <v>109</v>
      </c>
      <c r="D2233" s="3" t="n">
        <v>15050000</v>
      </c>
      <c r="E2233" s="3" t="s">
        <v>114</v>
      </c>
      <c r="F2233" s="3" t="n">
        <f aca="false">IF(C2233="848630",0,1)</f>
        <v>1</v>
      </c>
    </row>
    <row r="2234" customFormat="false" ht="15" hidden="false" customHeight="false" outlineLevel="0" collapsed="false">
      <c r="A2234" s="12" t="n">
        <v>45413</v>
      </c>
      <c r="B2234" s="9" t="s">
        <v>93</v>
      </c>
      <c r="C2234" s="3" t="s">
        <v>109</v>
      </c>
      <c r="D2234" s="3" t="n">
        <v>2032000</v>
      </c>
      <c r="E2234" s="3" t="s">
        <v>114</v>
      </c>
      <c r="F2234" s="3" t="n">
        <f aca="false">IF(C2234="848630",0,1)</f>
        <v>1</v>
      </c>
    </row>
    <row r="2235" customFormat="false" ht="15" hidden="false" customHeight="false" outlineLevel="0" collapsed="false">
      <c r="A2235" s="12" t="n">
        <v>45413</v>
      </c>
      <c r="B2235" s="9" t="s">
        <v>93</v>
      </c>
      <c r="C2235" s="3" t="s">
        <v>109</v>
      </c>
      <c r="D2235" s="3" t="n">
        <v>16000</v>
      </c>
      <c r="E2235" s="3" t="s">
        <v>114</v>
      </c>
      <c r="F2235" s="3" t="n">
        <f aca="false">IF(C2235="848630",0,1)</f>
        <v>1</v>
      </c>
    </row>
    <row r="2236" customFormat="false" ht="15" hidden="false" customHeight="false" outlineLevel="0" collapsed="false">
      <c r="A2236" s="12" t="n">
        <v>45413</v>
      </c>
      <c r="B2236" s="9" t="s">
        <v>93</v>
      </c>
      <c r="C2236" s="3" t="s">
        <v>109</v>
      </c>
      <c r="D2236" s="3" t="n">
        <v>6536000</v>
      </c>
      <c r="E2236" s="3" t="s">
        <v>114</v>
      </c>
      <c r="F2236" s="3" t="n">
        <f aca="false">IF(C2236="848630",0,1)</f>
        <v>1</v>
      </c>
    </row>
    <row r="2237" customFormat="false" ht="15" hidden="false" customHeight="false" outlineLevel="0" collapsed="false">
      <c r="A2237" s="12" t="n">
        <v>45413</v>
      </c>
      <c r="B2237" s="9" t="s">
        <v>93</v>
      </c>
      <c r="C2237" s="3" t="s">
        <v>110</v>
      </c>
      <c r="D2237" s="3" t="n">
        <v>40676000</v>
      </c>
      <c r="E2237" s="3" t="s">
        <v>114</v>
      </c>
      <c r="F2237" s="3" t="n">
        <f aca="false">IF(C2237="848630",0,1)</f>
        <v>1</v>
      </c>
    </row>
    <row r="2238" customFormat="false" ht="15" hidden="false" customHeight="false" outlineLevel="0" collapsed="false">
      <c r="A2238" s="12" t="n">
        <v>45413</v>
      </c>
      <c r="B2238" s="9" t="s">
        <v>93</v>
      </c>
      <c r="C2238" s="3" t="s">
        <v>111</v>
      </c>
      <c r="D2238" s="3" t="n">
        <v>15546000</v>
      </c>
      <c r="E2238" s="3" t="s">
        <v>114</v>
      </c>
      <c r="F2238" s="3" t="n">
        <f aca="false">IF(C2238="848630",0,1)</f>
        <v>1</v>
      </c>
    </row>
    <row r="2239" customFormat="false" ht="15" hidden="false" customHeight="false" outlineLevel="0" collapsed="false">
      <c r="A2239" s="12" t="n">
        <v>45444</v>
      </c>
      <c r="B2239" s="9" t="s">
        <v>93</v>
      </c>
      <c r="C2239" s="3" t="s">
        <v>105</v>
      </c>
      <c r="D2239" s="3" t="n">
        <v>186000</v>
      </c>
      <c r="E2239" s="3" t="s">
        <v>114</v>
      </c>
      <c r="F2239" s="3" t="n">
        <f aca="false">IF(C2239="848630",0,1)</f>
        <v>1</v>
      </c>
    </row>
    <row r="2240" customFormat="false" ht="15" hidden="false" customHeight="false" outlineLevel="0" collapsed="false">
      <c r="A2240" s="12" t="n">
        <v>45444</v>
      </c>
      <c r="B2240" s="9" t="s">
        <v>93</v>
      </c>
      <c r="C2240" s="3" t="s">
        <v>105</v>
      </c>
      <c r="D2240" s="3" t="n">
        <v>1000</v>
      </c>
      <c r="E2240" s="3" t="s">
        <v>114</v>
      </c>
      <c r="F2240" s="3" t="n">
        <f aca="false">IF(C2240="848630",0,1)</f>
        <v>1</v>
      </c>
    </row>
    <row r="2241" customFormat="false" ht="15" hidden="false" customHeight="false" outlineLevel="0" collapsed="false">
      <c r="A2241" s="12" t="n">
        <v>45444</v>
      </c>
      <c r="B2241" s="9" t="s">
        <v>93</v>
      </c>
      <c r="C2241" s="3" t="s">
        <v>105</v>
      </c>
      <c r="D2241" s="3" t="n">
        <v>0</v>
      </c>
      <c r="E2241" s="3" t="s">
        <v>114</v>
      </c>
      <c r="F2241" s="3" t="n">
        <f aca="false">IF(C2241="848630",0,1)</f>
        <v>1</v>
      </c>
    </row>
    <row r="2242" customFormat="false" ht="15" hidden="false" customHeight="false" outlineLevel="0" collapsed="false">
      <c r="A2242" s="12" t="n">
        <v>45444</v>
      </c>
      <c r="B2242" s="9" t="s">
        <v>93</v>
      </c>
      <c r="C2242" s="3" t="s">
        <v>107</v>
      </c>
      <c r="D2242" s="3" t="n">
        <v>736000</v>
      </c>
      <c r="E2242" s="3" t="s">
        <v>114</v>
      </c>
      <c r="F2242" s="3" t="n">
        <f aca="false">IF(C2242="848630",0,1)</f>
        <v>1</v>
      </c>
    </row>
    <row r="2243" customFormat="false" ht="15" hidden="false" customHeight="false" outlineLevel="0" collapsed="false">
      <c r="A2243" s="12" t="n">
        <v>45444</v>
      </c>
      <c r="B2243" s="9" t="s">
        <v>93</v>
      </c>
      <c r="C2243" s="3" t="s">
        <v>107</v>
      </c>
      <c r="D2243" s="3" t="n">
        <v>10000</v>
      </c>
      <c r="E2243" s="3" t="s">
        <v>114</v>
      </c>
      <c r="F2243" s="3" t="n">
        <f aca="false">IF(C2243="848630",0,1)</f>
        <v>1</v>
      </c>
    </row>
    <row r="2244" customFormat="false" ht="15" hidden="false" customHeight="false" outlineLevel="0" collapsed="false">
      <c r="A2244" s="12" t="n">
        <v>45444</v>
      </c>
      <c r="B2244" s="9" t="s">
        <v>93</v>
      </c>
      <c r="C2244" s="3" t="s">
        <v>107</v>
      </c>
      <c r="D2244" s="3" t="n">
        <v>37719000</v>
      </c>
      <c r="E2244" s="3" t="s">
        <v>114</v>
      </c>
      <c r="F2244" s="3" t="n">
        <f aca="false">IF(C2244="848630",0,1)</f>
        <v>1</v>
      </c>
    </row>
    <row r="2245" customFormat="false" ht="15" hidden="false" customHeight="false" outlineLevel="0" collapsed="false">
      <c r="A2245" s="12" t="n">
        <v>45444</v>
      </c>
      <c r="B2245" s="9" t="s">
        <v>93</v>
      </c>
      <c r="C2245" s="3" t="s">
        <v>107</v>
      </c>
      <c r="D2245" s="3" t="n">
        <v>20010000</v>
      </c>
      <c r="E2245" s="3" t="s">
        <v>114</v>
      </c>
      <c r="F2245" s="3" t="n">
        <f aca="false">IF(C2245="848630",0,1)</f>
        <v>1</v>
      </c>
    </row>
    <row r="2246" customFormat="false" ht="15" hidden="false" customHeight="false" outlineLevel="0" collapsed="false">
      <c r="A2246" s="12" t="n">
        <v>45444</v>
      </c>
      <c r="B2246" s="9" t="s">
        <v>93</v>
      </c>
      <c r="C2246" s="3" t="s">
        <v>107</v>
      </c>
      <c r="D2246" s="3" t="n">
        <v>1037000</v>
      </c>
      <c r="E2246" s="3" t="s">
        <v>114</v>
      </c>
      <c r="F2246" s="3" t="n">
        <f aca="false">IF(C2246="848630",0,1)</f>
        <v>1</v>
      </c>
    </row>
    <row r="2247" customFormat="false" ht="15" hidden="false" customHeight="false" outlineLevel="0" collapsed="false">
      <c r="A2247" s="12" t="n">
        <v>45444</v>
      </c>
      <c r="B2247" s="9" t="s">
        <v>93</v>
      </c>
      <c r="C2247" s="3" t="s">
        <v>107</v>
      </c>
      <c r="D2247" s="3" t="n">
        <v>14788000</v>
      </c>
      <c r="E2247" s="3" t="s">
        <v>114</v>
      </c>
      <c r="F2247" s="3" t="n">
        <f aca="false">IF(C2247="848630",0,1)</f>
        <v>1</v>
      </c>
    </row>
    <row r="2248" customFormat="false" ht="15" hidden="false" customHeight="false" outlineLevel="0" collapsed="false">
      <c r="A2248" s="12" t="n">
        <v>45444</v>
      </c>
      <c r="B2248" s="9" t="s">
        <v>93</v>
      </c>
      <c r="C2248" s="3" t="s">
        <v>107</v>
      </c>
      <c r="D2248" s="3" t="n">
        <v>0</v>
      </c>
      <c r="E2248" s="3" t="s">
        <v>114</v>
      </c>
      <c r="F2248" s="3" t="n">
        <f aca="false">IF(C2248="848630",0,1)</f>
        <v>1</v>
      </c>
    </row>
    <row r="2249" customFormat="false" ht="15" hidden="false" customHeight="false" outlineLevel="0" collapsed="false">
      <c r="A2249" s="12" t="n">
        <v>45444</v>
      </c>
      <c r="B2249" s="9" t="s">
        <v>93</v>
      </c>
      <c r="C2249" s="3" t="s">
        <v>107</v>
      </c>
      <c r="D2249" s="3" t="n">
        <v>23018000</v>
      </c>
      <c r="E2249" s="3" t="s">
        <v>114</v>
      </c>
      <c r="F2249" s="3" t="n">
        <f aca="false">IF(C2249="848630",0,1)</f>
        <v>1</v>
      </c>
    </row>
    <row r="2250" customFormat="false" ht="15" hidden="false" customHeight="false" outlineLevel="0" collapsed="false">
      <c r="A2250" s="12" t="n">
        <v>45444</v>
      </c>
      <c r="B2250" s="9" t="s">
        <v>93</v>
      </c>
      <c r="C2250" s="3" t="s">
        <v>107</v>
      </c>
      <c r="D2250" s="3" t="n">
        <v>309000</v>
      </c>
      <c r="E2250" s="3" t="s">
        <v>114</v>
      </c>
      <c r="F2250" s="3" t="n">
        <f aca="false">IF(C2250="848630",0,1)</f>
        <v>1</v>
      </c>
    </row>
    <row r="2251" customFormat="false" ht="15" hidden="false" customHeight="false" outlineLevel="0" collapsed="false">
      <c r="A2251" s="12" t="n">
        <v>45444</v>
      </c>
      <c r="B2251" s="9" t="s">
        <v>93</v>
      </c>
      <c r="C2251" s="3" t="s">
        <v>107</v>
      </c>
      <c r="D2251" s="3" t="n">
        <v>0</v>
      </c>
      <c r="E2251" s="3" t="s">
        <v>114</v>
      </c>
      <c r="F2251" s="3" t="n">
        <f aca="false">IF(C2251="848630",0,1)</f>
        <v>1</v>
      </c>
    </row>
    <row r="2252" customFormat="false" ht="15" hidden="false" customHeight="false" outlineLevel="0" collapsed="false">
      <c r="A2252" s="12" t="n">
        <v>45444</v>
      </c>
      <c r="B2252" s="9" t="s">
        <v>93</v>
      </c>
      <c r="C2252" s="3" t="s">
        <v>107</v>
      </c>
      <c r="D2252" s="3" t="n">
        <v>8162000</v>
      </c>
      <c r="E2252" s="3" t="s">
        <v>114</v>
      </c>
      <c r="F2252" s="3" t="n">
        <f aca="false">IF(C2252="848630",0,1)</f>
        <v>1</v>
      </c>
    </row>
    <row r="2253" customFormat="false" ht="15" hidden="false" customHeight="false" outlineLevel="0" collapsed="false">
      <c r="A2253" s="12" t="n">
        <v>45444</v>
      </c>
      <c r="B2253" s="9" t="s">
        <v>93</v>
      </c>
      <c r="C2253" s="3" t="s">
        <v>107</v>
      </c>
      <c r="D2253" s="3" t="n">
        <v>31991000</v>
      </c>
      <c r="E2253" s="3" t="s">
        <v>114</v>
      </c>
      <c r="F2253" s="3" t="n">
        <f aca="false">IF(C2253="848630",0,1)</f>
        <v>1</v>
      </c>
    </row>
    <row r="2254" customFormat="false" ht="15" hidden="false" customHeight="false" outlineLevel="0" collapsed="false">
      <c r="A2254" s="12" t="n">
        <v>45444</v>
      </c>
      <c r="B2254" s="9" t="s">
        <v>93</v>
      </c>
      <c r="C2254" s="3" t="s">
        <v>107</v>
      </c>
      <c r="D2254" s="3" t="n">
        <v>12241000</v>
      </c>
      <c r="E2254" s="3" t="s">
        <v>114</v>
      </c>
      <c r="F2254" s="3" t="n">
        <f aca="false">IF(C2254="848630",0,1)</f>
        <v>1</v>
      </c>
    </row>
    <row r="2255" customFormat="false" ht="15" hidden="false" customHeight="false" outlineLevel="0" collapsed="false">
      <c r="A2255" s="12" t="n">
        <v>45444</v>
      </c>
      <c r="B2255" s="9" t="s">
        <v>93</v>
      </c>
      <c r="C2255" s="3" t="s">
        <v>107</v>
      </c>
      <c r="D2255" s="3" t="n">
        <v>2635000</v>
      </c>
      <c r="E2255" s="3" t="s">
        <v>114</v>
      </c>
      <c r="F2255" s="3" t="n">
        <f aca="false">IF(C2255="848630",0,1)</f>
        <v>1</v>
      </c>
    </row>
    <row r="2256" customFormat="false" ht="15" hidden="false" customHeight="false" outlineLevel="0" collapsed="false">
      <c r="A2256" s="12" t="n">
        <v>45444</v>
      </c>
      <c r="B2256" s="9" t="s">
        <v>93</v>
      </c>
      <c r="C2256" s="3" t="s">
        <v>107</v>
      </c>
      <c r="D2256" s="3" t="n">
        <v>952000</v>
      </c>
      <c r="E2256" s="3" t="s">
        <v>114</v>
      </c>
      <c r="F2256" s="3" t="n">
        <f aca="false">IF(C2256="848630",0,1)</f>
        <v>1</v>
      </c>
    </row>
    <row r="2257" customFormat="false" ht="15" hidden="false" customHeight="false" outlineLevel="0" collapsed="false">
      <c r="A2257" s="12" t="n">
        <v>45444</v>
      </c>
      <c r="B2257" s="9" t="s">
        <v>93</v>
      </c>
      <c r="C2257" s="3" t="s">
        <v>107</v>
      </c>
      <c r="D2257" s="3" t="n">
        <v>1155000</v>
      </c>
      <c r="E2257" s="3" t="s">
        <v>114</v>
      </c>
      <c r="F2257" s="3" t="n">
        <f aca="false">IF(C2257="848630",0,1)</f>
        <v>1</v>
      </c>
    </row>
    <row r="2258" customFormat="false" ht="15" hidden="false" customHeight="false" outlineLevel="0" collapsed="false">
      <c r="A2258" s="12" t="n">
        <v>45444</v>
      </c>
      <c r="B2258" s="9" t="s">
        <v>93</v>
      </c>
      <c r="C2258" s="3" t="s">
        <v>107</v>
      </c>
      <c r="D2258" s="3" t="n">
        <v>3896000</v>
      </c>
      <c r="E2258" s="3" t="s">
        <v>114</v>
      </c>
      <c r="F2258" s="3" t="n">
        <f aca="false">IF(C2258="848630",0,1)</f>
        <v>1</v>
      </c>
    </row>
    <row r="2259" customFormat="false" ht="15" hidden="false" customHeight="false" outlineLevel="0" collapsed="false">
      <c r="A2259" s="12" t="n">
        <v>45444</v>
      </c>
      <c r="B2259" s="9" t="s">
        <v>93</v>
      </c>
      <c r="C2259" s="3" t="s">
        <v>107</v>
      </c>
      <c r="D2259" s="3" t="n">
        <v>15702000</v>
      </c>
      <c r="E2259" s="3" t="s">
        <v>114</v>
      </c>
      <c r="F2259" s="3" t="n">
        <f aca="false">IF(C2259="848630",0,1)</f>
        <v>1</v>
      </c>
    </row>
    <row r="2260" customFormat="false" ht="15" hidden="false" customHeight="false" outlineLevel="0" collapsed="false">
      <c r="A2260" s="12" t="n">
        <v>45444</v>
      </c>
      <c r="B2260" s="9" t="s">
        <v>93</v>
      </c>
      <c r="C2260" s="3" t="s">
        <v>112</v>
      </c>
      <c r="D2260" s="3" t="n">
        <v>1538000</v>
      </c>
      <c r="E2260" s="3" t="s">
        <v>114</v>
      </c>
      <c r="F2260" s="3" t="n">
        <f aca="false">IF(C2260="848630",0,1)</f>
        <v>0</v>
      </c>
    </row>
    <row r="2261" customFormat="false" ht="15" hidden="false" customHeight="false" outlineLevel="0" collapsed="false">
      <c r="A2261" s="12" t="n">
        <v>45444</v>
      </c>
      <c r="B2261" s="9" t="s">
        <v>93</v>
      </c>
      <c r="C2261" s="3" t="s">
        <v>112</v>
      </c>
      <c r="D2261" s="3" t="n">
        <v>44850000</v>
      </c>
      <c r="E2261" s="3" t="s">
        <v>114</v>
      </c>
      <c r="F2261" s="3" t="n">
        <f aca="false">IF(C2261="848630",0,1)</f>
        <v>0</v>
      </c>
    </row>
    <row r="2262" customFormat="false" ht="15" hidden="false" customHeight="false" outlineLevel="0" collapsed="false">
      <c r="A2262" s="12" t="n">
        <v>45444</v>
      </c>
      <c r="B2262" s="9" t="s">
        <v>93</v>
      </c>
      <c r="C2262" s="3" t="s">
        <v>112</v>
      </c>
      <c r="D2262" s="3" t="n">
        <v>51000</v>
      </c>
      <c r="E2262" s="3" t="s">
        <v>114</v>
      </c>
      <c r="F2262" s="3" t="n">
        <f aca="false">IF(C2262="848630",0,1)</f>
        <v>0</v>
      </c>
    </row>
    <row r="2263" customFormat="false" ht="15" hidden="false" customHeight="false" outlineLevel="0" collapsed="false">
      <c r="A2263" s="12" t="n">
        <v>45444</v>
      </c>
      <c r="B2263" s="9" t="s">
        <v>93</v>
      </c>
      <c r="C2263" s="3" t="s">
        <v>112</v>
      </c>
      <c r="D2263" s="3" t="n">
        <v>83000</v>
      </c>
      <c r="E2263" s="3" t="s">
        <v>114</v>
      </c>
      <c r="F2263" s="3" t="n">
        <f aca="false">IF(C2263="848630",0,1)</f>
        <v>0</v>
      </c>
    </row>
    <row r="2264" customFormat="false" ht="15" hidden="false" customHeight="false" outlineLevel="0" collapsed="false">
      <c r="A2264" s="12" t="n">
        <v>45444</v>
      </c>
      <c r="B2264" s="9" t="s">
        <v>93</v>
      </c>
      <c r="C2264" s="3" t="s">
        <v>112</v>
      </c>
      <c r="D2264" s="3" t="n">
        <v>2000000</v>
      </c>
      <c r="E2264" s="3" t="s">
        <v>114</v>
      </c>
      <c r="F2264" s="3" t="n">
        <f aca="false">IF(C2264="848630",0,1)</f>
        <v>0</v>
      </c>
    </row>
    <row r="2265" customFormat="false" ht="15" hidden="false" customHeight="false" outlineLevel="0" collapsed="false">
      <c r="A2265" s="12" t="n">
        <v>45444</v>
      </c>
      <c r="B2265" s="9" t="s">
        <v>93</v>
      </c>
      <c r="C2265" s="3" t="s">
        <v>108</v>
      </c>
      <c r="D2265" s="3" t="n">
        <v>1468000</v>
      </c>
      <c r="E2265" s="3" t="s">
        <v>114</v>
      </c>
      <c r="F2265" s="3" t="n">
        <f aca="false">IF(C2265="848630",0,1)</f>
        <v>1</v>
      </c>
    </row>
    <row r="2266" customFormat="false" ht="15" hidden="false" customHeight="false" outlineLevel="0" collapsed="false">
      <c r="A2266" s="12" t="n">
        <v>45444</v>
      </c>
      <c r="B2266" s="9" t="s">
        <v>93</v>
      </c>
      <c r="C2266" s="3" t="s">
        <v>108</v>
      </c>
      <c r="D2266" s="3" t="n">
        <v>5623000</v>
      </c>
      <c r="E2266" s="3" t="s">
        <v>114</v>
      </c>
      <c r="F2266" s="3" t="n">
        <f aca="false">IF(C2266="848630",0,1)</f>
        <v>1</v>
      </c>
    </row>
    <row r="2267" customFormat="false" ht="15" hidden="false" customHeight="false" outlineLevel="0" collapsed="false">
      <c r="A2267" s="12" t="n">
        <v>45444</v>
      </c>
      <c r="B2267" s="9" t="s">
        <v>93</v>
      </c>
      <c r="C2267" s="3" t="s">
        <v>108</v>
      </c>
      <c r="D2267" s="3" t="n">
        <v>2276000</v>
      </c>
      <c r="E2267" s="3" t="s">
        <v>114</v>
      </c>
      <c r="F2267" s="3" t="n">
        <f aca="false">IF(C2267="848630",0,1)</f>
        <v>1</v>
      </c>
    </row>
    <row r="2268" customFormat="false" ht="15" hidden="false" customHeight="false" outlineLevel="0" collapsed="false">
      <c r="A2268" s="12" t="n">
        <v>45444</v>
      </c>
      <c r="B2268" s="9" t="s">
        <v>93</v>
      </c>
      <c r="C2268" s="3" t="s">
        <v>108</v>
      </c>
      <c r="D2268" s="3" t="n">
        <v>1000</v>
      </c>
      <c r="E2268" s="3" t="s">
        <v>114</v>
      </c>
      <c r="F2268" s="3" t="n">
        <f aca="false">IF(C2268="848630",0,1)</f>
        <v>1</v>
      </c>
    </row>
    <row r="2269" customFormat="false" ht="15" hidden="false" customHeight="false" outlineLevel="0" collapsed="false">
      <c r="A2269" s="12" t="n">
        <v>45444</v>
      </c>
      <c r="B2269" s="9" t="s">
        <v>93</v>
      </c>
      <c r="C2269" s="3" t="s">
        <v>108</v>
      </c>
      <c r="D2269" s="3" t="n">
        <v>336000</v>
      </c>
      <c r="E2269" s="3" t="s">
        <v>114</v>
      </c>
      <c r="F2269" s="3" t="n">
        <f aca="false">IF(C2269="848630",0,1)</f>
        <v>1</v>
      </c>
    </row>
    <row r="2270" customFormat="false" ht="15" hidden="false" customHeight="false" outlineLevel="0" collapsed="false">
      <c r="A2270" s="12" t="n">
        <v>45444</v>
      </c>
      <c r="B2270" s="9" t="s">
        <v>93</v>
      </c>
      <c r="C2270" s="3" t="s">
        <v>108</v>
      </c>
      <c r="D2270" s="3" t="n">
        <v>9000</v>
      </c>
      <c r="E2270" s="3" t="s">
        <v>114</v>
      </c>
      <c r="F2270" s="3" t="n">
        <f aca="false">IF(C2270="848630",0,1)</f>
        <v>1</v>
      </c>
    </row>
    <row r="2271" customFormat="false" ht="15" hidden="false" customHeight="false" outlineLevel="0" collapsed="false">
      <c r="A2271" s="12" t="n">
        <v>45444</v>
      </c>
      <c r="B2271" s="9" t="s">
        <v>93</v>
      </c>
      <c r="C2271" s="3" t="s">
        <v>108</v>
      </c>
      <c r="D2271" s="3" t="n">
        <v>11692000</v>
      </c>
      <c r="E2271" s="3" t="s">
        <v>114</v>
      </c>
      <c r="F2271" s="3" t="n">
        <f aca="false">IF(C2271="848630",0,1)</f>
        <v>1</v>
      </c>
    </row>
    <row r="2272" customFormat="false" ht="15" hidden="false" customHeight="false" outlineLevel="0" collapsed="false">
      <c r="A2272" s="12" t="n">
        <v>45444</v>
      </c>
      <c r="B2272" s="9" t="s">
        <v>93</v>
      </c>
      <c r="C2272" s="3" t="s">
        <v>108</v>
      </c>
      <c r="D2272" s="3" t="n">
        <v>37000</v>
      </c>
      <c r="E2272" s="3" t="s">
        <v>114</v>
      </c>
      <c r="F2272" s="3" t="n">
        <f aca="false">IF(C2272="848630",0,1)</f>
        <v>1</v>
      </c>
    </row>
    <row r="2273" customFormat="false" ht="15" hidden="false" customHeight="false" outlineLevel="0" collapsed="false">
      <c r="A2273" s="12" t="n">
        <v>45444</v>
      </c>
      <c r="B2273" s="9" t="s">
        <v>93</v>
      </c>
      <c r="C2273" s="3" t="s">
        <v>108</v>
      </c>
      <c r="D2273" s="3" t="n">
        <v>845000</v>
      </c>
      <c r="E2273" s="3" t="s">
        <v>114</v>
      </c>
      <c r="F2273" s="3" t="n">
        <f aca="false">IF(C2273="848630",0,1)</f>
        <v>1</v>
      </c>
    </row>
    <row r="2274" customFormat="false" ht="15" hidden="false" customHeight="false" outlineLevel="0" collapsed="false">
      <c r="A2274" s="12" t="n">
        <v>45444</v>
      </c>
      <c r="B2274" s="9" t="s">
        <v>93</v>
      </c>
      <c r="C2274" s="3" t="s">
        <v>109</v>
      </c>
      <c r="D2274" s="3" t="n">
        <v>1606000</v>
      </c>
      <c r="E2274" s="3" t="s">
        <v>114</v>
      </c>
      <c r="F2274" s="3" t="n">
        <f aca="false">IF(C2274="848630",0,1)</f>
        <v>1</v>
      </c>
    </row>
    <row r="2275" customFormat="false" ht="15" hidden="false" customHeight="false" outlineLevel="0" collapsed="false">
      <c r="A2275" s="12" t="n">
        <v>45444</v>
      </c>
      <c r="B2275" s="9" t="s">
        <v>93</v>
      </c>
      <c r="C2275" s="3" t="s">
        <v>109</v>
      </c>
      <c r="D2275" s="3" t="n">
        <v>11500000</v>
      </c>
      <c r="E2275" s="3" t="s">
        <v>114</v>
      </c>
      <c r="F2275" s="3" t="n">
        <f aca="false">IF(C2275="848630",0,1)</f>
        <v>1</v>
      </c>
    </row>
    <row r="2276" customFormat="false" ht="15" hidden="false" customHeight="false" outlineLevel="0" collapsed="false">
      <c r="A2276" s="12" t="n">
        <v>45444</v>
      </c>
      <c r="B2276" s="9" t="s">
        <v>93</v>
      </c>
      <c r="C2276" s="3" t="s">
        <v>109</v>
      </c>
      <c r="D2276" s="3" t="n">
        <v>27000000</v>
      </c>
      <c r="E2276" s="3" t="s">
        <v>114</v>
      </c>
      <c r="F2276" s="3" t="n">
        <f aca="false">IF(C2276="848630",0,1)</f>
        <v>1</v>
      </c>
    </row>
    <row r="2277" customFormat="false" ht="15" hidden="false" customHeight="false" outlineLevel="0" collapsed="false">
      <c r="A2277" s="12" t="n">
        <v>45444</v>
      </c>
      <c r="B2277" s="9" t="s">
        <v>93</v>
      </c>
      <c r="C2277" s="3" t="s">
        <v>109</v>
      </c>
      <c r="D2277" s="3" t="n">
        <v>5175000</v>
      </c>
      <c r="E2277" s="3" t="s">
        <v>114</v>
      </c>
      <c r="F2277" s="3" t="n">
        <f aca="false">IF(C2277="848630",0,1)</f>
        <v>1</v>
      </c>
    </row>
    <row r="2278" customFormat="false" ht="15" hidden="false" customHeight="false" outlineLevel="0" collapsed="false">
      <c r="A2278" s="12" t="n">
        <v>45444</v>
      </c>
      <c r="B2278" s="9" t="s">
        <v>93</v>
      </c>
      <c r="C2278" s="3" t="s">
        <v>109</v>
      </c>
      <c r="D2278" s="3" t="n">
        <v>12847000</v>
      </c>
      <c r="E2278" s="3" t="s">
        <v>114</v>
      </c>
      <c r="F2278" s="3" t="n">
        <f aca="false">IF(C2278="848630",0,1)</f>
        <v>1</v>
      </c>
    </row>
    <row r="2279" customFormat="false" ht="15" hidden="false" customHeight="false" outlineLevel="0" collapsed="false">
      <c r="A2279" s="12" t="n">
        <v>45444</v>
      </c>
      <c r="B2279" s="9" t="s">
        <v>93</v>
      </c>
      <c r="C2279" s="3" t="s">
        <v>109</v>
      </c>
      <c r="D2279" s="3" t="n">
        <v>3209000</v>
      </c>
      <c r="E2279" s="3" t="s">
        <v>114</v>
      </c>
      <c r="F2279" s="3" t="n">
        <f aca="false">IF(C2279="848630",0,1)</f>
        <v>1</v>
      </c>
    </row>
    <row r="2280" customFormat="false" ht="15" hidden="false" customHeight="false" outlineLevel="0" collapsed="false">
      <c r="A2280" s="12" t="n">
        <v>45444</v>
      </c>
      <c r="B2280" s="9" t="s">
        <v>93</v>
      </c>
      <c r="C2280" s="3" t="s">
        <v>109</v>
      </c>
      <c r="D2280" s="3" t="n">
        <v>451000</v>
      </c>
      <c r="E2280" s="3" t="s">
        <v>114</v>
      </c>
      <c r="F2280" s="3" t="n">
        <f aca="false">IF(C2280="848630",0,1)</f>
        <v>1</v>
      </c>
    </row>
    <row r="2281" customFormat="false" ht="15" hidden="false" customHeight="false" outlineLevel="0" collapsed="false">
      <c r="A2281" s="12" t="n">
        <v>45444</v>
      </c>
      <c r="B2281" s="9" t="s">
        <v>93</v>
      </c>
      <c r="C2281" s="3" t="s">
        <v>109</v>
      </c>
      <c r="D2281" s="3" t="n">
        <v>5448000</v>
      </c>
      <c r="E2281" s="3" t="s">
        <v>114</v>
      </c>
      <c r="F2281" s="3" t="n">
        <f aca="false">IF(C2281="848630",0,1)</f>
        <v>1</v>
      </c>
    </row>
    <row r="2282" customFormat="false" ht="15" hidden="false" customHeight="false" outlineLevel="0" collapsed="false">
      <c r="A2282" s="12" t="n">
        <v>45444</v>
      </c>
      <c r="B2282" s="9" t="s">
        <v>93</v>
      </c>
      <c r="C2282" s="3" t="s">
        <v>110</v>
      </c>
      <c r="D2282" s="3" t="n">
        <v>47188000</v>
      </c>
      <c r="E2282" s="3" t="s">
        <v>114</v>
      </c>
      <c r="F2282" s="3" t="n">
        <f aca="false">IF(C2282="848630",0,1)</f>
        <v>1</v>
      </c>
    </row>
    <row r="2283" customFormat="false" ht="15" hidden="false" customHeight="false" outlineLevel="0" collapsed="false">
      <c r="A2283" s="12" t="n">
        <v>45444</v>
      </c>
      <c r="B2283" s="9" t="s">
        <v>93</v>
      </c>
      <c r="C2283" s="3" t="s">
        <v>111</v>
      </c>
      <c r="D2283" s="3" t="n">
        <v>7000</v>
      </c>
      <c r="E2283" s="3" t="s">
        <v>114</v>
      </c>
      <c r="F2283" s="3" t="n">
        <f aca="false">IF(C2283="848630",0,1)</f>
        <v>1</v>
      </c>
    </row>
    <row r="2284" customFormat="false" ht="15" hidden="false" customHeight="false" outlineLevel="0" collapsed="false">
      <c r="A2284" s="12" t="n">
        <v>45444</v>
      </c>
      <c r="B2284" s="9" t="s">
        <v>93</v>
      </c>
      <c r="C2284" s="3" t="s">
        <v>111</v>
      </c>
      <c r="D2284" s="3" t="n">
        <v>13467000</v>
      </c>
      <c r="E2284" s="3" t="s">
        <v>114</v>
      </c>
      <c r="F2284" s="3" t="n">
        <f aca="false">IF(C2284="848630",0,1)</f>
        <v>1</v>
      </c>
    </row>
    <row r="2285" customFormat="false" ht="15" hidden="false" customHeight="false" outlineLevel="0" collapsed="false">
      <c r="A2285" s="12" t="n">
        <v>45474</v>
      </c>
      <c r="B2285" s="9" t="s">
        <v>93</v>
      </c>
      <c r="C2285" s="3" t="s">
        <v>105</v>
      </c>
      <c r="D2285" s="3" t="n">
        <v>5931000</v>
      </c>
      <c r="E2285" s="3" t="s">
        <v>114</v>
      </c>
      <c r="F2285" s="3" t="n">
        <f aca="false">IF(C2285="848630",0,1)</f>
        <v>1</v>
      </c>
    </row>
    <row r="2286" customFormat="false" ht="15" hidden="false" customHeight="false" outlineLevel="0" collapsed="false">
      <c r="A2286" s="12" t="n">
        <v>45474</v>
      </c>
      <c r="B2286" s="9" t="s">
        <v>93</v>
      </c>
      <c r="C2286" s="3" t="s">
        <v>105</v>
      </c>
      <c r="D2286" s="3" t="n">
        <v>550000</v>
      </c>
      <c r="E2286" s="3" t="s">
        <v>114</v>
      </c>
      <c r="F2286" s="3" t="n">
        <f aca="false">IF(C2286="848630",0,1)</f>
        <v>1</v>
      </c>
    </row>
    <row r="2287" customFormat="false" ht="15" hidden="false" customHeight="false" outlineLevel="0" collapsed="false">
      <c r="A2287" s="12" t="n">
        <v>45474</v>
      </c>
      <c r="B2287" s="9" t="s">
        <v>93</v>
      </c>
      <c r="C2287" s="3" t="s">
        <v>105</v>
      </c>
      <c r="D2287" s="3" t="n">
        <v>3000</v>
      </c>
      <c r="E2287" s="3" t="s">
        <v>114</v>
      </c>
      <c r="F2287" s="3" t="n">
        <f aca="false">IF(C2287="848630",0,1)</f>
        <v>1</v>
      </c>
    </row>
    <row r="2288" customFormat="false" ht="15" hidden="false" customHeight="false" outlineLevel="0" collapsed="false">
      <c r="A2288" s="12" t="n">
        <v>45474</v>
      </c>
      <c r="B2288" s="9" t="s">
        <v>93</v>
      </c>
      <c r="C2288" s="3" t="s">
        <v>107</v>
      </c>
      <c r="D2288" s="3" t="n">
        <v>25000</v>
      </c>
      <c r="E2288" s="3" t="s">
        <v>114</v>
      </c>
      <c r="F2288" s="3" t="n">
        <f aca="false">IF(C2288="848630",0,1)</f>
        <v>1</v>
      </c>
    </row>
    <row r="2289" customFormat="false" ht="15" hidden="false" customHeight="false" outlineLevel="0" collapsed="false">
      <c r="A2289" s="12" t="n">
        <v>45474</v>
      </c>
      <c r="B2289" s="9" t="s">
        <v>93</v>
      </c>
      <c r="C2289" s="3" t="s">
        <v>107</v>
      </c>
      <c r="D2289" s="3" t="n">
        <v>715000</v>
      </c>
      <c r="E2289" s="3" t="s">
        <v>114</v>
      </c>
      <c r="F2289" s="3" t="n">
        <f aca="false">IF(C2289="848630",0,1)</f>
        <v>1</v>
      </c>
    </row>
    <row r="2290" customFormat="false" ht="15" hidden="false" customHeight="false" outlineLevel="0" collapsed="false">
      <c r="A2290" s="12" t="n">
        <v>45474</v>
      </c>
      <c r="B2290" s="9" t="s">
        <v>93</v>
      </c>
      <c r="C2290" s="3" t="s">
        <v>107</v>
      </c>
      <c r="D2290" s="3" t="n">
        <v>63987000</v>
      </c>
      <c r="E2290" s="3" t="s">
        <v>114</v>
      </c>
      <c r="F2290" s="3" t="n">
        <f aca="false">IF(C2290="848630",0,1)</f>
        <v>1</v>
      </c>
    </row>
    <row r="2291" customFormat="false" ht="15" hidden="false" customHeight="false" outlineLevel="0" collapsed="false">
      <c r="A2291" s="12" t="n">
        <v>45474</v>
      </c>
      <c r="B2291" s="9" t="s">
        <v>93</v>
      </c>
      <c r="C2291" s="3" t="s">
        <v>107</v>
      </c>
      <c r="D2291" s="3" t="n">
        <v>13006000</v>
      </c>
      <c r="E2291" s="3" t="s">
        <v>114</v>
      </c>
      <c r="F2291" s="3" t="n">
        <f aca="false">IF(C2291="848630",0,1)</f>
        <v>1</v>
      </c>
    </row>
    <row r="2292" customFormat="false" ht="15" hidden="false" customHeight="false" outlineLevel="0" collapsed="false">
      <c r="A2292" s="12" t="n">
        <v>45474</v>
      </c>
      <c r="B2292" s="9" t="s">
        <v>93</v>
      </c>
      <c r="C2292" s="3" t="s">
        <v>107</v>
      </c>
      <c r="D2292" s="3" t="n">
        <v>17709000</v>
      </c>
      <c r="E2292" s="3" t="s">
        <v>114</v>
      </c>
      <c r="F2292" s="3" t="n">
        <f aca="false">IF(C2292="848630",0,1)</f>
        <v>1</v>
      </c>
    </row>
    <row r="2293" customFormat="false" ht="15" hidden="false" customHeight="false" outlineLevel="0" collapsed="false">
      <c r="A2293" s="12" t="n">
        <v>45474</v>
      </c>
      <c r="B2293" s="9" t="s">
        <v>93</v>
      </c>
      <c r="C2293" s="3" t="s">
        <v>107</v>
      </c>
      <c r="D2293" s="3" t="n">
        <v>1124000</v>
      </c>
      <c r="E2293" s="3" t="s">
        <v>114</v>
      </c>
      <c r="F2293" s="3" t="n">
        <f aca="false">IF(C2293="848630",0,1)</f>
        <v>1</v>
      </c>
    </row>
    <row r="2294" customFormat="false" ht="15" hidden="false" customHeight="false" outlineLevel="0" collapsed="false">
      <c r="A2294" s="12" t="n">
        <v>45474</v>
      </c>
      <c r="B2294" s="9" t="s">
        <v>93</v>
      </c>
      <c r="C2294" s="3" t="s">
        <v>107</v>
      </c>
      <c r="D2294" s="3" t="n">
        <v>12089000</v>
      </c>
      <c r="E2294" s="3" t="s">
        <v>114</v>
      </c>
      <c r="F2294" s="3" t="n">
        <f aca="false">IF(C2294="848630",0,1)</f>
        <v>1</v>
      </c>
    </row>
    <row r="2295" customFormat="false" ht="15" hidden="false" customHeight="false" outlineLevel="0" collapsed="false">
      <c r="A2295" s="12" t="n">
        <v>45474</v>
      </c>
      <c r="B2295" s="9" t="s">
        <v>93</v>
      </c>
      <c r="C2295" s="3" t="s">
        <v>107</v>
      </c>
      <c r="D2295" s="3" t="n">
        <v>119000</v>
      </c>
      <c r="E2295" s="3" t="s">
        <v>114</v>
      </c>
      <c r="F2295" s="3" t="n">
        <f aca="false">IF(C2295="848630",0,1)</f>
        <v>1</v>
      </c>
    </row>
    <row r="2296" customFormat="false" ht="15" hidden="false" customHeight="false" outlineLevel="0" collapsed="false">
      <c r="A2296" s="12" t="n">
        <v>45474</v>
      </c>
      <c r="B2296" s="9" t="s">
        <v>93</v>
      </c>
      <c r="C2296" s="3" t="s">
        <v>107</v>
      </c>
      <c r="D2296" s="3" t="n">
        <v>28400000</v>
      </c>
      <c r="E2296" s="3" t="s">
        <v>114</v>
      </c>
      <c r="F2296" s="3" t="n">
        <f aca="false">IF(C2296="848630",0,1)</f>
        <v>1</v>
      </c>
    </row>
    <row r="2297" customFormat="false" ht="15" hidden="false" customHeight="false" outlineLevel="0" collapsed="false">
      <c r="A2297" s="12" t="n">
        <v>45474</v>
      </c>
      <c r="B2297" s="9" t="s">
        <v>93</v>
      </c>
      <c r="C2297" s="3" t="s">
        <v>107</v>
      </c>
      <c r="D2297" s="3" t="n">
        <v>0</v>
      </c>
      <c r="E2297" s="3" t="s">
        <v>114</v>
      </c>
      <c r="F2297" s="3" t="n">
        <f aca="false">IF(C2297="848630",0,1)</f>
        <v>1</v>
      </c>
    </row>
    <row r="2298" customFormat="false" ht="15" hidden="false" customHeight="false" outlineLevel="0" collapsed="false">
      <c r="A2298" s="12" t="n">
        <v>45474</v>
      </c>
      <c r="B2298" s="9" t="s">
        <v>93</v>
      </c>
      <c r="C2298" s="3" t="s">
        <v>107</v>
      </c>
      <c r="D2298" s="3" t="n">
        <v>0</v>
      </c>
      <c r="E2298" s="3" t="s">
        <v>114</v>
      </c>
      <c r="F2298" s="3" t="n">
        <f aca="false">IF(C2298="848630",0,1)</f>
        <v>1</v>
      </c>
    </row>
    <row r="2299" customFormat="false" ht="15" hidden="false" customHeight="false" outlineLevel="0" collapsed="false">
      <c r="A2299" s="12" t="n">
        <v>45474</v>
      </c>
      <c r="B2299" s="9" t="s">
        <v>93</v>
      </c>
      <c r="C2299" s="3" t="s">
        <v>107</v>
      </c>
      <c r="D2299" s="3" t="n">
        <v>12921000</v>
      </c>
      <c r="E2299" s="3" t="s">
        <v>114</v>
      </c>
      <c r="F2299" s="3" t="n">
        <f aca="false">IF(C2299="848630",0,1)</f>
        <v>1</v>
      </c>
    </row>
    <row r="2300" customFormat="false" ht="15" hidden="false" customHeight="false" outlineLevel="0" collapsed="false">
      <c r="A2300" s="12" t="n">
        <v>45474</v>
      </c>
      <c r="B2300" s="9" t="s">
        <v>93</v>
      </c>
      <c r="C2300" s="3" t="s">
        <v>107</v>
      </c>
      <c r="D2300" s="3" t="n">
        <v>17440000</v>
      </c>
      <c r="E2300" s="3" t="s">
        <v>114</v>
      </c>
      <c r="F2300" s="3" t="n">
        <f aca="false">IF(C2300="848630",0,1)</f>
        <v>1</v>
      </c>
    </row>
    <row r="2301" customFormat="false" ht="15" hidden="false" customHeight="false" outlineLevel="0" collapsed="false">
      <c r="A2301" s="12" t="n">
        <v>45474</v>
      </c>
      <c r="B2301" s="9" t="s">
        <v>93</v>
      </c>
      <c r="C2301" s="3" t="s">
        <v>107</v>
      </c>
      <c r="D2301" s="3" t="n">
        <v>5854000</v>
      </c>
      <c r="E2301" s="3" t="s">
        <v>114</v>
      </c>
      <c r="F2301" s="3" t="n">
        <f aca="false">IF(C2301="848630",0,1)</f>
        <v>1</v>
      </c>
    </row>
    <row r="2302" customFormat="false" ht="15" hidden="false" customHeight="false" outlineLevel="0" collapsed="false">
      <c r="A2302" s="12" t="n">
        <v>45474</v>
      </c>
      <c r="B2302" s="9" t="s">
        <v>93</v>
      </c>
      <c r="C2302" s="3" t="s">
        <v>107</v>
      </c>
      <c r="D2302" s="3" t="n">
        <v>7479000</v>
      </c>
      <c r="E2302" s="3" t="s">
        <v>114</v>
      </c>
      <c r="F2302" s="3" t="n">
        <f aca="false">IF(C2302="848630",0,1)</f>
        <v>1</v>
      </c>
    </row>
    <row r="2303" customFormat="false" ht="15" hidden="false" customHeight="false" outlineLevel="0" collapsed="false">
      <c r="A2303" s="12" t="n">
        <v>45474</v>
      </c>
      <c r="B2303" s="9" t="s">
        <v>93</v>
      </c>
      <c r="C2303" s="3" t="s">
        <v>107</v>
      </c>
      <c r="D2303" s="3" t="n">
        <v>68000</v>
      </c>
      <c r="E2303" s="3" t="s">
        <v>114</v>
      </c>
      <c r="F2303" s="3" t="n">
        <f aca="false">IF(C2303="848630",0,1)</f>
        <v>1</v>
      </c>
    </row>
    <row r="2304" customFormat="false" ht="15" hidden="false" customHeight="false" outlineLevel="0" collapsed="false">
      <c r="A2304" s="12" t="n">
        <v>45474</v>
      </c>
      <c r="B2304" s="9" t="s">
        <v>93</v>
      </c>
      <c r="C2304" s="3" t="s">
        <v>107</v>
      </c>
      <c r="D2304" s="3" t="n">
        <v>0</v>
      </c>
      <c r="E2304" s="3" t="s">
        <v>114</v>
      </c>
      <c r="F2304" s="3" t="n">
        <f aca="false">IF(C2304="848630",0,1)</f>
        <v>1</v>
      </c>
    </row>
    <row r="2305" customFormat="false" ht="15" hidden="false" customHeight="false" outlineLevel="0" collapsed="false">
      <c r="A2305" s="12" t="n">
        <v>45474</v>
      </c>
      <c r="B2305" s="9" t="s">
        <v>93</v>
      </c>
      <c r="C2305" s="3" t="s">
        <v>107</v>
      </c>
      <c r="D2305" s="3" t="n">
        <v>1167000</v>
      </c>
      <c r="E2305" s="3" t="s">
        <v>114</v>
      </c>
      <c r="F2305" s="3" t="n">
        <f aca="false">IF(C2305="848630",0,1)</f>
        <v>1</v>
      </c>
    </row>
    <row r="2306" customFormat="false" ht="15" hidden="false" customHeight="false" outlineLevel="0" collapsed="false">
      <c r="A2306" s="12" t="n">
        <v>45474</v>
      </c>
      <c r="B2306" s="9" t="s">
        <v>93</v>
      </c>
      <c r="C2306" s="3" t="s">
        <v>107</v>
      </c>
      <c r="D2306" s="3" t="n">
        <v>1591000</v>
      </c>
      <c r="E2306" s="3" t="s">
        <v>114</v>
      </c>
      <c r="F2306" s="3" t="n">
        <f aca="false">IF(C2306="848630",0,1)</f>
        <v>1</v>
      </c>
    </row>
    <row r="2307" customFormat="false" ht="15" hidden="false" customHeight="false" outlineLevel="0" collapsed="false">
      <c r="A2307" s="12" t="n">
        <v>45474</v>
      </c>
      <c r="B2307" s="9" t="s">
        <v>93</v>
      </c>
      <c r="C2307" s="3" t="s">
        <v>107</v>
      </c>
      <c r="D2307" s="3" t="n">
        <v>6618000</v>
      </c>
      <c r="E2307" s="3" t="s">
        <v>114</v>
      </c>
      <c r="F2307" s="3" t="n">
        <f aca="false">IF(C2307="848630",0,1)</f>
        <v>1</v>
      </c>
    </row>
    <row r="2308" customFormat="false" ht="15" hidden="false" customHeight="false" outlineLevel="0" collapsed="false">
      <c r="A2308" s="12" t="n">
        <v>45474</v>
      </c>
      <c r="B2308" s="9" t="s">
        <v>93</v>
      </c>
      <c r="C2308" s="3" t="s">
        <v>112</v>
      </c>
      <c r="D2308" s="3" t="n">
        <v>12050000</v>
      </c>
      <c r="E2308" s="3" t="s">
        <v>114</v>
      </c>
      <c r="F2308" s="3" t="n">
        <f aca="false">IF(C2308="848630",0,1)</f>
        <v>0</v>
      </c>
    </row>
    <row r="2309" customFormat="false" ht="15" hidden="false" customHeight="false" outlineLevel="0" collapsed="false">
      <c r="A2309" s="12" t="n">
        <v>45474</v>
      </c>
      <c r="B2309" s="9" t="s">
        <v>93</v>
      </c>
      <c r="C2309" s="3" t="s">
        <v>112</v>
      </c>
      <c r="D2309" s="3" t="n">
        <v>10841000</v>
      </c>
      <c r="E2309" s="3" t="s">
        <v>114</v>
      </c>
      <c r="F2309" s="3" t="n">
        <f aca="false">IF(C2309="848630",0,1)</f>
        <v>0</v>
      </c>
    </row>
    <row r="2310" customFormat="false" ht="15" hidden="false" customHeight="false" outlineLevel="0" collapsed="false">
      <c r="A2310" s="12" t="n">
        <v>45474</v>
      </c>
      <c r="B2310" s="9" t="s">
        <v>93</v>
      </c>
      <c r="C2310" s="3" t="s">
        <v>112</v>
      </c>
      <c r="D2310" s="3" t="n">
        <v>16000</v>
      </c>
      <c r="E2310" s="3" t="s">
        <v>114</v>
      </c>
      <c r="F2310" s="3" t="n">
        <f aca="false">IF(C2310="848630",0,1)</f>
        <v>0</v>
      </c>
    </row>
    <row r="2311" customFormat="false" ht="15" hidden="false" customHeight="false" outlineLevel="0" collapsed="false">
      <c r="A2311" s="12" t="n">
        <v>45474</v>
      </c>
      <c r="B2311" s="9" t="s">
        <v>93</v>
      </c>
      <c r="C2311" s="3" t="s">
        <v>112</v>
      </c>
      <c r="D2311" s="3" t="n">
        <v>108000</v>
      </c>
      <c r="E2311" s="3" t="s">
        <v>114</v>
      </c>
      <c r="F2311" s="3" t="n">
        <f aca="false">IF(C2311="848630",0,1)</f>
        <v>0</v>
      </c>
    </row>
    <row r="2312" customFormat="false" ht="15" hidden="false" customHeight="false" outlineLevel="0" collapsed="false">
      <c r="A2312" s="12" t="n">
        <v>45474</v>
      </c>
      <c r="B2312" s="9" t="s">
        <v>93</v>
      </c>
      <c r="C2312" s="3" t="s">
        <v>112</v>
      </c>
      <c r="D2312" s="3" t="n">
        <v>0</v>
      </c>
      <c r="E2312" s="3" t="s">
        <v>114</v>
      </c>
      <c r="F2312" s="3" t="n">
        <f aca="false">IF(C2312="848630",0,1)</f>
        <v>0</v>
      </c>
    </row>
    <row r="2313" customFormat="false" ht="15" hidden="false" customHeight="false" outlineLevel="0" collapsed="false">
      <c r="A2313" s="12" t="n">
        <v>45474</v>
      </c>
      <c r="B2313" s="9" t="s">
        <v>93</v>
      </c>
      <c r="C2313" s="3" t="s">
        <v>108</v>
      </c>
      <c r="D2313" s="3" t="n">
        <v>44880000</v>
      </c>
      <c r="E2313" s="3" t="s">
        <v>114</v>
      </c>
      <c r="F2313" s="3" t="n">
        <f aca="false">IF(C2313="848630",0,1)</f>
        <v>1</v>
      </c>
    </row>
    <row r="2314" customFormat="false" ht="15" hidden="false" customHeight="false" outlineLevel="0" collapsed="false">
      <c r="A2314" s="12" t="n">
        <v>45474</v>
      </c>
      <c r="B2314" s="9" t="s">
        <v>93</v>
      </c>
      <c r="C2314" s="3" t="s">
        <v>108</v>
      </c>
      <c r="D2314" s="3" t="n">
        <v>3810000</v>
      </c>
      <c r="E2314" s="3" t="s">
        <v>114</v>
      </c>
      <c r="F2314" s="3" t="n">
        <f aca="false">IF(C2314="848630",0,1)</f>
        <v>1</v>
      </c>
    </row>
    <row r="2315" customFormat="false" ht="15" hidden="false" customHeight="false" outlineLevel="0" collapsed="false">
      <c r="A2315" s="12" t="n">
        <v>45474</v>
      </c>
      <c r="B2315" s="9" t="s">
        <v>93</v>
      </c>
      <c r="C2315" s="3" t="s">
        <v>108</v>
      </c>
      <c r="D2315" s="3" t="n">
        <v>0</v>
      </c>
      <c r="E2315" s="3" t="s">
        <v>114</v>
      </c>
      <c r="F2315" s="3" t="n">
        <f aca="false">IF(C2315="848630",0,1)</f>
        <v>1</v>
      </c>
    </row>
    <row r="2316" customFormat="false" ht="15" hidden="false" customHeight="false" outlineLevel="0" collapsed="false">
      <c r="A2316" s="12" t="n">
        <v>45474</v>
      </c>
      <c r="B2316" s="9" t="s">
        <v>93</v>
      </c>
      <c r="C2316" s="3" t="s">
        <v>108</v>
      </c>
      <c r="D2316" s="3" t="n">
        <v>1223000</v>
      </c>
      <c r="E2316" s="3" t="s">
        <v>114</v>
      </c>
      <c r="F2316" s="3" t="n">
        <f aca="false">IF(C2316="848630",0,1)</f>
        <v>1</v>
      </c>
    </row>
    <row r="2317" customFormat="false" ht="15" hidden="false" customHeight="false" outlineLevel="0" collapsed="false">
      <c r="A2317" s="12" t="n">
        <v>45474</v>
      </c>
      <c r="B2317" s="9" t="s">
        <v>93</v>
      </c>
      <c r="C2317" s="3" t="s">
        <v>108</v>
      </c>
      <c r="D2317" s="3" t="n">
        <v>5000</v>
      </c>
      <c r="E2317" s="3" t="s">
        <v>114</v>
      </c>
      <c r="F2317" s="3" t="n">
        <f aca="false">IF(C2317="848630",0,1)</f>
        <v>1</v>
      </c>
    </row>
    <row r="2318" customFormat="false" ht="15" hidden="false" customHeight="false" outlineLevel="0" collapsed="false">
      <c r="A2318" s="12" t="n">
        <v>45474</v>
      </c>
      <c r="B2318" s="9" t="s">
        <v>93</v>
      </c>
      <c r="C2318" s="3" t="s">
        <v>108</v>
      </c>
      <c r="D2318" s="3" t="n">
        <v>0</v>
      </c>
      <c r="E2318" s="3" t="s">
        <v>114</v>
      </c>
      <c r="F2318" s="3" t="n">
        <f aca="false">IF(C2318="848630",0,1)</f>
        <v>1</v>
      </c>
    </row>
    <row r="2319" customFormat="false" ht="15" hidden="false" customHeight="false" outlineLevel="0" collapsed="false">
      <c r="A2319" s="12" t="n">
        <v>45474</v>
      </c>
      <c r="B2319" s="9" t="s">
        <v>93</v>
      </c>
      <c r="C2319" s="3" t="s">
        <v>108</v>
      </c>
      <c r="D2319" s="3" t="n">
        <v>4992000</v>
      </c>
      <c r="E2319" s="3" t="s">
        <v>114</v>
      </c>
      <c r="F2319" s="3" t="n">
        <f aca="false">IF(C2319="848630",0,1)</f>
        <v>1</v>
      </c>
    </row>
    <row r="2320" customFormat="false" ht="15" hidden="false" customHeight="false" outlineLevel="0" collapsed="false">
      <c r="A2320" s="12" t="n">
        <v>45474</v>
      </c>
      <c r="B2320" s="9" t="s">
        <v>93</v>
      </c>
      <c r="C2320" s="3" t="s">
        <v>108</v>
      </c>
      <c r="D2320" s="3" t="n">
        <v>16951000</v>
      </c>
      <c r="E2320" s="3" t="s">
        <v>114</v>
      </c>
      <c r="F2320" s="3" t="n">
        <f aca="false">IF(C2320="848630",0,1)</f>
        <v>1</v>
      </c>
    </row>
    <row r="2321" customFormat="false" ht="15" hidden="false" customHeight="false" outlineLevel="0" collapsed="false">
      <c r="A2321" s="12" t="n">
        <v>45474</v>
      </c>
      <c r="B2321" s="9" t="s">
        <v>93</v>
      </c>
      <c r="C2321" s="3" t="s">
        <v>108</v>
      </c>
      <c r="D2321" s="3" t="n">
        <v>542000</v>
      </c>
      <c r="E2321" s="3" t="s">
        <v>114</v>
      </c>
      <c r="F2321" s="3" t="n">
        <f aca="false">IF(C2321="848630",0,1)</f>
        <v>1</v>
      </c>
    </row>
    <row r="2322" customFormat="false" ht="15" hidden="false" customHeight="false" outlineLevel="0" collapsed="false">
      <c r="A2322" s="12" t="n">
        <v>45474</v>
      </c>
      <c r="B2322" s="9" t="s">
        <v>93</v>
      </c>
      <c r="C2322" s="3" t="s">
        <v>108</v>
      </c>
      <c r="D2322" s="3" t="n">
        <v>961000</v>
      </c>
      <c r="E2322" s="3" t="s">
        <v>114</v>
      </c>
      <c r="F2322" s="3" t="n">
        <f aca="false">IF(C2322="848630",0,1)</f>
        <v>1</v>
      </c>
    </row>
    <row r="2323" customFormat="false" ht="15" hidden="false" customHeight="false" outlineLevel="0" collapsed="false">
      <c r="A2323" s="12" t="n">
        <v>45474</v>
      </c>
      <c r="B2323" s="9" t="s">
        <v>93</v>
      </c>
      <c r="C2323" s="3" t="s">
        <v>109</v>
      </c>
      <c r="D2323" s="3" t="n">
        <v>2484000</v>
      </c>
      <c r="E2323" s="3" t="s">
        <v>114</v>
      </c>
      <c r="F2323" s="3" t="n">
        <f aca="false">IF(C2323="848630",0,1)</f>
        <v>1</v>
      </c>
    </row>
    <row r="2324" customFormat="false" ht="15" hidden="false" customHeight="false" outlineLevel="0" collapsed="false">
      <c r="A2324" s="12" t="n">
        <v>45474</v>
      </c>
      <c r="B2324" s="9" t="s">
        <v>93</v>
      </c>
      <c r="C2324" s="3" t="s">
        <v>109</v>
      </c>
      <c r="D2324" s="3" t="n">
        <v>11843000</v>
      </c>
      <c r="E2324" s="3" t="s">
        <v>114</v>
      </c>
      <c r="F2324" s="3" t="n">
        <f aca="false">IF(C2324="848630",0,1)</f>
        <v>1</v>
      </c>
    </row>
    <row r="2325" customFormat="false" ht="15" hidden="false" customHeight="false" outlineLevel="0" collapsed="false">
      <c r="A2325" s="12" t="n">
        <v>45474</v>
      </c>
      <c r="B2325" s="9" t="s">
        <v>93</v>
      </c>
      <c r="C2325" s="3" t="s">
        <v>109</v>
      </c>
      <c r="D2325" s="3" t="n">
        <v>20963000</v>
      </c>
      <c r="E2325" s="3" t="s">
        <v>114</v>
      </c>
      <c r="F2325" s="3" t="n">
        <f aca="false">IF(C2325="848630",0,1)</f>
        <v>1</v>
      </c>
    </row>
    <row r="2326" customFormat="false" ht="15" hidden="false" customHeight="false" outlineLevel="0" collapsed="false">
      <c r="A2326" s="12" t="n">
        <v>45474</v>
      </c>
      <c r="B2326" s="9" t="s">
        <v>93</v>
      </c>
      <c r="C2326" s="3" t="s">
        <v>109</v>
      </c>
      <c r="D2326" s="3" t="n">
        <v>7773000</v>
      </c>
      <c r="E2326" s="3" t="s">
        <v>114</v>
      </c>
      <c r="F2326" s="3" t="n">
        <f aca="false">IF(C2326="848630",0,1)</f>
        <v>1</v>
      </c>
    </row>
    <row r="2327" customFormat="false" ht="15" hidden="false" customHeight="false" outlineLevel="0" collapsed="false">
      <c r="A2327" s="12" t="n">
        <v>45474</v>
      </c>
      <c r="B2327" s="9" t="s">
        <v>93</v>
      </c>
      <c r="C2327" s="3" t="s">
        <v>109</v>
      </c>
      <c r="D2327" s="3" t="n">
        <v>2176000</v>
      </c>
      <c r="E2327" s="3" t="s">
        <v>114</v>
      </c>
      <c r="F2327" s="3" t="n">
        <f aca="false">IF(C2327="848630",0,1)</f>
        <v>1</v>
      </c>
    </row>
    <row r="2328" customFormat="false" ht="15" hidden="false" customHeight="false" outlineLevel="0" collapsed="false">
      <c r="A2328" s="12" t="n">
        <v>45474</v>
      </c>
      <c r="B2328" s="9" t="s">
        <v>93</v>
      </c>
      <c r="C2328" s="3" t="s">
        <v>109</v>
      </c>
      <c r="D2328" s="3" t="n">
        <v>2676000</v>
      </c>
      <c r="E2328" s="3" t="s">
        <v>114</v>
      </c>
      <c r="F2328" s="3" t="n">
        <f aca="false">IF(C2328="848630",0,1)</f>
        <v>1</v>
      </c>
    </row>
    <row r="2329" customFormat="false" ht="15" hidden="false" customHeight="false" outlineLevel="0" collapsed="false">
      <c r="A2329" s="12" t="n">
        <v>45474</v>
      </c>
      <c r="B2329" s="9" t="s">
        <v>93</v>
      </c>
      <c r="C2329" s="3" t="s">
        <v>109</v>
      </c>
      <c r="D2329" s="3" t="n">
        <v>241000</v>
      </c>
      <c r="E2329" s="3" t="s">
        <v>114</v>
      </c>
      <c r="F2329" s="3" t="n">
        <f aca="false">IF(C2329="848630",0,1)</f>
        <v>1</v>
      </c>
    </row>
    <row r="2330" customFormat="false" ht="15" hidden="false" customHeight="false" outlineLevel="0" collapsed="false">
      <c r="A2330" s="12" t="n">
        <v>45474</v>
      </c>
      <c r="B2330" s="9" t="s">
        <v>93</v>
      </c>
      <c r="C2330" s="3" t="s">
        <v>109</v>
      </c>
      <c r="D2330" s="3" t="n">
        <v>7434000</v>
      </c>
      <c r="E2330" s="3" t="s">
        <v>114</v>
      </c>
      <c r="F2330" s="3" t="n">
        <f aca="false">IF(C2330="848630",0,1)</f>
        <v>1</v>
      </c>
    </row>
    <row r="2331" customFormat="false" ht="15" hidden="false" customHeight="false" outlineLevel="0" collapsed="false">
      <c r="A2331" s="12" t="n">
        <v>45474</v>
      </c>
      <c r="B2331" s="9" t="s">
        <v>93</v>
      </c>
      <c r="C2331" s="3" t="s">
        <v>110</v>
      </c>
      <c r="D2331" s="3" t="n">
        <v>62464000</v>
      </c>
      <c r="E2331" s="3" t="s">
        <v>114</v>
      </c>
      <c r="F2331" s="3" t="n">
        <f aca="false">IF(C2331="848630",0,1)</f>
        <v>1</v>
      </c>
    </row>
    <row r="2332" customFormat="false" ht="15" hidden="false" customHeight="false" outlineLevel="0" collapsed="false">
      <c r="A2332" s="12" t="n">
        <v>45474</v>
      </c>
      <c r="B2332" s="9" t="s">
        <v>93</v>
      </c>
      <c r="C2332" s="3" t="s">
        <v>111</v>
      </c>
      <c r="D2332" s="3" t="n">
        <v>33139000</v>
      </c>
      <c r="E2332" s="3" t="s">
        <v>114</v>
      </c>
      <c r="F2332" s="3" t="n">
        <f aca="false">IF(C2332="848630",0,1)</f>
        <v>1</v>
      </c>
    </row>
    <row r="2333" customFormat="false" ht="15" hidden="false" customHeight="false" outlineLevel="0" collapsed="false">
      <c r="A2333" s="12" t="n">
        <v>45505</v>
      </c>
      <c r="B2333" s="9" t="s">
        <v>93</v>
      </c>
      <c r="C2333" s="3" t="s">
        <v>105</v>
      </c>
      <c r="D2333" s="3" t="n">
        <v>6309000</v>
      </c>
      <c r="E2333" s="3" t="s">
        <v>114</v>
      </c>
      <c r="F2333" s="3" t="n">
        <f aca="false">IF(C2333="848630",0,1)</f>
        <v>1</v>
      </c>
    </row>
    <row r="2334" customFormat="false" ht="15" hidden="false" customHeight="false" outlineLevel="0" collapsed="false">
      <c r="A2334" s="12" t="n">
        <v>45505</v>
      </c>
      <c r="B2334" s="9" t="s">
        <v>93</v>
      </c>
      <c r="C2334" s="3" t="s">
        <v>105</v>
      </c>
      <c r="D2334" s="3" t="n">
        <v>5000</v>
      </c>
      <c r="E2334" s="3" t="s">
        <v>114</v>
      </c>
      <c r="F2334" s="3" t="n">
        <f aca="false">IF(C2334="848630",0,1)</f>
        <v>1</v>
      </c>
    </row>
    <row r="2335" customFormat="false" ht="15" hidden="false" customHeight="false" outlineLevel="0" collapsed="false">
      <c r="A2335" s="12" t="n">
        <v>45505</v>
      </c>
      <c r="B2335" s="9" t="s">
        <v>93</v>
      </c>
      <c r="C2335" s="3" t="s">
        <v>107</v>
      </c>
      <c r="D2335" s="3" t="n">
        <v>321000</v>
      </c>
      <c r="E2335" s="3" t="s">
        <v>114</v>
      </c>
      <c r="F2335" s="3" t="n">
        <f aca="false">IF(C2335="848630",0,1)</f>
        <v>1</v>
      </c>
    </row>
    <row r="2336" customFormat="false" ht="15" hidden="false" customHeight="false" outlineLevel="0" collapsed="false">
      <c r="A2336" s="12" t="n">
        <v>45505</v>
      </c>
      <c r="B2336" s="9" t="s">
        <v>93</v>
      </c>
      <c r="C2336" s="3" t="s">
        <v>107</v>
      </c>
      <c r="D2336" s="3" t="n">
        <v>0</v>
      </c>
      <c r="E2336" s="3" t="s">
        <v>114</v>
      </c>
      <c r="F2336" s="3" t="n">
        <f aca="false">IF(C2336="848630",0,1)</f>
        <v>1</v>
      </c>
    </row>
    <row r="2337" customFormat="false" ht="15" hidden="false" customHeight="false" outlineLevel="0" collapsed="false">
      <c r="A2337" s="12" t="n">
        <v>45505</v>
      </c>
      <c r="B2337" s="9" t="s">
        <v>93</v>
      </c>
      <c r="C2337" s="3" t="s">
        <v>107</v>
      </c>
      <c r="D2337" s="3" t="n">
        <v>3337000</v>
      </c>
      <c r="E2337" s="3" t="s">
        <v>114</v>
      </c>
      <c r="F2337" s="3" t="n">
        <f aca="false">IF(C2337="848630",0,1)</f>
        <v>1</v>
      </c>
    </row>
    <row r="2338" customFormat="false" ht="15" hidden="false" customHeight="false" outlineLevel="0" collapsed="false">
      <c r="A2338" s="12" t="n">
        <v>45505</v>
      </c>
      <c r="B2338" s="9" t="s">
        <v>93</v>
      </c>
      <c r="C2338" s="3" t="s">
        <v>107</v>
      </c>
      <c r="D2338" s="3" t="n">
        <v>2844000</v>
      </c>
      <c r="E2338" s="3" t="s">
        <v>114</v>
      </c>
      <c r="F2338" s="3" t="n">
        <f aca="false">IF(C2338="848630",0,1)</f>
        <v>1</v>
      </c>
    </row>
    <row r="2339" customFormat="false" ht="15" hidden="false" customHeight="false" outlineLevel="0" collapsed="false">
      <c r="A2339" s="12" t="n">
        <v>45505</v>
      </c>
      <c r="B2339" s="9" t="s">
        <v>93</v>
      </c>
      <c r="C2339" s="3" t="s">
        <v>107</v>
      </c>
      <c r="D2339" s="3" t="n">
        <v>47785000</v>
      </c>
      <c r="E2339" s="3" t="s">
        <v>114</v>
      </c>
      <c r="F2339" s="3" t="n">
        <f aca="false">IF(C2339="848630",0,1)</f>
        <v>1</v>
      </c>
    </row>
    <row r="2340" customFormat="false" ht="15" hidden="false" customHeight="false" outlineLevel="0" collapsed="false">
      <c r="A2340" s="12" t="n">
        <v>45505</v>
      </c>
      <c r="B2340" s="9" t="s">
        <v>93</v>
      </c>
      <c r="C2340" s="3" t="s">
        <v>107</v>
      </c>
      <c r="D2340" s="3" t="n">
        <v>10504000</v>
      </c>
      <c r="E2340" s="3" t="s">
        <v>114</v>
      </c>
      <c r="F2340" s="3" t="n">
        <f aca="false">IF(C2340="848630",0,1)</f>
        <v>1</v>
      </c>
    </row>
    <row r="2341" customFormat="false" ht="15" hidden="false" customHeight="false" outlineLevel="0" collapsed="false">
      <c r="A2341" s="12" t="n">
        <v>45505</v>
      </c>
      <c r="B2341" s="9" t="s">
        <v>93</v>
      </c>
      <c r="C2341" s="3" t="s">
        <v>107</v>
      </c>
      <c r="D2341" s="3" t="n">
        <v>11399000</v>
      </c>
      <c r="E2341" s="3" t="s">
        <v>114</v>
      </c>
      <c r="F2341" s="3" t="n">
        <f aca="false">IF(C2341="848630",0,1)</f>
        <v>1</v>
      </c>
    </row>
    <row r="2342" customFormat="false" ht="15" hidden="false" customHeight="false" outlineLevel="0" collapsed="false">
      <c r="A2342" s="12" t="n">
        <v>45505</v>
      </c>
      <c r="B2342" s="9" t="s">
        <v>93</v>
      </c>
      <c r="C2342" s="3" t="s">
        <v>107</v>
      </c>
      <c r="D2342" s="3" t="n">
        <v>4113000</v>
      </c>
      <c r="E2342" s="3" t="s">
        <v>114</v>
      </c>
      <c r="F2342" s="3" t="n">
        <f aca="false">IF(C2342="848630",0,1)</f>
        <v>1</v>
      </c>
    </row>
    <row r="2343" customFormat="false" ht="15" hidden="false" customHeight="false" outlineLevel="0" collapsed="false">
      <c r="A2343" s="12" t="n">
        <v>45505</v>
      </c>
      <c r="B2343" s="9" t="s">
        <v>93</v>
      </c>
      <c r="C2343" s="3" t="s">
        <v>107</v>
      </c>
      <c r="D2343" s="3" t="n">
        <v>1257000</v>
      </c>
      <c r="E2343" s="3" t="s">
        <v>114</v>
      </c>
      <c r="F2343" s="3" t="n">
        <f aca="false">IF(C2343="848630",0,1)</f>
        <v>1</v>
      </c>
    </row>
    <row r="2344" customFormat="false" ht="15" hidden="false" customHeight="false" outlineLevel="0" collapsed="false">
      <c r="A2344" s="12" t="n">
        <v>45505</v>
      </c>
      <c r="B2344" s="9" t="s">
        <v>93</v>
      </c>
      <c r="C2344" s="3" t="s">
        <v>107</v>
      </c>
      <c r="D2344" s="3" t="n">
        <v>32443000</v>
      </c>
      <c r="E2344" s="3" t="s">
        <v>114</v>
      </c>
      <c r="F2344" s="3" t="n">
        <f aca="false">IF(C2344="848630",0,1)</f>
        <v>1</v>
      </c>
    </row>
    <row r="2345" customFormat="false" ht="15" hidden="false" customHeight="false" outlineLevel="0" collapsed="false">
      <c r="A2345" s="12" t="n">
        <v>45505</v>
      </c>
      <c r="B2345" s="9" t="s">
        <v>93</v>
      </c>
      <c r="C2345" s="3" t="s">
        <v>107</v>
      </c>
      <c r="D2345" s="3" t="n">
        <v>1345000</v>
      </c>
      <c r="E2345" s="3" t="s">
        <v>114</v>
      </c>
      <c r="F2345" s="3" t="n">
        <f aca="false">IF(C2345="848630",0,1)</f>
        <v>1</v>
      </c>
    </row>
    <row r="2346" customFormat="false" ht="15" hidden="false" customHeight="false" outlineLevel="0" collapsed="false">
      <c r="A2346" s="12" t="n">
        <v>45505</v>
      </c>
      <c r="B2346" s="9" t="s">
        <v>93</v>
      </c>
      <c r="C2346" s="3" t="s">
        <v>107</v>
      </c>
      <c r="D2346" s="3" t="n">
        <v>0</v>
      </c>
      <c r="E2346" s="3" t="s">
        <v>114</v>
      </c>
      <c r="F2346" s="3" t="n">
        <f aca="false">IF(C2346="848630",0,1)</f>
        <v>1</v>
      </c>
    </row>
    <row r="2347" customFormat="false" ht="15" hidden="false" customHeight="false" outlineLevel="0" collapsed="false">
      <c r="A2347" s="12" t="n">
        <v>45505</v>
      </c>
      <c r="B2347" s="9" t="s">
        <v>93</v>
      </c>
      <c r="C2347" s="3" t="s">
        <v>107</v>
      </c>
      <c r="D2347" s="3" t="n">
        <v>3352000</v>
      </c>
      <c r="E2347" s="3" t="s">
        <v>114</v>
      </c>
      <c r="F2347" s="3" t="n">
        <f aca="false">IF(C2347="848630",0,1)</f>
        <v>1</v>
      </c>
    </row>
    <row r="2348" customFormat="false" ht="15" hidden="false" customHeight="false" outlineLevel="0" collapsed="false">
      <c r="A2348" s="12" t="n">
        <v>45505</v>
      </c>
      <c r="B2348" s="9" t="s">
        <v>93</v>
      </c>
      <c r="C2348" s="3" t="s">
        <v>107</v>
      </c>
      <c r="D2348" s="3" t="n">
        <v>23645000</v>
      </c>
      <c r="E2348" s="3" t="s">
        <v>114</v>
      </c>
      <c r="F2348" s="3" t="n">
        <f aca="false">IF(C2348="848630",0,1)</f>
        <v>1</v>
      </c>
    </row>
    <row r="2349" customFormat="false" ht="15" hidden="false" customHeight="false" outlineLevel="0" collapsed="false">
      <c r="A2349" s="12" t="n">
        <v>45505</v>
      </c>
      <c r="B2349" s="9" t="s">
        <v>93</v>
      </c>
      <c r="C2349" s="3" t="s">
        <v>107</v>
      </c>
      <c r="D2349" s="3" t="n">
        <v>19184000</v>
      </c>
      <c r="E2349" s="3" t="s">
        <v>114</v>
      </c>
      <c r="F2349" s="3" t="n">
        <f aca="false">IF(C2349="848630",0,1)</f>
        <v>1</v>
      </c>
    </row>
    <row r="2350" customFormat="false" ht="15" hidden="false" customHeight="false" outlineLevel="0" collapsed="false">
      <c r="A2350" s="12" t="n">
        <v>45505</v>
      </c>
      <c r="B2350" s="9" t="s">
        <v>93</v>
      </c>
      <c r="C2350" s="3" t="s">
        <v>107</v>
      </c>
      <c r="D2350" s="3" t="n">
        <v>4515000</v>
      </c>
      <c r="E2350" s="3" t="s">
        <v>114</v>
      </c>
      <c r="F2350" s="3" t="n">
        <f aca="false">IF(C2350="848630",0,1)</f>
        <v>1</v>
      </c>
    </row>
    <row r="2351" customFormat="false" ht="15" hidden="false" customHeight="false" outlineLevel="0" collapsed="false">
      <c r="A2351" s="12" t="n">
        <v>45505</v>
      </c>
      <c r="B2351" s="9" t="s">
        <v>93</v>
      </c>
      <c r="C2351" s="3" t="s">
        <v>107</v>
      </c>
      <c r="D2351" s="3" t="n">
        <v>1004000</v>
      </c>
      <c r="E2351" s="3" t="s">
        <v>114</v>
      </c>
      <c r="F2351" s="3" t="n">
        <f aca="false">IF(C2351="848630",0,1)</f>
        <v>1</v>
      </c>
    </row>
    <row r="2352" customFormat="false" ht="15" hidden="false" customHeight="false" outlineLevel="0" collapsed="false">
      <c r="A2352" s="12" t="n">
        <v>45505</v>
      </c>
      <c r="B2352" s="9" t="s">
        <v>93</v>
      </c>
      <c r="C2352" s="3" t="s">
        <v>107</v>
      </c>
      <c r="D2352" s="3" t="n">
        <v>5948000</v>
      </c>
      <c r="E2352" s="3" t="s">
        <v>114</v>
      </c>
      <c r="F2352" s="3" t="n">
        <f aca="false">IF(C2352="848630",0,1)</f>
        <v>1</v>
      </c>
    </row>
    <row r="2353" customFormat="false" ht="15" hidden="false" customHeight="false" outlineLevel="0" collapsed="false">
      <c r="A2353" s="12" t="n">
        <v>45505</v>
      </c>
      <c r="B2353" s="9" t="s">
        <v>93</v>
      </c>
      <c r="C2353" s="3" t="s">
        <v>107</v>
      </c>
      <c r="D2353" s="3" t="n">
        <v>2028000</v>
      </c>
      <c r="E2353" s="3" t="s">
        <v>114</v>
      </c>
      <c r="F2353" s="3" t="n">
        <f aca="false">IF(C2353="848630",0,1)</f>
        <v>1</v>
      </c>
    </row>
    <row r="2354" customFormat="false" ht="15" hidden="false" customHeight="false" outlineLevel="0" collapsed="false">
      <c r="A2354" s="12" t="n">
        <v>45505</v>
      </c>
      <c r="B2354" s="9" t="s">
        <v>93</v>
      </c>
      <c r="C2354" s="3" t="s">
        <v>107</v>
      </c>
      <c r="D2354" s="3" t="n">
        <v>15067000</v>
      </c>
      <c r="E2354" s="3" t="s">
        <v>114</v>
      </c>
      <c r="F2354" s="3" t="n">
        <f aca="false">IF(C2354="848630",0,1)</f>
        <v>1</v>
      </c>
    </row>
    <row r="2355" customFormat="false" ht="15" hidden="false" customHeight="false" outlineLevel="0" collapsed="false">
      <c r="A2355" s="12" t="n">
        <v>45505</v>
      </c>
      <c r="B2355" s="9" t="s">
        <v>93</v>
      </c>
      <c r="C2355" s="3" t="s">
        <v>112</v>
      </c>
      <c r="D2355" s="3" t="n">
        <v>13662000</v>
      </c>
      <c r="E2355" s="3" t="s">
        <v>114</v>
      </c>
      <c r="F2355" s="3" t="n">
        <f aca="false">IF(C2355="848630",0,1)</f>
        <v>0</v>
      </c>
    </row>
    <row r="2356" customFormat="false" ht="15" hidden="false" customHeight="false" outlineLevel="0" collapsed="false">
      <c r="A2356" s="12" t="n">
        <v>45505</v>
      </c>
      <c r="B2356" s="9" t="s">
        <v>93</v>
      </c>
      <c r="C2356" s="3" t="s">
        <v>112</v>
      </c>
      <c r="D2356" s="3" t="n">
        <v>13821000</v>
      </c>
      <c r="E2356" s="3" t="s">
        <v>114</v>
      </c>
      <c r="F2356" s="3" t="n">
        <f aca="false">IF(C2356="848630",0,1)</f>
        <v>0</v>
      </c>
    </row>
    <row r="2357" customFormat="false" ht="15" hidden="false" customHeight="false" outlineLevel="0" collapsed="false">
      <c r="A2357" s="12" t="n">
        <v>45505</v>
      </c>
      <c r="B2357" s="9" t="s">
        <v>93</v>
      </c>
      <c r="C2357" s="3" t="s">
        <v>112</v>
      </c>
      <c r="D2357" s="3" t="n">
        <v>0</v>
      </c>
      <c r="E2357" s="3" t="s">
        <v>114</v>
      </c>
      <c r="F2357" s="3" t="n">
        <f aca="false">IF(C2357="848630",0,1)</f>
        <v>0</v>
      </c>
    </row>
    <row r="2358" customFormat="false" ht="15" hidden="false" customHeight="false" outlineLevel="0" collapsed="false">
      <c r="A2358" s="12" t="n">
        <v>45505</v>
      </c>
      <c r="B2358" s="9" t="s">
        <v>93</v>
      </c>
      <c r="C2358" s="3" t="s">
        <v>112</v>
      </c>
      <c r="D2358" s="3" t="n">
        <v>147000</v>
      </c>
      <c r="E2358" s="3" t="s">
        <v>114</v>
      </c>
      <c r="F2358" s="3" t="n">
        <f aca="false">IF(C2358="848630",0,1)</f>
        <v>0</v>
      </c>
    </row>
    <row r="2359" customFormat="false" ht="15" hidden="false" customHeight="false" outlineLevel="0" collapsed="false">
      <c r="A2359" s="12" t="n">
        <v>45505</v>
      </c>
      <c r="B2359" s="9" t="s">
        <v>93</v>
      </c>
      <c r="C2359" s="3" t="s">
        <v>108</v>
      </c>
      <c r="D2359" s="3" t="n">
        <v>2018000</v>
      </c>
      <c r="E2359" s="3" t="s">
        <v>114</v>
      </c>
      <c r="F2359" s="3" t="n">
        <f aca="false">IF(C2359="848630",0,1)</f>
        <v>1</v>
      </c>
    </row>
    <row r="2360" customFormat="false" ht="15" hidden="false" customHeight="false" outlineLevel="0" collapsed="false">
      <c r="A2360" s="12" t="n">
        <v>45505</v>
      </c>
      <c r="B2360" s="9" t="s">
        <v>93</v>
      </c>
      <c r="C2360" s="3" t="s">
        <v>108</v>
      </c>
      <c r="D2360" s="3" t="n">
        <v>0</v>
      </c>
      <c r="E2360" s="3" t="s">
        <v>114</v>
      </c>
      <c r="F2360" s="3" t="n">
        <f aca="false">IF(C2360="848630",0,1)</f>
        <v>1</v>
      </c>
    </row>
    <row r="2361" customFormat="false" ht="15" hidden="false" customHeight="false" outlineLevel="0" collapsed="false">
      <c r="A2361" s="12" t="n">
        <v>45505</v>
      </c>
      <c r="B2361" s="9" t="s">
        <v>93</v>
      </c>
      <c r="C2361" s="3" t="s">
        <v>108</v>
      </c>
      <c r="D2361" s="3" t="n">
        <v>60000</v>
      </c>
      <c r="E2361" s="3" t="s">
        <v>114</v>
      </c>
      <c r="F2361" s="3" t="n">
        <f aca="false">IF(C2361="848630",0,1)</f>
        <v>1</v>
      </c>
    </row>
    <row r="2362" customFormat="false" ht="15" hidden="false" customHeight="false" outlineLevel="0" collapsed="false">
      <c r="A2362" s="12" t="n">
        <v>45505</v>
      </c>
      <c r="B2362" s="9" t="s">
        <v>93</v>
      </c>
      <c r="C2362" s="3" t="s">
        <v>108</v>
      </c>
      <c r="D2362" s="3" t="n">
        <v>9457000</v>
      </c>
      <c r="E2362" s="3" t="s">
        <v>114</v>
      </c>
      <c r="F2362" s="3" t="n">
        <f aca="false">IF(C2362="848630",0,1)</f>
        <v>1</v>
      </c>
    </row>
    <row r="2363" customFormat="false" ht="15" hidden="false" customHeight="false" outlineLevel="0" collapsed="false">
      <c r="A2363" s="12" t="n">
        <v>45505</v>
      </c>
      <c r="B2363" s="9" t="s">
        <v>93</v>
      </c>
      <c r="C2363" s="3" t="s">
        <v>108</v>
      </c>
      <c r="D2363" s="3" t="n">
        <v>3150000</v>
      </c>
      <c r="E2363" s="3" t="s">
        <v>114</v>
      </c>
      <c r="F2363" s="3" t="n">
        <f aca="false">IF(C2363="848630",0,1)</f>
        <v>1</v>
      </c>
    </row>
    <row r="2364" customFormat="false" ht="15" hidden="false" customHeight="false" outlineLevel="0" collapsed="false">
      <c r="A2364" s="12" t="n">
        <v>45505</v>
      </c>
      <c r="B2364" s="9" t="s">
        <v>93</v>
      </c>
      <c r="C2364" s="3" t="s">
        <v>108</v>
      </c>
      <c r="D2364" s="3" t="n">
        <v>1646000</v>
      </c>
      <c r="E2364" s="3" t="s">
        <v>114</v>
      </c>
      <c r="F2364" s="3" t="n">
        <f aca="false">IF(C2364="848630",0,1)</f>
        <v>1</v>
      </c>
    </row>
    <row r="2365" customFormat="false" ht="15" hidden="false" customHeight="false" outlineLevel="0" collapsed="false">
      <c r="A2365" s="12" t="n">
        <v>45505</v>
      </c>
      <c r="B2365" s="9" t="s">
        <v>93</v>
      </c>
      <c r="C2365" s="3" t="s">
        <v>108</v>
      </c>
      <c r="D2365" s="3" t="n">
        <v>2805000</v>
      </c>
      <c r="E2365" s="3" t="s">
        <v>114</v>
      </c>
      <c r="F2365" s="3" t="n">
        <f aca="false">IF(C2365="848630",0,1)</f>
        <v>1</v>
      </c>
    </row>
    <row r="2366" customFormat="false" ht="15" hidden="false" customHeight="false" outlineLevel="0" collapsed="false">
      <c r="A2366" s="12" t="n">
        <v>45505</v>
      </c>
      <c r="B2366" s="9" t="s">
        <v>93</v>
      </c>
      <c r="C2366" s="3" t="s">
        <v>109</v>
      </c>
      <c r="D2366" s="3" t="n">
        <v>670000</v>
      </c>
      <c r="E2366" s="3" t="s">
        <v>114</v>
      </c>
      <c r="F2366" s="3" t="n">
        <f aca="false">IF(C2366="848630",0,1)</f>
        <v>1</v>
      </c>
    </row>
    <row r="2367" customFormat="false" ht="15" hidden="false" customHeight="false" outlineLevel="0" collapsed="false">
      <c r="A2367" s="12" t="n">
        <v>45505</v>
      </c>
      <c r="B2367" s="9" t="s">
        <v>93</v>
      </c>
      <c r="C2367" s="3" t="s">
        <v>109</v>
      </c>
      <c r="D2367" s="3" t="n">
        <v>18818000</v>
      </c>
      <c r="E2367" s="3" t="s">
        <v>114</v>
      </c>
      <c r="F2367" s="3" t="n">
        <f aca="false">IF(C2367="848630",0,1)</f>
        <v>1</v>
      </c>
    </row>
    <row r="2368" customFormat="false" ht="15" hidden="false" customHeight="false" outlineLevel="0" collapsed="false">
      <c r="A2368" s="12" t="n">
        <v>45505</v>
      </c>
      <c r="B2368" s="9" t="s">
        <v>93</v>
      </c>
      <c r="C2368" s="3" t="s">
        <v>109</v>
      </c>
      <c r="D2368" s="3" t="n">
        <v>27911000</v>
      </c>
      <c r="E2368" s="3" t="s">
        <v>114</v>
      </c>
      <c r="F2368" s="3" t="n">
        <f aca="false">IF(C2368="848630",0,1)</f>
        <v>1</v>
      </c>
    </row>
    <row r="2369" customFormat="false" ht="15" hidden="false" customHeight="false" outlineLevel="0" collapsed="false">
      <c r="A2369" s="12" t="n">
        <v>45505</v>
      </c>
      <c r="B2369" s="9" t="s">
        <v>93</v>
      </c>
      <c r="C2369" s="3" t="s">
        <v>109</v>
      </c>
      <c r="D2369" s="3" t="n">
        <v>5312000</v>
      </c>
      <c r="E2369" s="3" t="s">
        <v>114</v>
      </c>
      <c r="F2369" s="3" t="n">
        <f aca="false">IF(C2369="848630",0,1)</f>
        <v>1</v>
      </c>
    </row>
    <row r="2370" customFormat="false" ht="15" hidden="false" customHeight="false" outlineLevel="0" collapsed="false">
      <c r="A2370" s="12" t="n">
        <v>45505</v>
      </c>
      <c r="B2370" s="9" t="s">
        <v>93</v>
      </c>
      <c r="C2370" s="3" t="s">
        <v>109</v>
      </c>
      <c r="D2370" s="3" t="n">
        <v>216000</v>
      </c>
      <c r="E2370" s="3" t="s">
        <v>114</v>
      </c>
      <c r="F2370" s="3" t="n">
        <f aca="false">IF(C2370="848630",0,1)</f>
        <v>1</v>
      </c>
    </row>
    <row r="2371" customFormat="false" ht="15" hidden="false" customHeight="false" outlineLevel="0" collapsed="false">
      <c r="A2371" s="12" t="n">
        <v>45505</v>
      </c>
      <c r="B2371" s="9" t="s">
        <v>93</v>
      </c>
      <c r="C2371" s="3" t="s">
        <v>109</v>
      </c>
      <c r="D2371" s="3" t="n">
        <v>1615000</v>
      </c>
      <c r="E2371" s="3" t="s">
        <v>114</v>
      </c>
      <c r="F2371" s="3" t="n">
        <f aca="false">IF(C2371="848630",0,1)</f>
        <v>1</v>
      </c>
    </row>
    <row r="2372" customFormat="false" ht="15" hidden="false" customHeight="false" outlineLevel="0" collapsed="false">
      <c r="A2372" s="12" t="n">
        <v>45505</v>
      </c>
      <c r="B2372" s="9" t="s">
        <v>93</v>
      </c>
      <c r="C2372" s="3" t="s">
        <v>109</v>
      </c>
      <c r="D2372" s="3" t="n">
        <v>183000</v>
      </c>
      <c r="E2372" s="3" t="s">
        <v>114</v>
      </c>
      <c r="F2372" s="3" t="n">
        <f aca="false">IF(C2372="848630",0,1)</f>
        <v>1</v>
      </c>
    </row>
    <row r="2373" customFormat="false" ht="15" hidden="false" customHeight="false" outlineLevel="0" collapsed="false">
      <c r="A2373" s="12" t="n">
        <v>45505</v>
      </c>
      <c r="B2373" s="9" t="s">
        <v>93</v>
      </c>
      <c r="C2373" s="3" t="s">
        <v>109</v>
      </c>
      <c r="D2373" s="3" t="n">
        <v>4932000</v>
      </c>
      <c r="E2373" s="3" t="s">
        <v>114</v>
      </c>
      <c r="F2373" s="3" t="n">
        <f aca="false">IF(C2373="848630",0,1)</f>
        <v>1</v>
      </c>
    </row>
    <row r="2374" customFormat="false" ht="15" hidden="false" customHeight="false" outlineLevel="0" collapsed="false">
      <c r="A2374" s="12" t="n">
        <v>45505</v>
      </c>
      <c r="B2374" s="9" t="s">
        <v>93</v>
      </c>
      <c r="C2374" s="3" t="s">
        <v>110</v>
      </c>
      <c r="D2374" s="3" t="n">
        <v>66899000</v>
      </c>
      <c r="E2374" s="3" t="s">
        <v>114</v>
      </c>
      <c r="F2374" s="3" t="n">
        <f aca="false">IF(C2374="848630",0,1)</f>
        <v>1</v>
      </c>
    </row>
    <row r="2375" customFormat="false" ht="15" hidden="false" customHeight="false" outlineLevel="0" collapsed="false">
      <c r="A2375" s="12" t="n">
        <v>45505</v>
      </c>
      <c r="B2375" s="9" t="s">
        <v>93</v>
      </c>
      <c r="C2375" s="3" t="s">
        <v>111</v>
      </c>
      <c r="D2375" s="3" t="n">
        <v>60686000</v>
      </c>
      <c r="E2375" s="3" t="s">
        <v>114</v>
      </c>
      <c r="F2375" s="3" t="n">
        <f aca="false">IF(C2375="848630",0,1)</f>
        <v>1</v>
      </c>
    </row>
    <row r="2376" customFormat="false" ht="15" hidden="false" customHeight="false" outlineLevel="0" collapsed="false">
      <c r="A2376" s="12" t="n">
        <v>45536</v>
      </c>
      <c r="B2376" s="9" t="s">
        <v>93</v>
      </c>
      <c r="C2376" s="3" t="s">
        <v>105</v>
      </c>
      <c r="D2376" s="3" t="n">
        <v>4106000</v>
      </c>
      <c r="E2376" s="3" t="s">
        <v>114</v>
      </c>
      <c r="F2376" s="3" t="n">
        <f aca="false">IF(C2376="848630",0,1)</f>
        <v>1</v>
      </c>
    </row>
    <row r="2377" customFormat="false" ht="15" hidden="false" customHeight="false" outlineLevel="0" collapsed="false">
      <c r="A2377" s="12" t="n">
        <v>45536</v>
      </c>
      <c r="B2377" s="9" t="s">
        <v>93</v>
      </c>
      <c r="C2377" s="3" t="s">
        <v>105</v>
      </c>
      <c r="D2377" s="3" t="n">
        <v>2981000</v>
      </c>
      <c r="E2377" s="3" t="s">
        <v>114</v>
      </c>
      <c r="F2377" s="3" t="n">
        <f aca="false">IF(C2377="848630",0,1)</f>
        <v>1</v>
      </c>
    </row>
    <row r="2378" customFormat="false" ht="15" hidden="false" customHeight="false" outlineLevel="0" collapsed="false">
      <c r="A2378" s="12" t="n">
        <v>45536</v>
      </c>
      <c r="B2378" s="9" t="s">
        <v>93</v>
      </c>
      <c r="C2378" s="3" t="s">
        <v>105</v>
      </c>
      <c r="D2378" s="3" t="n">
        <v>63000</v>
      </c>
      <c r="E2378" s="3" t="s">
        <v>114</v>
      </c>
      <c r="F2378" s="3" t="n">
        <f aca="false">IF(C2378="848630",0,1)</f>
        <v>1</v>
      </c>
    </row>
    <row r="2379" customFormat="false" ht="15" hidden="false" customHeight="false" outlineLevel="0" collapsed="false">
      <c r="A2379" s="12" t="n">
        <v>45536</v>
      </c>
      <c r="B2379" s="9" t="s">
        <v>93</v>
      </c>
      <c r="C2379" s="3" t="s">
        <v>105</v>
      </c>
      <c r="D2379" s="3" t="n">
        <v>0</v>
      </c>
      <c r="E2379" s="3" t="s">
        <v>114</v>
      </c>
      <c r="F2379" s="3" t="n">
        <f aca="false">IF(C2379="848630",0,1)</f>
        <v>1</v>
      </c>
    </row>
    <row r="2380" customFormat="false" ht="15" hidden="false" customHeight="false" outlineLevel="0" collapsed="false">
      <c r="A2380" s="12" t="n">
        <v>45536</v>
      </c>
      <c r="B2380" s="9" t="s">
        <v>93</v>
      </c>
      <c r="C2380" s="3" t="s">
        <v>107</v>
      </c>
      <c r="D2380" s="3" t="n">
        <v>146000</v>
      </c>
      <c r="E2380" s="3" t="s">
        <v>114</v>
      </c>
      <c r="F2380" s="3" t="n">
        <f aca="false">IF(C2380="848630",0,1)</f>
        <v>1</v>
      </c>
    </row>
    <row r="2381" customFormat="false" ht="15" hidden="false" customHeight="false" outlineLevel="0" collapsed="false">
      <c r="A2381" s="12" t="n">
        <v>45536</v>
      </c>
      <c r="B2381" s="9" t="s">
        <v>93</v>
      </c>
      <c r="C2381" s="3" t="s">
        <v>107</v>
      </c>
      <c r="D2381" s="3" t="n">
        <v>0</v>
      </c>
      <c r="E2381" s="3" t="s">
        <v>114</v>
      </c>
      <c r="F2381" s="3" t="n">
        <f aca="false">IF(C2381="848630",0,1)</f>
        <v>1</v>
      </c>
    </row>
    <row r="2382" customFormat="false" ht="15" hidden="false" customHeight="false" outlineLevel="0" collapsed="false">
      <c r="A2382" s="12" t="n">
        <v>45536</v>
      </c>
      <c r="B2382" s="9" t="s">
        <v>93</v>
      </c>
      <c r="C2382" s="3" t="s">
        <v>107</v>
      </c>
      <c r="D2382" s="3" t="n">
        <v>3311000</v>
      </c>
      <c r="E2382" s="3" t="s">
        <v>114</v>
      </c>
      <c r="F2382" s="3" t="n">
        <f aca="false">IF(C2382="848630",0,1)</f>
        <v>1</v>
      </c>
    </row>
    <row r="2383" customFormat="false" ht="15" hidden="false" customHeight="false" outlineLevel="0" collapsed="false">
      <c r="A2383" s="12" t="n">
        <v>45536</v>
      </c>
      <c r="B2383" s="9" t="s">
        <v>93</v>
      </c>
      <c r="C2383" s="3" t="s">
        <v>107</v>
      </c>
      <c r="D2383" s="3" t="n">
        <v>79401000</v>
      </c>
      <c r="E2383" s="3" t="s">
        <v>114</v>
      </c>
      <c r="F2383" s="3" t="n">
        <f aca="false">IF(C2383="848630",0,1)</f>
        <v>1</v>
      </c>
    </row>
    <row r="2384" customFormat="false" ht="15" hidden="false" customHeight="false" outlineLevel="0" collapsed="false">
      <c r="A2384" s="12" t="n">
        <v>45536</v>
      </c>
      <c r="B2384" s="9" t="s">
        <v>93</v>
      </c>
      <c r="C2384" s="3" t="s">
        <v>107</v>
      </c>
      <c r="D2384" s="3" t="n">
        <v>1389000</v>
      </c>
      <c r="E2384" s="3" t="s">
        <v>114</v>
      </c>
      <c r="F2384" s="3" t="n">
        <f aca="false">IF(C2384="848630",0,1)</f>
        <v>1</v>
      </c>
    </row>
    <row r="2385" customFormat="false" ht="15" hidden="false" customHeight="false" outlineLevel="0" collapsed="false">
      <c r="A2385" s="12" t="n">
        <v>45536</v>
      </c>
      <c r="B2385" s="9" t="s">
        <v>93</v>
      </c>
      <c r="C2385" s="3" t="s">
        <v>107</v>
      </c>
      <c r="D2385" s="3" t="n">
        <v>0</v>
      </c>
      <c r="E2385" s="3" t="s">
        <v>114</v>
      </c>
      <c r="F2385" s="3" t="n">
        <f aca="false">IF(C2385="848630",0,1)</f>
        <v>1</v>
      </c>
    </row>
    <row r="2386" customFormat="false" ht="15" hidden="false" customHeight="false" outlineLevel="0" collapsed="false">
      <c r="A2386" s="12" t="n">
        <v>45536</v>
      </c>
      <c r="B2386" s="9" t="s">
        <v>93</v>
      </c>
      <c r="C2386" s="3" t="s">
        <v>107</v>
      </c>
      <c r="D2386" s="3" t="n">
        <v>0</v>
      </c>
      <c r="E2386" s="3" t="s">
        <v>114</v>
      </c>
      <c r="F2386" s="3" t="n">
        <f aca="false">IF(C2386="848630",0,1)</f>
        <v>1</v>
      </c>
    </row>
    <row r="2387" customFormat="false" ht="15" hidden="false" customHeight="false" outlineLevel="0" collapsed="false">
      <c r="A2387" s="12" t="n">
        <v>45536</v>
      </c>
      <c r="B2387" s="9" t="s">
        <v>93</v>
      </c>
      <c r="C2387" s="3" t="s">
        <v>107</v>
      </c>
      <c r="D2387" s="3" t="n">
        <v>6936000</v>
      </c>
      <c r="E2387" s="3" t="s">
        <v>114</v>
      </c>
      <c r="F2387" s="3" t="n">
        <f aca="false">IF(C2387="848630",0,1)</f>
        <v>1</v>
      </c>
    </row>
    <row r="2388" customFormat="false" ht="15" hidden="false" customHeight="false" outlineLevel="0" collapsed="false">
      <c r="A2388" s="12" t="n">
        <v>45536</v>
      </c>
      <c r="B2388" s="9" t="s">
        <v>93</v>
      </c>
      <c r="C2388" s="3" t="s">
        <v>107</v>
      </c>
      <c r="D2388" s="3" t="n">
        <v>697000</v>
      </c>
      <c r="E2388" s="3" t="s">
        <v>114</v>
      </c>
      <c r="F2388" s="3" t="n">
        <f aca="false">IF(C2388="848630",0,1)</f>
        <v>1</v>
      </c>
    </row>
    <row r="2389" customFormat="false" ht="15" hidden="false" customHeight="false" outlineLevel="0" collapsed="false">
      <c r="A2389" s="12" t="n">
        <v>45536</v>
      </c>
      <c r="B2389" s="9" t="s">
        <v>93</v>
      </c>
      <c r="C2389" s="3" t="s">
        <v>107</v>
      </c>
      <c r="D2389" s="3" t="n">
        <v>33741000</v>
      </c>
      <c r="E2389" s="3" t="s">
        <v>114</v>
      </c>
      <c r="F2389" s="3" t="n">
        <f aca="false">IF(C2389="848630",0,1)</f>
        <v>1</v>
      </c>
    </row>
    <row r="2390" customFormat="false" ht="15" hidden="false" customHeight="false" outlineLevel="0" collapsed="false">
      <c r="A2390" s="12" t="n">
        <v>45536</v>
      </c>
      <c r="B2390" s="9" t="s">
        <v>93</v>
      </c>
      <c r="C2390" s="3" t="s">
        <v>107</v>
      </c>
      <c r="D2390" s="3" t="n">
        <v>0</v>
      </c>
      <c r="E2390" s="3" t="s">
        <v>114</v>
      </c>
      <c r="F2390" s="3" t="n">
        <f aca="false">IF(C2390="848630",0,1)</f>
        <v>1</v>
      </c>
    </row>
    <row r="2391" customFormat="false" ht="15" hidden="false" customHeight="false" outlineLevel="0" collapsed="false">
      <c r="A2391" s="12" t="n">
        <v>45536</v>
      </c>
      <c r="B2391" s="9" t="s">
        <v>93</v>
      </c>
      <c r="C2391" s="3" t="s">
        <v>107</v>
      </c>
      <c r="D2391" s="3" t="n">
        <v>11252000</v>
      </c>
      <c r="E2391" s="3" t="s">
        <v>114</v>
      </c>
      <c r="F2391" s="3" t="n">
        <f aca="false">IF(C2391="848630",0,1)</f>
        <v>1</v>
      </c>
    </row>
    <row r="2392" customFormat="false" ht="15" hidden="false" customHeight="false" outlineLevel="0" collapsed="false">
      <c r="A2392" s="12" t="n">
        <v>45536</v>
      </c>
      <c r="B2392" s="9" t="s">
        <v>93</v>
      </c>
      <c r="C2392" s="3" t="s">
        <v>107</v>
      </c>
      <c r="D2392" s="3" t="n">
        <v>34600000</v>
      </c>
      <c r="E2392" s="3" t="s">
        <v>114</v>
      </c>
      <c r="F2392" s="3" t="n">
        <f aca="false">IF(C2392="848630",0,1)</f>
        <v>1</v>
      </c>
    </row>
    <row r="2393" customFormat="false" ht="15" hidden="false" customHeight="false" outlineLevel="0" collapsed="false">
      <c r="A2393" s="12" t="n">
        <v>45536</v>
      </c>
      <c r="B2393" s="9" t="s">
        <v>93</v>
      </c>
      <c r="C2393" s="3" t="s">
        <v>107</v>
      </c>
      <c r="D2393" s="3" t="n">
        <v>11329000</v>
      </c>
      <c r="E2393" s="3" t="s">
        <v>114</v>
      </c>
      <c r="F2393" s="3" t="n">
        <f aca="false">IF(C2393="848630",0,1)</f>
        <v>1</v>
      </c>
    </row>
    <row r="2394" customFormat="false" ht="15" hidden="false" customHeight="false" outlineLevel="0" collapsed="false">
      <c r="A2394" s="12" t="n">
        <v>45536</v>
      </c>
      <c r="B2394" s="9" t="s">
        <v>93</v>
      </c>
      <c r="C2394" s="3" t="s">
        <v>107</v>
      </c>
      <c r="D2394" s="3" t="n">
        <v>3634000</v>
      </c>
      <c r="E2394" s="3" t="s">
        <v>114</v>
      </c>
      <c r="F2394" s="3" t="n">
        <f aca="false">IF(C2394="848630",0,1)</f>
        <v>1</v>
      </c>
    </row>
    <row r="2395" customFormat="false" ht="15" hidden="false" customHeight="false" outlineLevel="0" collapsed="false">
      <c r="A2395" s="12" t="n">
        <v>45536</v>
      </c>
      <c r="B2395" s="9" t="s">
        <v>93</v>
      </c>
      <c r="C2395" s="3" t="s">
        <v>107</v>
      </c>
      <c r="D2395" s="3" t="n">
        <v>2073000</v>
      </c>
      <c r="E2395" s="3" t="s">
        <v>114</v>
      </c>
      <c r="F2395" s="3" t="n">
        <f aca="false">IF(C2395="848630",0,1)</f>
        <v>1</v>
      </c>
    </row>
    <row r="2396" customFormat="false" ht="15" hidden="false" customHeight="false" outlineLevel="0" collapsed="false">
      <c r="A2396" s="12" t="n">
        <v>45536</v>
      </c>
      <c r="B2396" s="9" t="s">
        <v>93</v>
      </c>
      <c r="C2396" s="3" t="s">
        <v>107</v>
      </c>
      <c r="D2396" s="3" t="n">
        <v>4084000</v>
      </c>
      <c r="E2396" s="3" t="s">
        <v>114</v>
      </c>
      <c r="F2396" s="3" t="n">
        <f aca="false">IF(C2396="848630",0,1)</f>
        <v>1</v>
      </c>
    </row>
    <row r="2397" customFormat="false" ht="15" hidden="false" customHeight="false" outlineLevel="0" collapsed="false">
      <c r="A2397" s="12" t="n">
        <v>45536</v>
      </c>
      <c r="B2397" s="9" t="s">
        <v>93</v>
      </c>
      <c r="C2397" s="3" t="s">
        <v>107</v>
      </c>
      <c r="D2397" s="3" t="n">
        <v>455000</v>
      </c>
      <c r="E2397" s="3" t="s">
        <v>114</v>
      </c>
      <c r="F2397" s="3" t="n">
        <f aca="false">IF(C2397="848630",0,1)</f>
        <v>1</v>
      </c>
    </row>
    <row r="2398" customFormat="false" ht="15" hidden="false" customHeight="false" outlineLevel="0" collapsed="false">
      <c r="A2398" s="12" t="n">
        <v>45536</v>
      </c>
      <c r="B2398" s="9" t="s">
        <v>93</v>
      </c>
      <c r="C2398" s="3" t="s">
        <v>107</v>
      </c>
      <c r="D2398" s="3" t="n">
        <v>14273000</v>
      </c>
      <c r="E2398" s="3" t="s">
        <v>114</v>
      </c>
      <c r="F2398" s="3" t="n">
        <f aca="false">IF(C2398="848630",0,1)</f>
        <v>1</v>
      </c>
    </row>
    <row r="2399" customFormat="false" ht="15" hidden="false" customHeight="false" outlineLevel="0" collapsed="false">
      <c r="A2399" s="12" t="n">
        <v>45536</v>
      </c>
      <c r="B2399" s="9" t="s">
        <v>93</v>
      </c>
      <c r="C2399" s="3" t="s">
        <v>112</v>
      </c>
      <c r="D2399" s="3" t="n">
        <v>9431000</v>
      </c>
      <c r="E2399" s="3" t="s">
        <v>114</v>
      </c>
      <c r="F2399" s="3" t="n">
        <f aca="false">IF(C2399="848630",0,1)</f>
        <v>0</v>
      </c>
    </row>
    <row r="2400" customFormat="false" ht="15" hidden="false" customHeight="false" outlineLevel="0" collapsed="false">
      <c r="A2400" s="12" t="n">
        <v>45536</v>
      </c>
      <c r="B2400" s="9" t="s">
        <v>93</v>
      </c>
      <c r="C2400" s="3" t="s">
        <v>112</v>
      </c>
      <c r="D2400" s="3" t="n">
        <v>92000</v>
      </c>
      <c r="E2400" s="3" t="s">
        <v>114</v>
      </c>
      <c r="F2400" s="3" t="n">
        <f aca="false">IF(C2400="848630",0,1)</f>
        <v>0</v>
      </c>
    </row>
    <row r="2401" customFormat="false" ht="15" hidden="false" customHeight="false" outlineLevel="0" collapsed="false">
      <c r="A2401" s="12" t="n">
        <v>45536</v>
      </c>
      <c r="B2401" s="9" t="s">
        <v>93</v>
      </c>
      <c r="C2401" s="3" t="s">
        <v>112</v>
      </c>
      <c r="D2401" s="3" t="n">
        <v>2000</v>
      </c>
      <c r="E2401" s="3" t="s">
        <v>114</v>
      </c>
      <c r="F2401" s="3" t="n">
        <f aca="false">IF(C2401="848630",0,1)</f>
        <v>0</v>
      </c>
    </row>
    <row r="2402" customFormat="false" ht="15" hidden="false" customHeight="false" outlineLevel="0" collapsed="false">
      <c r="A2402" s="12" t="n">
        <v>45536</v>
      </c>
      <c r="B2402" s="9" t="s">
        <v>93</v>
      </c>
      <c r="C2402" s="3" t="s">
        <v>112</v>
      </c>
      <c r="D2402" s="3" t="n">
        <v>0</v>
      </c>
      <c r="E2402" s="3" t="s">
        <v>114</v>
      </c>
      <c r="F2402" s="3" t="n">
        <f aca="false">IF(C2402="848630",0,1)</f>
        <v>0</v>
      </c>
    </row>
    <row r="2403" customFormat="false" ht="15" hidden="false" customHeight="false" outlineLevel="0" collapsed="false">
      <c r="A2403" s="12" t="n">
        <v>45536</v>
      </c>
      <c r="B2403" s="9" t="s">
        <v>93</v>
      </c>
      <c r="C2403" s="3" t="s">
        <v>112</v>
      </c>
      <c r="D2403" s="3" t="n">
        <v>97000</v>
      </c>
      <c r="E2403" s="3" t="s">
        <v>114</v>
      </c>
      <c r="F2403" s="3" t="n">
        <f aca="false">IF(C2403="848630",0,1)</f>
        <v>0</v>
      </c>
    </row>
    <row r="2404" customFormat="false" ht="15" hidden="false" customHeight="false" outlineLevel="0" collapsed="false">
      <c r="A2404" s="12" t="n">
        <v>45536</v>
      </c>
      <c r="B2404" s="9" t="s">
        <v>93</v>
      </c>
      <c r="C2404" s="3" t="s">
        <v>108</v>
      </c>
      <c r="D2404" s="3" t="n">
        <v>10619000</v>
      </c>
      <c r="E2404" s="3" t="s">
        <v>114</v>
      </c>
      <c r="F2404" s="3" t="n">
        <f aca="false">IF(C2404="848630",0,1)</f>
        <v>1</v>
      </c>
    </row>
    <row r="2405" customFormat="false" ht="15" hidden="false" customHeight="false" outlineLevel="0" collapsed="false">
      <c r="A2405" s="12" t="n">
        <v>45536</v>
      </c>
      <c r="B2405" s="9" t="s">
        <v>93</v>
      </c>
      <c r="C2405" s="3" t="s">
        <v>108</v>
      </c>
      <c r="D2405" s="3" t="n">
        <v>3364000</v>
      </c>
      <c r="E2405" s="3" t="s">
        <v>114</v>
      </c>
      <c r="F2405" s="3" t="n">
        <f aca="false">IF(C2405="848630",0,1)</f>
        <v>1</v>
      </c>
    </row>
    <row r="2406" customFormat="false" ht="15" hidden="false" customHeight="false" outlineLevel="0" collapsed="false">
      <c r="A2406" s="12" t="n">
        <v>45536</v>
      </c>
      <c r="B2406" s="9" t="s">
        <v>93</v>
      </c>
      <c r="C2406" s="3" t="s">
        <v>108</v>
      </c>
      <c r="D2406" s="3" t="n">
        <v>8252000</v>
      </c>
      <c r="E2406" s="3" t="s">
        <v>114</v>
      </c>
      <c r="F2406" s="3" t="n">
        <f aca="false">IF(C2406="848630",0,1)</f>
        <v>1</v>
      </c>
    </row>
    <row r="2407" customFormat="false" ht="15" hidden="false" customHeight="false" outlineLevel="0" collapsed="false">
      <c r="A2407" s="12" t="n">
        <v>45536</v>
      </c>
      <c r="B2407" s="9" t="s">
        <v>93</v>
      </c>
      <c r="C2407" s="3" t="s">
        <v>108</v>
      </c>
      <c r="D2407" s="3" t="n">
        <v>4564000</v>
      </c>
      <c r="E2407" s="3" t="s">
        <v>114</v>
      </c>
      <c r="F2407" s="3" t="n">
        <f aca="false">IF(C2407="848630",0,1)</f>
        <v>1</v>
      </c>
    </row>
    <row r="2408" customFormat="false" ht="15" hidden="false" customHeight="false" outlineLevel="0" collapsed="false">
      <c r="A2408" s="12" t="n">
        <v>45536</v>
      </c>
      <c r="B2408" s="9" t="s">
        <v>93</v>
      </c>
      <c r="C2408" s="3" t="s">
        <v>108</v>
      </c>
      <c r="D2408" s="3" t="n">
        <v>0</v>
      </c>
      <c r="E2408" s="3" t="s">
        <v>114</v>
      </c>
      <c r="F2408" s="3" t="n">
        <f aca="false">IF(C2408="848630",0,1)</f>
        <v>1</v>
      </c>
    </row>
    <row r="2409" customFormat="false" ht="15" hidden="false" customHeight="false" outlineLevel="0" collapsed="false">
      <c r="A2409" s="12" t="n">
        <v>45536</v>
      </c>
      <c r="B2409" s="9" t="s">
        <v>93</v>
      </c>
      <c r="C2409" s="3" t="s">
        <v>108</v>
      </c>
      <c r="D2409" s="3" t="n">
        <v>5760000</v>
      </c>
      <c r="E2409" s="3" t="s">
        <v>114</v>
      </c>
      <c r="F2409" s="3" t="n">
        <f aca="false">IF(C2409="848630",0,1)</f>
        <v>1</v>
      </c>
    </row>
    <row r="2410" customFormat="false" ht="15" hidden="false" customHeight="false" outlineLevel="0" collapsed="false">
      <c r="A2410" s="12" t="n">
        <v>45536</v>
      </c>
      <c r="B2410" s="9" t="s">
        <v>93</v>
      </c>
      <c r="C2410" s="3" t="s">
        <v>108</v>
      </c>
      <c r="D2410" s="3" t="n">
        <v>1000</v>
      </c>
      <c r="E2410" s="3" t="s">
        <v>114</v>
      </c>
      <c r="F2410" s="3" t="n">
        <f aca="false">IF(C2410="848630",0,1)</f>
        <v>1</v>
      </c>
    </row>
    <row r="2411" customFormat="false" ht="15" hidden="false" customHeight="false" outlineLevel="0" collapsed="false">
      <c r="A2411" s="12" t="n">
        <v>45536</v>
      </c>
      <c r="B2411" s="9" t="s">
        <v>93</v>
      </c>
      <c r="C2411" s="3" t="s">
        <v>108</v>
      </c>
      <c r="D2411" s="3" t="n">
        <v>162000</v>
      </c>
      <c r="E2411" s="3" t="s">
        <v>114</v>
      </c>
      <c r="F2411" s="3" t="n">
        <f aca="false">IF(C2411="848630",0,1)</f>
        <v>1</v>
      </c>
    </row>
    <row r="2412" customFormat="false" ht="15" hidden="false" customHeight="false" outlineLevel="0" collapsed="false">
      <c r="A2412" s="12" t="n">
        <v>45536</v>
      </c>
      <c r="B2412" s="9" t="s">
        <v>93</v>
      </c>
      <c r="C2412" s="3" t="s">
        <v>108</v>
      </c>
      <c r="D2412" s="3" t="n">
        <v>0</v>
      </c>
      <c r="E2412" s="3" t="s">
        <v>114</v>
      </c>
      <c r="F2412" s="3" t="n">
        <f aca="false">IF(C2412="848630",0,1)</f>
        <v>1</v>
      </c>
    </row>
    <row r="2413" customFormat="false" ht="15" hidden="false" customHeight="false" outlineLevel="0" collapsed="false">
      <c r="A2413" s="12" t="n">
        <v>45536</v>
      </c>
      <c r="B2413" s="9" t="s">
        <v>93</v>
      </c>
      <c r="C2413" s="3" t="s">
        <v>108</v>
      </c>
      <c r="D2413" s="3" t="n">
        <v>5065000</v>
      </c>
      <c r="E2413" s="3" t="s">
        <v>114</v>
      </c>
      <c r="F2413" s="3" t="n">
        <f aca="false">IF(C2413="848630",0,1)</f>
        <v>1</v>
      </c>
    </row>
    <row r="2414" customFormat="false" ht="15" hidden="false" customHeight="false" outlineLevel="0" collapsed="false">
      <c r="A2414" s="12" t="n">
        <v>45536</v>
      </c>
      <c r="B2414" s="9" t="s">
        <v>93</v>
      </c>
      <c r="C2414" s="3" t="s">
        <v>108</v>
      </c>
      <c r="D2414" s="3" t="n">
        <v>794000</v>
      </c>
      <c r="E2414" s="3" t="s">
        <v>114</v>
      </c>
      <c r="F2414" s="3" t="n">
        <f aca="false">IF(C2414="848630",0,1)</f>
        <v>1</v>
      </c>
    </row>
    <row r="2415" customFormat="false" ht="15" hidden="false" customHeight="false" outlineLevel="0" collapsed="false">
      <c r="A2415" s="12" t="n">
        <v>45536</v>
      </c>
      <c r="B2415" s="9" t="s">
        <v>93</v>
      </c>
      <c r="C2415" s="3" t="s">
        <v>108</v>
      </c>
      <c r="D2415" s="3" t="n">
        <v>4388000</v>
      </c>
      <c r="E2415" s="3" t="s">
        <v>114</v>
      </c>
      <c r="F2415" s="3" t="n">
        <f aca="false">IF(C2415="848630",0,1)</f>
        <v>1</v>
      </c>
    </row>
    <row r="2416" customFormat="false" ht="15" hidden="false" customHeight="false" outlineLevel="0" collapsed="false">
      <c r="A2416" s="12" t="n">
        <v>45536</v>
      </c>
      <c r="B2416" s="9" t="s">
        <v>93</v>
      </c>
      <c r="C2416" s="3" t="s">
        <v>109</v>
      </c>
      <c r="D2416" s="3" t="n">
        <v>2026000</v>
      </c>
      <c r="E2416" s="3" t="s">
        <v>114</v>
      </c>
      <c r="F2416" s="3" t="n">
        <f aca="false">IF(C2416="848630",0,1)</f>
        <v>1</v>
      </c>
    </row>
    <row r="2417" customFormat="false" ht="15" hidden="false" customHeight="false" outlineLevel="0" collapsed="false">
      <c r="A2417" s="12" t="n">
        <v>45536</v>
      </c>
      <c r="B2417" s="9" t="s">
        <v>93</v>
      </c>
      <c r="C2417" s="3" t="s">
        <v>109</v>
      </c>
      <c r="D2417" s="3" t="n">
        <v>19327000</v>
      </c>
      <c r="E2417" s="3" t="s">
        <v>114</v>
      </c>
      <c r="F2417" s="3" t="n">
        <f aca="false">IF(C2417="848630",0,1)</f>
        <v>1</v>
      </c>
    </row>
    <row r="2418" customFormat="false" ht="15" hidden="false" customHeight="false" outlineLevel="0" collapsed="false">
      <c r="A2418" s="12" t="n">
        <v>45536</v>
      </c>
      <c r="B2418" s="9" t="s">
        <v>93</v>
      </c>
      <c r="C2418" s="3" t="s">
        <v>109</v>
      </c>
      <c r="D2418" s="3" t="n">
        <v>24216000</v>
      </c>
      <c r="E2418" s="3" t="s">
        <v>114</v>
      </c>
      <c r="F2418" s="3" t="n">
        <f aca="false">IF(C2418="848630",0,1)</f>
        <v>1</v>
      </c>
    </row>
    <row r="2419" customFormat="false" ht="15" hidden="false" customHeight="false" outlineLevel="0" collapsed="false">
      <c r="A2419" s="12" t="n">
        <v>45536</v>
      </c>
      <c r="B2419" s="9" t="s">
        <v>93</v>
      </c>
      <c r="C2419" s="3" t="s">
        <v>109</v>
      </c>
      <c r="D2419" s="3" t="n">
        <v>5735000</v>
      </c>
      <c r="E2419" s="3" t="s">
        <v>114</v>
      </c>
      <c r="F2419" s="3" t="n">
        <f aca="false">IF(C2419="848630",0,1)</f>
        <v>1</v>
      </c>
    </row>
    <row r="2420" customFormat="false" ht="15" hidden="false" customHeight="false" outlineLevel="0" collapsed="false">
      <c r="A2420" s="12" t="n">
        <v>45536</v>
      </c>
      <c r="B2420" s="9" t="s">
        <v>93</v>
      </c>
      <c r="C2420" s="3" t="s">
        <v>109</v>
      </c>
      <c r="D2420" s="3" t="n">
        <v>159000</v>
      </c>
      <c r="E2420" s="3" t="s">
        <v>114</v>
      </c>
      <c r="F2420" s="3" t="n">
        <f aca="false">IF(C2420="848630",0,1)</f>
        <v>1</v>
      </c>
    </row>
    <row r="2421" customFormat="false" ht="15" hidden="false" customHeight="false" outlineLevel="0" collapsed="false">
      <c r="A2421" s="12" t="n">
        <v>45536</v>
      </c>
      <c r="B2421" s="9" t="s">
        <v>93</v>
      </c>
      <c r="C2421" s="3" t="s">
        <v>109</v>
      </c>
      <c r="D2421" s="3" t="n">
        <v>2491000</v>
      </c>
      <c r="E2421" s="3" t="s">
        <v>114</v>
      </c>
      <c r="F2421" s="3" t="n">
        <f aca="false">IF(C2421="848630",0,1)</f>
        <v>1</v>
      </c>
    </row>
    <row r="2422" customFormat="false" ht="15" hidden="false" customHeight="false" outlineLevel="0" collapsed="false">
      <c r="A2422" s="12" t="n">
        <v>45536</v>
      </c>
      <c r="B2422" s="9" t="s">
        <v>93</v>
      </c>
      <c r="C2422" s="3" t="s">
        <v>109</v>
      </c>
      <c r="D2422" s="3" t="n">
        <v>165000</v>
      </c>
      <c r="E2422" s="3" t="s">
        <v>114</v>
      </c>
      <c r="F2422" s="3" t="n">
        <f aca="false">IF(C2422="848630",0,1)</f>
        <v>1</v>
      </c>
    </row>
    <row r="2423" customFormat="false" ht="15" hidden="false" customHeight="false" outlineLevel="0" collapsed="false">
      <c r="A2423" s="12" t="n">
        <v>45536</v>
      </c>
      <c r="B2423" s="9" t="s">
        <v>93</v>
      </c>
      <c r="C2423" s="3" t="s">
        <v>109</v>
      </c>
      <c r="D2423" s="3" t="n">
        <v>8773000</v>
      </c>
      <c r="E2423" s="3" t="s">
        <v>114</v>
      </c>
      <c r="F2423" s="3" t="n">
        <f aca="false">IF(C2423="848630",0,1)</f>
        <v>1</v>
      </c>
    </row>
    <row r="2424" customFormat="false" ht="15" hidden="false" customHeight="false" outlineLevel="0" collapsed="false">
      <c r="A2424" s="12" t="n">
        <v>45536</v>
      </c>
      <c r="B2424" s="9" t="s">
        <v>93</v>
      </c>
      <c r="C2424" s="3" t="s">
        <v>110</v>
      </c>
      <c r="D2424" s="3" t="n">
        <v>64011000</v>
      </c>
      <c r="E2424" s="3" t="s">
        <v>114</v>
      </c>
      <c r="F2424" s="3" t="n">
        <f aca="false">IF(C2424="848630",0,1)</f>
        <v>1</v>
      </c>
    </row>
    <row r="2425" customFormat="false" ht="15" hidden="false" customHeight="false" outlineLevel="0" collapsed="false">
      <c r="A2425" s="12" t="n">
        <v>45536</v>
      </c>
      <c r="B2425" s="9" t="s">
        <v>93</v>
      </c>
      <c r="C2425" s="3" t="s">
        <v>111</v>
      </c>
      <c r="D2425" s="3" t="n">
        <v>67532000</v>
      </c>
      <c r="E2425" s="3" t="s">
        <v>114</v>
      </c>
      <c r="F2425" s="3" t="n">
        <f aca="false">IF(C2425="848630",0,1)</f>
        <v>1</v>
      </c>
    </row>
    <row r="2426" customFormat="false" ht="15" hidden="false" customHeight="false" outlineLevel="0" collapsed="false">
      <c r="A2426" s="12" t="n">
        <v>45566</v>
      </c>
      <c r="B2426" s="9" t="s">
        <v>93</v>
      </c>
      <c r="C2426" s="3" t="s">
        <v>105</v>
      </c>
      <c r="D2426" s="3" t="n">
        <v>7456000</v>
      </c>
      <c r="E2426" s="3" t="s">
        <v>114</v>
      </c>
      <c r="F2426" s="3" t="n">
        <f aca="false">IF(C2426="848630",0,1)</f>
        <v>1</v>
      </c>
    </row>
    <row r="2427" customFormat="false" ht="15" hidden="false" customHeight="false" outlineLevel="0" collapsed="false">
      <c r="A2427" s="12" t="n">
        <v>45566</v>
      </c>
      <c r="B2427" s="9" t="s">
        <v>93</v>
      </c>
      <c r="C2427" s="3" t="s">
        <v>105</v>
      </c>
      <c r="D2427" s="3" t="n">
        <v>0</v>
      </c>
      <c r="E2427" s="3" t="s">
        <v>114</v>
      </c>
      <c r="F2427" s="3" t="n">
        <f aca="false">IF(C2427="848630",0,1)</f>
        <v>1</v>
      </c>
    </row>
    <row r="2428" customFormat="false" ht="15" hidden="false" customHeight="false" outlineLevel="0" collapsed="false">
      <c r="A2428" s="12" t="n">
        <v>45566</v>
      </c>
      <c r="B2428" s="9" t="s">
        <v>93</v>
      </c>
      <c r="C2428" s="3" t="s">
        <v>105</v>
      </c>
      <c r="D2428" s="3" t="n">
        <v>0</v>
      </c>
      <c r="E2428" s="3" t="s">
        <v>114</v>
      </c>
      <c r="F2428" s="3" t="n">
        <f aca="false">IF(C2428="848630",0,1)</f>
        <v>1</v>
      </c>
    </row>
    <row r="2429" customFormat="false" ht="15" hidden="false" customHeight="false" outlineLevel="0" collapsed="false">
      <c r="A2429" s="12" t="n">
        <v>45566</v>
      </c>
      <c r="B2429" s="9" t="s">
        <v>93</v>
      </c>
      <c r="C2429" s="3" t="s">
        <v>107</v>
      </c>
      <c r="D2429" s="3" t="n">
        <v>2886000</v>
      </c>
      <c r="E2429" s="3" t="s">
        <v>114</v>
      </c>
      <c r="F2429" s="3" t="n">
        <f aca="false">IF(C2429="848630",0,1)</f>
        <v>1</v>
      </c>
    </row>
    <row r="2430" customFormat="false" ht="15" hidden="false" customHeight="false" outlineLevel="0" collapsed="false">
      <c r="A2430" s="12" t="n">
        <v>45566</v>
      </c>
      <c r="B2430" s="9" t="s">
        <v>93</v>
      </c>
      <c r="C2430" s="3" t="s">
        <v>107</v>
      </c>
      <c r="D2430" s="3" t="n">
        <v>0</v>
      </c>
      <c r="E2430" s="3" t="s">
        <v>114</v>
      </c>
      <c r="F2430" s="3" t="n">
        <f aca="false">IF(C2430="848630",0,1)</f>
        <v>1</v>
      </c>
    </row>
    <row r="2431" customFormat="false" ht="15" hidden="false" customHeight="false" outlineLevel="0" collapsed="false">
      <c r="A2431" s="12" t="n">
        <v>45566</v>
      </c>
      <c r="B2431" s="9" t="s">
        <v>93</v>
      </c>
      <c r="C2431" s="3" t="s">
        <v>107</v>
      </c>
      <c r="D2431" s="3" t="n">
        <v>3432000</v>
      </c>
      <c r="E2431" s="3" t="s">
        <v>114</v>
      </c>
      <c r="F2431" s="3" t="n">
        <f aca="false">IF(C2431="848630",0,1)</f>
        <v>1</v>
      </c>
    </row>
    <row r="2432" customFormat="false" ht="15" hidden="false" customHeight="false" outlineLevel="0" collapsed="false">
      <c r="A2432" s="12" t="n">
        <v>45566</v>
      </c>
      <c r="B2432" s="9" t="s">
        <v>93</v>
      </c>
      <c r="C2432" s="3" t="s">
        <v>107</v>
      </c>
      <c r="D2432" s="3" t="n">
        <v>2452000</v>
      </c>
      <c r="E2432" s="3" t="s">
        <v>114</v>
      </c>
      <c r="F2432" s="3" t="n">
        <f aca="false">IF(C2432="848630",0,1)</f>
        <v>1</v>
      </c>
    </row>
    <row r="2433" customFormat="false" ht="15" hidden="false" customHeight="false" outlineLevel="0" collapsed="false">
      <c r="A2433" s="12" t="n">
        <v>45566</v>
      </c>
      <c r="B2433" s="9" t="s">
        <v>93</v>
      </c>
      <c r="C2433" s="3" t="s">
        <v>107</v>
      </c>
      <c r="D2433" s="3" t="n">
        <v>71453000</v>
      </c>
      <c r="E2433" s="3" t="s">
        <v>114</v>
      </c>
      <c r="F2433" s="3" t="n">
        <f aca="false">IF(C2433="848630",0,1)</f>
        <v>1</v>
      </c>
    </row>
    <row r="2434" customFormat="false" ht="15" hidden="false" customHeight="false" outlineLevel="0" collapsed="false">
      <c r="A2434" s="12" t="n">
        <v>45566</v>
      </c>
      <c r="B2434" s="9" t="s">
        <v>93</v>
      </c>
      <c r="C2434" s="3" t="s">
        <v>107</v>
      </c>
      <c r="D2434" s="3" t="n">
        <v>8136000</v>
      </c>
      <c r="E2434" s="3" t="s">
        <v>114</v>
      </c>
      <c r="F2434" s="3" t="n">
        <f aca="false">IF(C2434="848630",0,1)</f>
        <v>1</v>
      </c>
    </row>
    <row r="2435" customFormat="false" ht="15" hidden="false" customHeight="false" outlineLevel="0" collapsed="false">
      <c r="A2435" s="12" t="n">
        <v>45566</v>
      </c>
      <c r="B2435" s="9" t="s">
        <v>93</v>
      </c>
      <c r="C2435" s="3" t="s">
        <v>107</v>
      </c>
      <c r="D2435" s="3" t="n">
        <v>45851000</v>
      </c>
      <c r="E2435" s="3" t="s">
        <v>114</v>
      </c>
      <c r="F2435" s="3" t="n">
        <f aca="false">IF(C2435="848630",0,1)</f>
        <v>1</v>
      </c>
    </row>
    <row r="2436" customFormat="false" ht="15" hidden="false" customHeight="false" outlineLevel="0" collapsed="false">
      <c r="A2436" s="12" t="n">
        <v>45566</v>
      </c>
      <c r="B2436" s="9" t="s">
        <v>93</v>
      </c>
      <c r="C2436" s="3" t="s">
        <v>107</v>
      </c>
      <c r="D2436" s="3" t="n">
        <v>1265000</v>
      </c>
      <c r="E2436" s="3" t="s">
        <v>114</v>
      </c>
      <c r="F2436" s="3" t="n">
        <f aca="false">IF(C2436="848630",0,1)</f>
        <v>1</v>
      </c>
    </row>
    <row r="2437" customFormat="false" ht="15" hidden="false" customHeight="false" outlineLevel="0" collapsed="false">
      <c r="A2437" s="12" t="n">
        <v>45566</v>
      </c>
      <c r="B2437" s="9" t="s">
        <v>93</v>
      </c>
      <c r="C2437" s="3" t="s">
        <v>107</v>
      </c>
      <c r="D2437" s="3" t="n">
        <v>86684000</v>
      </c>
      <c r="E2437" s="3" t="s">
        <v>114</v>
      </c>
      <c r="F2437" s="3" t="n">
        <f aca="false">IF(C2437="848630",0,1)</f>
        <v>1</v>
      </c>
    </row>
    <row r="2438" customFormat="false" ht="15" hidden="false" customHeight="false" outlineLevel="0" collapsed="false">
      <c r="A2438" s="12" t="n">
        <v>45566</v>
      </c>
      <c r="B2438" s="9" t="s">
        <v>93</v>
      </c>
      <c r="C2438" s="3" t="s">
        <v>107</v>
      </c>
      <c r="D2438" s="3" t="n">
        <v>15077000</v>
      </c>
      <c r="E2438" s="3" t="s">
        <v>114</v>
      </c>
      <c r="F2438" s="3" t="n">
        <f aca="false">IF(C2438="848630",0,1)</f>
        <v>1</v>
      </c>
    </row>
    <row r="2439" customFormat="false" ht="15" hidden="false" customHeight="false" outlineLevel="0" collapsed="false">
      <c r="A2439" s="12" t="n">
        <v>45566</v>
      </c>
      <c r="B2439" s="9" t="s">
        <v>93</v>
      </c>
      <c r="C2439" s="3" t="s">
        <v>107</v>
      </c>
      <c r="D2439" s="3" t="n">
        <v>43809000</v>
      </c>
      <c r="E2439" s="3" t="s">
        <v>114</v>
      </c>
      <c r="F2439" s="3" t="n">
        <f aca="false">IF(C2439="848630",0,1)</f>
        <v>1</v>
      </c>
    </row>
    <row r="2440" customFormat="false" ht="15" hidden="false" customHeight="false" outlineLevel="0" collapsed="false">
      <c r="A2440" s="12" t="n">
        <v>45566</v>
      </c>
      <c r="B2440" s="9" t="s">
        <v>93</v>
      </c>
      <c r="C2440" s="3" t="s">
        <v>107</v>
      </c>
      <c r="D2440" s="3" t="n">
        <v>10695000</v>
      </c>
      <c r="E2440" s="3" t="s">
        <v>114</v>
      </c>
      <c r="F2440" s="3" t="n">
        <f aca="false">IF(C2440="848630",0,1)</f>
        <v>1</v>
      </c>
    </row>
    <row r="2441" customFormat="false" ht="15" hidden="false" customHeight="false" outlineLevel="0" collapsed="false">
      <c r="A2441" s="12" t="n">
        <v>45566</v>
      </c>
      <c r="B2441" s="9" t="s">
        <v>93</v>
      </c>
      <c r="C2441" s="3" t="s">
        <v>107</v>
      </c>
      <c r="D2441" s="3" t="n">
        <v>6386000</v>
      </c>
      <c r="E2441" s="3" t="s">
        <v>114</v>
      </c>
      <c r="F2441" s="3" t="n">
        <f aca="false">IF(C2441="848630",0,1)</f>
        <v>1</v>
      </c>
    </row>
    <row r="2442" customFormat="false" ht="15" hidden="false" customHeight="false" outlineLevel="0" collapsed="false">
      <c r="A2442" s="12" t="n">
        <v>45566</v>
      </c>
      <c r="B2442" s="9" t="s">
        <v>93</v>
      </c>
      <c r="C2442" s="3" t="s">
        <v>107</v>
      </c>
      <c r="D2442" s="3" t="n">
        <v>2967000</v>
      </c>
      <c r="E2442" s="3" t="s">
        <v>114</v>
      </c>
      <c r="F2442" s="3" t="n">
        <f aca="false">IF(C2442="848630",0,1)</f>
        <v>1</v>
      </c>
    </row>
    <row r="2443" customFormat="false" ht="15" hidden="false" customHeight="false" outlineLevel="0" collapsed="false">
      <c r="A2443" s="12" t="n">
        <v>45566</v>
      </c>
      <c r="B2443" s="9" t="s">
        <v>93</v>
      </c>
      <c r="C2443" s="3" t="s">
        <v>107</v>
      </c>
      <c r="D2443" s="3" t="n">
        <v>6292000</v>
      </c>
      <c r="E2443" s="3" t="s">
        <v>114</v>
      </c>
      <c r="F2443" s="3" t="n">
        <f aca="false">IF(C2443="848630",0,1)</f>
        <v>1</v>
      </c>
    </row>
    <row r="2444" customFormat="false" ht="15" hidden="false" customHeight="false" outlineLevel="0" collapsed="false">
      <c r="A2444" s="12" t="n">
        <v>45566</v>
      </c>
      <c r="B2444" s="9" t="s">
        <v>93</v>
      </c>
      <c r="C2444" s="3" t="s">
        <v>107</v>
      </c>
      <c r="D2444" s="3" t="n">
        <v>1019000</v>
      </c>
      <c r="E2444" s="3" t="s">
        <v>114</v>
      </c>
      <c r="F2444" s="3" t="n">
        <f aca="false">IF(C2444="848630",0,1)</f>
        <v>1</v>
      </c>
    </row>
    <row r="2445" customFormat="false" ht="15" hidden="false" customHeight="false" outlineLevel="0" collapsed="false">
      <c r="A2445" s="12" t="n">
        <v>45566</v>
      </c>
      <c r="B2445" s="9" t="s">
        <v>93</v>
      </c>
      <c r="C2445" s="3" t="s">
        <v>107</v>
      </c>
      <c r="D2445" s="3" t="n">
        <v>10739000</v>
      </c>
      <c r="E2445" s="3" t="s">
        <v>114</v>
      </c>
      <c r="F2445" s="3" t="n">
        <f aca="false">IF(C2445="848630",0,1)</f>
        <v>1</v>
      </c>
    </row>
    <row r="2446" customFormat="false" ht="15" hidden="false" customHeight="false" outlineLevel="0" collapsed="false">
      <c r="A2446" s="12" t="n">
        <v>45566</v>
      </c>
      <c r="B2446" s="9" t="s">
        <v>93</v>
      </c>
      <c r="C2446" s="3" t="s">
        <v>112</v>
      </c>
      <c r="D2446" s="3" t="n">
        <v>1574000</v>
      </c>
      <c r="E2446" s="3" t="s">
        <v>114</v>
      </c>
      <c r="F2446" s="3" t="n">
        <f aca="false">IF(C2446="848630",0,1)</f>
        <v>0</v>
      </c>
    </row>
    <row r="2447" customFormat="false" ht="15" hidden="false" customHeight="false" outlineLevel="0" collapsed="false">
      <c r="A2447" s="12" t="n">
        <v>45566</v>
      </c>
      <c r="B2447" s="9" t="s">
        <v>93</v>
      </c>
      <c r="C2447" s="3" t="s">
        <v>112</v>
      </c>
      <c r="D2447" s="3" t="n">
        <v>11050000</v>
      </c>
      <c r="E2447" s="3" t="s">
        <v>114</v>
      </c>
      <c r="F2447" s="3" t="n">
        <f aca="false">IF(C2447="848630",0,1)</f>
        <v>0</v>
      </c>
    </row>
    <row r="2448" customFormat="false" ht="15" hidden="false" customHeight="false" outlineLevel="0" collapsed="false">
      <c r="A2448" s="12" t="n">
        <v>45566</v>
      </c>
      <c r="B2448" s="9" t="s">
        <v>93</v>
      </c>
      <c r="C2448" s="3" t="s">
        <v>112</v>
      </c>
      <c r="D2448" s="3" t="n">
        <v>125000</v>
      </c>
      <c r="E2448" s="3" t="s">
        <v>114</v>
      </c>
      <c r="F2448" s="3" t="n">
        <f aca="false">IF(C2448="848630",0,1)</f>
        <v>0</v>
      </c>
    </row>
    <row r="2449" customFormat="false" ht="15" hidden="false" customHeight="false" outlineLevel="0" collapsed="false">
      <c r="A2449" s="12" t="n">
        <v>45566</v>
      </c>
      <c r="B2449" s="9" t="s">
        <v>93</v>
      </c>
      <c r="C2449" s="3" t="s">
        <v>112</v>
      </c>
      <c r="D2449" s="3" t="n">
        <v>44000</v>
      </c>
      <c r="E2449" s="3" t="s">
        <v>114</v>
      </c>
      <c r="F2449" s="3" t="n">
        <f aca="false">IF(C2449="848630",0,1)</f>
        <v>0</v>
      </c>
    </row>
    <row r="2450" customFormat="false" ht="15" hidden="false" customHeight="false" outlineLevel="0" collapsed="false">
      <c r="A2450" s="12" t="n">
        <v>45566</v>
      </c>
      <c r="B2450" s="9" t="s">
        <v>93</v>
      </c>
      <c r="C2450" s="3" t="s">
        <v>112</v>
      </c>
      <c r="D2450" s="3" t="n">
        <v>367000</v>
      </c>
      <c r="E2450" s="3" t="s">
        <v>114</v>
      </c>
      <c r="F2450" s="3" t="n">
        <f aca="false">IF(C2450="848630",0,1)</f>
        <v>0</v>
      </c>
    </row>
    <row r="2451" customFormat="false" ht="15" hidden="false" customHeight="false" outlineLevel="0" collapsed="false">
      <c r="A2451" s="12" t="n">
        <v>45566</v>
      </c>
      <c r="B2451" s="9" t="s">
        <v>93</v>
      </c>
      <c r="C2451" s="3" t="s">
        <v>108</v>
      </c>
      <c r="D2451" s="3" t="n">
        <v>1757000</v>
      </c>
      <c r="E2451" s="3" t="s">
        <v>114</v>
      </c>
      <c r="F2451" s="3" t="n">
        <f aca="false">IF(C2451="848630",0,1)</f>
        <v>1</v>
      </c>
    </row>
    <row r="2452" customFormat="false" ht="15" hidden="false" customHeight="false" outlineLevel="0" collapsed="false">
      <c r="A2452" s="12" t="n">
        <v>45566</v>
      </c>
      <c r="B2452" s="9" t="s">
        <v>93</v>
      </c>
      <c r="C2452" s="3" t="s">
        <v>108</v>
      </c>
      <c r="D2452" s="3" t="n">
        <v>4071000</v>
      </c>
      <c r="E2452" s="3" t="s">
        <v>114</v>
      </c>
      <c r="F2452" s="3" t="n">
        <f aca="false">IF(C2452="848630",0,1)</f>
        <v>1</v>
      </c>
    </row>
    <row r="2453" customFormat="false" ht="15" hidden="false" customHeight="false" outlineLevel="0" collapsed="false">
      <c r="A2453" s="12" t="n">
        <v>45566</v>
      </c>
      <c r="B2453" s="9" t="s">
        <v>93</v>
      </c>
      <c r="C2453" s="3" t="s">
        <v>108</v>
      </c>
      <c r="D2453" s="3" t="n">
        <v>3236000</v>
      </c>
      <c r="E2453" s="3" t="s">
        <v>114</v>
      </c>
      <c r="F2453" s="3" t="n">
        <f aca="false">IF(C2453="848630",0,1)</f>
        <v>1</v>
      </c>
    </row>
    <row r="2454" customFormat="false" ht="15" hidden="false" customHeight="false" outlineLevel="0" collapsed="false">
      <c r="A2454" s="12" t="n">
        <v>45566</v>
      </c>
      <c r="B2454" s="9" t="s">
        <v>93</v>
      </c>
      <c r="C2454" s="3" t="s">
        <v>108</v>
      </c>
      <c r="D2454" s="3" t="n">
        <v>0</v>
      </c>
      <c r="E2454" s="3" t="s">
        <v>114</v>
      </c>
      <c r="F2454" s="3" t="n">
        <f aca="false">IF(C2454="848630",0,1)</f>
        <v>1</v>
      </c>
    </row>
    <row r="2455" customFormat="false" ht="15" hidden="false" customHeight="false" outlineLevel="0" collapsed="false">
      <c r="A2455" s="12" t="n">
        <v>45566</v>
      </c>
      <c r="B2455" s="9" t="s">
        <v>93</v>
      </c>
      <c r="C2455" s="3" t="s">
        <v>108</v>
      </c>
      <c r="D2455" s="3" t="n">
        <v>10000</v>
      </c>
      <c r="E2455" s="3" t="s">
        <v>114</v>
      </c>
      <c r="F2455" s="3" t="n">
        <f aca="false">IF(C2455="848630",0,1)</f>
        <v>1</v>
      </c>
    </row>
    <row r="2456" customFormat="false" ht="15" hidden="false" customHeight="false" outlineLevel="0" collapsed="false">
      <c r="A2456" s="12" t="n">
        <v>45566</v>
      </c>
      <c r="B2456" s="9" t="s">
        <v>93</v>
      </c>
      <c r="C2456" s="3" t="s">
        <v>108</v>
      </c>
      <c r="D2456" s="3" t="n">
        <v>1088000</v>
      </c>
      <c r="E2456" s="3" t="s">
        <v>114</v>
      </c>
      <c r="F2456" s="3" t="n">
        <f aca="false">IF(C2456="848630",0,1)</f>
        <v>1</v>
      </c>
    </row>
    <row r="2457" customFormat="false" ht="15" hidden="false" customHeight="false" outlineLevel="0" collapsed="false">
      <c r="A2457" s="12" t="n">
        <v>45566</v>
      </c>
      <c r="B2457" s="9" t="s">
        <v>93</v>
      </c>
      <c r="C2457" s="3" t="s">
        <v>108</v>
      </c>
      <c r="D2457" s="3" t="n">
        <v>252000</v>
      </c>
      <c r="E2457" s="3" t="s">
        <v>114</v>
      </c>
      <c r="F2457" s="3" t="n">
        <f aca="false">IF(C2457="848630",0,1)</f>
        <v>1</v>
      </c>
    </row>
    <row r="2458" customFormat="false" ht="15" hidden="false" customHeight="false" outlineLevel="0" collapsed="false">
      <c r="A2458" s="12" t="n">
        <v>45566</v>
      </c>
      <c r="B2458" s="9" t="s">
        <v>93</v>
      </c>
      <c r="C2458" s="3" t="s">
        <v>108</v>
      </c>
      <c r="D2458" s="3" t="n">
        <v>4695000</v>
      </c>
      <c r="E2458" s="3" t="s">
        <v>114</v>
      </c>
      <c r="F2458" s="3" t="n">
        <f aca="false">IF(C2458="848630",0,1)</f>
        <v>1</v>
      </c>
    </row>
    <row r="2459" customFormat="false" ht="15" hidden="false" customHeight="false" outlineLevel="0" collapsed="false">
      <c r="A2459" s="12" t="n">
        <v>45566</v>
      </c>
      <c r="B2459" s="9" t="s">
        <v>93</v>
      </c>
      <c r="C2459" s="3" t="s">
        <v>108</v>
      </c>
      <c r="D2459" s="3" t="n">
        <v>8468000</v>
      </c>
      <c r="E2459" s="3" t="s">
        <v>114</v>
      </c>
      <c r="F2459" s="3" t="n">
        <f aca="false">IF(C2459="848630",0,1)</f>
        <v>1</v>
      </c>
    </row>
    <row r="2460" customFormat="false" ht="15" hidden="false" customHeight="false" outlineLevel="0" collapsed="false">
      <c r="A2460" s="12" t="n">
        <v>45566</v>
      </c>
      <c r="B2460" s="9" t="s">
        <v>93</v>
      </c>
      <c r="C2460" s="3" t="s">
        <v>108</v>
      </c>
      <c r="D2460" s="3" t="n">
        <v>980000</v>
      </c>
      <c r="E2460" s="3" t="s">
        <v>114</v>
      </c>
      <c r="F2460" s="3" t="n">
        <f aca="false">IF(C2460="848630",0,1)</f>
        <v>1</v>
      </c>
    </row>
    <row r="2461" customFormat="false" ht="15" hidden="false" customHeight="false" outlineLevel="0" collapsed="false">
      <c r="A2461" s="12" t="n">
        <v>45566</v>
      </c>
      <c r="B2461" s="9" t="s">
        <v>93</v>
      </c>
      <c r="C2461" s="3" t="s">
        <v>108</v>
      </c>
      <c r="D2461" s="3" t="n">
        <v>5212000</v>
      </c>
      <c r="E2461" s="3" t="s">
        <v>114</v>
      </c>
      <c r="F2461" s="3" t="n">
        <f aca="false">IF(C2461="848630",0,1)</f>
        <v>1</v>
      </c>
    </row>
    <row r="2462" customFormat="false" ht="15" hidden="false" customHeight="false" outlineLevel="0" collapsed="false">
      <c r="A2462" s="12" t="n">
        <v>45566</v>
      </c>
      <c r="B2462" s="9" t="s">
        <v>93</v>
      </c>
      <c r="C2462" s="3" t="s">
        <v>109</v>
      </c>
      <c r="D2462" s="3" t="n">
        <v>4135000</v>
      </c>
      <c r="E2462" s="3" t="s">
        <v>114</v>
      </c>
      <c r="F2462" s="3" t="n">
        <f aca="false">IF(C2462="848630",0,1)</f>
        <v>1</v>
      </c>
    </row>
    <row r="2463" customFormat="false" ht="15" hidden="false" customHeight="false" outlineLevel="0" collapsed="false">
      <c r="A2463" s="12" t="n">
        <v>45566</v>
      </c>
      <c r="B2463" s="9" t="s">
        <v>93</v>
      </c>
      <c r="C2463" s="3" t="s">
        <v>109</v>
      </c>
      <c r="D2463" s="3" t="n">
        <v>19380000</v>
      </c>
      <c r="E2463" s="3" t="s">
        <v>114</v>
      </c>
      <c r="F2463" s="3" t="n">
        <f aca="false">IF(C2463="848630",0,1)</f>
        <v>1</v>
      </c>
    </row>
    <row r="2464" customFormat="false" ht="15" hidden="false" customHeight="false" outlineLevel="0" collapsed="false">
      <c r="A2464" s="12" t="n">
        <v>45566</v>
      </c>
      <c r="B2464" s="9" t="s">
        <v>93</v>
      </c>
      <c r="C2464" s="3" t="s">
        <v>109</v>
      </c>
      <c r="D2464" s="3" t="n">
        <v>24564000</v>
      </c>
      <c r="E2464" s="3" t="s">
        <v>114</v>
      </c>
      <c r="F2464" s="3" t="n">
        <f aca="false">IF(C2464="848630",0,1)</f>
        <v>1</v>
      </c>
    </row>
    <row r="2465" customFormat="false" ht="15" hidden="false" customHeight="false" outlineLevel="0" collapsed="false">
      <c r="A2465" s="12" t="n">
        <v>45566</v>
      </c>
      <c r="B2465" s="9" t="s">
        <v>93</v>
      </c>
      <c r="C2465" s="3" t="s">
        <v>109</v>
      </c>
      <c r="D2465" s="3" t="n">
        <v>7092000</v>
      </c>
      <c r="E2465" s="3" t="s">
        <v>114</v>
      </c>
      <c r="F2465" s="3" t="n">
        <f aca="false">IF(C2465="848630",0,1)</f>
        <v>1</v>
      </c>
    </row>
    <row r="2466" customFormat="false" ht="15" hidden="false" customHeight="false" outlineLevel="0" collapsed="false">
      <c r="A2466" s="12" t="n">
        <v>45566</v>
      </c>
      <c r="B2466" s="9" t="s">
        <v>93</v>
      </c>
      <c r="C2466" s="3" t="s">
        <v>109</v>
      </c>
      <c r="D2466" s="3" t="n">
        <v>241000</v>
      </c>
      <c r="E2466" s="3" t="s">
        <v>114</v>
      </c>
      <c r="F2466" s="3" t="n">
        <f aca="false">IF(C2466="848630",0,1)</f>
        <v>1</v>
      </c>
    </row>
    <row r="2467" customFormat="false" ht="15" hidden="false" customHeight="false" outlineLevel="0" collapsed="false">
      <c r="A2467" s="12" t="n">
        <v>45566</v>
      </c>
      <c r="B2467" s="9" t="s">
        <v>93</v>
      </c>
      <c r="C2467" s="3" t="s">
        <v>109</v>
      </c>
      <c r="D2467" s="3" t="n">
        <v>2409000</v>
      </c>
      <c r="E2467" s="3" t="s">
        <v>114</v>
      </c>
      <c r="F2467" s="3" t="n">
        <f aca="false">IF(C2467="848630",0,1)</f>
        <v>1</v>
      </c>
    </row>
    <row r="2468" customFormat="false" ht="15" hidden="false" customHeight="false" outlineLevel="0" collapsed="false">
      <c r="A2468" s="12" t="n">
        <v>45566</v>
      </c>
      <c r="B2468" s="9" t="s">
        <v>93</v>
      </c>
      <c r="C2468" s="3" t="s">
        <v>109</v>
      </c>
      <c r="D2468" s="3" t="n">
        <v>214000</v>
      </c>
      <c r="E2468" s="3" t="s">
        <v>114</v>
      </c>
      <c r="F2468" s="3" t="n">
        <f aca="false">IF(C2468="848630",0,1)</f>
        <v>1</v>
      </c>
    </row>
    <row r="2469" customFormat="false" ht="15" hidden="false" customHeight="false" outlineLevel="0" collapsed="false">
      <c r="A2469" s="12" t="n">
        <v>45566</v>
      </c>
      <c r="B2469" s="9" t="s">
        <v>93</v>
      </c>
      <c r="C2469" s="3" t="s">
        <v>109</v>
      </c>
      <c r="D2469" s="3" t="n">
        <v>7142000</v>
      </c>
      <c r="E2469" s="3" t="s">
        <v>114</v>
      </c>
      <c r="F2469" s="3" t="n">
        <f aca="false">IF(C2469="848630",0,1)</f>
        <v>1</v>
      </c>
    </row>
    <row r="2470" customFormat="false" ht="15" hidden="false" customHeight="false" outlineLevel="0" collapsed="false">
      <c r="A2470" s="12" t="n">
        <v>45566</v>
      </c>
      <c r="B2470" s="9" t="s">
        <v>93</v>
      </c>
      <c r="C2470" s="3" t="s">
        <v>110</v>
      </c>
      <c r="D2470" s="3" t="n">
        <v>89864000</v>
      </c>
      <c r="E2470" s="3" t="s">
        <v>114</v>
      </c>
      <c r="F2470" s="3" t="n">
        <f aca="false">IF(C2470="848630",0,1)</f>
        <v>1</v>
      </c>
    </row>
    <row r="2471" customFormat="false" ht="15" hidden="false" customHeight="false" outlineLevel="0" collapsed="false">
      <c r="A2471" s="12" t="n">
        <v>45566</v>
      </c>
      <c r="B2471" s="9" t="s">
        <v>93</v>
      </c>
      <c r="C2471" s="3" t="s">
        <v>111</v>
      </c>
      <c r="D2471" s="3" t="n">
        <v>0</v>
      </c>
      <c r="E2471" s="3" t="s">
        <v>114</v>
      </c>
      <c r="F2471" s="3" t="n">
        <f aca="false">IF(C2471="848630",0,1)</f>
        <v>1</v>
      </c>
    </row>
    <row r="2472" customFormat="false" ht="15" hidden="false" customHeight="false" outlineLevel="0" collapsed="false">
      <c r="A2472" s="12" t="n">
        <v>45566</v>
      </c>
      <c r="B2472" s="9" t="s">
        <v>93</v>
      </c>
      <c r="C2472" s="3" t="s">
        <v>111</v>
      </c>
      <c r="D2472" s="3" t="n">
        <v>39784000</v>
      </c>
      <c r="E2472" s="3" t="s">
        <v>114</v>
      </c>
      <c r="F2472" s="3" t="n">
        <f aca="false">IF(C2472="848630",0,1)</f>
        <v>1</v>
      </c>
    </row>
    <row r="2473" customFormat="false" ht="15" hidden="false" customHeight="false" outlineLevel="0" collapsed="false">
      <c r="A2473" s="12" t="n">
        <v>45597</v>
      </c>
      <c r="B2473" s="9" t="s">
        <v>93</v>
      </c>
      <c r="C2473" s="3" t="s">
        <v>105</v>
      </c>
      <c r="D2473" s="3" t="n">
        <v>9318000</v>
      </c>
      <c r="E2473" s="3" t="s">
        <v>114</v>
      </c>
      <c r="F2473" s="3" t="n">
        <f aca="false">IF(C2473="848630",0,1)</f>
        <v>1</v>
      </c>
    </row>
    <row r="2474" customFormat="false" ht="15" hidden="false" customHeight="false" outlineLevel="0" collapsed="false">
      <c r="A2474" s="12" t="n">
        <v>45597</v>
      </c>
      <c r="B2474" s="9" t="s">
        <v>93</v>
      </c>
      <c r="C2474" s="3" t="s">
        <v>105</v>
      </c>
      <c r="D2474" s="3" t="n">
        <v>0</v>
      </c>
      <c r="E2474" s="3" t="s">
        <v>114</v>
      </c>
      <c r="F2474" s="3" t="n">
        <f aca="false">IF(C2474="848630",0,1)</f>
        <v>1</v>
      </c>
    </row>
    <row r="2475" customFormat="false" ht="15" hidden="false" customHeight="false" outlineLevel="0" collapsed="false">
      <c r="A2475" s="12" t="n">
        <v>45597</v>
      </c>
      <c r="B2475" s="9" t="s">
        <v>93</v>
      </c>
      <c r="C2475" s="3" t="s">
        <v>105</v>
      </c>
      <c r="D2475" s="3" t="n">
        <v>4000</v>
      </c>
      <c r="E2475" s="3" t="s">
        <v>114</v>
      </c>
      <c r="F2475" s="3" t="n">
        <f aca="false">IF(C2475="848630",0,1)</f>
        <v>1</v>
      </c>
    </row>
    <row r="2476" customFormat="false" ht="15" hidden="false" customHeight="false" outlineLevel="0" collapsed="false">
      <c r="A2476" s="12" t="n">
        <v>45597</v>
      </c>
      <c r="B2476" s="9" t="s">
        <v>93</v>
      </c>
      <c r="C2476" s="3" t="s">
        <v>107</v>
      </c>
      <c r="D2476" s="3" t="n">
        <v>1822000</v>
      </c>
      <c r="E2476" s="3" t="s">
        <v>114</v>
      </c>
      <c r="F2476" s="3" t="n">
        <f aca="false">IF(C2476="848630",0,1)</f>
        <v>1</v>
      </c>
    </row>
    <row r="2477" customFormat="false" ht="15" hidden="false" customHeight="false" outlineLevel="0" collapsed="false">
      <c r="A2477" s="12" t="n">
        <v>45597</v>
      </c>
      <c r="B2477" s="9" t="s">
        <v>93</v>
      </c>
      <c r="C2477" s="3" t="s">
        <v>107</v>
      </c>
      <c r="D2477" s="3" t="n">
        <v>97448000</v>
      </c>
      <c r="E2477" s="3" t="s">
        <v>114</v>
      </c>
      <c r="F2477" s="3" t="n">
        <f aca="false">IF(C2477="848630",0,1)</f>
        <v>1</v>
      </c>
    </row>
    <row r="2478" customFormat="false" ht="15" hidden="false" customHeight="false" outlineLevel="0" collapsed="false">
      <c r="A2478" s="12" t="n">
        <v>45597</v>
      </c>
      <c r="B2478" s="9" t="s">
        <v>93</v>
      </c>
      <c r="C2478" s="3" t="s">
        <v>107</v>
      </c>
      <c r="D2478" s="3" t="n">
        <v>3941000</v>
      </c>
      <c r="E2478" s="3" t="s">
        <v>114</v>
      </c>
      <c r="F2478" s="3" t="n">
        <f aca="false">IF(C2478="848630",0,1)</f>
        <v>1</v>
      </c>
    </row>
    <row r="2479" customFormat="false" ht="15" hidden="false" customHeight="false" outlineLevel="0" collapsed="false">
      <c r="A2479" s="12" t="n">
        <v>45597</v>
      </c>
      <c r="B2479" s="9" t="s">
        <v>93</v>
      </c>
      <c r="C2479" s="3" t="s">
        <v>107</v>
      </c>
      <c r="D2479" s="3" t="n">
        <v>17953000</v>
      </c>
      <c r="E2479" s="3" t="s">
        <v>114</v>
      </c>
      <c r="F2479" s="3" t="n">
        <f aca="false">IF(C2479="848630",0,1)</f>
        <v>1</v>
      </c>
    </row>
    <row r="2480" customFormat="false" ht="15" hidden="false" customHeight="false" outlineLevel="0" collapsed="false">
      <c r="A2480" s="12" t="n">
        <v>45597</v>
      </c>
      <c r="B2480" s="9" t="s">
        <v>93</v>
      </c>
      <c r="C2480" s="3" t="s">
        <v>107</v>
      </c>
      <c r="D2480" s="3" t="n">
        <v>1737000</v>
      </c>
      <c r="E2480" s="3" t="s">
        <v>114</v>
      </c>
      <c r="F2480" s="3" t="n">
        <f aca="false">IF(C2480="848630",0,1)</f>
        <v>1</v>
      </c>
    </row>
    <row r="2481" customFormat="false" ht="15" hidden="false" customHeight="false" outlineLevel="0" collapsed="false">
      <c r="A2481" s="12" t="n">
        <v>45597</v>
      </c>
      <c r="B2481" s="9" t="s">
        <v>93</v>
      </c>
      <c r="C2481" s="3" t="s">
        <v>107</v>
      </c>
      <c r="D2481" s="3" t="n">
        <v>57790000</v>
      </c>
      <c r="E2481" s="3" t="s">
        <v>114</v>
      </c>
      <c r="F2481" s="3" t="n">
        <f aca="false">IF(C2481="848630",0,1)</f>
        <v>1</v>
      </c>
    </row>
    <row r="2482" customFormat="false" ht="15" hidden="false" customHeight="false" outlineLevel="0" collapsed="false">
      <c r="A2482" s="12" t="n">
        <v>45597</v>
      </c>
      <c r="B2482" s="9" t="s">
        <v>93</v>
      </c>
      <c r="C2482" s="3" t="s">
        <v>107</v>
      </c>
      <c r="D2482" s="3" t="n">
        <v>13000</v>
      </c>
      <c r="E2482" s="3" t="s">
        <v>114</v>
      </c>
      <c r="F2482" s="3" t="n">
        <f aca="false">IF(C2482="848630",0,1)</f>
        <v>1</v>
      </c>
    </row>
    <row r="2483" customFormat="false" ht="15" hidden="false" customHeight="false" outlineLevel="0" collapsed="false">
      <c r="A2483" s="12" t="n">
        <v>45597</v>
      </c>
      <c r="B2483" s="9" t="s">
        <v>93</v>
      </c>
      <c r="C2483" s="3" t="s">
        <v>107</v>
      </c>
      <c r="D2483" s="3" t="n">
        <v>461000</v>
      </c>
      <c r="E2483" s="3" t="s">
        <v>114</v>
      </c>
      <c r="F2483" s="3" t="n">
        <f aca="false">IF(C2483="848630",0,1)</f>
        <v>1</v>
      </c>
    </row>
    <row r="2484" customFormat="false" ht="15" hidden="false" customHeight="false" outlineLevel="0" collapsed="false">
      <c r="A2484" s="12" t="n">
        <v>45597</v>
      </c>
      <c r="B2484" s="9" t="s">
        <v>93</v>
      </c>
      <c r="C2484" s="3" t="s">
        <v>107</v>
      </c>
      <c r="D2484" s="3" t="n">
        <v>23484000</v>
      </c>
      <c r="E2484" s="3" t="s">
        <v>114</v>
      </c>
      <c r="F2484" s="3" t="n">
        <f aca="false">IF(C2484="848630",0,1)</f>
        <v>1</v>
      </c>
    </row>
    <row r="2485" customFormat="false" ht="15" hidden="false" customHeight="false" outlineLevel="0" collapsed="false">
      <c r="A2485" s="12" t="n">
        <v>45597</v>
      </c>
      <c r="B2485" s="9" t="s">
        <v>93</v>
      </c>
      <c r="C2485" s="3" t="s">
        <v>107</v>
      </c>
      <c r="D2485" s="3" t="n">
        <v>21211000</v>
      </c>
      <c r="E2485" s="3" t="s">
        <v>114</v>
      </c>
      <c r="F2485" s="3" t="n">
        <f aca="false">IF(C2485="848630",0,1)</f>
        <v>1</v>
      </c>
    </row>
    <row r="2486" customFormat="false" ht="15" hidden="false" customHeight="false" outlineLevel="0" collapsed="false">
      <c r="A2486" s="12" t="n">
        <v>45597</v>
      </c>
      <c r="B2486" s="9" t="s">
        <v>93</v>
      </c>
      <c r="C2486" s="3" t="s">
        <v>107</v>
      </c>
      <c r="D2486" s="3" t="n">
        <v>12900000</v>
      </c>
      <c r="E2486" s="3" t="s">
        <v>114</v>
      </c>
      <c r="F2486" s="3" t="n">
        <f aca="false">IF(C2486="848630",0,1)</f>
        <v>1</v>
      </c>
    </row>
    <row r="2487" customFormat="false" ht="15" hidden="false" customHeight="false" outlineLevel="0" collapsed="false">
      <c r="A2487" s="12" t="n">
        <v>45597</v>
      </c>
      <c r="B2487" s="9" t="s">
        <v>93</v>
      </c>
      <c r="C2487" s="3" t="s">
        <v>107</v>
      </c>
      <c r="D2487" s="3" t="n">
        <v>2187000</v>
      </c>
      <c r="E2487" s="3" t="s">
        <v>114</v>
      </c>
      <c r="F2487" s="3" t="n">
        <f aca="false">IF(C2487="848630",0,1)</f>
        <v>1</v>
      </c>
    </row>
    <row r="2488" customFormat="false" ht="15" hidden="false" customHeight="false" outlineLevel="0" collapsed="false">
      <c r="A2488" s="12" t="n">
        <v>45597</v>
      </c>
      <c r="B2488" s="9" t="s">
        <v>93</v>
      </c>
      <c r="C2488" s="3" t="s">
        <v>107</v>
      </c>
      <c r="D2488" s="3" t="n">
        <v>3846000</v>
      </c>
      <c r="E2488" s="3" t="s">
        <v>114</v>
      </c>
      <c r="F2488" s="3" t="n">
        <f aca="false">IF(C2488="848630",0,1)</f>
        <v>1</v>
      </c>
    </row>
    <row r="2489" customFormat="false" ht="15" hidden="false" customHeight="false" outlineLevel="0" collapsed="false">
      <c r="A2489" s="12" t="n">
        <v>45597</v>
      </c>
      <c r="B2489" s="9" t="s">
        <v>93</v>
      </c>
      <c r="C2489" s="3" t="s">
        <v>107</v>
      </c>
      <c r="D2489" s="3" t="n">
        <v>1777000</v>
      </c>
      <c r="E2489" s="3" t="s">
        <v>114</v>
      </c>
      <c r="F2489" s="3" t="n">
        <f aca="false">IF(C2489="848630",0,1)</f>
        <v>1</v>
      </c>
    </row>
    <row r="2490" customFormat="false" ht="15" hidden="false" customHeight="false" outlineLevel="0" collapsed="false">
      <c r="A2490" s="12" t="n">
        <v>45597</v>
      </c>
      <c r="B2490" s="9" t="s">
        <v>93</v>
      </c>
      <c r="C2490" s="3" t="s">
        <v>107</v>
      </c>
      <c r="D2490" s="3" t="n">
        <v>1119000</v>
      </c>
      <c r="E2490" s="3" t="s">
        <v>114</v>
      </c>
      <c r="F2490" s="3" t="n">
        <f aca="false">IF(C2490="848630",0,1)</f>
        <v>1</v>
      </c>
    </row>
    <row r="2491" customFormat="false" ht="15" hidden="false" customHeight="false" outlineLevel="0" collapsed="false">
      <c r="A2491" s="12" t="n">
        <v>45597</v>
      </c>
      <c r="B2491" s="9" t="s">
        <v>93</v>
      </c>
      <c r="C2491" s="3" t="s">
        <v>107</v>
      </c>
      <c r="D2491" s="3" t="n">
        <v>11300000</v>
      </c>
      <c r="E2491" s="3" t="s">
        <v>114</v>
      </c>
      <c r="F2491" s="3" t="n">
        <f aca="false">IF(C2491="848630",0,1)</f>
        <v>1</v>
      </c>
    </row>
    <row r="2492" customFormat="false" ht="15" hidden="false" customHeight="false" outlineLevel="0" collapsed="false">
      <c r="A2492" s="12" t="n">
        <v>45597</v>
      </c>
      <c r="B2492" s="9" t="s">
        <v>93</v>
      </c>
      <c r="C2492" s="3" t="s">
        <v>112</v>
      </c>
      <c r="D2492" s="3" t="n">
        <v>8880000</v>
      </c>
      <c r="E2492" s="3" t="s">
        <v>114</v>
      </c>
      <c r="F2492" s="3" t="n">
        <f aca="false">IF(C2492="848630",0,1)</f>
        <v>0</v>
      </c>
    </row>
    <row r="2493" customFormat="false" ht="15" hidden="false" customHeight="false" outlineLevel="0" collapsed="false">
      <c r="A2493" s="12" t="n">
        <v>45597</v>
      </c>
      <c r="B2493" s="9" t="s">
        <v>93</v>
      </c>
      <c r="C2493" s="3" t="s">
        <v>112</v>
      </c>
      <c r="D2493" s="3" t="n">
        <v>126000</v>
      </c>
      <c r="E2493" s="3" t="s">
        <v>114</v>
      </c>
      <c r="F2493" s="3" t="n">
        <f aca="false">IF(C2493="848630",0,1)</f>
        <v>0</v>
      </c>
    </row>
    <row r="2494" customFormat="false" ht="15" hidden="false" customHeight="false" outlineLevel="0" collapsed="false">
      <c r="A2494" s="12" t="n">
        <v>45597</v>
      </c>
      <c r="B2494" s="9" t="s">
        <v>93</v>
      </c>
      <c r="C2494" s="3" t="s">
        <v>108</v>
      </c>
      <c r="D2494" s="3" t="n">
        <v>855000</v>
      </c>
      <c r="E2494" s="3" t="s">
        <v>114</v>
      </c>
      <c r="F2494" s="3" t="n">
        <f aca="false">IF(C2494="848630",0,1)</f>
        <v>1</v>
      </c>
    </row>
    <row r="2495" customFormat="false" ht="15" hidden="false" customHeight="false" outlineLevel="0" collapsed="false">
      <c r="A2495" s="12" t="n">
        <v>45597</v>
      </c>
      <c r="B2495" s="9" t="s">
        <v>93</v>
      </c>
      <c r="C2495" s="3" t="s">
        <v>108</v>
      </c>
      <c r="D2495" s="3" t="n">
        <v>2000</v>
      </c>
      <c r="E2495" s="3" t="s">
        <v>114</v>
      </c>
      <c r="F2495" s="3" t="n">
        <f aca="false">IF(C2495="848630",0,1)</f>
        <v>1</v>
      </c>
    </row>
    <row r="2496" customFormat="false" ht="15" hidden="false" customHeight="false" outlineLevel="0" collapsed="false">
      <c r="A2496" s="12" t="n">
        <v>45597</v>
      </c>
      <c r="B2496" s="9" t="s">
        <v>93</v>
      </c>
      <c r="C2496" s="3" t="s">
        <v>108</v>
      </c>
      <c r="D2496" s="3" t="n">
        <v>1029000</v>
      </c>
      <c r="E2496" s="3" t="s">
        <v>114</v>
      </c>
      <c r="F2496" s="3" t="n">
        <f aca="false">IF(C2496="848630",0,1)</f>
        <v>1</v>
      </c>
    </row>
    <row r="2497" customFormat="false" ht="15" hidden="false" customHeight="false" outlineLevel="0" collapsed="false">
      <c r="A2497" s="12" t="n">
        <v>45597</v>
      </c>
      <c r="B2497" s="9" t="s">
        <v>93</v>
      </c>
      <c r="C2497" s="3" t="s">
        <v>108</v>
      </c>
      <c r="D2497" s="3" t="n">
        <v>18000</v>
      </c>
      <c r="E2497" s="3" t="s">
        <v>114</v>
      </c>
      <c r="F2497" s="3" t="n">
        <f aca="false">IF(C2497="848630",0,1)</f>
        <v>1</v>
      </c>
    </row>
    <row r="2498" customFormat="false" ht="15" hidden="false" customHeight="false" outlineLevel="0" collapsed="false">
      <c r="A2498" s="12" t="n">
        <v>45597</v>
      </c>
      <c r="B2498" s="9" t="s">
        <v>93</v>
      </c>
      <c r="C2498" s="3" t="s">
        <v>108</v>
      </c>
      <c r="D2498" s="3" t="n">
        <v>1078000</v>
      </c>
      <c r="E2498" s="3" t="s">
        <v>114</v>
      </c>
      <c r="F2498" s="3" t="n">
        <f aca="false">IF(C2498="848630",0,1)</f>
        <v>1</v>
      </c>
    </row>
    <row r="2499" customFormat="false" ht="15" hidden="false" customHeight="false" outlineLevel="0" collapsed="false">
      <c r="A2499" s="12" t="n">
        <v>45597</v>
      </c>
      <c r="B2499" s="9" t="s">
        <v>93</v>
      </c>
      <c r="C2499" s="3" t="s">
        <v>108</v>
      </c>
      <c r="D2499" s="3" t="n">
        <v>1821000</v>
      </c>
      <c r="E2499" s="3" t="s">
        <v>114</v>
      </c>
      <c r="F2499" s="3" t="n">
        <f aca="false">IF(C2499="848630",0,1)</f>
        <v>1</v>
      </c>
    </row>
    <row r="2500" customFormat="false" ht="15" hidden="false" customHeight="false" outlineLevel="0" collapsed="false">
      <c r="A2500" s="12" t="n">
        <v>45597</v>
      </c>
      <c r="B2500" s="9" t="s">
        <v>93</v>
      </c>
      <c r="C2500" s="3" t="s">
        <v>108</v>
      </c>
      <c r="D2500" s="3" t="n">
        <v>7908000</v>
      </c>
      <c r="E2500" s="3" t="s">
        <v>114</v>
      </c>
      <c r="F2500" s="3" t="n">
        <f aca="false">IF(C2500="848630",0,1)</f>
        <v>1</v>
      </c>
    </row>
    <row r="2501" customFormat="false" ht="15" hidden="false" customHeight="false" outlineLevel="0" collapsed="false">
      <c r="A2501" s="12" t="n">
        <v>45597</v>
      </c>
      <c r="B2501" s="9" t="s">
        <v>93</v>
      </c>
      <c r="C2501" s="3" t="s">
        <v>108</v>
      </c>
      <c r="D2501" s="3" t="n">
        <v>2407000</v>
      </c>
      <c r="E2501" s="3" t="s">
        <v>114</v>
      </c>
      <c r="F2501" s="3" t="n">
        <f aca="false">IF(C2501="848630",0,1)</f>
        <v>1</v>
      </c>
    </row>
    <row r="2502" customFormat="false" ht="15" hidden="false" customHeight="false" outlineLevel="0" collapsed="false">
      <c r="A2502" s="12" t="n">
        <v>45597</v>
      </c>
      <c r="B2502" s="9" t="s">
        <v>93</v>
      </c>
      <c r="C2502" s="3" t="s">
        <v>108</v>
      </c>
      <c r="D2502" s="3" t="n">
        <v>7469000</v>
      </c>
      <c r="E2502" s="3" t="s">
        <v>114</v>
      </c>
      <c r="F2502" s="3" t="n">
        <f aca="false">IF(C2502="848630",0,1)</f>
        <v>1</v>
      </c>
    </row>
    <row r="2503" customFormat="false" ht="15" hidden="false" customHeight="false" outlineLevel="0" collapsed="false">
      <c r="A2503" s="12" t="n">
        <v>45597</v>
      </c>
      <c r="B2503" s="9" t="s">
        <v>93</v>
      </c>
      <c r="C2503" s="3" t="s">
        <v>109</v>
      </c>
      <c r="D2503" s="3" t="n">
        <v>3879000</v>
      </c>
      <c r="E2503" s="3" t="s">
        <v>114</v>
      </c>
      <c r="F2503" s="3" t="n">
        <f aca="false">IF(C2503="848630",0,1)</f>
        <v>1</v>
      </c>
    </row>
    <row r="2504" customFormat="false" ht="15" hidden="false" customHeight="false" outlineLevel="0" collapsed="false">
      <c r="A2504" s="12" t="n">
        <v>45597</v>
      </c>
      <c r="B2504" s="9" t="s">
        <v>93</v>
      </c>
      <c r="C2504" s="3" t="s">
        <v>109</v>
      </c>
      <c r="D2504" s="3" t="n">
        <v>18314000</v>
      </c>
      <c r="E2504" s="3" t="s">
        <v>114</v>
      </c>
      <c r="F2504" s="3" t="n">
        <f aca="false">IF(C2504="848630",0,1)</f>
        <v>1</v>
      </c>
    </row>
    <row r="2505" customFormat="false" ht="15" hidden="false" customHeight="false" outlineLevel="0" collapsed="false">
      <c r="A2505" s="12" t="n">
        <v>45597</v>
      </c>
      <c r="B2505" s="9" t="s">
        <v>93</v>
      </c>
      <c r="C2505" s="3" t="s">
        <v>109</v>
      </c>
      <c r="D2505" s="3" t="n">
        <v>26283000</v>
      </c>
      <c r="E2505" s="3" t="s">
        <v>114</v>
      </c>
      <c r="F2505" s="3" t="n">
        <f aca="false">IF(C2505="848630",0,1)</f>
        <v>1</v>
      </c>
    </row>
    <row r="2506" customFormat="false" ht="15" hidden="false" customHeight="false" outlineLevel="0" collapsed="false">
      <c r="A2506" s="12" t="n">
        <v>45597</v>
      </c>
      <c r="B2506" s="9" t="s">
        <v>93</v>
      </c>
      <c r="C2506" s="3" t="s">
        <v>109</v>
      </c>
      <c r="D2506" s="3" t="n">
        <v>6976000</v>
      </c>
      <c r="E2506" s="3" t="s">
        <v>114</v>
      </c>
      <c r="F2506" s="3" t="n">
        <f aca="false">IF(C2506="848630",0,1)</f>
        <v>1</v>
      </c>
    </row>
    <row r="2507" customFormat="false" ht="15" hidden="false" customHeight="false" outlineLevel="0" collapsed="false">
      <c r="A2507" s="12" t="n">
        <v>45597</v>
      </c>
      <c r="B2507" s="9" t="s">
        <v>93</v>
      </c>
      <c r="C2507" s="3" t="s">
        <v>109</v>
      </c>
      <c r="D2507" s="3" t="n">
        <v>56000</v>
      </c>
      <c r="E2507" s="3" t="s">
        <v>114</v>
      </c>
      <c r="F2507" s="3" t="n">
        <f aca="false">IF(C2507="848630",0,1)</f>
        <v>1</v>
      </c>
    </row>
    <row r="2508" customFormat="false" ht="15" hidden="false" customHeight="false" outlineLevel="0" collapsed="false">
      <c r="A2508" s="12" t="n">
        <v>45597</v>
      </c>
      <c r="B2508" s="9" t="s">
        <v>93</v>
      </c>
      <c r="C2508" s="3" t="s">
        <v>109</v>
      </c>
      <c r="D2508" s="3" t="n">
        <v>966000</v>
      </c>
      <c r="E2508" s="3" t="s">
        <v>114</v>
      </c>
      <c r="F2508" s="3" t="n">
        <f aca="false">IF(C2508="848630",0,1)</f>
        <v>1</v>
      </c>
    </row>
    <row r="2509" customFormat="false" ht="15" hidden="false" customHeight="false" outlineLevel="0" collapsed="false">
      <c r="A2509" s="12" t="n">
        <v>45597</v>
      </c>
      <c r="B2509" s="9" t="s">
        <v>93</v>
      </c>
      <c r="C2509" s="3" t="s">
        <v>109</v>
      </c>
      <c r="D2509" s="3" t="n">
        <v>305000</v>
      </c>
      <c r="E2509" s="3" t="s">
        <v>114</v>
      </c>
      <c r="F2509" s="3" t="n">
        <f aca="false">IF(C2509="848630",0,1)</f>
        <v>1</v>
      </c>
    </row>
    <row r="2510" customFormat="false" ht="15" hidden="false" customHeight="false" outlineLevel="0" collapsed="false">
      <c r="A2510" s="12" t="n">
        <v>45597</v>
      </c>
      <c r="B2510" s="9" t="s">
        <v>93</v>
      </c>
      <c r="C2510" s="3" t="s">
        <v>109</v>
      </c>
      <c r="D2510" s="3" t="n">
        <v>8080000</v>
      </c>
      <c r="E2510" s="3" t="s">
        <v>114</v>
      </c>
      <c r="F2510" s="3" t="n">
        <f aca="false">IF(C2510="848630",0,1)</f>
        <v>1</v>
      </c>
    </row>
    <row r="2511" customFormat="false" ht="15" hidden="false" customHeight="false" outlineLevel="0" collapsed="false">
      <c r="A2511" s="12" t="n">
        <v>45597</v>
      </c>
      <c r="B2511" s="9" t="s">
        <v>93</v>
      </c>
      <c r="C2511" s="3" t="s">
        <v>110</v>
      </c>
      <c r="D2511" s="3" t="n">
        <v>72298000</v>
      </c>
      <c r="E2511" s="3" t="s">
        <v>114</v>
      </c>
      <c r="F2511" s="3" t="n">
        <f aca="false">IF(C2511="848630",0,1)</f>
        <v>1</v>
      </c>
    </row>
    <row r="2512" customFormat="false" ht="15" hidden="false" customHeight="false" outlineLevel="0" collapsed="false">
      <c r="A2512" s="12" t="n">
        <v>45597</v>
      </c>
      <c r="B2512" s="9" t="s">
        <v>93</v>
      </c>
      <c r="C2512" s="3" t="s">
        <v>111</v>
      </c>
      <c r="D2512" s="3" t="n">
        <v>6879000</v>
      </c>
      <c r="E2512" s="3" t="s">
        <v>114</v>
      </c>
      <c r="F2512" s="3" t="n">
        <f aca="false">IF(C2512="848630",0,1)</f>
        <v>1</v>
      </c>
    </row>
    <row r="2513" customFormat="false" ht="15" hidden="false" customHeight="false" outlineLevel="0" collapsed="false">
      <c r="A2513" s="12" t="n">
        <v>45627</v>
      </c>
      <c r="B2513" s="9" t="s">
        <v>93</v>
      </c>
      <c r="C2513" s="3" t="s">
        <v>105</v>
      </c>
      <c r="D2513" s="3" t="n">
        <v>2630000</v>
      </c>
      <c r="E2513" s="3" t="s">
        <v>114</v>
      </c>
      <c r="F2513" s="3" t="n">
        <f aca="false">IF(C2513="848630",0,1)</f>
        <v>1</v>
      </c>
    </row>
    <row r="2514" customFormat="false" ht="15" hidden="false" customHeight="false" outlineLevel="0" collapsed="false">
      <c r="A2514" s="12" t="n">
        <v>45627</v>
      </c>
      <c r="B2514" s="9" t="s">
        <v>93</v>
      </c>
      <c r="C2514" s="3" t="s">
        <v>105</v>
      </c>
      <c r="D2514" s="3" t="n">
        <v>0</v>
      </c>
      <c r="E2514" s="3" t="s">
        <v>114</v>
      </c>
      <c r="F2514" s="3" t="n">
        <f aca="false">IF(C2514="848630",0,1)</f>
        <v>1</v>
      </c>
    </row>
    <row r="2515" customFormat="false" ht="15" hidden="false" customHeight="false" outlineLevel="0" collapsed="false">
      <c r="A2515" s="12" t="n">
        <v>45627</v>
      </c>
      <c r="B2515" s="9" t="s">
        <v>93</v>
      </c>
      <c r="C2515" s="3" t="s">
        <v>107</v>
      </c>
      <c r="D2515" s="3" t="n">
        <v>964000</v>
      </c>
      <c r="E2515" s="3" t="s">
        <v>114</v>
      </c>
      <c r="F2515" s="3" t="n">
        <f aca="false">IF(C2515="848630",0,1)</f>
        <v>1</v>
      </c>
    </row>
    <row r="2516" customFormat="false" ht="15" hidden="false" customHeight="false" outlineLevel="0" collapsed="false">
      <c r="A2516" s="12" t="n">
        <v>45627</v>
      </c>
      <c r="B2516" s="9" t="s">
        <v>93</v>
      </c>
      <c r="C2516" s="3" t="s">
        <v>107</v>
      </c>
      <c r="D2516" s="3" t="n">
        <v>0</v>
      </c>
      <c r="E2516" s="3" t="s">
        <v>114</v>
      </c>
      <c r="F2516" s="3" t="n">
        <f aca="false">IF(C2516="848630",0,1)</f>
        <v>1</v>
      </c>
    </row>
    <row r="2517" customFormat="false" ht="15" hidden="false" customHeight="false" outlineLevel="0" collapsed="false">
      <c r="A2517" s="12" t="n">
        <v>45627</v>
      </c>
      <c r="B2517" s="9" t="s">
        <v>93</v>
      </c>
      <c r="C2517" s="3" t="s">
        <v>107</v>
      </c>
      <c r="D2517" s="3" t="n">
        <v>200000</v>
      </c>
      <c r="E2517" s="3" t="s">
        <v>114</v>
      </c>
      <c r="F2517" s="3" t="n">
        <f aca="false">IF(C2517="848630",0,1)</f>
        <v>1</v>
      </c>
    </row>
    <row r="2518" customFormat="false" ht="15" hidden="false" customHeight="false" outlineLevel="0" collapsed="false">
      <c r="A2518" s="12" t="n">
        <v>45627</v>
      </c>
      <c r="B2518" s="9" t="s">
        <v>93</v>
      </c>
      <c r="C2518" s="3" t="s">
        <v>107</v>
      </c>
      <c r="D2518" s="3" t="n">
        <v>3149000</v>
      </c>
      <c r="E2518" s="3" t="s">
        <v>114</v>
      </c>
      <c r="F2518" s="3" t="n">
        <f aca="false">IF(C2518="848630",0,1)</f>
        <v>1</v>
      </c>
    </row>
    <row r="2519" customFormat="false" ht="15" hidden="false" customHeight="false" outlineLevel="0" collapsed="false">
      <c r="A2519" s="12" t="n">
        <v>45627</v>
      </c>
      <c r="B2519" s="9" t="s">
        <v>93</v>
      </c>
      <c r="C2519" s="3" t="s">
        <v>107</v>
      </c>
      <c r="D2519" s="3" t="n">
        <v>82893000</v>
      </c>
      <c r="E2519" s="3" t="s">
        <v>114</v>
      </c>
      <c r="F2519" s="3" t="n">
        <f aca="false">IF(C2519="848630",0,1)</f>
        <v>1</v>
      </c>
    </row>
    <row r="2520" customFormat="false" ht="15" hidden="false" customHeight="false" outlineLevel="0" collapsed="false">
      <c r="A2520" s="12" t="n">
        <v>45627</v>
      </c>
      <c r="B2520" s="9" t="s">
        <v>93</v>
      </c>
      <c r="C2520" s="3" t="s">
        <v>107</v>
      </c>
      <c r="D2520" s="3" t="n">
        <v>923000</v>
      </c>
      <c r="E2520" s="3" t="s">
        <v>114</v>
      </c>
      <c r="F2520" s="3" t="n">
        <f aca="false">IF(C2520="848630",0,1)</f>
        <v>1</v>
      </c>
    </row>
    <row r="2521" customFormat="false" ht="15" hidden="false" customHeight="false" outlineLevel="0" collapsed="false">
      <c r="A2521" s="12" t="n">
        <v>45627</v>
      </c>
      <c r="B2521" s="9" t="s">
        <v>93</v>
      </c>
      <c r="C2521" s="3" t="s">
        <v>107</v>
      </c>
      <c r="D2521" s="3" t="n">
        <v>26199000</v>
      </c>
      <c r="E2521" s="3" t="s">
        <v>114</v>
      </c>
      <c r="F2521" s="3" t="n">
        <f aca="false">IF(C2521="848630",0,1)</f>
        <v>1</v>
      </c>
    </row>
    <row r="2522" customFormat="false" ht="15" hidden="false" customHeight="false" outlineLevel="0" collapsed="false">
      <c r="A2522" s="12" t="n">
        <v>45627</v>
      </c>
      <c r="B2522" s="9" t="s">
        <v>93</v>
      </c>
      <c r="C2522" s="3" t="s">
        <v>107</v>
      </c>
      <c r="D2522" s="3" t="n">
        <v>41369000</v>
      </c>
      <c r="E2522" s="3" t="s">
        <v>114</v>
      </c>
      <c r="F2522" s="3" t="n">
        <f aca="false">IF(C2522="848630",0,1)</f>
        <v>1</v>
      </c>
    </row>
    <row r="2523" customFormat="false" ht="15" hidden="false" customHeight="false" outlineLevel="0" collapsed="false">
      <c r="A2523" s="12" t="n">
        <v>45627</v>
      </c>
      <c r="B2523" s="9" t="s">
        <v>93</v>
      </c>
      <c r="C2523" s="3" t="s">
        <v>107</v>
      </c>
      <c r="D2523" s="3" t="n">
        <v>249000</v>
      </c>
      <c r="E2523" s="3" t="s">
        <v>114</v>
      </c>
      <c r="F2523" s="3" t="n">
        <f aca="false">IF(C2523="848630",0,1)</f>
        <v>1</v>
      </c>
    </row>
    <row r="2524" customFormat="false" ht="15" hidden="false" customHeight="false" outlineLevel="0" collapsed="false">
      <c r="A2524" s="12" t="n">
        <v>45627</v>
      </c>
      <c r="B2524" s="9" t="s">
        <v>93</v>
      </c>
      <c r="C2524" s="3" t="s">
        <v>107</v>
      </c>
      <c r="D2524" s="3" t="n">
        <v>72505000</v>
      </c>
      <c r="E2524" s="3" t="s">
        <v>114</v>
      </c>
      <c r="F2524" s="3" t="n">
        <f aca="false">IF(C2524="848630",0,1)</f>
        <v>1</v>
      </c>
    </row>
    <row r="2525" customFormat="false" ht="15" hidden="false" customHeight="false" outlineLevel="0" collapsed="false">
      <c r="A2525" s="12" t="n">
        <v>45627</v>
      </c>
      <c r="B2525" s="9" t="s">
        <v>93</v>
      </c>
      <c r="C2525" s="3" t="s">
        <v>107</v>
      </c>
      <c r="D2525" s="3" t="n">
        <v>0</v>
      </c>
      <c r="E2525" s="3" t="s">
        <v>114</v>
      </c>
      <c r="F2525" s="3" t="n">
        <f aca="false">IF(C2525="848630",0,1)</f>
        <v>1</v>
      </c>
    </row>
    <row r="2526" customFormat="false" ht="15" hidden="false" customHeight="false" outlineLevel="0" collapsed="false">
      <c r="A2526" s="12" t="n">
        <v>45627</v>
      </c>
      <c r="B2526" s="9" t="s">
        <v>93</v>
      </c>
      <c r="C2526" s="3" t="s">
        <v>107</v>
      </c>
      <c r="D2526" s="3" t="n">
        <v>3681000</v>
      </c>
      <c r="E2526" s="3" t="s">
        <v>114</v>
      </c>
      <c r="F2526" s="3" t="n">
        <f aca="false">IF(C2526="848630",0,1)</f>
        <v>1</v>
      </c>
    </row>
    <row r="2527" customFormat="false" ht="15" hidden="false" customHeight="false" outlineLevel="0" collapsed="false">
      <c r="A2527" s="12" t="n">
        <v>45627</v>
      </c>
      <c r="B2527" s="9" t="s">
        <v>93</v>
      </c>
      <c r="C2527" s="3" t="s">
        <v>107</v>
      </c>
      <c r="D2527" s="3" t="n">
        <v>60995000</v>
      </c>
      <c r="E2527" s="3" t="s">
        <v>114</v>
      </c>
      <c r="F2527" s="3" t="n">
        <f aca="false">IF(C2527="848630",0,1)</f>
        <v>1</v>
      </c>
    </row>
    <row r="2528" customFormat="false" ht="15" hidden="false" customHeight="false" outlineLevel="0" collapsed="false">
      <c r="A2528" s="12" t="n">
        <v>45627</v>
      </c>
      <c r="B2528" s="9" t="s">
        <v>93</v>
      </c>
      <c r="C2528" s="3" t="s">
        <v>107</v>
      </c>
      <c r="D2528" s="3" t="n">
        <v>10987000</v>
      </c>
      <c r="E2528" s="3" t="s">
        <v>114</v>
      </c>
      <c r="F2528" s="3" t="n">
        <f aca="false">IF(C2528="848630",0,1)</f>
        <v>1</v>
      </c>
    </row>
    <row r="2529" customFormat="false" ht="15" hidden="false" customHeight="false" outlineLevel="0" collapsed="false">
      <c r="A2529" s="12" t="n">
        <v>45627</v>
      </c>
      <c r="B2529" s="9" t="s">
        <v>93</v>
      </c>
      <c r="C2529" s="3" t="s">
        <v>107</v>
      </c>
      <c r="D2529" s="3" t="n">
        <v>1123000</v>
      </c>
      <c r="E2529" s="3" t="s">
        <v>114</v>
      </c>
      <c r="F2529" s="3" t="n">
        <f aca="false">IF(C2529="848630",0,1)</f>
        <v>1</v>
      </c>
    </row>
    <row r="2530" customFormat="false" ht="15" hidden="false" customHeight="false" outlineLevel="0" collapsed="false">
      <c r="A2530" s="12" t="n">
        <v>45627</v>
      </c>
      <c r="B2530" s="9" t="s">
        <v>93</v>
      </c>
      <c r="C2530" s="3" t="s">
        <v>107</v>
      </c>
      <c r="D2530" s="3" t="n">
        <v>0</v>
      </c>
      <c r="E2530" s="3" t="s">
        <v>114</v>
      </c>
      <c r="F2530" s="3" t="n">
        <f aca="false">IF(C2530="848630",0,1)</f>
        <v>1</v>
      </c>
    </row>
    <row r="2531" customFormat="false" ht="15" hidden="false" customHeight="false" outlineLevel="0" collapsed="false">
      <c r="A2531" s="12" t="n">
        <v>45627</v>
      </c>
      <c r="B2531" s="9" t="s">
        <v>93</v>
      </c>
      <c r="C2531" s="3" t="s">
        <v>107</v>
      </c>
      <c r="D2531" s="3" t="n">
        <v>1180000</v>
      </c>
      <c r="E2531" s="3" t="s">
        <v>114</v>
      </c>
      <c r="F2531" s="3" t="n">
        <f aca="false">IF(C2531="848630",0,1)</f>
        <v>1</v>
      </c>
    </row>
    <row r="2532" customFormat="false" ht="15" hidden="false" customHeight="false" outlineLevel="0" collapsed="false">
      <c r="A2532" s="12" t="n">
        <v>45627</v>
      </c>
      <c r="B2532" s="9" t="s">
        <v>93</v>
      </c>
      <c r="C2532" s="3" t="s">
        <v>107</v>
      </c>
      <c r="D2532" s="3" t="n">
        <v>683000</v>
      </c>
      <c r="E2532" s="3" t="s">
        <v>114</v>
      </c>
      <c r="F2532" s="3" t="n">
        <f aca="false">IF(C2532="848630",0,1)</f>
        <v>1</v>
      </c>
    </row>
    <row r="2533" customFormat="false" ht="15" hidden="false" customHeight="false" outlineLevel="0" collapsed="false">
      <c r="A2533" s="12" t="n">
        <v>45627</v>
      </c>
      <c r="B2533" s="9" t="s">
        <v>93</v>
      </c>
      <c r="C2533" s="3" t="s">
        <v>107</v>
      </c>
      <c r="D2533" s="3" t="n">
        <v>7578000</v>
      </c>
      <c r="E2533" s="3" t="s">
        <v>114</v>
      </c>
      <c r="F2533" s="3" t="n">
        <f aca="false">IF(C2533="848630",0,1)</f>
        <v>1</v>
      </c>
    </row>
    <row r="2534" customFormat="false" ht="15" hidden="false" customHeight="false" outlineLevel="0" collapsed="false">
      <c r="A2534" s="12" t="n">
        <v>45627</v>
      </c>
      <c r="B2534" s="9" t="s">
        <v>93</v>
      </c>
      <c r="C2534" s="3" t="s">
        <v>112</v>
      </c>
      <c r="D2534" s="3" t="n">
        <v>226000</v>
      </c>
      <c r="E2534" s="3" t="s">
        <v>114</v>
      </c>
      <c r="F2534" s="3" t="n">
        <f aca="false">IF(C2534="848630",0,1)</f>
        <v>0</v>
      </c>
    </row>
    <row r="2535" customFormat="false" ht="15" hidden="false" customHeight="false" outlineLevel="0" collapsed="false">
      <c r="A2535" s="12" t="n">
        <v>45627</v>
      </c>
      <c r="B2535" s="9" t="s">
        <v>93</v>
      </c>
      <c r="C2535" s="3" t="s">
        <v>112</v>
      </c>
      <c r="D2535" s="3" t="n">
        <v>311000</v>
      </c>
      <c r="E2535" s="3" t="s">
        <v>114</v>
      </c>
      <c r="F2535" s="3" t="n">
        <f aca="false">IF(C2535="848630",0,1)</f>
        <v>0</v>
      </c>
    </row>
    <row r="2536" customFormat="false" ht="15" hidden="false" customHeight="false" outlineLevel="0" collapsed="false">
      <c r="A2536" s="12" t="n">
        <v>45627</v>
      </c>
      <c r="B2536" s="9" t="s">
        <v>93</v>
      </c>
      <c r="C2536" s="3" t="s">
        <v>112</v>
      </c>
      <c r="D2536" s="3" t="n">
        <v>1000</v>
      </c>
      <c r="E2536" s="3" t="s">
        <v>114</v>
      </c>
      <c r="F2536" s="3" t="n">
        <f aca="false">IF(C2536="848630",0,1)</f>
        <v>0</v>
      </c>
    </row>
    <row r="2537" customFormat="false" ht="15" hidden="false" customHeight="false" outlineLevel="0" collapsed="false">
      <c r="A2537" s="12" t="n">
        <v>45627</v>
      </c>
      <c r="B2537" s="9" t="s">
        <v>93</v>
      </c>
      <c r="C2537" s="3" t="s">
        <v>112</v>
      </c>
      <c r="D2537" s="3" t="n">
        <v>0</v>
      </c>
      <c r="E2537" s="3" t="s">
        <v>114</v>
      </c>
      <c r="F2537" s="3" t="n">
        <f aca="false">IF(C2537="848630",0,1)</f>
        <v>0</v>
      </c>
    </row>
    <row r="2538" customFormat="false" ht="15" hidden="false" customHeight="false" outlineLevel="0" collapsed="false">
      <c r="A2538" s="12" t="n">
        <v>45627</v>
      </c>
      <c r="B2538" s="9" t="s">
        <v>93</v>
      </c>
      <c r="C2538" s="3" t="s">
        <v>112</v>
      </c>
      <c r="D2538" s="3" t="n">
        <v>5000</v>
      </c>
      <c r="E2538" s="3" t="s">
        <v>114</v>
      </c>
      <c r="F2538" s="3" t="n">
        <f aca="false">IF(C2538="848630",0,1)</f>
        <v>0</v>
      </c>
    </row>
    <row r="2539" customFormat="false" ht="15" hidden="false" customHeight="false" outlineLevel="0" collapsed="false">
      <c r="A2539" s="12" t="n">
        <v>45627</v>
      </c>
      <c r="B2539" s="9" t="s">
        <v>93</v>
      </c>
      <c r="C2539" s="3" t="s">
        <v>112</v>
      </c>
      <c r="D2539" s="3" t="n">
        <v>239000</v>
      </c>
      <c r="E2539" s="3" t="s">
        <v>114</v>
      </c>
      <c r="F2539" s="3" t="n">
        <f aca="false">IF(C2539="848630",0,1)</f>
        <v>0</v>
      </c>
    </row>
    <row r="2540" customFormat="false" ht="15" hidden="false" customHeight="false" outlineLevel="0" collapsed="false">
      <c r="A2540" s="12" t="n">
        <v>45627</v>
      </c>
      <c r="B2540" s="9" t="s">
        <v>93</v>
      </c>
      <c r="C2540" s="3" t="s">
        <v>108</v>
      </c>
      <c r="D2540" s="3" t="n">
        <v>0</v>
      </c>
      <c r="E2540" s="3" t="s">
        <v>114</v>
      </c>
      <c r="F2540" s="3" t="n">
        <f aca="false">IF(C2540="848630",0,1)</f>
        <v>1</v>
      </c>
    </row>
    <row r="2541" customFormat="false" ht="15" hidden="false" customHeight="false" outlineLevel="0" collapsed="false">
      <c r="A2541" s="12" t="n">
        <v>45627</v>
      </c>
      <c r="B2541" s="9" t="s">
        <v>93</v>
      </c>
      <c r="C2541" s="3" t="s">
        <v>108</v>
      </c>
      <c r="D2541" s="3" t="n">
        <v>2936000</v>
      </c>
      <c r="E2541" s="3" t="s">
        <v>114</v>
      </c>
      <c r="F2541" s="3" t="n">
        <f aca="false">IF(C2541="848630",0,1)</f>
        <v>1</v>
      </c>
    </row>
    <row r="2542" customFormat="false" ht="15" hidden="false" customHeight="false" outlineLevel="0" collapsed="false">
      <c r="A2542" s="12" t="n">
        <v>45627</v>
      </c>
      <c r="B2542" s="9" t="s">
        <v>93</v>
      </c>
      <c r="C2542" s="3" t="s">
        <v>108</v>
      </c>
      <c r="D2542" s="3" t="n">
        <v>3000</v>
      </c>
      <c r="E2542" s="3" t="s">
        <v>114</v>
      </c>
      <c r="F2542" s="3" t="n">
        <f aca="false">IF(C2542="848630",0,1)</f>
        <v>1</v>
      </c>
    </row>
    <row r="2543" customFormat="false" ht="15" hidden="false" customHeight="false" outlineLevel="0" collapsed="false">
      <c r="A2543" s="12" t="n">
        <v>45627</v>
      </c>
      <c r="B2543" s="9" t="s">
        <v>93</v>
      </c>
      <c r="C2543" s="3" t="s">
        <v>108</v>
      </c>
      <c r="D2543" s="3" t="n">
        <v>1007000</v>
      </c>
      <c r="E2543" s="3" t="s">
        <v>114</v>
      </c>
      <c r="F2543" s="3" t="n">
        <f aca="false">IF(C2543="848630",0,1)</f>
        <v>1</v>
      </c>
    </row>
    <row r="2544" customFormat="false" ht="15" hidden="false" customHeight="false" outlineLevel="0" collapsed="false">
      <c r="A2544" s="12" t="n">
        <v>45627</v>
      </c>
      <c r="B2544" s="9" t="s">
        <v>93</v>
      </c>
      <c r="C2544" s="3" t="s">
        <v>108</v>
      </c>
      <c r="D2544" s="3" t="n">
        <v>217000</v>
      </c>
      <c r="E2544" s="3" t="s">
        <v>114</v>
      </c>
      <c r="F2544" s="3" t="n">
        <f aca="false">IF(C2544="848630",0,1)</f>
        <v>1</v>
      </c>
    </row>
    <row r="2545" customFormat="false" ht="15" hidden="false" customHeight="false" outlineLevel="0" collapsed="false">
      <c r="A2545" s="12" t="n">
        <v>45627</v>
      </c>
      <c r="B2545" s="9" t="s">
        <v>93</v>
      </c>
      <c r="C2545" s="3" t="s">
        <v>108</v>
      </c>
      <c r="D2545" s="3" t="n">
        <v>7000</v>
      </c>
      <c r="E2545" s="3" t="s">
        <v>114</v>
      </c>
      <c r="F2545" s="3" t="n">
        <f aca="false">IF(C2545="848630",0,1)</f>
        <v>1</v>
      </c>
    </row>
    <row r="2546" customFormat="false" ht="15" hidden="false" customHeight="false" outlineLevel="0" collapsed="false">
      <c r="A2546" s="12" t="n">
        <v>45627</v>
      </c>
      <c r="B2546" s="9" t="s">
        <v>93</v>
      </c>
      <c r="C2546" s="3" t="s">
        <v>108</v>
      </c>
      <c r="D2546" s="3" t="n">
        <v>6030000</v>
      </c>
      <c r="E2546" s="3" t="s">
        <v>114</v>
      </c>
      <c r="F2546" s="3" t="n">
        <f aca="false">IF(C2546="848630",0,1)</f>
        <v>1</v>
      </c>
    </row>
    <row r="2547" customFormat="false" ht="15" hidden="false" customHeight="false" outlineLevel="0" collapsed="false">
      <c r="A2547" s="12" t="n">
        <v>45627</v>
      </c>
      <c r="B2547" s="9" t="s">
        <v>93</v>
      </c>
      <c r="C2547" s="3" t="s">
        <v>108</v>
      </c>
      <c r="D2547" s="3" t="n">
        <v>16102000</v>
      </c>
      <c r="E2547" s="3" t="s">
        <v>114</v>
      </c>
      <c r="F2547" s="3" t="n">
        <f aca="false">IF(C2547="848630",0,1)</f>
        <v>1</v>
      </c>
    </row>
    <row r="2548" customFormat="false" ht="15" hidden="false" customHeight="false" outlineLevel="0" collapsed="false">
      <c r="A2548" s="12" t="n">
        <v>45627</v>
      </c>
      <c r="B2548" s="9" t="s">
        <v>93</v>
      </c>
      <c r="C2548" s="3" t="s">
        <v>108</v>
      </c>
      <c r="D2548" s="3" t="n">
        <v>1620000</v>
      </c>
      <c r="E2548" s="3" t="s">
        <v>114</v>
      </c>
      <c r="F2548" s="3" t="n">
        <f aca="false">IF(C2548="848630",0,1)</f>
        <v>1</v>
      </c>
    </row>
    <row r="2549" customFormat="false" ht="15" hidden="false" customHeight="false" outlineLevel="0" collapsed="false">
      <c r="A2549" s="12" t="n">
        <v>45627</v>
      </c>
      <c r="B2549" s="9" t="s">
        <v>93</v>
      </c>
      <c r="C2549" s="3" t="s">
        <v>108</v>
      </c>
      <c r="D2549" s="3" t="n">
        <v>4499000</v>
      </c>
      <c r="E2549" s="3" t="s">
        <v>114</v>
      </c>
      <c r="F2549" s="3" t="n">
        <f aca="false">IF(C2549="848630",0,1)</f>
        <v>1</v>
      </c>
    </row>
    <row r="2550" customFormat="false" ht="15" hidden="false" customHeight="false" outlineLevel="0" collapsed="false">
      <c r="A2550" s="12" t="n">
        <v>45627</v>
      </c>
      <c r="B2550" s="9" t="s">
        <v>93</v>
      </c>
      <c r="C2550" s="3" t="s">
        <v>109</v>
      </c>
      <c r="D2550" s="3" t="n">
        <v>3621000</v>
      </c>
      <c r="E2550" s="3" t="s">
        <v>114</v>
      </c>
      <c r="F2550" s="3" t="n">
        <f aca="false">IF(C2550="848630",0,1)</f>
        <v>1</v>
      </c>
    </row>
    <row r="2551" customFormat="false" ht="15" hidden="false" customHeight="false" outlineLevel="0" collapsed="false">
      <c r="A2551" s="12" t="n">
        <v>45627</v>
      </c>
      <c r="B2551" s="9" t="s">
        <v>93</v>
      </c>
      <c r="C2551" s="3" t="s">
        <v>109</v>
      </c>
      <c r="D2551" s="3" t="n">
        <v>26479000</v>
      </c>
      <c r="E2551" s="3" t="s">
        <v>114</v>
      </c>
      <c r="F2551" s="3" t="n">
        <f aca="false">IF(C2551="848630",0,1)</f>
        <v>1</v>
      </c>
    </row>
    <row r="2552" customFormat="false" ht="15" hidden="false" customHeight="false" outlineLevel="0" collapsed="false">
      <c r="A2552" s="12" t="n">
        <v>45627</v>
      </c>
      <c r="B2552" s="9" t="s">
        <v>93</v>
      </c>
      <c r="C2552" s="3" t="s">
        <v>109</v>
      </c>
      <c r="D2552" s="3" t="n">
        <v>37045000</v>
      </c>
      <c r="E2552" s="3" t="s">
        <v>114</v>
      </c>
      <c r="F2552" s="3" t="n">
        <f aca="false">IF(C2552="848630",0,1)</f>
        <v>1</v>
      </c>
    </row>
    <row r="2553" customFormat="false" ht="15" hidden="false" customHeight="false" outlineLevel="0" collapsed="false">
      <c r="A2553" s="12" t="n">
        <v>45627</v>
      </c>
      <c r="B2553" s="9" t="s">
        <v>93</v>
      </c>
      <c r="C2553" s="3" t="s">
        <v>109</v>
      </c>
      <c r="D2553" s="3" t="n">
        <v>8163000</v>
      </c>
      <c r="E2553" s="3" t="s">
        <v>114</v>
      </c>
      <c r="F2553" s="3" t="n">
        <f aca="false">IF(C2553="848630",0,1)</f>
        <v>1</v>
      </c>
    </row>
    <row r="2554" customFormat="false" ht="15" hidden="false" customHeight="false" outlineLevel="0" collapsed="false">
      <c r="A2554" s="12" t="n">
        <v>45627</v>
      </c>
      <c r="B2554" s="9" t="s">
        <v>93</v>
      </c>
      <c r="C2554" s="3" t="s">
        <v>109</v>
      </c>
      <c r="D2554" s="3" t="n">
        <v>72000</v>
      </c>
      <c r="E2554" s="3" t="s">
        <v>114</v>
      </c>
      <c r="F2554" s="3" t="n">
        <f aca="false">IF(C2554="848630",0,1)</f>
        <v>1</v>
      </c>
    </row>
    <row r="2555" customFormat="false" ht="15" hidden="false" customHeight="false" outlineLevel="0" collapsed="false">
      <c r="A2555" s="12" t="n">
        <v>45627</v>
      </c>
      <c r="B2555" s="9" t="s">
        <v>93</v>
      </c>
      <c r="C2555" s="3" t="s">
        <v>109</v>
      </c>
      <c r="D2555" s="3" t="n">
        <v>2379000</v>
      </c>
      <c r="E2555" s="3" t="s">
        <v>114</v>
      </c>
      <c r="F2555" s="3" t="n">
        <f aca="false">IF(C2555="848630",0,1)</f>
        <v>1</v>
      </c>
    </row>
    <row r="2556" customFormat="false" ht="15" hidden="false" customHeight="false" outlineLevel="0" collapsed="false">
      <c r="A2556" s="12" t="n">
        <v>45627</v>
      </c>
      <c r="B2556" s="9" t="s">
        <v>93</v>
      </c>
      <c r="C2556" s="3" t="s">
        <v>109</v>
      </c>
      <c r="D2556" s="3" t="n">
        <v>1397000</v>
      </c>
      <c r="E2556" s="3" t="s">
        <v>114</v>
      </c>
      <c r="F2556" s="3" t="n">
        <f aca="false">IF(C2556="848630",0,1)</f>
        <v>1</v>
      </c>
    </row>
    <row r="2557" customFormat="false" ht="15" hidden="false" customHeight="false" outlineLevel="0" collapsed="false">
      <c r="A2557" s="12" t="n">
        <v>45627</v>
      </c>
      <c r="B2557" s="9" t="s">
        <v>93</v>
      </c>
      <c r="C2557" s="3" t="s">
        <v>109</v>
      </c>
      <c r="D2557" s="3" t="n">
        <v>12944000</v>
      </c>
      <c r="E2557" s="3" t="s">
        <v>114</v>
      </c>
      <c r="F2557" s="3" t="n">
        <f aca="false">IF(C2557="848630",0,1)</f>
        <v>1</v>
      </c>
    </row>
    <row r="2558" customFormat="false" ht="15" hidden="false" customHeight="false" outlineLevel="0" collapsed="false">
      <c r="A2558" s="12" t="n">
        <v>45627</v>
      </c>
      <c r="B2558" s="9" t="s">
        <v>93</v>
      </c>
      <c r="C2558" s="3" t="s">
        <v>110</v>
      </c>
      <c r="D2558" s="3" t="n">
        <v>58062000</v>
      </c>
      <c r="E2558" s="3" t="s">
        <v>114</v>
      </c>
      <c r="F2558" s="3" t="n">
        <f aca="false">IF(C2558="848630",0,1)</f>
        <v>1</v>
      </c>
    </row>
    <row r="2559" customFormat="false" ht="15" hidden="false" customHeight="false" outlineLevel="0" collapsed="false">
      <c r="A2559" s="12" t="n">
        <v>45627</v>
      </c>
      <c r="B2559" s="9" t="s">
        <v>93</v>
      </c>
      <c r="C2559" s="3" t="s">
        <v>111</v>
      </c>
      <c r="D2559" s="3" t="n">
        <v>31817000</v>
      </c>
      <c r="E2559" s="3" t="s">
        <v>114</v>
      </c>
      <c r="F2559" s="3" t="n">
        <f aca="false">IF(C2559="848630",0,1)</f>
        <v>1</v>
      </c>
    </row>
    <row r="2560" customFormat="false" ht="15" hidden="false" customHeight="false" outlineLevel="0" collapsed="false">
      <c r="A2560" s="12" t="n">
        <v>45658</v>
      </c>
      <c r="B2560" s="9" t="s">
        <v>93</v>
      </c>
      <c r="C2560" s="3" t="s">
        <v>105</v>
      </c>
      <c r="D2560" s="3" t="n">
        <v>3944000</v>
      </c>
      <c r="E2560" s="3" t="s">
        <v>114</v>
      </c>
      <c r="F2560" s="3" t="n">
        <f aca="false">IF(C2560="848630",0,1)</f>
        <v>1</v>
      </c>
    </row>
    <row r="2561" customFormat="false" ht="15" hidden="false" customHeight="false" outlineLevel="0" collapsed="false">
      <c r="A2561" s="12" t="n">
        <v>45658</v>
      </c>
      <c r="B2561" s="9" t="s">
        <v>93</v>
      </c>
      <c r="C2561" s="3" t="s">
        <v>105</v>
      </c>
      <c r="D2561" s="3" t="n">
        <v>0</v>
      </c>
      <c r="E2561" s="3" t="s">
        <v>114</v>
      </c>
      <c r="F2561" s="3" t="n">
        <f aca="false">IF(C2561="848630",0,1)</f>
        <v>1</v>
      </c>
    </row>
    <row r="2562" customFormat="false" ht="15" hidden="false" customHeight="false" outlineLevel="0" collapsed="false">
      <c r="A2562" s="12" t="n">
        <v>45658</v>
      </c>
      <c r="B2562" s="9" t="s">
        <v>93</v>
      </c>
      <c r="C2562" s="3" t="s">
        <v>105</v>
      </c>
      <c r="D2562" s="3" t="n">
        <v>1000</v>
      </c>
      <c r="E2562" s="3" t="s">
        <v>114</v>
      </c>
      <c r="F2562" s="3" t="n">
        <f aca="false">IF(C2562="848630",0,1)</f>
        <v>1</v>
      </c>
    </row>
    <row r="2563" customFormat="false" ht="15" hidden="false" customHeight="false" outlineLevel="0" collapsed="false">
      <c r="A2563" s="12" t="n">
        <v>45658</v>
      </c>
      <c r="B2563" s="9" t="s">
        <v>93</v>
      </c>
      <c r="C2563" s="3" t="s">
        <v>107</v>
      </c>
      <c r="D2563" s="3" t="n">
        <v>1643000</v>
      </c>
      <c r="E2563" s="3" t="s">
        <v>114</v>
      </c>
      <c r="F2563" s="3" t="n">
        <f aca="false">IF(C2563="848630",0,1)</f>
        <v>1</v>
      </c>
    </row>
    <row r="2564" customFormat="false" ht="15" hidden="false" customHeight="false" outlineLevel="0" collapsed="false">
      <c r="A2564" s="12" t="n">
        <v>45658</v>
      </c>
      <c r="B2564" s="9" t="s">
        <v>93</v>
      </c>
      <c r="C2564" s="3" t="s">
        <v>107</v>
      </c>
      <c r="D2564" s="3" t="n">
        <v>0</v>
      </c>
      <c r="E2564" s="3" t="s">
        <v>114</v>
      </c>
      <c r="F2564" s="3" t="n">
        <f aca="false">IF(C2564="848630",0,1)</f>
        <v>1</v>
      </c>
    </row>
    <row r="2565" customFormat="false" ht="15" hidden="false" customHeight="false" outlineLevel="0" collapsed="false">
      <c r="A2565" s="12" t="n">
        <v>45658</v>
      </c>
      <c r="B2565" s="9" t="s">
        <v>93</v>
      </c>
      <c r="C2565" s="3" t="s">
        <v>107</v>
      </c>
      <c r="D2565" s="3" t="n">
        <v>63130000</v>
      </c>
      <c r="E2565" s="3" t="s">
        <v>114</v>
      </c>
      <c r="F2565" s="3" t="n">
        <f aca="false">IF(C2565="848630",0,1)</f>
        <v>1</v>
      </c>
    </row>
    <row r="2566" customFormat="false" ht="15" hidden="false" customHeight="false" outlineLevel="0" collapsed="false">
      <c r="A2566" s="12" t="n">
        <v>45658</v>
      </c>
      <c r="B2566" s="9" t="s">
        <v>93</v>
      </c>
      <c r="C2566" s="3" t="s">
        <v>107</v>
      </c>
      <c r="D2566" s="3" t="n">
        <v>4040000</v>
      </c>
      <c r="E2566" s="3" t="s">
        <v>114</v>
      </c>
      <c r="F2566" s="3" t="n">
        <f aca="false">IF(C2566="848630",0,1)</f>
        <v>1</v>
      </c>
    </row>
    <row r="2567" customFormat="false" ht="15" hidden="false" customHeight="false" outlineLevel="0" collapsed="false">
      <c r="A2567" s="12" t="n">
        <v>45658</v>
      </c>
      <c r="B2567" s="9" t="s">
        <v>93</v>
      </c>
      <c r="C2567" s="3" t="s">
        <v>107</v>
      </c>
      <c r="D2567" s="3" t="n">
        <v>0</v>
      </c>
      <c r="E2567" s="3" t="s">
        <v>114</v>
      </c>
      <c r="F2567" s="3" t="n">
        <f aca="false">IF(C2567="848630",0,1)</f>
        <v>1</v>
      </c>
    </row>
    <row r="2568" customFormat="false" ht="15" hidden="false" customHeight="false" outlineLevel="0" collapsed="false">
      <c r="A2568" s="12" t="n">
        <v>45658</v>
      </c>
      <c r="B2568" s="9" t="s">
        <v>93</v>
      </c>
      <c r="C2568" s="3" t="s">
        <v>107</v>
      </c>
      <c r="D2568" s="3" t="n">
        <v>21046000</v>
      </c>
      <c r="E2568" s="3" t="s">
        <v>114</v>
      </c>
      <c r="F2568" s="3" t="n">
        <f aca="false">IF(C2568="848630",0,1)</f>
        <v>1</v>
      </c>
    </row>
    <row r="2569" customFormat="false" ht="15" hidden="false" customHeight="false" outlineLevel="0" collapsed="false">
      <c r="A2569" s="12" t="n">
        <v>45658</v>
      </c>
      <c r="B2569" s="9" t="s">
        <v>93</v>
      </c>
      <c r="C2569" s="3" t="s">
        <v>107</v>
      </c>
      <c r="D2569" s="3" t="n">
        <v>72267000</v>
      </c>
      <c r="E2569" s="3" t="s">
        <v>114</v>
      </c>
      <c r="F2569" s="3" t="n">
        <f aca="false">IF(C2569="848630",0,1)</f>
        <v>1</v>
      </c>
    </row>
    <row r="2570" customFormat="false" ht="15" hidden="false" customHeight="false" outlineLevel="0" collapsed="false">
      <c r="A2570" s="12" t="n">
        <v>45658</v>
      </c>
      <c r="B2570" s="9" t="s">
        <v>93</v>
      </c>
      <c r="C2570" s="3" t="s">
        <v>107</v>
      </c>
      <c r="D2570" s="3" t="n">
        <v>0</v>
      </c>
      <c r="E2570" s="3" t="s">
        <v>114</v>
      </c>
      <c r="F2570" s="3" t="n">
        <f aca="false">IF(C2570="848630",0,1)</f>
        <v>1</v>
      </c>
    </row>
    <row r="2571" customFormat="false" ht="15" hidden="false" customHeight="false" outlineLevel="0" collapsed="false">
      <c r="A2571" s="12" t="n">
        <v>45658</v>
      </c>
      <c r="B2571" s="9" t="s">
        <v>93</v>
      </c>
      <c r="C2571" s="3" t="s">
        <v>107</v>
      </c>
      <c r="D2571" s="3" t="n">
        <v>454000</v>
      </c>
      <c r="E2571" s="3" t="s">
        <v>114</v>
      </c>
      <c r="F2571" s="3" t="n">
        <f aca="false">IF(C2571="848630",0,1)</f>
        <v>1</v>
      </c>
    </row>
    <row r="2572" customFormat="false" ht="15" hidden="false" customHeight="false" outlineLevel="0" collapsed="false">
      <c r="A2572" s="12" t="n">
        <v>45658</v>
      </c>
      <c r="B2572" s="9" t="s">
        <v>93</v>
      </c>
      <c r="C2572" s="3" t="s">
        <v>107</v>
      </c>
      <c r="D2572" s="3" t="n">
        <v>591000</v>
      </c>
      <c r="E2572" s="3" t="s">
        <v>114</v>
      </c>
      <c r="F2572" s="3" t="n">
        <f aca="false">IF(C2572="848630",0,1)</f>
        <v>1</v>
      </c>
    </row>
    <row r="2573" customFormat="false" ht="15" hidden="false" customHeight="false" outlineLevel="0" collapsed="false">
      <c r="A2573" s="12" t="n">
        <v>45658</v>
      </c>
      <c r="B2573" s="9" t="s">
        <v>93</v>
      </c>
      <c r="C2573" s="3" t="s">
        <v>107</v>
      </c>
      <c r="D2573" s="3" t="n">
        <v>46801000</v>
      </c>
      <c r="E2573" s="3" t="s">
        <v>114</v>
      </c>
      <c r="F2573" s="3" t="n">
        <f aca="false">IF(C2573="848630",0,1)</f>
        <v>1</v>
      </c>
    </row>
    <row r="2574" customFormat="false" ht="15" hidden="false" customHeight="false" outlineLevel="0" collapsed="false">
      <c r="A2574" s="12" t="n">
        <v>45658</v>
      </c>
      <c r="B2574" s="9" t="s">
        <v>93</v>
      </c>
      <c r="C2574" s="3" t="s">
        <v>107</v>
      </c>
      <c r="D2574" s="3" t="n">
        <v>10688000</v>
      </c>
      <c r="E2574" s="3" t="s">
        <v>114</v>
      </c>
      <c r="F2574" s="3" t="n">
        <f aca="false">IF(C2574="848630",0,1)</f>
        <v>1</v>
      </c>
    </row>
    <row r="2575" customFormat="false" ht="15" hidden="false" customHeight="false" outlineLevel="0" collapsed="false">
      <c r="A2575" s="12" t="n">
        <v>45658</v>
      </c>
      <c r="B2575" s="9" t="s">
        <v>93</v>
      </c>
      <c r="C2575" s="3" t="s">
        <v>107</v>
      </c>
      <c r="D2575" s="3" t="n">
        <v>3011000</v>
      </c>
      <c r="E2575" s="3" t="s">
        <v>114</v>
      </c>
      <c r="F2575" s="3" t="n">
        <f aca="false">IF(C2575="848630",0,1)</f>
        <v>1</v>
      </c>
    </row>
    <row r="2576" customFormat="false" ht="15" hidden="false" customHeight="false" outlineLevel="0" collapsed="false">
      <c r="A2576" s="12" t="n">
        <v>45658</v>
      </c>
      <c r="B2576" s="9" t="s">
        <v>93</v>
      </c>
      <c r="C2576" s="3" t="s">
        <v>107</v>
      </c>
      <c r="D2576" s="3" t="n">
        <v>1195000</v>
      </c>
      <c r="E2576" s="3" t="s">
        <v>114</v>
      </c>
      <c r="F2576" s="3" t="n">
        <f aca="false">IF(C2576="848630",0,1)</f>
        <v>1</v>
      </c>
    </row>
    <row r="2577" customFormat="false" ht="15" hidden="false" customHeight="false" outlineLevel="0" collapsed="false">
      <c r="A2577" s="12" t="n">
        <v>45658</v>
      </c>
      <c r="B2577" s="9" t="s">
        <v>93</v>
      </c>
      <c r="C2577" s="3" t="s">
        <v>107</v>
      </c>
      <c r="D2577" s="3" t="n">
        <v>222000</v>
      </c>
      <c r="E2577" s="3" t="s">
        <v>114</v>
      </c>
      <c r="F2577" s="3" t="n">
        <f aca="false">IF(C2577="848630",0,1)</f>
        <v>1</v>
      </c>
    </row>
    <row r="2578" customFormat="false" ht="15" hidden="false" customHeight="false" outlineLevel="0" collapsed="false">
      <c r="A2578" s="12" t="n">
        <v>45658</v>
      </c>
      <c r="B2578" s="9" t="s">
        <v>93</v>
      </c>
      <c r="C2578" s="3" t="s">
        <v>107</v>
      </c>
      <c r="D2578" s="3" t="n">
        <v>4729000</v>
      </c>
      <c r="E2578" s="3" t="s">
        <v>114</v>
      </c>
      <c r="F2578" s="3" t="n">
        <f aca="false">IF(C2578="848630",0,1)</f>
        <v>1</v>
      </c>
    </row>
    <row r="2579" customFormat="false" ht="15" hidden="false" customHeight="false" outlineLevel="0" collapsed="false">
      <c r="A2579" s="12" t="n">
        <v>45658</v>
      </c>
      <c r="B2579" s="9" t="s">
        <v>93</v>
      </c>
      <c r="C2579" s="3" t="s">
        <v>112</v>
      </c>
      <c r="D2579" s="3" t="n">
        <v>0</v>
      </c>
      <c r="E2579" s="3" t="s">
        <v>114</v>
      </c>
      <c r="F2579" s="3" t="n">
        <f aca="false">IF(C2579="848630",0,1)</f>
        <v>0</v>
      </c>
    </row>
    <row r="2580" customFormat="false" ht="15" hidden="false" customHeight="false" outlineLevel="0" collapsed="false">
      <c r="A2580" s="12" t="n">
        <v>45658</v>
      </c>
      <c r="B2580" s="9" t="s">
        <v>93</v>
      </c>
      <c r="C2580" s="3" t="s">
        <v>112</v>
      </c>
      <c r="D2580" s="3" t="n">
        <v>16000</v>
      </c>
      <c r="E2580" s="3" t="s">
        <v>114</v>
      </c>
      <c r="F2580" s="3" t="n">
        <f aca="false">IF(C2580="848630",0,1)</f>
        <v>0</v>
      </c>
    </row>
    <row r="2581" customFormat="false" ht="15" hidden="false" customHeight="false" outlineLevel="0" collapsed="false">
      <c r="A2581" s="12" t="n">
        <v>45658</v>
      </c>
      <c r="B2581" s="9" t="s">
        <v>93</v>
      </c>
      <c r="C2581" s="3" t="s">
        <v>112</v>
      </c>
      <c r="D2581" s="3" t="n">
        <v>460000</v>
      </c>
      <c r="E2581" s="3" t="s">
        <v>114</v>
      </c>
      <c r="F2581" s="3" t="n">
        <f aca="false">IF(C2581="848630",0,1)</f>
        <v>0</v>
      </c>
    </row>
    <row r="2582" customFormat="false" ht="15" hidden="false" customHeight="false" outlineLevel="0" collapsed="false">
      <c r="A2582" s="12" t="n">
        <v>45658</v>
      </c>
      <c r="B2582" s="9" t="s">
        <v>93</v>
      </c>
      <c r="C2582" s="3" t="s">
        <v>112</v>
      </c>
      <c r="D2582" s="3" t="n">
        <v>18000</v>
      </c>
      <c r="E2582" s="3" t="s">
        <v>114</v>
      </c>
      <c r="F2582" s="3" t="n">
        <f aca="false">IF(C2582="848630",0,1)</f>
        <v>0</v>
      </c>
    </row>
    <row r="2583" customFormat="false" ht="15" hidden="false" customHeight="false" outlineLevel="0" collapsed="false">
      <c r="A2583" s="12" t="n">
        <v>45658</v>
      </c>
      <c r="B2583" s="9" t="s">
        <v>93</v>
      </c>
      <c r="C2583" s="3" t="s">
        <v>112</v>
      </c>
      <c r="D2583" s="3" t="n">
        <v>2301000</v>
      </c>
      <c r="E2583" s="3" t="s">
        <v>114</v>
      </c>
      <c r="F2583" s="3" t="n">
        <f aca="false">IF(C2583="848630",0,1)</f>
        <v>0</v>
      </c>
    </row>
    <row r="2584" customFormat="false" ht="15" hidden="false" customHeight="false" outlineLevel="0" collapsed="false">
      <c r="A2584" s="12" t="n">
        <v>45658</v>
      </c>
      <c r="B2584" s="9" t="s">
        <v>93</v>
      </c>
      <c r="C2584" s="3" t="s">
        <v>108</v>
      </c>
      <c r="D2584" s="3" t="n">
        <v>1713000</v>
      </c>
      <c r="E2584" s="3" t="s">
        <v>114</v>
      </c>
      <c r="F2584" s="3" t="n">
        <f aca="false">IF(C2584="848630",0,1)</f>
        <v>1</v>
      </c>
    </row>
    <row r="2585" customFormat="false" ht="15" hidden="false" customHeight="false" outlineLevel="0" collapsed="false">
      <c r="A2585" s="12" t="n">
        <v>45658</v>
      </c>
      <c r="B2585" s="9" t="s">
        <v>93</v>
      </c>
      <c r="C2585" s="3" t="s">
        <v>108</v>
      </c>
      <c r="D2585" s="3" t="n">
        <v>0</v>
      </c>
      <c r="E2585" s="3" t="s">
        <v>114</v>
      </c>
      <c r="F2585" s="3" t="n">
        <f aca="false">IF(C2585="848630",0,1)</f>
        <v>1</v>
      </c>
    </row>
    <row r="2586" customFormat="false" ht="15" hidden="false" customHeight="false" outlineLevel="0" collapsed="false">
      <c r="A2586" s="12" t="n">
        <v>45658</v>
      </c>
      <c r="B2586" s="9" t="s">
        <v>93</v>
      </c>
      <c r="C2586" s="3" t="s">
        <v>108</v>
      </c>
      <c r="D2586" s="3" t="n">
        <v>0</v>
      </c>
      <c r="E2586" s="3" t="s">
        <v>114</v>
      </c>
      <c r="F2586" s="3" t="n">
        <f aca="false">IF(C2586="848630",0,1)</f>
        <v>1</v>
      </c>
    </row>
    <row r="2587" customFormat="false" ht="15" hidden="false" customHeight="false" outlineLevel="0" collapsed="false">
      <c r="A2587" s="12" t="n">
        <v>45658</v>
      </c>
      <c r="B2587" s="9" t="s">
        <v>93</v>
      </c>
      <c r="C2587" s="3" t="s">
        <v>108</v>
      </c>
      <c r="D2587" s="3" t="n">
        <v>61000</v>
      </c>
      <c r="E2587" s="3" t="s">
        <v>114</v>
      </c>
      <c r="F2587" s="3" t="n">
        <f aca="false">IF(C2587="848630",0,1)</f>
        <v>1</v>
      </c>
    </row>
    <row r="2588" customFormat="false" ht="15" hidden="false" customHeight="false" outlineLevel="0" collapsed="false">
      <c r="A2588" s="12" t="n">
        <v>45658</v>
      </c>
      <c r="B2588" s="9" t="s">
        <v>93</v>
      </c>
      <c r="C2588" s="3" t="s">
        <v>108</v>
      </c>
      <c r="D2588" s="3" t="n">
        <v>24000</v>
      </c>
      <c r="E2588" s="3" t="s">
        <v>114</v>
      </c>
      <c r="F2588" s="3" t="n">
        <f aca="false">IF(C2588="848630",0,1)</f>
        <v>1</v>
      </c>
    </row>
    <row r="2589" customFormat="false" ht="15" hidden="false" customHeight="false" outlineLevel="0" collapsed="false">
      <c r="A2589" s="12" t="n">
        <v>45658</v>
      </c>
      <c r="B2589" s="9" t="s">
        <v>93</v>
      </c>
      <c r="C2589" s="3" t="s">
        <v>108</v>
      </c>
      <c r="D2589" s="3" t="n">
        <v>6117000</v>
      </c>
      <c r="E2589" s="3" t="s">
        <v>114</v>
      </c>
      <c r="F2589" s="3" t="n">
        <f aca="false">IF(C2589="848630",0,1)</f>
        <v>1</v>
      </c>
    </row>
    <row r="2590" customFormat="false" ht="15" hidden="false" customHeight="false" outlineLevel="0" collapsed="false">
      <c r="A2590" s="12" t="n">
        <v>45658</v>
      </c>
      <c r="B2590" s="9" t="s">
        <v>93</v>
      </c>
      <c r="C2590" s="3" t="s">
        <v>108</v>
      </c>
      <c r="D2590" s="3" t="n">
        <v>0</v>
      </c>
      <c r="E2590" s="3" t="s">
        <v>114</v>
      </c>
      <c r="F2590" s="3" t="n">
        <f aca="false">IF(C2590="848630",0,1)</f>
        <v>1</v>
      </c>
    </row>
    <row r="2591" customFormat="false" ht="15" hidden="false" customHeight="false" outlineLevel="0" collapsed="false">
      <c r="A2591" s="12" t="n">
        <v>45658</v>
      </c>
      <c r="B2591" s="9" t="s">
        <v>93</v>
      </c>
      <c r="C2591" s="3" t="s">
        <v>108</v>
      </c>
      <c r="D2591" s="3" t="n">
        <v>4356000</v>
      </c>
      <c r="E2591" s="3" t="s">
        <v>114</v>
      </c>
      <c r="F2591" s="3" t="n">
        <f aca="false">IF(C2591="848630",0,1)</f>
        <v>1</v>
      </c>
    </row>
    <row r="2592" customFormat="false" ht="15" hidden="false" customHeight="false" outlineLevel="0" collapsed="false">
      <c r="A2592" s="12" t="n">
        <v>45658</v>
      </c>
      <c r="B2592" s="9" t="s">
        <v>93</v>
      </c>
      <c r="C2592" s="3" t="s">
        <v>109</v>
      </c>
      <c r="D2592" s="3" t="n">
        <v>1039000</v>
      </c>
      <c r="E2592" s="3" t="s">
        <v>114</v>
      </c>
      <c r="F2592" s="3" t="n">
        <f aca="false">IF(C2592="848630",0,1)</f>
        <v>1</v>
      </c>
    </row>
    <row r="2593" customFormat="false" ht="15" hidden="false" customHeight="false" outlineLevel="0" collapsed="false">
      <c r="A2593" s="12" t="n">
        <v>45658</v>
      </c>
      <c r="B2593" s="9" t="s">
        <v>93</v>
      </c>
      <c r="C2593" s="3" t="s">
        <v>109</v>
      </c>
      <c r="D2593" s="3" t="n">
        <v>18103000</v>
      </c>
      <c r="E2593" s="3" t="s">
        <v>114</v>
      </c>
      <c r="F2593" s="3" t="n">
        <f aca="false">IF(C2593="848630",0,1)</f>
        <v>1</v>
      </c>
    </row>
    <row r="2594" customFormat="false" ht="15" hidden="false" customHeight="false" outlineLevel="0" collapsed="false">
      <c r="A2594" s="12" t="n">
        <v>45658</v>
      </c>
      <c r="B2594" s="9" t="s">
        <v>93</v>
      </c>
      <c r="C2594" s="3" t="s">
        <v>109</v>
      </c>
      <c r="D2594" s="3" t="n">
        <v>24489000</v>
      </c>
      <c r="E2594" s="3" t="s">
        <v>114</v>
      </c>
      <c r="F2594" s="3" t="n">
        <f aca="false">IF(C2594="848630",0,1)</f>
        <v>1</v>
      </c>
    </row>
    <row r="2595" customFormat="false" ht="15" hidden="false" customHeight="false" outlineLevel="0" collapsed="false">
      <c r="A2595" s="12" t="n">
        <v>45658</v>
      </c>
      <c r="B2595" s="9" t="s">
        <v>93</v>
      </c>
      <c r="C2595" s="3" t="s">
        <v>109</v>
      </c>
      <c r="D2595" s="3" t="n">
        <v>5177000</v>
      </c>
      <c r="E2595" s="3" t="s">
        <v>114</v>
      </c>
      <c r="F2595" s="3" t="n">
        <f aca="false">IF(C2595="848630",0,1)</f>
        <v>1</v>
      </c>
    </row>
    <row r="2596" customFormat="false" ht="15" hidden="false" customHeight="false" outlineLevel="0" collapsed="false">
      <c r="A2596" s="12" t="n">
        <v>45658</v>
      </c>
      <c r="B2596" s="9" t="s">
        <v>93</v>
      </c>
      <c r="C2596" s="3" t="s">
        <v>109</v>
      </c>
      <c r="D2596" s="3" t="n">
        <v>69000</v>
      </c>
      <c r="E2596" s="3" t="s">
        <v>114</v>
      </c>
      <c r="F2596" s="3" t="n">
        <f aca="false">IF(C2596="848630",0,1)</f>
        <v>1</v>
      </c>
    </row>
    <row r="2597" customFormat="false" ht="15" hidden="false" customHeight="false" outlineLevel="0" collapsed="false">
      <c r="A2597" s="12" t="n">
        <v>45658</v>
      </c>
      <c r="B2597" s="9" t="s">
        <v>93</v>
      </c>
      <c r="C2597" s="3" t="s">
        <v>109</v>
      </c>
      <c r="D2597" s="3" t="n">
        <v>1263000</v>
      </c>
      <c r="E2597" s="3" t="s">
        <v>114</v>
      </c>
      <c r="F2597" s="3" t="n">
        <f aca="false">IF(C2597="848630",0,1)</f>
        <v>1</v>
      </c>
    </row>
    <row r="2598" customFormat="false" ht="15" hidden="false" customHeight="false" outlineLevel="0" collapsed="false">
      <c r="A2598" s="12" t="n">
        <v>45658</v>
      </c>
      <c r="B2598" s="9" t="s">
        <v>93</v>
      </c>
      <c r="C2598" s="3" t="s">
        <v>109</v>
      </c>
      <c r="D2598" s="3" t="n">
        <v>956000</v>
      </c>
      <c r="E2598" s="3" t="s">
        <v>114</v>
      </c>
      <c r="F2598" s="3" t="n">
        <f aca="false">IF(C2598="848630",0,1)</f>
        <v>1</v>
      </c>
    </row>
    <row r="2599" customFormat="false" ht="15" hidden="false" customHeight="false" outlineLevel="0" collapsed="false">
      <c r="A2599" s="12" t="n">
        <v>45658</v>
      </c>
      <c r="B2599" s="9" t="s">
        <v>93</v>
      </c>
      <c r="C2599" s="3" t="s">
        <v>109</v>
      </c>
      <c r="D2599" s="3" t="n">
        <v>6764000</v>
      </c>
      <c r="E2599" s="3" t="s">
        <v>114</v>
      </c>
      <c r="F2599" s="3" t="n">
        <f aca="false">IF(C2599="848630",0,1)</f>
        <v>1</v>
      </c>
    </row>
    <row r="2600" customFormat="false" ht="15" hidden="false" customHeight="false" outlineLevel="0" collapsed="false">
      <c r="A2600" s="12" t="n">
        <v>45658</v>
      </c>
      <c r="B2600" s="9" t="s">
        <v>93</v>
      </c>
      <c r="C2600" s="3" t="s">
        <v>110</v>
      </c>
      <c r="D2600" s="3" t="n">
        <v>29118000</v>
      </c>
      <c r="E2600" s="3" t="s">
        <v>114</v>
      </c>
      <c r="F2600" s="3" t="n">
        <f aca="false">IF(C2600="848630",0,1)</f>
        <v>1</v>
      </c>
    </row>
    <row r="2601" customFormat="false" ht="15" hidden="false" customHeight="false" outlineLevel="0" collapsed="false">
      <c r="A2601" s="12" t="n">
        <v>45658</v>
      </c>
      <c r="B2601" s="9" t="s">
        <v>93</v>
      </c>
      <c r="C2601" s="3" t="s">
        <v>111</v>
      </c>
      <c r="D2601" s="3" t="n">
        <v>79233000</v>
      </c>
      <c r="E2601" s="3" t="s">
        <v>114</v>
      </c>
      <c r="F2601" s="3" t="n">
        <f aca="false">IF(C2601="848630",0,1)</f>
        <v>1</v>
      </c>
    </row>
    <row r="2602" customFormat="false" ht="15" hidden="false" customHeight="false" outlineLevel="0" collapsed="false">
      <c r="A2602" s="12" t="n">
        <v>45689</v>
      </c>
      <c r="B2602" s="9" t="s">
        <v>93</v>
      </c>
      <c r="C2602" s="3" t="s">
        <v>105</v>
      </c>
      <c r="D2602" s="3" t="n">
        <v>11357000</v>
      </c>
      <c r="E2602" s="3" t="s">
        <v>114</v>
      </c>
      <c r="F2602" s="3" t="n">
        <f aca="false">IF(C2602="848630",0,1)</f>
        <v>1</v>
      </c>
    </row>
    <row r="2603" customFormat="false" ht="15" hidden="false" customHeight="false" outlineLevel="0" collapsed="false">
      <c r="A2603" s="12" t="n">
        <v>45689</v>
      </c>
      <c r="B2603" s="9" t="s">
        <v>93</v>
      </c>
      <c r="C2603" s="3" t="s">
        <v>107</v>
      </c>
      <c r="D2603" s="3" t="n">
        <v>1282000</v>
      </c>
      <c r="E2603" s="3" t="s">
        <v>114</v>
      </c>
      <c r="F2603" s="3" t="n">
        <f aca="false">IF(C2603="848630",0,1)</f>
        <v>1</v>
      </c>
    </row>
    <row r="2604" customFormat="false" ht="15" hidden="false" customHeight="false" outlineLevel="0" collapsed="false">
      <c r="A2604" s="12" t="n">
        <v>45689</v>
      </c>
      <c r="B2604" s="9" t="s">
        <v>93</v>
      </c>
      <c r="C2604" s="3" t="s">
        <v>107</v>
      </c>
      <c r="D2604" s="3" t="n">
        <v>3358000</v>
      </c>
      <c r="E2604" s="3" t="s">
        <v>114</v>
      </c>
      <c r="F2604" s="3" t="n">
        <f aca="false">IF(C2604="848630",0,1)</f>
        <v>1</v>
      </c>
    </row>
    <row r="2605" customFormat="false" ht="15" hidden="false" customHeight="false" outlineLevel="0" collapsed="false">
      <c r="A2605" s="12" t="n">
        <v>45689</v>
      </c>
      <c r="B2605" s="9" t="s">
        <v>93</v>
      </c>
      <c r="C2605" s="3" t="s">
        <v>107</v>
      </c>
      <c r="D2605" s="3" t="n">
        <v>2000</v>
      </c>
      <c r="E2605" s="3" t="s">
        <v>114</v>
      </c>
      <c r="F2605" s="3" t="n">
        <f aca="false">IF(C2605="848630",0,1)</f>
        <v>1</v>
      </c>
    </row>
    <row r="2606" customFormat="false" ht="15" hidden="false" customHeight="false" outlineLevel="0" collapsed="false">
      <c r="A2606" s="12" t="n">
        <v>45689</v>
      </c>
      <c r="B2606" s="9" t="s">
        <v>93</v>
      </c>
      <c r="C2606" s="3" t="s">
        <v>107</v>
      </c>
      <c r="D2606" s="3" t="n">
        <v>143080000</v>
      </c>
      <c r="E2606" s="3" t="s">
        <v>114</v>
      </c>
      <c r="F2606" s="3" t="n">
        <f aca="false">IF(C2606="848630",0,1)</f>
        <v>1</v>
      </c>
    </row>
    <row r="2607" customFormat="false" ht="15" hidden="false" customHeight="false" outlineLevel="0" collapsed="false">
      <c r="A2607" s="12" t="n">
        <v>45689</v>
      </c>
      <c r="B2607" s="9" t="s">
        <v>93</v>
      </c>
      <c r="C2607" s="3" t="s">
        <v>107</v>
      </c>
      <c r="D2607" s="3" t="n">
        <v>3089000</v>
      </c>
      <c r="E2607" s="3" t="s">
        <v>114</v>
      </c>
      <c r="F2607" s="3" t="n">
        <f aca="false">IF(C2607="848630",0,1)</f>
        <v>1</v>
      </c>
    </row>
    <row r="2608" customFormat="false" ht="15" hidden="false" customHeight="false" outlineLevel="0" collapsed="false">
      <c r="A2608" s="12" t="n">
        <v>45689</v>
      </c>
      <c r="B2608" s="9" t="s">
        <v>93</v>
      </c>
      <c r="C2608" s="3" t="s">
        <v>107</v>
      </c>
      <c r="D2608" s="3" t="n">
        <v>17292000</v>
      </c>
      <c r="E2608" s="3" t="s">
        <v>114</v>
      </c>
      <c r="F2608" s="3" t="n">
        <f aca="false">IF(C2608="848630",0,1)</f>
        <v>1</v>
      </c>
    </row>
    <row r="2609" customFormat="false" ht="15" hidden="false" customHeight="false" outlineLevel="0" collapsed="false">
      <c r="A2609" s="12" t="n">
        <v>45689</v>
      </c>
      <c r="B2609" s="9" t="s">
        <v>93</v>
      </c>
      <c r="C2609" s="3" t="s">
        <v>107</v>
      </c>
      <c r="D2609" s="3" t="n">
        <v>31709000</v>
      </c>
      <c r="E2609" s="3" t="s">
        <v>114</v>
      </c>
      <c r="F2609" s="3" t="n">
        <f aca="false">IF(C2609="848630",0,1)</f>
        <v>1</v>
      </c>
    </row>
    <row r="2610" customFormat="false" ht="15" hidden="false" customHeight="false" outlineLevel="0" collapsed="false">
      <c r="A2610" s="12" t="n">
        <v>45689</v>
      </c>
      <c r="B2610" s="9" t="s">
        <v>93</v>
      </c>
      <c r="C2610" s="3" t="s">
        <v>107</v>
      </c>
      <c r="D2610" s="3" t="n">
        <v>0</v>
      </c>
      <c r="E2610" s="3" t="s">
        <v>114</v>
      </c>
      <c r="F2610" s="3" t="n">
        <f aca="false">IF(C2610="848630",0,1)</f>
        <v>1</v>
      </c>
    </row>
    <row r="2611" customFormat="false" ht="15" hidden="false" customHeight="false" outlineLevel="0" collapsed="false">
      <c r="A2611" s="12" t="n">
        <v>45689</v>
      </c>
      <c r="B2611" s="9" t="s">
        <v>93</v>
      </c>
      <c r="C2611" s="3" t="s">
        <v>107</v>
      </c>
      <c r="D2611" s="3" t="n">
        <v>37302000</v>
      </c>
      <c r="E2611" s="3" t="s">
        <v>114</v>
      </c>
      <c r="F2611" s="3" t="n">
        <f aca="false">IF(C2611="848630",0,1)</f>
        <v>1</v>
      </c>
    </row>
    <row r="2612" customFormat="false" ht="15" hidden="false" customHeight="false" outlineLevel="0" collapsed="false">
      <c r="A2612" s="12" t="n">
        <v>45689</v>
      </c>
      <c r="B2612" s="9" t="s">
        <v>93</v>
      </c>
      <c r="C2612" s="3" t="s">
        <v>107</v>
      </c>
      <c r="D2612" s="3" t="n">
        <v>0</v>
      </c>
      <c r="E2612" s="3" t="s">
        <v>114</v>
      </c>
      <c r="F2612" s="3" t="n">
        <f aca="false">IF(C2612="848630",0,1)</f>
        <v>1</v>
      </c>
    </row>
    <row r="2613" customFormat="false" ht="15" hidden="false" customHeight="false" outlineLevel="0" collapsed="false">
      <c r="A2613" s="12" t="n">
        <v>45689</v>
      </c>
      <c r="B2613" s="9" t="s">
        <v>93</v>
      </c>
      <c r="C2613" s="3" t="s">
        <v>107</v>
      </c>
      <c r="D2613" s="3" t="n">
        <v>14426000</v>
      </c>
      <c r="E2613" s="3" t="s">
        <v>114</v>
      </c>
      <c r="F2613" s="3" t="n">
        <f aca="false">IF(C2613="848630",0,1)</f>
        <v>1</v>
      </c>
    </row>
    <row r="2614" customFormat="false" ht="15" hidden="false" customHeight="false" outlineLevel="0" collapsed="false">
      <c r="A2614" s="12" t="n">
        <v>45689</v>
      </c>
      <c r="B2614" s="9" t="s">
        <v>93</v>
      </c>
      <c r="C2614" s="3" t="s">
        <v>107</v>
      </c>
      <c r="D2614" s="3" t="n">
        <v>40480000</v>
      </c>
      <c r="E2614" s="3" t="s">
        <v>114</v>
      </c>
      <c r="F2614" s="3" t="n">
        <f aca="false">IF(C2614="848630",0,1)</f>
        <v>1</v>
      </c>
    </row>
    <row r="2615" customFormat="false" ht="15" hidden="false" customHeight="false" outlineLevel="0" collapsed="false">
      <c r="A2615" s="12" t="n">
        <v>45689</v>
      </c>
      <c r="B2615" s="9" t="s">
        <v>93</v>
      </c>
      <c r="C2615" s="3" t="s">
        <v>107</v>
      </c>
      <c r="D2615" s="3" t="n">
        <v>23733000</v>
      </c>
      <c r="E2615" s="3" t="s">
        <v>114</v>
      </c>
      <c r="F2615" s="3" t="n">
        <f aca="false">IF(C2615="848630",0,1)</f>
        <v>1</v>
      </c>
    </row>
    <row r="2616" customFormat="false" ht="15" hidden="false" customHeight="false" outlineLevel="0" collapsed="false">
      <c r="A2616" s="12" t="n">
        <v>45689</v>
      </c>
      <c r="B2616" s="9" t="s">
        <v>93</v>
      </c>
      <c r="C2616" s="3" t="s">
        <v>107</v>
      </c>
      <c r="D2616" s="3" t="n">
        <v>1022000</v>
      </c>
      <c r="E2616" s="3" t="s">
        <v>114</v>
      </c>
      <c r="F2616" s="3" t="n">
        <f aca="false">IF(C2616="848630",0,1)</f>
        <v>1</v>
      </c>
    </row>
    <row r="2617" customFormat="false" ht="15" hidden="false" customHeight="false" outlineLevel="0" collapsed="false">
      <c r="A2617" s="12" t="n">
        <v>45689</v>
      </c>
      <c r="B2617" s="9" t="s">
        <v>93</v>
      </c>
      <c r="C2617" s="3" t="s">
        <v>107</v>
      </c>
      <c r="D2617" s="3" t="n">
        <v>3089000</v>
      </c>
      <c r="E2617" s="3" t="s">
        <v>114</v>
      </c>
      <c r="F2617" s="3" t="n">
        <f aca="false">IF(C2617="848630",0,1)</f>
        <v>1</v>
      </c>
    </row>
    <row r="2618" customFormat="false" ht="15" hidden="false" customHeight="false" outlineLevel="0" collapsed="false">
      <c r="A2618" s="12" t="n">
        <v>45689</v>
      </c>
      <c r="B2618" s="9" t="s">
        <v>93</v>
      </c>
      <c r="C2618" s="3" t="s">
        <v>107</v>
      </c>
      <c r="D2618" s="3" t="n">
        <v>2031000</v>
      </c>
      <c r="E2618" s="3" t="s">
        <v>114</v>
      </c>
      <c r="F2618" s="3" t="n">
        <f aca="false">IF(C2618="848630",0,1)</f>
        <v>1</v>
      </c>
    </row>
    <row r="2619" customFormat="false" ht="15" hidden="false" customHeight="false" outlineLevel="0" collapsed="false">
      <c r="A2619" s="12" t="n">
        <v>45689</v>
      </c>
      <c r="B2619" s="9" t="s">
        <v>93</v>
      </c>
      <c r="C2619" s="3" t="s">
        <v>107</v>
      </c>
      <c r="D2619" s="3" t="n">
        <v>6023000</v>
      </c>
      <c r="E2619" s="3" t="s">
        <v>114</v>
      </c>
      <c r="F2619" s="3" t="n">
        <f aca="false">IF(C2619="848630",0,1)</f>
        <v>1</v>
      </c>
    </row>
    <row r="2620" customFormat="false" ht="15" hidden="false" customHeight="false" outlineLevel="0" collapsed="false">
      <c r="A2620" s="12" t="n">
        <v>45689</v>
      </c>
      <c r="B2620" s="9" t="s">
        <v>93</v>
      </c>
      <c r="C2620" s="3" t="s">
        <v>112</v>
      </c>
      <c r="D2620" s="3" t="n">
        <v>0</v>
      </c>
      <c r="E2620" s="3" t="s">
        <v>114</v>
      </c>
      <c r="F2620" s="3" t="n">
        <f aca="false">IF(C2620="848630",0,1)</f>
        <v>0</v>
      </c>
    </row>
    <row r="2621" customFormat="false" ht="15" hidden="false" customHeight="false" outlineLevel="0" collapsed="false">
      <c r="A2621" s="12" t="n">
        <v>45689</v>
      </c>
      <c r="B2621" s="9" t="s">
        <v>93</v>
      </c>
      <c r="C2621" s="3" t="s">
        <v>112</v>
      </c>
      <c r="D2621" s="3" t="n">
        <v>98000</v>
      </c>
      <c r="E2621" s="3" t="s">
        <v>114</v>
      </c>
      <c r="F2621" s="3" t="n">
        <f aca="false">IF(C2621="848630",0,1)</f>
        <v>0</v>
      </c>
    </row>
    <row r="2622" customFormat="false" ht="15" hidden="false" customHeight="false" outlineLevel="0" collapsed="false">
      <c r="A2622" s="12" t="n">
        <v>45689</v>
      </c>
      <c r="B2622" s="9" t="s">
        <v>93</v>
      </c>
      <c r="C2622" s="3" t="s">
        <v>112</v>
      </c>
      <c r="D2622" s="3" t="n">
        <v>90000</v>
      </c>
      <c r="E2622" s="3" t="s">
        <v>114</v>
      </c>
      <c r="F2622" s="3" t="n">
        <f aca="false">IF(C2622="848630",0,1)</f>
        <v>0</v>
      </c>
    </row>
    <row r="2623" customFormat="false" ht="15" hidden="false" customHeight="false" outlineLevel="0" collapsed="false">
      <c r="A2623" s="12" t="n">
        <v>45689</v>
      </c>
      <c r="B2623" s="9" t="s">
        <v>93</v>
      </c>
      <c r="C2623" s="3" t="s">
        <v>112</v>
      </c>
      <c r="D2623" s="3" t="n">
        <v>2000</v>
      </c>
      <c r="E2623" s="3" t="s">
        <v>114</v>
      </c>
      <c r="F2623" s="3" t="n">
        <f aca="false">IF(C2623="848630",0,1)</f>
        <v>0</v>
      </c>
    </row>
    <row r="2624" customFormat="false" ht="15" hidden="false" customHeight="false" outlineLevel="0" collapsed="false">
      <c r="A2624" s="12" t="n">
        <v>45689</v>
      </c>
      <c r="B2624" s="9" t="s">
        <v>93</v>
      </c>
      <c r="C2624" s="3" t="s">
        <v>112</v>
      </c>
      <c r="D2624" s="3" t="n">
        <v>0</v>
      </c>
      <c r="E2624" s="3" t="s">
        <v>114</v>
      </c>
      <c r="F2624" s="3" t="n">
        <f aca="false">IF(C2624="848630",0,1)</f>
        <v>0</v>
      </c>
    </row>
    <row r="2625" customFormat="false" ht="15" hidden="false" customHeight="false" outlineLevel="0" collapsed="false">
      <c r="A2625" s="12" t="n">
        <v>45689</v>
      </c>
      <c r="B2625" s="9" t="s">
        <v>93</v>
      </c>
      <c r="C2625" s="3" t="s">
        <v>112</v>
      </c>
      <c r="D2625" s="3" t="n">
        <v>5000</v>
      </c>
      <c r="E2625" s="3" t="s">
        <v>114</v>
      </c>
      <c r="F2625" s="3" t="n">
        <f aca="false">IF(C2625="848630",0,1)</f>
        <v>0</v>
      </c>
    </row>
    <row r="2626" customFormat="false" ht="15" hidden="false" customHeight="false" outlineLevel="0" collapsed="false">
      <c r="A2626" s="12" t="n">
        <v>45689</v>
      </c>
      <c r="B2626" s="9" t="s">
        <v>93</v>
      </c>
      <c r="C2626" s="3" t="s">
        <v>108</v>
      </c>
      <c r="D2626" s="3" t="n">
        <v>149000</v>
      </c>
      <c r="E2626" s="3" t="s">
        <v>114</v>
      </c>
      <c r="F2626" s="3" t="n">
        <f aca="false">IF(C2626="848630",0,1)</f>
        <v>1</v>
      </c>
    </row>
    <row r="2627" customFormat="false" ht="15" hidden="false" customHeight="false" outlineLevel="0" collapsed="false">
      <c r="A2627" s="12" t="n">
        <v>45689</v>
      </c>
      <c r="B2627" s="9" t="s">
        <v>93</v>
      </c>
      <c r="C2627" s="3" t="s">
        <v>108</v>
      </c>
      <c r="D2627" s="3" t="n">
        <v>0</v>
      </c>
      <c r="E2627" s="3" t="s">
        <v>114</v>
      </c>
      <c r="F2627" s="3" t="n">
        <f aca="false">IF(C2627="848630",0,1)</f>
        <v>1</v>
      </c>
    </row>
    <row r="2628" customFormat="false" ht="15" hidden="false" customHeight="false" outlineLevel="0" collapsed="false">
      <c r="A2628" s="12" t="n">
        <v>45689</v>
      </c>
      <c r="B2628" s="9" t="s">
        <v>93</v>
      </c>
      <c r="C2628" s="3" t="s">
        <v>108</v>
      </c>
      <c r="D2628" s="3" t="n">
        <v>0</v>
      </c>
      <c r="E2628" s="3" t="s">
        <v>114</v>
      </c>
      <c r="F2628" s="3" t="n">
        <f aca="false">IF(C2628="848630",0,1)</f>
        <v>1</v>
      </c>
    </row>
    <row r="2629" customFormat="false" ht="15" hidden="false" customHeight="false" outlineLevel="0" collapsed="false">
      <c r="A2629" s="12" t="n">
        <v>45689</v>
      </c>
      <c r="B2629" s="9" t="s">
        <v>93</v>
      </c>
      <c r="C2629" s="3" t="s">
        <v>108</v>
      </c>
      <c r="D2629" s="3" t="n">
        <v>0</v>
      </c>
      <c r="E2629" s="3" t="s">
        <v>114</v>
      </c>
      <c r="F2629" s="3" t="n">
        <f aca="false">IF(C2629="848630",0,1)</f>
        <v>1</v>
      </c>
    </row>
    <row r="2630" customFormat="false" ht="15" hidden="false" customHeight="false" outlineLevel="0" collapsed="false">
      <c r="A2630" s="12" t="n">
        <v>45689</v>
      </c>
      <c r="B2630" s="9" t="s">
        <v>93</v>
      </c>
      <c r="C2630" s="3" t="s">
        <v>108</v>
      </c>
      <c r="D2630" s="3" t="n">
        <v>132000</v>
      </c>
      <c r="E2630" s="3" t="s">
        <v>114</v>
      </c>
      <c r="F2630" s="3" t="n">
        <f aca="false">IF(C2630="848630",0,1)</f>
        <v>1</v>
      </c>
    </row>
    <row r="2631" customFormat="false" ht="15" hidden="false" customHeight="false" outlineLevel="0" collapsed="false">
      <c r="A2631" s="12" t="n">
        <v>45689</v>
      </c>
      <c r="B2631" s="9" t="s">
        <v>93</v>
      </c>
      <c r="C2631" s="3" t="s">
        <v>108</v>
      </c>
      <c r="D2631" s="3" t="n">
        <v>0</v>
      </c>
      <c r="E2631" s="3" t="s">
        <v>114</v>
      </c>
      <c r="F2631" s="3" t="n">
        <f aca="false">IF(C2631="848630",0,1)</f>
        <v>1</v>
      </c>
    </row>
    <row r="2632" customFormat="false" ht="15" hidden="false" customHeight="false" outlineLevel="0" collapsed="false">
      <c r="A2632" s="12" t="n">
        <v>45689</v>
      </c>
      <c r="B2632" s="9" t="s">
        <v>93</v>
      </c>
      <c r="C2632" s="3" t="s">
        <v>108</v>
      </c>
      <c r="D2632" s="3" t="n">
        <v>1071000</v>
      </c>
      <c r="E2632" s="3" t="s">
        <v>114</v>
      </c>
      <c r="F2632" s="3" t="n">
        <f aca="false">IF(C2632="848630",0,1)</f>
        <v>1</v>
      </c>
    </row>
    <row r="2633" customFormat="false" ht="15" hidden="false" customHeight="false" outlineLevel="0" collapsed="false">
      <c r="A2633" s="12" t="n">
        <v>45689</v>
      </c>
      <c r="B2633" s="9" t="s">
        <v>93</v>
      </c>
      <c r="C2633" s="3" t="s">
        <v>108</v>
      </c>
      <c r="D2633" s="3" t="n">
        <v>17247000</v>
      </c>
      <c r="E2633" s="3" t="s">
        <v>114</v>
      </c>
      <c r="F2633" s="3" t="n">
        <f aca="false">IF(C2633="848630",0,1)</f>
        <v>1</v>
      </c>
    </row>
    <row r="2634" customFormat="false" ht="15" hidden="false" customHeight="false" outlineLevel="0" collapsed="false">
      <c r="A2634" s="12" t="n">
        <v>45689</v>
      </c>
      <c r="B2634" s="9" t="s">
        <v>93</v>
      </c>
      <c r="C2634" s="3" t="s">
        <v>108</v>
      </c>
      <c r="D2634" s="3" t="n">
        <v>3353000</v>
      </c>
      <c r="E2634" s="3" t="s">
        <v>114</v>
      </c>
      <c r="F2634" s="3" t="n">
        <f aca="false">IF(C2634="848630",0,1)</f>
        <v>1</v>
      </c>
    </row>
    <row r="2635" customFormat="false" ht="15" hidden="false" customHeight="false" outlineLevel="0" collapsed="false">
      <c r="A2635" s="12" t="n">
        <v>45689</v>
      </c>
      <c r="B2635" s="9" t="s">
        <v>93</v>
      </c>
      <c r="C2635" s="3" t="s">
        <v>108</v>
      </c>
      <c r="D2635" s="3" t="n">
        <v>4749000</v>
      </c>
      <c r="E2635" s="3" t="s">
        <v>114</v>
      </c>
      <c r="F2635" s="3" t="n">
        <f aca="false">IF(C2635="848630",0,1)</f>
        <v>1</v>
      </c>
    </row>
    <row r="2636" customFormat="false" ht="15" hidden="false" customHeight="false" outlineLevel="0" collapsed="false">
      <c r="A2636" s="12" t="n">
        <v>45689</v>
      </c>
      <c r="B2636" s="9" t="s">
        <v>93</v>
      </c>
      <c r="C2636" s="3" t="s">
        <v>109</v>
      </c>
      <c r="D2636" s="3" t="n">
        <v>2133000</v>
      </c>
      <c r="E2636" s="3" t="s">
        <v>114</v>
      </c>
      <c r="F2636" s="3" t="n">
        <f aca="false">IF(C2636="848630",0,1)</f>
        <v>1</v>
      </c>
    </row>
    <row r="2637" customFormat="false" ht="15" hidden="false" customHeight="false" outlineLevel="0" collapsed="false">
      <c r="A2637" s="12" t="n">
        <v>45689</v>
      </c>
      <c r="B2637" s="9" t="s">
        <v>93</v>
      </c>
      <c r="C2637" s="3" t="s">
        <v>109</v>
      </c>
      <c r="D2637" s="3" t="n">
        <v>19252000</v>
      </c>
      <c r="E2637" s="3" t="s">
        <v>114</v>
      </c>
      <c r="F2637" s="3" t="n">
        <f aca="false">IF(C2637="848630",0,1)</f>
        <v>1</v>
      </c>
    </row>
    <row r="2638" customFormat="false" ht="15" hidden="false" customHeight="false" outlineLevel="0" collapsed="false">
      <c r="A2638" s="12" t="n">
        <v>45689</v>
      </c>
      <c r="B2638" s="9" t="s">
        <v>93</v>
      </c>
      <c r="C2638" s="3" t="s">
        <v>109</v>
      </c>
      <c r="D2638" s="3" t="n">
        <v>27593000</v>
      </c>
      <c r="E2638" s="3" t="s">
        <v>114</v>
      </c>
      <c r="F2638" s="3" t="n">
        <f aca="false">IF(C2638="848630",0,1)</f>
        <v>1</v>
      </c>
    </row>
    <row r="2639" customFormat="false" ht="15" hidden="false" customHeight="false" outlineLevel="0" collapsed="false">
      <c r="A2639" s="12" t="n">
        <v>45689</v>
      </c>
      <c r="B2639" s="9" t="s">
        <v>93</v>
      </c>
      <c r="C2639" s="3" t="s">
        <v>109</v>
      </c>
      <c r="D2639" s="3" t="n">
        <v>17182000</v>
      </c>
      <c r="E2639" s="3" t="s">
        <v>114</v>
      </c>
      <c r="F2639" s="3" t="n">
        <f aca="false">IF(C2639="848630",0,1)</f>
        <v>1</v>
      </c>
    </row>
    <row r="2640" customFormat="false" ht="15" hidden="false" customHeight="false" outlineLevel="0" collapsed="false">
      <c r="A2640" s="12" t="n">
        <v>45689</v>
      </c>
      <c r="B2640" s="9" t="s">
        <v>93</v>
      </c>
      <c r="C2640" s="3" t="s">
        <v>109</v>
      </c>
      <c r="D2640" s="3" t="n">
        <v>77000</v>
      </c>
      <c r="E2640" s="3" t="s">
        <v>114</v>
      </c>
      <c r="F2640" s="3" t="n">
        <f aca="false">IF(C2640="848630",0,1)</f>
        <v>1</v>
      </c>
    </row>
    <row r="2641" customFormat="false" ht="15" hidden="false" customHeight="false" outlineLevel="0" collapsed="false">
      <c r="A2641" s="12" t="n">
        <v>45689</v>
      </c>
      <c r="B2641" s="9" t="s">
        <v>93</v>
      </c>
      <c r="C2641" s="3" t="s">
        <v>109</v>
      </c>
      <c r="D2641" s="3" t="n">
        <v>2840000</v>
      </c>
      <c r="E2641" s="3" t="s">
        <v>114</v>
      </c>
      <c r="F2641" s="3" t="n">
        <f aca="false">IF(C2641="848630",0,1)</f>
        <v>1</v>
      </c>
    </row>
    <row r="2642" customFormat="false" ht="15" hidden="false" customHeight="false" outlineLevel="0" collapsed="false">
      <c r="A2642" s="12" t="n">
        <v>45689</v>
      </c>
      <c r="B2642" s="9" t="s">
        <v>93</v>
      </c>
      <c r="C2642" s="3" t="s">
        <v>109</v>
      </c>
      <c r="D2642" s="3" t="n">
        <v>1523000</v>
      </c>
      <c r="E2642" s="3" t="s">
        <v>114</v>
      </c>
      <c r="F2642" s="3" t="n">
        <f aca="false">IF(C2642="848630",0,1)</f>
        <v>1</v>
      </c>
    </row>
    <row r="2643" customFormat="false" ht="15" hidden="false" customHeight="false" outlineLevel="0" collapsed="false">
      <c r="A2643" s="12" t="n">
        <v>45689</v>
      </c>
      <c r="B2643" s="9" t="s">
        <v>93</v>
      </c>
      <c r="C2643" s="3" t="s">
        <v>109</v>
      </c>
      <c r="D2643" s="3" t="n">
        <v>7235000</v>
      </c>
      <c r="E2643" s="3" t="s">
        <v>114</v>
      </c>
      <c r="F2643" s="3" t="n">
        <f aca="false">IF(C2643="848630",0,1)</f>
        <v>1</v>
      </c>
    </row>
    <row r="2644" customFormat="false" ht="15" hidden="false" customHeight="false" outlineLevel="0" collapsed="false">
      <c r="A2644" s="12" t="n">
        <v>45689</v>
      </c>
      <c r="B2644" s="9" t="s">
        <v>93</v>
      </c>
      <c r="C2644" s="3" t="s">
        <v>110</v>
      </c>
      <c r="D2644" s="3" t="n">
        <v>39750000</v>
      </c>
      <c r="E2644" s="3" t="s">
        <v>114</v>
      </c>
      <c r="F2644" s="3" t="n">
        <f aca="false">IF(C2644="848630",0,1)</f>
        <v>1</v>
      </c>
    </row>
    <row r="2645" customFormat="false" ht="15" hidden="false" customHeight="false" outlineLevel="0" collapsed="false">
      <c r="A2645" s="12" t="n">
        <v>45689</v>
      </c>
      <c r="B2645" s="9" t="s">
        <v>93</v>
      </c>
      <c r="C2645" s="3" t="s">
        <v>111</v>
      </c>
      <c r="D2645" s="3" t="n">
        <v>34132000</v>
      </c>
      <c r="E2645" s="3" t="s">
        <v>114</v>
      </c>
      <c r="F2645" s="3" t="n">
        <f aca="false">IF(C2645="848630",0,1)</f>
        <v>1</v>
      </c>
    </row>
    <row r="2646" customFormat="false" ht="15" hidden="false" customHeight="false" outlineLevel="0" collapsed="false">
      <c r="A2646" s="12" t="n">
        <v>45717</v>
      </c>
      <c r="B2646" s="9" t="s">
        <v>93</v>
      </c>
      <c r="C2646" s="3" t="s">
        <v>105</v>
      </c>
      <c r="D2646" s="3" t="n">
        <v>2846000</v>
      </c>
      <c r="E2646" s="3" t="s">
        <v>114</v>
      </c>
      <c r="F2646" s="3" t="n">
        <f aca="false">IF(C2646="848630",0,1)</f>
        <v>1</v>
      </c>
    </row>
    <row r="2647" customFormat="false" ht="15" hidden="false" customHeight="false" outlineLevel="0" collapsed="false">
      <c r="A2647" s="12" t="n">
        <v>45717</v>
      </c>
      <c r="B2647" s="9" t="s">
        <v>93</v>
      </c>
      <c r="C2647" s="3" t="s">
        <v>105</v>
      </c>
      <c r="D2647" s="3" t="n">
        <v>3720000</v>
      </c>
      <c r="E2647" s="3" t="s">
        <v>114</v>
      </c>
      <c r="F2647" s="3" t="n">
        <f aca="false">IF(C2647="848630",0,1)</f>
        <v>1</v>
      </c>
    </row>
    <row r="2648" customFormat="false" ht="15" hidden="false" customHeight="false" outlineLevel="0" collapsed="false">
      <c r="A2648" s="12" t="n">
        <v>45717</v>
      </c>
      <c r="B2648" s="9" t="s">
        <v>93</v>
      </c>
      <c r="C2648" s="3" t="s">
        <v>105</v>
      </c>
      <c r="D2648" s="3" t="n">
        <v>0</v>
      </c>
      <c r="E2648" s="3" t="s">
        <v>114</v>
      </c>
      <c r="F2648" s="3" t="n">
        <f aca="false">IF(C2648="848630",0,1)</f>
        <v>1</v>
      </c>
    </row>
    <row r="2649" customFormat="false" ht="15" hidden="false" customHeight="false" outlineLevel="0" collapsed="false">
      <c r="A2649" s="12" t="n">
        <v>45717</v>
      </c>
      <c r="B2649" s="9" t="s">
        <v>93</v>
      </c>
      <c r="C2649" s="3" t="s">
        <v>105</v>
      </c>
      <c r="D2649" s="3" t="n">
        <v>0</v>
      </c>
      <c r="E2649" s="3" t="s">
        <v>114</v>
      </c>
      <c r="F2649" s="3" t="n">
        <f aca="false">IF(C2649="848630",0,1)</f>
        <v>1</v>
      </c>
    </row>
    <row r="2650" customFormat="false" ht="15" hidden="false" customHeight="false" outlineLevel="0" collapsed="false">
      <c r="A2650" s="12" t="n">
        <v>45717</v>
      </c>
      <c r="B2650" s="9" t="s">
        <v>93</v>
      </c>
      <c r="C2650" s="3" t="s">
        <v>107</v>
      </c>
      <c r="D2650" s="3" t="n">
        <v>1506000</v>
      </c>
      <c r="E2650" s="3" t="s">
        <v>114</v>
      </c>
      <c r="F2650" s="3" t="n">
        <f aca="false">IF(C2650="848630",0,1)</f>
        <v>1</v>
      </c>
    </row>
    <row r="2651" customFormat="false" ht="15" hidden="false" customHeight="false" outlineLevel="0" collapsed="false">
      <c r="A2651" s="12" t="n">
        <v>45717</v>
      </c>
      <c r="B2651" s="9" t="s">
        <v>93</v>
      </c>
      <c r="C2651" s="3" t="s">
        <v>107</v>
      </c>
      <c r="D2651" s="3" t="n">
        <v>3473000</v>
      </c>
      <c r="E2651" s="3" t="s">
        <v>114</v>
      </c>
      <c r="F2651" s="3" t="n">
        <f aca="false">IF(C2651="848630",0,1)</f>
        <v>1</v>
      </c>
    </row>
    <row r="2652" customFormat="false" ht="15" hidden="false" customHeight="false" outlineLevel="0" collapsed="false">
      <c r="A2652" s="12" t="n">
        <v>45717</v>
      </c>
      <c r="B2652" s="9" t="s">
        <v>93</v>
      </c>
      <c r="C2652" s="3" t="s">
        <v>107</v>
      </c>
      <c r="D2652" s="3" t="n">
        <v>123211000</v>
      </c>
      <c r="E2652" s="3" t="s">
        <v>114</v>
      </c>
      <c r="F2652" s="3" t="n">
        <f aca="false">IF(C2652="848630",0,1)</f>
        <v>1</v>
      </c>
    </row>
    <row r="2653" customFormat="false" ht="15" hidden="false" customHeight="false" outlineLevel="0" collapsed="false">
      <c r="A2653" s="12" t="n">
        <v>45717</v>
      </c>
      <c r="B2653" s="9" t="s">
        <v>93</v>
      </c>
      <c r="C2653" s="3" t="s">
        <v>107</v>
      </c>
      <c r="D2653" s="3" t="n">
        <v>15652000</v>
      </c>
      <c r="E2653" s="3" t="s">
        <v>114</v>
      </c>
      <c r="F2653" s="3" t="n">
        <f aca="false">IF(C2653="848630",0,1)</f>
        <v>1</v>
      </c>
    </row>
    <row r="2654" customFormat="false" ht="15" hidden="false" customHeight="false" outlineLevel="0" collapsed="false">
      <c r="A2654" s="12" t="n">
        <v>45717</v>
      </c>
      <c r="B2654" s="9" t="s">
        <v>93</v>
      </c>
      <c r="C2654" s="3" t="s">
        <v>107</v>
      </c>
      <c r="D2654" s="3" t="n">
        <v>8872000</v>
      </c>
      <c r="E2654" s="3" t="s">
        <v>114</v>
      </c>
      <c r="F2654" s="3" t="n">
        <f aca="false">IF(C2654="848630",0,1)</f>
        <v>1</v>
      </c>
    </row>
    <row r="2655" customFormat="false" ht="15" hidden="false" customHeight="false" outlineLevel="0" collapsed="false">
      <c r="A2655" s="12" t="n">
        <v>45717</v>
      </c>
      <c r="B2655" s="9" t="s">
        <v>93</v>
      </c>
      <c r="C2655" s="3" t="s">
        <v>107</v>
      </c>
      <c r="D2655" s="3" t="n">
        <v>39114000</v>
      </c>
      <c r="E2655" s="3" t="s">
        <v>114</v>
      </c>
      <c r="F2655" s="3" t="n">
        <f aca="false">IF(C2655="848630",0,1)</f>
        <v>1</v>
      </c>
    </row>
    <row r="2656" customFormat="false" ht="15" hidden="false" customHeight="false" outlineLevel="0" collapsed="false">
      <c r="A2656" s="12" t="n">
        <v>45717</v>
      </c>
      <c r="B2656" s="9" t="s">
        <v>93</v>
      </c>
      <c r="C2656" s="3" t="s">
        <v>107</v>
      </c>
      <c r="D2656" s="3" t="n">
        <v>1973000</v>
      </c>
      <c r="E2656" s="3" t="s">
        <v>114</v>
      </c>
      <c r="F2656" s="3" t="n">
        <f aca="false">IF(C2656="848630",0,1)</f>
        <v>1</v>
      </c>
    </row>
    <row r="2657" customFormat="false" ht="15" hidden="false" customHeight="false" outlineLevel="0" collapsed="false">
      <c r="A2657" s="12" t="n">
        <v>45717</v>
      </c>
      <c r="B2657" s="9" t="s">
        <v>93</v>
      </c>
      <c r="C2657" s="3" t="s">
        <v>107</v>
      </c>
      <c r="D2657" s="3" t="n">
        <v>169242000</v>
      </c>
      <c r="E2657" s="3" t="s">
        <v>114</v>
      </c>
      <c r="F2657" s="3" t="n">
        <f aca="false">IF(C2657="848630",0,1)</f>
        <v>1</v>
      </c>
    </row>
    <row r="2658" customFormat="false" ht="15" hidden="false" customHeight="false" outlineLevel="0" collapsed="false">
      <c r="A2658" s="12" t="n">
        <v>45717</v>
      </c>
      <c r="B2658" s="9" t="s">
        <v>93</v>
      </c>
      <c r="C2658" s="3" t="s">
        <v>107</v>
      </c>
      <c r="D2658" s="3" t="n">
        <v>117000</v>
      </c>
      <c r="E2658" s="3" t="s">
        <v>114</v>
      </c>
      <c r="F2658" s="3" t="n">
        <f aca="false">IF(C2658="848630",0,1)</f>
        <v>1</v>
      </c>
    </row>
    <row r="2659" customFormat="false" ht="15" hidden="false" customHeight="false" outlineLevel="0" collapsed="false">
      <c r="A2659" s="12" t="n">
        <v>45717</v>
      </c>
      <c r="B2659" s="9" t="s">
        <v>93</v>
      </c>
      <c r="C2659" s="3" t="s">
        <v>107</v>
      </c>
      <c r="D2659" s="3" t="n">
        <v>478000</v>
      </c>
      <c r="E2659" s="3" t="s">
        <v>114</v>
      </c>
      <c r="F2659" s="3" t="n">
        <f aca="false">IF(C2659="848630",0,1)</f>
        <v>1</v>
      </c>
    </row>
    <row r="2660" customFormat="false" ht="15" hidden="false" customHeight="false" outlineLevel="0" collapsed="false">
      <c r="A2660" s="12" t="n">
        <v>45717</v>
      </c>
      <c r="B2660" s="9" t="s">
        <v>93</v>
      </c>
      <c r="C2660" s="3" t="s">
        <v>107</v>
      </c>
      <c r="D2660" s="3" t="n">
        <v>46983000</v>
      </c>
      <c r="E2660" s="3" t="s">
        <v>114</v>
      </c>
      <c r="F2660" s="3" t="n">
        <f aca="false">IF(C2660="848630",0,1)</f>
        <v>1</v>
      </c>
    </row>
    <row r="2661" customFormat="false" ht="15" hidden="false" customHeight="false" outlineLevel="0" collapsed="false">
      <c r="A2661" s="12" t="n">
        <v>45717</v>
      </c>
      <c r="B2661" s="9" t="s">
        <v>93</v>
      </c>
      <c r="C2661" s="3" t="s">
        <v>107</v>
      </c>
      <c r="D2661" s="3" t="n">
        <v>32566000</v>
      </c>
      <c r="E2661" s="3" t="s">
        <v>114</v>
      </c>
      <c r="F2661" s="3" t="n">
        <f aca="false">IF(C2661="848630",0,1)</f>
        <v>1</v>
      </c>
    </row>
    <row r="2662" customFormat="false" ht="15" hidden="false" customHeight="false" outlineLevel="0" collapsed="false">
      <c r="A2662" s="12" t="n">
        <v>45717</v>
      </c>
      <c r="B2662" s="9" t="s">
        <v>93</v>
      </c>
      <c r="C2662" s="3" t="s">
        <v>107</v>
      </c>
      <c r="D2662" s="3" t="n">
        <v>1221000</v>
      </c>
      <c r="E2662" s="3" t="s">
        <v>114</v>
      </c>
      <c r="F2662" s="3" t="n">
        <f aca="false">IF(C2662="848630",0,1)</f>
        <v>1</v>
      </c>
    </row>
    <row r="2663" customFormat="false" ht="15" hidden="false" customHeight="false" outlineLevel="0" collapsed="false">
      <c r="A2663" s="12" t="n">
        <v>45717</v>
      </c>
      <c r="B2663" s="9" t="s">
        <v>93</v>
      </c>
      <c r="C2663" s="3" t="s">
        <v>107</v>
      </c>
      <c r="D2663" s="3" t="n">
        <v>1150000</v>
      </c>
      <c r="E2663" s="3" t="s">
        <v>114</v>
      </c>
      <c r="F2663" s="3" t="n">
        <f aca="false">IF(C2663="848630",0,1)</f>
        <v>1</v>
      </c>
    </row>
    <row r="2664" customFormat="false" ht="15" hidden="false" customHeight="false" outlineLevel="0" collapsed="false">
      <c r="A2664" s="12" t="n">
        <v>45717</v>
      </c>
      <c r="B2664" s="9" t="s">
        <v>93</v>
      </c>
      <c r="C2664" s="3" t="s">
        <v>107</v>
      </c>
      <c r="D2664" s="3" t="n">
        <v>1090000</v>
      </c>
      <c r="E2664" s="3" t="s">
        <v>114</v>
      </c>
      <c r="F2664" s="3" t="n">
        <f aca="false">IF(C2664="848630",0,1)</f>
        <v>1</v>
      </c>
    </row>
    <row r="2665" customFormat="false" ht="15" hidden="false" customHeight="false" outlineLevel="0" collapsed="false">
      <c r="A2665" s="12" t="n">
        <v>45717</v>
      </c>
      <c r="B2665" s="9" t="s">
        <v>93</v>
      </c>
      <c r="C2665" s="3" t="s">
        <v>107</v>
      </c>
      <c r="D2665" s="3" t="n">
        <v>19728000</v>
      </c>
      <c r="E2665" s="3" t="s">
        <v>114</v>
      </c>
      <c r="F2665" s="3" t="n">
        <f aca="false">IF(C2665="848630",0,1)</f>
        <v>1</v>
      </c>
    </row>
    <row r="2666" customFormat="false" ht="15" hidden="false" customHeight="false" outlineLevel="0" collapsed="false">
      <c r="A2666" s="12" t="n">
        <v>45717</v>
      </c>
      <c r="B2666" s="9" t="s">
        <v>93</v>
      </c>
      <c r="C2666" s="3" t="s">
        <v>112</v>
      </c>
      <c r="D2666" s="3" t="n">
        <v>436000</v>
      </c>
      <c r="E2666" s="3" t="s">
        <v>114</v>
      </c>
      <c r="F2666" s="3" t="n">
        <f aca="false">IF(C2666="848630",0,1)</f>
        <v>0</v>
      </c>
    </row>
    <row r="2667" customFormat="false" ht="15" hidden="false" customHeight="false" outlineLevel="0" collapsed="false">
      <c r="A2667" s="12" t="n">
        <v>45717</v>
      </c>
      <c r="B2667" s="9" t="s">
        <v>93</v>
      </c>
      <c r="C2667" s="3" t="s">
        <v>112</v>
      </c>
      <c r="D2667" s="3" t="n">
        <v>109000</v>
      </c>
      <c r="E2667" s="3" t="s">
        <v>114</v>
      </c>
      <c r="F2667" s="3" t="n">
        <f aca="false">IF(C2667="848630",0,1)</f>
        <v>0</v>
      </c>
    </row>
    <row r="2668" customFormat="false" ht="15" hidden="false" customHeight="false" outlineLevel="0" collapsed="false">
      <c r="A2668" s="12" t="n">
        <v>45717</v>
      </c>
      <c r="B2668" s="9" t="s">
        <v>93</v>
      </c>
      <c r="C2668" s="3" t="s">
        <v>112</v>
      </c>
      <c r="D2668" s="3" t="n">
        <v>1000</v>
      </c>
      <c r="E2668" s="3" t="s">
        <v>114</v>
      </c>
      <c r="F2668" s="3" t="n">
        <f aca="false">IF(C2668="848630",0,1)</f>
        <v>0</v>
      </c>
    </row>
    <row r="2669" customFormat="false" ht="15" hidden="false" customHeight="false" outlineLevel="0" collapsed="false">
      <c r="A2669" s="12" t="n">
        <v>45717</v>
      </c>
      <c r="B2669" s="9" t="s">
        <v>93</v>
      </c>
      <c r="C2669" s="3" t="s">
        <v>112</v>
      </c>
      <c r="D2669" s="3" t="n">
        <v>0</v>
      </c>
      <c r="E2669" s="3" t="s">
        <v>114</v>
      </c>
      <c r="F2669" s="3" t="n">
        <f aca="false">IF(C2669="848630",0,1)</f>
        <v>0</v>
      </c>
    </row>
    <row r="2670" customFormat="false" ht="15" hidden="false" customHeight="false" outlineLevel="0" collapsed="false">
      <c r="A2670" s="12" t="n">
        <v>45717</v>
      </c>
      <c r="B2670" s="9" t="s">
        <v>93</v>
      </c>
      <c r="C2670" s="3" t="s">
        <v>108</v>
      </c>
      <c r="D2670" s="3" t="n">
        <v>0</v>
      </c>
      <c r="E2670" s="3" t="s">
        <v>114</v>
      </c>
      <c r="F2670" s="3" t="n">
        <f aca="false">IF(C2670="848630",0,1)</f>
        <v>1</v>
      </c>
    </row>
    <row r="2671" customFormat="false" ht="15" hidden="false" customHeight="false" outlineLevel="0" collapsed="false">
      <c r="A2671" s="12" t="n">
        <v>45717</v>
      </c>
      <c r="B2671" s="9" t="s">
        <v>93</v>
      </c>
      <c r="C2671" s="3" t="s">
        <v>108</v>
      </c>
      <c r="D2671" s="3" t="n">
        <v>19026000</v>
      </c>
      <c r="E2671" s="3" t="s">
        <v>114</v>
      </c>
      <c r="F2671" s="3" t="n">
        <f aca="false">IF(C2671="848630",0,1)</f>
        <v>1</v>
      </c>
    </row>
    <row r="2672" customFormat="false" ht="15" hidden="false" customHeight="false" outlineLevel="0" collapsed="false">
      <c r="A2672" s="12" t="n">
        <v>45717</v>
      </c>
      <c r="B2672" s="9" t="s">
        <v>93</v>
      </c>
      <c r="C2672" s="3" t="s">
        <v>108</v>
      </c>
      <c r="D2672" s="3" t="n">
        <v>49000</v>
      </c>
      <c r="E2672" s="3" t="s">
        <v>114</v>
      </c>
      <c r="F2672" s="3" t="n">
        <f aca="false">IF(C2672="848630",0,1)</f>
        <v>1</v>
      </c>
    </row>
    <row r="2673" customFormat="false" ht="15" hidden="false" customHeight="false" outlineLevel="0" collapsed="false">
      <c r="A2673" s="12" t="n">
        <v>45717</v>
      </c>
      <c r="B2673" s="9" t="s">
        <v>93</v>
      </c>
      <c r="C2673" s="3" t="s">
        <v>108</v>
      </c>
      <c r="D2673" s="3" t="n">
        <v>4497000</v>
      </c>
      <c r="E2673" s="3" t="s">
        <v>114</v>
      </c>
      <c r="F2673" s="3" t="n">
        <f aca="false">IF(C2673="848630",0,1)</f>
        <v>1</v>
      </c>
    </row>
    <row r="2674" customFormat="false" ht="15" hidden="false" customHeight="false" outlineLevel="0" collapsed="false">
      <c r="A2674" s="12" t="n">
        <v>45717</v>
      </c>
      <c r="B2674" s="9" t="s">
        <v>93</v>
      </c>
      <c r="C2674" s="3" t="s">
        <v>108</v>
      </c>
      <c r="D2674" s="3" t="n">
        <v>182000</v>
      </c>
      <c r="E2674" s="3" t="s">
        <v>114</v>
      </c>
      <c r="F2674" s="3" t="n">
        <f aca="false">IF(C2674="848630",0,1)</f>
        <v>1</v>
      </c>
    </row>
    <row r="2675" customFormat="false" ht="15" hidden="false" customHeight="false" outlineLevel="0" collapsed="false">
      <c r="A2675" s="12" t="n">
        <v>45717</v>
      </c>
      <c r="B2675" s="9" t="s">
        <v>93</v>
      </c>
      <c r="C2675" s="3" t="s">
        <v>108</v>
      </c>
      <c r="D2675" s="3" t="n">
        <v>0</v>
      </c>
      <c r="E2675" s="3" t="s">
        <v>114</v>
      </c>
      <c r="F2675" s="3" t="n">
        <f aca="false">IF(C2675="848630",0,1)</f>
        <v>1</v>
      </c>
    </row>
    <row r="2676" customFormat="false" ht="15" hidden="false" customHeight="false" outlineLevel="0" collapsed="false">
      <c r="A2676" s="12" t="n">
        <v>45717</v>
      </c>
      <c r="B2676" s="9" t="s">
        <v>93</v>
      </c>
      <c r="C2676" s="3" t="s">
        <v>108</v>
      </c>
      <c r="D2676" s="3" t="n">
        <v>1103000</v>
      </c>
      <c r="E2676" s="3" t="s">
        <v>114</v>
      </c>
      <c r="F2676" s="3" t="n">
        <f aca="false">IF(C2676="848630",0,1)</f>
        <v>1</v>
      </c>
    </row>
    <row r="2677" customFormat="false" ht="15" hidden="false" customHeight="false" outlineLevel="0" collapsed="false">
      <c r="A2677" s="12" t="n">
        <v>45717</v>
      </c>
      <c r="B2677" s="9" t="s">
        <v>93</v>
      </c>
      <c r="C2677" s="3" t="s">
        <v>108</v>
      </c>
      <c r="D2677" s="3" t="n">
        <v>4166000</v>
      </c>
      <c r="E2677" s="3" t="s">
        <v>114</v>
      </c>
      <c r="F2677" s="3" t="n">
        <f aca="false">IF(C2677="848630",0,1)</f>
        <v>1</v>
      </c>
    </row>
    <row r="2678" customFormat="false" ht="15" hidden="false" customHeight="false" outlineLevel="0" collapsed="false">
      <c r="A2678" s="12" t="n">
        <v>45717</v>
      </c>
      <c r="B2678" s="9" t="s">
        <v>93</v>
      </c>
      <c r="C2678" s="3" t="s">
        <v>108</v>
      </c>
      <c r="D2678" s="3" t="n">
        <v>19938000</v>
      </c>
      <c r="E2678" s="3" t="s">
        <v>114</v>
      </c>
      <c r="F2678" s="3" t="n">
        <f aca="false">IF(C2678="848630",0,1)</f>
        <v>1</v>
      </c>
    </row>
    <row r="2679" customFormat="false" ht="15" hidden="false" customHeight="false" outlineLevel="0" collapsed="false">
      <c r="A2679" s="12" t="n">
        <v>45717</v>
      </c>
      <c r="B2679" s="9" t="s">
        <v>93</v>
      </c>
      <c r="C2679" s="3" t="s">
        <v>108</v>
      </c>
      <c r="D2679" s="3" t="n">
        <v>2158000</v>
      </c>
      <c r="E2679" s="3" t="s">
        <v>114</v>
      </c>
      <c r="F2679" s="3" t="n">
        <f aca="false">IF(C2679="848630",0,1)</f>
        <v>1</v>
      </c>
    </row>
    <row r="2680" customFormat="false" ht="15" hidden="false" customHeight="false" outlineLevel="0" collapsed="false">
      <c r="A2680" s="12" t="n">
        <v>45717</v>
      </c>
      <c r="B2680" s="9" t="s">
        <v>93</v>
      </c>
      <c r="C2680" s="3" t="s">
        <v>108</v>
      </c>
      <c r="D2680" s="3" t="n">
        <v>5394000</v>
      </c>
      <c r="E2680" s="3" t="s">
        <v>114</v>
      </c>
      <c r="F2680" s="3" t="n">
        <f aca="false">IF(C2680="848630",0,1)</f>
        <v>1</v>
      </c>
    </row>
    <row r="2681" customFormat="false" ht="15" hidden="false" customHeight="false" outlineLevel="0" collapsed="false">
      <c r="A2681" s="12" t="n">
        <v>45717</v>
      </c>
      <c r="B2681" s="9" t="s">
        <v>93</v>
      </c>
      <c r="C2681" s="3" t="s">
        <v>109</v>
      </c>
      <c r="D2681" s="3" t="n">
        <v>3017000</v>
      </c>
      <c r="E2681" s="3" t="s">
        <v>114</v>
      </c>
      <c r="F2681" s="3" t="n">
        <f aca="false">IF(C2681="848630",0,1)</f>
        <v>1</v>
      </c>
    </row>
    <row r="2682" customFormat="false" ht="15" hidden="false" customHeight="false" outlineLevel="0" collapsed="false">
      <c r="A2682" s="12" t="n">
        <v>45717</v>
      </c>
      <c r="B2682" s="9" t="s">
        <v>93</v>
      </c>
      <c r="C2682" s="3" t="s">
        <v>109</v>
      </c>
      <c r="D2682" s="3" t="n">
        <v>24404000</v>
      </c>
      <c r="E2682" s="3" t="s">
        <v>114</v>
      </c>
      <c r="F2682" s="3" t="n">
        <f aca="false">IF(C2682="848630",0,1)</f>
        <v>1</v>
      </c>
    </row>
    <row r="2683" customFormat="false" ht="15" hidden="false" customHeight="false" outlineLevel="0" collapsed="false">
      <c r="A2683" s="12" t="n">
        <v>45717</v>
      </c>
      <c r="B2683" s="9" t="s">
        <v>93</v>
      </c>
      <c r="C2683" s="3" t="s">
        <v>109</v>
      </c>
      <c r="D2683" s="3" t="n">
        <v>31147000</v>
      </c>
      <c r="E2683" s="3" t="s">
        <v>114</v>
      </c>
      <c r="F2683" s="3" t="n">
        <f aca="false">IF(C2683="848630",0,1)</f>
        <v>1</v>
      </c>
    </row>
    <row r="2684" customFormat="false" ht="15" hidden="false" customHeight="false" outlineLevel="0" collapsed="false">
      <c r="A2684" s="12" t="n">
        <v>45717</v>
      </c>
      <c r="B2684" s="9" t="s">
        <v>93</v>
      </c>
      <c r="C2684" s="3" t="s">
        <v>109</v>
      </c>
      <c r="D2684" s="3" t="n">
        <v>9209000</v>
      </c>
      <c r="E2684" s="3" t="s">
        <v>114</v>
      </c>
      <c r="F2684" s="3" t="n">
        <f aca="false">IF(C2684="848630",0,1)</f>
        <v>1</v>
      </c>
    </row>
    <row r="2685" customFormat="false" ht="15" hidden="false" customHeight="false" outlineLevel="0" collapsed="false">
      <c r="A2685" s="12" t="n">
        <v>45717</v>
      </c>
      <c r="B2685" s="9" t="s">
        <v>93</v>
      </c>
      <c r="C2685" s="3" t="s">
        <v>109</v>
      </c>
      <c r="D2685" s="3" t="n">
        <v>4098000</v>
      </c>
      <c r="E2685" s="3" t="s">
        <v>114</v>
      </c>
      <c r="F2685" s="3" t="n">
        <f aca="false">IF(C2685="848630",0,1)</f>
        <v>1</v>
      </c>
    </row>
    <row r="2686" customFormat="false" ht="15" hidden="false" customHeight="false" outlineLevel="0" collapsed="false">
      <c r="A2686" s="12" t="n">
        <v>45717</v>
      </c>
      <c r="B2686" s="9" t="s">
        <v>93</v>
      </c>
      <c r="C2686" s="3" t="s">
        <v>109</v>
      </c>
      <c r="D2686" s="3" t="n">
        <v>3372000</v>
      </c>
      <c r="E2686" s="3" t="s">
        <v>114</v>
      </c>
      <c r="F2686" s="3" t="n">
        <f aca="false">IF(C2686="848630",0,1)</f>
        <v>1</v>
      </c>
    </row>
    <row r="2687" customFormat="false" ht="15" hidden="false" customHeight="false" outlineLevel="0" collapsed="false">
      <c r="A2687" s="12" t="n">
        <v>45717</v>
      </c>
      <c r="B2687" s="9" t="s">
        <v>93</v>
      </c>
      <c r="C2687" s="3" t="s">
        <v>109</v>
      </c>
      <c r="D2687" s="3" t="n">
        <v>1109000</v>
      </c>
      <c r="E2687" s="3" t="s">
        <v>114</v>
      </c>
      <c r="F2687" s="3" t="n">
        <f aca="false">IF(C2687="848630",0,1)</f>
        <v>1</v>
      </c>
    </row>
    <row r="2688" customFormat="false" ht="15" hidden="false" customHeight="false" outlineLevel="0" collapsed="false">
      <c r="A2688" s="12" t="n">
        <v>45717</v>
      </c>
      <c r="B2688" s="9" t="s">
        <v>93</v>
      </c>
      <c r="C2688" s="3" t="s">
        <v>109</v>
      </c>
      <c r="D2688" s="3" t="n">
        <v>7560000</v>
      </c>
      <c r="E2688" s="3" t="s">
        <v>114</v>
      </c>
      <c r="F2688" s="3" t="n">
        <f aca="false">IF(C2688="848630",0,1)</f>
        <v>1</v>
      </c>
    </row>
    <row r="2689" customFormat="false" ht="15" hidden="false" customHeight="false" outlineLevel="0" collapsed="false">
      <c r="A2689" s="12" t="n">
        <v>45717</v>
      </c>
      <c r="B2689" s="9" t="s">
        <v>93</v>
      </c>
      <c r="C2689" s="3" t="s">
        <v>110</v>
      </c>
      <c r="D2689" s="3" t="n">
        <v>58510000</v>
      </c>
      <c r="E2689" s="3" t="s">
        <v>114</v>
      </c>
      <c r="F2689" s="3" t="n">
        <f aca="false">IF(C2689="848630",0,1)</f>
        <v>1</v>
      </c>
    </row>
    <row r="2690" customFormat="false" ht="15" hidden="false" customHeight="false" outlineLevel="0" collapsed="false">
      <c r="A2690" s="12" t="n">
        <v>45717</v>
      </c>
      <c r="B2690" s="9" t="s">
        <v>93</v>
      </c>
      <c r="C2690" s="3" t="s">
        <v>111</v>
      </c>
      <c r="D2690" s="3" t="n">
        <v>107322000</v>
      </c>
      <c r="E2690" s="3" t="s">
        <v>114</v>
      </c>
      <c r="F2690" s="3" t="n">
        <f aca="false">IF(C2690="848630",0,1)</f>
        <v>1</v>
      </c>
    </row>
    <row r="2691" customFormat="false" ht="15" hidden="false" customHeight="false" outlineLevel="0" collapsed="false">
      <c r="A2691" s="12" t="n">
        <v>45748</v>
      </c>
      <c r="B2691" s="9" t="s">
        <v>93</v>
      </c>
      <c r="C2691" s="3" t="s">
        <v>105</v>
      </c>
      <c r="D2691" s="3" t="n">
        <v>706000</v>
      </c>
      <c r="E2691" s="3" t="s">
        <v>114</v>
      </c>
      <c r="F2691" s="3" t="n">
        <f aca="false">IF(C2691="848630",0,1)</f>
        <v>1</v>
      </c>
    </row>
    <row r="2692" customFormat="false" ht="15" hidden="false" customHeight="false" outlineLevel="0" collapsed="false">
      <c r="A2692" s="12" t="n">
        <v>45748</v>
      </c>
      <c r="B2692" s="9" t="s">
        <v>93</v>
      </c>
      <c r="C2692" s="3" t="s">
        <v>105</v>
      </c>
      <c r="D2692" s="3" t="n">
        <v>1127000</v>
      </c>
      <c r="E2692" s="3" t="s">
        <v>114</v>
      </c>
      <c r="F2692" s="3" t="n">
        <f aca="false">IF(C2692="848630",0,1)</f>
        <v>1</v>
      </c>
    </row>
    <row r="2693" customFormat="false" ht="15" hidden="false" customHeight="false" outlineLevel="0" collapsed="false">
      <c r="A2693" s="12" t="n">
        <v>45748</v>
      </c>
      <c r="B2693" s="9" t="s">
        <v>93</v>
      </c>
      <c r="C2693" s="3" t="s">
        <v>105</v>
      </c>
      <c r="D2693" s="3" t="n">
        <v>0</v>
      </c>
      <c r="E2693" s="3" t="s">
        <v>114</v>
      </c>
      <c r="F2693" s="3" t="n">
        <f aca="false">IF(C2693="848630",0,1)</f>
        <v>1</v>
      </c>
    </row>
    <row r="2694" customFormat="false" ht="15" hidden="false" customHeight="false" outlineLevel="0" collapsed="false">
      <c r="A2694" s="12" t="n">
        <v>45748</v>
      </c>
      <c r="B2694" s="9" t="s">
        <v>93</v>
      </c>
      <c r="C2694" s="3" t="s">
        <v>105</v>
      </c>
      <c r="D2694" s="3" t="n">
        <v>0</v>
      </c>
      <c r="E2694" s="3" t="s">
        <v>114</v>
      </c>
      <c r="F2694" s="3" t="n">
        <f aca="false">IF(C2694="848630",0,1)</f>
        <v>1</v>
      </c>
    </row>
    <row r="2695" customFormat="false" ht="15" hidden="false" customHeight="false" outlineLevel="0" collapsed="false">
      <c r="A2695" s="12" t="n">
        <v>45748</v>
      </c>
      <c r="B2695" s="9" t="s">
        <v>93</v>
      </c>
      <c r="C2695" s="3" t="s">
        <v>105</v>
      </c>
      <c r="D2695" s="3" t="n">
        <v>9000</v>
      </c>
      <c r="E2695" s="3" t="s">
        <v>114</v>
      </c>
      <c r="F2695" s="3" t="n">
        <f aca="false">IF(C2695="848630",0,1)</f>
        <v>1</v>
      </c>
    </row>
    <row r="2696" customFormat="false" ht="15" hidden="false" customHeight="false" outlineLevel="0" collapsed="false">
      <c r="A2696" s="12" t="n">
        <v>45748</v>
      </c>
      <c r="B2696" s="9" t="s">
        <v>93</v>
      </c>
      <c r="C2696" s="3" t="s">
        <v>107</v>
      </c>
      <c r="D2696" s="3" t="n">
        <v>0</v>
      </c>
      <c r="E2696" s="3" t="s">
        <v>114</v>
      </c>
      <c r="F2696" s="3" t="n">
        <f aca="false">IF(C2696="848630",0,1)</f>
        <v>1</v>
      </c>
    </row>
    <row r="2697" customFormat="false" ht="15" hidden="false" customHeight="false" outlineLevel="0" collapsed="false">
      <c r="A2697" s="12" t="n">
        <v>45748</v>
      </c>
      <c r="B2697" s="9" t="s">
        <v>93</v>
      </c>
      <c r="C2697" s="3" t="s">
        <v>107</v>
      </c>
      <c r="D2697" s="3" t="n">
        <v>358000</v>
      </c>
      <c r="E2697" s="3" t="s">
        <v>114</v>
      </c>
      <c r="F2697" s="3" t="n">
        <f aca="false">IF(C2697="848630",0,1)</f>
        <v>1</v>
      </c>
    </row>
    <row r="2698" customFormat="false" ht="15" hidden="false" customHeight="false" outlineLevel="0" collapsed="false">
      <c r="A2698" s="12" t="n">
        <v>45748</v>
      </c>
      <c r="B2698" s="9" t="s">
        <v>93</v>
      </c>
      <c r="C2698" s="3" t="s">
        <v>107</v>
      </c>
      <c r="D2698" s="3" t="n">
        <v>698000</v>
      </c>
      <c r="E2698" s="3" t="s">
        <v>114</v>
      </c>
      <c r="F2698" s="3" t="n">
        <f aca="false">IF(C2698="848630",0,1)</f>
        <v>1</v>
      </c>
    </row>
    <row r="2699" customFormat="false" ht="15" hidden="false" customHeight="false" outlineLevel="0" collapsed="false">
      <c r="A2699" s="12" t="n">
        <v>45748</v>
      </c>
      <c r="B2699" s="9" t="s">
        <v>93</v>
      </c>
      <c r="C2699" s="3" t="s">
        <v>107</v>
      </c>
      <c r="D2699" s="3" t="n">
        <v>84662000</v>
      </c>
      <c r="E2699" s="3" t="s">
        <v>114</v>
      </c>
      <c r="F2699" s="3" t="n">
        <f aca="false">IF(C2699="848630",0,1)</f>
        <v>1</v>
      </c>
    </row>
    <row r="2700" customFormat="false" ht="15" hidden="false" customHeight="false" outlineLevel="0" collapsed="false">
      <c r="A2700" s="12" t="n">
        <v>45748</v>
      </c>
      <c r="B2700" s="9" t="s">
        <v>93</v>
      </c>
      <c r="C2700" s="3" t="s">
        <v>107</v>
      </c>
      <c r="D2700" s="3" t="n">
        <v>724000</v>
      </c>
      <c r="E2700" s="3" t="s">
        <v>114</v>
      </c>
      <c r="F2700" s="3" t="n">
        <f aca="false">IF(C2700="848630",0,1)</f>
        <v>1</v>
      </c>
    </row>
    <row r="2701" customFormat="false" ht="15" hidden="false" customHeight="false" outlineLevel="0" collapsed="false">
      <c r="A2701" s="12" t="n">
        <v>45748</v>
      </c>
      <c r="B2701" s="9" t="s">
        <v>93</v>
      </c>
      <c r="C2701" s="3" t="s">
        <v>107</v>
      </c>
      <c r="D2701" s="3" t="n">
        <v>9979000</v>
      </c>
      <c r="E2701" s="3" t="s">
        <v>114</v>
      </c>
      <c r="F2701" s="3" t="n">
        <f aca="false">IF(C2701="848630",0,1)</f>
        <v>1</v>
      </c>
    </row>
    <row r="2702" customFormat="false" ht="15" hidden="false" customHeight="false" outlineLevel="0" collapsed="false">
      <c r="A2702" s="12" t="n">
        <v>45748</v>
      </c>
      <c r="B2702" s="9" t="s">
        <v>93</v>
      </c>
      <c r="C2702" s="3" t="s">
        <v>107</v>
      </c>
      <c r="D2702" s="3" t="n">
        <v>8123000</v>
      </c>
      <c r="E2702" s="3" t="s">
        <v>114</v>
      </c>
      <c r="F2702" s="3" t="n">
        <f aca="false">IF(C2702="848630",0,1)</f>
        <v>1</v>
      </c>
    </row>
    <row r="2703" customFormat="false" ht="15" hidden="false" customHeight="false" outlineLevel="0" collapsed="false">
      <c r="A2703" s="12" t="n">
        <v>45748</v>
      </c>
      <c r="B2703" s="9" t="s">
        <v>93</v>
      </c>
      <c r="C2703" s="3" t="s">
        <v>107</v>
      </c>
      <c r="D2703" s="3" t="n">
        <v>3685000</v>
      </c>
      <c r="E2703" s="3" t="s">
        <v>114</v>
      </c>
      <c r="F2703" s="3" t="n">
        <f aca="false">IF(C2703="848630",0,1)</f>
        <v>1</v>
      </c>
    </row>
    <row r="2704" customFormat="false" ht="15" hidden="false" customHeight="false" outlineLevel="0" collapsed="false">
      <c r="A2704" s="12" t="n">
        <v>45748</v>
      </c>
      <c r="B2704" s="9" t="s">
        <v>93</v>
      </c>
      <c r="C2704" s="3" t="s">
        <v>107</v>
      </c>
      <c r="D2704" s="3" t="n">
        <v>100874000</v>
      </c>
      <c r="E2704" s="3" t="s">
        <v>114</v>
      </c>
      <c r="F2704" s="3" t="n">
        <f aca="false">IF(C2704="848630",0,1)</f>
        <v>1</v>
      </c>
    </row>
    <row r="2705" customFormat="false" ht="15" hidden="false" customHeight="false" outlineLevel="0" collapsed="false">
      <c r="A2705" s="12" t="n">
        <v>45748</v>
      </c>
      <c r="B2705" s="9" t="s">
        <v>93</v>
      </c>
      <c r="C2705" s="3" t="s">
        <v>107</v>
      </c>
      <c r="D2705" s="3" t="n">
        <v>17000</v>
      </c>
      <c r="E2705" s="3" t="s">
        <v>114</v>
      </c>
      <c r="F2705" s="3" t="n">
        <f aca="false">IF(C2705="848630",0,1)</f>
        <v>1</v>
      </c>
    </row>
    <row r="2706" customFormat="false" ht="15" hidden="false" customHeight="false" outlineLevel="0" collapsed="false">
      <c r="A2706" s="12" t="n">
        <v>45748</v>
      </c>
      <c r="B2706" s="9" t="s">
        <v>93</v>
      </c>
      <c r="C2706" s="3" t="s">
        <v>107</v>
      </c>
      <c r="D2706" s="3" t="n">
        <v>15979000</v>
      </c>
      <c r="E2706" s="3" t="s">
        <v>114</v>
      </c>
      <c r="F2706" s="3" t="n">
        <f aca="false">IF(C2706="848630",0,1)</f>
        <v>1</v>
      </c>
    </row>
    <row r="2707" customFormat="false" ht="15" hidden="false" customHeight="false" outlineLevel="0" collapsed="false">
      <c r="A2707" s="12" t="n">
        <v>45748</v>
      </c>
      <c r="B2707" s="9" t="s">
        <v>93</v>
      </c>
      <c r="C2707" s="3" t="s">
        <v>107</v>
      </c>
      <c r="D2707" s="3" t="n">
        <v>9414000</v>
      </c>
      <c r="E2707" s="3" t="s">
        <v>114</v>
      </c>
      <c r="F2707" s="3" t="n">
        <f aca="false">IF(C2707="848630",0,1)</f>
        <v>1</v>
      </c>
    </row>
    <row r="2708" customFormat="false" ht="15" hidden="false" customHeight="false" outlineLevel="0" collapsed="false">
      <c r="A2708" s="12" t="n">
        <v>45748</v>
      </c>
      <c r="B2708" s="9" t="s">
        <v>93</v>
      </c>
      <c r="C2708" s="3" t="s">
        <v>107</v>
      </c>
      <c r="D2708" s="3" t="n">
        <v>21540000</v>
      </c>
      <c r="E2708" s="3" t="s">
        <v>114</v>
      </c>
      <c r="F2708" s="3" t="n">
        <f aca="false">IF(C2708="848630",0,1)</f>
        <v>1</v>
      </c>
    </row>
    <row r="2709" customFormat="false" ht="15" hidden="false" customHeight="false" outlineLevel="0" collapsed="false">
      <c r="A2709" s="12" t="n">
        <v>45748</v>
      </c>
      <c r="B2709" s="9" t="s">
        <v>93</v>
      </c>
      <c r="C2709" s="3" t="s">
        <v>107</v>
      </c>
      <c r="D2709" s="3" t="n">
        <v>5574000</v>
      </c>
      <c r="E2709" s="3" t="s">
        <v>114</v>
      </c>
      <c r="F2709" s="3" t="n">
        <f aca="false">IF(C2709="848630",0,1)</f>
        <v>1</v>
      </c>
    </row>
    <row r="2710" customFormat="false" ht="15" hidden="false" customHeight="false" outlineLevel="0" collapsed="false">
      <c r="A2710" s="12" t="n">
        <v>45748</v>
      </c>
      <c r="B2710" s="9" t="s">
        <v>93</v>
      </c>
      <c r="C2710" s="3" t="s">
        <v>107</v>
      </c>
      <c r="D2710" s="3" t="n">
        <v>808000</v>
      </c>
      <c r="E2710" s="3" t="s">
        <v>114</v>
      </c>
      <c r="F2710" s="3" t="n">
        <f aca="false">IF(C2710="848630",0,1)</f>
        <v>1</v>
      </c>
    </row>
    <row r="2711" customFormat="false" ht="15" hidden="false" customHeight="false" outlineLevel="0" collapsed="false">
      <c r="A2711" s="12" t="n">
        <v>45748</v>
      </c>
      <c r="B2711" s="9" t="s">
        <v>93</v>
      </c>
      <c r="C2711" s="3" t="s">
        <v>107</v>
      </c>
      <c r="D2711" s="3" t="n">
        <v>962000</v>
      </c>
      <c r="E2711" s="3" t="s">
        <v>114</v>
      </c>
      <c r="F2711" s="3" t="n">
        <f aca="false">IF(C2711="848630",0,1)</f>
        <v>1</v>
      </c>
    </row>
    <row r="2712" customFormat="false" ht="15" hidden="false" customHeight="false" outlineLevel="0" collapsed="false">
      <c r="A2712" s="12" t="n">
        <v>45748</v>
      </c>
      <c r="B2712" s="9" t="s">
        <v>93</v>
      </c>
      <c r="C2712" s="3" t="s">
        <v>107</v>
      </c>
      <c r="D2712" s="3" t="n">
        <v>10553000</v>
      </c>
      <c r="E2712" s="3" t="s">
        <v>114</v>
      </c>
      <c r="F2712" s="3" t="n">
        <f aca="false">IF(C2712="848630",0,1)</f>
        <v>1</v>
      </c>
    </row>
    <row r="2713" customFormat="false" ht="15" hidden="false" customHeight="false" outlineLevel="0" collapsed="false">
      <c r="A2713" s="12" t="n">
        <v>45748</v>
      </c>
      <c r="B2713" s="9" t="s">
        <v>93</v>
      </c>
      <c r="C2713" s="3" t="s">
        <v>112</v>
      </c>
      <c r="D2713" s="3" t="n">
        <v>9712000</v>
      </c>
      <c r="E2713" s="3" t="s">
        <v>114</v>
      </c>
      <c r="F2713" s="3" t="n">
        <f aca="false">IF(C2713="848630",0,1)</f>
        <v>0</v>
      </c>
    </row>
    <row r="2714" customFormat="false" ht="15" hidden="false" customHeight="false" outlineLevel="0" collapsed="false">
      <c r="A2714" s="12" t="n">
        <v>45748</v>
      </c>
      <c r="B2714" s="9" t="s">
        <v>93</v>
      </c>
      <c r="C2714" s="3" t="s">
        <v>112</v>
      </c>
      <c r="D2714" s="3" t="n">
        <v>85000</v>
      </c>
      <c r="E2714" s="3" t="s">
        <v>114</v>
      </c>
      <c r="F2714" s="3" t="n">
        <f aca="false">IF(C2714="848630",0,1)</f>
        <v>0</v>
      </c>
    </row>
    <row r="2715" customFormat="false" ht="15" hidden="false" customHeight="false" outlineLevel="0" collapsed="false">
      <c r="A2715" s="12" t="n">
        <v>45748</v>
      </c>
      <c r="B2715" s="9" t="s">
        <v>93</v>
      </c>
      <c r="C2715" s="3" t="s">
        <v>112</v>
      </c>
      <c r="D2715" s="3" t="n">
        <v>1000</v>
      </c>
      <c r="E2715" s="3" t="s">
        <v>114</v>
      </c>
      <c r="F2715" s="3" t="n">
        <f aca="false">IF(C2715="848630",0,1)</f>
        <v>0</v>
      </c>
    </row>
    <row r="2716" customFormat="false" ht="15" hidden="false" customHeight="false" outlineLevel="0" collapsed="false">
      <c r="A2716" s="12" t="n">
        <v>45748</v>
      </c>
      <c r="B2716" s="9" t="s">
        <v>93</v>
      </c>
      <c r="C2716" s="3" t="s">
        <v>112</v>
      </c>
      <c r="D2716" s="3" t="n">
        <v>0</v>
      </c>
      <c r="E2716" s="3" t="s">
        <v>114</v>
      </c>
      <c r="F2716" s="3" t="n">
        <f aca="false">IF(C2716="848630",0,1)</f>
        <v>0</v>
      </c>
    </row>
    <row r="2717" customFormat="false" ht="15" hidden="false" customHeight="false" outlineLevel="0" collapsed="false">
      <c r="A2717" s="12" t="n">
        <v>45748</v>
      </c>
      <c r="B2717" s="9" t="s">
        <v>93</v>
      </c>
      <c r="C2717" s="3" t="s">
        <v>112</v>
      </c>
      <c r="D2717" s="3" t="n">
        <v>6000</v>
      </c>
      <c r="E2717" s="3" t="s">
        <v>114</v>
      </c>
      <c r="F2717" s="3" t="n">
        <f aca="false">IF(C2717="848630",0,1)</f>
        <v>0</v>
      </c>
    </row>
    <row r="2718" customFormat="false" ht="15" hidden="false" customHeight="false" outlineLevel="0" collapsed="false">
      <c r="A2718" s="12" t="n">
        <v>45748</v>
      </c>
      <c r="B2718" s="9" t="s">
        <v>93</v>
      </c>
      <c r="C2718" s="3" t="s">
        <v>112</v>
      </c>
      <c r="D2718" s="3" t="n">
        <v>6000</v>
      </c>
      <c r="E2718" s="3" t="s">
        <v>114</v>
      </c>
      <c r="F2718" s="3" t="n">
        <f aca="false">IF(C2718="848630",0,1)</f>
        <v>0</v>
      </c>
    </row>
    <row r="2719" customFormat="false" ht="15" hidden="false" customHeight="false" outlineLevel="0" collapsed="false">
      <c r="A2719" s="12" t="n">
        <v>45748</v>
      </c>
      <c r="B2719" s="9" t="s">
        <v>93</v>
      </c>
      <c r="C2719" s="3" t="s">
        <v>108</v>
      </c>
      <c r="D2719" s="3" t="n">
        <v>1033000</v>
      </c>
      <c r="E2719" s="3" t="s">
        <v>114</v>
      </c>
      <c r="F2719" s="3" t="n">
        <f aca="false">IF(C2719="848630",0,1)</f>
        <v>1</v>
      </c>
    </row>
    <row r="2720" customFormat="false" ht="15" hidden="false" customHeight="false" outlineLevel="0" collapsed="false">
      <c r="A2720" s="12" t="n">
        <v>45748</v>
      </c>
      <c r="B2720" s="9" t="s">
        <v>93</v>
      </c>
      <c r="C2720" s="3" t="s">
        <v>108</v>
      </c>
      <c r="D2720" s="3" t="n">
        <v>0</v>
      </c>
      <c r="E2720" s="3" t="s">
        <v>114</v>
      </c>
      <c r="F2720" s="3" t="n">
        <f aca="false">IF(C2720="848630",0,1)</f>
        <v>1</v>
      </c>
    </row>
    <row r="2721" customFormat="false" ht="15" hidden="false" customHeight="false" outlineLevel="0" collapsed="false">
      <c r="A2721" s="12" t="n">
        <v>45748</v>
      </c>
      <c r="B2721" s="9" t="s">
        <v>93</v>
      </c>
      <c r="C2721" s="3" t="s">
        <v>108</v>
      </c>
      <c r="D2721" s="3" t="n">
        <v>2394000</v>
      </c>
      <c r="E2721" s="3" t="s">
        <v>114</v>
      </c>
      <c r="F2721" s="3" t="n">
        <f aca="false">IF(C2721="848630",0,1)</f>
        <v>1</v>
      </c>
    </row>
    <row r="2722" customFormat="false" ht="15" hidden="false" customHeight="false" outlineLevel="0" collapsed="false">
      <c r="A2722" s="12" t="n">
        <v>45748</v>
      </c>
      <c r="B2722" s="9" t="s">
        <v>93</v>
      </c>
      <c r="C2722" s="3" t="s">
        <v>108</v>
      </c>
      <c r="D2722" s="3" t="n">
        <v>0</v>
      </c>
      <c r="E2722" s="3" t="s">
        <v>114</v>
      </c>
      <c r="F2722" s="3" t="n">
        <f aca="false">IF(C2722="848630",0,1)</f>
        <v>1</v>
      </c>
    </row>
    <row r="2723" customFormat="false" ht="15" hidden="false" customHeight="false" outlineLevel="0" collapsed="false">
      <c r="A2723" s="12" t="n">
        <v>45748</v>
      </c>
      <c r="B2723" s="9" t="s">
        <v>93</v>
      </c>
      <c r="C2723" s="3" t="s">
        <v>108</v>
      </c>
      <c r="D2723" s="3" t="n">
        <v>336000</v>
      </c>
      <c r="E2723" s="3" t="s">
        <v>114</v>
      </c>
      <c r="F2723" s="3" t="n">
        <f aca="false">IF(C2723="848630",0,1)</f>
        <v>1</v>
      </c>
    </row>
    <row r="2724" customFormat="false" ht="15" hidden="false" customHeight="false" outlineLevel="0" collapsed="false">
      <c r="A2724" s="12" t="n">
        <v>45748</v>
      </c>
      <c r="B2724" s="9" t="s">
        <v>93</v>
      </c>
      <c r="C2724" s="3" t="s">
        <v>108</v>
      </c>
      <c r="D2724" s="3" t="n">
        <v>3000</v>
      </c>
      <c r="E2724" s="3" t="s">
        <v>114</v>
      </c>
      <c r="F2724" s="3" t="n">
        <f aca="false">IF(C2724="848630",0,1)</f>
        <v>1</v>
      </c>
    </row>
    <row r="2725" customFormat="false" ht="15" hidden="false" customHeight="false" outlineLevel="0" collapsed="false">
      <c r="A2725" s="12" t="n">
        <v>45748</v>
      </c>
      <c r="B2725" s="9" t="s">
        <v>93</v>
      </c>
      <c r="C2725" s="3" t="s">
        <v>108</v>
      </c>
      <c r="D2725" s="3" t="n">
        <v>0</v>
      </c>
      <c r="E2725" s="3" t="s">
        <v>114</v>
      </c>
      <c r="F2725" s="3" t="n">
        <f aca="false">IF(C2725="848630",0,1)</f>
        <v>1</v>
      </c>
    </row>
    <row r="2726" customFormat="false" ht="15" hidden="false" customHeight="false" outlineLevel="0" collapsed="false">
      <c r="A2726" s="12" t="n">
        <v>45748</v>
      </c>
      <c r="B2726" s="9" t="s">
        <v>93</v>
      </c>
      <c r="C2726" s="3" t="s">
        <v>108</v>
      </c>
      <c r="D2726" s="3" t="n">
        <v>220000</v>
      </c>
      <c r="E2726" s="3" t="s">
        <v>114</v>
      </c>
      <c r="F2726" s="3" t="n">
        <f aca="false">IF(C2726="848630",0,1)</f>
        <v>1</v>
      </c>
    </row>
    <row r="2727" customFormat="false" ht="15" hidden="false" customHeight="false" outlineLevel="0" collapsed="false">
      <c r="A2727" s="12" t="n">
        <v>45748</v>
      </c>
      <c r="B2727" s="9" t="s">
        <v>93</v>
      </c>
      <c r="C2727" s="3" t="s">
        <v>108</v>
      </c>
      <c r="D2727" s="3" t="n">
        <v>22161000</v>
      </c>
      <c r="E2727" s="3" t="s">
        <v>114</v>
      </c>
      <c r="F2727" s="3" t="n">
        <f aca="false">IF(C2727="848630",0,1)</f>
        <v>1</v>
      </c>
    </row>
    <row r="2728" customFormat="false" ht="15" hidden="false" customHeight="false" outlineLevel="0" collapsed="false">
      <c r="A2728" s="12" t="n">
        <v>45748</v>
      </c>
      <c r="B2728" s="9" t="s">
        <v>93</v>
      </c>
      <c r="C2728" s="3" t="s">
        <v>108</v>
      </c>
      <c r="D2728" s="3" t="n">
        <v>4676000</v>
      </c>
      <c r="E2728" s="3" t="s">
        <v>114</v>
      </c>
      <c r="F2728" s="3" t="n">
        <f aca="false">IF(C2728="848630",0,1)</f>
        <v>1</v>
      </c>
    </row>
    <row r="2729" customFormat="false" ht="15" hidden="false" customHeight="false" outlineLevel="0" collapsed="false">
      <c r="A2729" s="12" t="n">
        <v>45748</v>
      </c>
      <c r="B2729" s="9" t="s">
        <v>93</v>
      </c>
      <c r="C2729" s="3" t="s">
        <v>108</v>
      </c>
      <c r="D2729" s="3" t="n">
        <v>7312000</v>
      </c>
      <c r="E2729" s="3" t="s">
        <v>114</v>
      </c>
      <c r="F2729" s="3" t="n">
        <f aca="false">IF(C2729="848630",0,1)</f>
        <v>1</v>
      </c>
    </row>
    <row r="2730" customFormat="false" ht="15" hidden="false" customHeight="false" outlineLevel="0" collapsed="false">
      <c r="A2730" s="12" t="n">
        <v>45748</v>
      </c>
      <c r="B2730" s="9" t="s">
        <v>93</v>
      </c>
      <c r="C2730" s="3" t="s">
        <v>109</v>
      </c>
      <c r="D2730" s="3" t="n">
        <v>3338000</v>
      </c>
      <c r="E2730" s="3" t="s">
        <v>114</v>
      </c>
      <c r="F2730" s="3" t="n">
        <f aca="false">IF(C2730="848630",0,1)</f>
        <v>1</v>
      </c>
    </row>
    <row r="2731" customFormat="false" ht="15" hidden="false" customHeight="false" outlineLevel="0" collapsed="false">
      <c r="A2731" s="12" t="n">
        <v>45748</v>
      </c>
      <c r="B2731" s="9" t="s">
        <v>93</v>
      </c>
      <c r="C2731" s="3" t="s">
        <v>109</v>
      </c>
      <c r="D2731" s="3" t="n">
        <v>21751000</v>
      </c>
      <c r="E2731" s="3" t="s">
        <v>114</v>
      </c>
      <c r="F2731" s="3" t="n">
        <f aca="false">IF(C2731="848630",0,1)</f>
        <v>1</v>
      </c>
    </row>
    <row r="2732" customFormat="false" ht="15" hidden="false" customHeight="false" outlineLevel="0" collapsed="false">
      <c r="A2732" s="12" t="n">
        <v>45748</v>
      </c>
      <c r="B2732" s="9" t="s">
        <v>93</v>
      </c>
      <c r="C2732" s="3" t="s">
        <v>109</v>
      </c>
      <c r="D2732" s="3" t="n">
        <v>30661000</v>
      </c>
      <c r="E2732" s="3" t="s">
        <v>114</v>
      </c>
      <c r="F2732" s="3" t="n">
        <f aca="false">IF(C2732="848630",0,1)</f>
        <v>1</v>
      </c>
    </row>
    <row r="2733" customFormat="false" ht="15" hidden="false" customHeight="false" outlineLevel="0" collapsed="false">
      <c r="A2733" s="12" t="n">
        <v>45748</v>
      </c>
      <c r="B2733" s="9" t="s">
        <v>93</v>
      </c>
      <c r="C2733" s="3" t="s">
        <v>109</v>
      </c>
      <c r="D2733" s="3" t="n">
        <v>8860000</v>
      </c>
      <c r="E2733" s="3" t="s">
        <v>114</v>
      </c>
      <c r="F2733" s="3" t="n">
        <f aca="false">IF(C2733="848630",0,1)</f>
        <v>1</v>
      </c>
    </row>
    <row r="2734" customFormat="false" ht="15" hidden="false" customHeight="false" outlineLevel="0" collapsed="false">
      <c r="A2734" s="12" t="n">
        <v>45748</v>
      </c>
      <c r="B2734" s="9" t="s">
        <v>93</v>
      </c>
      <c r="C2734" s="3" t="s">
        <v>109</v>
      </c>
      <c r="D2734" s="3" t="n">
        <v>7948000</v>
      </c>
      <c r="E2734" s="3" t="s">
        <v>114</v>
      </c>
      <c r="F2734" s="3" t="n">
        <f aca="false">IF(C2734="848630",0,1)</f>
        <v>1</v>
      </c>
    </row>
    <row r="2735" customFormat="false" ht="15" hidden="false" customHeight="false" outlineLevel="0" collapsed="false">
      <c r="A2735" s="12" t="n">
        <v>45748</v>
      </c>
      <c r="B2735" s="9" t="s">
        <v>93</v>
      </c>
      <c r="C2735" s="3" t="s">
        <v>109</v>
      </c>
      <c r="D2735" s="3" t="n">
        <v>3013000</v>
      </c>
      <c r="E2735" s="3" t="s">
        <v>114</v>
      </c>
      <c r="F2735" s="3" t="n">
        <f aca="false">IF(C2735="848630",0,1)</f>
        <v>1</v>
      </c>
    </row>
    <row r="2736" customFormat="false" ht="15" hidden="false" customHeight="false" outlineLevel="0" collapsed="false">
      <c r="A2736" s="12" t="n">
        <v>45748</v>
      </c>
      <c r="B2736" s="9" t="s">
        <v>93</v>
      </c>
      <c r="C2736" s="3" t="s">
        <v>109</v>
      </c>
      <c r="D2736" s="3" t="n">
        <v>561000</v>
      </c>
      <c r="E2736" s="3" t="s">
        <v>114</v>
      </c>
      <c r="F2736" s="3" t="n">
        <f aca="false">IF(C2736="848630",0,1)</f>
        <v>1</v>
      </c>
    </row>
    <row r="2737" customFormat="false" ht="15" hidden="false" customHeight="false" outlineLevel="0" collapsed="false">
      <c r="A2737" s="12" t="n">
        <v>45748</v>
      </c>
      <c r="B2737" s="9" t="s">
        <v>93</v>
      </c>
      <c r="C2737" s="3" t="s">
        <v>109</v>
      </c>
      <c r="D2737" s="3" t="n">
        <v>9823000</v>
      </c>
      <c r="E2737" s="3" t="s">
        <v>114</v>
      </c>
      <c r="F2737" s="3" t="n">
        <f aca="false">IF(C2737="848630",0,1)</f>
        <v>1</v>
      </c>
    </row>
    <row r="2738" customFormat="false" ht="15" hidden="false" customHeight="false" outlineLevel="0" collapsed="false">
      <c r="A2738" s="12" t="n">
        <v>45748</v>
      </c>
      <c r="B2738" s="9" t="s">
        <v>93</v>
      </c>
      <c r="C2738" s="3" t="s">
        <v>110</v>
      </c>
      <c r="D2738" s="3" t="n">
        <v>74144000</v>
      </c>
      <c r="E2738" s="3" t="s">
        <v>114</v>
      </c>
      <c r="F2738" s="3" t="n">
        <f aca="false">IF(C2738="848630",0,1)</f>
        <v>1</v>
      </c>
    </row>
    <row r="2739" customFormat="false" ht="15" hidden="false" customHeight="false" outlineLevel="0" collapsed="false">
      <c r="A2739" s="12" t="n">
        <v>45748</v>
      </c>
      <c r="B2739" s="9" t="s">
        <v>93</v>
      </c>
      <c r="C2739" s="3" t="s">
        <v>111</v>
      </c>
      <c r="D2739" s="3" t="n">
        <v>2690000</v>
      </c>
      <c r="E2739" s="3" t="s">
        <v>114</v>
      </c>
      <c r="F2739" s="3" t="n">
        <f aca="false">IF(C2739="848630",0,1)</f>
        <v>1</v>
      </c>
    </row>
    <row r="2740" customFormat="false" ht="15" hidden="false" customHeight="false" outlineLevel="0" collapsed="false">
      <c r="A2740" s="12" t="n">
        <v>45748</v>
      </c>
      <c r="B2740" s="9" t="s">
        <v>93</v>
      </c>
      <c r="C2740" s="3" t="s">
        <v>111</v>
      </c>
      <c r="D2740" s="3" t="n">
        <v>12977000</v>
      </c>
      <c r="E2740" s="3" t="s">
        <v>114</v>
      </c>
      <c r="F2740" s="3" t="n">
        <f aca="false">IF(C2740="848630",0,1)</f>
        <v>1</v>
      </c>
    </row>
    <row r="2741" customFormat="false" ht="15" hidden="false" customHeight="false" outlineLevel="0" collapsed="false">
      <c r="A2741" s="12" t="n">
        <v>45778</v>
      </c>
      <c r="B2741" s="9" t="s">
        <v>93</v>
      </c>
      <c r="C2741" s="3" t="s">
        <v>105</v>
      </c>
      <c r="D2741" s="3" t="n">
        <v>23000</v>
      </c>
      <c r="E2741" s="3" t="s">
        <v>114</v>
      </c>
      <c r="F2741" s="3" t="n">
        <f aca="false">IF(C2741="848630",0,1)</f>
        <v>1</v>
      </c>
    </row>
    <row r="2742" customFormat="false" ht="15" hidden="false" customHeight="false" outlineLevel="0" collapsed="false">
      <c r="A2742" s="12" t="n">
        <v>45778</v>
      </c>
      <c r="B2742" s="9" t="s">
        <v>93</v>
      </c>
      <c r="C2742" s="3" t="s">
        <v>105</v>
      </c>
      <c r="D2742" s="3" t="n">
        <v>205000</v>
      </c>
      <c r="E2742" s="3" t="s">
        <v>114</v>
      </c>
      <c r="F2742" s="3" t="n">
        <f aca="false">IF(C2742="848630",0,1)</f>
        <v>1</v>
      </c>
    </row>
    <row r="2743" customFormat="false" ht="15" hidden="false" customHeight="false" outlineLevel="0" collapsed="false">
      <c r="A2743" s="12" t="n">
        <v>45778</v>
      </c>
      <c r="B2743" s="9" t="s">
        <v>93</v>
      </c>
      <c r="C2743" s="3" t="s">
        <v>105</v>
      </c>
      <c r="D2743" s="3" t="n">
        <v>0</v>
      </c>
      <c r="E2743" s="3" t="s">
        <v>114</v>
      </c>
      <c r="F2743" s="3" t="n">
        <f aca="false">IF(C2743="848630",0,1)</f>
        <v>1</v>
      </c>
    </row>
    <row r="2744" customFormat="false" ht="15" hidden="false" customHeight="false" outlineLevel="0" collapsed="false">
      <c r="A2744" s="12" t="n">
        <v>45778</v>
      </c>
      <c r="B2744" s="9" t="s">
        <v>93</v>
      </c>
      <c r="C2744" s="3" t="s">
        <v>105</v>
      </c>
      <c r="D2744" s="3" t="n">
        <v>0</v>
      </c>
      <c r="E2744" s="3" t="s">
        <v>114</v>
      </c>
      <c r="F2744" s="3" t="n">
        <f aca="false">IF(C2744="848630",0,1)</f>
        <v>1</v>
      </c>
    </row>
    <row r="2745" customFormat="false" ht="15" hidden="false" customHeight="false" outlineLevel="0" collapsed="false">
      <c r="A2745" s="12" t="n">
        <v>45778</v>
      </c>
      <c r="B2745" s="9" t="s">
        <v>93</v>
      </c>
      <c r="C2745" s="3" t="s">
        <v>107</v>
      </c>
      <c r="D2745" s="3" t="n">
        <v>2588000</v>
      </c>
      <c r="E2745" s="3" t="s">
        <v>114</v>
      </c>
      <c r="F2745" s="3" t="n">
        <f aca="false">IF(C2745="848630",0,1)</f>
        <v>1</v>
      </c>
    </row>
    <row r="2746" customFormat="false" ht="15" hidden="false" customHeight="false" outlineLevel="0" collapsed="false">
      <c r="A2746" s="12" t="n">
        <v>45778</v>
      </c>
      <c r="B2746" s="9" t="s">
        <v>93</v>
      </c>
      <c r="C2746" s="3" t="s">
        <v>107</v>
      </c>
      <c r="D2746" s="3" t="n">
        <v>7238000</v>
      </c>
      <c r="E2746" s="3" t="s">
        <v>114</v>
      </c>
      <c r="F2746" s="3" t="n">
        <f aca="false">IF(C2746="848630",0,1)</f>
        <v>1</v>
      </c>
    </row>
    <row r="2747" customFormat="false" ht="15" hidden="false" customHeight="false" outlineLevel="0" collapsed="false">
      <c r="A2747" s="12" t="n">
        <v>45778</v>
      </c>
      <c r="B2747" s="9" t="s">
        <v>93</v>
      </c>
      <c r="C2747" s="3" t="s">
        <v>107</v>
      </c>
      <c r="D2747" s="3" t="n">
        <v>36762000</v>
      </c>
      <c r="E2747" s="3" t="s">
        <v>114</v>
      </c>
      <c r="F2747" s="3" t="n">
        <f aca="false">IF(C2747="848630",0,1)</f>
        <v>1</v>
      </c>
    </row>
    <row r="2748" customFormat="false" ht="15" hidden="false" customHeight="false" outlineLevel="0" collapsed="false">
      <c r="A2748" s="12" t="n">
        <v>45778</v>
      </c>
      <c r="B2748" s="9" t="s">
        <v>93</v>
      </c>
      <c r="C2748" s="3" t="s">
        <v>107</v>
      </c>
      <c r="D2748" s="3" t="n">
        <v>3272000</v>
      </c>
      <c r="E2748" s="3" t="s">
        <v>114</v>
      </c>
      <c r="F2748" s="3" t="n">
        <f aca="false">IF(C2748="848630",0,1)</f>
        <v>1</v>
      </c>
    </row>
    <row r="2749" customFormat="false" ht="15" hidden="false" customHeight="false" outlineLevel="0" collapsed="false">
      <c r="A2749" s="12" t="n">
        <v>45778</v>
      </c>
      <c r="B2749" s="9" t="s">
        <v>93</v>
      </c>
      <c r="C2749" s="3" t="s">
        <v>107</v>
      </c>
      <c r="D2749" s="3" t="n">
        <v>4026000</v>
      </c>
      <c r="E2749" s="3" t="s">
        <v>114</v>
      </c>
      <c r="F2749" s="3" t="n">
        <f aca="false">IF(C2749="848630",0,1)</f>
        <v>1</v>
      </c>
    </row>
    <row r="2750" customFormat="false" ht="15" hidden="false" customHeight="false" outlineLevel="0" collapsed="false">
      <c r="A2750" s="12" t="n">
        <v>45778</v>
      </c>
      <c r="B2750" s="9" t="s">
        <v>93</v>
      </c>
      <c r="C2750" s="3" t="s">
        <v>107</v>
      </c>
      <c r="D2750" s="3" t="n">
        <v>3457000</v>
      </c>
      <c r="E2750" s="3" t="s">
        <v>114</v>
      </c>
      <c r="F2750" s="3" t="n">
        <f aca="false">IF(C2750="848630",0,1)</f>
        <v>1</v>
      </c>
    </row>
    <row r="2751" customFormat="false" ht="15" hidden="false" customHeight="false" outlineLevel="0" collapsed="false">
      <c r="A2751" s="12" t="n">
        <v>45778</v>
      </c>
      <c r="B2751" s="9" t="s">
        <v>93</v>
      </c>
      <c r="C2751" s="3" t="s">
        <v>107</v>
      </c>
      <c r="D2751" s="3" t="n">
        <v>88550000</v>
      </c>
      <c r="E2751" s="3" t="s">
        <v>114</v>
      </c>
      <c r="F2751" s="3" t="n">
        <f aca="false">IF(C2751="848630",0,1)</f>
        <v>1</v>
      </c>
    </row>
    <row r="2752" customFormat="false" ht="15" hidden="false" customHeight="false" outlineLevel="0" collapsed="false">
      <c r="A2752" s="12" t="n">
        <v>45778</v>
      </c>
      <c r="B2752" s="9" t="s">
        <v>93</v>
      </c>
      <c r="C2752" s="3" t="s">
        <v>107</v>
      </c>
      <c r="D2752" s="3" t="n">
        <v>26000</v>
      </c>
      <c r="E2752" s="3" t="s">
        <v>114</v>
      </c>
      <c r="F2752" s="3" t="n">
        <f aca="false">IF(C2752="848630",0,1)</f>
        <v>1</v>
      </c>
    </row>
    <row r="2753" customFormat="false" ht="15" hidden="false" customHeight="false" outlineLevel="0" collapsed="false">
      <c r="A2753" s="12" t="n">
        <v>45778</v>
      </c>
      <c r="B2753" s="9" t="s">
        <v>93</v>
      </c>
      <c r="C2753" s="3" t="s">
        <v>107</v>
      </c>
      <c r="D2753" s="3" t="n">
        <v>4328000</v>
      </c>
      <c r="E2753" s="3" t="s">
        <v>114</v>
      </c>
      <c r="F2753" s="3" t="n">
        <f aca="false">IF(C2753="848630",0,1)</f>
        <v>1</v>
      </c>
    </row>
    <row r="2754" customFormat="false" ht="15" hidden="false" customHeight="false" outlineLevel="0" collapsed="false">
      <c r="A2754" s="12" t="n">
        <v>45778</v>
      </c>
      <c r="B2754" s="9" t="s">
        <v>93</v>
      </c>
      <c r="C2754" s="3" t="s">
        <v>107</v>
      </c>
      <c r="D2754" s="3" t="n">
        <v>36297000</v>
      </c>
      <c r="E2754" s="3" t="s">
        <v>114</v>
      </c>
      <c r="F2754" s="3" t="n">
        <f aca="false">IF(C2754="848630",0,1)</f>
        <v>1</v>
      </c>
    </row>
    <row r="2755" customFormat="false" ht="15" hidden="false" customHeight="false" outlineLevel="0" collapsed="false">
      <c r="A2755" s="12" t="n">
        <v>45778</v>
      </c>
      <c r="B2755" s="9" t="s">
        <v>93</v>
      </c>
      <c r="C2755" s="3" t="s">
        <v>107</v>
      </c>
      <c r="D2755" s="3" t="n">
        <v>5436000</v>
      </c>
      <c r="E2755" s="3" t="s">
        <v>114</v>
      </c>
      <c r="F2755" s="3" t="n">
        <f aca="false">IF(C2755="848630",0,1)</f>
        <v>1</v>
      </c>
    </row>
    <row r="2756" customFormat="false" ht="15" hidden="false" customHeight="false" outlineLevel="0" collapsed="false">
      <c r="A2756" s="12" t="n">
        <v>45778</v>
      </c>
      <c r="B2756" s="9" t="s">
        <v>93</v>
      </c>
      <c r="C2756" s="3" t="s">
        <v>107</v>
      </c>
      <c r="D2756" s="3" t="n">
        <v>7165000</v>
      </c>
      <c r="E2756" s="3" t="s">
        <v>114</v>
      </c>
      <c r="F2756" s="3" t="n">
        <f aca="false">IF(C2756="848630",0,1)</f>
        <v>1</v>
      </c>
    </row>
    <row r="2757" customFormat="false" ht="15" hidden="false" customHeight="false" outlineLevel="0" collapsed="false">
      <c r="A2757" s="12" t="n">
        <v>45778</v>
      </c>
      <c r="B2757" s="9" t="s">
        <v>93</v>
      </c>
      <c r="C2757" s="3" t="s">
        <v>107</v>
      </c>
      <c r="D2757" s="3" t="n">
        <v>4070000</v>
      </c>
      <c r="E2757" s="3" t="s">
        <v>114</v>
      </c>
      <c r="F2757" s="3" t="n">
        <f aca="false">IF(C2757="848630",0,1)</f>
        <v>1</v>
      </c>
    </row>
    <row r="2758" customFormat="false" ht="15" hidden="false" customHeight="false" outlineLevel="0" collapsed="false">
      <c r="A2758" s="12" t="n">
        <v>45778</v>
      </c>
      <c r="B2758" s="9" t="s">
        <v>93</v>
      </c>
      <c r="C2758" s="3" t="s">
        <v>107</v>
      </c>
      <c r="D2758" s="3" t="n">
        <v>6741000</v>
      </c>
      <c r="E2758" s="3" t="s">
        <v>114</v>
      </c>
      <c r="F2758" s="3" t="n">
        <f aca="false">IF(C2758="848630",0,1)</f>
        <v>1</v>
      </c>
    </row>
    <row r="2759" customFormat="false" ht="15" hidden="false" customHeight="false" outlineLevel="0" collapsed="false">
      <c r="A2759" s="12" t="n">
        <v>45778</v>
      </c>
      <c r="B2759" s="9" t="s">
        <v>93</v>
      </c>
      <c r="C2759" s="3" t="s">
        <v>112</v>
      </c>
      <c r="D2759" s="3" t="n">
        <v>9414000</v>
      </c>
      <c r="E2759" s="3" t="s">
        <v>114</v>
      </c>
      <c r="F2759" s="3" t="n">
        <f aca="false">IF(C2759="848630",0,1)</f>
        <v>0</v>
      </c>
    </row>
    <row r="2760" customFormat="false" ht="15" hidden="false" customHeight="false" outlineLevel="0" collapsed="false">
      <c r="A2760" s="12" t="n">
        <v>45778</v>
      </c>
      <c r="B2760" s="9" t="s">
        <v>93</v>
      </c>
      <c r="C2760" s="3" t="s">
        <v>112</v>
      </c>
      <c r="D2760" s="3" t="n">
        <v>270000</v>
      </c>
      <c r="E2760" s="3" t="s">
        <v>114</v>
      </c>
      <c r="F2760" s="3" t="n">
        <f aca="false">IF(C2760="848630",0,1)</f>
        <v>0</v>
      </c>
    </row>
    <row r="2761" customFormat="false" ht="15" hidden="false" customHeight="false" outlineLevel="0" collapsed="false">
      <c r="A2761" s="12" t="n">
        <v>45778</v>
      </c>
      <c r="B2761" s="9" t="s">
        <v>93</v>
      </c>
      <c r="C2761" s="3" t="s">
        <v>112</v>
      </c>
      <c r="D2761" s="3" t="n">
        <v>3000</v>
      </c>
      <c r="E2761" s="3" t="s">
        <v>114</v>
      </c>
      <c r="F2761" s="3" t="n">
        <f aca="false">IF(C2761="848630",0,1)</f>
        <v>0</v>
      </c>
    </row>
    <row r="2762" customFormat="false" ht="15" hidden="false" customHeight="false" outlineLevel="0" collapsed="false">
      <c r="A2762" s="12" t="n">
        <v>45778</v>
      </c>
      <c r="B2762" s="9" t="s">
        <v>93</v>
      </c>
      <c r="C2762" s="3" t="s">
        <v>112</v>
      </c>
      <c r="D2762" s="3" t="n">
        <v>95000</v>
      </c>
      <c r="E2762" s="3" t="s">
        <v>114</v>
      </c>
      <c r="F2762" s="3" t="n">
        <f aca="false">IF(C2762="848630",0,1)</f>
        <v>0</v>
      </c>
    </row>
    <row r="2763" customFormat="false" ht="15" hidden="false" customHeight="false" outlineLevel="0" collapsed="false">
      <c r="A2763" s="12" t="n">
        <v>45778</v>
      </c>
      <c r="B2763" s="9" t="s">
        <v>93</v>
      </c>
      <c r="C2763" s="3" t="s">
        <v>108</v>
      </c>
      <c r="D2763" s="3" t="n">
        <v>1000</v>
      </c>
      <c r="E2763" s="3" t="s">
        <v>114</v>
      </c>
      <c r="F2763" s="3" t="n">
        <f aca="false">IF(C2763="848630",0,1)</f>
        <v>1</v>
      </c>
    </row>
    <row r="2764" customFormat="false" ht="15" hidden="false" customHeight="false" outlineLevel="0" collapsed="false">
      <c r="A2764" s="12" t="n">
        <v>45778</v>
      </c>
      <c r="B2764" s="9" t="s">
        <v>93</v>
      </c>
      <c r="C2764" s="3" t="s">
        <v>108</v>
      </c>
      <c r="D2764" s="3" t="n">
        <v>0</v>
      </c>
      <c r="E2764" s="3" t="s">
        <v>114</v>
      </c>
      <c r="F2764" s="3" t="n">
        <f aca="false">IF(C2764="848630",0,1)</f>
        <v>1</v>
      </c>
    </row>
    <row r="2765" customFormat="false" ht="15" hidden="false" customHeight="false" outlineLevel="0" collapsed="false">
      <c r="A2765" s="12" t="n">
        <v>45778</v>
      </c>
      <c r="B2765" s="9" t="s">
        <v>93</v>
      </c>
      <c r="C2765" s="3" t="s">
        <v>108</v>
      </c>
      <c r="D2765" s="3" t="n">
        <v>242000</v>
      </c>
      <c r="E2765" s="3" t="s">
        <v>114</v>
      </c>
      <c r="F2765" s="3" t="n">
        <f aca="false">IF(C2765="848630",0,1)</f>
        <v>1</v>
      </c>
    </row>
    <row r="2766" customFormat="false" ht="15" hidden="false" customHeight="false" outlineLevel="0" collapsed="false">
      <c r="A2766" s="12" t="n">
        <v>45778</v>
      </c>
      <c r="B2766" s="9" t="s">
        <v>93</v>
      </c>
      <c r="C2766" s="3" t="s">
        <v>108</v>
      </c>
      <c r="D2766" s="3" t="n">
        <v>1634000</v>
      </c>
      <c r="E2766" s="3" t="s">
        <v>114</v>
      </c>
      <c r="F2766" s="3" t="n">
        <f aca="false">IF(C2766="848630",0,1)</f>
        <v>1</v>
      </c>
    </row>
    <row r="2767" customFormat="false" ht="15" hidden="false" customHeight="false" outlineLevel="0" collapsed="false">
      <c r="A2767" s="12" t="n">
        <v>45778</v>
      </c>
      <c r="B2767" s="9" t="s">
        <v>93</v>
      </c>
      <c r="C2767" s="3" t="s">
        <v>108</v>
      </c>
      <c r="D2767" s="3" t="n">
        <v>18214000</v>
      </c>
      <c r="E2767" s="3" t="s">
        <v>114</v>
      </c>
      <c r="F2767" s="3" t="n">
        <f aca="false">IF(C2767="848630",0,1)</f>
        <v>1</v>
      </c>
    </row>
    <row r="2768" customFormat="false" ht="15" hidden="false" customHeight="false" outlineLevel="0" collapsed="false">
      <c r="A2768" s="12" t="n">
        <v>45778</v>
      </c>
      <c r="B2768" s="9" t="s">
        <v>93</v>
      </c>
      <c r="C2768" s="3" t="s">
        <v>108</v>
      </c>
      <c r="D2768" s="3" t="n">
        <v>4459000</v>
      </c>
      <c r="E2768" s="3" t="s">
        <v>114</v>
      </c>
      <c r="F2768" s="3" t="n">
        <f aca="false">IF(C2768="848630",0,1)</f>
        <v>1</v>
      </c>
    </row>
    <row r="2769" customFormat="false" ht="15" hidden="false" customHeight="false" outlineLevel="0" collapsed="false">
      <c r="A2769" s="12" t="n">
        <v>45778</v>
      </c>
      <c r="B2769" s="9" t="s">
        <v>93</v>
      </c>
      <c r="C2769" s="3" t="s">
        <v>108</v>
      </c>
      <c r="D2769" s="3" t="n">
        <v>3976000</v>
      </c>
      <c r="E2769" s="3" t="s">
        <v>114</v>
      </c>
      <c r="F2769" s="3" t="n">
        <f aca="false">IF(C2769="848630",0,1)</f>
        <v>1</v>
      </c>
    </row>
    <row r="2770" customFormat="false" ht="15" hidden="false" customHeight="false" outlineLevel="0" collapsed="false">
      <c r="A2770" s="12" t="n">
        <v>45778</v>
      </c>
      <c r="B2770" s="9" t="s">
        <v>93</v>
      </c>
      <c r="C2770" s="3" t="s">
        <v>109</v>
      </c>
      <c r="D2770" s="3" t="n">
        <v>3784000</v>
      </c>
      <c r="E2770" s="3" t="s">
        <v>114</v>
      </c>
      <c r="F2770" s="3" t="n">
        <f aca="false">IF(C2770="848630",0,1)</f>
        <v>1</v>
      </c>
    </row>
    <row r="2771" customFormat="false" ht="15" hidden="false" customHeight="false" outlineLevel="0" collapsed="false">
      <c r="A2771" s="12" t="n">
        <v>45778</v>
      </c>
      <c r="B2771" s="9" t="s">
        <v>93</v>
      </c>
      <c r="C2771" s="3" t="s">
        <v>109</v>
      </c>
      <c r="D2771" s="3" t="n">
        <v>29342000</v>
      </c>
      <c r="E2771" s="3" t="s">
        <v>114</v>
      </c>
      <c r="F2771" s="3" t="n">
        <f aca="false">IF(C2771="848630",0,1)</f>
        <v>1</v>
      </c>
    </row>
    <row r="2772" customFormat="false" ht="15" hidden="false" customHeight="false" outlineLevel="0" collapsed="false">
      <c r="A2772" s="12" t="n">
        <v>45778</v>
      </c>
      <c r="B2772" s="9" t="s">
        <v>93</v>
      </c>
      <c r="C2772" s="3" t="s">
        <v>109</v>
      </c>
      <c r="D2772" s="3" t="n">
        <v>32925000</v>
      </c>
      <c r="E2772" s="3" t="s">
        <v>114</v>
      </c>
      <c r="F2772" s="3" t="n">
        <f aca="false">IF(C2772="848630",0,1)</f>
        <v>1</v>
      </c>
    </row>
    <row r="2773" customFormat="false" ht="15" hidden="false" customHeight="false" outlineLevel="0" collapsed="false">
      <c r="A2773" s="12" t="n">
        <v>45778</v>
      </c>
      <c r="B2773" s="9" t="s">
        <v>93</v>
      </c>
      <c r="C2773" s="3" t="s">
        <v>109</v>
      </c>
      <c r="D2773" s="3" t="n">
        <v>8451000</v>
      </c>
      <c r="E2773" s="3" t="s">
        <v>114</v>
      </c>
      <c r="F2773" s="3" t="n">
        <f aca="false">IF(C2773="848630",0,1)</f>
        <v>1</v>
      </c>
    </row>
    <row r="2774" customFormat="false" ht="15" hidden="false" customHeight="false" outlineLevel="0" collapsed="false">
      <c r="A2774" s="12" t="n">
        <v>45778</v>
      </c>
      <c r="B2774" s="9" t="s">
        <v>93</v>
      </c>
      <c r="C2774" s="3" t="s">
        <v>109</v>
      </c>
      <c r="D2774" s="3" t="n">
        <v>13807000</v>
      </c>
      <c r="E2774" s="3" t="s">
        <v>114</v>
      </c>
      <c r="F2774" s="3" t="n">
        <f aca="false">IF(C2774="848630",0,1)</f>
        <v>1</v>
      </c>
    </row>
    <row r="2775" customFormat="false" ht="15" hidden="false" customHeight="false" outlineLevel="0" collapsed="false">
      <c r="A2775" s="12" t="n">
        <v>45778</v>
      </c>
      <c r="B2775" s="9" t="s">
        <v>93</v>
      </c>
      <c r="C2775" s="3" t="s">
        <v>109</v>
      </c>
      <c r="D2775" s="3" t="n">
        <v>3059000</v>
      </c>
      <c r="E2775" s="3" t="s">
        <v>114</v>
      </c>
      <c r="F2775" s="3" t="n">
        <f aca="false">IF(C2775="848630",0,1)</f>
        <v>1</v>
      </c>
    </row>
    <row r="2776" customFormat="false" ht="15" hidden="false" customHeight="false" outlineLevel="0" collapsed="false">
      <c r="A2776" s="12" t="n">
        <v>45778</v>
      </c>
      <c r="B2776" s="9" t="s">
        <v>93</v>
      </c>
      <c r="C2776" s="3" t="s">
        <v>109</v>
      </c>
      <c r="D2776" s="3" t="n">
        <v>351000</v>
      </c>
      <c r="E2776" s="3" t="s">
        <v>114</v>
      </c>
      <c r="F2776" s="3" t="n">
        <f aca="false">IF(C2776="848630",0,1)</f>
        <v>1</v>
      </c>
    </row>
    <row r="2777" customFormat="false" ht="15" hidden="false" customHeight="false" outlineLevel="0" collapsed="false">
      <c r="A2777" s="12" t="n">
        <v>45778</v>
      </c>
      <c r="B2777" s="9" t="s">
        <v>93</v>
      </c>
      <c r="C2777" s="3" t="s">
        <v>109</v>
      </c>
      <c r="D2777" s="3" t="n">
        <v>6665000</v>
      </c>
      <c r="E2777" s="3" t="s">
        <v>114</v>
      </c>
      <c r="F2777" s="3" t="n">
        <f aca="false">IF(C2777="848630",0,1)</f>
        <v>1</v>
      </c>
    </row>
    <row r="2778" customFormat="false" ht="15" hidden="false" customHeight="false" outlineLevel="0" collapsed="false">
      <c r="A2778" s="12" t="n">
        <v>45778</v>
      </c>
      <c r="B2778" s="9" t="s">
        <v>93</v>
      </c>
      <c r="C2778" s="3" t="s">
        <v>110</v>
      </c>
      <c r="D2778" s="3" t="n">
        <v>48332000</v>
      </c>
      <c r="E2778" s="3" t="s">
        <v>114</v>
      </c>
      <c r="F2778" s="3" t="n">
        <f aca="false">IF(C2778="848630",0,1)</f>
        <v>1</v>
      </c>
    </row>
    <row r="2779" customFormat="false" ht="15" hidden="false" customHeight="false" outlineLevel="0" collapsed="false">
      <c r="A2779" s="12" t="n">
        <v>45778</v>
      </c>
      <c r="B2779" s="9" t="s">
        <v>93</v>
      </c>
      <c r="C2779" s="3" t="s">
        <v>111</v>
      </c>
      <c r="D2779" s="3" t="n">
        <v>29233000</v>
      </c>
      <c r="E2779" s="3" t="s">
        <v>114</v>
      </c>
      <c r="F2779" s="3" t="n">
        <f aca="false">IF(C2779="848630",0,1)</f>
        <v>1</v>
      </c>
    </row>
    <row r="2780" customFormat="false" ht="15" hidden="false" customHeight="false" outlineLevel="0" collapsed="false">
      <c r="A2780" s="12" t="n">
        <v>45809</v>
      </c>
      <c r="B2780" s="9" t="s">
        <v>93</v>
      </c>
      <c r="C2780" s="3" t="s">
        <v>105</v>
      </c>
      <c r="D2780" s="3" t="n">
        <v>1145000</v>
      </c>
      <c r="E2780" s="3" t="s">
        <v>114</v>
      </c>
      <c r="F2780" s="3" t="n">
        <f aca="false">IF(C2780="848630",0,1)</f>
        <v>1</v>
      </c>
    </row>
    <row r="2781" customFormat="false" ht="15" hidden="false" customHeight="false" outlineLevel="0" collapsed="false">
      <c r="A2781" s="12" t="n">
        <v>45809</v>
      </c>
      <c r="B2781" s="9" t="s">
        <v>93</v>
      </c>
      <c r="C2781" s="3" t="s">
        <v>105</v>
      </c>
      <c r="D2781" s="3" t="n">
        <v>1000</v>
      </c>
      <c r="E2781" s="3" t="s">
        <v>114</v>
      </c>
      <c r="F2781" s="3" t="n">
        <f aca="false">IF(C2781="848630",0,1)</f>
        <v>1</v>
      </c>
    </row>
    <row r="2782" customFormat="false" ht="15" hidden="false" customHeight="false" outlineLevel="0" collapsed="false">
      <c r="A2782" s="12" t="n">
        <v>45809</v>
      </c>
      <c r="B2782" s="9" t="s">
        <v>93</v>
      </c>
      <c r="C2782" s="3" t="s">
        <v>105</v>
      </c>
      <c r="D2782" s="3" t="n">
        <v>145000</v>
      </c>
      <c r="E2782" s="3" t="s">
        <v>114</v>
      </c>
      <c r="F2782" s="3" t="n">
        <f aca="false">IF(C2782="848630",0,1)</f>
        <v>1</v>
      </c>
    </row>
    <row r="2783" customFormat="false" ht="15" hidden="false" customHeight="false" outlineLevel="0" collapsed="false">
      <c r="A2783" s="12" t="n">
        <v>45809</v>
      </c>
      <c r="B2783" s="9" t="s">
        <v>93</v>
      </c>
      <c r="C2783" s="3" t="s">
        <v>105</v>
      </c>
      <c r="D2783" s="3" t="n">
        <v>37000</v>
      </c>
      <c r="E2783" s="3" t="s">
        <v>114</v>
      </c>
      <c r="F2783" s="3" t="n">
        <f aca="false">IF(C2783="848630",0,1)</f>
        <v>1</v>
      </c>
    </row>
    <row r="2784" customFormat="false" ht="15" hidden="false" customHeight="false" outlineLevel="0" collapsed="false">
      <c r="A2784" s="12" t="n">
        <v>45809</v>
      </c>
      <c r="B2784" s="9" t="s">
        <v>93</v>
      </c>
      <c r="C2784" s="3" t="s">
        <v>107</v>
      </c>
      <c r="D2784" s="3" t="n">
        <v>1188000</v>
      </c>
      <c r="E2784" s="3" t="s">
        <v>114</v>
      </c>
      <c r="F2784" s="3" t="n">
        <f aca="false">IF(C2784="848630",0,1)</f>
        <v>1</v>
      </c>
    </row>
    <row r="2785" customFormat="false" ht="15" hidden="false" customHeight="false" outlineLevel="0" collapsed="false">
      <c r="A2785" s="12" t="n">
        <v>45809</v>
      </c>
      <c r="B2785" s="9" t="s">
        <v>93</v>
      </c>
      <c r="C2785" s="3" t="s">
        <v>107</v>
      </c>
      <c r="D2785" s="3" t="n">
        <v>4825000</v>
      </c>
      <c r="E2785" s="3" t="s">
        <v>114</v>
      </c>
      <c r="F2785" s="3" t="n">
        <f aca="false">IF(C2785="848630",0,1)</f>
        <v>1</v>
      </c>
    </row>
    <row r="2786" customFormat="false" ht="15" hidden="false" customHeight="false" outlineLevel="0" collapsed="false">
      <c r="A2786" s="12" t="n">
        <v>45809</v>
      </c>
      <c r="B2786" s="9" t="s">
        <v>93</v>
      </c>
      <c r="C2786" s="3" t="s">
        <v>107</v>
      </c>
      <c r="D2786" s="3" t="n">
        <v>107017000</v>
      </c>
      <c r="E2786" s="3" t="s">
        <v>114</v>
      </c>
      <c r="F2786" s="3" t="n">
        <f aca="false">IF(C2786="848630",0,1)</f>
        <v>1</v>
      </c>
    </row>
    <row r="2787" customFormat="false" ht="15" hidden="false" customHeight="false" outlineLevel="0" collapsed="false">
      <c r="A2787" s="12" t="n">
        <v>45809</v>
      </c>
      <c r="B2787" s="9" t="s">
        <v>93</v>
      </c>
      <c r="C2787" s="3" t="s">
        <v>107</v>
      </c>
      <c r="D2787" s="3" t="n">
        <v>10415000</v>
      </c>
      <c r="E2787" s="3" t="s">
        <v>114</v>
      </c>
      <c r="F2787" s="3" t="n">
        <f aca="false">IF(C2787="848630",0,1)</f>
        <v>1</v>
      </c>
    </row>
    <row r="2788" customFormat="false" ht="15" hidden="false" customHeight="false" outlineLevel="0" collapsed="false">
      <c r="A2788" s="12" t="n">
        <v>45809</v>
      </c>
      <c r="B2788" s="9" t="s">
        <v>93</v>
      </c>
      <c r="C2788" s="3" t="s">
        <v>107</v>
      </c>
      <c r="D2788" s="3" t="n">
        <v>3093000</v>
      </c>
      <c r="E2788" s="3" t="s">
        <v>114</v>
      </c>
      <c r="F2788" s="3" t="n">
        <f aca="false">IF(C2788="848630",0,1)</f>
        <v>1</v>
      </c>
    </row>
    <row r="2789" customFormat="false" ht="15" hidden="false" customHeight="false" outlineLevel="0" collapsed="false">
      <c r="A2789" s="12" t="n">
        <v>45809</v>
      </c>
      <c r="B2789" s="9" t="s">
        <v>93</v>
      </c>
      <c r="C2789" s="3" t="s">
        <v>107</v>
      </c>
      <c r="D2789" s="3" t="n">
        <v>0</v>
      </c>
      <c r="E2789" s="3" t="s">
        <v>114</v>
      </c>
      <c r="F2789" s="3" t="n">
        <f aca="false">IF(C2789="848630",0,1)</f>
        <v>1</v>
      </c>
    </row>
    <row r="2790" customFormat="false" ht="15" hidden="false" customHeight="false" outlineLevel="0" collapsed="false">
      <c r="A2790" s="12" t="n">
        <v>45809</v>
      </c>
      <c r="B2790" s="9" t="s">
        <v>93</v>
      </c>
      <c r="C2790" s="3" t="s">
        <v>107</v>
      </c>
      <c r="D2790" s="3" t="n">
        <v>109248000</v>
      </c>
      <c r="E2790" s="3" t="s">
        <v>114</v>
      </c>
      <c r="F2790" s="3" t="n">
        <f aca="false">IF(C2790="848630",0,1)</f>
        <v>1</v>
      </c>
    </row>
    <row r="2791" customFormat="false" ht="15" hidden="false" customHeight="false" outlineLevel="0" collapsed="false">
      <c r="A2791" s="12" t="n">
        <v>45809</v>
      </c>
      <c r="B2791" s="9" t="s">
        <v>93</v>
      </c>
      <c r="C2791" s="3" t="s">
        <v>107</v>
      </c>
      <c r="D2791" s="3" t="n">
        <v>0</v>
      </c>
      <c r="E2791" s="3" t="s">
        <v>114</v>
      </c>
      <c r="F2791" s="3" t="n">
        <f aca="false">IF(C2791="848630",0,1)</f>
        <v>1</v>
      </c>
    </row>
    <row r="2792" customFormat="false" ht="15" hidden="false" customHeight="false" outlineLevel="0" collapsed="false">
      <c r="A2792" s="12" t="n">
        <v>45809</v>
      </c>
      <c r="B2792" s="9" t="s">
        <v>93</v>
      </c>
      <c r="C2792" s="3" t="s">
        <v>107</v>
      </c>
      <c r="D2792" s="3" t="n">
        <v>4380000</v>
      </c>
      <c r="E2792" s="3" t="s">
        <v>114</v>
      </c>
      <c r="F2792" s="3" t="n">
        <f aca="false">IF(C2792="848630",0,1)</f>
        <v>1</v>
      </c>
    </row>
    <row r="2793" customFormat="false" ht="15" hidden="false" customHeight="false" outlineLevel="0" collapsed="false">
      <c r="A2793" s="12" t="n">
        <v>45809</v>
      </c>
      <c r="B2793" s="9" t="s">
        <v>93</v>
      </c>
      <c r="C2793" s="3" t="s">
        <v>107</v>
      </c>
      <c r="D2793" s="3" t="n">
        <v>55668000</v>
      </c>
      <c r="E2793" s="3" t="s">
        <v>114</v>
      </c>
      <c r="F2793" s="3" t="n">
        <f aca="false">IF(C2793="848630",0,1)</f>
        <v>1</v>
      </c>
    </row>
    <row r="2794" customFormat="false" ht="15" hidden="false" customHeight="false" outlineLevel="0" collapsed="false">
      <c r="A2794" s="12" t="n">
        <v>45809</v>
      </c>
      <c r="B2794" s="9" t="s">
        <v>93</v>
      </c>
      <c r="C2794" s="3" t="s">
        <v>107</v>
      </c>
      <c r="D2794" s="3" t="n">
        <v>9159000</v>
      </c>
      <c r="E2794" s="3" t="s">
        <v>114</v>
      </c>
      <c r="F2794" s="3" t="n">
        <f aca="false">IF(C2794="848630",0,1)</f>
        <v>1</v>
      </c>
    </row>
    <row r="2795" customFormat="false" ht="15" hidden="false" customHeight="false" outlineLevel="0" collapsed="false">
      <c r="A2795" s="12" t="n">
        <v>45809</v>
      </c>
      <c r="B2795" s="9" t="s">
        <v>93</v>
      </c>
      <c r="C2795" s="3" t="s">
        <v>107</v>
      </c>
      <c r="D2795" s="3" t="n">
        <v>4958000</v>
      </c>
      <c r="E2795" s="3" t="s">
        <v>114</v>
      </c>
      <c r="F2795" s="3" t="n">
        <f aca="false">IF(C2795="848630",0,1)</f>
        <v>1</v>
      </c>
    </row>
    <row r="2796" customFormat="false" ht="15" hidden="false" customHeight="false" outlineLevel="0" collapsed="false">
      <c r="A2796" s="12" t="n">
        <v>45809</v>
      </c>
      <c r="B2796" s="9" t="s">
        <v>93</v>
      </c>
      <c r="C2796" s="3" t="s">
        <v>107</v>
      </c>
      <c r="D2796" s="3" t="n">
        <v>1093000</v>
      </c>
      <c r="E2796" s="3" t="s">
        <v>114</v>
      </c>
      <c r="F2796" s="3" t="n">
        <f aca="false">IF(C2796="848630",0,1)</f>
        <v>1</v>
      </c>
    </row>
    <row r="2797" customFormat="false" ht="15" hidden="false" customHeight="false" outlineLevel="0" collapsed="false">
      <c r="A2797" s="12" t="n">
        <v>45809</v>
      </c>
      <c r="B2797" s="9" t="s">
        <v>93</v>
      </c>
      <c r="C2797" s="3" t="s">
        <v>107</v>
      </c>
      <c r="D2797" s="3" t="n">
        <v>1417000</v>
      </c>
      <c r="E2797" s="3" t="s">
        <v>114</v>
      </c>
      <c r="F2797" s="3" t="n">
        <f aca="false">IF(C2797="848630",0,1)</f>
        <v>1</v>
      </c>
    </row>
    <row r="2798" customFormat="false" ht="15" hidden="false" customHeight="false" outlineLevel="0" collapsed="false">
      <c r="A2798" s="12" t="n">
        <v>45809</v>
      </c>
      <c r="B2798" s="9" t="s">
        <v>93</v>
      </c>
      <c r="C2798" s="3" t="s">
        <v>107</v>
      </c>
      <c r="D2798" s="3" t="n">
        <v>8000</v>
      </c>
      <c r="E2798" s="3" t="s">
        <v>114</v>
      </c>
      <c r="F2798" s="3" t="n">
        <f aca="false">IF(C2798="848630",0,1)</f>
        <v>1</v>
      </c>
    </row>
    <row r="2799" customFormat="false" ht="15" hidden="false" customHeight="false" outlineLevel="0" collapsed="false">
      <c r="A2799" s="12" t="n">
        <v>45809</v>
      </c>
      <c r="B2799" s="9" t="s">
        <v>93</v>
      </c>
      <c r="C2799" s="3" t="s">
        <v>107</v>
      </c>
      <c r="D2799" s="3" t="n">
        <v>20131000</v>
      </c>
      <c r="E2799" s="3" t="s">
        <v>114</v>
      </c>
      <c r="F2799" s="3" t="n">
        <f aca="false">IF(C2799="848630",0,1)</f>
        <v>1</v>
      </c>
    </row>
    <row r="2800" customFormat="false" ht="15" hidden="false" customHeight="false" outlineLevel="0" collapsed="false">
      <c r="A2800" s="12" t="n">
        <v>45809</v>
      </c>
      <c r="B2800" s="9" t="s">
        <v>93</v>
      </c>
      <c r="C2800" s="3" t="s">
        <v>112</v>
      </c>
      <c r="D2800" s="3" t="n">
        <v>11146000</v>
      </c>
      <c r="E2800" s="3" t="s">
        <v>114</v>
      </c>
      <c r="F2800" s="3" t="n">
        <f aca="false">IF(C2800="848630",0,1)</f>
        <v>0</v>
      </c>
    </row>
    <row r="2801" customFormat="false" ht="15" hidden="false" customHeight="false" outlineLevel="0" collapsed="false">
      <c r="A2801" s="12" t="n">
        <v>45809</v>
      </c>
      <c r="B2801" s="9" t="s">
        <v>93</v>
      </c>
      <c r="C2801" s="3" t="s">
        <v>112</v>
      </c>
      <c r="D2801" s="3" t="n">
        <v>136000</v>
      </c>
      <c r="E2801" s="3" t="s">
        <v>114</v>
      </c>
      <c r="F2801" s="3" t="n">
        <f aca="false">IF(C2801="848630",0,1)</f>
        <v>0</v>
      </c>
    </row>
    <row r="2802" customFormat="false" ht="15" hidden="false" customHeight="false" outlineLevel="0" collapsed="false">
      <c r="A2802" s="12" t="n">
        <v>45809</v>
      </c>
      <c r="B2802" s="9" t="s">
        <v>93</v>
      </c>
      <c r="C2802" s="3" t="s">
        <v>112</v>
      </c>
      <c r="D2802" s="3" t="n">
        <v>8443000</v>
      </c>
      <c r="E2802" s="3" t="s">
        <v>114</v>
      </c>
      <c r="F2802" s="3" t="n">
        <f aca="false">IF(C2802="848630",0,1)</f>
        <v>0</v>
      </c>
    </row>
    <row r="2803" customFormat="false" ht="15" hidden="false" customHeight="false" outlineLevel="0" collapsed="false">
      <c r="A2803" s="12" t="n">
        <v>45809</v>
      </c>
      <c r="B2803" s="9" t="s">
        <v>93</v>
      </c>
      <c r="C2803" s="3" t="s">
        <v>112</v>
      </c>
      <c r="D2803" s="3" t="n">
        <v>0</v>
      </c>
      <c r="E2803" s="3" t="s">
        <v>114</v>
      </c>
      <c r="F2803" s="3" t="n">
        <f aca="false">IF(C2803="848630",0,1)</f>
        <v>0</v>
      </c>
    </row>
    <row r="2804" customFormat="false" ht="15" hidden="false" customHeight="false" outlineLevel="0" collapsed="false">
      <c r="A2804" s="12" t="n">
        <v>45809</v>
      </c>
      <c r="B2804" s="9" t="s">
        <v>93</v>
      </c>
      <c r="C2804" s="3" t="s">
        <v>112</v>
      </c>
      <c r="D2804" s="3" t="n">
        <v>1000</v>
      </c>
      <c r="E2804" s="3" t="s">
        <v>114</v>
      </c>
      <c r="F2804" s="3" t="n">
        <f aca="false">IF(C2804="848630",0,1)</f>
        <v>0</v>
      </c>
    </row>
    <row r="2805" customFormat="false" ht="15" hidden="false" customHeight="false" outlineLevel="0" collapsed="false">
      <c r="A2805" s="12" t="n">
        <v>45809</v>
      </c>
      <c r="B2805" s="9" t="s">
        <v>93</v>
      </c>
      <c r="C2805" s="3" t="s">
        <v>108</v>
      </c>
      <c r="D2805" s="3" t="n">
        <v>3954000</v>
      </c>
      <c r="E2805" s="3" t="s">
        <v>114</v>
      </c>
      <c r="F2805" s="3" t="n">
        <f aca="false">IF(C2805="848630",0,1)</f>
        <v>1</v>
      </c>
    </row>
    <row r="2806" customFormat="false" ht="15" hidden="false" customHeight="false" outlineLevel="0" collapsed="false">
      <c r="A2806" s="12" t="n">
        <v>45809</v>
      </c>
      <c r="B2806" s="9" t="s">
        <v>93</v>
      </c>
      <c r="C2806" s="3" t="s">
        <v>108</v>
      </c>
      <c r="D2806" s="3" t="n">
        <v>0</v>
      </c>
      <c r="E2806" s="3" t="s">
        <v>114</v>
      </c>
      <c r="F2806" s="3" t="n">
        <f aca="false">IF(C2806="848630",0,1)</f>
        <v>1</v>
      </c>
    </row>
    <row r="2807" customFormat="false" ht="15" hidden="false" customHeight="false" outlineLevel="0" collapsed="false">
      <c r="A2807" s="12" t="n">
        <v>45809</v>
      </c>
      <c r="B2807" s="9" t="s">
        <v>93</v>
      </c>
      <c r="C2807" s="3" t="s">
        <v>108</v>
      </c>
      <c r="D2807" s="3" t="n">
        <v>37000</v>
      </c>
      <c r="E2807" s="3" t="s">
        <v>114</v>
      </c>
      <c r="F2807" s="3" t="n">
        <f aca="false">IF(C2807="848630",0,1)</f>
        <v>1</v>
      </c>
    </row>
    <row r="2808" customFormat="false" ht="15" hidden="false" customHeight="false" outlineLevel="0" collapsed="false">
      <c r="A2808" s="12" t="n">
        <v>45809</v>
      </c>
      <c r="B2808" s="9" t="s">
        <v>93</v>
      </c>
      <c r="C2808" s="3" t="s">
        <v>108</v>
      </c>
      <c r="D2808" s="3" t="n">
        <v>265000</v>
      </c>
      <c r="E2808" s="3" t="s">
        <v>114</v>
      </c>
      <c r="F2808" s="3" t="n">
        <f aca="false">IF(C2808="848630",0,1)</f>
        <v>1</v>
      </c>
    </row>
    <row r="2809" customFormat="false" ht="15" hidden="false" customHeight="false" outlineLevel="0" collapsed="false">
      <c r="A2809" s="12" t="n">
        <v>45809</v>
      </c>
      <c r="B2809" s="9" t="s">
        <v>93</v>
      </c>
      <c r="C2809" s="3" t="s">
        <v>108</v>
      </c>
      <c r="D2809" s="3" t="n">
        <v>0</v>
      </c>
      <c r="E2809" s="3" t="s">
        <v>114</v>
      </c>
      <c r="F2809" s="3" t="n">
        <f aca="false">IF(C2809="848630",0,1)</f>
        <v>1</v>
      </c>
    </row>
    <row r="2810" customFormat="false" ht="15" hidden="false" customHeight="false" outlineLevel="0" collapsed="false">
      <c r="A2810" s="12" t="n">
        <v>45809</v>
      </c>
      <c r="B2810" s="9" t="s">
        <v>93</v>
      </c>
      <c r="C2810" s="3" t="s">
        <v>108</v>
      </c>
      <c r="D2810" s="3" t="n">
        <v>3397000</v>
      </c>
      <c r="E2810" s="3" t="s">
        <v>114</v>
      </c>
      <c r="F2810" s="3" t="n">
        <f aca="false">IF(C2810="848630",0,1)</f>
        <v>1</v>
      </c>
    </row>
    <row r="2811" customFormat="false" ht="15" hidden="false" customHeight="false" outlineLevel="0" collapsed="false">
      <c r="A2811" s="12" t="n">
        <v>45809</v>
      </c>
      <c r="B2811" s="9" t="s">
        <v>93</v>
      </c>
      <c r="C2811" s="3" t="s">
        <v>108</v>
      </c>
      <c r="D2811" s="3" t="n">
        <v>167000</v>
      </c>
      <c r="E2811" s="3" t="s">
        <v>114</v>
      </c>
      <c r="F2811" s="3" t="n">
        <f aca="false">IF(C2811="848630",0,1)</f>
        <v>1</v>
      </c>
    </row>
    <row r="2812" customFormat="false" ht="15" hidden="false" customHeight="false" outlineLevel="0" collapsed="false">
      <c r="A2812" s="12" t="n">
        <v>45809</v>
      </c>
      <c r="B2812" s="9" t="s">
        <v>93</v>
      </c>
      <c r="C2812" s="3" t="s">
        <v>108</v>
      </c>
      <c r="D2812" s="3" t="n">
        <v>369000</v>
      </c>
      <c r="E2812" s="3" t="s">
        <v>114</v>
      </c>
      <c r="F2812" s="3" t="n">
        <f aca="false">IF(C2812="848630",0,1)</f>
        <v>1</v>
      </c>
    </row>
    <row r="2813" customFormat="false" ht="15" hidden="false" customHeight="false" outlineLevel="0" collapsed="false">
      <c r="A2813" s="12" t="n">
        <v>45809</v>
      </c>
      <c r="B2813" s="9" t="s">
        <v>93</v>
      </c>
      <c r="C2813" s="3" t="s">
        <v>108</v>
      </c>
      <c r="D2813" s="3" t="n">
        <v>9683000</v>
      </c>
      <c r="E2813" s="3" t="s">
        <v>114</v>
      </c>
      <c r="F2813" s="3" t="n">
        <f aca="false">IF(C2813="848630",0,1)</f>
        <v>1</v>
      </c>
    </row>
    <row r="2814" customFormat="false" ht="15" hidden="false" customHeight="false" outlineLevel="0" collapsed="false">
      <c r="A2814" s="12" t="n">
        <v>45809</v>
      </c>
      <c r="B2814" s="9" t="s">
        <v>93</v>
      </c>
      <c r="C2814" s="3" t="s">
        <v>108</v>
      </c>
      <c r="D2814" s="3" t="n">
        <v>13687000</v>
      </c>
      <c r="E2814" s="3" t="s">
        <v>114</v>
      </c>
      <c r="F2814" s="3" t="n">
        <f aca="false">IF(C2814="848630",0,1)</f>
        <v>1</v>
      </c>
    </row>
    <row r="2815" customFormat="false" ht="15" hidden="false" customHeight="false" outlineLevel="0" collapsed="false">
      <c r="A2815" s="12" t="n">
        <v>45809</v>
      </c>
      <c r="B2815" s="9" t="s">
        <v>93</v>
      </c>
      <c r="C2815" s="3" t="s">
        <v>108</v>
      </c>
      <c r="D2815" s="3" t="n">
        <v>5225000</v>
      </c>
      <c r="E2815" s="3" t="s">
        <v>114</v>
      </c>
      <c r="F2815" s="3" t="n">
        <f aca="false">IF(C2815="848630",0,1)</f>
        <v>1</v>
      </c>
    </row>
    <row r="2816" customFormat="false" ht="15" hidden="false" customHeight="false" outlineLevel="0" collapsed="false">
      <c r="A2816" s="12" t="n">
        <v>45809</v>
      </c>
      <c r="B2816" s="9" t="s">
        <v>93</v>
      </c>
      <c r="C2816" s="3" t="s">
        <v>108</v>
      </c>
      <c r="D2816" s="3" t="n">
        <v>4223000</v>
      </c>
      <c r="E2816" s="3" t="s">
        <v>114</v>
      </c>
      <c r="F2816" s="3" t="n">
        <f aca="false">IF(C2816="848630",0,1)</f>
        <v>1</v>
      </c>
    </row>
    <row r="2817" customFormat="false" ht="15" hidden="false" customHeight="false" outlineLevel="0" collapsed="false">
      <c r="A2817" s="12" t="n">
        <v>45809</v>
      </c>
      <c r="B2817" s="9" t="s">
        <v>93</v>
      </c>
      <c r="C2817" s="3" t="s">
        <v>109</v>
      </c>
      <c r="D2817" s="3" t="n">
        <v>2194000</v>
      </c>
      <c r="E2817" s="3" t="s">
        <v>114</v>
      </c>
      <c r="F2817" s="3" t="n">
        <f aca="false">IF(C2817="848630",0,1)</f>
        <v>1</v>
      </c>
    </row>
    <row r="2818" customFormat="false" ht="15" hidden="false" customHeight="false" outlineLevel="0" collapsed="false">
      <c r="A2818" s="12" t="n">
        <v>45809</v>
      </c>
      <c r="B2818" s="9" t="s">
        <v>93</v>
      </c>
      <c r="C2818" s="3" t="s">
        <v>109</v>
      </c>
      <c r="D2818" s="3" t="n">
        <v>24691000</v>
      </c>
      <c r="E2818" s="3" t="s">
        <v>114</v>
      </c>
      <c r="F2818" s="3" t="n">
        <f aca="false">IF(C2818="848630",0,1)</f>
        <v>1</v>
      </c>
    </row>
    <row r="2819" customFormat="false" ht="15" hidden="false" customHeight="false" outlineLevel="0" collapsed="false">
      <c r="A2819" s="12" t="n">
        <v>45809</v>
      </c>
      <c r="B2819" s="9" t="s">
        <v>93</v>
      </c>
      <c r="C2819" s="3" t="s">
        <v>109</v>
      </c>
      <c r="D2819" s="3" t="n">
        <v>34544000</v>
      </c>
      <c r="E2819" s="3" t="s">
        <v>114</v>
      </c>
      <c r="F2819" s="3" t="n">
        <f aca="false">IF(C2819="848630",0,1)</f>
        <v>1</v>
      </c>
    </row>
    <row r="2820" customFormat="false" ht="15" hidden="false" customHeight="false" outlineLevel="0" collapsed="false">
      <c r="A2820" s="12" t="n">
        <v>45809</v>
      </c>
      <c r="B2820" s="9" t="s">
        <v>93</v>
      </c>
      <c r="C2820" s="3" t="s">
        <v>109</v>
      </c>
      <c r="D2820" s="3" t="n">
        <v>10156000</v>
      </c>
      <c r="E2820" s="3" t="s">
        <v>114</v>
      </c>
      <c r="F2820" s="3" t="n">
        <f aca="false">IF(C2820="848630",0,1)</f>
        <v>1</v>
      </c>
    </row>
    <row r="2821" customFormat="false" ht="15" hidden="false" customHeight="false" outlineLevel="0" collapsed="false">
      <c r="A2821" s="12" t="n">
        <v>45809</v>
      </c>
      <c r="B2821" s="9" t="s">
        <v>93</v>
      </c>
      <c r="C2821" s="3" t="s">
        <v>109</v>
      </c>
      <c r="D2821" s="3" t="n">
        <v>9856000</v>
      </c>
      <c r="E2821" s="3" t="s">
        <v>114</v>
      </c>
      <c r="F2821" s="3" t="n">
        <f aca="false">IF(C2821="848630",0,1)</f>
        <v>1</v>
      </c>
    </row>
    <row r="2822" customFormat="false" ht="15" hidden="false" customHeight="false" outlineLevel="0" collapsed="false">
      <c r="A2822" s="12" t="n">
        <v>45809</v>
      </c>
      <c r="B2822" s="9" t="s">
        <v>93</v>
      </c>
      <c r="C2822" s="3" t="s">
        <v>109</v>
      </c>
      <c r="D2822" s="3" t="n">
        <v>2674000</v>
      </c>
      <c r="E2822" s="3" t="s">
        <v>114</v>
      </c>
      <c r="F2822" s="3" t="n">
        <f aca="false">IF(C2822="848630",0,1)</f>
        <v>1</v>
      </c>
    </row>
    <row r="2823" customFormat="false" ht="15" hidden="false" customHeight="false" outlineLevel="0" collapsed="false">
      <c r="A2823" s="12" t="n">
        <v>45809</v>
      </c>
      <c r="B2823" s="9" t="s">
        <v>93</v>
      </c>
      <c r="C2823" s="3" t="s">
        <v>109</v>
      </c>
      <c r="D2823" s="3" t="n">
        <v>514000</v>
      </c>
      <c r="E2823" s="3" t="s">
        <v>114</v>
      </c>
      <c r="F2823" s="3" t="n">
        <f aca="false">IF(C2823="848630",0,1)</f>
        <v>1</v>
      </c>
    </row>
    <row r="2824" customFormat="false" ht="15" hidden="false" customHeight="false" outlineLevel="0" collapsed="false">
      <c r="A2824" s="12" t="n">
        <v>45809</v>
      </c>
      <c r="B2824" s="9" t="s">
        <v>93</v>
      </c>
      <c r="C2824" s="3" t="s">
        <v>109</v>
      </c>
      <c r="D2824" s="3" t="n">
        <v>10560000</v>
      </c>
      <c r="E2824" s="3" t="s">
        <v>114</v>
      </c>
      <c r="F2824" s="3" t="n">
        <f aca="false">IF(C2824="848630",0,1)</f>
        <v>1</v>
      </c>
    </row>
    <row r="2825" customFormat="false" ht="15" hidden="false" customHeight="false" outlineLevel="0" collapsed="false">
      <c r="A2825" s="12" t="n">
        <v>45809</v>
      </c>
      <c r="B2825" s="9" t="s">
        <v>93</v>
      </c>
      <c r="C2825" s="3" t="s">
        <v>110</v>
      </c>
      <c r="D2825" s="3" t="n">
        <v>50701000</v>
      </c>
      <c r="E2825" s="3" t="s">
        <v>114</v>
      </c>
      <c r="F2825" s="3" t="n">
        <f aca="false">IF(C2825="848630",0,1)</f>
        <v>1</v>
      </c>
    </row>
    <row r="2826" customFormat="false" ht="15" hidden="false" customHeight="false" outlineLevel="0" collapsed="false">
      <c r="A2826" s="12" t="n">
        <v>45809</v>
      </c>
      <c r="B2826" s="9" t="s">
        <v>93</v>
      </c>
      <c r="C2826" s="3" t="s">
        <v>111</v>
      </c>
      <c r="D2826" s="3" t="n">
        <v>0</v>
      </c>
      <c r="E2826" s="3" t="s">
        <v>114</v>
      </c>
      <c r="F2826" s="3" t="n">
        <f aca="false">IF(C2826="848630",0,1)</f>
        <v>1</v>
      </c>
    </row>
    <row r="2827" customFormat="false" ht="15" hidden="false" customHeight="false" outlineLevel="0" collapsed="false">
      <c r="A2827" s="12" t="n">
        <v>45809</v>
      </c>
      <c r="B2827" s="9" t="s">
        <v>93</v>
      </c>
      <c r="C2827" s="3" t="s">
        <v>111</v>
      </c>
      <c r="D2827" s="3" t="n">
        <v>2367000</v>
      </c>
      <c r="E2827" s="3" t="s">
        <v>114</v>
      </c>
      <c r="F2827" s="3" t="n">
        <f aca="false">IF(C2827="848630",0,1)</f>
        <v>1</v>
      </c>
    </row>
    <row r="2828" customFormat="false" ht="15" hidden="false" customHeight="false" outlineLevel="0" collapsed="false">
      <c r="A2828" s="12" t="n">
        <v>45839</v>
      </c>
      <c r="B2828" s="9" t="s">
        <v>93</v>
      </c>
      <c r="C2828" s="3" t="s">
        <v>105</v>
      </c>
      <c r="D2828" s="3" t="n">
        <v>1637000</v>
      </c>
      <c r="E2828" s="3" t="s">
        <v>114</v>
      </c>
      <c r="F2828" s="3" t="n">
        <f aca="false">IF(C2828="848630",0,1)</f>
        <v>1</v>
      </c>
    </row>
    <row r="2829" customFormat="false" ht="15" hidden="false" customHeight="false" outlineLevel="0" collapsed="false">
      <c r="A2829" s="12" t="n">
        <v>45839</v>
      </c>
      <c r="B2829" s="9" t="s">
        <v>93</v>
      </c>
      <c r="C2829" s="3" t="s">
        <v>105</v>
      </c>
      <c r="D2829" s="3" t="n">
        <v>0</v>
      </c>
      <c r="E2829" s="3" t="s">
        <v>114</v>
      </c>
      <c r="F2829" s="3" t="n">
        <f aca="false">IF(C2829="848630",0,1)</f>
        <v>1</v>
      </c>
    </row>
    <row r="2830" customFormat="false" ht="15" hidden="false" customHeight="false" outlineLevel="0" collapsed="false">
      <c r="A2830" s="12" t="n">
        <v>45839</v>
      </c>
      <c r="B2830" s="9" t="s">
        <v>93</v>
      </c>
      <c r="C2830" s="3" t="s">
        <v>105</v>
      </c>
      <c r="D2830" s="3" t="n">
        <v>0</v>
      </c>
      <c r="E2830" s="3" t="s">
        <v>114</v>
      </c>
      <c r="F2830" s="3" t="n">
        <f aca="false">IF(C2830="848630",0,1)</f>
        <v>1</v>
      </c>
    </row>
    <row r="2831" customFormat="false" ht="15" hidden="false" customHeight="false" outlineLevel="0" collapsed="false">
      <c r="A2831" s="12" t="n">
        <v>45839</v>
      </c>
      <c r="B2831" s="9" t="s">
        <v>93</v>
      </c>
      <c r="C2831" s="3" t="s">
        <v>105</v>
      </c>
      <c r="D2831" s="3" t="n">
        <v>0</v>
      </c>
      <c r="E2831" s="3" t="s">
        <v>114</v>
      </c>
      <c r="F2831" s="3" t="n">
        <f aca="false">IF(C2831="848630",0,1)</f>
        <v>1</v>
      </c>
    </row>
    <row r="2832" customFormat="false" ht="15" hidden="false" customHeight="false" outlineLevel="0" collapsed="false">
      <c r="A2832" s="12" t="n">
        <v>45839</v>
      </c>
      <c r="B2832" s="9" t="s">
        <v>93</v>
      </c>
      <c r="C2832" s="3" t="s">
        <v>107</v>
      </c>
      <c r="D2832" s="3" t="n">
        <v>1455000</v>
      </c>
      <c r="E2832" s="3" t="s">
        <v>114</v>
      </c>
      <c r="F2832" s="3" t="n">
        <f aca="false">IF(C2832="848630",0,1)</f>
        <v>1</v>
      </c>
    </row>
    <row r="2833" customFormat="false" ht="15" hidden="false" customHeight="false" outlineLevel="0" collapsed="false">
      <c r="A2833" s="12" t="n">
        <v>45839</v>
      </c>
      <c r="B2833" s="9" t="s">
        <v>93</v>
      </c>
      <c r="C2833" s="3" t="s">
        <v>107</v>
      </c>
      <c r="D2833" s="3" t="n">
        <v>3131000</v>
      </c>
      <c r="E2833" s="3" t="s">
        <v>114</v>
      </c>
      <c r="F2833" s="3" t="n">
        <f aca="false">IF(C2833="848630",0,1)</f>
        <v>1</v>
      </c>
    </row>
    <row r="2834" customFormat="false" ht="15" hidden="false" customHeight="false" outlineLevel="0" collapsed="false">
      <c r="A2834" s="12" t="n">
        <v>45839</v>
      </c>
      <c r="B2834" s="9" t="s">
        <v>93</v>
      </c>
      <c r="C2834" s="3" t="s">
        <v>107</v>
      </c>
      <c r="D2834" s="3" t="n">
        <v>58365000</v>
      </c>
      <c r="E2834" s="3" t="s">
        <v>114</v>
      </c>
      <c r="F2834" s="3" t="n">
        <f aca="false">IF(C2834="848630",0,1)</f>
        <v>1</v>
      </c>
    </row>
    <row r="2835" customFormat="false" ht="15" hidden="false" customHeight="false" outlineLevel="0" collapsed="false">
      <c r="A2835" s="12" t="n">
        <v>45839</v>
      </c>
      <c r="B2835" s="9" t="s">
        <v>93</v>
      </c>
      <c r="C2835" s="3" t="s">
        <v>107</v>
      </c>
      <c r="D2835" s="3" t="n">
        <v>11500000</v>
      </c>
      <c r="E2835" s="3" t="s">
        <v>114</v>
      </c>
      <c r="F2835" s="3" t="n">
        <f aca="false">IF(C2835="848630",0,1)</f>
        <v>1</v>
      </c>
    </row>
    <row r="2836" customFormat="false" ht="15" hidden="false" customHeight="false" outlineLevel="0" collapsed="false">
      <c r="A2836" s="12" t="n">
        <v>45839</v>
      </c>
      <c r="B2836" s="9" t="s">
        <v>93</v>
      </c>
      <c r="C2836" s="3" t="s">
        <v>107</v>
      </c>
      <c r="D2836" s="3" t="n">
        <v>2473000</v>
      </c>
      <c r="E2836" s="3" t="s">
        <v>114</v>
      </c>
      <c r="F2836" s="3" t="n">
        <f aca="false">IF(C2836="848630",0,1)</f>
        <v>1</v>
      </c>
    </row>
    <row r="2837" customFormat="false" ht="15" hidden="false" customHeight="false" outlineLevel="0" collapsed="false">
      <c r="A2837" s="12" t="n">
        <v>45839</v>
      </c>
      <c r="B2837" s="9" t="s">
        <v>93</v>
      </c>
      <c r="C2837" s="3" t="s">
        <v>107</v>
      </c>
      <c r="D2837" s="3" t="n">
        <v>11998000</v>
      </c>
      <c r="E2837" s="3" t="s">
        <v>114</v>
      </c>
      <c r="F2837" s="3" t="n">
        <f aca="false">IF(C2837="848630",0,1)</f>
        <v>1</v>
      </c>
    </row>
    <row r="2838" customFormat="false" ht="15" hidden="false" customHeight="false" outlineLevel="0" collapsed="false">
      <c r="A2838" s="12" t="n">
        <v>45839</v>
      </c>
      <c r="B2838" s="9" t="s">
        <v>93</v>
      </c>
      <c r="C2838" s="3" t="s">
        <v>107</v>
      </c>
      <c r="D2838" s="3" t="n">
        <v>0</v>
      </c>
      <c r="E2838" s="3" t="s">
        <v>114</v>
      </c>
      <c r="F2838" s="3" t="n">
        <f aca="false">IF(C2838="848630",0,1)</f>
        <v>1</v>
      </c>
    </row>
    <row r="2839" customFormat="false" ht="15" hidden="false" customHeight="false" outlineLevel="0" collapsed="false">
      <c r="A2839" s="12" t="n">
        <v>45839</v>
      </c>
      <c r="B2839" s="9" t="s">
        <v>93</v>
      </c>
      <c r="C2839" s="3" t="s">
        <v>107</v>
      </c>
      <c r="D2839" s="3" t="n">
        <v>67070000</v>
      </c>
      <c r="E2839" s="3" t="s">
        <v>114</v>
      </c>
      <c r="F2839" s="3" t="n">
        <f aca="false">IF(C2839="848630",0,1)</f>
        <v>1</v>
      </c>
    </row>
    <row r="2840" customFormat="false" ht="15" hidden="false" customHeight="false" outlineLevel="0" collapsed="false">
      <c r="A2840" s="12" t="n">
        <v>45839</v>
      </c>
      <c r="B2840" s="9" t="s">
        <v>93</v>
      </c>
      <c r="C2840" s="3" t="s">
        <v>107</v>
      </c>
      <c r="D2840" s="3" t="n">
        <v>44000</v>
      </c>
      <c r="E2840" s="3" t="s">
        <v>114</v>
      </c>
      <c r="F2840" s="3" t="n">
        <f aca="false">IF(C2840="848630",0,1)</f>
        <v>1</v>
      </c>
    </row>
    <row r="2841" customFormat="false" ht="15" hidden="false" customHeight="false" outlineLevel="0" collapsed="false">
      <c r="A2841" s="12" t="n">
        <v>45839</v>
      </c>
      <c r="B2841" s="9" t="s">
        <v>93</v>
      </c>
      <c r="C2841" s="3" t="s">
        <v>107</v>
      </c>
      <c r="D2841" s="3" t="n">
        <v>7989000</v>
      </c>
      <c r="E2841" s="3" t="s">
        <v>114</v>
      </c>
      <c r="F2841" s="3" t="n">
        <f aca="false">IF(C2841="848630",0,1)</f>
        <v>1</v>
      </c>
    </row>
    <row r="2842" customFormat="false" ht="15" hidden="false" customHeight="false" outlineLevel="0" collapsed="false">
      <c r="A2842" s="12" t="n">
        <v>45839</v>
      </c>
      <c r="B2842" s="9" t="s">
        <v>93</v>
      </c>
      <c r="C2842" s="3" t="s">
        <v>107</v>
      </c>
      <c r="D2842" s="3" t="n">
        <v>18490000</v>
      </c>
      <c r="E2842" s="3" t="s">
        <v>114</v>
      </c>
      <c r="F2842" s="3" t="n">
        <f aca="false">IF(C2842="848630",0,1)</f>
        <v>1</v>
      </c>
    </row>
    <row r="2843" customFormat="false" ht="15" hidden="false" customHeight="false" outlineLevel="0" collapsed="false">
      <c r="A2843" s="12" t="n">
        <v>45839</v>
      </c>
      <c r="B2843" s="9" t="s">
        <v>93</v>
      </c>
      <c r="C2843" s="3" t="s">
        <v>107</v>
      </c>
      <c r="D2843" s="3" t="n">
        <v>16469000</v>
      </c>
      <c r="E2843" s="3" t="s">
        <v>114</v>
      </c>
      <c r="F2843" s="3" t="n">
        <f aca="false">IF(C2843="848630",0,1)</f>
        <v>1</v>
      </c>
    </row>
    <row r="2844" customFormat="false" ht="15" hidden="false" customHeight="false" outlineLevel="0" collapsed="false">
      <c r="A2844" s="12" t="n">
        <v>45839</v>
      </c>
      <c r="B2844" s="9" t="s">
        <v>93</v>
      </c>
      <c r="C2844" s="3" t="s">
        <v>107</v>
      </c>
      <c r="D2844" s="3" t="n">
        <v>2683000</v>
      </c>
      <c r="E2844" s="3" t="s">
        <v>114</v>
      </c>
      <c r="F2844" s="3" t="n">
        <f aca="false">IF(C2844="848630",0,1)</f>
        <v>1</v>
      </c>
    </row>
    <row r="2845" customFormat="false" ht="15" hidden="false" customHeight="false" outlineLevel="0" collapsed="false">
      <c r="A2845" s="12" t="n">
        <v>45839</v>
      </c>
      <c r="B2845" s="9" t="s">
        <v>93</v>
      </c>
      <c r="C2845" s="3" t="s">
        <v>107</v>
      </c>
      <c r="D2845" s="3" t="n">
        <v>122000</v>
      </c>
      <c r="E2845" s="3" t="s">
        <v>114</v>
      </c>
      <c r="F2845" s="3" t="n">
        <f aca="false">IF(C2845="848630",0,1)</f>
        <v>1</v>
      </c>
    </row>
    <row r="2846" customFormat="false" ht="15" hidden="false" customHeight="false" outlineLevel="0" collapsed="false">
      <c r="A2846" s="12" t="n">
        <v>45839</v>
      </c>
      <c r="B2846" s="9" t="s">
        <v>93</v>
      </c>
      <c r="C2846" s="3" t="s">
        <v>107</v>
      </c>
      <c r="D2846" s="3" t="n">
        <v>1852000</v>
      </c>
      <c r="E2846" s="3" t="s">
        <v>114</v>
      </c>
      <c r="F2846" s="3" t="n">
        <f aca="false">IF(C2846="848630",0,1)</f>
        <v>1</v>
      </c>
    </row>
    <row r="2847" customFormat="false" ht="15" hidden="false" customHeight="false" outlineLevel="0" collapsed="false">
      <c r="A2847" s="12" t="n">
        <v>45839</v>
      </c>
      <c r="B2847" s="9" t="s">
        <v>93</v>
      </c>
      <c r="C2847" s="3" t="s">
        <v>107</v>
      </c>
      <c r="D2847" s="3" t="n">
        <v>5160000</v>
      </c>
      <c r="E2847" s="3" t="s">
        <v>114</v>
      </c>
      <c r="F2847" s="3" t="n">
        <f aca="false">IF(C2847="848630",0,1)</f>
        <v>1</v>
      </c>
    </row>
    <row r="2848" customFormat="false" ht="15" hidden="false" customHeight="false" outlineLevel="0" collapsed="false">
      <c r="A2848" s="12" t="n">
        <v>45839</v>
      </c>
      <c r="B2848" s="9" t="s">
        <v>93</v>
      </c>
      <c r="C2848" s="3" t="s">
        <v>112</v>
      </c>
      <c r="D2848" s="3" t="n">
        <v>19967000</v>
      </c>
      <c r="E2848" s="3" t="s">
        <v>114</v>
      </c>
      <c r="F2848" s="3" t="n">
        <f aca="false">IF(C2848="848630",0,1)</f>
        <v>0</v>
      </c>
    </row>
    <row r="2849" customFormat="false" ht="15" hidden="false" customHeight="false" outlineLevel="0" collapsed="false">
      <c r="A2849" s="12" t="n">
        <v>45839</v>
      </c>
      <c r="B2849" s="9" t="s">
        <v>93</v>
      </c>
      <c r="C2849" s="3" t="s">
        <v>112</v>
      </c>
      <c r="D2849" s="3" t="n">
        <v>130000</v>
      </c>
      <c r="E2849" s="3" t="s">
        <v>114</v>
      </c>
      <c r="F2849" s="3" t="n">
        <f aca="false">IF(C2849="848630",0,1)</f>
        <v>0</v>
      </c>
    </row>
    <row r="2850" customFormat="false" ht="15" hidden="false" customHeight="false" outlineLevel="0" collapsed="false">
      <c r="A2850" s="12" t="n">
        <v>45839</v>
      </c>
      <c r="B2850" s="9" t="s">
        <v>93</v>
      </c>
      <c r="C2850" s="3" t="s">
        <v>112</v>
      </c>
      <c r="D2850" s="3" t="n">
        <v>28000</v>
      </c>
      <c r="E2850" s="3" t="s">
        <v>114</v>
      </c>
      <c r="F2850" s="3" t="n">
        <f aca="false">IF(C2850="848630",0,1)</f>
        <v>0</v>
      </c>
    </row>
    <row r="2851" customFormat="false" ht="15" hidden="false" customHeight="false" outlineLevel="0" collapsed="false">
      <c r="A2851" s="12" t="n">
        <v>45839</v>
      </c>
      <c r="B2851" s="9" t="s">
        <v>93</v>
      </c>
      <c r="C2851" s="3" t="s">
        <v>112</v>
      </c>
      <c r="D2851" s="3" t="n">
        <v>26000</v>
      </c>
      <c r="E2851" s="3" t="s">
        <v>114</v>
      </c>
      <c r="F2851" s="3" t="n">
        <f aca="false">IF(C2851="848630",0,1)</f>
        <v>0</v>
      </c>
    </row>
    <row r="2852" customFormat="false" ht="15" hidden="false" customHeight="false" outlineLevel="0" collapsed="false">
      <c r="A2852" s="12" t="n">
        <v>45839</v>
      </c>
      <c r="B2852" s="9" t="s">
        <v>93</v>
      </c>
      <c r="C2852" s="3" t="s">
        <v>112</v>
      </c>
      <c r="D2852" s="3" t="n">
        <v>1143000</v>
      </c>
      <c r="E2852" s="3" t="s">
        <v>114</v>
      </c>
      <c r="F2852" s="3" t="n">
        <f aca="false">IF(C2852="848630",0,1)</f>
        <v>0</v>
      </c>
    </row>
    <row r="2853" customFormat="false" ht="15" hidden="false" customHeight="false" outlineLevel="0" collapsed="false">
      <c r="A2853" s="12" t="n">
        <v>45839</v>
      </c>
      <c r="B2853" s="9" t="s">
        <v>93</v>
      </c>
      <c r="C2853" s="3" t="s">
        <v>108</v>
      </c>
      <c r="D2853" s="3" t="n">
        <v>180000</v>
      </c>
      <c r="E2853" s="3" t="s">
        <v>114</v>
      </c>
      <c r="F2853" s="3" t="n">
        <f aca="false">IF(C2853="848630",0,1)</f>
        <v>1</v>
      </c>
    </row>
    <row r="2854" customFormat="false" ht="15" hidden="false" customHeight="false" outlineLevel="0" collapsed="false">
      <c r="A2854" s="12" t="n">
        <v>45839</v>
      </c>
      <c r="B2854" s="9" t="s">
        <v>93</v>
      </c>
      <c r="C2854" s="3" t="s">
        <v>108</v>
      </c>
      <c r="D2854" s="3" t="n">
        <v>1572000</v>
      </c>
      <c r="E2854" s="3" t="s">
        <v>114</v>
      </c>
      <c r="F2854" s="3" t="n">
        <f aca="false">IF(C2854="848630",0,1)</f>
        <v>1</v>
      </c>
    </row>
    <row r="2855" customFormat="false" ht="15" hidden="false" customHeight="false" outlineLevel="0" collapsed="false">
      <c r="A2855" s="12" t="n">
        <v>45839</v>
      </c>
      <c r="B2855" s="9" t="s">
        <v>93</v>
      </c>
      <c r="C2855" s="3" t="s">
        <v>108</v>
      </c>
      <c r="D2855" s="3" t="n">
        <v>2456000</v>
      </c>
      <c r="E2855" s="3" t="s">
        <v>114</v>
      </c>
      <c r="F2855" s="3" t="n">
        <f aca="false">IF(C2855="848630",0,1)</f>
        <v>1</v>
      </c>
    </row>
    <row r="2856" customFormat="false" ht="15" hidden="false" customHeight="false" outlineLevel="0" collapsed="false">
      <c r="A2856" s="12" t="n">
        <v>45839</v>
      </c>
      <c r="B2856" s="9" t="s">
        <v>93</v>
      </c>
      <c r="C2856" s="3" t="s">
        <v>108</v>
      </c>
      <c r="D2856" s="3" t="n">
        <v>315000</v>
      </c>
      <c r="E2856" s="3" t="s">
        <v>114</v>
      </c>
      <c r="F2856" s="3" t="n">
        <f aca="false">IF(C2856="848630",0,1)</f>
        <v>1</v>
      </c>
    </row>
    <row r="2857" customFormat="false" ht="15" hidden="false" customHeight="false" outlineLevel="0" collapsed="false">
      <c r="A2857" s="12" t="n">
        <v>45839</v>
      </c>
      <c r="B2857" s="9" t="s">
        <v>93</v>
      </c>
      <c r="C2857" s="3" t="s">
        <v>108</v>
      </c>
      <c r="D2857" s="3" t="n">
        <v>381000</v>
      </c>
      <c r="E2857" s="3" t="s">
        <v>114</v>
      </c>
      <c r="F2857" s="3" t="n">
        <f aca="false">IF(C2857="848630",0,1)</f>
        <v>1</v>
      </c>
    </row>
    <row r="2858" customFormat="false" ht="15" hidden="false" customHeight="false" outlineLevel="0" collapsed="false">
      <c r="A2858" s="12" t="n">
        <v>45839</v>
      </c>
      <c r="B2858" s="9" t="s">
        <v>93</v>
      </c>
      <c r="C2858" s="3" t="s">
        <v>108</v>
      </c>
      <c r="D2858" s="3" t="n">
        <v>0</v>
      </c>
      <c r="E2858" s="3" t="s">
        <v>114</v>
      </c>
      <c r="F2858" s="3" t="n">
        <f aca="false">IF(C2858="848630",0,1)</f>
        <v>1</v>
      </c>
    </row>
    <row r="2859" customFormat="false" ht="15" hidden="false" customHeight="false" outlineLevel="0" collapsed="false">
      <c r="A2859" s="12" t="n">
        <v>45839</v>
      </c>
      <c r="B2859" s="9" t="s">
        <v>93</v>
      </c>
      <c r="C2859" s="3" t="s">
        <v>108</v>
      </c>
      <c r="D2859" s="3" t="n">
        <v>4449000</v>
      </c>
      <c r="E2859" s="3" t="s">
        <v>114</v>
      </c>
      <c r="F2859" s="3" t="n">
        <f aca="false">IF(C2859="848630",0,1)</f>
        <v>1</v>
      </c>
    </row>
    <row r="2860" customFormat="false" ht="15" hidden="false" customHeight="false" outlineLevel="0" collapsed="false">
      <c r="A2860" s="12" t="n">
        <v>45839</v>
      </c>
      <c r="B2860" s="9" t="s">
        <v>93</v>
      </c>
      <c r="C2860" s="3" t="s">
        <v>108</v>
      </c>
      <c r="D2860" s="3" t="n">
        <v>7906000</v>
      </c>
      <c r="E2860" s="3" t="s">
        <v>114</v>
      </c>
      <c r="F2860" s="3" t="n">
        <f aca="false">IF(C2860="848630",0,1)</f>
        <v>1</v>
      </c>
    </row>
    <row r="2861" customFormat="false" ht="15" hidden="false" customHeight="false" outlineLevel="0" collapsed="false">
      <c r="A2861" s="12" t="n">
        <v>45839</v>
      </c>
      <c r="B2861" s="9" t="s">
        <v>93</v>
      </c>
      <c r="C2861" s="3" t="s">
        <v>108</v>
      </c>
      <c r="D2861" s="3" t="n">
        <v>4977000</v>
      </c>
      <c r="E2861" s="3" t="s">
        <v>114</v>
      </c>
      <c r="F2861" s="3" t="n">
        <f aca="false">IF(C2861="848630",0,1)</f>
        <v>1</v>
      </c>
    </row>
    <row r="2862" customFormat="false" ht="15" hidden="false" customHeight="false" outlineLevel="0" collapsed="false">
      <c r="A2862" s="12" t="n">
        <v>45839</v>
      </c>
      <c r="B2862" s="9" t="s">
        <v>93</v>
      </c>
      <c r="C2862" s="3" t="s">
        <v>108</v>
      </c>
      <c r="D2862" s="3" t="n">
        <v>3760000</v>
      </c>
      <c r="E2862" s="3" t="s">
        <v>114</v>
      </c>
      <c r="F2862" s="3" t="n">
        <f aca="false">IF(C2862="848630",0,1)</f>
        <v>1</v>
      </c>
    </row>
    <row r="2863" customFormat="false" ht="15" hidden="false" customHeight="false" outlineLevel="0" collapsed="false">
      <c r="A2863" s="12" t="n">
        <v>45839</v>
      </c>
      <c r="B2863" s="9" t="s">
        <v>93</v>
      </c>
      <c r="C2863" s="3" t="s">
        <v>109</v>
      </c>
      <c r="D2863" s="3" t="n">
        <v>5001000</v>
      </c>
      <c r="E2863" s="3" t="s">
        <v>114</v>
      </c>
      <c r="F2863" s="3" t="n">
        <f aca="false">IF(C2863="848630",0,1)</f>
        <v>1</v>
      </c>
    </row>
    <row r="2864" customFormat="false" ht="15" hidden="false" customHeight="false" outlineLevel="0" collapsed="false">
      <c r="A2864" s="12" t="n">
        <v>45839</v>
      </c>
      <c r="B2864" s="9" t="s">
        <v>93</v>
      </c>
      <c r="C2864" s="3" t="s">
        <v>109</v>
      </c>
      <c r="D2864" s="3" t="n">
        <v>23851000</v>
      </c>
      <c r="E2864" s="3" t="s">
        <v>114</v>
      </c>
      <c r="F2864" s="3" t="n">
        <f aca="false">IF(C2864="848630",0,1)</f>
        <v>1</v>
      </c>
    </row>
    <row r="2865" customFormat="false" ht="15" hidden="false" customHeight="false" outlineLevel="0" collapsed="false">
      <c r="A2865" s="12" t="n">
        <v>45839</v>
      </c>
      <c r="B2865" s="9" t="s">
        <v>93</v>
      </c>
      <c r="C2865" s="3" t="s">
        <v>109</v>
      </c>
      <c r="D2865" s="3" t="n">
        <v>36123000</v>
      </c>
      <c r="E2865" s="3" t="s">
        <v>114</v>
      </c>
      <c r="F2865" s="3" t="n">
        <f aca="false">IF(C2865="848630",0,1)</f>
        <v>1</v>
      </c>
    </row>
    <row r="2866" customFormat="false" ht="15" hidden="false" customHeight="false" outlineLevel="0" collapsed="false">
      <c r="A2866" s="12" t="n">
        <v>45839</v>
      </c>
      <c r="B2866" s="9" t="s">
        <v>93</v>
      </c>
      <c r="C2866" s="3" t="s">
        <v>109</v>
      </c>
      <c r="D2866" s="3" t="n">
        <v>9116000</v>
      </c>
      <c r="E2866" s="3" t="s">
        <v>114</v>
      </c>
      <c r="F2866" s="3" t="n">
        <f aca="false">IF(C2866="848630",0,1)</f>
        <v>1</v>
      </c>
    </row>
    <row r="2867" customFormat="false" ht="15" hidden="false" customHeight="false" outlineLevel="0" collapsed="false">
      <c r="A2867" s="12" t="n">
        <v>45839</v>
      </c>
      <c r="B2867" s="9" t="s">
        <v>93</v>
      </c>
      <c r="C2867" s="3" t="s">
        <v>109</v>
      </c>
      <c r="D2867" s="3" t="n">
        <v>5916000</v>
      </c>
      <c r="E2867" s="3" t="s">
        <v>114</v>
      </c>
      <c r="F2867" s="3" t="n">
        <f aca="false">IF(C2867="848630",0,1)</f>
        <v>1</v>
      </c>
    </row>
    <row r="2868" customFormat="false" ht="15" hidden="false" customHeight="false" outlineLevel="0" collapsed="false">
      <c r="A2868" s="12" t="n">
        <v>45839</v>
      </c>
      <c r="B2868" s="9" t="s">
        <v>93</v>
      </c>
      <c r="C2868" s="3" t="s">
        <v>109</v>
      </c>
      <c r="D2868" s="3" t="n">
        <v>2133000</v>
      </c>
      <c r="E2868" s="3" t="s">
        <v>114</v>
      </c>
      <c r="F2868" s="3" t="n">
        <f aca="false">IF(C2868="848630",0,1)</f>
        <v>1</v>
      </c>
    </row>
    <row r="2869" customFormat="false" ht="15" hidden="false" customHeight="false" outlineLevel="0" collapsed="false">
      <c r="A2869" s="12" t="n">
        <v>45839</v>
      </c>
      <c r="B2869" s="9" t="s">
        <v>93</v>
      </c>
      <c r="C2869" s="3" t="s">
        <v>109</v>
      </c>
      <c r="D2869" s="3" t="n">
        <v>402000</v>
      </c>
      <c r="E2869" s="3" t="s">
        <v>114</v>
      </c>
      <c r="F2869" s="3" t="n">
        <f aca="false">IF(C2869="848630",0,1)</f>
        <v>1</v>
      </c>
    </row>
    <row r="2870" customFormat="false" ht="15" hidden="false" customHeight="false" outlineLevel="0" collapsed="false">
      <c r="A2870" s="12" t="n">
        <v>45839</v>
      </c>
      <c r="B2870" s="9" t="s">
        <v>93</v>
      </c>
      <c r="C2870" s="3" t="s">
        <v>109</v>
      </c>
      <c r="D2870" s="3" t="n">
        <v>8887000</v>
      </c>
      <c r="E2870" s="3" t="s">
        <v>114</v>
      </c>
      <c r="F2870" s="3" t="n">
        <f aca="false">IF(C2870="848630",0,1)</f>
        <v>1</v>
      </c>
    </row>
    <row r="2871" customFormat="false" ht="15" hidden="false" customHeight="false" outlineLevel="0" collapsed="false">
      <c r="A2871" s="12" t="n">
        <v>45839</v>
      </c>
      <c r="B2871" s="9" t="s">
        <v>93</v>
      </c>
      <c r="C2871" s="3" t="s">
        <v>110</v>
      </c>
      <c r="D2871" s="3" t="n">
        <v>70396000</v>
      </c>
      <c r="E2871" s="3" t="s">
        <v>114</v>
      </c>
      <c r="F2871" s="3" t="n">
        <f aca="false">IF(C2871="848630",0,1)</f>
        <v>1</v>
      </c>
    </row>
    <row r="2872" customFormat="false" ht="15" hidden="false" customHeight="false" outlineLevel="0" collapsed="false">
      <c r="A2872" s="12" t="n">
        <v>45839</v>
      </c>
      <c r="B2872" s="9" t="s">
        <v>93</v>
      </c>
      <c r="C2872" s="3" t="s">
        <v>111</v>
      </c>
      <c r="D2872" s="3" t="n">
        <v>0</v>
      </c>
      <c r="E2872" s="3" t="s">
        <v>114</v>
      </c>
      <c r="F2872" s="3" t="n">
        <f aca="false">IF(C2872="848630",0,1)</f>
        <v>1</v>
      </c>
    </row>
    <row r="2873" customFormat="false" ht="15" hidden="false" customHeight="false" outlineLevel="0" collapsed="false">
      <c r="A2873" s="12" t="n">
        <v>45839</v>
      </c>
      <c r="B2873" s="9" t="s">
        <v>93</v>
      </c>
      <c r="C2873" s="3" t="s">
        <v>111</v>
      </c>
      <c r="D2873" s="3" t="n">
        <v>29881000</v>
      </c>
      <c r="E2873" s="3" t="s">
        <v>114</v>
      </c>
      <c r="F2873" s="3" t="n">
        <f aca="false">IF(C2873="848630",0,1)</f>
        <v>1</v>
      </c>
    </row>
    <row r="2874" customFormat="false" ht="15" hidden="false" customHeight="false" outlineLevel="0" collapsed="false">
      <c r="A2874" s="12" t="n">
        <v>45870</v>
      </c>
      <c r="B2874" s="9" t="s">
        <v>93</v>
      </c>
      <c r="C2874" s="3" t="s">
        <v>105</v>
      </c>
      <c r="D2874" s="3" t="n">
        <v>2291000</v>
      </c>
      <c r="E2874" s="3" t="s">
        <v>114</v>
      </c>
      <c r="F2874" s="3" t="n">
        <f aca="false">IF(C2874="848630",0,1)</f>
        <v>1</v>
      </c>
    </row>
    <row r="2875" customFormat="false" ht="15" hidden="false" customHeight="false" outlineLevel="0" collapsed="false">
      <c r="A2875" s="12" t="n">
        <v>45870</v>
      </c>
      <c r="B2875" s="9" t="s">
        <v>93</v>
      </c>
      <c r="C2875" s="3" t="s">
        <v>105</v>
      </c>
      <c r="D2875" s="3" t="n">
        <v>19000</v>
      </c>
      <c r="E2875" s="3" t="s">
        <v>114</v>
      </c>
      <c r="F2875" s="3" t="n">
        <f aca="false">IF(C2875="848630",0,1)</f>
        <v>1</v>
      </c>
    </row>
    <row r="2876" customFormat="false" ht="15" hidden="false" customHeight="false" outlineLevel="0" collapsed="false">
      <c r="A2876" s="12" t="n">
        <v>45870</v>
      </c>
      <c r="B2876" s="9" t="s">
        <v>93</v>
      </c>
      <c r="C2876" s="3" t="s">
        <v>105</v>
      </c>
      <c r="D2876" s="3" t="n">
        <v>0</v>
      </c>
      <c r="E2876" s="3" t="s">
        <v>114</v>
      </c>
      <c r="F2876" s="3" t="n">
        <f aca="false">IF(C2876="848630",0,1)</f>
        <v>1</v>
      </c>
    </row>
    <row r="2877" customFormat="false" ht="15" hidden="false" customHeight="false" outlineLevel="0" collapsed="false">
      <c r="A2877" s="12" t="n">
        <v>45870</v>
      </c>
      <c r="B2877" s="9" t="s">
        <v>93</v>
      </c>
      <c r="C2877" s="3" t="s">
        <v>105</v>
      </c>
      <c r="D2877" s="3" t="n">
        <v>0</v>
      </c>
      <c r="E2877" s="3" t="s">
        <v>114</v>
      </c>
      <c r="F2877" s="3" t="n">
        <f aca="false">IF(C2877="848630",0,1)</f>
        <v>1</v>
      </c>
    </row>
    <row r="2878" customFormat="false" ht="15" hidden="false" customHeight="false" outlineLevel="0" collapsed="false">
      <c r="A2878" s="12" t="n">
        <v>45870</v>
      </c>
      <c r="B2878" s="9" t="s">
        <v>93</v>
      </c>
      <c r="C2878" s="3" t="s">
        <v>107</v>
      </c>
      <c r="D2878" s="3" t="n">
        <v>0</v>
      </c>
      <c r="E2878" s="3" t="s">
        <v>114</v>
      </c>
      <c r="F2878" s="3" t="n">
        <f aca="false">IF(C2878="848630",0,1)</f>
        <v>1</v>
      </c>
    </row>
    <row r="2879" customFormat="false" ht="15" hidden="false" customHeight="false" outlineLevel="0" collapsed="false">
      <c r="A2879" s="12" t="n">
        <v>45870</v>
      </c>
      <c r="B2879" s="9" t="s">
        <v>93</v>
      </c>
      <c r="C2879" s="3" t="s">
        <v>107</v>
      </c>
      <c r="D2879" s="3" t="n">
        <v>385000</v>
      </c>
      <c r="E2879" s="3" t="s">
        <v>114</v>
      </c>
      <c r="F2879" s="3" t="n">
        <f aca="false">IF(C2879="848630",0,1)</f>
        <v>1</v>
      </c>
    </row>
    <row r="2880" customFormat="false" ht="15" hidden="false" customHeight="false" outlineLevel="0" collapsed="false">
      <c r="A2880" s="12" t="n">
        <v>45870</v>
      </c>
      <c r="B2880" s="9" t="s">
        <v>93</v>
      </c>
      <c r="C2880" s="3" t="s">
        <v>107</v>
      </c>
      <c r="D2880" s="3" t="n">
        <v>127000</v>
      </c>
      <c r="E2880" s="3" t="s">
        <v>114</v>
      </c>
      <c r="F2880" s="3" t="n">
        <f aca="false">IF(C2880="848630",0,1)</f>
        <v>1</v>
      </c>
    </row>
    <row r="2881" customFormat="false" ht="15" hidden="false" customHeight="false" outlineLevel="0" collapsed="false">
      <c r="A2881" s="12" t="n">
        <v>45870</v>
      </c>
      <c r="B2881" s="9" t="s">
        <v>93</v>
      </c>
      <c r="C2881" s="3" t="s">
        <v>107</v>
      </c>
      <c r="D2881" s="3" t="n">
        <v>58172000</v>
      </c>
      <c r="E2881" s="3" t="s">
        <v>114</v>
      </c>
      <c r="F2881" s="3" t="n">
        <f aca="false">IF(C2881="848630",0,1)</f>
        <v>1</v>
      </c>
    </row>
    <row r="2882" customFormat="false" ht="15" hidden="false" customHeight="false" outlineLevel="0" collapsed="false">
      <c r="A2882" s="12" t="n">
        <v>45870</v>
      </c>
      <c r="B2882" s="9" t="s">
        <v>93</v>
      </c>
      <c r="C2882" s="3" t="s">
        <v>107</v>
      </c>
      <c r="D2882" s="3" t="n">
        <v>1000</v>
      </c>
      <c r="E2882" s="3" t="s">
        <v>114</v>
      </c>
      <c r="F2882" s="3" t="n">
        <f aca="false">IF(C2882="848630",0,1)</f>
        <v>1</v>
      </c>
    </row>
    <row r="2883" customFormat="false" ht="15" hidden="false" customHeight="false" outlineLevel="0" collapsed="false">
      <c r="A2883" s="12" t="n">
        <v>45870</v>
      </c>
      <c r="B2883" s="9" t="s">
        <v>93</v>
      </c>
      <c r="C2883" s="3" t="s">
        <v>107</v>
      </c>
      <c r="D2883" s="3" t="n">
        <v>474000</v>
      </c>
      <c r="E2883" s="3" t="s">
        <v>114</v>
      </c>
      <c r="F2883" s="3" t="n">
        <f aca="false">IF(C2883="848630",0,1)</f>
        <v>1</v>
      </c>
    </row>
    <row r="2884" customFormat="false" ht="15" hidden="false" customHeight="false" outlineLevel="0" collapsed="false">
      <c r="A2884" s="12" t="n">
        <v>45870</v>
      </c>
      <c r="B2884" s="9" t="s">
        <v>93</v>
      </c>
      <c r="C2884" s="3" t="s">
        <v>107</v>
      </c>
      <c r="D2884" s="3" t="n">
        <v>5486000</v>
      </c>
      <c r="E2884" s="3" t="s">
        <v>114</v>
      </c>
      <c r="F2884" s="3" t="n">
        <f aca="false">IF(C2884="848630",0,1)</f>
        <v>1</v>
      </c>
    </row>
    <row r="2885" customFormat="false" ht="15" hidden="false" customHeight="false" outlineLevel="0" collapsed="false">
      <c r="A2885" s="12" t="n">
        <v>45870</v>
      </c>
      <c r="B2885" s="9" t="s">
        <v>93</v>
      </c>
      <c r="C2885" s="3" t="s">
        <v>107</v>
      </c>
      <c r="D2885" s="3" t="n">
        <v>15902000</v>
      </c>
      <c r="E2885" s="3" t="s">
        <v>114</v>
      </c>
      <c r="F2885" s="3" t="n">
        <f aca="false">IF(C2885="848630",0,1)</f>
        <v>1</v>
      </c>
    </row>
    <row r="2886" customFormat="false" ht="15" hidden="false" customHeight="false" outlineLevel="0" collapsed="false">
      <c r="A2886" s="12" t="n">
        <v>45870</v>
      </c>
      <c r="B2886" s="9" t="s">
        <v>93</v>
      </c>
      <c r="C2886" s="3" t="s">
        <v>107</v>
      </c>
      <c r="D2886" s="3" t="n">
        <v>0</v>
      </c>
      <c r="E2886" s="3" t="s">
        <v>114</v>
      </c>
      <c r="F2886" s="3" t="n">
        <f aca="false">IF(C2886="848630",0,1)</f>
        <v>1</v>
      </c>
    </row>
    <row r="2887" customFormat="false" ht="15" hidden="false" customHeight="false" outlineLevel="0" collapsed="false">
      <c r="A2887" s="12" t="n">
        <v>45870</v>
      </c>
      <c r="B2887" s="9" t="s">
        <v>93</v>
      </c>
      <c r="C2887" s="3" t="s">
        <v>107</v>
      </c>
      <c r="D2887" s="3" t="n">
        <v>60285000</v>
      </c>
      <c r="E2887" s="3" t="s">
        <v>114</v>
      </c>
      <c r="F2887" s="3" t="n">
        <f aca="false">IF(C2887="848630",0,1)</f>
        <v>1</v>
      </c>
    </row>
    <row r="2888" customFormat="false" ht="15" hidden="false" customHeight="false" outlineLevel="0" collapsed="false">
      <c r="A2888" s="12" t="n">
        <v>45870</v>
      </c>
      <c r="B2888" s="9" t="s">
        <v>93</v>
      </c>
      <c r="C2888" s="3" t="s">
        <v>107</v>
      </c>
      <c r="D2888" s="3" t="n">
        <v>0</v>
      </c>
      <c r="E2888" s="3" t="s">
        <v>114</v>
      </c>
      <c r="F2888" s="3" t="n">
        <f aca="false">IF(C2888="848630",0,1)</f>
        <v>1</v>
      </c>
    </row>
    <row r="2889" customFormat="false" ht="15" hidden="false" customHeight="false" outlineLevel="0" collapsed="false">
      <c r="A2889" s="12" t="n">
        <v>45870</v>
      </c>
      <c r="B2889" s="9" t="s">
        <v>93</v>
      </c>
      <c r="C2889" s="3" t="s">
        <v>107</v>
      </c>
      <c r="D2889" s="3" t="n">
        <v>0</v>
      </c>
      <c r="E2889" s="3" t="s">
        <v>114</v>
      </c>
      <c r="F2889" s="3" t="n">
        <f aca="false">IF(C2889="848630",0,1)</f>
        <v>1</v>
      </c>
    </row>
    <row r="2890" customFormat="false" ht="15" hidden="false" customHeight="false" outlineLevel="0" collapsed="false">
      <c r="A2890" s="12" t="n">
        <v>45870</v>
      </c>
      <c r="B2890" s="9" t="s">
        <v>93</v>
      </c>
      <c r="C2890" s="3" t="s">
        <v>107</v>
      </c>
      <c r="D2890" s="3" t="n">
        <v>3494000</v>
      </c>
      <c r="E2890" s="3" t="s">
        <v>114</v>
      </c>
      <c r="F2890" s="3" t="n">
        <f aca="false">IF(C2890="848630",0,1)</f>
        <v>1</v>
      </c>
    </row>
    <row r="2891" customFormat="false" ht="15" hidden="false" customHeight="false" outlineLevel="0" collapsed="false">
      <c r="A2891" s="12" t="n">
        <v>45870</v>
      </c>
      <c r="B2891" s="9" t="s">
        <v>93</v>
      </c>
      <c r="C2891" s="3" t="s">
        <v>107</v>
      </c>
      <c r="D2891" s="3" t="n">
        <v>20610000</v>
      </c>
      <c r="E2891" s="3" t="s">
        <v>114</v>
      </c>
      <c r="F2891" s="3" t="n">
        <f aca="false">IF(C2891="848630",0,1)</f>
        <v>1</v>
      </c>
    </row>
    <row r="2892" customFormat="false" ht="15" hidden="false" customHeight="false" outlineLevel="0" collapsed="false">
      <c r="A2892" s="12" t="n">
        <v>45870</v>
      </c>
      <c r="B2892" s="9" t="s">
        <v>93</v>
      </c>
      <c r="C2892" s="3" t="s">
        <v>107</v>
      </c>
      <c r="D2892" s="3" t="n">
        <v>8570000</v>
      </c>
      <c r="E2892" s="3" t="s">
        <v>114</v>
      </c>
      <c r="F2892" s="3" t="n">
        <f aca="false">IF(C2892="848630",0,1)</f>
        <v>1</v>
      </c>
    </row>
    <row r="2893" customFormat="false" ht="15" hidden="false" customHeight="false" outlineLevel="0" collapsed="false">
      <c r="A2893" s="12" t="n">
        <v>45870</v>
      </c>
      <c r="B2893" s="9" t="s">
        <v>93</v>
      </c>
      <c r="C2893" s="3" t="s">
        <v>107</v>
      </c>
      <c r="D2893" s="3" t="n">
        <v>2374000</v>
      </c>
      <c r="E2893" s="3" t="s">
        <v>114</v>
      </c>
      <c r="F2893" s="3" t="n">
        <f aca="false">IF(C2893="848630",0,1)</f>
        <v>1</v>
      </c>
    </row>
    <row r="2894" customFormat="false" ht="15" hidden="false" customHeight="false" outlineLevel="0" collapsed="false">
      <c r="A2894" s="12" t="n">
        <v>45870</v>
      </c>
      <c r="B2894" s="9" t="s">
        <v>93</v>
      </c>
      <c r="C2894" s="3" t="s">
        <v>107</v>
      </c>
      <c r="D2894" s="3" t="n">
        <v>0</v>
      </c>
      <c r="E2894" s="3" t="s">
        <v>114</v>
      </c>
      <c r="F2894" s="3" t="n">
        <f aca="false">IF(C2894="848630",0,1)</f>
        <v>1</v>
      </c>
    </row>
    <row r="2895" customFormat="false" ht="15" hidden="false" customHeight="false" outlineLevel="0" collapsed="false">
      <c r="A2895" s="12" t="n">
        <v>45870</v>
      </c>
      <c r="B2895" s="9" t="s">
        <v>93</v>
      </c>
      <c r="C2895" s="3" t="s">
        <v>107</v>
      </c>
      <c r="D2895" s="3" t="n">
        <v>963000</v>
      </c>
      <c r="E2895" s="3" t="s">
        <v>114</v>
      </c>
      <c r="F2895" s="3" t="n">
        <f aca="false">IF(C2895="848630",0,1)</f>
        <v>1</v>
      </c>
    </row>
    <row r="2896" customFormat="false" ht="15" hidden="false" customHeight="false" outlineLevel="0" collapsed="false">
      <c r="A2896" s="12" t="n">
        <v>45870</v>
      </c>
      <c r="B2896" s="9" t="s">
        <v>93</v>
      </c>
      <c r="C2896" s="3" t="s">
        <v>107</v>
      </c>
      <c r="D2896" s="3" t="n">
        <v>6034000</v>
      </c>
      <c r="E2896" s="3" t="s">
        <v>114</v>
      </c>
      <c r="F2896" s="3" t="n">
        <f aca="false">IF(C2896="848630",0,1)</f>
        <v>1</v>
      </c>
    </row>
    <row r="2897" customFormat="false" ht="15" hidden="false" customHeight="false" outlineLevel="0" collapsed="false">
      <c r="A2897" s="12" t="n">
        <v>45870</v>
      </c>
      <c r="B2897" s="9" t="s">
        <v>93</v>
      </c>
      <c r="C2897" s="3" t="s">
        <v>112</v>
      </c>
      <c r="D2897" s="3" t="n">
        <v>0</v>
      </c>
      <c r="E2897" s="3" t="s">
        <v>114</v>
      </c>
      <c r="F2897" s="3" t="n">
        <f aca="false">IF(C2897="848630",0,1)</f>
        <v>0</v>
      </c>
    </row>
    <row r="2898" customFormat="false" ht="15" hidden="false" customHeight="false" outlineLevel="0" collapsed="false">
      <c r="A2898" s="12" t="n">
        <v>45870</v>
      </c>
      <c r="B2898" s="9" t="s">
        <v>93</v>
      </c>
      <c r="C2898" s="3" t="s">
        <v>112</v>
      </c>
      <c r="D2898" s="3" t="n">
        <v>223000</v>
      </c>
      <c r="E2898" s="3" t="s">
        <v>114</v>
      </c>
      <c r="F2898" s="3" t="n">
        <f aca="false">IF(C2898="848630",0,1)</f>
        <v>0</v>
      </c>
    </row>
    <row r="2899" customFormat="false" ht="15" hidden="false" customHeight="false" outlineLevel="0" collapsed="false">
      <c r="A2899" s="12" t="n">
        <v>45870</v>
      </c>
      <c r="B2899" s="9" t="s">
        <v>93</v>
      </c>
      <c r="C2899" s="3" t="s">
        <v>112</v>
      </c>
      <c r="D2899" s="3" t="n">
        <v>0</v>
      </c>
      <c r="E2899" s="3" t="s">
        <v>114</v>
      </c>
      <c r="F2899" s="3" t="n">
        <f aca="false">IF(C2899="848630",0,1)</f>
        <v>0</v>
      </c>
    </row>
    <row r="2900" customFormat="false" ht="15" hidden="false" customHeight="false" outlineLevel="0" collapsed="false">
      <c r="A2900" s="12" t="n">
        <v>45870</v>
      </c>
      <c r="B2900" s="9" t="s">
        <v>93</v>
      </c>
      <c r="C2900" s="3" t="s">
        <v>112</v>
      </c>
      <c r="D2900" s="3" t="n">
        <v>0</v>
      </c>
      <c r="E2900" s="3" t="s">
        <v>114</v>
      </c>
      <c r="F2900" s="3" t="n">
        <f aca="false">IF(C2900="848630",0,1)</f>
        <v>0</v>
      </c>
    </row>
    <row r="2901" customFormat="false" ht="15" hidden="false" customHeight="false" outlineLevel="0" collapsed="false">
      <c r="A2901" s="12" t="n">
        <v>45870</v>
      </c>
      <c r="B2901" s="9" t="s">
        <v>93</v>
      </c>
      <c r="C2901" s="3" t="s">
        <v>112</v>
      </c>
      <c r="D2901" s="3" t="n">
        <v>1898000</v>
      </c>
      <c r="E2901" s="3" t="s">
        <v>114</v>
      </c>
      <c r="F2901" s="3" t="n">
        <f aca="false">IF(C2901="848630",0,1)</f>
        <v>0</v>
      </c>
    </row>
    <row r="2902" customFormat="false" ht="15" hidden="false" customHeight="false" outlineLevel="0" collapsed="false">
      <c r="A2902" s="12" t="n">
        <v>45870</v>
      </c>
      <c r="B2902" s="9" t="s">
        <v>93</v>
      </c>
      <c r="C2902" s="3" t="s">
        <v>108</v>
      </c>
      <c r="D2902" s="3" t="n">
        <v>0</v>
      </c>
      <c r="E2902" s="3" t="s">
        <v>114</v>
      </c>
      <c r="F2902" s="3" t="n">
        <f aca="false">IF(C2902="848630",0,1)</f>
        <v>1</v>
      </c>
    </row>
    <row r="2903" customFormat="false" ht="15" hidden="false" customHeight="false" outlineLevel="0" collapsed="false">
      <c r="A2903" s="12" t="n">
        <v>45870</v>
      </c>
      <c r="B2903" s="9" t="s">
        <v>93</v>
      </c>
      <c r="C2903" s="3" t="s">
        <v>108</v>
      </c>
      <c r="D2903" s="3" t="n">
        <v>1732000</v>
      </c>
      <c r="E2903" s="3" t="s">
        <v>114</v>
      </c>
      <c r="F2903" s="3" t="n">
        <f aca="false">IF(C2903="848630",0,1)</f>
        <v>1</v>
      </c>
    </row>
    <row r="2904" customFormat="false" ht="15" hidden="false" customHeight="false" outlineLevel="0" collapsed="false">
      <c r="A2904" s="12" t="n">
        <v>45870</v>
      </c>
      <c r="B2904" s="9" t="s">
        <v>93</v>
      </c>
      <c r="C2904" s="3" t="s">
        <v>108</v>
      </c>
      <c r="D2904" s="3" t="n">
        <v>190000</v>
      </c>
      <c r="E2904" s="3" t="s">
        <v>114</v>
      </c>
      <c r="F2904" s="3" t="n">
        <f aca="false">IF(C2904="848630",0,1)</f>
        <v>1</v>
      </c>
    </row>
    <row r="2905" customFormat="false" ht="15" hidden="false" customHeight="false" outlineLevel="0" collapsed="false">
      <c r="A2905" s="12" t="n">
        <v>45870</v>
      </c>
      <c r="B2905" s="9" t="s">
        <v>93</v>
      </c>
      <c r="C2905" s="3" t="s">
        <v>108</v>
      </c>
      <c r="D2905" s="3" t="n">
        <v>836000</v>
      </c>
      <c r="E2905" s="3" t="s">
        <v>114</v>
      </c>
      <c r="F2905" s="3" t="n">
        <f aca="false">IF(C2905="848630",0,1)</f>
        <v>1</v>
      </c>
    </row>
    <row r="2906" customFormat="false" ht="15" hidden="false" customHeight="false" outlineLevel="0" collapsed="false">
      <c r="A2906" s="12" t="n">
        <v>45870</v>
      </c>
      <c r="B2906" s="9" t="s">
        <v>93</v>
      </c>
      <c r="C2906" s="3" t="s">
        <v>108</v>
      </c>
      <c r="D2906" s="3" t="n">
        <v>7363000</v>
      </c>
      <c r="E2906" s="3" t="s">
        <v>114</v>
      </c>
      <c r="F2906" s="3" t="n">
        <f aca="false">IF(C2906="848630",0,1)</f>
        <v>1</v>
      </c>
    </row>
    <row r="2907" customFormat="false" ht="15" hidden="false" customHeight="false" outlineLevel="0" collapsed="false">
      <c r="A2907" s="12" t="n">
        <v>45870</v>
      </c>
      <c r="B2907" s="9" t="s">
        <v>93</v>
      </c>
      <c r="C2907" s="3" t="s">
        <v>108</v>
      </c>
      <c r="D2907" s="3" t="n">
        <v>87000</v>
      </c>
      <c r="E2907" s="3" t="s">
        <v>114</v>
      </c>
      <c r="F2907" s="3" t="n">
        <f aca="false">IF(C2907="848630",0,1)</f>
        <v>1</v>
      </c>
    </row>
    <row r="2908" customFormat="false" ht="15" hidden="false" customHeight="false" outlineLevel="0" collapsed="false">
      <c r="A2908" s="12" t="n">
        <v>45870</v>
      </c>
      <c r="B2908" s="9" t="s">
        <v>93</v>
      </c>
      <c r="C2908" s="3" t="s">
        <v>108</v>
      </c>
      <c r="D2908" s="3" t="n">
        <v>4991000</v>
      </c>
      <c r="E2908" s="3" t="s">
        <v>114</v>
      </c>
      <c r="F2908" s="3" t="n">
        <f aca="false">IF(C2908="848630",0,1)</f>
        <v>1</v>
      </c>
    </row>
    <row r="2909" customFormat="false" ht="15" hidden="false" customHeight="false" outlineLevel="0" collapsed="false">
      <c r="A2909" s="12" t="n">
        <v>45870</v>
      </c>
      <c r="B2909" s="9" t="s">
        <v>93</v>
      </c>
      <c r="C2909" s="3" t="s">
        <v>109</v>
      </c>
      <c r="D2909" s="3" t="n">
        <v>1332000</v>
      </c>
      <c r="E2909" s="3" t="s">
        <v>114</v>
      </c>
      <c r="F2909" s="3" t="n">
        <f aca="false">IF(C2909="848630",0,1)</f>
        <v>1</v>
      </c>
    </row>
    <row r="2910" customFormat="false" ht="15" hidden="false" customHeight="false" outlineLevel="0" collapsed="false">
      <c r="A2910" s="12" t="n">
        <v>45870</v>
      </c>
      <c r="B2910" s="9" t="s">
        <v>93</v>
      </c>
      <c r="C2910" s="3" t="s">
        <v>109</v>
      </c>
      <c r="D2910" s="3" t="n">
        <v>16018000</v>
      </c>
      <c r="E2910" s="3" t="s">
        <v>114</v>
      </c>
      <c r="F2910" s="3" t="n">
        <f aca="false">IF(C2910="848630",0,1)</f>
        <v>1</v>
      </c>
    </row>
    <row r="2911" customFormat="false" ht="15" hidden="false" customHeight="false" outlineLevel="0" collapsed="false">
      <c r="A2911" s="12" t="n">
        <v>45870</v>
      </c>
      <c r="B2911" s="9" t="s">
        <v>93</v>
      </c>
      <c r="C2911" s="3" t="s">
        <v>109</v>
      </c>
      <c r="D2911" s="3" t="n">
        <v>33489000</v>
      </c>
      <c r="E2911" s="3" t="s">
        <v>114</v>
      </c>
      <c r="F2911" s="3" t="n">
        <f aca="false">IF(C2911="848630",0,1)</f>
        <v>1</v>
      </c>
    </row>
    <row r="2912" customFormat="false" ht="15" hidden="false" customHeight="false" outlineLevel="0" collapsed="false">
      <c r="A2912" s="12" t="n">
        <v>45870</v>
      </c>
      <c r="B2912" s="9" t="s">
        <v>93</v>
      </c>
      <c r="C2912" s="3" t="s">
        <v>109</v>
      </c>
      <c r="D2912" s="3" t="n">
        <v>8169000</v>
      </c>
      <c r="E2912" s="3" t="s">
        <v>114</v>
      </c>
      <c r="F2912" s="3" t="n">
        <f aca="false">IF(C2912="848630",0,1)</f>
        <v>1</v>
      </c>
    </row>
    <row r="2913" customFormat="false" ht="15" hidden="false" customHeight="false" outlineLevel="0" collapsed="false">
      <c r="A2913" s="12" t="n">
        <v>45870</v>
      </c>
      <c r="B2913" s="9" t="s">
        <v>93</v>
      </c>
      <c r="C2913" s="3" t="s">
        <v>109</v>
      </c>
      <c r="D2913" s="3" t="n">
        <v>272000</v>
      </c>
      <c r="E2913" s="3" t="s">
        <v>114</v>
      </c>
      <c r="F2913" s="3" t="n">
        <f aca="false">IF(C2913="848630",0,1)</f>
        <v>1</v>
      </c>
    </row>
    <row r="2914" customFormat="false" ht="15" hidden="false" customHeight="false" outlineLevel="0" collapsed="false">
      <c r="A2914" s="12" t="n">
        <v>45870</v>
      </c>
      <c r="B2914" s="9" t="s">
        <v>93</v>
      </c>
      <c r="C2914" s="3" t="s">
        <v>109</v>
      </c>
      <c r="D2914" s="3" t="n">
        <v>2033000</v>
      </c>
      <c r="E2914" s="3" t="s">
        <v>114</v>
      </c>
      <c r="F2914" s="3" t="n">
        <f aca="false">IF(C2914="848630",0,1)</f>
        <v>1</v>
      </c>
    </row>
    <row r="2915" customFormat="false" ht="15" hidden="false" customHeight="false" outlineLevel="0" collapsed="false">
      <c r="A2915" s="12" t="n">
        <v>45870</v>
      </c>
      <c r="B2915" s="9" t="s">
        <v>93</v>
      </c>
      <c r="C2915" s="3" t="s">
        <v>109</v>
      </c>
      <c r="D2915" s="3" t="n">
        <v>572000</v>
      </c>
      <c r="E2915" s="3" t="s">
        <v>114</v>
      </c>
      <c r="F2915" s="3" t="n">
        <f aca="false">IF(C2915="848630",0,1)</f>
        <v>1</v>
      </c>
    </row>
    <row r="2916" customFormat="false" ht="15" hidden="false" customHeight="false" outlineLevel="0" collapsed="false">
      <c r="A2916" s="12" t="n">
        <v>45870</v>
      </c>
      <c r="B2916" s="9" t="s">
        <v>93</v>
      </c>
      <c r="C2916" s="3" t="s">
        <v>109</v>
      </c>
      <c r="D2916" s="3" t="n">
        <v>7308000</v>
      </c>
      <c r="E2916" s="3" t="s">
        <v>114</v>
      </c>
      <c r="F2916" s="3" t="n">
        <f aca="false">IF(C2916="848630",0,1)</f>
        <v>1</v>
      </c>
    </row>
    <row r="2917" customFormat="false" ht="15" hidden="false" customHeight="false" outlineLevel="0" collapsed="false">
      <c r="A2917" s="12" t="n">
        <v>45870</v>
      </c>
      <c r="B2917" s="9" t="s">
        <v>93</v>
      </c>
      <c r="C2917" s="3" t="s">
        <v>110</v>
      </c>
      <c r="D2917" s="3" t="n">
        <v>66338000</v>
      </c>
      <c r="E2917" s="3" t="s">
        <v>114</v>
      </c>
      <c r="F2917" s="3" t="n">
        <f aca="false">IF(C2917="848630",0,1)</f>
        <v>1</v>
      </c>
    </row>
    <row r="2918" customFormat="false" ht="15" hidden="false" customHeight="false" outlineLevel="0" collapsed="false">
      <c r="A2918" s="12" t="n">
        <v>45870</v>
      </c>
      <c r="B2918" s="9" t="s">
        <v>93</v>
      </c>
      <c r="C2918" s="3" t="s">
        <v>111</v>
      </c>
      <c r="D2918" s="3" t="n">
        <v>257000</v>
      </c>
      <c r="E2918" s="3" t="s">
        <v>114</v>
      </c>
      <c r="F2918" s="3" t="n">
        <f aca="false">IF(C2918="848630",0,1)</f>
        <v>1</v>
      </c>
    </row>
    <row r="2919" customFormat="false" ht="15" hidden="false" customHeight="false" outlineLevel="0" collapsed="false">
      <c r="A2919" s="12" t="n">
        <v>45870</v>
      </c>
      <c r="B2919" s="9" t="s">
        <v>93</v>
      </c>
      <c r="C2919" s="3" t="s">
        <v>111</v>
      </c>
      <c r="D2919" s="3" t="n">
        <v>12457000</v>
      </c>
      <c r="E2919" s="3" t="s">
        <v>114</v>
      </c>
      <c r="F2919" s="3" t="n">
        <f aca="false">IF(C2919="848630",0,1)</f>
        <v>1</v>
      </c>
    </row>
    <row r="2920" customFormat="false" ht="15" hidden="false" customHeight="false" outlineLevel="0" collapsed="false">
      <c r="A2920" s="12" t="n">
        <v>45901</v>
      </c>
      <c r="B2920" s="9" t="s">
        <v>93</v>
      </c>
      <c r="C2920" s="3" t="s">
        <v>105</v>
      </c>
      <c r="D2920" s="3" t="n">
        <v>2000</v>
      </c>
      <c r="E2920" s="3" t="s">
        <v>114</v>
      </c>
      <c r="F2920" s="3" t="n">
        <f aca="false">IF(C2920="848630",0,1)</f>
        <v>1</v>
      </c>
    </row>
    <row r="2921" customFormat="false" ht="15" hidden="false" customHeight="false" outlineLevel="0" collapsed="false">
      <c r="A2921" s="12" t="n">
        <v>45901</v>
      </c>
      <c r="B2921" s="9" t="s">
        <v>93</v>
      </c>
      <c r="C2921" s="3" t="s">
        <v>105</v>
      </c>
      <c r="D2921" s="3" t="n">
        <v>2283000</v>
      </c>
      <c r="E2921" s="3" t="s">
        <v>114</v>
      </c>
      <c r="F2921" s="3" t="n">
        <f aca="false">IF(C2921="848630",0,1)</f>
        <v>1</v>
      </c>
    </row>
    <row r="2922" customFormat="false" ht="15" hidden="false" customHeight="false" outlineLevel="0" collapsed="false">
      <c r="A2922" s="12" t="n">
        <v>45901</v>
      </c>
      <c r="B2922" s="9" t="s">
        <v>93</v>
      </c>
      <c r="C2922" s="3" t="s">
        <v>105</v>
      </c>
      <c r="D2922" s="3" t="n">
        <v>0</v>
      </c>
      <c r="E2922" s="3" t="s">
        <v>114</v>
      </c>
      <c r="F2922" s="3" t="n">
        <f aca="false">IF(C2922="848630",0,1)</f>
        <v>1</v>
      </c>
    </row>
    <row r="2923" customFormat="false" ht="15" hidden="false" customHeight="false" outlineLevel="0" collapsed="false">
      <c r="A2923" s="12" t="n">
        <v>45901</v>
      </c>
      <c r="B2923" s="9" t="s">
        <v>93</v>
      </c>
      <c r="C2923" s="3" t="s">
        <v>105</v>
      </c>
      <c r="D2923" s="3" t="n">
        <v>0</v>
      </c>
      <c r="E2923" s="3" t="s">
        <v>114</v>
      </c>
      <c r="F2923" s="3" t="n">
        <f aca="false">IF(C2923="848630",0,1)</f>
        <v>1</v>
      </c>
    </row>
    <row r="2924" customFormat="false" ht="15" hidden="false" customHeight="false" outlineLevel="0" collapsed="false">
      <c r="A2924" s="12" t="n">
        <v>45901</v>
      </c>
      <c r="B2924" s="9" t="s">
        <v>93</v>
      </c>
      <c r="C2924" s="3" t="s">
        <v>107</v>
      </c>
      <c r="D2924" s="3" t="n">
        <v>1982000</v>
      </c>
      <c r="E2924" s="3" t="s">
        <v>114</v>
      </c>
      <c r="F2924" s="3" t="n">
        <f aca="false">IF(C2924="848630",0,1)</f>
        <v>1</v>
      </c>
    </row>
    <row r="2925" customFormat="false" ht="15" hidden="false" customHeight="false" outlineLevel="0" collapsed="false">
      <c r="A2925" s="12" t="n">
        <v>45901</v>
      </c>
      <c r="B2925" s="9" t="s">
        <v>93</v>
      </c>
      <c r="C2925" s="3" t="s">
        <v>107</v>
      </c>
      <c r="D2925" s="3" t="n">
        <v>95829000</v>
      </c>
      <c r="E2925" s="3" t="s">
        <v>114</v>
      </c>
      <c r="F2925" s="3" t="n">
        <f aca="false">IF(C2925="848630",0,1)</f>
        <v>1</v>
      </c>
    </row>
    <row r="2926" customFormat="false" ht="15" hidden="false" customHeight="false" outlineLevel="0" collapsed="false">
      <c r="A2926" s="12" t="n">
        <v>45901</v>
      </c>
      <c r="B2926" s="9" t="s">
        <v>93</v>
      </c>
      <c r="C2926" s="3" t="s">
        <v>107</v>
      </c>
      <c r="D2926" s="3" t="n">
        <v>5047000</v>
      </c>
      <c r="E2926" s="3" t="s">
        <v>114</v>
      </c>
      <c r="F2926" s="3" t="n">
        <f aca="false">IF(C2926="848630",0,1)</f>
        <v>1</v>
      </c>
    </row>
    <row r="2927" customFormat="false" ht="15" hidden="false" customHeight="false" outlineLevel="0" collapsed="false">
      <c r="A2927" s="12" t="n">
        <v>45901</v>
      </c>
      <c r="B2927" s="9" t="s">
        <v>93</v>
      </c>
      <c r="C2927" s="3" t="s">
        <v>107</v>
      </c>
      <c r="D2927" s="3" t="n">
        <v>9494000</v>
      </c>
      <c r="E2927" s="3" t="s">
        <v>114</v>
      </c>
      <c r="F2927" s="3" t="n">
        <f aca="false">IF(C2927="848630",0,1)</f>
        <v>1</v>
      </c>
    </row>
    <row r="2928" customFormat="false" ht="15" hidden="false" customHeight="false" outlineLevel="0" collapsed="false">
      <c r="A2928" s="12" t="n">
        <v>45901</v>
      </c>
      <c r="B2928" s="9" t="s">
        <v>93</v>
      </c>
      <c r="C2928" s="3" t="s">
        <v>107</v>
      </c>
      <c r="D2928" s="3" t="n">
        <v>16637000</v>
      </c>
      <c r="E2928" s="3" t="s">
        <v>114</v>
      </c>
      <c r="F2928" s="3" t="n">
        <f aca="false">IF(C2928="848630",0,1)</f>
        <v>1</v>
      </c>
    </row>
    <row r="2929" customFormat="false" ht="15" hidden="false" customHeight="false" outlineLevel="0" collapsed="false">
      <c r="A2929" s="12" t="n">
        <v>45901</v>
      </c>
      <c r="B2929" s="9" t="s">
        <v>93</v>
      </c>
      <c r="C2929" s="3" t="s">
        <v>107</v>
      </c>
      <c r="D2929" s="3" t="n">
        <v>1365000</v>
      </c>
      <c r="E2929" s="3" t="s">
        <v>114</v>
      </c>
      <c r="F2929" s="3" t="n">
        <f aca="false">IF(C2929="848630",0,1)</f>
        <v>1</v>
      </c>
    </row>
    <row r="2930" customFormat="false" ht="15" hidden="false" customHeight="false" outlineLevel="0" collapsed="false">
      <c r="A2930" s="12" t="n">
        <v>45901</v>
      </c>
      <c r="B2930" s="9" t="s">
        <v>93</v>
      </c>
      <c r="C2930" s="3" t="s">
        <v>107</v>
      </c>
      <c r="D2930" s="3" t="n">
        <v>132040000</v>
      </c>
      <c r="E2930" s="3" t="s">
        <v>114</v>
      </c>
      <c r="F2930" s="3" t="n">
        <f aca="false">IF(C2930="848630",0,1)</f>
        <v>1</v>
      </c>
    </row>
    <row r="2931" customFormat="false" ht="15" hidden="false" customHeight="false" outlineLevel="0" collapsed="false">
      <c r="A2931" s="12" t="n">
        <v>45901</v>
      </c>
      <c r="B2931" s="9" t="s">
        <v>93</v>
      </c>
      <c r="C2931" s="3" t="s">
        <v>107</v>
      </c>
      <c r="D2931" s="3" t="n">
        <v>44000</v>
      </c>
      <c r="E2931" s="3" t="s">
        <v>114</v>
      </c>
      <c r="F2931" s="3" t="n">
        <f aca="false">IF(C2931="848630",0,1)</f>
        <v>1</v>
      </c>
    </row>
    <row r="2932" customFormat="false" ht="15" hidden="false" customHeight="false" outlineLevel="0" collapsed="false">
      <c r="A2932" s="12" t="n">
        <v>45901</v>
      </c>
      <c r="B2932" s="9" t="s">
        <v>93</v>
      </c>
      <c r="C2932" s="3" t="s">
        <v>107</v>
      </c>
      <c r="D2932" s="3" t="n">
        <v>3534000</v>
      </c>
      <c r="E2932" s="3" t="s">
        <v>114</v>
      </c>
      <c r="F2932" s="3" t="n">
        <f aca="false">IF(C2932="848630",0,1)</f>
        <v>1</v>
      </c>
    </row>
    <row r="2933" customFormat="false" ht="15" hidden="false" customHeight="false" outlineLevel="0" collapsed="false">
      <c r="A2933" s="12" t="n">
        <v>45901</v>
      </c>
      <c r="B2933" s="9" t="s">
        <v>93</v>
      </c>
      <c r="C2933" s="3" t="s">
        <v>107</v>
      </c>
      <c r="D2933" s="3" t="n">
        <v>56461000</v>
      </c>
      <c r="E2933" s="3" t="s">
        <v>114</v>
      </c>
      <c r="F2933" s="3" t="n">
        <f aca="false">IF(C2933="848630",0,1)</f>
        <v>1</v>
      </c>
    </row>
    <row r="2934" customFormat="false" ht="15" hidden="false" customHeight="false" outlineLevel="0" collapsed="false">
      <c r="A2934" s="12" t="n">
        <v>45901</v>
      </c>
      <c r="B2934" s="9" t="s">
        <v>93</v>
      </c>
      <c r="C2934" s="3" t="s">
        <v>107</v>
      </c>
      <c r="D2934" s="3" t="n">
        <v>2933000</v>
      </c>
      <c r="E2934" s="3" t="s">
        <v>114</v>
      </c>
      <c r="F2934" s="3" t="n">
        <f aca="false">IF(C2934="848630",0,1)</f>
        <v>1</v>
      </c>
    </row>
    <row r="2935" customFormat="false" ht="15" hidden="false" customHeight="false" outlineLevel="0" collapsed="false">
      <c r="A2935" s="12" t="n">
        <v>45901</v>
      </c>
      <c r="B2935" s="9" t="s">
        <v>93</v>
      </c>
      <c r="C2935" s="3" t="s">
        <v>107</v>
      </c>
      <c r="D2935" s="3" t="n">
        <v>2550000</v>
      </c>
      <c r="E2935" s="3" t="s">
        <v>114</v>
      </c>
      <c r="F2935" s="3" t="n">
        <f aca="false">IF(C2935="848630",0,1)</f>
        <v>1</v>
      </c>
    </row>
    <row r="2936" customFormat="false" ht="15" hidden="false" customHeight="false" outlineLevel="0" collapsed="false">
      <c r="A2936" s="12" t="n">
        <v>45901</v>
      </c>
      <c r="B2936" s="9" t="s">
        <v>93</v>
      </c>
      <c r="C2936" s="3" t="s">
        <v>107</v>
      </c>
      <c r="D2936" s="3" t="n">
        <v>0</v>
      </c>
      <c r="E2936" s="3" t="s">
        <v>114</v>
      </c>
      <c r="F2936" s="3" t="n">
        <f aca="false">IF(C2936="848630",0,1)</f>
        <v>1</v>
      </c>
    </row>
    <row r="2937" customFormat="false" ht="15" hidden="false" customHeight="false" outlineLevel="0" collapsed="false">
      <c r="A2937" s="12" t="n">
        <v>45901</v>
      </c>
      <c r="B2937" s="9" t="s">
        <v>93</v>
      </c>
      <c r="C2937" s="3" t="s">
        <v>107</v>
      </c>
      <c r="D2937" s="3" t="n">
        <v>964000</v>
      </c>
      <c r="E2937" s="3" t="s">
        <v>114</v>
      </c>
      <c r="F2937" s="3" t="n">
        <f aca="false">IF(C2937="848630",0,1)</f>
        <v>1</v>
      </c>
    </row>
    <row r="2938" customFormat="false" ht="15" hidden="false" customHeight="false" outlineLevel="0" collapsed="false">
      <c r="A2938" s="12" t="n">
        <v>45901</v>
      </c>
      <c r="B2938" s="9" t="s">
        <v>93</v>
      </c>
      <c r="C2938" s="3" t="s">
        <v>107</v>
      </c>
      <c r="D2938" s="3" t="n">
        <v>1515000</v>
      </c>
      <c r="E2938" s="3" t="s">
        <v>114</v>
      </c>
      <c r="F2938" s="3" t="n">
        <f aca="false">IF(C2938="848630",0,1)</f>
        <v>1</v>
      </c>
    </row>
    <row r="2939" customFormat="false" ht="15" hidden="false" customHeight="false" outlineLevel="0" collapsed="false">
      <c r="A2939" s="12" t="n">
        <v>45901</v>
      </c>
      <c r="B2939" s="9" t="s">
        <v>93</v>
      </c>
      <c r="C2939" s="3" t="s">
        <v>112</v>
      </c>
      <c r="D2939" s="3" t="n">
        <v>309000</v>
      </c>
      <c r="E2939" s="3" t="s">
        <v>114</v>
      </c>
      <c r="F2939" s="3" t="n">
        <f aca="false">IF(C2939="848630",0,1)</f>
        <v>0</v>
      </c>
    </row>
    <row r="2940" customFormat="false" ht="15" hidden="false" customHeight="false" outlineLevel="0" collapsed="false">
      <c r="A2940" s="12" t="n">
        <v>45901</v>
      </c>
      <c r="B2940" s="9" t="s">
        <v>93</v>
      </c>
      <c r="C2940" s="3" t="s">
        <v>112</v>
      </c>
      <c r="D2940" s="3" t="n">
        <v>0</v>
      </c>
      <c r="E2940" s="3" t="s">
        <v>114</v>
      </c>
      <c r="F2940" s="3" t="n">
        <f aca="false">IF(C2940="848630",0,1)</f>
        <v>0</v>
      </c>
    </row>
    <row r="2941" customFormat="false" ht="15" hidden="false" customHeight="false" outlineLevel="0" collapsed="false">
      <c r="A2941" s="12" t="n">
        <v>45901</v>
      </c>
      <c r="B2941" s="9" t="s">
        <v>93</v>
      </c>
      <c r="C2941" s="3" t="s">
        <v>112</v>
      </c>
      <c r="D2941" s="3" t="n">
        <v>7000</v>
      </c>
      <c r="E2941" s="3" t="s">
        <v>114</v>
      </c>
      <c r="F2941" s="3" t="n">
        <f aca="false">IF(C2941="848630",0,1)</f>
        <v>0</v>
      </c>
    </row>
    <row r="2942" customFormat="false" ht="15" hidden="false" customHeight="false" outlineLevel="0" collapsed="false">
      <c r="A2942" s="12" t="n">
        <v>45901</v>
      </c>
      <c r="B2942" s="9" t="s">
        <v>93</v>
      </c>
      <c r="C2942" s="3" t="s">
        <v>108</v>
      </c>
      <c r="D2942" s="3" t="n">
        <v>52000</v>
      </c>
      <c r="E2942" s="3" t="s">
        <v>114</v>
      </c>
      <c r="F2942" s="3" t="n">
        <f aca="false">IF(C2942="848630",0,1)</f>
        <v>1</v>
      </c>
    </row>
    <row r="2943" customFormat="false" ht="15" hidden="false" customHeight="false" outlineLevel="0" collapsed="false">
      <c r="A2943" s="12" t="n">
        <v>45901</v>
      </c>
      <c r="B2943" s="9" t="s">
        <v>93</v>
      </c>
      <c r="C2943" s="3" t="s">
        <v>108</v>
      </c>
      <c r="D2943" s="3" t="n">
        <v>491000</v>
      </c>
      <c r="E2943" s="3" t="s">
        <v>114</v>
      </c>
      <c r="F2943" s="3" t="n">
        <f aca="false">IF(C2943="848630",0,1)</f>
        <v>1</v>
      </c>
    </row>
    <row r="2944" customFormat="false" ht="15" hidden="false" customHeight="false" outlineLevel="0" collapsed="false">
      <c r="A2944" s="12" t="n">
        <v>45901</v>
      </c>
      <c r="B2944" s="9" t="s">
        <v>93</v>
      </c>
      <c r="C2944" s="3" t="s">
        <v>108</v>
      </c>
      <c r="D2944" s="3" t="n">
        <v>0</v>
      </c>
      <c r="E2944" s="3" t="s">
        <v>114</v>
      </c>
      <c r="F2944" s="3" t="n">
        <f aca="false">IF(C2944="848630",0,1)</f>
        <v>1</v>
      </c>
    </row>
    <row r="2945" customFormat="false" ht="15" hidden="false" customHeight="false" outlineLevel="0" collapsed="false">
      <c r="A2945" s="12" t="n">
        <v>45901</v>
      </c>
      <c r="B2945" s="9" t="s">
        <v>93</v>
      </c>
      <c r="C2945" s="3" t="s">
        <v>108</v>
      </c>
      <c r="D2945" s="3" t="n">
        <v>20000</v>
      </c>
      <c r="E2945" s="3" t="s">
        <v>114</v>
      </c>
      <c r="F2945" s="3" t="n">
        <f aca="false">IF(C2945="848630",0,1)</f>
        <v>1</v>
      </c>
    </row>
    <row r="2946" customFormat="false" ht="15" hidden="false" customHeight="false" outlineLevel="0" collapsed="false">
      <c r="A2946" s="12" t="n">
        <v>45901</v>
      </c>
      <c r="B2946" s="9" t="s">
        <v>93</v>
      </c>
      <c r="C2946" s="3" t="s">
        <v>108</v>
      </c>
      <c r="D2946" s="3" t="n">
        <v>3052000</v>
      </c>
      <c r="E2946" s="3" t="s">
        <v>114</v>
      </c>
      <c r="F2946" s="3" t="n">
        <f aca="false">IF(C2946="848630",0,1)</f>
        <v>1</v>
      </c>
    </row>
    <row r="2947" customFormat="false" ht="15" hidden="false" customHeight="false" outlineLevel="0" collapsed="false">
      <c r="A2947" s="12" t="n">
        <v>45901</v>
      </c>
      <c r="B2947" s="9" t="s">
        <v>93</v>
      </c>
      <c r="C2947" s="3" t="s">
        <v>108</v>
      </c>
      <c r="D2947" s="3" t="n">
        <v>15835000</v>
      </c>
      <c r="E2947" s="3" t="s">
        <v>114</v>
      </c>
      <c r="F2947" s="3" t="n">
        <f aca="false">IF(C2947="848630",0,1)</f>
        <v>1</v>
      </c>
    </row>
    <row r="2948" customFormat="false" ht="15" hidden="false" customHeight="false" outlineLevel="0" collapsed="false">
      <c r="A2948" s="12" t="n">
        <v>45901</v>
      </c>
      <c r="B2948" s="9" t="s">
        <v>93</v>
      </c>
      <c r="C2948" s="3" t="s">
        <v>108</v>
      </c>
      <c r="D2948" s="3" t="n">
        <v>1165000</v>
      </c>
      <c r="E2948" s="3" t="s">
        <v>114</v>
      </c>
      <c r="F2948" s="3" t="n">
        <f aca="false">IF(C2948="848630",0,1)</f>
        <v>1</v>
      </c>
    </row>
    <row r="2949" customFormat="false" ht="15" hidden="false" customHeight="false" outlineLevel="0" collapsed="false">
      <c r="A2949" s="12" t="n">
        <v>45901</v>
      </c>
      <c r="B2949" s="9" t="s">
        <v>93</v>
      </c>
      <c r="C2949" s="3" t="s">
        <v>108</v>
      </c>
      <c r="D2949" s="3" t="n">
        <v>3815000</v>
      </c>
      <c r="E2949" s="3" t="s">
        <v>114</v>
      </c>
      <c r="F2949" s="3" t="n">
        <f aca="false">IF(C2949="848630",0,1)</f>
        <v>1</v>
      </c>
    </row>
    <row r="2950" customFormat="false" ht="15" hidden="false" customHeight="false" outlineLevel="0" collapsed="false">
      <c r="A2950" s="12" t="n">
        <v>45901</v>
      </c>
      <c r="B2950" s="9" t="s">
        <v>93</v>
      </c>
      <c r="C2950" s="3" t="s">
        <v>109</v>
      </c>
      <c r="D2950" s="3" t="n">
        <v>1566000</v>
      </c>
      <c r="E2950" s="3" t="s">
        <v>114</v>
      </c>
      <c r="F2950" s="3" t="n">
        <f aca="false">IF(C2950="848630",0,1)</f>
        <v>1</v>
      </c>
    </row>
    <row r="2951" customFormat="false" ht="15" hidden="false" customHeight="false" outlineLevel="0" collapsed="false">
      <c r="A2951" s="12" t="n">
        <v>45901</v>
      </c>
      <c r="B2951" s="9" t="s">
        <v>93</v>
      </c>
      <c r="C2951" s="3" t="s">
        <v>109</v>
      </c>
      <c r="D2951" s="3" t="n">
        <v>17610000</v>
      </c>
      <c r="E2951" s="3" t="s">
        <v>114</v>
      </c>
      <c r="F2951" s="3" t="n">
        <f aca="false">IF(C2951="848630",0,1)</f>
        <v>1</v>
      </c>
    </row>
    <row r="2952" customFormat="false" ht="15" hidden="false" customHeight="false" outlineLevel="0" collapsed="false">
      <c r="A2952" s="12" t="n">
        <v>45901</v>
      </c>
      <c r="B2952" s="9" t="s">
        <v>93</v>
      </c>
      <c r="C2952" s="3" t="s">
        <v>109</v>
      </c>
      <c r="D2952" s="3" t="n">
        <v>36393000</v>
      </c>
      <c r="E2952" s="3" t="s">
        <v>114</v>
      </c>
      <c r="F2952" s="3" t="n">
        <f aca="false">IF(C2952="848630",0,1)</f>
        <v>1</v>
      </c>
    </row>
    <row r="2953" customFormat="false" ht="15" hidden="false" customHeight="false" outlineLevel="0" collapsed="false">
      <c r="A2953" s="12" t="n">
        <v>45901</v>
      </c>
      <c r="B2953" s="9" t="s">
        <v>93</v>
      </c>
      <c r="C2953" s="3" t="s">
        <v>109</v>
      </c>
      <c r="D2953" s="3" t="n">
        <v>10845000</v>
      </c>
      <c r="E2953" s="3" t="s">
        <v>114</v>
      </c>
      <c r="F2953" s="3" t="n">
        <f aca="false">IF(C2953="848630",0,1)</f>
        <v>1</v>
      </c>
    </row>
    <row r="2954" customFormat="false" ht="15" hidden="false" customHeight="false" outlineLevel="0" collapsed="false">
      <c r="A2954" s="12" t="n">
        <v>45901</v>
      </c>
      <c r="B2954" s="9" t="s">
        <v>93</v>
      </c>
      <c r="C2954" s="3" t="s">
        <v>109</v>
      </c>
      <c r="D2954" s="3" t="n">
        <v>210000</v>
      </c>
      <c r="E2954" s="3" t="s">
        <v>114</v>
      </c>
      <c r="F2954" s="3" t="n">
        <f aca="false">IF(C2954="848630",0,1)</f>
        <v>1</v>
      </c>
    </row>
    <row r="2955" customFormat="false" ht="15" hidden="false" customHeight="false" outlineLevel="0" collapsed="false">
      <c r="A2955" s="12" t="n">
        <v>45901</v>
      </c>
      <c r="B2955" s="9" t="s">
        <v>93</v>
      </c>
      <c r="C2955" s="3" t="s">
        <v>109</v>
      </c>
      <c r="D2955" s="3" t="n">
        <v>1457000</v>
      </c>
      <c r="E2955" s="3" t="s">
        <v>114</v>
      </c>
      <c r="F2955" s="3" t="n">
        <f aca="false">IF(C2955="848630",0,1)</f>
        <v>1</v>
      </c>
    </row>
    <row r="2956" customFormat="false" ht="15" hidden="false" customHeight="false" outlineLevel="0" collapsed="false">
      <c r="A2956" s="12" t="n">
        <v>45901</v>
      </c>
      <c r="B2956" s="9" t="s">
        <v>93</v>
      </c>
      <c r="C2956" s="3" t="s">
        <v>109</v>
      </c>
      <c r="D2956" s="3" t="n">
        <v>297000</v>
      </c>
      <c r="E2956" s="3" t="s">
        <v>114</v>
      </c>
      <c r="F2956" s="3" t="n">
        <f aca="false">IF(C2956="848630",0,1)</f>
        <v>1</v>
      </c>
    </row>
    <row r="2957" customFormat="false" ht="15" hidden="false" customHeight="false" outlineLevel="0" collapsed="false">
      <c r="A2957" s="12" t="n">
        <v>45901</v>
      </c>
      <c r="B2957" s="9" t="s">
        <v>93</v>
      </c>
      <c r="C2957" s="3" t="s">
        <v>109</v>
      </c>
      <c r="D2957" s="3" t="n">
        <v>8118000</v>
      </c>
      <c r="E2957" s="3" t="s">
        <v>114</v>
      </c>
      <c r="F2957" s="3" t="n">
        <f aca="false">IF(C2957="848630",0,1)</f>
        <v>1</v>
      </c>
    </row>
    <row r="2958" customFormat="false" ht="15" hidden="false" customHeight="false" outlineLevel="0" collapsed="false">
      <c r="A2958" s="12" t="n">
        <v>45901</v>
      </c>
      <c r="B2958" s="9" t="s">
        <v>93</v>
      </c>
      <c r="C2958" s="3" t="s">
        <v>110</v>
      </c>
      <c r="D2958" s="3" t="n">
        <v>73369000</v>
      </c>
      <c r="E2958" s="3" t="s">
        <v>114</v>
      </c>
      <c r="F2958" s="3" t="n">
        <f aca="false">IF(C2958="848630",0,1)</f>
        <v>1</v>
      </c>
    </row>
    <row r="2959" customFormat="false" ht="15" hidden="false" customHeight="false" outlineLevel="0" collapsed="false">
      <c r="A2959" s="12" t="n">
        <v>45901</v>
      </c>
      <c r="B2959" s="9" t="s">
        <v>93</v>
      </c>
      <c r="C2959" s="3" t="s">
        <v>111</v>
      </c>
      <c r="D2959" s="3" t="n">
        <v>15786000</v>
      </c>
      <c r="E2959" s="3" t="s">
        <v>114</v>
      </c>
      <c r="F2959" s="3" t="n">
        <f aca="false">IF(C2959="848630",0,1)</f>
        <v>1</v>
      </c>
    </row>
    <row r="2960" customFormat="false" ht="15" hidden="false" customHeight="false" outlineLevel="0" collapsed="false">
      <c r="A2960" s="12" t="n">
        <v>45931</v>
      </c>
      <c r="B2960" s="9" t="s">
        <v>93</v>
      </c>
      <c r="C2960" s="3" t="s">
        <v>105</v>
      </c>
      <c r="D2960" s="3" t="n">
        <v>1400000</v>
      </c>
      <c r="E2960" s="3" t="s">
        <v>114</v>
      </c>
      <c r="F2960" s="3" t="n">
        <f aca="false">IF(C2960="848630",0,1)</f>
        <v>1</v>
      </c>
    </row>
    <row r="2961" customFormat="false" ht="15" hidden="false" customHeight="false" outlineLevel="0" collapsed="false">
      <c r="A2961" s="12" t="n">
        <v>45931</v>
      </c>
      <c r="B2961" s="9" t="s">
        <v>93</v>
      </c>
      <c r="C2961" s="3" t="s">
        <v>105</v>
      </c>
      <c r="D2961" s="3" t="n">
        <v>162000</v>
      </c>
      <c r="E2961" s="3" t="s">
        <v>114</v>
      </c>
      <c r="F2961" s="3" t="n">
        <f aca="false">IF(C2961="848630",0,1)</f>
        <v>1</v>
      </c>
    </row>
    <row r="2962" customFormat="false" ht="15" hidden="false" customHeight="false" outlineLevel="0" collapsed="false">
      <c r="A2962" s="12" t="n">
        <v>45931</v>
      </c>
      <c r="B2962" s="9" t="s">
        <v>93</v>
      </c>
      <c r="C2962" s="3" t="s">
        <v>105</v>
      </c>
      <c r="D2962" s="3" t="n">
        <v>0</v>
      </c>
      <c r="E2962" s="3" t="s">
        <v>114</v>
      </c>
      <c r="F2962" s="3" t="n">
        <f aca="false">IF(C2962="848630",0,1)</f>
        <v>1</v>
      </c>
    </row>
    <row r="2963" customFormat="false" ht="15" hidden="false" customHeight="false" outlineLevel="0" collapsed="false">
      <c r="A2963" s="12" t="n">
        <v>45931</v>
      </c>
      <c r="B2963" s="9" t="s">
        <v>93</v>
      </c>
      <c r="C2963" s="3" t="s">
        <v>105</v>
      </c>
      <c r="D2963" s="3" t="n">
        <v>3688000</v>
      </c>
      <c r="E2963" s="3" t="s">
        <v>114</v>
      </c>
      <c r="F2963" s="3" t="n">
        <f aca="false">IF(C2963="848630",0,1)</f>
        <v>1</v>
      </c>
    </row>
    <row r="2964" customFormat="false" ht="15" hidden="false" customHeight="false" outlineLevel="0" collapsed="false">
      <c r="A2964" s="12" t="n">
        <v>45931</v>
      </c>
      <c r="B2964" s="9" t="s">
        <v>93</v>
      </c>
      <c r="C2964" s="3" t="s">
        <v>107</v>
      </c>
      <c r="D2964" s="3" t="n">
        <v>131000</v>
      </c>
      <c r="E2964" s="3" t="s">
        <v>114</v>
      </c>
      <c r="F2964" s="3" t="n">
        <f aca="false">IF(C2964="848630",0,1)</f>
        <v>1</v>
      </c>
    </row>
    <row r="2965" customFormat="false" ht="15" hidden="false" customHeight="false" outlineLevel="0" collapsed="false">
      <c r="A2965" s="12" t="n">
        <v>45931</v>
      </c>
      <c r="B2965" s="9" t="s">
        <v>93</v>
      </c>
      <c r="C2965" s="3" t="s">
        <v>107</v>
      </c>
      <c r="D2965" s="3" t="n">
        <v>826000</v>
      </c>
      <c r="E2965" s="3" t="s">
        <v>114</v>
      </c>
      <c r="F2965" s="3" t="n">
        <f aca="false">IF(C2965="848630",0,1)</f>
        <v>1</v>
      </c>
    </row>
    <row r="2966" customFormat="false" ht="15" hidden="false" customHeight="false" outlineLevel="0" collapsed="false">
      <c r="A2966" s="12" t="n">
        <v>45931</v>
      </c>
      <c r="B2966" s="9" t="s">
        <v>93</v>
      </c>
      <c r="C2966" s="3" t="s">
        <v>107</v>
      </c>
      <c r="D2966" s="3" t="n">
        <v>83111000</v>
      </c>
      <c r="E2966" s="3" t="s">
        <v>114</v>
      </c>
      <c r="F2966" s="3" t="n">
        <f aca="false">IF(C2966="848630",0,1)</f>
        <v>1</v>
      </c>
    </row>
    <row r="2967" customFormat="false" ht="15" hidden="false" customHeight="false" outlineLevel="0" collapsed="false">
      <c r="A2967" s="12" t="n">
        <v>45931</v>
      </c>
      <c r="B2967" s="9" t="s">
        <v>93</v>
      </c>
      <c r="C2967" s="3" t="s">
        <v>107</v>
      </c>
      <c r="D2967" s="3" t="n">
        <v>3516000</v>
      </c>
      <c r="E2967" s="3" t="s">
        <v>114</v>
      </c>
      <c r="F2967" s="3" t="n">
        <f aca="false">IF(C2967="848630",0,1)</f>
        <v>1</v>
      </c>
    </row>
    <row r="2968" customFormat="false" ht="15" hidden="false" customHeight="false" outlineLevel="0" collapsed="false">
      <c r="A2968" s="12" t="n">
        <v>45931</v>
      </c>
      <c r="B2968" s="9" t="s">
        <v>93</v>
      </c>
      <c r="C2968" s="3" t="s">
        <v>107</v>
      </c>
      <c r="D2968" s="3" t="n">
        <v>9000</v>
      </c>
      <c r="E2968" s="3" t="s">
        <v>114</v>
      </c>
      <c r="F2968" s="3" t="n">
        <f aca="false">IF(C2968="848630",0,1)</f>
        <v>1</v>
      </c>
    </row>
    <row r="2969" customFormat="false" ht="15" hidden="false" customHeight="false" outlineLevel="0" collapsed="false">
      <c r="A2969" s="12" t="n">
        <v>45931</v>
      </c>
      <c r="B2969" s="9" t="s">
        <v>93</v>
      </c>
      <c r="C2969" s="3" t="s">
        <v>107</v>
      </c>
      <c r="D2969" s="3" t="n">
        <v>4542000</v>
      </c>
      <c r="E2969" s="3" t="s">
        <v>114</v>
      </c>
      <c r="F2969" s="3" t="n">
        <f aca="false">IF(C2969="848630",0,1)</f>
        <v>1</v>
      </c>
    </row>
    <row r="2970" customFormat="false" ht="15" hidden="false" customHeight="false" outlineLevel="0" collapsed="false">
      <c r="A2970" s="12" t="n">
        <v>45931</v>
      </c>
      <c r="B2970" s="9" t="s">
        <v>93</v>
      </c>
      <c r="C2970" s="3" t="s">
        <v>107</v>
      </c>
      <c r="D2970" s="3" t="n">
        <v>591000</v>
      </c>
      <c r="E2970" s="3" t="s">
        <v>114</v>
      </c>
      <c r="F2970" s="3" t="n">
        <f aca="false">IF(C2970="848630",0,1)</f>
        <v>1</v>
      </c>
    </row>
    <row r="2971" customFormat="false" ht="15" hidden="false" customHeight="false" outlineLevel="0" collapsed="false">
      <c r="A2971" s="12" t="n">
        <v>45931</v>
      </c>
      <c r="B2971" s="9" t="s">
        <v>93</v>
      </c>
      <c r="C2971" s="3" t="s">
        <v>107</v>
      </c>
      <c r="D2971" s="3" t="n">
        <v>74990000</v>
      </c>
      <c r="E2971" s="3" t="s">
        <v>114</v>
      </c>
      <c r="F2971" s="3" t="n">
        <f aca="false">IF(C2971="848630",0,1)</f>
        <v>1</v>
      </c>
    </row>
    <row r="2972" customFormat="false" ht="15" hidden="false" customHeight="false" outlineLevel="0" collapsed="false">
      <c r="A2972" s="12" t="n">
        <v>45931</v>
      </c>
      <c r="B2972" s="9" t="s">
        <v>93</v>
      </c>
      <c r="C2972" s="3" t="s">
        <v>107</v>
      </c>
      <c r="D2972" s="3" t="n">
        <v>34035000</v>
      </c>
      <c r="E2972" s="3" t="s">
        <v>114</v>
      </c>
      <c r="F2972" s="3" t="n">
        <f aca="false">IF(C2972="848630",0,1)</f>
        <v>1</v>
      </c>
    </row>
    <row r="2973" customFormat="false" ht="15" hidden="false" customHeight="false" outlineLevel="0" collapsed="false">
      <c r="A2973" s="12" t="n">
        <v>45931</v>
      </c>
      <c r="B2973" s="9" t="s">
        <v>93</v>
      </c>
      <c r="C2973" s="3" t="s">
        <v>107</v>
      </c>
      <c r="D2973" s="3" t="n">
        <v>48423000</v>
      </c>
      <c r="E2973" s="3" t="s">
        <v>114</v>
      </c>
      <c r="F2973" s="3" t="n">
        <f aca="false">IF(C2973="848630",0,1)</f>
        <v>1</v>
      </c>
    </row>
    <row r="2974" customFormat="false" ht="15" hidden="false" customHeight="false" outlineLevel="0" collapsed="false">
      <c r="A2974" s="12" t="n">
        <v>45931</v>
      </c>
      <c r="B2974" s="9" t="s">
        <v>93</v>
      </c>
      <c r="C2974" s="3" t="s">
        <v>107</v>
      </c>
      <c r="D2974" s="3" t="n">
        <v>5086000</v>
      </c>
      <c r="E2974" s="3" t="s">
        <v>114</v>
      </c>
      <c r="F2974" s="3" t="n">
        <f aca="false">IF(C2974="848630",0,1)</f>
        <v>1</v>
      </c>
    </row>
    <row r="2975" customFormat="false" ht="15" hidden="false" customHeight="false" outlineLevel="0" collapsed="false">
      <c r="A2975" s="12" t="n">
        <v>45931</v>
      </c>
      <c r="B2975" s="9" t="s">
        <v>93</v>
      </c>
      <c r="C2975" s="3" t="s">
        <v>107</v>
      </c>
      <c r="D2975" s="3" t="n">
        <v>4173000</v>
      </c>
      <c r="E2975" s="3" t="s">
        <v>114</v>
      </c>
      <c r="F2975" s="3" t="n">
        <f aca="false">IF(C2975="848630",0,1)</f>
        <v>1</v>
      </c>
    </row>
    <row r="2976" customFormat="false" ht="15" hidden="false" customHeight="false" outlineLevel="0" collapsed="false">
      <c r="A2976" s="12" t="n">
        <v>45931</v>
      </c>
      <c r="B2976" s="9" t="s">
        <v>93</v>
      </c>
      <c r="C2976" s="3" t="s">
        <v>107</v>
      </c>
      <c r="D2976" s="3" t="n">
        <v>1000</v>
      </c>
      <c r="E2976" s="3" t="s">
        <v>114</v>
      </c>
      <c r="F2976" s="3" t="n">
        <f aca="false">IF(C2976="848630",0,1)</f>
        <v>1</v>
      </c>
    </row>
    <row r="2977" customFormat="false" ht="15" hidden="false" customHeight="false" outlineLevel="0" collapsed="false">
      <c r="A2977" s="12" t="n">
        <v>45931</v>
      </c>
      <c r="B2977" s="9" t="s">
        <v>93</v>
      </c>
      <c r="C2977" s="3" t="s">
        <v>107</v>
      </c>
      <c r="D2977" s="3" t="n">
        <v>1052000</v>
      </c>
      <c r="E2977" s="3" t="s">
        <v>114</v>
      </c>
      <c r="F2977" s="3" t="n">
        <f aca="false">IF(C2977="848630",0,1)</f>
        <v>1</v>
      </c>
    </row>
    <row r="2978" customFormat="false" ht="15" hidden="false" customHeight="false" outlineLevel="0" collapsed="false">
      <c r="A2978" s="12" t="n">
        <v>45931</v>
      </c>
      <c r="B2978" s="9" t="s">
        <v>93</v>
      </c>
      <c r="C2978" s="3" t="s">
        <v>107</v>
      </c>
      <c r="D2978" s="3" t="n">
        <v>327000</v>
      </c>
      <c r="E2978" s="3" t="s">
        <v>114</v>
      </c>
      <c r="F2978" s="3" t="n">
        <f aca="false">IF(C2978="848630",0,1)</f>
        <v>1</v>
      </c>
    </row>
    <row r="2979" customFormat="false" ht="15" hidden="false" customHeight="false" outlineLevel="0" collapsed="false">
      <c r="A2979" s="12" t="n">
        <v>45931</v>
      </c>
      <c r="B2979" s="9" t="s">
        <v>93</v>
      </c>
      <c r="C2979" s="3" t="s">
        <v>112</v>
      </c>
      <c r="D2979" s="3" t="n">
        <v>8889000</v>
      </c>
      <c r="E2979" s="3" t="s">
        <v>114</v>
      </c>
      <c r="F2979" s="3" t="n">
        <f aca="false">IF(C2979="848630",0,1)</f>
        <v>0</v>
      </c>
    </row>
    <row r="2980" customFormat="false" ht="15" hidden="false" customHeight="false" outlineLevel="0" collapsed="false">
      <c r="A2980" s="12" t="n">
        <v>45931</v>
      </c>
      <c r="B2980" s="9" t="s">
        <v>93</v>
      </c>
      <c r="C2980" s="3" t="s">
        <v>112</v>
      </c>
      <c r="D2980" s="3" t="n">
        <v>73000</v>
      </c>
      <c r="E2980" s="3" t="s">
        <v>114</v>
      </c>
      <c r="F2980" s="3" t="n">
        <f aca="false">IF(C2980="848630",0,1)</f>
        <v>0</v>
      </c>
    </row>
    <row r="2981" customFormat="false" ht="15" hidden="false" customHeight="false" outlineLevel="0" collapsed="false">
      <c r="A2981" s="12" t="n">
        <v>45931</v>
      </c>
      <c r="B2981" s="9" t="s">
        <v>93</v>
      </c>
      <c r="C2981" s="3" t="s">
        <v>112</v>
      </c>
      <c r="D2981" s="3" t="n">
        <v>0</v>
      </c>
      <c r="E2981" s="3" t="s">
        <v>114</v>
      </c>
      <c r="F2981" s="3" t="n">
        <f aca="false">IF(C2981="848630",0,1)</f>
        <v>0</v>
      </c>
    </row>
    <row r="2982" customFormat="false" ht="15" hidden="false" customHeight="false" outlineLevel="0" collapsed="false">
      <c r="A2982" s="12" t="n">
        <v>45931</v>
      </c>
      <c r="B2982" s="9" t="s">
        <v>93</v>
      </c>
      <c r="C2982" s="3" t="s">
        <v>112</v>
      </c>
      <c r="D2982" s="3" t="n">
        <v>24000</v>
      </c>
      <c r="E2982" s="3" t="s">
        <v>114</v>
      </c>
      <c r="F2982" s="3" t="n">
        <f aca="false">IF(C2982="848630",0,1)</f>
        <v>0</v>
      </c>
    </row>
    <row r="2983" customFormat="false" ht="15" hidden="false" customHeight="false" outlineLevel="0" collapsed="false">
      <c r="A2983" s="12" t="n">
        <v>45931</v>
      </c>
      <c r="B2983" s="9" t="s">
        <v>93</v>
      </c>
      <c r="C2983" s="3" t="s">
        <v>108</v>
      </c>
      <c r="D2983" s="3" t="n">
        <v>10006000</v>
      </c>
      <c r="E2983" s="3" t="s">
        <v>114</v>
      </c>
      <c r="F2983" s="3" t="n">
        <f aca="false">IF(C2983="848630",0,1)</f>
        <v>1</v>
      </c>
    </row>
    <row r="2984" customFormat="false" ht="15" hidden="false" customHeight="false" outlineLevel="0" collapsed="false">
      <c r="A2984" s="12" t="n">
        <v>45931</v>
      </c>
      <c r="B2984" s="9" t="s">
        <v>93</v>
      </c>
      <c r="C2984" s="3" t="s">
        <v>108</v>
      </c>
      <c r="D2984" s="3" t="n">
        <v>41000</v>
      </c>
      <c r="E2984" s="3" t="s">
        <v>114</v>
      </c>
      <c r="F2984" s="3" t="n">
        <f aca="false">IF(C2984="848630",0,1)</f>
        <v>1</v>
      </c>
    </row>
    <row r="2985" customFormat="false" ht="15" hidden="false" customHeight="false" outlineLevel="0" collapsed="false">
      <c r="A2985" s="12" t="n">
        <v>45931</v>
      </c>
      <c r="B2985" s="9" t="s">
        <v>93</v>
      </c>
      <c r="C2985" s="3" t="s">
        <v>108</v>
      </c>
      <c r="D2985" s="3" t="n">
        <v>27000</v>
      </c>
      <c r="E2985" s="3" t="s">
        <v>114</v>
      </c>
      <c r="F2985" s="3" t="n">
        <f aca="false">IF(C2985="848630",0,1)</f>
        <v>1</v>
      </c>
    </row>
    <row r="2986" customFormat="false" ht="15" hidden="false" customHeight="false" outlineLevel="0" collapsed="false">
      <c r="A2986" s="12" t="n">
        <v>45931</v>
      </c>
      <c r="B2986" s="9" t="s">
        <v>93</v>
      </c>
      <c r="C2986" s="3" t="s">
        <v>108</v>
      </c>
      <c r="D2986" s="3" t="n">
        <v>28000</v>
      </c>
      <c r="E2986" s="3" t="s">
        <v>114</v>
      </c>
      <c r="F2986" s="3" t="n">
        <f aca="false">IF(C2986="848630",0,1)</f>
        <v>1</v>
      </c>
    </row>
    <row r="2987" customFormat="false" ht="15" hidden="false" customHeight="false" outlineLevel="0" collapsed="false">
      <c r="A2987" s="12" t="n">
        <v>45931</v>
      </c>
      <c r="B2987" s="9" t="s">
        <v>93</v>
      </c>
      <c r="C2987" s="3" t="s">
        <v>108</v>
      </c>
      <c r="D2987" s="3" t="n">
        <v>0</v>
      </c>
      <c r="E2987" s="3" t="s">
        <v>114</v>
      </c>
      <c r="F2987" s="3" t="n">
        <f aca="false">IF(C2987="848630",0,1)</f>
        <v>1</v>
      </c>
    </row>
    <row r="2988" customFormat="false" ht="15" hidden="false" customHeight="false" outlineLevel="0" collapsed="false">
      <c r="A2988" s="12" t="n">
        <v>45931</v>
      </c>
      <c r="B2988" s="9" t="s">
        <v>93</v>
      </c>
      <c r="C2988" s="3" t="s">
        <v>108</v>
      </c>
      <c r="D2988" s="3" t="n">
        <v>0</v>
      </c>
      <c r="E2988" s="3" t="s">
        <v>114</v>
      </c>
      <c r="F2988" s="3" t="n">
        <f aca="false">IF(C2988="848630",0,1)</f>
        <v>1</v>
      </c>
    </row>
    <row r="2989" customFormat="false" ht="15" hidden="false" customHeight="false" outlineLevel="0" collapsed="false">
      <c r="A2989" s="12" t="n">
        <v>45931</v>
      </c>
      <c r="B2989" s="9" t="s">
        <v>93</v>
      </c>
      <c r="C2989" s="3" t="s">
        <v>108</v>
      </c>
      <c r="D2989" s="3" t="n">
        <v>305000</v>
      </c>
      <c r="E2989" s="3" t="s">
        <v>114</v>
      </c>
      <c r="F2989" s="3" t="n">
        <f aca="false">IF(C2989="848630",0,1)</f>
        <v>1</v>
      </c>
    </row>
    <row r="2990" customFormat="false" ht="15" hidden="false" customHeight="false" outlineLevel="0" collapsed="false">
      <c r="A2990" s="12" t="n">
        <v>45931</v>
      </c>
      <c r="B2990" s="9" t="s">
        <v>93</v>
      </c>
      <c r="C2990" s="3" t="s">
        <v>108</v>
      </c>
      <c r="D2990" s="3" t="n">
        <v>1485000</v>
      </c>
      <c r="E2990" s="3" t="s">
        <v>114</v>
      </c>
      <c r="F2990" s="3" t="n">
        <f aca="false">IF(C2990="848630",0,1)</f>
        <v>1</v>
      </c>
    </row>
    <row r="2991" customFormat="false" ht="15" hidden="false" customHeight="false" outlineLevel="0" collapsed="false">
      <c r="A2991" s="12" t="n">
        <v>45931</v>
      </c>
      <c r="B2991" s="9" t="s">
        <v>93</v>
      </c>
      <c r="C2991" s="3" t="s">
        <v>108</v>
      </c>
      <c r="D2991" s="3" t="n">
        <v>8573000</v>
      </c>
      <c r="E2991" s="3" t="s">
        <v>114</v>
      </c>
      <c r="F2991" s="3" t="n">
        <f aca="false">IF(C2991="848630",0,1)</f>
        <v>1</v>
      </c>
    </row>
    <row r="2992" customFormat="false" ht="15" hidden="false" customHeight="false" outlineLevel="0" collapsed="false">
      <c r="A2992" s="12" t="n">
        <v>45931</v>
      </c>
      <c r="B2992" s="9" t="s">
        <v>93</v>
      </c>
      <c r="C2992" s="3" t="s">
        <v>108</v>
      </c>
      <c r="D2992" s="3" t="n">
        <v>4974000</v>
      </c>
      <c r="E2992" s="3" t="s">
        <v>114</v>
      </c>
      <c r="F2992" s="3" t="n">
        <f aca="false">IF(C2992="848630",0,1)</f>
        <v>1</v>
      </c>
    </row>
    <row r="2993" customFormat="false" ht="15" hidden="false" customHeight="false" outlineLevel="0" collapsed="false">
      <c r="A2993" s="12" t="n">
        <v>45931</v>
      </c>
      <c r="B2993" s="9" t="s">
        <v>93</v>
      </c>
      <c r="C2993" s="3" t="s">
        <v>108</v>
      </c>
      <c r="D2993" s="3" t="n">
        <v>2213000</v>
      </c>
      <c r="E2993" s="3" t="s">
        <v>114</v>
      </c>
      <c r="F2993" s="3" t="n">
        <f aca="false">IF(C2993="848630",0,1)</f>
        <v>1</v>
      </c>
    </row>
    <row r="2994" customFormat="false" ht="15" hidden="false" customHeight="false" outlineLevel="0" collapsed="false">
      <c r="A2994" s="12" t="n">
        <v>45931</v>
      </c>
      <c r="B2994" s="9" t="s">
        <v>93</v>
      </c>
      <c r="C2994" s="3" t="s">
        <v>109</v>
      </c>
      <c r="D2994" s="3" t="n">
        <v>1771000</v>
      </c>
      <c r="E2994" s="3" t="s">
        <v>114</v>
      </c>
      <c r="F2994" s="3" t="n">
        <f aca="false">IF(C2994="848630",0,1)</f>
        <v>1</v>
      </c>
    </row>
    <row r="2995" customFormat="false" ht="15" hidden="false" customHeight="false" outlineLevel="0" collapsed="false">
      <c r="A2995" s="12" t="n">
        <v>45931</v>
      </c>
      <c r="B2995" s="9" t="s">
        <v>93</v>
      </c>
      <c r="C2995" s="3" t="s">
        <v>109</v>
      </c>
      <c r="D2995" s="3" t="n">
        <v>24515000</v>
      </c>
      <c r="E2995" s="3" t="s">
        <v>114</v>
      </c>
      <c r="F2995" s="3" t="n">
        <f aca="false">IF(C2995="848630",0,1)</f>
        <v>1</v>
      </c>
    </row>
    <row r="2996" customFormat="false" ht="15" hidden="false" customHeight="false" outlineLevel="0" collapsed="false">
      <c r="A2996" s="12" t="n">
        <v>45931</v>
      </c>
      <c r="B2996" s="9" t="s">
        <v>93</v>
      </c>
      <c r="C2996" s="3" t="s">
        <v>109</v>
      </c>
      <c r="D2996" s="3" t="n">
        <v>30682000</v>
      </c>
      <c r="E2996" s="3" t="s">
        <v>114</v>
      </c>
      <c r="F2996" s="3" t="n">
        <f aca="false">IF(C2996="848630",0,1)</f>
        <v>1</v>
      </c>
    </row>
    <row r="2997" customFormat="false" ht="15" hidden="false" customHeight="false" outlineLevel="0" collapsed="false">
      <c r="A2997" s="12" t="n">
        <v>45931</v>
      </c>
      <c r="B2997" s="9" t="s">
        <v>93</v>
      </c>
      <c r="C2997" s="3" t="s">
        <v>109</v>
      </c>
      <c r="D2997" s="3" t="n">
        <v>10077000</v>
      </c>
      <c r="E2997" s="3" t="s">
        <v>114</v>
      </c>
      <c r="F2997" s="3" t="n">
        <f aca="false">IF(C2997="848630",0,1)</f>
        <v>1</v>
      </c>
    </row>
    <row r="2998" customFormat="false" ht="15" hidden="false" customHeight="false" outlineLevel="0" collapsed="false">
      <c r="A2998" s="12" t="n">
        <v>45931</v>
      </c>
      <c r="B2998" s="9" t="s">
        <v>93</v>
      </c>
      <c r="C2998" s="3" t="s">
        <v>109</v>
      </c>
      <c r="D2998" s="3" t="n">
        <v>20000</v>
      </c>
      <c r="E2998" s="3" t="s">
        <v>114</v>
      </c>
      <c r="F2998" s="3" t="n">
        <f aca="false">IF(C2998="848630",0,1)</f>
        <v>1</v>
      </c>
    </row>
    <row r="2999" customFormat="false" ht="15" hidden="false" customHeight="false" outlineLevel="0" collapsed="false">
      <c r="A2999" s="12" t="n">
        <v>45931</v>
      </c>
      <c r="B2999" s="9" t="s">
        <v>93</v>
      </c>
      <c r="C2999" s="3" t="s">
        <v>109</v>
      </c>
      <c r="D2999" s="3" t="n">
        <v>1191000</v>
      </c>
      <c r="E2999" s="3" t="s">
        <v>114</v>
      </c>
      <c r="F2999" s="3" t="n">
        <f aca="false">IF(C2999="848630",0,1)</f>
        <v>1</v>
      </c>
    </row>
    <row r="3000" customFormat="false" ht="15" hidden="false" customHeight="false" outlineLevel="0" collapsed="false">
      <c r="A3000" s="12" t="n">
        <v>45931</v>
      </c>
      <c r="B3000" s="9" t="s">
        <v>93</v>
      </c>
      <c r="C3000" s="3" t="s">
        <v>109</v>
      </c>
      <c r="D3000" s="3" t="n">
        <v>393000</v>
      </c>
      <c r="E3000" s="3" t="s">
        <v>114</v>
      </c>
      <c r="F3000" s="3" t="n">
        <f aca="false">IF(C3000="848630",0,1)</f>
        <v>1</v>
      </c>
    </row>
    <row r="3001" customFormat="false" ht="15" hidden="false" customHeight="false" outlineLevel="0" collapsed="false">
      <c r="A3001" s="12" t="n">
        <v>45931</v>
      </c>
      <c r="B3001" s="9" t="s">
        <v>93</v>
      </c>
      <c r="C3001" s="3" t="s">
        <v>109</v>
      </c>
      <c r="D3001" s="3" t="n">
        <v>7512000</v>
      </c>
      <c r="E3001" s="3" t="s">
        <v>114</v>
      </c>
      <c r="F3001" s="3" t="n">
        <f aca="false">IF(C3001="848630",0,1)</f>
        <v>1</v>
      </c>
    </row>
    <row r="3002" customFormat="false" ht="15" hidden="false" customHeight="false" outlineLevel="0" collapsed="false">
      <c r="A3002" s="12" t="n">
        <v>45931</v>
      </c>
      <c r="B3002" s="9" t="s">
        <v>93</v>
      </c>
      <c r="C3002" s="3" t="s">
        <v>110</v>
      </c>
      <c r="D3002" s="3" t="n">
        <v>10869000</v>
      </c>
      <c r="E3002" s="3" t="s">
        <v>114</v>
      </c>
      <c r="F3002" s="3" t="n">
        <f aca="false">IF(C3002="848630",0,1)</f>
        <v>1</v>
      </c>
    </row>
    <row r="3003" customFormat="false" ht="15" hidden="false" customHeight="false" outlineLevel="0" collapsed="false">
      <c r="A3003" s="12" t="n">
        <v>45931</v>
      </c>
      <c r="B3003" s="9" t="s">
        <v>93</v>
      </c>
      <c r="C3003" s="3" t="s">
        <v>111</v>
      </c>
      <c r="D3003" s="3" t="n">
        <v>16853000</v>
      </c>
      <c r="E3003" s="3" t="s">
        <v>114</v>
      </c>
      <c r="F3003" s="3" t="n">
        <f aca="false">IF(C3003="848630",0,1)</f>
        <v>1</v>
      </c>
    </row>
    <row r="3004" customFormat="false" ht="15" hidden="false" customHeight="false" outlineLevel="0" collapsed="false">
      <c r="A3004" s="12" t="n">
        <v>45962</v>
      </c>
      <c r="B3004" s="9" t="s">
        <v>93</v>
      </c>
      <c r="C3004" s="3" t="s">
        <v>105</v>
      </c>
      <c r="D3004" s="3" t="n">
        <v>690000</v>
      </c>
      <c r="E3004" s="3" t="s">
        <v>114</v>
      </c>
      <c r="F3004" s="3" t="n">
        <f aca="false">IF(C3004="848630",0,1)</f>
        <v>1</v>
      </c>
    </row>
    <row r="3005" customFormat="false" ht="15" hidden="false" customHeight="false" outlineLevel="0" collapsed="false">
      <c r="A3005" s="12" t="n">
        <v>45962</v>
      </c>
      <c r="B3005" s="9" t="s">
        <v>93</v>
      </c>
      <c r="C3005" s="3" t="s">
        <v>105</v>
      </c>
      <c r="D3005" s="3" t="n">
        <v>114000</v>
      </c>
      <c r="E3005" s="3" t="s">
        <v>114</v>
      </c>
      <c r="F3005" s="3" t="n">
        <f aca="false">IF(C3005="848630",0,1)</f>
        <v>1</v>
      </c>
    </row>
    <row r="3006" customFormat="false" ht="15" hidden="false" customHeight="false" outlineLevel="0" collapsed="false">
      <c r="A3006" s="12" t="n">
        <v>45962</v>
      </c>
      <c r="B3006" s="9" t="s">
        <v>93</v>
      </c>
      <c r="C3006" s="3" t="s">
        <v>105</v>
      </c>
      <c r="D3006" s="3" t="n">
        <v>0</v>
      </c>
      <c r="E3006" s="3" t="s">
        <v>114</v>
      </c>
      <c r="F3006" s="3" t="n">
        <f aca="false">IF(C3006="848630",0,1)</f>
        <v>1</v>
      </c>
    </row>
    <row r="3007" customFormat="false" ht="15" hidden="false" customHeight="false" outlineLevel="0" collapsed="false">
      <c r="A3007" s="12" t="n">
        <v>45962</v>
      </c>
      <c r="B3007" s="9" t="s">
        <v>93</v>
      </c>
      <c r="C3007" s="3" t="s">
        <v>105</v>
      </c>
      <c r="D3007" s="3" t="n">
        <v>0</v>
      </c>
      <c r="E3007" s="3" t="s">
        <v>114</v>
      </c>
      <c r="F3007" s="3" t="n">
        <f aca="false">IF(C3007="848630",0,1)</f>
        <v>1</v>
      </c>
    </row>
    <row r="3008" customFormat="false" ht="15" hidden="false" customHeight="false" outlineLevel="0" collapsed="false">
      <c r="A3008" s="12" t="n">
        <v>45962</v>
      </c>
      <c r="B3008" s="9" t="s">
        <v>93</v>
      </c>
      <c r="C3008" s="3" t="s">
        <v>105</v>
      </c>
      <c r="D3008" s="3" t="n">
        <v>0</v>
      </c>
      <c r="E3008" s="3" t="s">
        <v>114</v>
      </c>
      <c r="F3008" s="3" t="n">
        <f aca="false">IF(C3008="848630",0,1)</f>
        <v>1</v>
      </c>
    </row>
    <row r="3009" customFormat="false" ht="15" hidden="false" customHeight="false" outlineLevel="0" collapsed="false">
      <c r="A3009" s="12" t="n">
        <v>45962</v>
      </c>
      <c r="B3009" s="9" t="s">
        <v>93</v>
      </c>
      <c r="C3009" s="3" t="s">
        <v>107</v>
      </c>
      <c r="D3009" s="3" t="n">
        <v>3391000</v>
      </c>
      <c r="E3009" s="3" t="s">
        <v>114</v>
      </c>
      <c r="F3009" s="3" t="n">
        <f aca="false">IF(C3009="848630",0,1)</f>
        <v>1</v>
      </c>
    </row>
    <row r="3010" customFormat="false" ht="15" hidden="false" customHeight="false" outlineLevel="0" collapsed="false">
      <c r="A3010" s="12" t="n">
        <v>45962</v>
      </c>
      <c r="B3010" s="9" t="s">
        <v>93</v>
      </c>
      <c r="C3010" s="3" t="s">
        <v>107</v>
      </c>
      <c r="D3010" s="3" t="n">
        <v>118972000</v>
      </c>
      <c r="E3010" s="3" t="s">
        <v>114</v>
      </c>
      <c r="F3010" s="3" t="n">
        <f aca="false">IF(C3010="848630",0,1)</f>
        <v>1</v>
      </c>
    </row>
    <row r="3011" customFormat="false" ht="15" hidden="false" customHeight="false" outlineLevel="0" collapsed="false">
      <c r="A3011" s="12" t="n">
        <v>45962</v>
      </c>
      <c r="B3011" s="9" t="s">
        <v>93</v>
      </c>
      <c r="C3011" s="3" t="s">
        <v>107</v>
      </c>
      <c r="D3011" s="3" t="n">
        <v>50000</v>
      </c>
      <c r="E3011" s="3" t="s">
        <v>114</v>
      </c>
      <c r="F3011" s="3" t="n">
        <f aca="false">IF(C3011="848630",0,1)</f>
        <v>1</v>
      </c>
    </row>
    <row r="3012" customFormat="false" ht="15" hidden="false" customHeight="false" outlineLevel="0" collapsed="false">
      <c r="A3012" s="12" t="n">
        <v>45962</v>
      </c>
      <c r="B3012" s="9" t="s">
        <v>93</v>
      </c>
      <c r="C3012" s="3" t="s">
        <v>107</v>
      </c>
      <c r="D3012" s="3" t="n">
        <v>0</v>
      </c>
      <c r="E3012" s="3" t="s">
        <v>114</v>
      </c>
      <c r="F3012" s="3" t="n">
        <f aca="false">IF(C3012="848630",0,1)</f>
        <v>1</v>
      </c>
    </row>
    <row r="3013" customFormat="false" ht="15" hidden="false" customHeight="false" outlineLevel="0" collapsed="false">
      <c r="A3013" s="12" t="n">
        <v>45962</v>
      </c>
      <c r="B3013" s="9" t="s">
        <v>93</v>
      </c>
      <c r="C3013" s="3" t="s">
        <v>107</v>
      </c>
      <c r="D3013" s="3" t="n">
        <v>0</v>
      </c>
      <c r="E3013" s="3" t="s">
        <v>114</v>
      </c>
      <c r="F3013" s="3" t="n">
        <f aca="false">IF(C3013="848630",0,1)</f>
        <v>1</v>
      </c>
    </row>
    <row r="3014" customFormat="false" ht="15" hidden="false" customHeight="false" outlineLevel="0" collapsed="false">
      <c r="A3014" s="12" t="n">
        <v>45962</v>
      </c>
      <c r="B3014" s="9" t="s">
        <v>93</v>
      </c>
      <c r="C3014" s="3" t="s">
        <v>107</v>
      </c>
      <c r="D3014" s="3" t="n">
        <v>13467000</v>
      </c>
      <c r="E3014" s="3" t="s">
        <v>114</v>
      </c>
      <c r="F3014" s="3" t="n">
        <f aca="false">IF(C3014="848630",0,1)</f>
        <v>1</v>
      </c>
    </row>
    <row r="3015" customFormat="false" ht="15" hidden="false" customHeight="false" outlineLevel="0" collapsed="false">
      <c r="A3015" s="12" t="n">
        <v>45962</v>
      </c>
      <c r="B3015" s="9" t="s">
        <v>93</v>
      </c>
      <c r="C3015" s="3" t="s">
        <v>107</v>
      </c>
      <c r="D3015" s="3" t="n">
        <v>2000</v>
      </c>
      <c r="E3015" s="3" t="s">
        <v>114</v>
      </c>
      <c r="F3015" s="3" t="n">
        <f aca="false">IF(C3015="848630",0,1)</f>
        <v>1</v>
      </c>
    </row>
    <row r="3016" customFormat="false" ht="15" hidden="false" customHeight="false" outlineLevel="0" collapsed="false">
      <c r="A3016" s="12" t="n">
        <v>45962</v>
      </c>
      <c r="B3016" s="9" t="s">
        <v>93</v>
      </c>
      <c r="C3016" s="3" t="s">
        <v>107</v>
      </c>
      <c r="D3016" s="3" t="n">
        <v>76912000</v>
      </c>
      <c r="E3016" s="3" t="s">
        <v>114</v>
      </c>
      <c r="F3016" s="3" t="n">
        <f aca="false">IF(C3016="848630",0,1)</f>
        <v>1</v>
      </c>
    </row>
    <row r="3017" customFormat="false" ht="15" hidden="false" customHeight="false" outlineLevel="0" collapsed="false">
      <c r="A3017" s="12" t="n">
        <v>45962</v>
      </c>
      <c r="B3017" s="9" t="s">
        <v>93</v>
      </c>
      <c r="C3017" s="3" t="s">
        <v>107</v>
      </c>
      <c r="D3017" s="3" t="n">
        <v>0</v>
      </c>
      <c r="E3017" s="3" t="s">
        <v>114</v>
      </c>
      <c r="F3017" s="3" t="n">
        <f aca="false">IF(C3017="848630",0,1)</f>
        <v>1</v>
      </c>
    </row>
    <row r="3018" customFormat="false" ht="15" hidden="false" customHeight="false" outlineLevel="0" collapsed="false">
      <c r="A3018" s="12" t="n">
        <v>45962</v>
      </c>
      <c r="B3018" s="9" t="s">
        <v>93</v>
      </c>
      <c r="C3018" s="3" t="s">
        <v>107</v>
      </c>
      <c r="D3018" s="3" t="n">
        <v>211000</v>
      </c>
      <c r="E3018" s="3" t="s">
        <v>114</v>
      </c>
      <c r="F3018" s="3" t="n">
        <f aca="false">IF(C3018="848630",0,1)</f>
        <v>1</v>
      </c>
    </row>
    <row r="3019" customFormat="false" ht="15" hidden="false" customHeight="false" outlineLevel="0" collapsed="false">
      <c r="A3019" s="12" t="n">
        <v>45962</v>
      </c>
      <c r="B3019" s="9" t="s">
        <v>93</v>
      </c>
      <c r="C3019" s="3" t="s">
        <v>107</v>
      </c>
      <c r="D3019" s="3" t="n">
        <v>23584000</v>
      </c>
      <c r="E3019" s="3" t="s">
        <v>114</v>
      </c>
      <c r="F3019" s="3" t="n">
        <f aca="false">IF(C3019="848630",0,1)</f>
        <v>1</v>
      </c>
    </row>
    <row r="3020" customFormat="false" ht="15" hidden="false" customHeight="false" outlineLevel="0" collapsed="false">
      <c r="A3020" s="12" t="n">
        <v>45962</v>
      </c>
      <c r="B3020" s="9" t="s">
        <v>93</v>
      </c>
      <c r="C3020" s="3" t="s">
        <v>107</v>
      </c>
      <c r="D3020" s="3" t="n">
        <v>46746000</v>
      </c>
      <c r="E3020" s="3" t="s">
        <v>114</v>
      </c>
      <c r="F3020" s="3" t="n">
        <f aca="false">IF(C3020="848630",0,1)</f>
        <v>1</v>
      </c>
    </row>
    <row r="3021" customFormat="false" ht="15" hidden="false" customHeight="false" outlineLevel="0" collapsed="false">
      <c r="A3021" s="12" t="n">
        <v>45962</v>
      </c>
      <c r="B3021" s="9" t="s">
        <v>93</v>
      </c>
      <c r="C3021" s="3" t="s">
        <v>107</v>
      </c>
      <c r="D3021" s="3" t="n">
        <v>2927000</v>
      </c>
      <c r="E3021" s="3" t="s">
        <v>114</v>
      </c>
      <c r="F3021" s="3" t="n">
        <f aca="false">IF(C3021="848630",0,1)</f>
        <v>1</v>
      </c>
    </row>
    <row r="3022" customFormat="false" ht="15" hidden="false" customHeight="false" outlineLevel="0" collapsed="false">
      <c r="A3022" s="12" t="n">
        <v>45962</v>
      </c>
      <c r="B3022" s="9" t="s">
        <v>93</v>
      </c>
      <c r="C3022" s="3" t="s">
        <v>107</v>
      </c>
      <c r="D3022" s="3" t="n">
        <v>63000</v>
      </c>
      <c r="E3022" s="3" t="s">
        <v>114</v>
      </c>
      <c r="F3022" s="3" t="n">
        <f aca="false">IF(C3022="848630",0,1)</f>
        <v>1</v>
      </c>
    </row>
    <row r="3023" customFormat="false" ht="15" hidden="false" customHeight="false" outlineLevel="0" collapsed="false">
      <c r="A3023" s="12" t="n">
        <v>45962</v>
      </c>
      <c r="B3023" s="9" t="s">
        <v>93</v>
      </c>
      <c r="C3023" s="3" t="s">
        <v>107</v>
      </c>
      <c r="D3023" s="3" t="n">
        <v>2755000</v>
      </c>
      <c r="E3023" s="3" t="s">
        <v>114</v>
      </c>
      <c r="F3023" s="3" t="n">
        <f aca="false">IF(C3023="848630",0,1)</f>
        <v>1</v>
      </c>
    </row>
    <row r="3024" customFormat="false" ht="15" hidden="false" customHeight="false" outlineLevel="0" collapsed="false">
      <c r="A3024" s="12" t="n">
        <v>45962</v>
      </c>
      <c r="B3024" s="9" t="s">
        <v>93</v>
      </c>
      <c r="C3024" s="3" t="s">
        <v>112</v>
      </c>
      <c r="D3024" s="3" t="n">
        <v>16214000</v>
      </c>
      <c r="E3024" s="3" t="s">
        <v>114</v>
      </c>
      <c r="F3024" s="3" t="n">
        <f aca="false">IF(C3024="848630",0,1)</f>
        <v>0</v>
      </c>
    </row>
    <row r="3025" customFormat="false" ht="15" hidden="false" customHeight="false" outlineLevel="0" collapsed="false">
      <c r="A3025" s="12" t="n">
        <v>45962</v>
      </c>
      <c r="B3025" s="9" t="s">
        <v>93</v>
      </c>
      <c r="C3025" s="3" t="s">
        <v>112</v>
      </c>
      <c r="D3025" s="3" t="n">
        <v>79000</v>
      </c>
      <c r="E3025" s="3" t="s">
        <v>114</v>
      </c>
      <c r="F3025" s="3" t="n">
        <f aca="false">IF(C3025="848630",0,1)</f>
        <v>0</v>
      </c>
    </row>
    <row r="3026" customFormat="false" ht="15" hidden="false" customHeight="false" outlineLevel="0" collapsed="false">
      <c r="A3026" s="12" t="n">
        <v>45962</v>
      </c>
      <c r="B3026" s="9" t="s">
        <v>93</v>
      </c>
      <c r="C3026" s="3" t="s">
        <v>112</v>
      </c>
      <c r="D3026" s="3" t="n">
        <v>0</v>
      </c>
      <c r="E3026" s="3" t="s">
        <v>114</v>
      </c>
      <c r="F3026" s="3" t="n">
        <f aca="false">IF(C3026="848630",0,1)</f>
        <v>0</v>
      </c>
    </row>
    <row r="3027" customFormat="false" ht="15" hidden="false" customHeight="false" outlineLevel="0" collapsed="false">
      <c r="A3027" s="12" t="n">
        <v>45962</v>
      </c>
      <c r="B3027" s="9" t="s">
        <v>93</v>
      </c>
      <c r="C3027" s="3" t="s">
        <v>112</v>
      </c>
      <c r="D3027" s="3" t="n">
        <v>18000</v>
      </c>
      <c r="E3027" s="3" t="s">
        <v>114</v>
      </c>
      <c r="F3027" s="3" t="n">
        <f aca="false">IF(C3027="848630",0,1)</f>
        <v>0</v>
      </c>
    </row>
    <row r="3028" customFormat="false" ht="15" hidden="false" customHeight="false" outlineLevel="0" collapsed="false">
      <c r="A3028" s="12" t="n">
        <v>45962</v>
      </c>
      <c r="B3028" s="9" t="s">
        <v>93</v>
      </c>
      <c r="C3028" s="3" t="s">
        <v>112</v>
      </c>
      <c r="D3028" s="3" t="n">
        <v>523000</v>
      </c>
      <c r="E3028" s="3" t="s">
        <v>114</v>
      </c>
      <c r="F3028" s="3" t="n">
        <f aca="false">IF(C3028="848630",0,1)</f>
        <v>0</v>
      </c>
    </row>
    <row r="3029" customFormat="false" ht="15" hidden="false" customHeight="false" outlineLevel="0" collapsed="false">
      <c r="A3029" s="12" t="n">
        <v>45962</v>
      </c>
      <c r="B3029" s="9" t="s">
        <v>93</v>
      </c>
      <c r="C3029" s="3" t="s">
        <v>108</v>
      </c>
      <c r="D3029" s="3" t="n">
        <v>350000</v>
      </c>
      <c r="E3029" s="3" t="s">
        <v>114</v>
      </c>
      <c r="F3029" s="3" t="n">
        <f aca="false">IF(C3029="848630",0,1)</f>
        <v>1</v>
      </c>
    </row>
    <row r="3030" customFormat="false" ht="15" hidden="false" customHeight="false" outlineLevel="0" collapsed="false">
      <c r="A3030" s="12" t="n">
        <v>45962</v>
      </c>
      <c r="B3030" s="9" t="s">
        <v>93</v>
      </c>
      <c r="C3030" s="3" t="s">
        <v>108</v>
      </c>
      <c r="D3030" s="3" t="n">
        <v>0</v>
      </c>
      <c r="E3030" s="3" t="s">
        <v>114</v>
      </c>
      <c r="F3030" s="3" t="n">
        <f aca="false">IF(C3030="848630",0,1)</f>
        <v>1</v>
      </c>
    </row>
    <row r="3031" customFormat="false" ht="15" hidden="false" customHeight="false" outlineLevel="0" collapsed="false">
      <c r="A3031" s="12" t="n">
        <v>45962</v>
      </c>
      <c r="B3031" s="9" t="s">
        <v>93</v>
      </c>
      <c r="C3031" s="3" t="s">
        <v>108</v>
      </c>
      <c r="D3031" s="3" t="n">
        <v>8000</v>
      </c>
      <c r="E3031" s="3" t="s">
        <v>114</v>
      </c>
      <c r="F3031" s="3" t="n">
        <f aca="false">IF(C3031="848630",0,1)</f>
        <v>1</v>
      </c>
    </row>
    <row r="3032" customFormat="false" ht="15" hidden="false" customHeight="false" outlineLevel="0" collapsed="false">
      <c r="A3032" s="12" t="n">
        <v>45962</v>
      </c>
      <c r="B3032" s="9" t="s">
        <v>93</v>
      </c>
      <c r="C3032" s="3" t="s">
        <v>108</v>
      </c>
      <c r="D3032" s="3" t="n">
        <v>3000</v>
      </c>
      <c r="E3032" s="3" t="s">
        <v>114</v>
      </c>
      <c r="F3032" s="3" t="n">
        <f aca="false">IF(C3032="848630",0,1)</f>
        <v>1</v>
      </c>
    </row>
    <row r="3033" customFormat="false" ht="15" hidden="false" customHeight="false" outlineLevel="0" collapsed="false">
      <c r="A3033" s="12" t="n">
        <v>45962</v>
      </c>
      <c r="B3033" s="9" t="s">
        <v>93</v>
      </c>
      <c r="C3033" s="3" t="s">
        <v>108</v>
      </c>
      <c r="D3033" s="3" t="n">
        <v>1833000</v>
      </c>
      <c r="E3033" s="3" t="s">
        <v>114</v>
      </c>
      <c r="F3033" s="3" t="n">
        <f aca="false">IF(C3033="848630",0,1)</f>
        <v>1</v>
      </c>
    </row>
    <row r="3034" customFormat="false" ht="15" hidden="false" customHeight="false" outlineLevel="0" collapsed="false">
      <c r="A3034" s="12" t="n">
        <v>45962</v>
      </c>
      <c r="B3034" s="9" t="s">
        <v>93</v>
      </c>
      <c r="C3034" s="3" t="s">
        <v>108</v>
      </c>
      <c r="D3034" s="3" t="n">
        <v>16247000</v>
      </c>
      <c r="E3034" s="3" t="s">
        <v>114</v>
      </c>
      <c r="F3034" s="3" t="n">
        <f aca="false">IF(C3034="848630",0,1)</f>
        <v>1</v>
      </c>
    </row>
    <row r="3035" customFormat="false" ht="15" hidden="false" customHeight="false" outlineLevel="0" collapsed="false">
      <c r="A3035" s="12" t="n">
        <v>45962</v>
      </c>
      <c r="B3035" s="9" t="s">
        <v>93</v>
      </c>
      <c r="C3035" s="3" t="s">
        <v>108</v>
      </c>
      <c r="D3035" s="3" t="n">
        <v>3022000</v>
      </c>
      <c r="E3035" s="3" t="s">
        <v>114</v>
      </c>
      <c r="F3035" s="3" t="n">
        <f aca="false">IF(C3035="848630",0,1)</f>
        <v>1</v>
      </c>
    </row>
    <row r="3036" customFormat="false" ht="15" hidden="false" customHeight="false" outlineLevel="0" collapsed="false">
      <c r="A3036" s="12" t="n">
        <v>45962</v>
      </c>
      <c r="B3036" s="9" t="s">
        <v>93</v>
      </c>
      <c r="C3036" s="3" t="s">
        <v>108</v>
      </c>
      <c r="D3036" s="3" t="n">
        <v>1542000</v>
      </c>
      <c r="E3036" s="3" t="s">
        <v>114</v>
      </c>
      <c r="F3036" s="3" t="n">
        <f aca="false">IF(C3036="848630",0,1)</f>
        <v>1</v>
      </c>
    </row>
    <row r="3037" customFormat="false" ht="15" hidden="false" customHeight="false" outlineLevel="0" collapsed="false">
      <c r="A3037" s="12" t="n">
        <v>45962</v>
      </c>
      <c r="B3037" s="9" t="s">
        <v>93</v>
      </c>
      <c r="C3037" s="3" t="s">
        <v>109</v>
      </c>
      <c r="D3037" s="3" t="n">
        <v>1230000</v>
      </c>
      <c r="E3037" s="3" t="s">
        <v>114</v>
      </c>
      <c r="F3037" s="3" t="n">
        <f aca="false">IF(C3037="848630",0,1)</f>
        <v>1</v>
      </c>
    </row>
    <row r="3038" customFormat="false" ht="15" hidden="false" customHeight="false" outlineLevel="0" collapsed="false">
      <c r="A3038" s="12" t="n">
        <v>45962</v>
      </c>
      <c r="B3038" s="9" t="s">
        <v>93</v>
      </c>
      <c r="C3038" s="3" t="s">
        <v>109</v>
      </c>
      <c r="D3038" s="3" t="n">
        <v>20763000</v>
      </c>
      <c r="E3038" s="3" t="s">
        <v>114</v>
      </c>
      <c r="F3038" s="3" t="n">
        <f aca="false">IF(C3038="848630",0,1)</f>
        <v>1</v>
      </c>
    </row>
    <row r="3039" customFormat="false" ht="15" hidden="false" customHeight="false" outlineLevel="0" collapsed="false">
      <c r="A3039" s="12" t="n">
        <v>45962</v>
      </c>
      <c r="B3039" s="9" t="s">
        <v>93</v>
      </c>
      <c r="C3039" s="3" t="s">
        <v>109</v>
      </c>
      <c r="D3039" s="3" t="n">
        <v>38994000</v>
      </c>
      <c r="E3039" s="3" t="s">
        <v>114</v>
      </c>
      <c r="F3039" s="3" t="n">
        <f aca="false">IF(C3039="848630",0,1)</f>
        <v>1</v>
      </c>
    </row>
    <row r="3040" customFormat="false" ht="15" hidden="false" customHeight="false" outlineLevel="0" collapsed="false">
      <c r="A3040" s="12" t="n">
        <v>45962</v>
      </c>
      <c r="B3040" s="9" t="s">
        <v>93</v>
      </c>
      <c r="C3040" s="3" t="s">
        <v>109</v>
      </c>
      <c r="D3040" s="3" t="n">
        <v>7406000</v>
      </c>
      <c r="E3040" s="3" t="s">
        <v>114</v>
      </c>
      <c r="F3040" s="3" t="n">
        <f aca="false">IF(C3040="848630",0,1)</f>
        <v>1</v>
      </c>
    </row>
    <row r="3041" customFormat="false" ht="15" hidden="false" customHeight="false" outlineLevel="0" collapsed="false">
      <c r="A3041" s="12" t="n">
        <v>45962</v>
      </c>
      <c r="B3041" s="9" t="s">
        <v>93</v>
      </c>
      <c r="C3041" s="3" t="s">
        <v>109</v>
      </c>
      <c r="D3041" s="3" t="n">
        <v>514000</v>
      </c>
      <c r="E3041" s="3" t="s">
        <v>114</v>
      </c>
      <c r="F3041" s="3" t="n">
        <f aca="false">IF(C3041="848630",0,1)</f>
        <v>1</v>
      </c>
    </row>
    <row r="3042" customFormat="false" ht="15" hidden="false" customHeight="false" outlineLevel="0" collapsed="false">
      <c r="A3042" s="12" t="n">
        <v>45962</v>
      </c>
      <c r="B3042" s="9" t="s">
        <v>93</v>
      </c>
      <c r="C3042" s="3" t="s">
        <v>109</v>
      </c>
      <c r="D3042" s="3" t="n">
        <v>1049000</v>
      </c>
      <c r="E3042" s="3" t="s">
        <v>114</v>
      </c>
      <c r="F3042" s="3" t="n">
        <f aca="false">IF(C3042="848630",0,1)</f>
        <v>1</v>
      </c>
    </row>
    <row r="3043" customFormat="false" ht="15" hidden="false" customHeight="false" outlineLevel="0" collapsed="false">
      <c r="A3043" s="12" t="n">
        <v>45962</v>
      </c>
      <c r="B3043" s="9" t="s">
        <v>93</v>
      </c>
      <c r="C3043" s="3" t="s">
        <v>109</v>
      </c>
      <c r="D3043" s="3" t="n">
        <v>768000</v>
      </c>
      <c r="E3043" s="3" t="s">
        <v>114</v>
      </c>
      <c r="F3043" s="3" t="n">
        <f aca="false">IF(C3043="848630",0,1)</f>
        <v>1</v>
      </c>
    </row>
    <row r="3044" customFormat="false" ht="15" hidden="false" customHeight="false" outlineLevel="0" collapsed="false">
      <c r="A3044" s="12" t="n">
        <v>45962</v>
      </c>
      <c r="B3044" s="9" t="s">
        <v>93</v>
      </c>
      <c r="C3044" s="3" t="s">
        <v>109</v>
      </c>
      <c r="D3044" s="3" t="n">
        <v>8536000</v>
      </c>
      <c r="E3044" s="3" t="s">
        <v>114</v>
      </c>
      <c r="F3044" s="3" t="n">
        <f aca="false">IF(C3044="848630",0,1)</f>
        <v>1</v>
      </c>
    </row>
    <row r="3045" customFormat="false" ht="15" hidden="false" customHeight="false" outlineLevel="0" collapsed="false">
      <c r="A3045" s="12" t="n">
        <v>45962</v>
      </c>
      <c r="B3045" s="9" t="s">
        <v>93</v>
      </c>
      <c r="C3045" s="3" t="s">
        <v>110</v>
      </c>
      <c r="D3045" s="3" t="n">
        <v>23832000</v>
      </c>
      <c r="E3045" s="3" t="s">
        <v>114</v>
      </c>
      <c r="F3045" s="3" t="n">
        <f aca="false">IF(C3045="848630",0,1)</f>
        <v>1</v>
      </c>
    </row>
    <row r="3046" customFormat="false" ht="15" hidden="false" customHeight="false" outlineLevel="0" collapsed="false">
      <c r="A3046" s="12" t="n">
        <v>45962</v>
      </c>
      <c r="B3046" s="9" t="s">
        <v>93</v>
      </c>
      <c r="C3046" s="3" t="s">
        <v>111</v>
      </c>
      <c r="D3046" s="3" t="n">
        <v>5718000</v>
      </c>
      <c r="E3046" s="3" t="s">
        <v>114</v>
      </c>
      <c r="F3046" s="3" t="n">
        <f aca="false">IF(C3046="848630",0,1)</f>
        <v>1</v>
      </c>
    </row>
    <row r="3047" customFormat="false" ht="15" hidden="false" customHeight="false" outlineLevel="0" collapsed="false">
      <c r="A3047" s="12" t="n">
        <v>45992</v>
      </c>
      <c r="B3047" s="9" t="s">
        <v>93</v>
      </c>
      <c r="C3047" s="3" t="s">
        <v>105</v>
      </c>
      <c r="D3047" s="3" t="n">
        <v>2041000</v>
      </c>
      <c r="E3047" s="3" t="s">
        <v>114</v>
      </c>
      <c r="F3047" s="3" t="n">
        <f aca="false">IF(C3047="848630",0,1)</f>
        <v>1</v>
      </c>
    </row>
    <row r="3048" customFormat="false" ht="15" hidden="false" customHeight="false" outlineLevel="0" collapsed="false">
      <c r="A3048" s="12" t="n">
        <v>45992</v>
      </c>
      <c r="B3048" s="9" t="s">
        <v>93</v>
      </c>
      <c r="C3048" s="3" t="s">
        <v>105</v>
      </c>
      <c r="D3048" s="3" t="n">
        <v>0</v>
      </c>
      <c r="E3048" s="3" t="s">
        <v>114</v>
      </c>
      <c r="F3048" s="3" t="n">
        <f aca="false">IF(C3048="848630",0,1)</f>
        <v>1</v>
      </c>
    </row>
    <row r="3049" customFormat="false" ht="15" hidden="false" customHeight="false" outlineLevel="0" collapsed="false">
      <c r="A3049" s="12" t="n">
        <v>45992</v>
      </c>
      <c r="B3049" s="9" t="s">
        <v>93</v>
      </c>
      <c r="C3049" s="3" t="s">
        <v>107</v>
      </c>
      <c r="D3049" s="3" t="n">
        <v>3315000</v>
      </c>
      <c r="E3049" s="3" t="s">
        <v>114</v>
      </c>
      <c r="F3049" s="3" t="n">
        <f aca="false">IF(C3049="848630",0,1)</f>
        <v>1</v>
      </c>
    </row>
    <row r="3050" customFormat="false" ht="15" hidden="false" customHeight="false" outlineLevel="0" collapsed="false">
      <c r="A3050" s="12" t="n">
        <v>45992</v>
      </c>
      <c r="B3050" s="9" t="s">
        <v>93</v>
      </c>
      <c r="C3050" s="3" t="s">
        <v>107</v>
      </c>
      <c r="D3050" s="3" t="n">
        <v>94796000</v>
      </c>
      <c r="E3050" s="3" t="s">
        <v>114</v>
      </c>
      <c r="F3050" s="3" t="n">
        <f aca="false">IF(C3050="848630",0,1)</f>
        <v>1</v>
      </c>
    </row>
    <row r="3051" customFormat="false" ht="15" hidden="false" customHeight="false" outlineLevel="0" collapsed="false">
      <c r="A3051" s="12" t="n">
        <v>45992</v>
      </c>
      <c r="B3051" s="9" t="s">
        <v>93</v>
      </c>
      <c r="C3051" s="3" t="s">
        <v>107</v>
      </c>
      <c r="D3051" s="3" t="n">
        <v>176000</v>
      </c>
      <c r="E3051" s="3" t="s">
        <v>114</v>
      </c>
      <c r="F3051" s="3" t="n">
        <f aca="false">IF(C3051="848630",0,1)</f>
        <v>1</v>
      </c>
    </row>
    <row r="3052" customFormat="false" ht="15" hidden="false" customHeight="false" outlineLevel="0" collapsed="false">
      <c r="A3052" s="12" t="n">
        <v>45992</v>
      </c>
      <c r="B3052" s="9" t="s">
        <v>93</v>
      </c>
      <c r="C3052" s="3" t="s">
        <v>107</v>
      </c>
      <c r="D3052" s="3" t="n">
        <v>0</v>
      </c>
      <c r="E3052" s="3" t="s">
        <v>114</v>
      </c>
      <c r="F3052" s="3" t="n">
        <f aca="false">IF(C3052="848630",0,1)</f>
        <v>1</v>
      </c>
    </row>
    <row r="3053" customFormat="false" ht="15" hidden="false" customHeight="false" outlineLevel="0" collapsed="false">
      <c r="A3053" s="12" t="n">
        <v>45992</v>
      </c>
      <c r="B3053" s="9" t="s">
        <v>93</v>
      </c>
      <c r="C3053" s="3" t="s">
        <v>107</v>
      </c>
      <c r="D3053" s="3" t="n">
        <v>85000</v>
      </c>
      <c r="E3053" s="3" t="s">
        <v>114</v>
      </c>
      <c r="F3053" s="3" t="n">
        <f aca="false">IF(C3053="848630",0,1)</f>
        <v>1</v>
      </c>
    </row>
    <row r="3054" customFormat="false" ht="15" hidden="false" customHeight="false" outlineLevel="0" collapsed="false">
      <c r="A3054" s="12" t="n">
        <v>45992</v>
      </c>
      <c r="B3054" s="9" t="s">
        <v>93</v>
      </c>
      <c r="C3054" s="3" t="s">
        <v>107</v>
      </c>
      <c r="D3054" s="3" t="n">
        <v>12396000</v>
      </c>
      <c r="E3054" s="3" t="s">
        <v>114</v>
      </c>
      <c r="F3054" s="3" t="n">
        <f aca="false">IF(C3054="848630",0,1)</f>
        <v>1</v>
      </c>
    </row>
    <row r="3055" customFormat="false" ht="15" hidden="false" customHeight="false" outlineLevel="0" collapsed="false">
      <c r="A3055" s="12" t="n">
        <v>45992</v>
      </c>
      <c r="B3055" s="9" t="s">
        <v>93</v>
      </c>
      <c r="C3055" s="3" t="s">
        <v>107</v>
      </c>
      <c r="D3055" s="3" t="n">
        <v>123000</v>
      </c>
      <c r="E3055" s="3" t="s">
        <v>114</v>
      </c>
      <c r="F3055" s="3" t="n">
        <f aca="false">IF(C3055="848630",0,1)</f>
        <v>1</v>
      </c>
    </row>
    <row r="3056" customFormat="false" ht="15" hidden="false" customHeight="false" outlineLevel="0" collapsed="false">
      <c r="A3056" s="12" t="n">
        <v>45992</v>
      </c>
      <c r="B3056" s="9" t="s">
        <v>93</v>
      </c>
      <c r="C3056" s="3" t="s">
        <v>107</v>
      </c>
      <c r="D3056" s="3" t="n">
        <v>175632000</v>
      </c>
      <c r="E3056" s="3" t="s">
        <v>114</v>
      </c>
      <c r="F3056" s="3" t="n">
        <f aca="false">IF(C3056="848630",0,1)</f>
        <v>1</v>
      </c>
    </row>
    <row r="3057" customFormat="false" ht="15" hidden="false" customHeight="false" outlineLevel="0" collapsed="false">
      <c r="A3057" s="12" t="n">
        <v>45992</v>
      </c>
      <c r="B3057" s="9" t="s">
        <v>93</v>
      </c>
      <c r="C3057" s="3" t="s">
        <v>107</v>
      </c>
      <c r="D3057" s="3" t="n">
        <v>26423000</v>
      </c>
      <c r="E3057" s="3" t="s">
        <v>114</v>
      </c>
      <c r="F3057" s="3" t="n">
        <f aca="false">IF(C3057="848630",0,1)</f>
        <v>1</v>
      </c>
    </row>
    <row r="3058" customFormat="false" ht="15" hidden="false" customHeight="false" outlineLevel="0" collapsed="false">
      <c r="A3058" s="12" t="n">
        <v>45992</v>
      </c>
      <c r="B3058" s="9" t="s">
        <v>93</v>
      </c>
      <c r="C3058" s="3" t="s">
        <v>107</v>
      </c>
      <c r="D3058" s="3" t="n">
        <v>74199000</v>
      </c>
      <c r="E3058" s="3" t="s">
        <v>114</v>
      </c>
      <c r="F3058" s="3" t="n">
        <f aca="false">IF(C3058="848630",0,1)</f>
        <v>1</v>
      </c>
    </row>
    <row r="3059" customFormat="false" ht="15" hidden="false" customHeight="false" outlineLevel="0" collapsed="false">
      <c r="A3059" s="12" t="n">
        <v>45992</v>
      </c>
      <c r="B3059" s="9" t="s">
        <v>93</v>
      </c>
      <c r="C3059" s="3" t="s">
        <v>107</v>
      </c>
      <c r="D3059" s="3" t="n">
        <v>9668000</v>
      </c>
      <c r="E3059" s="3" t="s">
        <v>114</v>
      </c>
      <c r="F3059" s="3" t="n">
        <f aca="false">IF(C3059="848630",0,1)</f>
        <v>1</v>
      </c>
    </row>
    <row r="3060" customFormat="false" ht="15" hidden="false" customHeight="false" outlineLevel="0" collapsed="false">
      <c r="A3060" s="12" t="n">
        <v>45992</v>
      </c>
      <c r="B3060" s="9" t="s">
        <v>93</v>
      </c>
      <c r="C3060" s="3" t="s">
        <v>107</v>
      </c>
      <c r="D3060" s="3" t="n">
        <v>2304000</v>
      </c>
      <c r="E3060" s="3" t="s">
        <v>114</v>
      </c>
      <c r="F3060" s="3" t="n">
        <f aca="false">IF(C3060="848630",0,1)</f>
        <v>1</v>
      </c>
    </row>
    <row r="3061" customFormat="false" ht="15" hidden="false" customHeight="false" outlineLevel="0" collapsed="false">
      <c r="A3061" s="12" t="n">
        <v>45992</v>
      </c>
      <c r="B3061" s="9" t="s">
        <v>93</v>
      </c>
      <c r="C3061" s="3" t="s">
        <v>107</v>
      </c>
      <c r="D3061" s="3" t="n">
        <v>906000</v>
      </c>
      <c r="E3061" s="3" t="s">
        <v>114</v>
      </c>
      <c r="F3061" s="3" t="n">
        <f aca="false">IF(C3061="848630",0,1)</f>
        <v>1</v>
      </c>
    </row>
    <row r="3062" customFormat="false" ht="15" hidden="false" customHeight="false" outlineLevel="0" collapsed="false">
      <c r="A3062" s="12" t="n">
        <v>45992</v>
      </c>
      <c r="B3062" s="9" t="s">
        <v>93</v>
      </c>
      <c r="C3062" s="3" t="s">
        <v>107</v>
      </c>
      <c r="D3062" s="3" t="n">
        <v>5081000</v>
      </c>
      <c r="E3062" s="3" t="s">
        <v>114</v>
      </c>
      <c r="F3062" s="3" t="n">
        <f aca="false">IF(C3062="848630",0,1)</f>
        <v>1</v>
      </c>
    </row>
    <row r="3063" customFormat="false" ht="15" hidden="false" customHeight="false" outlineLevel="0" collapsed="false">
      <c r="A3063" s="12" t="n">
        <v>45992</v>
      </c>
      <c r="B3063" s="9" t="s">
        <v>93</v>
      </c>
      <c r="C3063" s="3" t="s">
        <v>112</v>
      </c>
      <c r="D3063" s="3" t="n">
        <v>0</v>
      </c>
      <c r="E3063" s="3" t="s">
        <v>114</v>
      </c>
      <c r="F3063" s="3" t="n">
        <f aca="false">IF(C3063="848630",0,1)</f>
        <v>0</v>
      </c>
    </row>
    <row r="3064" customFormat="false" ht="15" hidden="false" customHeight="false" outlineLevel="0" collapsed="false">
      <c r="A3064" s="12" t="n">
        <v>45992</v>
      </c>
      <c r="B3064" s="9" t="s">
        <v>93</v>
      </c>
      <c r="C3064" s="3" t="s">
        <v>112</v>
      </c>
      <c r="D3064" s="3" t="n">
        <v>14459000</v>
      </c>
      <c r="E3064" s="3" t="s">
        <v>114</v>
      </c>
      <c r="F3064" s="3" t="n">
        <f aca="false">IF(C3064="848630",0,1)</f>
        <v>0</v>
      </c>
    </row>
    <row r="3065" customFormat="false" ht="15" hidden="false" customHeight="false" outlineLevel="0" collapsed="false">
      <c r="A3065" s="12" t="n">
        <v>45992</v>
      </c>
      <c r="B3065" s="9" t="s">
        <v>93</v>
      </c>
      <c r="C3065" s="3" t="s">
        <v>112</v>
      </c>
      <c r="D3065" s="3" t="n">
        <v>141000</v>
      </c>
      <c r="E3065" s="3" t="s">
        <v>114</v>
      </c>
      <c r="F3065" s="3" t="n">
        <f aca="false">IF(C3065="848630",0,1)</f>
        <v>0</v>
      </c>
    </row>
    <row r="3066" customFormat="false" ht="15" hidden="false" customHeight="false" outlineLevel="0" collapsed="false">
      <c r="A3066" s="12" t="n">
        <v>45992</v>
      </c>
      <c r="B3066" s="9" t="s">
        <v>93</v>
      </c>
      <c r="C3066" s="3" t="s">
        <v>112</v>
      </c>
      <c r="D3066" s="3" t="n">
        <v>0</v>
      </c>
      <c r="E3066" s="3" t="s">
        <v>114</v>
      </c>
      <c r="F3066" s="3" t="n">
        <f aca="false">IF(C3066="848630",0,1)</f>
        <v>0</v>
      </c>
    </row>
    <row r="3067" customFormat="false" ht="15" hidden="false" customHeight="false" outlineLevel="0" collapsed="false">
      <c r="A3067" s="12" t="n">
        <v>45992</v>
      </c>
      <c r="B3067" s="9" t="s">
        <v>93</v>
      </c>
      <c r="C3067" s="3" t="s">
        <v>112</v>
      </c>
      <c r="D3067" s="3" t="n">
        <v>4000</v>
      </c>
      <c r="E3067" s="3" t="s">
        <v>114</v>
      </c>
      <c r="F3067" s="3" t="n">
        <f aca="false">IF(C3067="848630",0,1)</f>
        <v>0</v>
      </c>
    </row>
    <row r="3068" customFormat="false" ht="15" hidden="false" customHeight="false" outlineLevel="0" collapsed="false">
      <c r="A3068" s="12" t="n">
        <v>45992</v>
      </c>
      <c r="B3068" s="9" t="s">
        <v>93</v>
      </c>
      <c r="C3068" s="3" t="s">
        <v>112</v>
      </c>
      <c r="D3068" s="3" t="n">
        <v>2000</v>
      </c>
      <c r="E3068" s="3" t="s">
        <v>114</v>
      </c>
      <c r="F3068" s="3" t="n">
        <f aca="false">IF(C3068="848630",0,1)</f>
        <v>0</v>
      </c>
    </row>
    <row r="3069" customFormat="false" ht="15" hidden="false" customHeight="false" outlineLevel="0" collapsed="false">
      <c r="A3069" s="12" t="n">
        <v>45992</v>
      </c>
      <c r="B3069" s="9" t="s">
        <v>93</v>
      </c>
      <c r="C3069" s="3" t="s">
        <v>112</v>
      </c>
      <c r="D3069" s="3" t="n">
        <v>7000</v>
      </c>
      <c r="E3069" s="3" t="s">
        <v>114</v>
      </c>
      <c r="F3069" s="3" t="n">
        <f aca="false">IF(C3069="848630",0,1)</f>
        <v>0</v>
      </c>
    </row>
    <row r="3070" customFormat="false" ht="15" hidden="false" customHeight="false" outlineLevel="0" collapsed="false">
      <c r="A3070" s="12" t="n">
        <v>45992</v>
      </c>
      <c r="B3070" s="9" t="s">
        <v>93</v>
      </c>
      <c r="C3070" s="3" t="s">
        <v>112</v>
      </c>
      <c r="D3070" s="3" t="n">
        <v>462000</v>
      </c>
      <c r="E3070" s="3" t="s">
        <v>114</v>
      </c>
      <c r="F3070" s="3" t="n">
        <f aca="false">IF(C3070="848630",0,1)</f>
        <v>0</v>
      </c>
    </row>
    <row r="3071" customFormat="false" ht="15" hidden="false" customHeight="false" outlineLevel="0" collapsed="false">
      <c r="A3071" s="12" t="n">
        <v>45992</v>
      </c>
      <c r="B3071" s="9" t="s">
        <v>93</v>
      </c>
      <c r="C3071" s="3" t="s">
        <v>108</v>
      </c>
      <c r="D3071" s="3" t="n">
        <v>1572000</v>
      </c>
      <c r="E3071" s="3" t="s">
        <v>114</v>
      </c>
      <c r="F3071" s="3" t="n">
        <f aca="false">IF(C3071="848630",0,1)</f>
        <v>1</v>
      </c>
    </row>
    <row r="3072" customFormat="false" ht="15" hidden="false" customHeight="false" outlineLevel="0" collapsed="false">
      <c r="A3072" s="12" t="n">
        <v>45992</v>
      </c>
      <c r="B3072" s="9" t="s">
        <v>93</v>
      </c>
      <c r="C3072" s="3" t="s">
        <v>108</v>
      </c>
      <c r="D3072" s="3" t="n">
        <v>51000</v>
      </c>
      <c r="E3072" s="3" t="s">
        <v>114</v>
      </c>
      <c r="F3072" s="3" t="n">
        <f aca="false">IF(C3072="848630",0,1)</f>
        <v>1</v>
      </c>
    </row>
    <row r="3073" customFormat="false" ht="15" hidden="false" customHeight="false" outlineLevel="0" collapsed="false">
      <c r="A3073" s="12" t="n">
        <v>45992</v>
      </c>
      <c r="B3073" s="9" t="s">
        <v>93</v>
      </c>
      <c r="C3073" s="3" t="s">
        <v>108</v>
      </c>
      <c r="D3073" s="3" t="n">
        <v>0</v>
      </c>
      <c r="E3073" s="3" t="s">
        <v>114</v>
      </c>
      <c r="F3073" s="3" t="n">
        <f aca="false">IF(C3073="848630",0,1)</f>
        <v>1</v>
      </c>
    </row>
    <row r="3074" customFormat="false" ht="15" hidden="false" customHeight="false" outlineLevel="0" collapsed="false">
      <c r="A3074" s="12" t="n">
        <v>45992</v>
      </c>
      <c r="B3074" s="9" t="s">
        <v>93</v>
      </c>
      <c r="C3074" s="3" t="s">
        <v>108</v>
      </c>
      <c r="D3074" s="3" t="n">
        <v>2043000</v>
      </c>
      <c r="E3074" s="3" t="s">
        <v>114</v>
      </c>
      <c r="F3074" s="3" t="n">
        <f aca="false">IF(C3074="848630",0,1)</f>
        <v>1</v>
      </c>
    </row>
    <row r="3075" customFormat="false" ht="15" hidden="false" customHeight="false" outlineLevel="0" collapsed="false">
      <c r="A3075" s="12" t="n">
        <v>45992</v>
      </c>
      <c r="B3075" s="9" t="s">
        <v>93</v>
      </c>
      <c r="C3075" s="3" t="s">
        <v>108</v>
      </c>
      <c r="D3075" s="3" t="n">
        <v>400000</v>
      </c>
      <c r="E3075" s="3" t="s">
        <v>114</v>
      </c>
      <c r="F3075" s="3" t="n">
        <f aca="false">IF(C3075="848630",0,1)</f>
        <v>1</v>
      </c>
    </row>
    <row r="3076" customFormat="false" ht="15" hidden="false" customHeight="false" outlineLevel="0" collapsed="false">
      <c r="A3076" s="12" t="n">
        <v>45992</v>
      </c>
      <c r="B3076" s="9" t="s">
        <v>93</v>
      </c>
      <c r="C3076" s="3" t="s">
        <v>108</v>
      </c>
      <c r="D3076" s="3" t="n">
        <v>333000</v>
      </c>
      <c r="E3076" s="3" t="s">
        <v>114</v>
      </c>
      <c r="F3076" s="3" t="n">
        <f aca="false">IF(C3076="848630",0,1)</f>
        <v>1</v>
      </c>
    </row>
    <row r="3077" customFormat="false" ht="15" hidden="false" customHeight="false" outlineLevel="0" collapsed="false">
      <c r="A3077" s="12" t="n">
        <v>45992</v>
      </c>
      <c r="B3077" s="9" t="s">
        <v>93</v>
      </c>
      <c r="C3077" s="3" t="s">
        <v>108</v>
      </c>
      <c r="D3077" s="3" t="n">
        <v>279000</v>
      </c>
      <c r="E3077" s="3" t="s">
        <v>114</v>
      </c>
      <c r="F3077" s="3" t="n">
        <f aca="false">IF(C3077="848630",0,1)</f>
        <v>1</v>
      </c>
    </row>
    <row r="3078" customFormat="false" ht="15" hidden="false" customHeight="false" outlineLevel="0" collapsed="false">
      <c r="A3078" s="12" t="n">
        <v>45992</v>
      </c>
      <c r="B3078" s="9" t="s">
        <v>93</v>
      </c>
      <c r="C3078" s="3" t="s">
        <v>108</v>
      </c>
      <c r="D3078" s="3" t="n">
        <v>22119000</v>
      </c>
      <c r="E3078" s="3" t="s">
        <v>114</v>
      </c>
      <c r="F3078" s="3" t="n">
        <f aca="false">IF(C3078="848630",0,1)</f>
        <v>1</v>
      </c>
    </row>
    <row r="3079" customFormat="false" ht="15" hidden="false" customHeight="false" outlineLevel="0" collapsed="false">
      <c r="A3079" s="12" t="n">
        <v>45992</v>
      </c>
      <c r="B3079" s="9" t="s">
        <v>93</v>
      </c>
      <c r="C3079" s="3" t="s">
        <v>108</v>
      </c>
      <c r="D3079" s="3" t="n">
        <v>5209000</v>
      </c>
      <c r="E3079" s="3" t="s">
        <v>114</v>
      </c>
      <c r="F3079" s="3" t="n">
        <f aca="false">IF(C3079="848630",0,1)</f>
        <v>1</v>
      </c>
    </row>
    <row r="3080" customFormat="false" ht="15" hidden="false" customHeight="false" outlineLevel="0" collapsed="false">
      <c r="A3080" s="12" t="n">
        <v>45992</v>
      </c>
      <c r="B3080" s="9" t="s">
        <v>93</v>
      </c>
      <c r="C3080" s="3" t="s">
        <v>108</v>
      </c>
      <c r="D3080" s="3" t="n">
        <v>1775000</v>
      </c>
      <c r="E3080" s="3" t="s">
        <v>114</v>
      </c>
      <c r="F3080" s="3" t="n">
        <f aca="false">IF(C3080="848630",0,1)</f>
        <v>1</v>
      </c>
    </row>
    <row r="3081" customFormat="false" ht="15" hidden="false" customHeight="false" outlineLevel="0" collapsed="false">
      <c r="A3081" s="12" t="n">
        <v>45992</v>
      </c>
      <c r="B3081" s="9" t="s">
        <v>93</v>
      </c>
      <c r="C3081" s="3" t="s">
        <v>109</v>
      </c>
      <c r="D3081" s="3" t="n">
        <v>3321000</v>
      </c>
      <c r="E3081" s="3" t="s">
        <v>114</v>
      </c>
      <c r="F3081" s="3" t="n">
        <f aca="false">IF(C3081="848630",0,1)</f>
        <v>1</v>
      </c>
    </row>
    <row r="3082" customFormat="false" ht="15" hidden="false" customHeight="false" outlineLevel="0" collapsed="false">
      <c r="A3082" s="12" t="n">
        <v>45992</v>
      </c>
      <c r="B3082" s="9" t="s">
        <v>93</v>
      </c>
      <c r="C3082" s="3" t="s">
        <v>109</v>
      </c>
      <c r="D3082" s="3" t="n">
        <v>23338000</v>
      </c>
      <c r="E3082" s="3" t="s">
        <v>114</v>
      </c>
      <c r="F3082" s="3" t="n">
        <f aca="false">IF(C3082="848630",0,1)</f>
        <v>1</v>
      </c>
    </row>
    <row r="3083" customFormat="false" ht="15" hidden="false" customHeight="false" outlineLevel="0" collapsed="false">
      <c r="A3083" s="12" t="n">
        <v>45992</v>
      </c>
      <c r="B3083" s="9" t="s">
        <v>93</v>
      </c>
      <c r="C3083" s="3" t="s">
        <v>109</v>
      </c>
      <c r="D3083" s="3" t="n">
        <v>56495000</v>
      </c>
      <c r="E3083" s="3" t="s">
        <v>114</v>
      </c>
      <c r="F3083" s="3" t="n">
        <f aca="false">IF(C3083="848630",0,1)</f>
        <v>1</v>
      </c>
    </row>
    <row r="3084" customFormat="false" ht="15" hidden="false" customHeight="false" outlineLevel="0" collapsed="false">
      <c r="A3084" s="12" t="n">
        <v>45992</v>
      </c>
      <c r="B3084" s="9" t="s">
        <v>93</v>
      </c>
      <c r="C3084" s="3" t="s">
        <v>109</v>
      </c>
      <c r="D3084" s="3" t="n">
        <v>10820000</v>
      </c>
      <c r="E3084" s="3" t="s">
        <v>114</v>
      </c>
      <c r="F3084" s="3" t="n">
        <f aca="false">IF(C3084="848630",0,1)</f>
        <v>1</v>
      </c>
    </row>
    <row r="3085" customFormat="false" ht="15" hidden="false" customHeight="false" outlineLevel="0" collapsed="false">
      <c r="A3085" s="12" t="n">
        <v>45992</v>
      </c>
      <c r="B3085" s="9" t="s">
        <v>93</v>
      </c>
      <c r="C3085" s="3" t="s">
        <v>109</v>
      </c>
      <c r="D3085" s="3" t="n">
        <v>102000</v>
      </c>
      <c r="E3085" s="3" t="s">
        <v>114</v>
      </c>
      <c r="F3085" s="3" t="n">
        <f aca="false">IF(C3085="848630",0,1)</f>
        <v>1</v>
      </c>
    </row>
    <row r="3086" customFormat="false" ht="15" hidden="false" customHeight="false" outlineLevel="0" collapsed="false">
      <c r="A3086" s="12" t="n">
        <v>45992</v>
      </c>
      <c r="B3086" s="9" t="s">
        <v>93</v>
      </c>
      <c r="C3086" s="3" t="s">
        <v>109</v>
      </c>
      <c r="D3086" s="3" t="n">
        <v>3068000</v>
      </c>
      <c r="E3086" s="3" t="s">
        <v>114</v>
      </c>
      <c r="F3086" s="3" t="n">
        <f aca="false">IF(C3086="848630",0,1)</f>
        <v>1</v>
      </c>
    </row>
    <row r="3087" customFormat="false" ht="15" hidden="false" customHeight="false" outlineLevel="0" collapsed="false">
      <c r="A3087" s="12" t="n">
        <v>45992</v>
      </c>
      <c r="B3087" s="9" t="s">
        <v>93</v>
      </c>
      <c r="C3087" s="3" t="s">
        <v>109</v>
      </c>
      <c r="D3087" s="3" t="n">
        <v>1171000</v>
      </c>
      <c r="E3087" s="3" t="s">
        <v>114</v>
      </c>
      <c r="F3087" s="3" t="n">
        <f aca="false">IF(C3087="848630",0,1)</f>
        <v>1</v>
      </c>
    </row>
    <row r="3088" customFormat="false" ht="15" hidden="false" customHeight="false" outlineLevel="0" collapsed="false">
      <c r="A3088" s="12" t="n">
        <v>45992</v>
      </c>
      <c r="B3088" s="9" t="s">
        <v>93</v>
      </c>
      <c r="C3088" s="3" t="s">
        <v>109</v>
      </c>
      <c r="D3088" s="3" t="n">
        <v>10744000</v>
      </c>
      <c r="E3088" s="3" t="s">
        <v>114</v>
      </c>
      <c r="F3088" s="3" t="n">
        <f aca="false">IF(C3088="848630",0,1)</f>
        <v>1</v>
      </c>
    </row>
    <row r="3089" customFormat="false" ht="15" hidden="false" customHeight="false" outlineLevel="0" collapsed="false">
      <c r="A3089" s="12" t="n">
        <v>45992</v>
      </c>
      <c r="B3089" s="9" t="s">
        <v>93</v>
      </c>
      <c r="C3089" s="3" t="s">
        <v>110</v>
      </c>
      <c r="D3089" s="3" t="n">
        <v>127152000</v>
      </c>
      <c r="E3089" s="3" t="s">
        <v>114</v>
      </c>
      <c r="F3089" s="3" t="n">
        <f aca="false">IF(C3089="848630",0,1)</f>
        <v>1</v>
      </c>
    </row>
    <row r="3090" customFormat="false" ht="15" hidden="false" customHeight="false" outlineLevel="0" collapsed="false">
      <c r="A3090" s="12" t="n">
        <v>45992</v>
      </c>
      <c r="B3090" s="9" t="s">
        <v>93</v>
      </c>
      <c r="C3090" s="3" t="s">
        <v>111</v>
      </c>
      <c r="D3090" s="3" t="n">
        <v>7353000</v>
      </c>
      <c r="E3090" s="3" t="s">
        <v>114</v>
      </c>
      <c r="F3090" s="3" t="n">
        <f aca="false">IF(C3090="848630",0,1)</f>
        <v>1</v>
      </c>
    </row>
    <row r="3091" customFormat="false" ht="15" hidden="false" customHeight="false" outlineLevel="0" collapsed="false">
      <c r="A3091" s="12" t="n">
        <v>46023</v>
      </c>
      <c r="B3091" s="9" t="s">
        <v>93</v>
      </c>
      <c r="C3091" s="3" t="s">
        <v>105</v>
      </c>
      <c r="D3091" s="3" t="n">
        <v>532000</v>
      </c>
      <c r="E3091" s="3" t="s">
        <v>114</v>
      </c>
      <c r="F3091" s="3" t="n">
        <f aca="false">IF(C3091="848630",0,1)</f>
        <v>1</v>
      </c>
    </row>
    <row r="3092" customFormat="false" ht="15" hidden="false" customHeight="false" outlineLevel="0" collapsed="false">
      <c r="A3092" s="12" t="n">
        <v>46023</v>
      </c>
      <c r="B3092" s="9" t="s">
        <v>93</v>
      </c>
      <c r="C3092" s="3" t="s">
        <v>105</v>
      </c>
      <c r="D3092" s="3" t="n">
        <v>22000</v>
      </c>
      <c r="E3092" s="3" t="s">
        <v>114</v>
      </c>
      <c r="F3092" s="3" t="n">
        <f aca="false">IF(C3092="848630",0,1)</f>
        <v>1</v>
      </c>
    </row>
    <row r="3093" customFormat="false" ht="15" hidden="false" customHeight="false" outlineLevel="0" collapsed="false">
      <c r="A3093" s="12" t="n">
        <v>46023</v>
      </c>
      <c r="B3093" s="9" t="s">
        <v>93</v>
      </c>
      <c r="C3093" s="3" t="s">
        <v>105</v>
      </c>
      <c r="D3093" s="3" t="n">
        <v>0</v>
      </c>
      <c r="E3093" s="3" t="s">
        <v>114</v>
      </c>
      <c r="F3093" s="3" t="n">
        <f aca="false">IF(C3093="848630",0,1)</f>
        <v>1</v>
      </c>
    </row>
    <row r="3094" customFormat="false" ht="15" hidden="false" customHeight="false" outlineLevel="0" collapsed="false">
      <c r="A3094" s="12" t="n">
        <v>46023</v>
      </c>
      <c r="B3094" s="9" t="s">
        <v>93</v>
      </c>
      <c r="C3094" s="3" t="s">
        <v>105</v>
      </c>
      <c r="D3094" s="3" t="n">
        <v>0</v>
      </c>
      <c r="E3094" s="3" t="s">
        <v>114</v>
      </c>
      <c r="F3094" s="3" t="n">
        <f aca="false">IF(C3094="848630",0,1)</f>
        <v>1</v>
      </c>
    </row>
    <row r="3095" customFormat="false" ht="15" hidden="false" customHeight="false" outlineLevel="0" collapsed="false">
      <c r="A3095" s="12" t="n">
        <v>46023</v>
      </c>
      <c r="B3095" s="9" t="s">
        <v>93</v>
      </c>
      <c r="C3095" s="3" t="s">
        <v>107</v>
      </c>
      <c r="D3095" s="3" t="n">
        <v>0</v>
      </c>
      <c r="E3095" s="3" t="s">
        <v>114</v>
      </c>
      <c r="F3095" s="3" t="n">
        <f aca="false">IF(C3095="848630",0,1)</f>
        <v>1</v>
      </c>
    </row>
    <row r="3096" customFormat="false" ht="15" hidden="false" customHeight="false" outlineLevel="0" collapsed="false">
      <c r="A3096" s="12" t="n">
        <v>46023</v>
      </c>
      <c r="B3096" s="9" t="s">
        <v>93</v>
      </c>
      <c r="C3096" s="3" t="s">
        <v>107</v>
      </c>
      <c r="D3096" s="3" t="n">
        <v>526000</v>
      </c>
      <c r="E3096" s="3" t="s">
        <v>114</v>
      </c>
      <c r="F3096" s="3" t="n">
        <f aca="false">IF(C3096="848630",0,1)</f>
        <v>1</v>
      </c>
    </row>
    <row r="3097" customFormat="false" ht="15" hidden="false" customHeight="false" outlineLevel="0" collapsed="false">
      <c r="A3097" s="12" t="n">
        <v>46023</v>
      </c>
      <c r="B3097" s="9" t="s">
        <v>93</v>
      </c>
      <c r="C3097" s="3" t="s">
        <v>107</v>
      </c>
      <c r="D3097" s="3" t="n">
        <v>84052000</v>
      </c>
      <c r="E3097" s="3" t="s">
        <v>114</v>
      </c>
      <c r="F3097" s="3" t="n">
        <f aca="false">IF(C3097="848630",0,1)</f>
        <v>1</v>
      </c>
    </row>
    <row r="3098" customFormat="false" ht="15" hidden="false" customHeight="false" outlineLevel="0" collapsed="false">
      <c r="A3098" s="12" t="n">
        <v>46023</v>
      </c>
      <c r="B3098" s="9" t="s">
        <v>93</v>
      </c>
      <c r="C3098" s="3" t="s">
        <v>107</v>
      </c>
      <c r="D3098" s="3" t="n">
        <v>618000</v>
      </c>
      <c r="E3098" s="3" t="s">
        <v>114</v>
      </c>
      <c r="F3098" s="3" t="n">
        <f aca="false">IF(C3098="848630",0,1)</f>
        <v>1</v>
      </c>
    </row>
    <row r="3099" customFormat="false" ht="15" hidden="false" customHeight="false" outlineLevel="0" collapsed="false">
      <c r="A3099" s="12" t="n">
        <v>46023</v>
      </c>
      <c r="B3099" s="9" t="s">
        <v>93</v>
      </c>
      <c r="C3099" s="3" t="s">
        <v>107</v>
      </c>
      <c r="D3099" s="3" t="n">
        <v>0</v>
      </c>
      <c r="E3099" s="3" t="s">
        <v>114</v>
      </c>
      <c r="F3099" s="3" t="n">
        <f aca="false">IF(C3099="848630",0,1)</f>
        <v>1</v>
      </c>
    </row>
    <row r="3100" customFormat="false" ht="15" hidden="false" customHeight="false" outlineLevel="0" collapsed="false">
      <c r="A3100" s="12" t="n">
        <v>46023</v>
      </c>
      <c r="B3100" s="9" t="s">
        <v>93</v>
      </c>
      <c r="C3100" s="3" t="s">
        <v>107</v>
      </c>
      <c r="D3100" s="3" t="n">
        <v>16218000</v>
      </c>
      <c r="E3100" s="3" t="s">
        <v>114</v>
      </c>
      <c r="F3100" s="3" t="n">
        <f aca="false">IF(C3100="848630",0,1)</f>
        <v>1</v>
      </c>
    </row>
    <row r="3101" customFormat="false" ht="15" hidden="false" customHeight="false" outlineLevel="0" collapsed="false">
      <c r="A3101" s="12" t="n">
        <v>46023</v>
      </c>
      <c r="B3101" s="9" t="s">
        <v>93</v>
      </c>
      <c r="C3101" s="3" t="s">
        <v>107</v>
      </c>
      <c r="D3101" s="3" t="n">
        <v>89392000</v>
      </c>
      <c r="E3101" s="3" t="s">
        <v>114</v>
      </c>
      <c r="F3101" s="3" t="n">
        <f aca="false">IF(C3101="848630",0,1)</f>
        <v>1</v>
      </c>
    </row>
    <row r="3102" customFormat="false" ht="15" hidden="false" customHeight="false" outlineLevel="0" collapsed="false">
      <c r="A3102" s="12" t="n">
        <v>46023</v>
      </c>
      <c r="B3102" s="9" t="s">
        <v>93</v>
      </c>
      <c r="C3102" s="3" t="s">
        <v>107</v>
      </c>
      <c r="D3102" s="3" t="n">
        <v>0</v>
      </c>
      <c r="E3102" s="3" t="s">
        <v>114</v>
      </c>
      <c r="F3102" s="3" t="n">
        <f aca="false">IF(C3102="848630",0,1)</f>
        <v>1</v>
      </c>
    </row>
    <row r="3103" customFormat="false" ht="15" hidden="false" customHeight="false" outlineLevel="0" collapsed="false">
      <c r="A3103" s="12" t="n">
        <v>46023</v>
      </c>
      <c r="B3103" s="9" t="s">
        <v>93</v>
      </c>
      <c r="C3103" s="3" t="s">
        <v>107</v>
      </c>
      <c r="D3103" s="3" t="n">
        <v>7386000</v>
      </c>
      <c r="E3103" s="3" t="s">
        <v>114</v>
      </c>
      <c r="F3103" s="3" t="n">
        <f aca="false">IF(C3103="848630",0,1)</f>
        <v>1</v>
      </c>
    </row>
    <row r="3104" customFormat="false" ht="15" hidden="false" customHeight="false" outlineLevel="0" collapsed="false">
      <c r="A3104" s="12" t="n">
        <v>46023</v>
      </c>
      <c r="B3104" s="9" t="s">
        <v>93</v>
      </c>
      <c r="C3104" s="3" t="s">
        <v>107</v>
      </c>
      <c r="D3104" s="3" t="n">
        <v>97179000</v>
      </c>
      <c r="E3104" s="3" t="s">
        <v>114</v>
      </c>
      <c r="F3104" s="3" t="n">
        <f aca="false">IF(C3104="848630",0,1)</f>
        <v>1</v>
      </c>
    </row>
    <row r="3105" customFormat="false" ht="15" hidden="false" customHeight="false" outlineLevel="0" collapsed="false">
      <c r="A3105" s="12" t="n">
        <v>46023</v>
      </c>
      <c r="B3105" s="9" t="s">
        <v>93</v>
      </c>
      <c r="C3105" s="3" t="s">
        <v>107</v>
      </c>
      <c r="D3105" s="3" t="n">
        <v>2564000</v>
      </c>
      <c r="E3105" s="3" t="s">
        <v>114</v>
      </c>
      <c r="F3105" s="3" t="n">
        <f aca="false">IF(C3105="848630",0,1)</f>
        <v>1</v>
      </c>
    </row>
    <row r="3106" customFormat="false" ht="15" hidden="false" customHeight="false" outlineLevel="0" collapsed="false">
      <c r="A3106" s="12" t="n">
        <v>46023</v>
      </c>
      <c r="B3106" s="9" t="s">
        <v>93</v>
      </c>
      <c r="C3106" s="3" t="s">
        <v>107</v>
      </c>
      <c r="D3106" s="3" t="n">
        <v>286000</v>
      </c>
      <c r="E3106" s="3" t="s">
        <v>114</v>
      </c>
      <c r="F3106" s="3" t="n">
        <f aca="false">IF(C3106="848630",0,1)</f>
        <v>1</v>
      </c>
    </row>
    <row r="3107" customFormat="false" ht="15" hidden="false" customHeight="false" outlineLevel="0" collapsed="false">
      <c r="A3107" s="12" t="n">
        <v>46023</v>
      </c>
      <c r="B3107" s="9" t="s">
        <v>93</v>
      </c>
      <c r="C3107" s="3" t="s">
        <v>107</v>
      </c>
      <c r="D3107" s="3" t="n">
        <v>1168000</v>
      </c>
      <c r="E3107" s="3" t="s">
        <v>114</v>
      </c>
      <c r="F3107" s="3" t="n">
        <f aca="false">IF(C3107="848630",0,1)</f>
        <v>1</v>
      </c>
    </row>
    <row r="3108" customFormat="false" ht="15" hidden="false" customHeight="false" outlineLevel="0" collapsed="false">
      <c r="A3108" s="12" t="n">
        <v>46023</v>
      </c>
      <c r="B3108" s="9" t="s">
        <v>93</v>
      </c>
      <c r="C3108" s="3" t="s">
        <v>112</v>
      </c>
      <c r="D3108" s="3" t="n">
        <v>1618000</v>
      </c>
      <c r="E3108" s="3" t="s">
        <v>114</v>
      </c>
      <c r="F3108" s="3" t="n">
        <f aca="false">IF(C3108="848630",0,1)</f>
        <v>0</v>
      </c>
    </row>
    <row r="3109" customFormat="false" ht="15" hidden="false" customHeight="false" outlineLevel="0" collapsed="false">
      <c r="A3109" s="12" t="n">
        <v>46023</v>
      </c>
      <c r="B3109" s="9" t="s">
        <v>93</v>
      </c>
      <c r="C3109" s="3" t="s">
        <v>112</v>
      </c>
      <c r="D3109" s="3" t="n">
        <v>10000</v>
      </c>
      <c r="E3109" s="3" t="s">
        <v>114</v>
      </c>
      <c r="F3109" s="3" t="n">
        <f aca="false">IF(C3109="848630",0,1)</f>
        <v>0</v>
      </c>
    </row>
    <row r="3110" customFormat="false" ht="15" hidden="false" customHeight="false" outlineLevel="0" collapsed="false">
      <c r="A3110" s="12" t="n">
        <v>46023</v>
      </c>
      <c r="B3110" s="9" t="s">
        <v>93</v>
      </c>
      <c r="C3110" s="3" t="s">
        <v>112</v>
      </c>
      <c r="D3110" s="3" t="n">
        <v>0</v>
      </c>
      <c r="E3110" s="3" t="s">
        <v>114</v>
      </c>
      <c r="F3110" s="3" t="n">
        <f aca="false">IF(C3110="848630",0,1)</f>
        <v>0</v>
      </c>
    </row>
    <row r="3111" customFormat="false" ht="15" hidden="false" customHeight="false" outlineLevel="0" collapsed="false">
      <c r="A3111" s="12" t="n">
        <v>46023</v>
      </c>
      <c r="B3111" s="9" t="s">
        <v>93</v>
      </c>
      <c r="C3111" s="3" t="s">
        <v>108</v>
      </c>
      <c r="D3111" s="3" t="n">
        <v>44066000</v>
      </c>
      <c r="E3111" s="3" t="s">
        <v>114</v>
      </c>
      <c r="F3111" s="3" t="n">
        <f aca="false">IF(C3111="848630",0,1)</f>
        <v>1</v>
      </c>
    </row>
    <row r="3112" customFormat="false" ht="15" hidden="false" customHeight="false" outlineLevel="0" collapsed="false">
      <c r="A3112" s="12" t="n">
        <v>46023</v>
      </c>
      <c r="B3112" s="9" t="s">
        <v>93</v>
      </c>
      <c r="C3112" s="3" t="s">
        <v>108</v>
      </c>
      <c r="D3112" s="3" t="n">
        <v>1477000</v>
      </c>
      <c r="E3112" s="3" t="s">
        <v>114</v>
      </c>
      <c r="F3112" s="3" t="n">
        <f aca="false">IF(C3112="848630",0,1)</f>
        <v>1</v>
      </c>
    </row>
    <row r="3113" customFormat="false" ht="15" hidden="false" customHeight="false" outlineLevel="0" collapsed="false">
      <c r="A3113" s="12" t="n">
        <v>46023</v>
      </c>
      <c r="B3113" s="9" t="s">
        <v>93</v>
      </c>
      <c r="C3113" s="3" t="s">
        <v>108</v>
      </c>
      <c r="D3113" s="3" t="n">
        <v>117000</v>
      </c>
      <c r="E3113" s="3" t="s">
        <v>114</v>
      </c>
      <c r="F3113" s="3" t="n">
        <f aca="false">IF(C3113="848630",0,1)</f>
        <v>1</v>
      </c>
    </row>
    <row r="3114" customFormat="false" ht="15" hidden="false" customHeight="false" outlineLevel="0" collapsed="false">
      <c r="A3114" s="12" t="n">
        <v>46023</v>
      </c>
      <c r="B3114" s="9" t="s">
        <v>93</v>
      </c>
      <c r="C3114" s="3" t="s">
        <v>108</v>
      </c>
      <c r="D3114" s="3" t="n">
        <v>0</v>
      </c>
      <c r="E3114" s="3" t="s">
        <v>114</v>
      </c>
      <c r="F3114" s="3" t="n">
        <f aca="false">IF(C3114="848630",0,1)</f>
        <v>1</v>
      </c>
    </row>
    <row r="3115" customFormat="false" ht="15" hidden="false" customHeight="false" outlineLevel="0" collapsed="false">
      <c r="A3115" s="12" t="n">
        <v>46023</v>
      </c>
      <c r="B3115" s="9" t="s">
        <v>93</v>
      </c>
      <c r="C3115" s="3" t="s">
        <v>108</v>
      </c>
      <c r="D3115" s="3" t="n">
        <v>2025000</v>
      </c>
      <c r="E3115" s="3" t="s">
        <v>114</v>
      </c>
      <c r="F3115" s="3" t="n">
        <f aca="false">IF(C3115="848630",0,1)</f>
        <v>1</v>
      </c>
    </row>
    <row r="3116" customFormat="false" ht="15" hidden="false" customHeight="false" outlineLevel="0" collapsed="false">
      <c r="A3116" s="12" t="n">
        <v>46023</v>
      </c>
      <c r="B3116" s="9" t="s">
        <v>93</v>
      </c>
      <c r="C3116" s="3" t="s">
        <v>108</v>
      </c>
      <c r="D3116" s="3" t="n">
        <v>1000</v>
      </c>
      <c r="E3116" s="3" t="s">
        <v>114</v>
      </c>
      <c r="F3116" s="3" t="n">
        <f aca="false">IF(C3116="848630",0,1)</f>
        <v>1</v>
      </c>
    </row>
    <row r="3117" customFormat="false" ht="15" hidden="false" customHeight="false" outlineLevel="0" collapsed="false">
      <c r="A3117" s="12" t="n">
        <v>46023</v>
      </c>
      <c r="B3117" s="9" t="s">
        <v>93</v>
      </c>
      <c r="C3117" s="3" t="s">
        <v>108</v>
      </c>
      <c r="D3117" s="3" t="n">
        <v>19021000</v>
      </c>
      <c r="E3117" s="3" t="s">
        <v>114</v>
      </c>
      <c r="F3117" s="3" t="n">
        <f aca="false">IF(C3117="848630",0,1)</f>
        <v>1</v>
      </c>
    </row>
    <row r="3118" customFormat="false" ht="15" hidden="false" customHeight="false" outlineLevel="0" collapsed="false">
      <c r="A3118" s="12" t="n">
        <v>46023</v>
      </c>
      <c r="B3118" s="9" t="s">
        <v>93</v>
      </c>
      <c r="C3118" s="3" t="s">
        <v>108</v>
      </c>
      <c r="D3118" s="3" t="n">
        <v>2018000</v>
      </c>
      <c r="E3118" s="3" t="s">
        <v>114</v>
      </c>
      <c r="F3118" s="3" t="n">
        <f aca="false">IF(C3118="848630",0,1)</f>
        <v>1</v>
      </c>
    </row>
    <row r="3119" customFormat="false" ht="15" hidden="false" customHeight="false" outlineLevel="0" collapsed="false">
      <c r="A3119" s="12" t="n">
        <v>46023</v>
      </c>
      <c r="B3119" s="9" t="s">
        <v>93</v>
      </c>
      <c r="C3119" s="3" t="s">
        <v>108</v>
      </c>
      <c r="D3119" s="3" t="n">
        <v>1606000</v>
      </c>
      <c r="E3119" s="3" t="s">
        <v>114</v>
      </c>
      <c r="F3119" s="3" t="n">
        <f aca="false">IF(C3119="848630",0,1)</f>
        <v>1</v>
      </c>
    </row>
    <row r="3120" customFormat="false" ht="15" hidden="false" customHeight="false" outlineLevel="0" collapsed="false">
      <c r="A3120" s="12" t="n">
        <v>46023</v>
      </c>
      <c r="B3120" s="9" t="s">
        <v>93</v>
      </c>
      <c r="C3120" s="3" t="s">
        <v>109</v>
      </c>
      <c r="D3120" s="3" t="n">
        <v>1906000</v>
      </c>
      <c r="E3120" s="3" t="s">
        <v>114</v>
      </c>
      <c r="F3120" s="3" t="n">
        <f aca="false">IF(C3120="848630",0,1)</f>
        <v>1</v>
      </c>
    </row>
    <row r="3121" customFormat="false" ht="15" hidden="false" customHeight="false" outlineLevel="0" collapsed="false">
      <c r="A3121" s="12" t="n">
        <v>46023</v>
      </c>
      <c r="B3121" s="9" t="s">
        <v>93</v>
      </c>
      <c r="C3121" s="3" t="s">
        <v>109</v>
      </c>
      <c r="D3121" s="3" t="n">
        <v>19502000</v>
      </c>
      <c r="E3121" s="3" t="s">
        <v>114</v>
      </c>
      <c r="F3121" s="3" t="n">
        <f aca="false">IF(C3121="848630",0,1)</f>
        <v>1</v>
      </c>
    </row>
    <row r="3122" customFormat="false" ht="15" hidden="false" customHeight="false" outlineLevel="0" collapsed="false">
      <c r="A3122" s="12" t="n">
        <v>46023</v>
      </c>
      <c r="B3122" s="9" t="s">
        <v>93</v>
      </c>
      <c r="C3122" s="3" t="s">
        <v>109</v>
      </c>
      <c r="D3122" s="3" t="n">
        <v>44759000</v>
      </c>
      <c r="E3122" s="3" t="s">
        <v>114</v>
      </c>
      <c r="F3122" s="3" t="n">
        <f aca="false">IF(C3122="848630",0,1)</f>
        <v>1</v>
      </c>
    </row>
    <row r="3123" customFormat="false" ht="15" hidden="false" customHeight="false" outlineLevel="0" collapsed="false">
      <c r="A3123" s="12" t="n">
        <v>46023</v>
      </c>
      <c r="B3123" s="9" t="s">
        <v>93</v>
      </c>
      <c r="C3123" s="3" t="s">
        <v>109</v>
      </c>
      <c r="D3123" s="3" t="n">
        <v>8241000</v>
      </c>
      <c r="E3123" s="3" t="s">
        <v>114</v>
      </c>
      <c r="F3123" s="3" t="n">
        <f aca="false">IF(C3123="848630",0,1)</f>
        <v>1</v>
      </c>
    </row>
    <row r="3124" customFormat="false" ht="15" hidden="false" customHeight="false" outlineLevel="0" collapsed="false">
      <c r="A3124" s="12" t="n">
        <v>46023</v>
      </c>
      <c r="B3124" s="9" t="s">
        <v>93</v>
      </c>
      <c r="C3124" s="3" t="s">
        <v>109</v>
      </c>
      <c r="D3124" s="3" t="n">
        <v>38000</v>
      </c>
      <c r="E3124" s="3" t="s">
        <v>114</v>
      </c>
      <c r="F3124" s="3" t="n">
        <f aca="false">IF(C3124="848630",0,1)</f>
        <v>1</v>
      </c>
    </row>
    <row r="3125" customFormat="false" ht="15" hidden="false" customHeight="false" outlineLevel="0" collapsed="false">
      <c r="A3125" s="12" t="n">
        <v>46023</v>
      </c>
      <c r="B3125" s="9" t="s">
        <v>93</v>
      </c>
      <c r="C3125" s="3" t="s">
        <v>109</v>
      </c>
      <c r="D3125" s="3" t="n">
        <v>1117000</v>
      </c>
      <c r="E3125" s="3" t="s">
        <v>114</v>
      </c>
      <c r="F3125" s="3" t="n">
        <f aca="false">IF(C3125="848630",0,1)</f>
        <v>1</v>
      </c>
    </row>
    <row r="3126" customFormat="false" ht="15" hidden="false" customHeight="false" outlineLevel="0" collapsed="false">
      <c r="A3126" s="12" t="n">
        <v>46023</v>
      </c>
      <c r="B3126" s="9" t="s">
        <v>93</v>
      </c>
      <c r="C3126" s="3" t="s">
        <v>109</v>
      </c>
      <c r="D3126" s="3" t="n">
        <v>365000</v>
      </c>
      <c r="E3126" s="3" t="s">
        <v>114</v>
      </c>
      <c r="F3126" s="3" t="n">
        <f aca="false">IF(C3126="848630",0,1)</f>
        <v>1</v>
      </c>
    </row>
    <row r="3127" customFormat="false" ht="15" hidden="false" customHeight="false" outlineLevel="0" collapsed="false">
      <c r="A3127" s="12" t="n">
        <v>46023</v>
      </c>
      <c r="B3127" s="9" t="s">
        <v>93</v>
      </c>
      <c r="C3127" s="3" t="s">
        <v>109</v>
      </c>
      <c r="D3127" s="3" t="n">
        <v>6923000</v>
      </c>
      <c r="E3127" s="3" t="s">
        <v>114</v>
      </c>
      <c r="F3127" s="3" t="n">
        <f aca="false">IF(C3127="848630",0,1)</f>
        <v>1</v>
      </c>
    </row>
    <row r="3128" customFormat="false" ht="15" hidden="false" customHeight="false" outlineLevel="0" collapsed="false">
      <c r="A3128" s="12" t="n">
        <v>46023</v>
      </c>
      <c r="B3128" s="9" t="s">
        <v>93</v>
      </c>
      <c r="C3128" s="3" t="s">
        <v>110</v>
      </c>
      <c r="D3128" s="3" t="n">
        <v>12057000</v>
      </c>
      <c r="E3128" s="3" t="s">
        <v>114</v>
      </c>
      <c r="F3128" s="3" t="n">
        <f aca="false">IF(C3128="848630",0,1)</f>
        <v>1</v>
      </c>
    </row>
    <row r="3129" customFormat="false" ht="15" hidden="false" customHeight="false" outlineLevel="0" collapsed="false">
      <c r="A3129" s="12" t="n">
        <v>46023</v>
      </c>
      <c r="B3129" s="9" t="s">
        <v>93</v>
      </c>
      <c r="C3129" s="3" t="s">
        <v>111</v>
      </c>
      <c r="D3129" s="3" t="n">
        <v>87002000</v>
      </c>
      <c r="E3129" s="3" t="s">
        <v>114</v>
      </c>
      <c r="F3129" s="3" t="n">
        <f aca="false">IF(C3129="848630",0,1)</f>
        <v>1</v>
      </c>
    </row>
    <row r="3130" customFormat="false" ht="15" hidden="false" customHeight="false" outlineLevel="0" collapsed="false">
      <c r="A3130" s="12" t="n">
        <v>46054</v>
      </c>
      <c r="B3130" s="9" t="s">
        <v>93</v>
      </c>
      <c r="C3130" s="3" t="s">
        <v>105</v>
      </c>
      <c r="D3130" s="3" t="n">
        <v>0</v>
      </c>
      <c r="E3130" s="3" t="s">
        <v>114</v>
      </c>
      <c r="F3130" s="3" t="n">
        <f aca="false">IF(C3130="848630",0,1)</f>
        <v>1</v>
      </c>
    </row>
    <row r="3131" customFormat="false" ht="15" hidden="false" customHeight="false" outlineLevel="0" collapsed="false">
      <c r="A3131" s="12" t="n">
        <v>46054</v>
      </c>
      <c r="B3131" s="9" t="s">
        <v>93</v>
      </c>
      <c r="C3131" s="3" t="s">
        <v>105</v>
      </c>
      <c r="D3131" s="3" t="n">
        <v>0</v>
      </c>
      <c r="E3131" s="3" t="s">
        <v>114</v>
      </c>
      <c r="F3131" s="3" t="n">
        <f aca="false">IF(C3131="848630",0,1)</f>
        <v>1</v>
      </c>
    </row>
    <row r="3132" customFormat="false" ht="15" hidden="false" customHeight="false" outlineLevel="0" collapsed="false">
      <c r="A3132" s="12" t="n">
        <v>46054</v>
      </c>
      <c r="B3132" s="9" t="s">
        <v>93</v>
      </c>
      <c r="C3132" s="3" t="s">
        <v>105</v>
      </c>
      <c r="D3132" s="3" t="n">
        <v>6000</v>
      </c>
      <c r="E3132" s="3" t="s">
        <v>114</v>
      </c>
      <c r="F3132" s="3" t="n">
        <f aca="false">IF(C3132="848630",0,1)</f>
        <v>1</v>
      </c>
    </row>
    <row r="3133" customFormat="false" ht="15" hidden="false" customHeight="false" outlineLevel="0" collapsed="false">
      <c r="A3133" s="12" t="n">
        <v>46054</v>
      </c>
      <c r="B3133" s="9" t="s">
        <v>93</v>
      </c>
      <c r="C3133" s="3" t="s">
        <v>107</v>
      </c>
      <c r="D3133" s="3" t="n">
        <v>0</v>
      </c>
      <c r="E3133" s="3" t="s">
        <v>114</v>
      </c>
      <c r="F3133" s="3" t="n">
        <f aca="false">IF(C3133="848630",0,1)</f>
        <v>1</v>
      </c>
    </row>
    <row r="3134" customFormat="false" ht="15" hidden="false" customHeight="false" outlineLevel="0" collapsed="false">
      <c r="A3134" s="12" t="n">
        <v>46054</v>
      </c>
      <c r="B3134" s="9" t="s">
        <v>93</v>
      </c>
      <c r="C3134" s="3" t="s">
        <v>107</v>
      </c>
      <c r="D3134" s="3" t="n">
        <v>3389000</v>
      </c>
      <c r="E3134" s="3" t="s">
        <v>114</v>
      </c>
      <c r="F3134" s="3" t="n">
        <f aca="false">IF(C3134="848630",0,1)</f>
        <v>1</v>
      </c>
    </row>
    <row r="3135" customFormat="false" ht="15" hidden="false" customHeight="false" outlineLevel="0" collapsed="false">
      <c r="A3135" s="12" t="n">
        <v>46054</v>
      </c>
      <c r="B3135" s="9" t="s">
        <v>93</v>
      </c>
      <c r="C3135" s="3" t="s">
        <v>107</v>
      </c>
      <c r="D3135" s="3" t="n">
        <v>85053000</v>
      </c>
      <c r="E3135" s="3" t="s">
        <v>114</v>
      </c>
      <c r="F3135" s="3" t="n">
        <f aca="false">IF(C3135="848630",0,1)</f>
        <v>1</v>
      </c>
    </row>
    <row r="3136" customFormat="false" ht="15" hidden="false" customHeight="false" outlineLevel="0" collapsed="false">
      <c r="A3136" s="12" t="n">
        <v>46054</v>
      </c>
      <c r="B3136" s="9" t="s">
        <v>93</v>
      </c>
      <c r="C3136" s="3" t="s">
        <v>107</v>
      </c>
      <c r="D3136" s="3" t="n">
        <v>5787000</v>
      </c>
      <c r="E3136" s="3" t="s">
        <v>114</v>
      </c>
      <c r="F3136" s="3" t="n">
        <f aca="false">IF(C3136="848630",0,1)</f>
        <v>1</v>
      </c>
    </row>
    <row r="3137" customFormat="false" ht="15" hidden="false" customHeight="false" outlineLevel="0" collapsed="false">
      <c r="A3137" s="12" t="n">
        <v>46054</v>
      </c>
      <c r="B3137" s="9" t="s">
        <v>93</v>
      </c>
      <c r="C3137" s="3" t="s">
        <v>107</v>
      </c>
      <c r="D3137" s="3" t="n">
        <v>5097000</v>
      </c>
      <c r="E3137" s="3" t="s">
        <v>114</v>
      </c>
      <c r="F3137" s="3" t="n">
        <f aca="false">IF(C3137="848630",0,1)</f>
        <v>1</v>
      </c>
    </row>
    <row r="3138" customFormat="false" ht="15" hidden="false" customHeight="false" outlineLevel="0" collapsed="false">
      <c r="A3138" s="12" t="n">
        <v>46054</v>
      </c>
      <c r="B3138" s="9" t="s">
        <v>93</v>
      </c>
      <c r="C3138" s="3" t="s">
        <v>107</v>
      </c>
      <c r="D3138" s="3" t="n">
        <v>124000</v>
      </c>
      <c r="E3138" s="3" t="s">
        <v>114</v>
      </c>
      <c r="F3138" s="3" t="n">
        <f aca="false">IF(C3138="848630",0,1)</f>
        <v>1</v>
      </c>
    </row>
    <row r="3139" customFormat="false" ht="15" hidden="false" customHeight="false" outlineLevel="0" collapsed="false">
      <c r="A3139" s="12" t="n">
        <v>46054</v>
      </c>
      <c r="B3139" s="9" t="s">
        <v>93</v>
      </c>
      <c r="C3139" s="3" t="s">
        <v>107</v>
      </c>
      <c r="D3139" s="3" t="n">
        <v>139577000</v>
      </c>
      <c r="E3139" s="3" t="s">
        <v>114</v>
      </c>
      <c r="F3139" s="3" t="n">
        <f aca="false">IF(C3139="848630",0,1)</f>
        <v>1</v>
      </c>
    </row>
    <row r="3140" customFormat="false" ht="15" hidden="false" customHeight="false" outlineLevel="0" collapsed="false">
      <c r="A3140" s="12" t="n">
        <v>46054</v>
      </c>
      <c r="B3140" s="9" t="s">
        <v>93</v>
      </c>
      <c r="C3140" s="3" t="s">
        <v>107</v>
      </c>
      <c r="D3140" s="3" t="n">
        <v>11007000</v>
      </c>
      <c r="E3140" s="3" t="s">
        <v>114</v>
      </c>
      <c r="F3140" s="3" t="n">
        <f aca="false">IF(C3140="848630",0,1)</f>
        <v>1</v>
      </c>
    </row>
    <row r="3141" customFormat="false" ht="15" hidden="false" customHeight="false" outlineLevel="0" collapsed="false">
      <c r="A3141" s="12" t="n">
        <v>46054</v>
      </c>
      <c r="B3141" s="9" t="s">
        <v>93</v>
      </c>
      <c r="C3141" s="3" t="s">
        <v>107</v>
      </c>
      <c r="D3141" s="3" t="n">
        <v>44397000</v>
      </c>
      <c r="E3141" s="3" t="s">
        <v>114</v>
      </c>
      <c r="F3141" s="3" t="n">
        <f aca="false">IF(C3141="848630",0,1)</f>
        <v>1</v>
      </c>
    </row>
    <row r="3142" customFormat="false" ht="15" hidden="false" customHeight="false" outlineLevel="0" collapsed="false">
      <c r="A3142" s="12" t="n">
        <v>46054</v>
      </c>
      <c r="B3142" s="9" t="s">
        <v>93</v>
      </c>
      <c r="C3142" s="3" t="s">
        <v>107</v>
      </c>
      <c r="D3142" s="3" t="n">
        <v>18102000</v>
      </c>
      <c r="E3142" s="3" t="s">
        <v>114</v>
      </c>
      <c r="F3142" s="3" t="n">
        <f aca="false">IF(C3142="848630",0,1)</f>
        <v>1</v>
      </c>
    </row>
    <row r="3143" customFormat="false" ht="15" hidden="false" customHeight="false" outlineLevel="0" collapsed="false">
      <c r="A3143" s="12" t="n">
        <v>46054</v>
      </c>
      <c r="B3143" s="9" t="s">
        <v>93</v>
      </c>
      <c r="C3143" s="3" t="s">
        <v>107</v>
      </c>
      <c r="D3143" s="3" t="n">
        <v>6364000</v>
      </c>
      <c r="E3143" s="3" t="s">
        <v>114</v>
      </c>
      <c r="F3143" s="3" t="n">
        <f aca="false">IF(C3143="848630",0,1)</f>
        <v>1</v>
      </c>
    </row>
    <row r="3144" customFormat="false" ht="15" hidden="false" customHeight="false" outlineLevel="0" collapsed="false">
      <c r="A3144" s="12" t="n">
        <v>46054</v>
      </c>
      <c r="B3144" s="9" t="s">
        <v>93</v>
      </c>
      <c r="C3144" s="3" t="s">
        <v>107</v>
      </c>
      <c r="D3144" s="3" t="n">
        <v>2758000</v>
      </c>
      <c r="E3144" s="3" t="s">
        <v>114</v>
      </c>
      <c r="F3144" s="3" t="n">
        <f aca="false">IF(C3144="848630",0,1)</f>
        <v>1</v>
      </c>
    </row>
    <row r="3145" customFormat="false" ht="15" hidden="false" customHeight="false" outlineLevel="0" collapsed="false">
      <c r="A3145" s="12" t="n">
        <v>46054</v>
      </c>
      <c r="B3145" s="9" t="s">
        <v>93</v>
      </c>
      <c r="C3145" s="3" t="s">
        <v>107</v>
      </c>
      <c r="D3145" s="3" t="n">
        <v>11333000</v>
      </c>
      <c r="E3145" s="3" t="s">
        <v>114</v>
      </c>
      <c r="F3145" s="3" t="n">
        <f aca="false">IF(C3145="848630",0,1)</f>
        <v>1</v>
      </c>
    </row>
    <row r="3146" customFormat="false" ht="15" hidden="false" customHeight="false" outlineLevel="0" collapsed="false">
      <c r="A3146" s="12" t="n">
        <v>46054</v>
      </c>
      <c r="B3146" s="9" t="s">
        <v>93</v>
      </c>
      <c r="C3146" s="3" t="s">
        <v>112</v>
      </c>
      <c r="D3146" s="3" t="n">
        <v>24146000</v>
      </c>
      <c r="E3146" s="3" t="s">
        <v>114</v>
      </c>
      <c r="F3146" s="3" t="n">
        <f aca="false">IF(C3146="848630",0,1)</f>
        <v>0</v>
      </c>
    </row>
    <row r="3147" customFormat="false" ht="15" hidden="false" customHeight="false" outlineLevel="0" collapsed="false">
      <c r="A3147" s="12" t="n">
        <v>46054</v>
      </c>
      <c r="B3147" s="9" t="s">
        <v>93</v>
      </c>
      <c r="C3147" s="3" t="s">
        <v>112</v>
      </c>
      <c r="D3147" s="3" t="n">
        <v>19000</v>
      </c>
      <c r="E3147" s="3" t="s">
        <v>114</v>
      </c>
      <c r="F3147" s="3" t="n">
        <f aca="false">IF(C3147="848630",0,1)</f>
        <v>0</v>
      </c>
    </row>
    <row r="3148" customFormat="false" ht="15" hidden="false" customHeight="false" outlineLevel="0" collapsed="false">
      <c r="A3148" s="12" t="n">
        <v>46054</v>
      </c>
      <c r="B3148" s="9" t="s">
        <v>93</v>
      </c>
      <c r="C3148" s="3" t="s">
        <v>112</v>
      </c>
      <c r="D3148" s="3" t="n">
        <v>406000</v>
      </c>
      <c r="E3148" s="3" t="s">
        <v>114</v>
      </c>
      <c r="F3148" s="3" t="n">
        <f aca="false">IF(C3148="848630",0,1)</f>
        <v>0</v>
      </c>
    </row>
    <row r="3149" customFormat="false" ht="15" hidden="false" customHeight="false" outlineLevel="0" collapsed="false">
      <c r="A3149" s="12" t="n">
        <v>46054</v>
      </c>
      <c r="B3149" s="9" t="s">
        <v>93</v>
      </c>
      <c r="C3149" s="3" t="s">
        <v>108</v>
      </c>
      <c r="D3149" s="3" t="n">
        <v>0</v>
      </c>
      <c r="E3149" s="3" t="s">
        <v>114</v>
      </c>
      <c r="F3149" s="3" t="n">
        <f aca="false">IF(C3149="848630",0,1)</f>
        <v>1</v>
      </c>
    </row>
    <row r="3150" customFormat="false" ht="15" hidden="false" customHeight="false" outlineLevel="0" collapsed="false">
      <c r="A3150" s="12" t="n">
        <v>46054</v>
      </c>
      <c r="B3150" s="9" t="s">
        <v>93</v>
      </c>
      <c r="C3150" s="3" t="s">
        <v>108</v>
      </c>
      <c r="D3150" s="3" t="n">
        <v>165000</v>
      </c>
      <c r="E3150" s="3" t="s">
        <v>114</v>
      </c>
      <c r="F3150" s="3" t="n">
        <f aca="false">IF(C3150="848630",0,1)</f>
        <v>1</v>
      </c>
    </row>
    <row r="3151" customFormat="false" ht="15" hidden="false" customHeight="false" outlineLevel="0" collapsed="false">
      <c r="A3151" s="12" t="n">
        <v>46054</v>
      </c>
      <c r="B3151" s="9" t="s">
        <v>93</v>
      </c>
      <c r="C3151" s="3" t="s">
        <v>108</v>
      </c>
      <c r="D3151" s="3" t="n">
        <v>3214000</v>
      </c>
      <c r="E3151" s="3" t="s">
        <v>114</v>
      </c>
      <c r="F3151" s="3" t="n">
        <f aca="false">IF(C3151="848630",0,1)</f>
        <v>1</v>
      </c>
    </row>
    <row r="3152" customFormat="false" ht="15" hidden="false" customHeight="false" outlineLevel="0" collapsed="false">
      <c r="A3152" s="12" t="n">
        <v>46054</v>
      </c>
      <c r="B3152" s="9" t="s">
        <v>93</v>
      </c>
      <c r="C3152" s="3" t="s">
        <v>108</v>
      </c>
      <c r="D3152" s="3" t="n">
        <v>76000</v>
      </c>
      <c r="E3152" s="3" t="s">
        <v>114</v>
      </c>
      <c r="F3152" s="3" t="n">
        <f aca="false">IF(C3152="848630",0,1)</f>
        <v>1</v>
      </c>
    </row>
    <row r="3153" customFormat="false" ht="15" hidden="false" customHeight="false" outlineLevel="0" collapsed="false">
      <c r="A3153" s="12" t="n">
        <v>46054</v>
      </c>
      <c r="B3153" s="9" t="s">
        <v>93</v>
      </c>
      <c r="C3153" s="3" t="s">
        <v>108</v>
      </c>
      <c r="D3153" s="3" t="n">
        <v>1168000</v>
      </c>
      <c r="E3153" s="3" t="s">
        <v>114</v>
      </c>
      <c r="F3153" s="3" t="n">
        <f aca="false">IF(C3153="848630",0,1)</f>
        <v>1</v>
      </c>
    </row>
    <row r="3154" customFormat="false" ht="15" hidden="false" customHeight="false" outlineLevel="0" collapsed="false">
      <c r="A3154" s="12" t="n">
        <v>46054</v>
      </c>
      <c r="B3154" s="9" t="s">
        <v>93</v>
      </c>
      <c r="C3154" s="3" t="s">
        <v>108</v>
      </c>
      <c r="D3154" s="3" t="n">
        <v>21565000</v>
      </c>
      <c r="E3154" s="3" t="s">
        <v>114</v>
      </c>
      <c r="F3154" s="3" t="n">
        <f aca="false">IF(C3154="848630",0,1)</f>
        <v>1</v>
      </c>
    </row>
    <row r="3155" customFormat="false" ht="15" hidden="false" customHeight="false" outlineLevel="0" collapsed="false">
      <c r="A3155" s="12" t="n">
        <v>46054</v>
      </c>
      <c r="B3155" s="9" t="s">
        <v>93</v>
      </c>
      <c r="C3155" s="3" t="s">
        <v>108</v>
      </c>
      <c r="D3155" s="3" t="n">
        <v>1627000</v>
      </c>
      <c r="E3155" s="3" t="s">
        <v>114</v>
      </c>
      <c r="F3155" s="3" t="n">
        <f aca="false">IF(C3155="848630",0,1)</f>
        <v>1</v>
      </c>
    </row>
    <row r="3156" customFormat="false" ht="15" hidden="false" customHeight="false" outlineLevel="0" collapsed="false">
      <c r="A3156" s="12" t="n">
        <v>46054</v>
      </c>
      <c r="B3156" s="9" t="s">
        <v>93</v>
      </c>
      <c r="C3156" s="3" t="s">
        <v>108</v>
      </c>
      <c r="D3156" s="3" t="n">
        <v>1788000</v>
      </c>
      <c r="E3156" s="3" t="s">
        <v>114</v>
      </c>
      <c r="F3156" s="3" t="n">
        <f aca="false">IF(C3156="848630",0,1)</f>
        <v>1</v>
      </c>
    </row>
    <row r="3157" customFormat="false" ht="15" hidden="false" customHeight="false" outlineLevel="0" collapsed="false">
      <c r="A3157" s="12" t="n">
        <v>46054</v>
      </c>
      <c r="B3157" s="9" t="s">
        <v>93</v>
      </c>
      <c r="C3157" s="3" t="s">
        <v>109</v>
      </c>
      <c r="D3157" s="3" t="n">
        <v>4901000</v>
      </c>
      <c r="E3157" s="3" t="s">
        <v>114</v>
      </c>
      <c r="F3157" s="3" t="n">
        <f aca="false">IF(C3157="848630",0,1)</f>
        <v>1</v>
      </c>
    </row>
    <row r="3158" customFormat="false" ht="15" hidden="false" customHeight="false" outlineLevel="0" collapsed="false">
      <c r="A3158" s="12" t="n">
        <v>46054</v>
      </c>
      <c r="B3158" s="9" t="s">
        <v>93</v>
      </c>
      <c r="C3158" s="3" t="s">
        <v>109</v>
      </c>
      <c r="D3158" s="3" t="n">
        <v>20907000</v>
      </c>
      <c r="E3158" s="3" t="s">
        <v>114</v>
      </c>
      <c r="F3158" s="3" t="n">
        <f aca="false">IF(C3158="848630",0,1)</f>
        <v>1</v>
      </c>
    </row>
    <row r="3159" customFormat="false" ht="15" hidden="false" customHeight="false" outlineLevel="0" collapsed="false">
      <c r="A3159" s="12" t="n">
        <v>46054</v>
      </c>
      <c r="B3159" s="9" t="s">
        <v>93</v>
      </c>
      <c r="C3159" s="3" t="s">
        <v>109</v>
      </c>
      <c r="D3159" s="3" t="n">
        <v>53021000</v>
      </c>
      <c r="E3159" s="3" t="s">
        <v>114</v>
      </c>
      <c r="F3159" s="3" t="n">
        <f aca="false">IF(C3159="848630",0,1)</f>
        <v>1</v>
      </c>
    </row>
    <row r="3160" customFormat="false" ht="15" hidden="false" customHeight="false" outlineLevel="0" collapsed="false">
      <c r="A3160" s="12" t="n">
        <v>46054</v>
      </c>
      <c r="B3160" s="9" t="s">
        <v>93</v>
      </c>
      <c r="C3160" s="3" t="s">
        <v>109</v>
      </c>
      <c r="D3160" s="3" t="n">
        <v>11418000</v>
      </c>
      <c r="E3160" s="3" t="s">
        <v>114</v>
      </c>
      <c r="F3160" s="3" t="n">
        <f aca="false">IF(C3160="848630",0,1)</f>
        <v>1</v>
      </c>
    </row>
    <row r="3161" customFormat="false" ht="15" hidden="false" customHeight="false" outlineLevel="0" collapsed="false">
      <c r="A3161" s="12" t="n">
        <v>46054</v>
      </c>
      <c r="B3161" s="9" t="s">
        <v>93</v>
      </c>
      <c r="C3161" s="3" t="s">
        <v>109</v>
      </c>
      <c r="D3161" s="3" t="n">
        <v>117000</v>
      </c>
      <c r="E3161" s="3" t="s">
        <v>114</v>
      </c>
      <c r="F3161" s="3" t="n">
        <f aca="false">IF(C3161="848630",0,1)</f>
        <v>1</v>
      </c>
    </row>
    <row r="3162" customFormat="false" ht="15" hidden="false" customHeight="false" outlineLevel="0" collapsed="false">
      <c r="A3162" s="12" t="n">
        <v>46054</v>
      </c>
      <c r="B3162" s="9" t="s">
        <v>93</v>
      </c>
      <c r="C3162" s="3" t="s">
        <v>109</v>
      </c>
      <c r="D3162" s="3" t="n">
        <v>3566000</v>
      </c>
      <c r="E3162" s="3" t="s">
        <v>114</v>
      </c>
      <c r="F3162" s="3" t="n">
        <f aca="false">IF(C3162="848630",0,1)</f>
        <v>1</v>
      </c>
    </row>
    <row r="3163" customFormat="false" ht="15" hidden="false" customHeight="false" outlineLevel="0" collapsed="false">
      <c r="A3163" s="12" t="n">
        <v>46054</v>
      </c>
      <c r="B3163" s="9" t="s">
        <v>93</v>
      </c>
      <c r="C3163" s="3" t="s">
        <v>109</v>
      </c>
      <c r="D3163" s="3" t="n">
        <v>424000</v>
      </c>
      <c r="E3163" s="3" t="s">
        <v>114</v>
      </c>
      <c r="F3163" s="3" t="n">
        <f aca="false">IF(C3163="848630",0,1)</f>
        <v>1</v>
      </c>
    </row>
    <row r="3164" customFormat="false" ht="15" hidden="false" customHeight="false" outlineLevel="0" collapsed="false">
      <c r="A3164" s="12" t="n">
        <v>46054</v>
      </c>
      <c r="B3164" s="9" t="s">
        <v>93</v>
      </c>
      <c r="C3164" s="3" t="s">
        <v>109</v>
      </c>
      <c r="D3164" s="3" t="n">
        <v>9757000</v>
      </c>
      <c r="E3164" s="3" t="s">
        <v>114</v>
      </c>
      <c r="F3164" s="3" t="n">
        <f aca="false">IF(C3164="848630",0,1)</f>
        <v>1</v>
      </c>
    </row>
    <row r="3165" customFormat="false" ht="15" hidden="false" customHeight="false" outlineLevel="0" collapsed="false">
      <c r="A3165" s="12" t="n">
        <v>46054</v>
      </c>
      <c r="B3165" s="9" t="s">
        <v>93</v>
      </c>
      <c r="C3165" s="3" t="s">
        <v>110</v>
      </c>
      <c r="D3165" s="3" t="n">
        <v>27047000</v>
      </c>
      <c r="E3165" s="3" t="s">
        <v>114</v>
      </c>
      <c r="F3165" s="3" t="n">
        <f aca="false">IF(C3165="848630",0,1)</f>
        <v>1</v>
      </c>
    </row>
    <row r="3166" customFormat="false" ht="15" hidden="false" customHeight="false" outlineLevel="0" collapsed="false">
      <c r="A3166" s="12" t="n">
        <v>46054</v>
      </c>
      <c r="B3166" s="9" t="s">
        <v>93</v>
      </c>
      <c r="C3166" s="3" t="s">
        <v>111</v>
      </c>
      <c r="D3166" s="3" t="n">
        <v>20445000</v>
      </c>
      <c r="E3166" s="3" t="s">
        <v>114</v>
      </c>
      <c r="F3166" s="3" t="n">
        <f aca="false">IF(C3166="848630",0,1)</f>
        <v>1</v>
      </c>
    </row>
    <row r="3167" customFormat="false" ht="15" hidden="false" customHeight="false" outlineLevel="0" collapsed="false">
      <c r="A3167" s="12" t="n">
        <v>46082</v>
      </c>
      <c r="B3167" s="9" t="s">
        <v>93</v>
      </c>
      <c r="C3167" s="3" t="s">
        <v>105</v>
      </c>
      <c r="D3167" s="3" t="n">
        <v>333000</v>
      </c>
      <c r="E3167" s="3" t="s">
        <v>114</v>
      </c>
      <c r="F3167" s="3" t="n">
        <f aca="false">IF(C3167="848630",0,1)</f>
        <v>1</v>
      </c>
    </row>
    <row r="3168" customFormat="false" ht="15" hidden="false" customHeight="false" outlineLevel="0" collapsed="false">
      <c r="A3168" s="12" t="n">
        <v>46082</v>
      </c>
      <c r="B3168" s="9" t="s">
        <v>93</v>
      </c>
      <c r="C3168" s="3" t="s">
        <v>105</v>
      </c>
      <c r="D3168" s="3" t="n">
        <v>649000</v>
      </c>
      <c r="E3168" s="3" t="s">
        <v>114</v>
      </c>
      <c r="F3168" s="3" t="n">
        <f aca="false">IF(C3168="848630",0,1)</f>
        <v>1</v>
      </c>
    </row>
    <row r="3169" customFormat="false" ht="15" hidden="false" customHeight="false" outlineLevel="0" collapsed="false">
      <c r="A3169" s="12" t="n">
        <v>46082</v>
      </c>
      <c r="B3169" s="9" t="s">
        <v>93</v>
      </c>
      <c r="C3169" s="3" t="s">
        <v>105</v>
      </c>
      <c r="D3169" s="3" t="n">
        <v>91000</v>
      </c>
      <c r="E3169" s="3" t="s">
        <v>114</v>
      </c>
      <c r="F3169" s="3" t="n">
        <f aca="false">IF(C3169="848630",0,1)</f>
        <v>1</v>
      </c>
    </row>
    <row r="3170" customFormat="false" ht="15" hidden="false" customHeight="false" outlineLevel="0" collapsed="false">
      <c r="A3170" s="12" t="n">
        <v>46082</v>
      </c>
      <c r="B3170" s="9" t="s">
        <v>93</v>
      </c>
      <c r="C3170" s="3" t="s">
        <v>105</v>
      </c>
      <c r="D3170" s="3" t="n">
        <v>118000</v>
      </c>
      <c r="E3170" s="3" t="s">
        <v>114</v>
      </c>
      <c r="F3170" s="3" t="n">
        <f aca="false">IF(C3170="848630",0,1)</f>
        <v>1</v>
      </c>
    </row>
    <row r="3171" customFormat="false" ht="15" hidden="false" customHeight="false" outlineLevel="0" collapsed="false">
      <c r="A3171" s="12" t="n">
        <v>46082</v>
      </c>
      <c r="B3171" s="9" t="s">
        <v>93</v>
      </c>
      <c r="C3171" s="3" t="s">
        <v>107</v>
      </c>
      <c r="D3171" s="3" t="n">
        <v>3494000</v>
      </c>
      <c r="E3171" s="3" t="s">
        <v>114</v>
      </c>
      <c r="F3171" s="3" t="n">
        <f aca="false">IF(C3171="848630",0,1)</f>
        <v>1</v>
      </c>
    </row>
    <row r="3172" customFormat="false" ht="15" hidden="false" customHeight="false" outlineLevel="0" collapsed="false">
      <c r="A3172" s="12" t="n">
        <v>46082</v>
      </c>
      <c r="B3172" s="9" t="s">
        <v>93</v>
      </c>
      <c r="C3172" s="3" t="s">
        <v>107</v>
      </c>
      <c r="D3172" s="3" t="n">
        <v>3311000</v>
      </c>
      <c r="E3172" s="3" t="s">
        <v>114</v>
      </c>
      <c r="F3172" s="3" t="n">
        <f aca="false">IF(C3172="848630",0,1)</f>
        <v>1</v>
      </c>
    </row>
    <row r="3173" customFormat="false" ht="15" hidden="false" customHeight="false" outlineLevel="0" collapsed="false">
      <c r="A3173" s="12" t="n">
        <v>46082</v>
      </c>
      <c r="B3173" s="9" t="s">
        <v>93</v>
      </c>
      <c r="C3173" s="3" t="s">
        <v>107</v>
      </c>
      <c r="D3173" s="3" t="n">
        <v>118028000</v>
      </c>
      <c r="E3173" s="3" t="s">
        <v>114</v>
      </c>
      <c r="F3173" s="3" t="n">
        <f aca="false">IF(C3173="848630",0,1)</f>
        <v>1</v>
      </c>
    </row>
    <row r="3174" customFormat="false" ht="15" hidden="false" customHeight="false" outlineLevel="0" collapsed="false">
      <c r="A3174" s="12" t="n">
        <v>46082</v>
      </c>
      <c r="B3174" s="9" t="s">
        <v>93</v>
      </c>
      <c r="C3174" s="3" t="s">
        <v>107</v>
      </c>
      <c r="D3174" s="3" t="n">
        <v>3395000</v>
      </c>
      <c r="E3174" s="3" t="s">
        <v>114</v>
      </c>
      <c r="F3174" s="3" t="n">
        <f aca="false">IF(C3174="848630",0,1)</f>
        <v>1</v>
      </c>
    </row>
    <row r="3175" customFormat="false" ht="15" hidden="false" customHeight="false" outlineLevel="0" collapsed="false">
      <c r="A3175" s="12" t="n">
        <v>46082</v>
      </c>
      <c r="B3175" s="9" t="s">
        <v>93</v>
      </c>
      <c r="C3175" s="3" t="s">
        <v>107</v>
      </c>
      <c r="D3175" s="3" t="n">
        <v>17419000</v>
      </c>
      <c r="E3175" s="3" t="s">
        <v>114</v>
      </c>
      <c r="F3175" s="3" t="n">
        <f aca="false">IF(C3175="848630",0,1)</f>
        <v>1</v>
      </c>
    </row>
    <row r="3176" customFormat="false" ht="15" hidden="false" customHeight="false" outlineLevel="0" collapsed="false">
      <c r="A3176" s="12" t="n">
        <v>46082</v>
      </c>
      <c r="B3176" s="9" t="s">
        <v>93</v>
      </c>
      <c r="C3176" s="3" t="s">
        <v>107</v>
      </c>
      <c r="D3176" s="3" t="n">
        <v>36790000</v>
      </c>
      <c r="E3176" s="3" t="s">
        <v>114</v>
      </c>
      <c r="F3176" s="3" t="n">
        <f aca="false">IF(C3176="848630",0,1)</f>
        <v>1</v>
      </c>
    </row>
    <row r="3177" customFormat="false" ht="15" hidden="false" customHeight="false" outlineLevel="0" collapsed="false">
      <c r="A3177" s="12" t="n">
        <v>46082</v>
      </c>
      <c r="B3177" s="9" t="s">
        <v>93</v>
      </c>
      <c r="C3177" s="3" t="s">
        <v>107</v>
      </c>
      <c r="D3177" s="3" t="n">
        <v>15000</v>
      </c>
      <c r="E3177" s="3" t="s">
        <v>114</v>
      </c>
      <c r="F3177" s="3" t="n">
        <f aca="false">IF(C3177="848630",0,1)</f>
        <v>1</v>
      </c>
    </row>
    <row r="3178" customFormat="false" ht="15" hidden="false" customHeight="false" outlineLevel="0" collapsed="false">
      <c r="A3178" s="12" t="n">
        <v>46082</v>
      </c>
      <c r="B3178" s="9" t="s">
        <v>93</v>
      </c>
      <c r="C3178" s="3" t="s">
        <v>107</v>
      </c>
      <c r="D3178" s="3" t="n">
        <v>198820000</v>
      </c>
      <c r="E3178" s="3" t="s">
        <v>114</v>
      </c>
      <c r="F3178" s="3" t="n">
        <f aca="false">IF(C3178="848630",0,1)</f>
        <v>1</v>
      </c>
    </row>
    <row r="3179" customFormat="false" ht="15" hidden="false" customHeight="false" outlineLevel="0" collapsed="false">
      <c r="A3179" s="12" t="n">
        <v>46082</v>
      </c>
      <c r="B3179" s="9" t="s">
        <v>93</v>
      </c>
      <c r="C3179" s="3" t="s">
        <v>107</v>
      </c>
      <c r="D3179" s="3" t="n">
        <v>0</v>
      </c>
      <c r="E3179" s="3" t="s">
        <v>114</v>
      </c>
      <c r="F3179" s="3" t="n">
        <f aca="false">IF(C3179="848630",0,1)</f>
        <v>1</v>
      </c>
    </row>
    <row r="3180" customFormat="false" ht="15" hidden="false" customHeight="false" outlineLevel="0" collapsed="false">
      <c r="A3180" s="12" t="n">
        <v>46082</v>
      </c>
      <c r="B3180" s="9" t="s">
        <v>93</v>
      </c>
      <c r="C3180" s="3" t="s">
        <v>107</v>
      </c>
      <c r="D3180" s="3" t="n">
        <v>0</v>
      </c>
      <c r="E3180" s="3" t="s">
        <v>114</v>
      </c>
      <c r="F3180" s="3" t="n">
        <f aca="false">IF(C3180="848630",0,1)</f>
        <v>1</v>
      </c>
    </row>
    <row r="3181" customFormat="false" ht="15" hidden="false" customHeight="false" outlineLevel="0" collapsed="false">
      <c r="A3181" s="12" t="n">
        <v>46082</v>
      </c>
      <c r="B3181" s="9" t="s">
        <v>93</v>
      </c>
      <c r="C3181" s="3" t="s">
        <v>107</v>
      </c>
      <c r="D3181" s="3" t="n">
        <v>28329000</v>
      </c>
      <c r="E3181" s="3" t="s">
        <v>114</v>
      </c>
      <c r="F3181" s="3" t="n">
        <f aca="false">IF(C3181="848630",0,1)</f>
        <v>1</v>
      </c>
    </row>
    <row r="3182" customFormat="false" ht="15" hidden="false" customHeight="false" outlineLevel="0" collapsed="false">
      <c r="A3182" s="12" t="n">
        <v>46082</v>
      </c>
      <c r="B3182" s="9" t="s">
        <v>93</v>
      </c>
      <c r="C3182" s="3" t="s">
        <v>107</v>
      </c>
      <c r="D3182" s="3" t="n">
        <v>51820000</v>
      </c>
      <c r="E3182" s="3" t="s">
        <v>114</v>
      </c>
      <c r="F3182" s="3" t="n">
        <f aca="false">IF(C3182="848630",0,1)</f>
        <v>1</v>
      </c>
    </row>
    <row r="3183" customFormat="false" ht="15" hidden="false" customHeight="false" outlineLevel="0" collapsed="false">
      <c r="A3183" s="12" t="n">
        <v>46082</v>
      </c>
      <c r="B3183" s="9" t="s">
        <v>93</v>
      </c>
      <c r="C3183" s="3" t="s">
        <v>107</v>
      </c>
      <c r="D3183" s="3" t="n">
        <v>19759000</v>
      </c>
      <c r="E3183" s="3" t="s">
        <v>114</v>
      </c>
      <c r="F3183" s="3" t="n">
        <f aca="false">IF(C3183="848630",0,1)</f>
        <v>1</v>
      </c>
    </row>
    <row r="3184" customFormat="false" ht="15" hidden="false" customHeight="false" outlineLevel="0" collapsed="false">
      <c r="A3184" s="12" t="n">
        <v>46082</v>
      </c>
      <c r="B3184" s="9" t="s">
        <v>93</v>
      </c>
      <c r="C3184" s="3" t="s">
        <v>107</v>
      </c>
      <c r="D3184" s="3" t="n">
        <v>7820000</v>
      </c>
      <c r="E3184" s="3" t="s">
        <v>114</v>
      </c>
      <c r="F3184" s="3" t="n">
        <f aca="false">IF(C3184="848630",0,1)</f>
        <v>1</v>
      </c>
    </row>
    <row r="3185" customFormat="false" ht="15" hidden="false" customHeight="false" outlineLevel="0" collapsed="false">
      <c r="A3185" s="12" t="n">
        <v>46082</v>
      </c>
      <c r="B3185" s="9" t="s">
        <v>93</v>
      </c>
      <c r="C3185" s="3" t="s">
        <v>107</v>
      </c>
      <c r="D3185" s="3" t="n">
        <v>2734000</v>
      </c>
      <c r="E3185" s="3" t="s">
        <v>114</v>
      </c>
      <c r="F3185" s="3" t="n">
        <f aca="false">IF(C3185="848630",0,1)</f>
        <v>1</v>
      </c>
    </row>
    <row r="3186" customFormat="false" ht="15" hidden="false" customHeight="false" outlineLevel="0" collapsed="false">
      <c r="A3186" s="12" t="n">
        <v>46082</v>
      </c>
      <c r="B3186" s="9" t="s">
        <v>93</v>
      </c>
      <c r="C3186" s="3" t="s">
        <v>107</v>
      </c>
      <c r="D3186" s="3" t="n">
        <v>21862000</v>
      </c>
      <c r="E3186" s="3" t="s">
        <v>114</v>
      </c>
      <c r="F3186" s="3" t="n">
        <f aca="false">IF(C3186="848630",0,1)</f>
        <v>1</v>
      </c>
    </row>
    <row r="3187" customFormat="false" ht="15" hidden="false" customHeight="false" outlineLevel="0" collapsed="false">
      <c r="A3187" s="12" t="n">
        <v>46082</v>
      </c>
      <c r="B3187" s="9" t="s">
        <v>93</v>
      </c>
      <c r="C3187" s="3" t="s">
        <v>112</v>
      </c>
      <c r="D3187" s="3" t="n">
        <v>0</v>
      </c>
      <c r="E3187" s="3" t="s">
        <v>114</v>
      </c>
      <c r="F3187" s="3" t="n">
        <f aca="false">IF(C3187="848630",0,1)</f>
        <v>0</v>
      </c>
    </row>
    <row r="3188" customFormat="false" ht="15" hidden="false" customHeight="false" outlineLevel="0" collapsed="false">
      <c r="A3188" s="12" t="n">
        <v>46082</v>
      </c>
      <c r="B3188" s="9" t="s">
        <v>93</v>
      </c>
      <c r="C3188" s="3" t="s">
        <v>112</v>
      </c>
      <c r="D3188" s="3" t="n">
        <v>7770000</v>
      </c>
      <c r="E3188" s="3" t="s">
        <v>114</v>
      </c>
      <c r="F3188" s="3" t="n">
        <f aca="false">IF(C3188="848630",0,1)</f>
        <v>0</v>
      </c>
    </row>
    <row r="3189" customFormat="false" ht="15" hidden="false" customHeight="false" outlineLevel="0" collapsed="false">
      <c r="A3189" s="12" t="n">
        <v>46082</v>
      </c>
      <c r="B3189" s="9" t="s">
        <v>93</v>
      </c>
      <c r="C3189" s="3" t="s">
        <v>112</v>
      </c>
      <c r="D3189" s="3" t="n">
        <v>372000</v>
      </c>
      <c r="E3189" s="3" t="s">
        <v>114</v>
      </c>
      <c r="F3189" s="3" t="n">
        <f aca="false">IF(C3189="848630",0,1)</f>
        <v>0</v>
      </c>
    </row>
    <row r="3190" customFormat="false" ht="15" hidden="false" customHeight="false" outlineLevel="0" collapsed="false">
      <c r="A3190" s="12" t="n">
        <v>46082</v>
      </c>
      <c r="B3190" s="9" t="s">
        <v>93</v>
      </c>
      <c r="C3190" s="3" t="s">
        <v>112</v>
      </c>
      <c r="D3190" s="3" t="n">
        <v>0</v>
      </c>
      <c r="E3190" s="3" t="s">
        <v>114</v>
      </c>
      <c r="F3190" s="3" t="n">
        <f aca="false">IF(C3190="848630",0,1)</f>
        <v>0</v>
      </c>
    </row>
    <row r="3191" customFormat="false" ht="15" hidden="false" customHeight="false" outlineLevel="0" collapsed="false">
      <c r="A3191" s="12" t="n">
        <v>46082</v>
      </c>
      <c r="B3191" s="9" t="s">
        <v>93</v>
      </c>
      <c r="C3191" s="3" t="s">
        <v>108</v>
      </c>
      <c r="D3191" s="3" t="n">
        <v>0</v>
      </c>
      <c r="E3191" s="3" t="s">
        <v>114</v>
      </c>
      <c r="F3191" s="3" t="n">
        <f aca="false">IF(C3191="848630",0,1)</f>
        <v>1</v>
      </c>
    </row>
    <row r="3192" customFormat="false" ht="15" hidden="false" customHeight="false" outlineLevel="0" collapsed="false">
      <c r="A3192" s="12" t="n">
        <v>46082</v>
      </c>
      <c r="B3192" s="9" t="s">
        <v>93</v>
      </c>
      <c r="C3192" s="3" t="s">
        <v>108</v>
      </c>
      <c r="D3192" s="3" t="n">
        <v>1266000</v>
      </c>
      <c r="E3192" s="3" t="s">
        <v>114</v>
      </c>
      <c r="F3192" s="3" t="n">
        <f aca="false">IF(C3192="848630",0,1)</f>
        <v>1</v>
      </c>
    </row>
    <row r="3193" customFormat="false" ht="15" hidden="false" customHeight="false" outlineLevel="0" collapsed="false">
      <c r="A3193" s="12" t="n">
        <v>46082</v>
      </c>
      <c r="B3193" s="9" t="s">
        <v>93</v>
      </c>
      <c r="C3193" s="3" t="s">
        <v>108</v>
      </c>
      <c r="D3193" s="3" t="n">
        <v>826000</v>
      </c>
      <c r="E3193" s="3" t="s">
        <v>114</v>
      </c>
      <c r="F3193" s="3" t="n">
        <f aca="false">IF(C3193="848630",0,1)</f>
        <v>1</v>
      </c>
    </row>
    <row r="3194" customFormat="false" ht="15" hidden="false" customHeight="false" outlineLevel="0" collapsed="false">
      <c r="A3194" s="12" t="n">
        <v>46082</v>
      </c>
      <c r="B3194" s="9" t="s">
        <v>93</v>
      </c>
      <c r="C3194" s="3" t="s">
        <v>108</v>
      </c>
      <c r="D3194" s="3" t="n">
        <v>1406000</v>
      </c>
      <c r="E3194" s="3" t="s">
        <v>114</v>
      </c>
      <c r="F3194" s="3" t="n">
        <f aca="false">IF(C3194="848630",0,1)</f>
        <v>1</v>
      </c>
    </row>
    <row r="3195" customFormat="false" ht="15" hidden="false" customHeight="false" outlineLevel="0" collapsed="false">
      <c r="A3195" s="12" t="n">
        <v>46082</v>
      </c>
      <c r="B3195" s="9" t="s">
        <v>93</v>
      </c>
      <c r="C3195" s="3" t="s">
        <v>108</v>
      </c>
      <c r="D3195" s="3" t="n">
        <v>36233000</v>
      </c>
      <c r="E3195" s="3" t="s">
        <v>114</v>
      </c>
      <c r="F3195" s="3" t="n">
        <f aca="false">IF(C3195="848630",0,1)</f>
        <v>1</v>
      </c>
    </row>
    <row r="3196" customFormat="false" ht="15" hidden="false" customHeight="false" outlineLevel="0" collapsed="false">
      <c r="A3196" s="12" t="n">
        <v>46082</v>
      </c>
      <c r="B3196" s="9" t="s">
        <v>93</v>
      </c>
      <c r="C3196" s="3" t="s">
        <v>108</v>
      </c>
      <c r="D3196" s="3" t="n">
        <v>9197000</v>
      </c>
      <c r="E3196" s="3" t="s">
        <v>114</v>
      </c>
      <c r="F3196" s="3" t="n">
        <f aca="false">IF(C3196="848630",0,1)</f>
        <v>1</v>
      </c>
    </row>
    <row r="3197" customFormat="false" ht="15" hidden="false" customHeight="false" outlineLevel="0" collapsed="false">
      <c r="A3197" s="12" t="n">
        <v>46082</v>
      </c>
      <c r="B3197" s="9" t="s">
        <v>93</v>
      </c>
      <c r="C3197" s="3" t="s">
        <v>108</v>
      </c>
      <c r="D3197" s="3" t="n">
        <v>2619000</v>
      </c>
      <c r="E3197" s="3" t="s">
        <v>114</v>
      </c>
      <c r="F3197" s="3" t="n">
        <f aca="false">IF(C3197="848630",0,1)</f>
        <v>1</v>
      </c>
    </row>
    <row r="3198" customFormat="false" ht="15" hidden="false" customHeight="false" outlineLevel="0" collapsed="false">
      <c r="A3198" s="12" t="n">
        <v>46082</v>
      </c>
      <c r="B3198" s="9" t="s">
        <v>93</v>
      </c>
      <c r="C3198" s="3" t="s">
        <v>109</v>
      </c>
      <c r="D3198" s="3" t="n">
        <v>1490000</v>
      </c>
      <c r="E3198" s="3" t="s">
        <v>114</v>
      </c>
      <c r="F3198" s="3" t="n">
        <f aca="false">IF(C3198="848630",0,1)</f>
        <v>1</v>
      </c>
    </row>
    <row r="3199" customFormat="false" ht="15" hidden="false" customHeight="false" outlineLevel="0" collapsed="false">
      <c r="A3199" s="12" t="n">
        <v>46082</v>
      </c>
      <c r="B3199" s="9" t="s">
        <v>93</v>
      </c>
      <c r="C3199" s="3" t="s">
        <v>109</v>
      </c>
      <c r="D3199" s="3" t="n">
        <v>24747000</v>
      </c>
      <c r="E3199" s="3" t="s">
        <v>114</v>
      </c>
      <c r="F3199" s="3" t="n">
        <f aca="false">IF(C3199="848630",0,1)</f>
        <v>1</v>
      </c>
    </row>
    <row r="3200" customFormat="false" ht="15" hidden="false" customHeight="false" outlineLevel="0" collapsed="false">
      <c r="A3200" s="12" t="n">
        <v>46082</v>
      </c>
      <c r="B3200" s="9" t="s">
        <v>93</v>
      </c>
      <c r="C3200" s="3" t="s">
        <v>109</v>
      </c>
      <c r="D3200" s="3" t="n">
        <v>54164000</v>
      </c>
      <c r="E3200" s="3" t="s">
        <v>114</v>
      </c>
      <c r="F3200" s="3" t="n">
        <f aca="false">IF(C3200="848630",0,1)</f>
        <v>1</v>
      </c>
    </row>
    <row r="3201" customFormat="false" ht="15" hidden="false" customHeight="false" outlineLevel="0" collapsed="false">
      <c r="A3201" s="12" t="n">
        <v>46082</v>
      </c>
      <c r="B3201" s="9" t="s">
        <v>93</v>
      </c>
      <c r="C3201" s="3" t="s">
        <v>109</v>
      </c>
      <c r="D3201" s="3" t="n">
        <v>12975000</v>
      </c>
      <c r="E3201" s="3" t="s">
        <v>114</v>
      </c>
      <c r="F3201" s="3" t="n">
        <f aca="false">IF(C3201="848630",0,1)</f>
        <v>1</v>
      </c>
    </row>
    <row r="3202" customFormat="false" ht="15" hidden="false" customHeight="false" outlineLevel="0" collapsed="false">
      <c r="A3202" s="12" t="n">
        <v>46082</v>
      </c>
      <c r="B3202" s="9" t="s">
        <v>93</v>
      </c>
      <c r="C3202" s="3" t="s">
        <v>109</v>
      </c>
      <c r="D3202" s="3" t="n">
        <v>173000</v>
      </c>
      <c r="E3202" s="3" t="s">
        <v>114</v>
      </c>
      <c r="F3202" s="3" t="n">
        <f aca="false">IF(C3202="848630",0,1)</f>
        <v>1</v>
      </c>
    </row>
    <row r="3203" customFormat="false" ht="15" hidden="false" customHeight="false" outlineLevel="0" collapsed="false">
      <c r="A3203" s="12" t="n">
        <v>46082</v>
      </c>
      <c r="B3203" s="9" t="s">
        <v>93</v>
      </c>
      <c r="C3203" s="3" t="s">
        <v>109</v>
      </c>
      <c r="D3203" s="3" t="n">
        <v>2726000</v>
      </c>
      <c r="E3203" s="3" t="s">
        <v>114</v>
      </c>
      <c r="F3203" s="3" t="n">
        <f aca="false">IF(C3203="848630",0,1)</f>
        <v>1</v>
      </c>
    </row>
    <row r="3204" customFormat="false" ht="15" hidden="false" customHeight="false" outlineLevel="0" collapsed="false">
      <c r="A3204" s="12" t="n">
        <v>46082</v>
      </c>
      <c r="B3204" s="9" t="s">
        <v>93</v>
      </c>
      <c r="C3204" s="3" t="s">
        <v>109</v>
      </c>
      <c r="D3204" s="3" t="n">
        <v>558000</v>
      </c>
      <c r="E3204" s="3" t="s">
        <v>114</v>
      </c>
      <c r="F3204" s="3" t="n">
        <f aca="false">IF(C3204="848630",0,1)</f>
        <v>1</v>
      </c>
    </row>
    <row r="3205" customFormat="false" ht="15" hidden="false" customHeight="false" outlineLevel="0" collapsed="false">
      <c r="A3205" s="12" t="n">
        <v>46082</v>
      </c>
      <c r="B3205" s="9" t="s">
        <v>93</v>
      </c>
      <c r="C3205" s="3" t="s">
        <v>109</v>
      </c>
      <c r="D3205" s="3" t="n">
        <v>9775000</v>
      </c>
      <c r="E3205" s="3" t="s">
        <v>114</v>
      </c>
      <c r="F3205" s="3" t="n">
        <f aca="false">IF(C3205="848630",0,1)</f>
        <v>1</v>
      </c>
    </row>
    <row r="3206" customFormat="false" ht="15" hidden="false" customHeight="false" outlineLevel="0" collapsed="false">
      <c r="A3206" s="12" t="n">
        <v>46082</v>
      </c>
      <c r="B3206" s="9" t="s">
        <v>93</v>
      </c>
      <c r="C3206" s="3" t="s">
        <v>110</v>
      </c>
      <c r="D3206" s="3" t="n">
        <v>11620000</v>
      </c>
      <c r="E3206" s="3" t="s">
        <v>114</v>
      </c>
      <c r="F3206" s="3" t="n">
        <f aca="false">IF(C3206="848630",0,1)</f>
        <v>1</v>
      </c>
    </row>
    <row r="3207" customFormat="false" ht="15" hidden="false" customHeight="false" outlineLevel="0" collapsed="false">
      <c r="A3207" s="12" t="n">
        <v>46082</v>
      </c>
      <c r="B3207" s="9" t="s">
        <v>93</v>
      </c>
      <c r="C3207" s="3" t="s">
        <v>111</v>
      </c>
      <c r="D3207" s="3" t="n">
        <v>98418000</v>
      </c>
      <c r="E3207" s="3" t="s">
        <v>114</v>
      </c>
      <c r="F3207" s="3" t="n">
        <f aca="false">IF(C3207="848630",0,1)</f>
        <v>1</v>
      </c>
    </row>
    <row r="3208" customFormat="false" ht="15" hidden="false" customHeight="false" outlineLevel="0" collapsed="false">
      <c r="A3208" s="12" t="n">
        <v>46113</v>
      </c>
      <c r="B3208" s="9" t="s">
        <v>93</v>
      </c>
      <c r="C3208" s="3" t="s">
        <v>105</v>
      </c>
      <c r="D3208" s="3" t="n">
        <v>2824000</v>
      </c>
      <c r="E3208" s="3" t="s">
        <v>114</v>
      </c>
      <c r="F3208" s="3" t="n">
        <f aca="false">IF(C3208="848630",0,1)</f>
        <v>1</v>
      </c>
    </row>
    <row r="3209" customFormat="false" ht="15" hidden="false" customHeight="false" outlineLevel="0" collapsed="false">
      <c r="A3209" s="12" t="n">
        <v>46113</v>
      </c>
      <c r="B3209" s="9" t="s">
        <v>93</v>
      </c>
      <c r="C3209" s="3" t="s">
        <v>105</v>
      </c>
      <c r="D3209" s="3" t="n">
        <v>0</v>
      </c>
      <c r="E3209" s="3" t="s">
        <v>114</v>
      </c>
      <c r="F3209" s="3" t="n">
        <f aca="false">IF(C3209="848630",0,1)</f>
        <v>1</v>
      </c>
    </row>
    <row r="3210" customFormat="false" ht="15" hidden="false" customHeight="false" outlineLevel="0" collapsed="false">
      <c r="A3210" s="12" t="n">
        <v>46113</v>
      </c>
      <c r="B3210" s="9" t="s">
        <v>93</v>
      </c>
      <c r="C3210" s="3" t="s">
        <v>105</v>
      </c>
      <c r="D3210" s="3" t="n">
        <v>0</v>
      </c>
      <c r="E3210" s="3" t="s">
        <v>114</v>
      </c>
      <c r="F3210" s="3" t="n">
        <f aca="false">IF(C3210="848630",0,1)</f>
        <v>1</v>
      </c>
    </row>
    <row r="3211" customFormat="false" ht="15" hidden="false" customHeight="false" outlineLevel="0" collapsed="false">
      <c r="A3211" s="12" t="n">
        <v>46113</v>
      </c>
      <c r="B3211" s="9" t="s">
        <v>93</v>
      </c>
      <c r="C3211" s="3" t="s">
        <v>105</v>
      </c>
      <c r="D3211" s="3" t="n">
        <v>1000</v>
      </c>
      <c r="E3211" s="3" t="s">
        <v>114</v>
      </c>
      <c r="F3211" s="3" t="n">
        <f aca="false">IF(C3211="848630",0,1)</f>
        <v>1</v>
      </c>
    </row>
    <row r="3212" customFormat="false" ht="15" hidden="false" customHeight="false" outlineLevel="0" collapsed="false">
      <c r="A3212" s="12" t="n">
        <v>46113</v>
      </c>
      <c r="B3212" s="9" t="s">
        <v>93</v>
      </c>
      <c r="C3212" s="3" t="s">
        <v>107</v>
      </c>
      <c r="D3212" s="3" t="n">
        <v>2245000</v>
      </c>
      <c r="E3212" s="3" t="s">
        <v>114</v>
      </c>
      <c r="F3212" s="3" t="n">
        <f aca="false">IF(C3212="848630",0,1)</f>
        <v>1</v>
      </c>
    </row>
    <row r="3213" customFormat="false" ht="15" hidden="false" customHeight="false" outlineLevel="0" collapsed="false">
      <c r="A3213" s="12" t="n">
        <v>46113</v>
      </c>
      <c r="B3213" s="9" t="s">
        <v>93</v>
      </c>
      <c r="C3213" s="3" t="s">
        <v>107</v>
      </c>
      <c r="D3213" s="3" t="n">
        <v>105774000</v>
      </c>
      <c r="E3213" s="3" t="s">
        <v>114</v>
      </c>
      <c r="F3213" s="3" t="n">
        <f aca="false">IF(C3213="848630",0,1)</f>
        <v>1</v>
      </c>
    </row>
    <row r="3214" customFormat="false" ht="15" hidden="false" customHeight="false" outlineLevel="0" collapsed="false">
      <c r="A3214" s="12" t="n">
        <v>46113</v>
      </c>
      <c r="B3214" s="9" t="s">
        <v>93</v>
      </c>
      <c r="C3214" s="3" t="s">
        <v>107</v>
      </c>
      <c r="D3214" s="3" t="n">
        <v>3382000</v>
      </c>
      <c r="E3214" s="3" t="s">
        <v>114</v>
      </c>
      <c r="F3214" s="3" t="n">
        <f aca="false">IF(C3214="848630",0,1)</f>
        <v>1</v>
      </c>
    </row>
    <row r="3215" customFormat="false" ht="15" hidden="false" customHeight="false" outlineLevel="0" collapsed="false">
      <c r="A3215" s="12" t="n">
        <v>46113</v>
      </c>
      <c r="B3215" s="9" t="s">
        <v>93</v>
      </c>
      <c r="C3215" s="3" t="s">
        <v>107</v>
      </c>
      <c r="D3215" s="3" t="n">
        <v>9000</v>
      </c>
      <c r="E3215" s="3" t="s">
        <v>114</v>
      </c>
      <c r="F3215" s="3" t="n">
        <f aca="false">IF(C3215="848630",0,1)</f>
        <v>1</v>
      </c>
    </row>
    <row r="3216" customFormat="false" ht="15" hidden="false" customHeight="false" outlineLevel="0" collapsed="false">
      <c r="A3216" s="12" t="n">
        <v>46113</v>
      </c>
      <c r="B3216" s="9" t="s">
        <v>93</v>
      </c>
      <c r="C3216" s="3" t="s">
        <v>107</v>
      </c>
      <c r="D3216" s="3" t="n">
        <v>0</v>
      </c>
      <c r="E3216" s="3" t="s">
        <v>114</v>
      </c>
      <c r="F3216" s="3" t="n">
        <f aca="false">IF(C3216="848630",0,1)</f>
        <v>1</v>
      </c>
    </row>
    <row r="3217" customFormat="false" ht="15" hidden="false" customHeight="false" outlineLevel="0" collapsed="false">
      <c r="A3217" s="12" t="n">
        <v>46113</v>
      </c>
      <c r="B3217" s="9" t="s">
        <v>93</v>
      </c>
      <c r="C3217" s="3" t="s">
        <v>107</v>
      </c>
      <c r="D3217" s="3" t="n">
        <v>22615000</v>
      </c>
      <c r="E3217" s="3" t="s">
        <v>114</v>
      </c>
      <c r="F3217" s="3" t="n">
        <f aca="false">IF(C3217="848630",0,1)</f>
        <v>1</v>
      </c>
    </row>
    <row r="3218" customFormat="false" ht="15" hidden="false" customHeight="false" outlineLevel="0" collapsed="false">
      <c r="A3218" s="12" t="n">
        <v>46113</v>
      </c>
      <c r="B3218" s="9" t="s">
        <v>93</v>
      </c>
      <c r="C3218" s="3" t="s">
        <v>107</v>
      </c>
      <c r="D3218" s="3" t="n">
        <v>8240000</v>
      </c>
      <c r="E3218" s="3" t="s">
        <v>114</v>
      </c>
      <c r="F3218" s="3" t="n">
        <f aca="false">IF(C3218="848630",0,1)</f>
        <v>1</v>
      </c>
    </row>
    <row r="3219" customFormat="false" ht="15" hidden="false" customHeight="false" outlineLevel="0" collapsed="false">
      <c r="A3219" s="12" t="n">
        <v>46113</v>
      </c>
      <c r="B3219" s="9" t="s">
        <v>93</v>
      </c>
      <c r="C3219" s="3" t="s">
        <v>107</v>
      </c>
      <c r="D3219" s="3" t="n">
        <v>90488000</v>
      </c>
      <c r="E3219" s="3" t="s">
        <v>114</v>
      </c>
      <c r="F3219" s="3" t="n">
        <f aca="false">IF(C3219="848630",0,1)</f>
        <v>1</v>
      </c>
    </row>
    <row r="3220" customFormat="false" ht="15" hidden="false" customHeight="false" outlineLevel="0" collapsed="false">
      <c r="A3220" s="12" t="n">
        <v>46113</v>
      </c>
      <c r="B3220" s="9" t="s">
        <v>93</v>
      </c>
      <c r="C3220" s="3" t="s">
        <v>107</v>
      </c>
      <c r="D3220" s="3" t="n">
        <v>33504000</v>
      </c>
      <c r="E3220" s="3" t="s">
        <v>114</v>
      </c>
      <c r="F3220" s="3" t="n">
        <f aca="false">IF(C3220="848630",0,1)</f>
        <v>1</v>
      </c>
    </row>
    <row r="3221" customFormat="false" ht="15" hidden="false" customHeight="false" outlineLevel="0" collapsed="false">
      <c r="A3221" s="12" t="n">
        <v>46113</v>
      </c>
      <c r="B3221" s="9" t="s">
        <v>93</v>
      </c>
      <c r="C3221" s="3" t="s">
        <v>107</v>
      </c>
      <c r="D3221" s="3" t="n">
        <v>109222000</v>
      </c>
      <c r="E3221" s="3" t="s">
        <v>114</v>
      </c>
      <c r="F3221" s="3" t="n">
        <f aca="false">IF(C3221="848630",0,1)</f>
        <v>1</v>
      </c>
    </row>
    <row r="3222" customFormat="false" ht="15" hidden="false" customHeight="false" outlineLevel="0" collapsed="false">
      <c r="A3222" s="12" t="n">
        <v>46113</v>
      </c>
      <c r="B3222" s="9" t="s">
        <v>93</v>
      </c>
      <c r="C3222" s="3" t="s">
        <v>107</v>
      </c>
      <c r="D3222" s="3" t="n">
        <v>12614000</v>
      </c>
      <c r="E3222" s="3" t="s">
        <v>114</v>
      </c>
      <c r="F3222" s="3" t="n">
        <f aca="false">IF(C3222="848630",0,1)</f>
        <v>1</v>
      </c>
    </row>
    <row r="3223" customFormat="false" ht="15" hidden="false" customHeight="false" outlineLevel="0" collapsed="false">
      <c r="A3223" s="12" t="n">
        <v>46113</v>
      </c>
      <c r="B3223" s="9" t="s">
        <v>93</v>
      </c>
      <c r="C3223" s="3" t="s">
        <v>107</v>
      </c>
      <c r="D3223" s="3" t="n">
        <v>9844000</v>
      </c>
      <c r="E3223" s="3" t="s">
        <v>114</v>
      </c>
      <c r="F3223" s="3" t="n">
        <f aca="false">IF(C3223="848630",0,1)</f>
        <v>1</v>
      </c>
    </row>
    <row r="3224" customFormat="false" ht="15" hidden="false" customHeight="false" outlineLevel="0" collapsed="false">
      <c r="A3224" s="12" t="n">
        <v>46113</v>
      </c>
      <c r="B3224" s="9" t="s">
        <v>93</v>
      </c>
      <c r="C3224" s="3" t="s">
        <v>107</v>
      </c>
      <c r="D3224" s="3" t="n">
        <v>418000</v>
      </c>
      <c r="E3224" s="3" t="s">
        <v>114</v>
      </c>
      <c r="F3224" s="3" t="n">
        <f aca="false">IF(C3224="848630",0,1)</f>
        <v>1</v>
      </c>
    </row>
    <row r="3225" customFormat="false" ht="15" hidden="false" customHeight="false" outlineLevel="0" collapsed="false">
      <c r="A3225" s="12" t="n">
        <v>46113</v>
      </c>
      <c r="B3225" s="9" t="s">
        <v>93</v>
      </c>
      <c r="C3225" s="3" t="s">
        <v>107</v>
      </c>
      <c r="D3225" s="3" t="n">
        <v>5779000</v>
      </c>
      <c r="E3225" s="3" t="s">
        <v>114</v>
      </c>
      <c r="F3225" s="3" t="n">
        <f aca="false">IF(C3225="848630",0,1)</f>
        <v>1</v>
      </c>
    </row>
    <row r="3226" customFormat="false" ht="15" hidden="false" customHeight="false" outlineLevel="0" collapsed="false">
      <c r="A3226" s="12" t="n">
        <v>46113</v>
      </c>
      <c r="B3226" s="9" t="s">
        <v>93</v>
      </c>
      <c r="C3226" s="3" t="s">
        <v>107</v>
      </c>
      <c r="D3226" s="3" t="n">
        <v>8033000</v>
      </c>
      <c r="E3226" s="3" t="s">
        <v>114</v>
      </c>
      <c r="F3226" s="3" t="n">
        <f aca="false">IF(C3226="848630",0,1)</f>
        <v>1</v>
      </c>
    </row>
    <row r="3227" customFormat="false" ht="15" hidden="false" customHeight="false" outlineLevel="0" collapsed="false">
      <c r="A3227" s="12" t="n">
        <v>46113</v>
      </c>
      <c r="B3227" s="9" t="s">
        <v>93</v>
      </c>
      <c r="C3227" s="3" t="s">
        <v>112</v>
      </c>
      <c r="D3227" s="3" t="n">
        <v>0</v>
      </c>
      <c r="E3227" s="3" t="s">
        <v>114</v>
      </c>
      <c r="F3227" s="3" t="n">
        <f aca="false">IF(C3227="848630",0,1)</f>
        <v>0</v>
      </c>
    </row>
    <row r="3228" customFormat="false" ht="15" hidden="false" customHeight="false" outlineLevel="0" collapsed="false">
      <c r="A3228" s="12" t="n">
        <v>46113</v>
      </c>
      <c r="B3228" s="9" t="s">
        <v>93</v>
      </c>
      <c r="C3228" s="3" t="s">
        <v>112</v>
      </c>
      <c r="D3228" s="3" t="n">
        <v>17122000</v>
      </c>
      <c r="E3228" s="3" t="s">
        <v>114</v>
      </c>
      <c r="F3228" s="3" t="n">
        <f aca="false">IF(C3228="848630",0,1)</f>
        <v>0</v>
      </c>
    </row>
    <row r="3229" customFormat="false" ht="15" hidden="false" customHeight="false" outlineLevel="0" collapsed="false">
      <c r="A3229" s="12" t="n">
        <v>46113</v>
      </c>
      <c r="B3229" s="9" t="s">
        <v>93</v>
      </c>
      <c r="C3229" s="3" t="s">
        <v>112</v>
      </c>
      <c r="D3229" s="3" t="n">
        <v>193000</v>
      </c>
      <c r="E3229" s="3" t="s">
        <v>114</v>
      </c>
      <c r="F3229" s="3" t="n">
        <f aca="false">IF(C3229="848630",0,1)</f>
        <v>0</v>
      </c>
    </row>
    <row r="3230" customFormat="false" ht="15" hidden="false" customHeight="false" outlineLevel="0" collapsed="false">
      <c r="A3230" s="12" t="n">
        <v>46113</v>
      </c>
      <c r="B3230" s="9" t="s">
        <v>93</v>
      </c>
      <c r="C3230" s="3" t="s">
        <v>112</v>
      </c>
      <c r="D3230" s="3" t="n">
        <v>0</v>
      </c>
      <c r="E3230" s="3" t="s">
        <v>114</v>
      </c>
      <c r="F3230" s="3" t="n">
        <f aca="false">IF(C3230="848630",0,1)</f>
        <v>0</v>
      </c>
    </row>
    <row r="3231" customFormat="false" ht="15" hidden="false" customHeight="false" outlineLevel="0" collapsed="false">
      <c r="A3231" s="12" t="n">
        <v>46113</v>
      </c>
      <c r="B3231" s="9" t="s">
        <v>93</v>
      </c>
      <c r="C3231" s="3" t="s">
        <v>112</v>
      </c>
      <c r="D3231" s="3" t="n">
        <v>50000</v>
      </c>
      <c r="E3231" s="3" t="s">
        <v>114</v>
      </c>
      <c r="F3231" s="3" t="n">
        <f aca="false">IF(C3231="848630",0,1)</f>
        <v>0</v>
      </c>
    </row>
    <row r="3232" customFormat="false" ht="15" hidden="false" customHeight="false" outlineLevel="0" collapsed="false">
      <c r="A3232" s="12" t="n">
        <v>46113</v>
      </c>
      <c r="B3232" s="9" t="s">
        <v>93</v>
      </c>
      <c r="C3232" s="3" t="s">
        <v>108</v>
      </c>
      <c r="D3232" s="3" t="n">
        <v>0</v>
      </c>
      <c r="E3232" s="3" t="s">
        <v>114</v>
      </c>
      <c r="F3232" s="3" t="n">
        <f aca="false">IF(C3232="848630",0,1)</f>
        <v>1</v>
      </c>
    </row>
    <row r="3233" customFormat="false" ht="15" hidden="false" customHeight="false" outlineLevel="0" collapsed="false">
      <c r="A3233" s="12" t="n">
        <v>46113</v>
      </c>
      <c r="B3233" s="9" t="s">
        <v>93</v>
      </c>
      <c r="C3233" s="3" t="s">
        <v>108</v>
      </c>
      <c r="D3233" s="3" t="n">
        <v>2978000</v>
      </c>
      <c r="E3233" s="3" t="s">
        <v>114</v>
      </c>
      <c r="F3233" s="3" t="n">
        <f aca="false">IF(C3233="848630",0,1)</f>
        <v>1</v>
      </c>
    </row>
    <row r="3234" customFormat="false" ht="15" hidden="false" customHeight="false" outlineLevel="0" collapsed="false">
      <c r="A3234" s="12" t="n">
        <v>46113</v>
      </c>
      <c r="B3234" s="9" t="s">
        <v>93</v>
      </c>
      <c r="C3234" s="3" t="s">
        <v>108</v>
      </c>
      <c r="D3234" s="3" t="n">
        <v>476000</v>
      </c>
      <c r="E3234" s="3" t="s">
        <v>114</v>
      </c>
      <c r="F3234" s="3" t="n">
        <f aca="false">IF(C3234="848630",0,1)</f>
        <v>1</v>
      </c>
    </row>
    <row r="3235" customFormat="false" ht="15" hidden="false" customHeight="false" outlineLevel="0" collapsed="false">
      <c r="A3235" s="12" t="n">
        <v>46113</v>
      </c>
      <c r="B3235" s="9" t="s">
        <v>93</v>
      </c>
      <c r="C3235" s="3" t="s">
        <v>108</v>
      </c>
      <c r="D3235" s="3" t="n">
        <v>807000</v>
      </c>
      <c r="E3235" s="3" t="s">
        <v>114</v>
      </c>
      <c r="F3235" s="3" t="n">
        <f aca="false">IF(C3235="848630",0,1)</f>
        <v>1</v>
      </c>
    </row>
    <row r="3236" customFormat="false" ht="15" hidden="false" customHeight="false" outlineLevel="0" collapsed="false">
      <c r="A3236" s="12" t="n">
        <v>46113</v>
      </c>
      <c r="B3236" s="9" t="s">
        <v>93</v>
      </c>
      <c r="C3236" s="3" t="s">
        <v>108</v>
      </c>
      <c r="D3236" s="3" t="n">
        <v>1696000</v>
      </c>
      <c r="E3236" s="3" t="s">
        <v>114</v>
      </c>
      <c r="F3236" s="3" t="n">
        <f aca="false">IF(C3236="848630",0,1)</f>
        <v>1</v>
      </c>
    </row>
    <row r="3237" customFormat="false" ht="15" hidden="false" customHeight="false" outlineLevel="0" collapsed="false">
      <c r="A3237" s="12" t="n">
        <v>46113</v>
      </c>
      <c r="B3237" s="9" t="s">
        <v>93</v>
      </c>
      <c r="C3237" s="3" t="s">
        <v>108</v>
      </c>
      <c r="D3237" s="3" t="n">
        <v>16844000</v>
      </c>
      <c r="E3237" s="3" t="s">
        <v>114</v>
      </c>
      <c r="F3237" s="3" t="n">
        <f aca="false">IF(C3237="848630",0,1)</f>
        <v>1</v>
      </c>
    </row>
    <row r="3238" customFormat="false" ht="15" hidden="false" customHeight="false" outlineLevel="0" collapsed="false">
      <c r="A3238" s="12" t="n">
        <v>46113</v>
      </c>
      <c r="B3238" s="9" t="s">
        <v>93</v>
      </c>
      <c r="C3238" s="3" t="s">
        <v>108</v>
      </c>
      <c r="D3238" s="3" t="n">
        <v>5728000</v>
      </c>
      <c r="E3238" s="3" t="s">
        <v>114</v>
      </c>
      <c r="F3238" s="3" t="n">
        <f aca="false">IF(C3238="848630",0,1)</f>
        <v>1</v>
      </c>
    </row>
    <row r="3239" customFormat="false" ht="15" hidden="false" customHeight="false" outlineLevel="0" collapsed="false">
      <c r="A3239" s="12" t="n">
        <v>46113</v>
      </c>
      <c r="B3239" s="9" t="s">
        <v>93</v>
      </c>
      <c r="C3239" s="3" t="s">
        <v>108</v>
      </c>
      <c r="D3239" s="3" t="n">
        <v>3379000</v>
      </c>
      <c r="E3239" s="3" t="s">
        <v>114</v>
      </c>
      <c r="F3239" s="3" t="n">
        <f aca="false">IF(C3239="848630",0,1)</f>
        <v>1</v>
      </c>
    </row>
    <row r="3240" customFormat="false" ht="15" hidden="false" customHeight="false" outlineLevel="0" collapsed="false">
      <c r="A3240" s="12" t="n">
        <v>46113</v>
      </c>
      <c r="B3240" s="9" t="s">
        <v>93</v>
      </c>
      <c r="C3240" s="3" t="s">
        <v>109</v>
      </c>
      <c r="D3240" s="3" t="n">
        <v>1632000</v>
      </c>
      <c r="E3240" s="3" t="s">
        <v>114</v>
      </c>
      <c r="F3240" s="3" t="n">
        <f aca="false">IF(C3240="848630",0,1)</f>
        <v>1</v>
      </c>
    </row>
    <row r="3241" customFormat="false" ht="15" hidden="false" customHeight="false" outlineLevel="0" collapsed="false">
      <c r="A3241" s="12" t="n">
        <v>46113</v>
      </c>
      <c r="B3241" s="9" t="s">
        <v>93</v>
      </c>
      <c r="C3241" s="3" t="s">
        <v>109</v>
      </c>
      <c r="D3241" s="3" t="n">
        <v>29241000</v>
      </c>
      <c r="E3241" s="3" t="s">
        <v>114</v>
      </c>
      <c r="F3241" s="3" t="n">
        <f aca="false">IF(C3241="848630",0,1)</f>
        <v>1</v>
      </c>
    </row>
    <row r="3242" customFormat="false" ht="15" hidden="false" customHeight="false" outlineLevel="0" collapsed="false">
      <c r="A3242" s="12" t="n">
        <v>46113</v>
      </c>
      <c r="B3242" s="9" t="s">
        <v>93</v>
      </c>
      <c r="C3242" s="3" t="s">
        <v>109</v>
      </c>
      <c r="D3242" s="3" t="n">
        <v>60326000</v>
      </c>
      <c r="E3242" s="3" t="s">
        <v>114</v>
      </c>
      <c r="F3242" s="3" t="n">
        <f aca="false">IF(C3242="848630",0,1)</f>
        <v>1</v>
      </c>
    </row>
    <row r="3243" customFormat="false" ht="15" hidden="false" customHeight="false" outlineLevel="0" collapsed="false">
      <c r="A3243" s="12" t="n">
        <v>46113</v>
      </c>
      <c r="B3243" s="9" t="s">
        <v>93</v>
      </c>
      <c r="C3243" s="3" t="s">
        <v>109</v>
      </c>
      <c r="D3243" s="3" t="n">
        <v>11162000</v>
      </c>
      <c r="E3243" s="3" t="s">
        <v>114</v>
      </c>
      <c r="F3243" s="3" t="n">
        <f aca="false">IF(C3243="848630",0,1)</f>
        <v>1</v>
      </c>
    </row>
    <row r="3244" customFormat="false" ht="15" hidden="false" customHeight="false" outlineLevel="0" collapsed="false">
      <c r="A3244" s="12" t="n">
        <v>46113</v>
      </c>
      <c r="B3244" s="9" t="s">
        <v>93</v>
      </c>
      <c r="C3244" s="3" t="s">
        <v>109</v>
      </c>
      <c r="D3244" s="3" t="n">
        <v>135000</v>
      </c>
      <c r="E3244" s="3" t="s">
        <v>114</v>
      </c>
      <c r="F3244" s="3" t="n">
        <f aca="false">IF(C3244="848630",0,1)</f>
        <v>1</v>
      </c>
    </row>
    <row r="3245" customFormat="false" ht="15" hidden="false" customHeight="false" outlineLevel="0" collapsed="false">
      <c r="A3245" s="12" t="n">
        <v>46113</v>
      </c>
      <c r="B3245" s="9" t="s">
        <v>93</v>
      </c>
      <c r="C3245" s="3" t="s">
        <v>109</v>
      </c>
      <c r="D3245" s="3" t="n">
        <v>2170000</v>
      </c>
      <c r="E3245" s="3" t="s">
        <v>114</v>
      </c>
      <c r="F3245" s="3" t="n">
        <f aca="false">IF(C3245="848630",0,1)</f>
        <v>1</v>
      </c>
    </row>
    <row r="3246" customFormat="false" ht="15" hidden="false" customHeight="false" outlineLevel="0" collapsed="false">
      <c r="A3246" s="12" t="n">
        <v>46113</v>
      </c>
      <c r="B3246" s="9" t="s">
        <v>93</v>
      </c>
      <c r="C3246" s="3" t="s">
        <v>109</v>
      </c>
      <c r="D3246" s="3" t="n">
        <v>535000</v>
      </c>
      <c r="E3246" s="3" t="s">
        <v>114</v>
      </c>
      <c r="F3246" s="3" t="n">
        <f aca="false">IF(C3246="848630",0,1)</f>
        <v>1</v>
      </c>
    </row>
    <row r="3247" customFormat="false" ht="15" hidden="false" customHeight="false" outlineLevel="0" collapsed="false">
      <c r="A3247" s="12" t="n">
        <v>46113</v>
      </c>
      <c r="B3247" s="9" t="s">
        <v>93</v>
      </c>
      <c r="C3247" s="3" t="s">
        <v>109</v>
      </c>
      <c r="D3247" s="3" t="n">
        <v>10690000</v>
      </c>
      <c r="E3247" s="3" t="s">
        <v>114</v>
      </c>
      <c r="F3247" s="3" t="n">
        <f aca="false">IF(C3247="848630",0,1)</f>
        <v>1</v>
      </c>
    </row>
    <row r="3248" customFormat="false" ht="15" hidden="false" customHeight="false" outlineLevel="0" collapsed="false">
      <c r="A3248" s="12" t="n">
        <v>46113</v>
      </c>
      <c r="B3248" s="9" t="s">
        <v>93</v>
      </c>
      <c r="C3248" s="3" t="s">
        <v>110</v>
      </c>
      <c r="D3248" s="3" t="n">
        <v>30521000</v>
      </c>
      <c r="E3248" s="3" t="s">
        <v>114</v>
      </c>
      <c r="F3248" s="3" t="n">
        <f aca="false">IF(C3248="848630",0,1)</f>
        <v>1</v>
      </c>
    </row>
    <row r="3249" customFormat="false" ht="15" hidden="false" customHeight="false" outlineLevel="0" collapsed="false">
      <c r="A3249" s="12" t="n">
        <v>46113</v>
      </c>
      <c r="B3249" s="9" t="s">
        <v>93</v>
      </c>
      <c r="C3249" s="3" t="s">
        <v>111</v>
      </c>
      <c r="D3249" s="3" t="n">
        <v>20173000</v>
      </c>
      <c r="E3249" s="3" t="s">
        <v>114</v>
      </c>
      <c r="F3249" s="3" t="n">
        <f aca="false">IF(C3249="848630",0,1)</f>
        <v>1</v>
      </c>
    </row>
    <row r="3250" customFormat="false" ht="15" hidden="false" customHeight="false" outlineLevel="0" collapsed="false">
      <c r="A3250" s="12" t="n">
        <v>46143</v>
      </c>
      <c r="B3250" s="9" t="s">
        <v>93</v>
      </c>
      <c r="C3250" s="3" t="s">
        <v>105</v>
      </c>
      <c r="D3250" s="3" t="n">
        <v>4591000</v>
      </c>
      <c r="E3250" s="3" t="s">
        <v>114</v>
      </c>
      <c r="F3250" s="3" t="n">
        <f aca="false">IF(C3250="848630",0,1)</f>
        <v>1</v>
      </c>
    </row>
    <row r="3251" customFormat="false" ht="15" hidden="false" customHeight="false" outlineLevel="0" collapsed="false">
      <c r="A3251" s="12" t="n">
        <v>46143</v>
      </c>
      <c r="B3251" s="9" t="s">
        <v>93</v>
      </c>
      <c r="C3251" s="3" t="s">
        <v>105</v>
      </c>
      <c r="D3251" s="3" t="n">
        <v>0</v>
      </c>
      <c r="E3251" s="3" t="s">
        <v>114</v>
      </c>
      <c r="F3251" s="3" t="n">
        <f aca="false">IF(C3251="848630",0,1)</f>
        <v>1</v>
      </c>
    </row>
    <row r="3252" customFormat="false" ht="15" hidden="false" customHeight="false" outlineLevel="0" collapsed="false">
      <c r="A3252" s="12" t="n">
        <v>46143</v>
      </c>
      <c r="B3252" s="9" t="s">
        <v>93</v>
      </c>
      <c r="C3252" s="3" t="s">
        <v>105</v>
      </c>
      <c r="D3252" s="3" t="n">
        <v>0</v>
      </c>
      <c r="E3252" s="3" t="s">
        <v>114</v>
      </c>
      <c r="F3252" s="3" t="n">
        <f aca="false">IF(C3252="848630",0,1)</f>
        <v>1</v>
      </c>
    </row>
    <row r="3253" customFormat="false" ht="15" hidden="false" customHeight="false" outlineLevel="0" collapsed="false">
      <c r="A3253" s="12" t="n">
        <v>46143</v>
      </c>
      <c r="B3253" s="9" t="s">
        <v>93</v>
      </c>
      <c r="C3253" s="3" t="s">
        <v>107</v>
      </c>
      <c r="D3253" s="3" t="n">
        <v>730000</v>
      </c>
      <c r="E3253" s="3" t="s">
        <v>114</v>
      </c>
      <c r="F3253" s="3" t="n">
        <f aca="false">IF(C3253="848630",0,1)</f>
        <v>1</v>
      </c>
    </row>
    <row r="3254" customFormat="false" ht="15" hidden="false" customHeight="false" outlineLevel="0" collapsed="false">
      <c r="A3254" s="12" t="n">
        <v>46143</v>
      </c>
      <c r="B3254" s="9" t="s">
        <v>93</v>
      </c>
      <c r="C3254" s="3" t="s">
        <v>107</v>
      </c>
      <c r="D3254" s="3" t="n">
        <v>0</v>
      </c>
      <c r="E3254" s="3" t="s">
        <v>114</v>
      </c>
      <c r="F3254" s="3" t="n">
        <f aca="false">IF(C3254="848630",0,1)</f>
        <v>1</v>
      </c>
    </row>
    <row r="3255" customFormat="false" ht="15" hidden="false" customHeight="false" outlineLevel="0" collapsed="false">
      <c r="A3255" s="12" t="n">
        <v>46143</v>
      </c>
      <c r="B3255" s="9" t="s">
        <v>93</v>
      </c>
      <c r="C3255" s="3" t="s">
        <v>107</v>
      </c>
      <c r="D3255" s="3" t="n">
        <v>3344000</v>
      </c>
      <c r="E3255" s="3" t="s">
        <v>114</v>
      </c>
      <c r="F3255" s="3" t="n">
        <f aca="false">IF(C3255="848630",0,1)</f>
        <v>1</v>
      </c>
    </row>
    <row r="3256" customFormat="false" ht="15" hidden="false" customHeight="false" outlineLevel="0" collapsed="false">
      <c r="A3256" s="12" t="n">
        <v>46143</v>
      </c>
      <c r="B3256" s="9" t="s">
        <v>93</v>
      </c>
      <c r="C3256" s="3" t="s">
        <v>107</v>
      </c>
      <c r="D3256" s="3" t="n">
        <v>89087000</v>
      </c>
      <c r="E3256" s="3" t="s">
        <v>114</v>
      </c>
      <c r="F3256" s="3" t="n">
        <f aca="false">IF(C3256="848630",0,1)</f>
        <v>1</v>
      </c>
    </row>
    <row r="3257" customFormat="false" ht="15" hidden="false" customHeight="false" outlineLevel="0" collapsed="false">
      <c r="A3257" s="12" t="n">
        <v>46143</v>
      </c>
      <c r="B3257" s="9" t="s">
        <v>93</v>
      </c>
      <c r="C3257" s="3" t="s">
        <v>107</v>
      </c>
      <c r="D3257" s="3" t="n">
        <v>14575000</v>
      </c>
      <c r="E3257" s="3" t="s">
        <v>114</v>
      </c>
      <c r="F3257" s="3" t="n">
        <f aca="false">IF(C3257="848630",0,1)</f>
        <v>1</v>
      </c>
    </row>
    <row r="3258" customFormat="false" ht="15" hidden="false" customHeight="false" outlineLevel="0" collapsed="false">
      <c r="A3258" s="12" t="n">
        <v>46143</v>
      </c>
      <c r="B3258" s="9" t="s">
        <v>93</v>
      </c>
      <c r="C3258" s="3" t="s">
        <v>107</v>
      </c>
      <c r="D3258" s="3" t="n">
        <v>8931000</v>
      </c>
      <c r="E3258" s="3" t="s">
        <v>114</v>
      </c>
      <c r="F3258" s="3" t="n">
        <f aca="false">IF(C3258="848630",0,1)</f>
        <v>1</v>
      </c>
    </row>
    <row r="3259" customFormat="false" ht="15" hidden="false" customHeight="false" outlineLevel="0" collapsed="false">
      <c r="A3259" s="12" t="n">
        <v>46143</v>
      </c>
      <c r="B3259" s="9" t="s">
        <v>93</v>
      </c>
      <c r="C3259" s="3" t="s">
        <v>107</v>
      </c>
      <c r="D3259" s="3" t="n">
        <v>198000</v>
      </c>
      <c r="E3259" s="3" t="s">
        <v>114</v>
      </c>
      <c r="F3259" s="3" t="n">
        <f aca="false">IF(C3259="848630",0,1)</f>
        <v>1</v>
      </c>
    </row>
    <row r="3260" customFormat="false" ht="15" hidden="false" customHeight="false" outlineLevel="0" collapsed="false">
      <c r="A3260" s="12" t="n">
        <v>46143</v>
      </c>
      <c r="B3260" s="9" t="s">
        <v>93</v>
      </c>
      <c r="C3260" s="3" t="s">
        <v>107</v>
      </c>
      <c r="D3260" s="3" t="n">
        <v>32164000</v>
      </c>
      <c r="E3260" s="3" t="s">
        <v>114</v>
      </c>
      <c r="F3260" s="3" t="n">
        <f aca="false">IF(C3260="848630",0,1)</f>
        <v>1</v>
      </c>
    </row>
    <row r="3261" customFormat="false" ht="15" hidden="false" customHeight="false" outlineLevel="0" collapsed="false">
      <c r="A3261" s="12" t="n">
        <v>46143</v>
      </c>
      <c r="B3261" s="9" t="s">
        <v>93</v>
      </c>
      <c r="C3261" s="3" t="s">
        <v>107</v>
      </c>
      <c r="D3261" s="3" t="n">
        <v>3920000</v>
      </c>
      <c r="E3261" s="3" t="s">
        <v>114</v>
      </c>
      <c r="F3261" s="3" t="n">
        <f aca="false">IF(C3261="848630",0,1)</f>
        <v>1</v>
      </c>
    </row>
    <row r="3262" customFormat="false" ht="15" hidden="false" customHeight="false" outlineLevel="0" collapsed="false">
      <c r="A3262" s="12" t="n">
        <v>46143</v>
      </c>
      <c r="B3262" s="9" t="s">
        <v>93</v>
      </c>
      <c r="C3262" s="3" t="s">
        <v>107</v>
      </c>
      <c r="D3262" s="3" t="n">
        <v>61545000</v>
      </c>
      <c r="E3262" s="3" t="s">
        <v>114</v>
      </c>
      <c r="F3262" s="3" t="n">
        <f aca="false">IF(C3262="848630",0,1)</f>
        <v>1</v>
      </c>
    </row>
    <row r="3263" customFormat="false" ht="15" hidden="false" customHeight="false" outlineLevel="0" collapsed="false">
      <c r="A3263" s="12" t="n">
        <v>46143</v>
      </c>
      <c r="B3263" s="9" t="s">
        <v>93</v>
      </c>
      <c r="C3263" s="3" t="s">
        <v>107</v>
      </c>
      <c r="D3263" s="3" t="n">
        <v>28474000</v>
      </c>
      <c r="E3263" s="3" t="s">
        <v>114</v>
      </c>
      <c r="F3263" s="3" t="n">
        <f aca="false">IF(C3263="848630",0,1)</f>
        <v>1</v>
      </c>
    </row>
    <row r="3264" customFormat="false" ht="15" hidden="false" customHeight="false" outlineLevel="0" collapsed="false">
      <c r="A3264" s="12" t="n">
        <v>46143</v>
      </c>
      <c r="B3264" s="9" t="s">
        <v>93</v>
      </c>
      <c r="C3264" s="3" t="s">
        <v>107</v>
      </c>
      <c r="D3264" s="3" t="n">
        <v>50584000</v>
      </c>
      <c r="E3264" s="3" t="s">
        <v>114</v>
      </c>
      <c r="F3264" s="3" t="n">
        <f aca="false">IF(C3264="848630",0,1)</f>
        <v>1</v>
      </c>
    </row>
    <row r="3265" customFormat="false" ht="15" hidden="false" customHeight="false" outlineLevel="0" collapsed="false">
      <c r="A3265" s="12" t="n">
        <v>46143</v>
      </c>
      <c r="B3265" s="9" t="s">
        <v>93</v>
      </c>
      <c r="C3265" s="3" t="s">
        <v>107</v>
      </c>
      <c r="D3265" s="3" t="n">
        <v>38613000</v>
      </c>
      <c r="E3265" s="3" t="s">
        <v>114</v>
      </c>
      <c r="F3265" s="3" t="n">
        <f aca="false">IF(C3265="848630",0,1)</f>
        <v>1</v>
      </c>
    </row>
    <row r="3266" customFormat="false" ht="15" hidden="false" customHeight="false" outlineLevel="0" collapsed="false">
      <c r="A3266" s="12" t="n">
        <v>46143</v>
      </c>
      <c r="B3266" s="9" t="s">
        <v>93</v>
      </c>
      <c r="C3266" s="3" t="s">
        <v>107</v>
      </c>
      <c r="D3266" s="3" t="n">
        <v>5133000</v>
      </c>
      <c r="E3266" s="3" t="s">
        <v>114</v>
      </c>
      <c r="F3266" s="3" t="n">
        <f aca="false">IF(C3266="848630",0,1)</f>
        <v>1</v>
      </c>
    </row>
    <row r="3267" customFormat="false" ht="15" hidden="false" customHeight="false" outlineLevel="0" collapsed="false">
      <c r="A3267" s="12" t="n">
        <v>46143</v>
      </c>
      <c r="B3267" s="9" t="s">
        <v>93</v>
      </c>
      <c r="C3267" s="3" t="s">
        <v>107</v>
      </c>
      <c r="D3267" s="3" t="n">
        <v>3057000</v>
      </c>
      <c r="E3267" s="3" t="s">
        <v>114</v>
      </c>
      <c r="F3267" s="3" t="n">
        <f aca="false">IF(C3267="848630",0,1)</f>
        <v>1</v>
      </c>
    </row>
    <row r="3268" customFormat="false" ht="15" hidden="false" customHeight="false" outlineLevel="0" collapsed="false">
      <c r="A3268" s="12" t="n">
        <v>46143</v>
      </c>
      <c r="B3268" s="9" t="s">
        <v>93</v>
      </c>
      <c r="C3268" s="3" t="s">
        <v>107</v>
      </c>
      <c r="D3268" s="3" t="n">
        <v>10448000</v>
      </c>
      <c r="E3268" s="3" t="s">
        <v>114</v>
      </c>
      <c r="F3268" s="3" t="n">
        <f aca="false">IF(C3268="848630",0,1)</f>
        <v>1</v>
      </c>
    </row>
    <row r="3269" customFormat="false" ht="15" hidden="false" customHeight="false" outlineLevel="0" collapsed="false">
      <c r="A3269" s="12" t="n">
        <v>46143</v>
      </c>
      <c r="B3269" s="9" t="s">
        <v>93</v>
      </c>
      <c r="C3269" s="3" t="s">
        <v>112</v>
      </c>
      <c r="D3269" s="3" t="n">
        <v>23817000</v>
      </c>
      <c r="E3269" s="3" t="s">
        <v>114</v>
      </c>
      <c r="F3269" s="3" t="n">
        <f aca="false">IF(C3269="848630",0,1)</f>
        <v>0</v>
      </c>
    </row>
    <row r="3270" customFormat="false" ht="15" hidden="false" customHeight="false" outlineLevel="0" collapsed="false">
      <c r="A3270" s="12" t="n">
        <v>46143</v>
      </c>
      <c r="B3270" s="9" t="s">
        <v>93</v>
      </c>
      <c r="C3270" s="3" t="s">
        <v>112</v>
      </c>
      <c r="D3270" s="3" t="n">
        <v>16000</v>
      </c>
      <c r="E3270" s="3" t="s">
        <v>114</v>
      </c>
      <c r="F3270" s="3" t="n">
        <f aca="false">IF(C3270="848630",0,1)</f>
        <v>0</v>
      </c>
    </row>
    <row r="3271" customFormat="false" ht="15" hidden="false" customHeight="false" outlineLevel="0" collapsed="false">
      <c r="A3271" s="12" t="n">
        <v>46143</v>
      </c>
      <c r="B3271" s="9" t="s">
        <v>93</v>
      </c>
      <c r="C3271" s="3" t="s">
        <v>112</v>
      </c>
      <c r="D3271" s="3" t="n">
        <v>0</v>
      </c>
      <c r="E3271" s="3" t="s">
        <v>114</v>
      </c>
      <c r="F3271" s="3" t="n">
        <f aca="false">IF(C3271="848630",0,1)</f>
        <v>0</v>
      </c>
    </row>
    <row r="3272" customFormat="false" ht="15" hidden="false" customHeight="false" outlineLevel="0" collapsed="false">
      <c r="A3272" s="12" t="n">
        <v>46143</v>
      </c>
      <c r="B3272" s="9" t="s">
        <v>93</v>
      </c>
      <c r="C3272" s="3" t="s">
        <v>108</v>
      </c>
      <c r="D3272" s="3" t="n">
        <v>3859000</v>
      </c>
      <c r="E3272" s="3" t="s">
        <v>114</v>
      </c>
      <c r="F3272" s="3" t="n">
        <f aca="false">IF(C3272="848630",0,1)</f>
        <v>1</v>
      </c>
    </row>
    <row r="3273" customFormat="false" ht="15" hidden="false" customHeight="false" outlineLevel="0" collapsed="false">
      <c r="A3273" s="12" t="n">
        <v>46143</v>
      </c>
      <c r="B3273" s="9" t="s">
        <v>93</v>
      </c>
      <c r="C3273" s="3" t="s">
        <v>108</v>
      </c>
      <c r="D3273" s="3" t="n">
        <v>338000</v>
      </c>
      <c r="E3273" s="3" t="s">
        <v>114</v>
      </c>
      <c r="F3273" s="3" t="n">
        <f aca="false">IF(C3273="848630",0,1)</f>
        <v>1</v>
      </c>
    </row>
    <row r="3274" customFormat="false" ht="15" hidden="false" customHeight="false" outlineLevel="0" collapsed="false">
      <c r="A3274" s="12" t="n">
        <v>46143</v>
      </c>
      <c r="B3274" s="9" t="s">
        <v>93</v>
      </c>
      <c r="C3274" s="3" t="s">
        <v>108</v>
      </c>
      <c r="D3274" s="3" t="n">
        <v>1474000</v>
      </c>
      <c r="E3274" s="3" t="s">
        <v>114</v>
      </c>
      <c r="F3274" s="3" t="n">
        <f aca="false">IF(C3274="848630",0,1)</f>
        <v>1</v>
      </c>
    </row>
    <row r="3275" customFormat="false" ht="15" hidden="false" customHeight="false" outlineLevel="0" collapsed="false">
      <c r="A3275" s="12" t="n">
        <v>46143</v>
      </c>
      <c r="B3275" s="9" t="s">
        <v>93</v>
      </c>
      <c r="C3275" s="3" t="s">
        <v>108</v>
      </c>
      <c r="D3275" s="3" t="n">
        <v>0</v>
      </c>
      <c r="E3275" s="3" t="s">
        <v>114</v>
      </c>
      <c r="F3275" s="3" t="n">
        <f aca="false">IF(C3275="848630",0,1)</f>
        <v>1</v>
      </c>
    </row>
    <row r="3276" customFormat="false" ht="15" hidden="false" customHeight="false" outlineLevel="0" collapsed="false">
      <c r="A3276" s="12" t="n">
        <v>46143</v>
      </c>
      <c r="B3276" s="9" t="s">
        <v>93</v>
      </c>
      <c r="C3276" s="3" t="s">
        <v>108</v>
      </c>
      <c r="D3276" s="3" t="n">
        <v>2040000</v>
      </c>
      <c r="E3276" s="3" t="s">
        <v>114</v>
      </c>
      <c r="F3276" s="3" t="n">
        <f aca="false">IF(C3276="848630",0,1)</f>
        <v>1</v>
      </c>
    </row>
    <row r="3277" customFormat="false" ht="15" hidden="false" customHeight="false" outlineLevel="0" collapsed="false">
      <c r="A3277" s="12" t="n">
        <v>46143</v>
      </c>
      <c r="B3277" s="9" t="s">
        <v>93</v>
      </c>
      <c r="C3277" s="3" t="s">
        <v>108</v>
      </c>
      <c r="D3277" s="3" t="n">
        <v>180000</v>
      </c>
      <c r="E3277" s="3" t="s">
        <v>114</v>
      </c>
      <c r="F3277" s="3" t="n">
        <f aca="false">IF(C3277="848630",0,1)</f>
        <v>1</v>
      </c>
    </row>
    <row r="3278" customFormat="false" ht="15" hidden="false" customHeight="false" outlineLevel="0" collapsed="false">
      <c r="A3278" s="12" t="n">
        <v>46143</v>
      </c>
      <c r="B3278" s="9" t="s">
        <v>93</v>
      </c>
      <c r="C3278" s="3" t="s">
        <v>108</v>
      </c>
      <c r="D3278" s="3" t="n">
        <v>938000</v>
      </c>
      <c r="E3278" s="3" t="s">
        <v>114</v>
      </c>
      <c r="F3278" s="3" t="n">
        <f aca="false">IF(C3278="848630",0,1)</f>
        <v>1</v>
      </c>
    </row>
    <row r="3279" customFormat="false" ht="15" hidden="false" customHeight="false" outlineLevel="0" collapsed="false">
      <c r="A3279" s="12" t="n">
        <v>46143</v>
      </c>
      <c r="B3279" s="9" t="s">
        <v>93</v>
      </c>
      <c r="C3279" s="3" t="s">
        <v>108</v>
      </c>
      <c r="D3279" s="3" t="n">
        <v>17848000</v>
      </c>
      <c r="E3279" s="3" t="s">
        <v>114</v>
      </c>
      <c r="F3279" s="3" t="n">
        <f aca="false">IF(C3279="848630",0,1)</f>
        <v>1</v>
      </c>
    </row>
    <row r="3280" customFormat="false" ht="15" hidden="false" customHeight="false" outlineLevel="0" collapsed="false">
      <c r="A3280" s="12" t="n">
        <v>46143</v>
      </c>
      <c r="B3280" s="9" t="s">
        <v>93</v>
      </c>
      <c r="C3280" s="3" t="s">
        <v>108</v>
      </c>
      <c r="D3280" s="3" t="n">
        <v>9992000</v>
      </c>
      <c r="E3280" s="3" t="s">
        <v>114</v>
      </c>
      <c r="F3280" s="3" t="n">
        <f aca="false">IF(C3280="848630",0,1)</f>
        <v>1</v>
      </c>
    </row>
    <row r="3281" customFormat="false" ht="15" hidden="false" customHeight="false" outlineLevel="0" collapsed="false">
      <c r="A3281" s="12" t="n">
        <v>46143</v>
      </c>
      <c r="B3281" s="9" t="s">
        <v>93</v>
      </c>
      <c r="C3281" s="3" t="s">
        <v>108</v>
      </c>
      <c r="D3281" s="3" t="n">
        <v>5413000</v>
      </c>
      <c r="E3281" s="3" t="s">
        <v>114</v>
      </c>
      <c r="F3281" s="3" t="n">
        <f aca="false">IF(C3281="848630",0,1)</f>
        <v>1</v>
      </c>
    </row>
    <row r="3282" customFormat="false" ht="15" hidden="false" customHeight="false" outlineLevel="0" collapsed="false">
      <c r="A3282" s="12" t="n">
        <v>46143</v>
      </c>
      <c r="B3282" s="9" t="s">
        <v>93</v>
      </c>
      <c r="C3282" s="3" t="s">
        <v>109</v>
      </c>
      <c r="D3282" s="3" t="n">
        <v>1294000</v>
      </c>
      <c r="E3282" s="3" t="s">
        <v>114</v>
      </c>
      <c r="F3282" s="3" t="n">
        <f aca="false">IF(C3282="848630",0,1)</f>
        <v>1</v>
      </c>
    </row>
    <row r="3283" customFormat="false" ht="15" hidden="false" customHeight="false" outlineLevel="0" collapsed="false">
      <c r="A3283" s="12" t="n">
        <v>46143</v>
      </c>
      <c r="B3283" s="9" t="s">
        <v>93</v>
      </c>
      <c r="C3283" s="3" t="s">
        <v>109</v>
      </c>
      <c r="D3283" s="3" t="n">
        <v>24015000</v>
      </c>
      <c r="E3283" s="3" t="s">
        <v>114</v>
      </c>
      <c r="F3283" s="3" t="n">
        <f aca="false">IF(C3283="848630",0,1)</f>
        <v>1</v>
      </c>
    </row>
    <row r="3284" customFormat="false" ht="15" hidden="false" customHeight="false" outlineLevel="0" collapsed="false">
      <c r="A3284" s="12" t="n">
        <v>46143</v>
      </c>
      <c r="B3284" s="9" t="s">
        <v>93</v>
      </c>
      <c r="C3284" s="3" t="s">
        <v>109</v>
      </c>
      <c r="D3284" s="3" t="n">
        <v>55229000</v>
      </c>
      <c r="E3284" s="3" t="s">
        <v>114</v>
      </c>
      <c r="F3284" s="3" t="n">
        <f aca="false">IF(C3284="848630",0,1)</f>
        <v>1</v>
      </c>
    </row>
    <row r="3285" customFormat="false" ht="15" hidden="false" customHeight="false" outlineLevel="0" collapsed="false">
      <c r="A3285" s="12" t="n">
        <v>46143</v>
      </c>
      <c r="B3285" s="9" t="s">
        <v>93</v>
      </c>
      <c r="C3285" s="3" t="s">
        <v>109</v>
      </c>
      <c r="D3285" s="3" t="n">
        <v>9188000</v>
      </c>
      <c r="E3285" s="3" t="s">
        <v>114</v>
      </c>
      <c r="F3285" s="3" t="n">
        <f aca="false">IF(C3285="848630",0,1)</f>
        <v>1</v>
      </c>
    </row>
    <row r="3286" customFormat="false" ht="15" hidden="false" customHeight="false" outlineLevel="0" collapsed="false">
      <c r="A3286" s="12" t="n">
        <v>46143</v>
      </c>
      <c r="B3286" s="9" t="s">
        <v>93</v>
      </c>
      <c r="C3286" s="3" t="s">
        <v>109</v>
      </c>
      <c r="D3286" s="3" t="n">
        <v>27000</v>
      </c>
      <c r="E3286" s="3" t="s">
        <v>114</v>
      </c>
      <c r="F3286" s="3" t="n">
        <f aca="false">IF(C3286="848630",0,1)</f>
        <v>1</v>
      </c>
    </row>
    <row r="3287" customFormat="false" ht="15" hidden="false" customHeight="false" outlineLevel="0" collapsed="false">
      <c r="A3287" s="12" t="n">
        <v>46143</v>
      </c>
      <c r="B3287" s="9" t="s">
        <v>93</v>
      </c>
      <c r="C3287" s="3" t="s">
        <v>109</v>
      </c>
      <c r="D3287" s="3" t="n">
        <v>1968000</v>
      </c>
      <c r="E3287" s="3" t="s">
        <v>114</v>
      </c>
      <c r="F3287" s="3" t="n">
        <f aca="false">IF(C3287="848630",0,1)</f>
        <v>1</v>
      </c>
    </row>
    <row r="3288" customFormat="false" ht="15" hidden="false" customHeight="false" outlineLevel="0" collapsed="false">
      <c r="A3288" s="12" t="n">
        <v>46143</v>
      </c>
      <c r="B3288" s="9" t="s">
        <v>93</v>
      </c>
      <c r="C3288" s="3" t="s">
        <v>109</v>
      </c>
      <c r="D3288" s="3" t="n">
        <v>300000</v>
      </c>
      <c r="E3288" s="3" t="s">
        <v>114</v>
      </c>
      <c r="F3288" s="3" t="n">
        <f aca="false">IF(C3288="848630",0,1)</f>
        <v>1</v>
      </c>
    </row>
    <row r="3289" customFormat="false" ht="15" hidden="false" customHeight="false" outlineLevel="0" collapsed="false">
      <c r="A3289" s="12" t="n">
        <v>46143</v>
      </c>
      <c r="B3289" s="9" t="s">
        <v>93</v>
      </c>
      <c r="C3289" s="3" t="s">
        <v>109</v>
      </c>
      <c r="D3289" s="3" t="n">
        <v>9296000</v>
      </c>
      <c r="E3289" s="3" t="s">
        <v>114</v>
      </c>
      <c r="F3289" s="3" t="n">
        <f aca="false">IF(C3289="848630",0,1)</f>
        <v>1</v>
      </c>
    </row>
    <row r="3290" customFormat="false" ht="15" hidden="false" customHeight="false" outlineLevel="0" collapsed="false">
      <c r="A3290" s="12" t="n">
        <v>46143</v>
      </c>
      <c r="B3290" s="9" t="s">
        <v>93</v>
      </c>
      <c r="C3290" s="3" t="s">
        <v>110</v>
      </c>
      <c r="D3290" s="3" t="n">
        <v>36144000</v>
      </c>
      <c r="E3290" s="3" t="s">
        <v>114</v>
      </c>
      <c r="F3290" s="3" t="n">
        <f aca="false">IF(C3290="848630",0,1)</f>
        <v>1</v>
      </c>
    </row>
    <row r="3291" customFormat="false" ht="15" hidden="false" customHeight="false" outlineLevel="0" collapsed="false">
      <c r="A3291" s="12" t="n">
        <v>46143</v>
      </c>
      <c r="B3291" s="9" t="s">
        <v>93</v>
      </c>
      <c r="C3291" s="3" t="s">
        <v>111</v>
      </c>
      <c r="D3291" s="3" t="n">
        <v>231000</v>
      </c>
      <c r="E3291" s="3" t="s">
        <v>114</v>
      </c>
      <c r="F3291" s="3" t="n">
        <f aca="false">IF(C3291="848630",0,1)</f>
        <v>1</v>
      </c>
    </row>
    <row r="3292" customFormat="false" ht="15" hidden="false" customHeight="false" outlineLevel="0" collapsed="false">
      <c r="A3292" s="12" t="n">
        <v>46143</v>
      </c>
      <c r="B3292" s="9" t="s">
        <v>93</v>
      </c>
      <c r="C3292" s="3" t="s">
        <v>111</v>
      </c>
      <c r="D3292" s="3" t="n">
        <v>28967000</v>
      </c>
      <c r="E3292" s="3" t="s">
        <v>114</v>
      </c>
      <c r="F3292" s="3" t="n">
        <f aca="false">IF(C3292="848630",0,1)</f>
        <v>1</v>
      </c>
    </row>
    <row r="3293" customFormat="false" ht="15" hidden="false" customHeight="false" outlineLevel="0" collapsed="false">
      <c r="A3293" s="12" t="n">
        <v>46174</v>
      </c>
      <c r="B3293" s="9" t="s">
        <v>93</v>
      </c>
      <c r="C3293" s="3" t="s">
        <v>105</v>
      </c>
      <c r="D3293" s="3" t="n">
        <v>4245000</v>
      </c>
      <c r="E3293" s="3" t="s">
        <v>114</v>
      </c>
      <c r="F3293" s="3" t="n">
        <f aca="false">IF(C3293="848630",0,1)</f>
        <v>1</v>
      </c>
    </row>
    <row r="3294" customFormat="false" ht="15" hidden="false" customHeight="false" outlineLevel="0" collapsed="false">
      <c r="A3294" s="12" t="n">
        <v>46174</v>
      </c>
      <c r="B3294" s="9" t="s">
        <v>93</v>
      </c>
      <c r="C3294" s="3" t="s">
        <v>105</v>
      </c>
      <c r="D3294" s="3" t="n">
        <v>0</v>
      </c>
      <c r="E3294" s="3" t="s">
        <v>114</v>
      </c>
      <c r="F3294" s="3" t="n">
        <f aca="false">IF(C3294="848630",0,1)</f>
        <v>1</v>
      </c>
    </row>
    <row r="3295" customFormat="false" ht="15" hidden="false" customHeight="false" outlineLevel="0" collapsed="false">
      <c r="A3295" s="12" t="n">
        <v>46174</v>
      </c>
      <c r="B3295" s="9" t="s">
        <v>93</v>
      </c>
      <c r="C3295" s="3" t="s">
        <v>107</v>
      </c>
      <c r="D3295" s="3" t="n">
        <v>3256000</v>
      </c>
      <c r="E3295" s="3" t="s">
        <v>114</v>
      </c>
      <c r="F3295" s="3" t="n">
        <f aca="false">IF(C3295="848630",0,1)</f>
        <v>1</v>
      </c>
    </row>
    <row r="3296" customFormat="false" ht="15" hidden="false" customHeight="false" outlineLevel="0" collapsed="false">
      <c r="A3296" s="12" t="n">
        <v>46174</v>
      </c>
      <c r="B3296" s="9" t="s">
        <v>93</v>
      </c>
      <c r="C3296" s="3" t="s">
        <v>107</v>
      </c>
      <c r="D3296" s="3" t="n">
        <v>6621000</v>
      </c>
      <c r="E3296" s="3" t="s">
        <v>114</v>
      </c>
      <c r="F3296" s="3" t="n">
        <f aca="false">IF(C3296="848630",0,1)</f>
        <v>1</v>
      </c>
    </row>
    <row r="3297" customFormat="false" ht="15" hidden="false" customHeight="false" outlineLevel="0" collapsed="false">
      <c r="A3297" s="12" t="n">
        <v>46174</v>
      </c>
      <c r="B3297" s="9" t="s">
        <v>93</v>
      </c>
      <c r="C3297" s="3" t="s">
        <v>107</v>
      </c>
      <c r="D3297" s="3" t="n">
        <v>78781000</v>
      </c>
      <c r="E3297" s="3" t="s">
        <v>114</v>
      </c>
      <c r="F3297" s="3" t="n">
        <f aca="false">IF(C3297="848630",0,1)</f>
        <v>1</v>
      </c>
    </row>
    <row r="3298" customFormat="false" ht="15" hidden="false" customHeight="false" outlineLevel="0" collapsed="false">
      <c r="A3298" s="12" t="n">
        <v>46174</v>
      </c>
      <c r="B3298" s="9" t="s">
        <v>93</v>
      </c>
      <c r="C3298" s="3" t="s">
        <v>107</v>
      </c>
      <c r="D3298" s="3" t="n">
        <v>6715000</v>
      </c>
      <c r="E3298" s="3" t="s">
        <v>114</v>
      </c>
      <c r="F3298" s="3" t="n">
        <f aca="false">IF(C3298="848630",0,1)</f>
        <v>1</v>
      </c>
    </row>
    <row r="3299" customFormat="false" ht="15" hidden="false" customHeight="false" outlineLevel="0" collapsed="false">
      <c r="A3299" s="12" t="n">
        <v>46174</v>
      </c>
      <c r="B3299" s="9" t="s">
        <v>93</v>
      </c>
      <c r="C3299" s="3" t="s">
        <v>107</v>
      </c>
      <c r="D3299" s="3" t="n">
        <v>0</v>
      </c>
      <c r="E3299" s="3" t="s">
        <v>114</v>
      </c>
      <c r="F3299" s="3" t="n">
        <f aca="false">IF(C3299="848630",0,1)</f>
        <v>1</v>
      </c>
    </row>
    <row r="3300" customFormat="false" ht="15" hidden="false" customHeight="false" outlineLevel="0" collapsed="false">
      <c r="A3300" s="12" t="n">
        <v>46174</v>
      </c>
      <c r="B3300" s="9" t="s">
        <v>93</v>
      </c>
      <c r="C3300" s="3" t="s">
        <v>107</v>
      </c>
      <c r="D3300" s="3" t="n">
        <v>34007000</v>
      </c>
      <c r="E3300" s="3" t="s">
        <v>114</v>
      </c>
      <c r="F3300" s="3" t="n">
        <f aca="false">IF(C3300="848630",0,1)</f>
        <v>1</v>
      </c>
    </row>
    <row r="3301" customFormat="false" ht="15" hidden="false" customHeight="false" outlineLevel="0" collapsed="false">
      <c r="A3301" s="12" t="n">
        <v>46174</v>
      </c>
      <c r="B3301" s="9" t="s">
        <v>93</v>
      </c>
      <c r="C3301" s="3" t="s">
        <v>107</v>
      </c>
      <c r="D3301" s="3" t="n">
        <v>0</v>
      </c>
      <c r="E3301" s="3" t="s">
        <v>114</v>
      </c>
      <c r="F3301" s="3" t="n">
        <f aca="false">IF(C3301="848630",0,1)</f>
        <v>1</v>
      </c>
    </row>
    <row r="3302" customFormat="false" ht="15" hidden="false" customHeight="false" outlineLevel="0" collapsed="false">
      <c r="A3302" s="12" t="n">
        <v>46174</v>
      </c>
      <c r="B3302" s="9" t="s">
        <v>93</v>
      </c>
      <c r="C3302" s="3" t="s">
        <v>107</v>
      </c>
      <c r="D3302" s="3" t="n">
        <v>99703000</v>
      </c>
      <c r="E3302" s="3" t="s">
        <v>114</v>
      </c>
      <c r="F3302" s="3" t="n">
        <f aca="false">IF(C3302="848630",0,1)</f>
        <v>1</v>
      </c>
    </row>
    <row r="3303" customFormat="false" ht="15" hidden="false" customHeight="false" outlineLevel="0" collapsed="false">
      <c r="A3303" s="12" t="n">
        <v>46174</v>
      </c>
      <c r="B3303" s="9" t="s">
        <v>93</v>
      </c>
      <c r="C3303" s="3" t="s">
        <v>107</v>
      </c>
      <c r="D3303" s="3" t="n">
        <v>0</v>
      </c>
      <c r="E3303" s="3" t="s">
        <v>114</v>
      </c>
      <c r="F3303" s="3" t="n">
        <f aca="false">IF(C3303="848630",0,1)</f>
        <v>1</v>
      </c>
    </row>
    <row r="3304" customFormat="false" ht="15" hidden="false" customHeight="false" outlineLevel="0" collapsed="false">
      <c r="A3304" s="12" t="n">
        <v>46174</v>
      </c>
      <c r="B3304" s="9" t="s">
        <v>93</v>
      </c>
      <c r="C3304" s="3" t="s">
        <v>107</v>
      </c>
      <c r="D3304" s="3" t="n">
        <v>15920000</v>
      </c>
      <c r="E3304" s="3" t="s">
        <v>114</v>
      </c>
      <c r="F3304" s="3" t="n">
        <f aca="false">IF(C3304="848630",0,1)</f>
        <v>1</v>
      </c>
    </row>
    <row r="3305" customFormat="false" ht="15" hidden="false" customHeight="false" outlineLevel="0" collapsed="false">
      <c r="A3305" s="12" t="n">
        <v>46174</v>
      </c>
      <c r="B3305" s="9" t="s">
        <v>93</v>
      </c>
      <c r="C3305" s="3" t="s">
        <v>107</v>
      </c>
      <c r="D3305" s="3" t="n">
        <v>43127000</v>
      </c>
      <c r="E3305" s="3" t="s">
        <v>114</v>
      </c>
      <c r="F3305" s="3" t="n">
        <f aca="false">IF(C3305="848630",0,1)</f>
        <v>1</v>
      </c>
    </row>
    <row r="3306" customFormat="false" ht="15" hidden="false" customHeight="false" outlineLevel="0" collapsed="false">
      <c r="A3306" s="12" t="n">
        <v>46174</v>
      </c>
      <c r="B3306" s="9" t="s">
        <v>93</v>
      </c>
      <c r="C3306" s="3" t="s">
        <v>107</v>
      </c>
      <c r="D3306" s="3" t="n">
        <v>15941000</v>
      </c>
      <c r="E3306" s="3" t="s">
        <v>114</v>
      </c>
      <c r="F3306" s="3" t="n">
        <f aca="false">IF(C3306="848630",0,1)</f>
        <v>1</v>
      </c>
    </row>
    <row r="3307" customFormat="false" ht="15" hidden="false" customHeight="false" outlineLevel="0" collapsed="false">
      <c r="A3307" s="12" t="n">
        <v>46174</v>
      </c>
      <c r="B3307" s="9" t="s">
        <v>93</v>
      </c>
      <c r="C3307" s="3" t="s">
        <v>107</v>
      </c>
      <c r="D3307" s="3" t="n">
        <v>4607000</v>
      </c>
      <c r="E3307" s="3" t="s">
        <v>114</v>
      </c>
      <c r="F3307" s="3" t="n">
        <f aca="false">IF(C3307="848630",0,1)</f>
        <v>1</v>
      </c>
    </row>
    <row r="3308" customFormat="false" ht="15" hidden="false" customHeight="false" outlineLevel="0" collapsed="false">
      <c r="A3308" s="12" t="n">
        <v>46174</v>
      </c>
      <c r="B3308" s="9" t="s">
        <v>93</v>
      </c>
      <c r="C3308" s="3" t="s">
        <v>107</v>
      </c>
      <c r="D3308" s="3" t="n">
        <v>107000</v>
      </c>
      <c r="E3308" s="3" t="s">
        <v>114</v>
      </c>
      <c r="F3308" s="3" t="n">
        <f aca="false">IF(C3308="848630",0,1)</f>
        <v>1</v>
      </c>
    </row>
    <row r="3309" customFormat="false" ht="15" hidden="false" customHeight="false" outlineLevel="0" collapsed="false">
      <c r="A3309" s="12" t="n">
        <v>46174</v>
      </c>
      <c r="B3309" s="9" t="s">
        <v>93</v>
      </c>
      <c r="C3309" s="3" t="s">
        <v>107</v>
      </c>
      <c r="D3309" s="3" t="n">
        <v>3703000</v>
      </c>
      <c r="E3309" s="3" t="s">
        <v>114</v>
      </c>
      <c r="F3309" s="3" t="n">
        <f aca="false">IF(C3309="848630",0,1)</f>
        <v>1</v>
      </c>
    </row>
    <row r="3310" customFormat="false" ht="15" hidden="false" customHeight="false" outlineLevel="0" collapsed="false">
      <c r="A3310" s="12" t="n">
        <v>46174</v>
      </c>
      <c r="B3310" s="9" t="s">
        <v>93</v>
      </c>
      <c r="C3310" s="3" t="s">
        <v>107</v>
      </c>
      <c r="D3310" s="3" t="n">
        <v>16194000</v>
      </c>
      <c r="E3310" s="3" t="s">
        <v>114</v>
      </c>
      <c r="F3310" s="3" t="n">
        <f aca="false">IF(C3310="848630",0,1)</f>
        <v>1</v>
      </c>
    </row>
    <row r="3311" customFormat="false" ht="15" hidden="false" customHeight="false" outlineLevel="0" collapsed="false">
      <c r="A3311" s="12" t="n">
        <v>46174</v>
      </c>
      <c r="B3311" s="9" t="s">
        <v>93</v>
      </c>
      <c r="C3311" s="3" t="s">
        <v>112</v>
      </c>
      <c r="D3311" s="3" t="n">
        <v>331000</v>
      </c>
      <c r="E3311" s="3" t="s">
        <v>114</v>
      </c>
      <c r="F3311" s="3" t="n">
        <f aca="false">IF(C3311="848630",0,1)</f>
        <v>0</v>
      </c>
    </row>
    <row r="3312" customFormat="false" ht="15" hidden="false" customHeight="false" outlineLevel="0" collapsed="false">
      <c r="A3312" s="12" t="n">
        <v>46174</v>
      </c>
      <c r="B3312" s="9" t="s">
        <v>93</v>
      </c>
      <c r="C3312" s="3" t="s">
        <v>112</v>
      </c>
      <c r="D3312" s="3" t="n">
        <v>153000</v>
      </c>
      <c r="E3312" s="3" t="s">
        <v>114</v>
      </c>
      <c r="F3312" s="3" t="n">
        <f aca="false">IF(C3312="848630",0,1)</f>
        <v>0</v>
      </c>
    </row>
    <row r="3313" customFormat="false" ht="15" hidden="false" customHeight="false" outlineLevel="0" collapsed="false">
      <c r="A3313" s="12" t="n">
        <v>46174</v>
      </c>
      <c r="B3313" s="9" t="s">
        <v>93</v>
      </c>
      <c r="C3313" s="3" t="s">
        <v>112</v>
      </c>
      <c r="D3313" s="3" t="n">
        <v>8070000</v>
      </c>
      <c r="E3313" s="3" t="s">
        <v>114</v>
      </c>
      <c r="F3313" s="3" t="n">
        <f aca="false">IF(C3313="848630",0,1)</f>
        <v>0</v>
      </c>
    </row>
    <row r="3314" customFormat="false" ht="15" hidden="false" customHeight="false" outlineLevel="0" collapsed="false">
      <c r="A3314" s="12" t="n">
        <v>46174</v>
      </c>
      <c r="B3314" s="9" t="s">
        <v>93</v>
      </c>
      <c r="C3314" s="3" t="s">
        <v>112</v>
      </c>
      <c r="D3314" s="3" t="n">
        <v>27000</v>
      </c>
      <c r="E3314" s="3" t="s">
        <v>114</v>
      </c>
      <c r="F3314" s="3" t="n">
        <f aca="false">IF(C3314="848630",0,1)</f>
        <v>0</v>
      </c>
    </row>
    <row r="3315" customFormat="false" ht="15" hidden="false" customHeight="false" outlineLevel="0" collapsed="false">
      <c r="A3315" s="12" t="n">
        <v>46174</v>
      </c>
      <c r="B3315" s="9" t="s">
        <v>93</v>
      </c>
      <c r="C3315" s="3" t="s">
        <v>108</v>
      </c>
      <c r="D3315" s="3" t="n">
        <v>24312000</v>
      </c>
      <c r="E3315" s="3" t="s">
        <v>114</v>
      </c>
      <c r="F3315" s="3" t="n">
        <f aca="false">IF(C3315="848630",0,1)</f>
        <v>1</v>
      </c>
    </row>
    <row r="3316" customFormat="false" ht="15" hidden="false" customHeight="false" outlineLevel="0" collapsed="false">
      <c r="A3316" s="12" t="n">
        <v>46174</v>
      </c>
      <c r="B3316" s="9" t="s">
        <v>93</v>
      </c>
      <c r="C3316" s="3" t="s">
        <v>108</v>
      </c>
      <c r="D3316" s="3" t="n">
        <v>154000</v>
      </c>
      <c r="E3316" s="3" t="s">
        <v>114</v>
      </c>
      <c r="F3316" s="3" t="n">
        <f aca="false">IF(C3316="848630",0,1)</f>
        <v>1</v>
      </c>
    </row>
    <row r="3317" customFormat="false" ht="15" hidden="false" customHeight="false" outlineLevel="0" collapsed="false">
      <c r="A3317" s="12" t="n">
        <v>46174</v>
      </c>
      <c r="B3317" s="9" t="s">
        <v>93</v>
      </c>
      <c r="C3317" s="3" t="s">
        <v>108</v>
      </c>
      <c r="D3317" s="3" t="n">
        <v>25000</v>
      </c>
      <c r="E3317" s="3" t="s">
        <v>114</v>
      </c>
      <c r="F3317" s="3" t="n">
        <f aca="false">IF(C3317="848630",0,1)</f>
        <v>1</v>
      </c>
    </row>
    <row r="3318" customFormat="false" ht="15" hidden="false" customHeight="false" outlineLevel="0" collapsed="false">
      <c r="A3318" s="12" t="n">
        <v>46174</v>
      </c>
      <c r="B3318" s="9" t="s">
        <v>93</v>
      </c>
      <c r="C3318" s="3" t="s">
        <v>108</v>
      </c>
      <c r="D3318" s="3" t="n">
        <v>1109000</v>
      </c>
      <c r="E3318" s="3" t="s">
        <v>114</v>
      </c>
      <c r="F3318" s="3" t="n">
        <f aca="false">IF(C3318="848630",0,1)</f>
        <v>1</v>
      </c>
    </row>
    <row r="3319" customFormat="false" ht="15" hidden="false" customHeight="false" outlineLevel="0" collapsed="false">
      <c r="A3319" s="12" t="n">
        <v>46174</v>
      </c>
      <c r="B3319" s="9" t="s">
        <v>93</v>
      </c>
      <c r="C3319" s="3" t="s">
        <v>108</v>
      </c>
      <c r="D3319" s="3" t="n">
        <v>2243000</v>
      </c>
      <c r="E3319" s="3" t="s">
        <v>114</v>
      </c>
      <c r="F3319" s="3" t="n">
        <f aca="false">IF(C3319="848630",0,1)</f>
        <v>1</v>
      </c>
    </row>
    <row r="3320" customFormat="false" ht="15" hidden="false" customHeight="false" outlineLevel="0" collapsed="false">
      <c r="A3320" s="12" t="n">
        <v>46174</v>
      </c>
      <c r="B3320" s="9" t="s">
        <v>93</v>
      </c>
      <c r="C3320" s="3" t="s">
        <v>108</v>
      </c>
      <c r="D3320" s="3" t="n">
        <v>74000</v>
      </c>
      <c r="E3320" s="3" t="s">
        <v>114</v>
      </c>
      <c r="F3320" s="3" t="n">
        <f aca="false">IF(C3320="848630",0,1)</f>
        <v>1</v>
      </c>
    </row>
    <row r="3321" customFormat="false" ht="15" hidden="false" customHeight="false" outlineLevel="0" collapsed="false">
      <c r="A3321" s="12" t="n">
        <v>46174</v>
      </c>
      <c r="B3321" s="9" t="s">
        <v>93</v>
      </c>
      <c r="C3321" s="3" t="s">
        <v>108</v>
      </c>
      <c r="D3321" s="3" t="n">
        <v>5296000</v>
      </c>
      <c r="E3321" s="3" t="s">
        <v>114</v>
      </c>
      <c r="F3321" s="3" t="n">
        <f aca="false">IF(C3321="848630",0,1)</f>
        <v>1</v>
      </c>
    </row>
    <row r="3322" customFormat="false" ht="15" hidden="false" customHeight="false" outlineLevel="0" collapsed="false">
      <c r="A3322" s="12" t="n">
        <v>46174</v>
      </c>
      <c r="B3322" s="9" t="s">
        <v>93</v>
      </c>
      <c r="C3322" s="3" t="s">
        <v>108</v>
      </c>
      <c r="D3322" s="3" t="n">
        <v>225000</v>
      </c>
      <c r="E3322" s="3" t="s">
        <v>114</v>
      </c>
      <c r="F3322" s="3" t="n">
        <f aca="false">IF(C3322="848630",0,1)</f>
        <v>1</v>
      </c>
    </row>
    <row r="3323" customFormat="false" ht="15" hidden="false" customHeight="false" outlineLevel="0" collapsed="false">
      <c r="A3323" s="12" t="n">
        <v>46174</v>
      </c>
      <c r="B3323" s="9" t="s">
        <v>93</v>
      </c>
      <c r="C3323" s="3" t="s">
        <v>108</v>
      </c>
      <c r="D3323" s="3" t="n">
        <v>9987000</v>
      </c>
      <c r="E3323" s="3" t="s">
        <v>114</v>
      </c>
      <c r="F3323" s="3" t="n">
        <f aca="false">IF(C3323="848630",0,1)</f>
        <v>1</v>
      </c>
    </row>
    <row r="3324" customFormat="false" ht="15" hidden="false" customHeight="false" outlineLevel="0" collapsed="false">
      <c r="A3324" s="12" t="n">
        <v>46174</v>
      </c>
      <c r="B3324" s="9" t="s">
        <v>93</v>
      </c>
      <c r="C3324" s="3" t="s">
        <v>108</v>
      </c>
      <c r="D3324" s="3" t="n">
        <v>23846000</v>
      </c>
      <c r="E3324" s="3" t="s">
        <v>114</v>
      </c>
      <c r="F3324" s="3" t="n">
        <f aca="false">IF(C3324="848630",0,1)</f>
        <v>1</v>
      </c>
    </row>
    <row r="3325" customFormat="false" ht="15" hidden="false" customHeight="false" outlineLevel="0" collapsed="false">
      <c r="A3325" s="12" t="n">
        <v>46174</v>
      </c>
      <c r="B3325" s="9" t="s">
        <v>93</v>
      </c>
      <c r="C3325" s="3" t="s">
        <v>108</v>
      </c>
      <c r="D3325" s="3" t="n">
        <v>10176000</v>
      </c>
      <c r="E3325" s="3" t="s">
        <v>114</v>
      </c>
      <c r="F3325" s="3" t="n">
        <f aca="false">IF(C3325="848630",0,1)</f>
        <v>1</v>
      </c>
    </row>
    <row r="3326" customFormat="false" ht="15" hidden="false" customHeight="false" outlineLevel="0" collapsed="false">
      <c r="A3326" s="12" t="n">
        <v>46174</v>
      </c>
      <c r="B3326" s="9" t="s">
        <v>93</v>
      </c>
      <c r="C3326" s="3" t="s">
        <v>108</v>
      </c>
      <c r="D3326" s="3" t="n">
        <v>8054000</v>
      </c>
      <c r="E3326" s="3" t="s">
        <v>114</v>
      </c>
      <c r="F3326" s="3" t="n">
        <f aca="false">IF(C3326="848630",0,1)</f>
        <v>1</v>
      </c>
    </row>
    <row r="3327" customFormat="false" ht="15" hidden="false" customHeight="false" outlineLevel="0" collapsed="false">
      <c r="A3327" s="12" t="n">
        <v>46174</v>
      </c>
      <c r="B3327" s="9" t="s">
        <v>93</v>
      </c>
      <c r="C3327" s="3" t="s">
        <v>109</v>
      </c>
      <c r="D3327" s="3" t="n">
        <v>1629000</v>
      </c>
      <c r="E3327" s="3" t="s">
        <v>114</v>
      </c>
      <c r="F3327" s="3" t="n">
        <f aca="false">IF(C3327="848630",0,1)</f>
        <v>1</v>
      </c>
    </row>
    <row r="3328" customFormat="false" ht="15" hidden="false" customHeight="false" outlineLevel="0" collapsed="false">
      <c r="A3328" s="12" t="n">
        <v>46174</v>
      </c>
      <c r="B3328" s="9" t="s">
        <v>93</v>
      </c>
      <c r="C3328" s="3" t="s">
        <v>109</v>
      </c>
      <c r="D3328" s="3" t="n">
        <v>21402000</v>
      </c>
      <c r="E3328" s="3" t="s">
        <v>114</v>
      </c>
      <c r="F3328" s="3" t="n">
        <f aca="false">IF(C3328="848630",0,1)</f>
        <v>1</v>
      </c>
    </row>
    <row r="3329" customFormat="false" ht="15" hidden="false" customHeight="false" outlineLevel="0" collapsed="false">
      <c r="A3329" s="12" t="n">
        <v>46174</v>
      </c>
      <c r="B3329" s="9" t="s">
        <v>93</v>
      </c>
      <c r="C3329" s="3" t="s">
        <v>109</v>
      </c>
      <c r="D3329" s="3" t="n">
        <v>52924000</v>
      </c>
      <c r="E3329" s="3" t="s">
        <v>114</v>
      </c>
      <c r="F3329" s="3" t="n">
        <f aca="false">IF(C3329="848630",0,1)</f>
        <v>1</v>
      </c>
    </row>
    <row r="3330" customFormat="false" ht="15" hidden="false" customHeight="false" outlineLevel="0" collapsed="false">
      <c r="A3330" s="12" t="n">
        <v>46174</v>
      </c>
      <c r="B3330" s="9" t="s">
        <v>93</v>
      </c>
      <c r="C3330" s="3" t="s">
        <v>109</v>
      </c>
      <c r="D3330" s="3" t="n">
        <v>13564000</v>
      </c>
      <c r="E3330" s="3" t="s">
        <v>114</v>
      </c>
      <c r="F3330" s="3" t="n">
        <f aca="false">IF(C3330="848630",0,1)</f>
        <v>1</v>
      </c>
    </row>
    <row r="3331" customFormat="false" ht="15" hidden="false" customHeight="false" outlineLevel="0" collapsed="false">
      <c r="A3331" s="12" t="n">
        <v>46174</v>
      </c>
      <c r="B3331" s="9" t="s">
        <v>93</v>
      </c>
      <c r="C3331" s="3" t="s">
        <v>109</v>
      </c>
      <c r="D3331" s="3" t="n">
        <v>347000</v>
      </c>
      <c r="E3331" s="3" t="s">
        <v>114</v>
      </c>
      <c r="F3331" s="3" t="n">
        <f aca="false">IF(C3331="848630",0,1)</f>
        <v>1</v>
      </c>
    </row>
    <row r="3332" customFormat="false" ht="15" hidden="false" customHeight="false" outlineLevel="0" collapsed="false">
      <c r="A3332" s="12" t="n">
        <v>46174</v>
      </c>
      <c r="B3332" s="9" t="s">
        <v>93</v>
      </c>
      <c r="C3332" s="3" t="s">
        <v>109</v>
      </c>
      <c r="D3332" s="3" t="n">
        <v>2413000</v>
      </c>
      <c r="E3332" s="3" t="s">
        <v>114</v>
      </c>
      <c r="F3332" s="3" t="n">
        <f aca="false">IF(C3332="848630",0,1)</f>
        <v>1</v>
      </c>
    </row>
    <row r="3333" customFormat="false" ht="15" hidden="false" customHeight="false" outlineLevel="0" collapsed="false">
      <c r="A3333" s="12" t="n">
        <v>46174</v>
      </c>
      <c r="B3333" s="9" t="s">
        <v>93</v>
      </c>
      <c r="C3333" s="3" t="s">
        <v>109</v>
      </c>
      <c r="D3333" s="3" t="n">
        <v>800000</v>
      </c>
      <c r="E3333" s="3" t="s">
        <v>114</v>
      </c>
      <c r="F3333" s="3" t="n">
        <f aca="false">IF(C3333="848630",0,1)</f>
        <v>1</v>
      </c>
    </row>
    <row r="3334" customFormat="false" ht="15" hidden="false" customHeight="false" outlineLevel="0" collapsed="false">
      <c r="A3334" s="12" t="n">
        <v>46174</v>
      </c>
      <c r="B3334" s="9" t="s">
        <v>93</v>
      </c>
      <c r="C3334" s="3" t="s">
        <v>109</v>
      </c>
      <c r="D3334" s="3" t="n">
        <v>9665000</v>
      </c>
      <c r="E3334" s="3" t="s">
        <v>114</v>
      </c>
      <c r="F3334" s="3" t="n">
        <f aca="false">IF(C3334="848630",0,1)</f>
        <v>1</v>
      </c>
    </row>
    <row r="3335" customFormat="false" ht="15" hidden="false" customHeight="false" outlineLevel="0" collapsed="false">
      <c r="A3335" s="12" t="n">
        <v>46174</v>
      </c>
      <c r="B3335" s="9" t="s">
        <v>93</v>
      </c>
      <c r="C3335" s="3" t="s">
        <v>110</v>
      </c>
      <c r="D3335" s="3" t="n">
        <v>80477000</v>
      </c>
      <c r="E3335" s="3" t="s">
        <v>114</v>
      </c>
      <c r="F3335" s="3" t="n">
        <f aca="false">IF(C3335="848630",0,1)</f>
        <v>1</v>
      </c>
    </row>
    <row r="3336" customFormat="false" ht="15" hidden="false" customHeight="false" outlineLevel="0" collapsed="false">
      <c r="A3336" s="12" t="n">
        <v>46174</v>
      </c>
      <c r="B3336" s="9" t="s">
        <v>93</v>
      </c>
      <c r="C3336" s="3" t="s">
        <v>111</v>
      </c>
      <c r="D3336" s="3" t="n">
        <v>15129000</v>
      </c>
      <c r="E3336" s="3" t="s">
        <v>114</v>
      </c>
      <c r="F3336" s="3" t="n">
        <f aca="false">IF(C3336="848630",0,1)</f>
        <v>1</v>
      </c>
    </row>
    <row r="3337" customFormat="false" ht="15" hidden="false" customHeight="false" outlineLevel="0" collapsed="false">
      <c r="A3337" s="12" t="n">
        <v>46204</v>
      </c>
      <c r="B3337" s="9" t="s">
        <v>93</v>
      </c>
      <c r="C3337" s="3" t="s">
        <v>105</v>
      </c>
      <c r="D3337" s="3" t="n">
        <v>3946000</v>
      </c>
      <c r="E3337" s="3" t="s">
        <v>114</v>
      </c>
      <c r="F3337" s="3" t="n">
        <f aca="false">IF(C3337="848630",0,1)</f>
        <v>1</v>
      </c>
    </row>
    <row r="3338" customFormat="false" ht="15" hidden="false" customHeight="false" outlineLevel="0" collapsed="false">
      <c r="A3338" s="12" t="n">
        <v>46204</v>
      </c>
      <c r="B3338" s="9" t="s">
        <v>93</v>
      </c>
      <c r="C3338" s="3" t="s">
        <v>105</v>
      </c>
      <c r="D3338" s="3" t="n">
        <v>5664000</v>
      </c>
      <c r="E3338" s="3" t="s">
        <v>114</v>
      </c>
      <c r="F3338" s="3" t="n">
        <f aca="false">IF(C3338="848630",0,1)</f>
        <v>1</v>
      </c>
    </row>
    <row r="3339" customFormat="false" ht="15" hidden="false" customHeight="false" outlineLevel="0" collapsed="false">
      <c r="A3339" s="12" t="n">
        <v>46204</v>
      </c>
      <c r="B3339" s="9" t="s">
        <v>93</v>
      </c>
      <c r="C3339" s="3" t="s">
        <v>105</v>
      </c>
      <c r="D3339" s="3" t="n">
        <v>464000</v>
      </c>
      <c r="E3339" s="3" t="s">
        <v>114</v>
      </c>
      <c r="F3339" s="3" t="n">
        <f aca="false">IF(C3339="848630",0,1)</f>
        <v>1</v>
      </c>
    </row>
    <row r="3340" customFormat="false" ht="15" hidden="false" customHeight="false" outlineLevel="0" collapsed="false">
      <c r="A3340" s="12" t="n">
        <v>46204</v>
      </c>
      <c r="B3340" s="9" t="s">
        <v>93</v>
      </c>
      <c r="C3340" s="3" t="s">
        <v>105</v>
      </c>
      <c r="D3340" s="3" t="n">
        <v>0</v>
      </c>
      <c r="E3340" s="3" t="s">
        <v>114</v>
      </c>
      <c r="F3340" s="3" t="n">
        <f aca="false">IF(C3340="848630",0,1)</f>
        <v>1</v>
      </c>
    </row>
    <row r="3341" customFormat="false" ht="15" hidden="false" customHeight="false" outlineLevel="0" collapsed="false">
      <c r="A3341" s="12" t="n">
        <v>46204</v>
      </c>
      <c r="B3341" s="9" t="s">
        <v>93</v>
      </c>
      <c r="C3341" s="3" t="s">
        <v>105</v>
      </c>
      <c r="D3341" s="3" t="n">
        <v>3441000</v>
      </c>
      <c r="E3341" s="3" t="s">
        <v>114</v>
      </c>
      <c r="F3341" s="3" t="n">
        <f aca="false">IF(C3341="848630",0,1)</f>
        <v>1</v>
      </c>
    </row>
    <row r="3342" customFormat="false" ht="15" hidden="false" customHeight="false" outlineLevel="0" collapsed="false">
      <c r="A3342" s="12" t="n">
        <v>46204</v>
      </c>
      <c r="B3342" s="9" t="s">
        <v>93</v>
      </c>
      <c r="C3342" s="3" t="s">
        <v>107</v>
      </c>
      <c r="D3342" s="3" t="n">
        <v>3385000</v>
      </c>
      <c r="E3342" s="3" t="s">
        <v>114</v>
      </c>
      <c r="F3342" s="3" t="n">
        <f aca="false">IF(C3342="848630",0,1)</f>
        <v>1</v>
      </c>
    </row>
    <row r="3343" customFormat="false" ht="15" hidden="false" customHeight="false" outlineLevel="0" collapsed="false">
      <c r="A3343" s="12" t="n">
        <v>46204</v>
      </c>
      <c r="B3343" s="9" t="s">
        <v>93</v>
      </c>
      <c r="C3343" s="3" t="s">
        <v>107</v>
      </c>
      <c r="D3343" s="3" t="n">
        <v>297000</v>
      </c>
      <c r="E3343" s="3" t="s">
        <v>114</v>
      </c>
      <c r="F3343" s="3" t="n">
        <f aca="false">IF(C3343="848630",0,1)</f>
        <v>1</v>
      </c>
    </row>
    <row r="3344" customFormat="false" ht="15" hidden="false" customHeight="false" outlineLevel="0" collapsed="false">
      <c r="A3344" s="12" t="n">
        <v>46204</v>
      </c>
      <c r="B3344" s="9" t="s">
        <v>93</v>
      </c>
      <c r="C3344" s="3" t="s">
        <v>107</v>
      </c>
      <c r="D3344" s="3" t="n">
        <v>73979000</v>
      </c>
      <c r="E3344" s="3" t="s">
        <v>114</v>
      </c>
      <c r="F3344" s="3" t="n">
        <f aca="false">IF(C3344="848630",0,1)</f>
        <v>1</v>
      </c>
    </row>
    <row r="3345" customFormat="false" ht="15" hidden="false" customHeight="false" outlineLevel="0" collapsed="false">
      <c r="A3345" s="12" t="n">
        <v>46204</v>
      </c>
      <c r="B3345" s="9" t="s">
        <v>93</v>
      </c>
      <c r="C3345" s="3" t="s">
        <v>107</v>
      </c>
      <c r="D3345" s="3" t="n">
        <v>707000</v>
      </c>
      <c r="E3345" s="3" t="s">
        <v>114</v>
      </c>
      <c r="F3345" s="3" t="n">
        <f aca="false">IF(C3345="848630",0,1)</f>
        <v>1</v>
      </c>
    </row>
    <row r="3346" customFormat="false" ht="15" hidden="false" customHeight="false" outlineLevel="0" collapsed="false">
      <c r="A3346" s="12" t="n">
        <v>46204</v>
      </c>
      <c r="B3346" s="9" t="s">
        <v>93</v>
      </c>
      <c r="C3346" s="3" t="s">
        <v>107</v>
      </c>
      <c r="D3346" s="3" t="n">
        <v>8783000</v>
      </c>
      <c r="E3346" s="3" t="s">
        <v>114</v>
      </c>
      <c r="F3346" s="3" t="n">
        <f aca="false">IF(C3346="848630",0,1)</f>
        <v>1</v>
      </c>
    </row>
    <row r="3347" customFormat="false" ht="15" hidden="false" customHeight="false" outlineLevel="0" collapsed="false">
      <c r="A3347" s="12" t="n">
        <v>46204</v>
      </c>
      <c r="B3347" s="9" t="s">
        <v>93</v>
      </c>
      <c r="C3347" s="3" t="s">
        <v>107</v>
      </c>
      <c r="D3347" s="3" t="n">
        <v>23869000</v>
      </c>
      <c r="E3347" s="3" t="s">
        <v>114</v>
      </c>
      <c r="F3347" s="3" t="n">
        <f aca="false">IF(C3347="848630",0,1)</f>
        <v>1</v>
      </c>
    </row>
    <row r="3348" customFormat="false" ht="15" hidden="false" customHeight="false" outlineLevel="0" collapsed="false">
      <c r="A3348" s="12" t="n">
        <v>46204</v>
      </c>
      <c r="B3348" s="9" t="s">
        <v>93</v>
      </c>
      <c r="C3348" s="3" t="s">
        <v>107</v>
      </c>
      <c r="D3348" s="3" t="n">
        <v>2540000</v>
      </c>
      <c r="E3348" s="3" t="s">
        <v>114</v>
      </c>
      <c r="F3348" s="3" t="n">
        <f aca="false">IF(C3348="848630",0,1)</f>
        <v>1</v>
      </c>
    </row>
    <row r="3349" customFormat="false" ht="15" hidden="false" customHeight="false" outlineLevel="0" collapsed="false">
      <c r="A3349" s="12" t="n">
        <v>46204</v>
      </c>
      <c r="B3349" s="9" t="s">
        <v>93</v>
      </c>
      <c r="C3349" s="3" t="s">
        <v>107</v>
      </c>
      <c r="D3349" s="3" t="n">
        <v>109019000</v>
      </c>
      <c r="E3349" s="3" t="s">
        <v>114</v>
      </c>
      <c r="F3349" s="3" t="n">
        <f aca="false">IF(C3349="848630",0,1)</f>
        <v>1</v>
      </c>
    </row>
    <row r="3350" customFormat="false" ht="15" hidden="false" customHeight="false" outlineLevel="0" collapsed="false">
      <c r="A3350" s="12" t="n">
        <v>46204</v>
      </c>
      <c r="B3350" s="9" t="s">
        <v>93</v>
      </c>
      <c r="C3350" s="3" t="s">
        <v>107</v>
      </c>
      <c r="D3350" s="3" t="n">
        <v>90000</v>
      </c>
      <c r="E3350" s="3" t="s">
        <v>114</v>
      </c>
      <c r="F3350" s="3" t="n">
        <f aca="false">IF(C3350="848630",0,1)</f>
        <v>1</v>
      </c>
    </row>
    <row r="3351" customFormat="false" ht="15" hidden="false" customHeight="false" outlineLevel="0" collapsed="false">
      <c r="A3351" s="12" t="n">
        <v>46204</v>
      </c>
      <c r="B3351" s="9" t="s">
        <v>93</v>
      </c>
      <c r="C3351" s="3" t="s">
        <v>107</v>
      </c>
      <c r="D3351" s="3" t="n">
        <v>7403000</v>
      </c>
      <c r="E3351" s="3" t="s">
        <v>114</v>
      </c>
      <c r="F3351" s="3" t="n">
        <f aca="false">IF(C3351="848630",0,1)</f>
        <v>1</v>
      </c>
    </row>
    <row r="3352" customFormat="false" ht="15" hidden="false" customHeight="false" outlineLevel="0" collapsed="false">
      <c r="A3352" s="12" t="n">
        <v>46204</v>
      </c>
      <c r="B3352" s="9" t="s">
        <v>93</v>
      </c>
      <c r="C3352" s="3" t="s">
        <v>107</v>
      </c>
      <c r="D3352" s="3" t="n">
        <v>88747000</v>
      </c>
      <c r="E3352" s="3" t="s">
        <v>114</v>
      </c>
      <c r="F3352" s="3" t="n">
        <f aca="false">IF(C3352="848630",0,1)</f>
        <v>1</v>
      </c>
    </row>
    <row r="3353" customFormat="false" ht="15" hidden="false" customHeight="false" outlineLevel="0" collapsed="false">
      <c r="A3353" s="12" t="n">
        <v>46204</v>
      </c>
      <c r="B3353" s="9" t="s">
        <v>93</v>
      </c>
      <c r="C3353" s="3" t="s">
        <v>107</v>
      </c>
      <c r="D3353" s="3" t="n">
        <v>16904000</v>
      </c>
      <c r="E3353" s="3" t="s">
        <v>114</v>
      </c>
      <c r="F3353" s="3" t="n">
        <f aca="false">IF(C3353="848630",0,1)</f>
        <v>1</v>
      </c>
    </row>
    <row r="3354" customFormat="false" ht="15" hidden="false" customHeight="false" outlineLevel="0" collapsed="false">
      <c r="A3354" s="12" t="n">
        <v>46204</v>
      </c>
      <c r="B3354" s="9" t="s">
        <v>93</v>
      </c>
      <c r="C3354" s="3" t="s">
        <v>107</v>
      </c>
      <c r="D3354" s="3" t="n">
        <v>6525000</v>
      </c>
      <c r="E3354" s="3" t="s">
        <v>114</v>
      </c>
      <c r="F3354" s="3" t="n">
        <f aca="false">IF(C3354="848630",0,1)</f>
        <v>1</v>
      </c>
    </row>
    <row r="3355" customFormat="false" ht="15" hidden="false" customHeight="false" outlineLevel="0" collapsed="false">
      <c r="A3355" s="12" t="n">
        <v>46204</v>
      </c>
      <c r="B3355" s="9" t="s">
        <v>93</v>
      </c>
      <c r="C3355" s="3" t="s">
        <v>107</v>
      </c>
      <c r="D3355" s="3" t="n">
        <v>2652000</v>
      </c>
      <c r="E3355" s="3" t="s">
        <v>114</v>
      </c>
      <c r="F3355" s="3" t="n">
        <f aca="false">IF(C3355="848630",0,1)</f>
        <v>1</v>
      </c>
    </row>
    <row r="3356" customFormat="false" ht="15" hidden="false" customHeight="false" outlineLevel="0" collapsed="false">
      <c r="A3356" s="12" t="n">
        <v>46204</v>
      </c>
      <c r="B3356" s="9" t="s">
        <v>93</v>
      </c>
      <c r="C3356" s="3" t="s">
        <v>107</v>
      </c>
      <c r="D3356" s="3" t="n">
        <v>16212000</v>
      </c>
      <c r="E3356" s="3" t="s">
        <v>114</v>
      </c>
      <c r="F3356" s="3" t="n">
        <f aca="false">IF(C3356="848630",0,1)</f>
        <v>1</v>
      </c>
    </row>
    <row r="3357" customFormat="false" ht="15" hidden="false" customHeight="false" outlineLevel="0" collapsed="false">
      <c r="A3357" s="12" t="n">
        <v>46204</v>
      </c>
      <c r="B3357" s="9" t="s">
        <v>93</v>
      </c>
      <c r="C3357" s="3" t="s">
        <v>112</v>
      </c>
      <c r="D3357" s="3" t="n">
        <v>7000</v>
      </c>
      <c r="E3357" s="3" t="s">
        <v>114</v>
      </c>
      <c r="F3357" s="3" t="n">
        <f aca="false">IF(C3357="848630",0,1)</f>
        <v>0</v>
      </c>
    </row>
    <row r="3358" customFormat="false" ht="15" hidden="false" customHeight="false" outlineLevel="0" collapsed="false">
      <c r="A3358" s="12" t="n">
        <v>46204</v>
      </c>
      <c r="B3358" s="9" t="s">
        <v>93</v>
      </c>
      <c r="C3358" s="3" t="s">
        <v>112</v>
      </c>
      <c r="D3358" s="3" t="n">
        <v>0</v>
      </c>
      <c r="E3358" s="3" t="s">
        <v>114</v>
      </c>
      <c r="F3358" s="3" t="n">
        <f aca="false">IF(C3358="848630",0,1)</f>
        <v>0</v>
      </c>
    </row>
    <row r="3359" customFormat="false" ht="15" hidden="false" customHeight="false" outlineLevel="0" collapsed="false">
      <c r="A3359" s="12" t="n">
        <v>46204</v>
      </c>
      <c r="B3359" s="9" t="s">
        <v>93</v>
      </c>
      <c r="C3359" s="3" t="s">
        <v>108</v>
      </c>
      <c r="D3359" s="3" t="n">
        <v>110000</v>
      </c>
      <c r="E3359" s="3" t="s">
        <v>114</v>
      </c>
      <c r="F3359" s="3" t="n">
        <f aca="false">IF(C3359="848630",0,1)</f>
        <v>1</v>
      </c>
    </row>
    <row r="3360" customFormat="false" ht="15" hidden="false" customHeight="false" outlineLevel="0" collapsed="false">
      <c r="A3360" s="12" t="n">
        <v>46204</v>
      </c>
      <c r="B3360" s="9" t="s">
        <v>93</v>
      </c>
      <c r="C3360" s="3" t="s">
        <v>108</v>
      </c>
      <c r="D3360" s="3" t="n">
        <v>0</v>
      </c>
      <c r="E3360" s="3" t="s">
        <v>114</v>
      </c>
      <c r="F3360" s="3" t="n">
        <f aca="false">IF(C3360="848630",0,1)</f>
        <v>1</v>
      </c>
    </row>
    <row r="3361" customFormat="false" ht="15" hidden="false" customHeight="false" outlineLevel="0" collapsed="false">
      <c r="A3361" s="12" t="n">
        <v>46204</v>
      </c>
      <c r="B3361" s="9" t="s">
        <v>93</v>
      </c>
      <c r="C3361" s="3" t="s">
        <v>108</v>
      </c>
      <c r="D3361" s="3" t="n">
        <v>0</v>
      </c>
      <c r="E3361" s="3" t="s">
        <v>114</v>
      </c>
      <c r="F3361" s="3" t="n">
        <f aca="false">IF(C3361="848630",0,1)</f>
        <v>1</v>
      </c>
    </row>
    <row r="3362" customFormat="false" ht="15" hidden="false" customHeight="false" outlineLevel="0" collapsed="false">
      <c r="A3362" s="12" t="n">
        <v>46204</v>
      </c>
      <c r="B3362" s="9" t="s">
        <v>93</v>
      </c>
      <c r="C3362" s="3" t="s">
        <v>108</v>
      </c>
      <c r="D3362" s="3" t="n">
        <v>3045000</v>
      </c>
      <c r="E3362" s="3" t="s">
        <v>114</v>
      </c>
      <c r="F3362" s="3" t="n">
        <f aca="false">IF(C3362="848630",0,1)</f>
        <v>1</v>
      </c>
    </row>
    <row r="3363" customFormat="false" ht="15" hidden="false" customHeight="false" outlineLevel="0" collapsed="false">
      <c r="A3363" s="12" t="n">
        <v>46204</v>
      </c>
      <c r="B3363" s="9" t="s">
        <v>93</v>
      </c>
      <c r="C3363" s="3" t="s">
        <v>108</v>
      </c>
      <c r="D3363" s="3" t="n">
        <v>390000</v>
      </c>
      <c r="E3363" s="3" t="s">
        <v>114</v>
      </c>
      <c r="F3363" s="3" t="n">
        <f aca="false">IF(C3363="848630",0,1)</f>
        <v>1</v>
      </c>
    </row>
    <row r="3364" customFormat="false" ht="15" hidden="false" customHeight="false" outlineLevel="0" collapsed="false">
      <c r="A3364" s="12" t="n">
        <v>46204</v>
      </c>
      <c r="B3364" s="9" t="s">
        <v>93</v>
      </c>
      <c r="C3364" s="3" t="s">
        <v>108</v>
      </c>
      <c r="D3364" s="3" t="n">
        <v>634000</v>
      </c>
      <c r="E3364" s="3" t="s">
        <v>114</v>
      </c>
      <c r="F3364" s="3" t="n">
        <f aca="false">IF(C3364="848630",0,1)</f>
        <v>1</v>
      </c>
    </row>
    <row r="3365" customFormat="false" ht="15" hidden="false" customHeight="false" outlineLevel="0" collapsed="false">
      <c r="A3365" s="12" t="n">
        <v>46204</v>
      </c>
      <c r="B3365" s="9" t="s">
        <v>93</v>
      </c>
      <c r="C3365" s="3" t="s">
        <v>108</v>
      </c>
      <c r="D3365" s="3" t="n">
        <v>10550000</v>
      </c>
      <c r="E3365" s="3" t="s">
        <v>114</v>
      </c>
      <c r="F3365" s="3" t="n">
        <f aca="false">IF(C3365="848630",0,1)</f>
        <v>1</v>
      </c>
    </row>
    <row r="3366" customFormat="false" ht="15" hidden="false" customHeight="false" outlineLevel="0" collapsed="false">
      <c r="A3366" s="12" t="n">
        <v>46204</v>
      </c>
      <c r="B3366" s="9" t="s">
        <v>93</v>
      </c>
      <c r="C3366" s="3" t="s">
        <v>108</v>
      </c>
      <c r="D3366" s="3" t="n">
        <v>24096000</v>
      </c>
      <c r="E3366" s="3" t="s">
        <v>114</v>
      </c>
      <c r="F3366" s="3" t="n">
        <f aca="false">IF(C3366="848630",0,1)</f>
        <v>1</v>
      </c>
    </row>
    <row r="3367" customFormat="false" ht="15" hidden="false" customHeight="false" outlineLevel="0" collapsed="false">
      <c r="A3367" s="12" t="n">
        <v>46204</v>
      </c>
      <c r="B3367" s="9" t="s">
        <v>93</v>
      </c>
      <c r="C3367" s="3" t="s">
        <v>108</v>
      </c>
      <c r="D3367" s="3" t="n">
        <v>5913000</v>
      </c>
      <c r="E3367" s="3" t="s">
        <v>114</v>
      </c>
      <c r="F3367" s="3" t="n">
        <f aca="false">IF(C3367="848630",0,1)</f>
        <v>1</v>
      </c>
    </row>
    <row r="3368" customFormat="false" ht="15" hidden="false" customHeight="false" outlineLevel="0" collapsed="false">
      <c r="A3368" s="12" t="n">
        <v>46204</v>
      </c>
      <c r="B3368" s="9" t="s">
        <v>93</v>
      </c>
      <c r="C3368" s="3" t="s">
        <v>108</v>
      </c>
      <c r="D3368" s="3" t="n">
        <v>7793000</v>
      </c>
      <c r="E3368" s="3" t="s">
        <v>114</v>
      </c>
      <c r="F3368" s="3" t="n">
        <f aca="false">IF(C3368="848630",0,1)</f>
        <v>1</v>
      </c>
    </row>
    <row r="3369" customFormat="false" ht="15" hidden="false" customHeight="false" outlineLevel="0" collapsed="false">
      <c r="A3369" s="12" t="n">
        <v>46204</v>
      </c>
      <c r="B3369" s="9" t="s">
        <v>93</v>
      </c>
      <c r="C3369" s="3" t="s">
        <v>109</v>
      </c>
      <c r="D3369" s="3" t="n">
        <v>2119000</v>
      </c>
      <c r="E3369" s="3" t="s">
        <v>114</v>
      </c>
      <c r="F3369" s="3" t="n">
        <f aca="false">IF(C3369="848630",0,1)</f>
        <v>1</v>
      </c>
    </row>
    <row r="3370" customFormat="false" ht="15" hidden="false" customHeight="false" outlineLevel="0" collapsed="false">
      <c r="A3370" s="12" t="n">
        <v>46204</v>
      </c>
      <c r="B3370" s="9" t="s">
        <v>93</v>
      </c>
      <c r="C3370" s="3" t="s">
        <v>109</v>
      </c>
      <c r="D3370" s="3" t="n">
        <v>20703000</v>
      </c>
      <c r="E3370" s="3" t="s">
        <v>114</v>
      </c>
      <c r="F3370" s="3" t="n">
        <f aca="false">IF(C3370="848630",0,1)</f>
        <v>1</v>
      </c>
    </row>
    <row r="3371" customFormat="false" ht="15" hidden="false" customHeight="false" outlineLevel="0" collapsed="false">
      <c r="A3371" s="12" t="n">
        <v>46204</v>
      </c>
      <c r="B3371" s="9" t="s">
        <v>93</v>
      </c>
      <c r="C3371" s="3" t="s">
        <v>109</v>
      </c>
      <c r="D3371" s="3" t="n">
        <v>63139000</v>
      </c>
      <c r="E3371" s="3" t="s">
        <v>114</v>
      </c>
      <c r="F3371" s="3" t="n">
        <f aca="false">IF(C3371="848630",0,1)</f>
        <v>1</v>
      </c>
    </row>
    <row r="3372" customFormat="false" ht="15" hidden="false" customHeight="false" outlineLevel="0" collapsed="false">
      <c r="A3372" s="12" t="n">
        <v>46204</v>
      </c>
      <c r="B3372" s="9" t="s">
        <v>93</v>
      </c>
      <c r="C3372" s="3" t="s">
        <v>109</v>
      </c>
      <c r="D3372" s="3" t="n">
        <v>11290000</v>
      </c>
      <c r="E3372" s="3" t="s">
        <v>114</v>
      </c>
      <c r="F3372" s="3" t="n">
        <f aca="false">IF(C3372="848630",0,1)</f>
        <v>1</v>
      </c>
    </row>
    <row r="3373" customFormat="false" ht="15" hidden="false" customHeight="false" outlineLevel="0" collapsed="false">
      <c r="A3373" s="12" t="n">
        <v>46204</v>
      </c>
      <c r="B3373" s="9" t="s">
        <v>93</v>
      </c>
      <c r="C3373" s="3" t="s">
        <v>109</v>
      </c>
      <c r="D3373" s="3" t="n">
        <v>263000</v>
      </c>
      <c r="E3373" s="3" t="s">
        <v>114</v>
      </c>
      <c r="F3373" s="3" t="n">
        <f aca="false">IF(C3373="848630",0,1)</f>
        <v>1</v>
      </c>
    </row>
    <row r="3374" customFormat="false" ht="15" hidden="false" customHeight="false" outlineLevel="0" collapsed="false">
      <c r="A3374" s="12" t="n">
        <v>46204</v>
      </c>
      <c r="B3374" s="9" t="s">
        <v>93</v>
      </c>
      <c r="C3374" s="3" t="s">
        <v>109</v>
      </c>
      <c r="D3374" s="3" t="n">
        <v>3055000</v>
      </c>
      <c r="E3374" s="3" t="s">
        <v>114</v>
      </c>
      <c r="F3374" s="3" t="n">
        <f aca="false">IF(C3374="848630",0,1)</f>
        <v>1</v>
      </c>
    </row>
    <row r="3375" customFormat="false" ht="15" hidden="false" customHeight="false" outlineLevel="0" collapsed="false">
      <c r="A3375" s="12" t="n">
        <v>46204</v>
      </c>
      <c r="B3375" s="9" t="s">
        <v>93</v>
      </c>
      <c r="C3375" s="3" t="s">
        <v>109</v>
      </c>
      <c r="D3375" s="3" t="n">
        <v>843000</v>
      </c>
      <c r="E3375" s="3" t="s">
        <v>114</v>
      </c>
      <c r="F3375" s="3" t="n">
        <f aca="false">IF(C3375="848630",0,1)</f>
        <v>1</v>
      </c>
    </row>
    <row r="3376" customFormat="false" ht="15" hidden="false" customHeight="false" outlineLevel="0" collapsed="false">
      <c r="A3376" s="12" t="n">
        <v>46204</v>
      </c>
      <c r="B3376" s="9" t="s">
        <v>93</v>
      </c>
      <c r="C3376" s="3" t="s">
        <v>109</v>
      </c>
      <c r="D3376" s="3" t="n">
        <v>13798000</v>
      </c>
      <c r="E3376" s="3" t="s">
        <v>114</v>
      </c>
      <c r="F3376" s="3" t="n">
        <f aca="false">IF(C3376="848630",0,1)</f>
        <v>1</v>
      </c>
    </row>
    <row r="3377" customFormat="false" ht="15" hidden="false" customHeight="false" outlineLevel="0" collapsed="false">
      <c r="A3377" s="12" t="n">
        <v>46204</v>
      </c>
      <c r="B3377" s="9" t="s">
        <v>93</v>
      </c>
      <c r="C3377" s="3" t="s">
        <v>110</v>
      </c>
      <c r="D3377" s="3" t="n">
        <v>59679000</v>
      </c>
      <c r="E3377" s="3" t="s">
        <v>114</v>
      </c>
      <c r="F3377" s="3" t="n">
        <f aca="false">IF(C3377="848630",0,1)</f>
        <v>1</v>
      </c>
    </row>
    <row r="3378" customFormat="false" ht="15" hidden="false" customHeight="false" outlineLevel="0" collapsed="false">
      <c r="A3378" s="12" t="n">
        <v>46204</v>
      </c>
      <c r="B3378" s="9" t="s">
        <v>93</v>
      </c>
      <c r="C3378" s="3" t="s">
        <v>111</v>
      </c>
      <c r="D3378" s="3" t="n">
        <v>2438000</v>
      </c>
      <c r="E3378" s="3" t="s">
        <v>114</v>
      </c>
      <c r="F3378" s="3" t="n">
        <f aca="false">IF(C3378="848630",0,1)</f>
        <v>1</v>
      </c>
    </row>
    <row r="3379" customFormat="false" ht="15" hidden="false" customHeight="false" outlineLevel="0" collapsed="false">
      <c r="A3379" s="12" t="n">
        <v>46204</v>
      </c>
      <c r="B3379" s="9" t="s">
        <v>93</v>
      </c>
      <c r="C3379" s="3" t="s">
        <v>111</v>
      </c>
      <c r="D3379" s="3" t="n">
        <v>41242000</v>
      </c>
      <c r="E3379" s="3" t="s">
        <v>114</v>
      </c>
      <c r="F3379" s="3" t="n">
        <f aca="false">IF(C3379="848630",0,1)</f>
        <v>1</v>
      </c>
    </row>
    <row r="3380" customFormat="false" ht="15" hidden="false" customHeight="false" outlineLevel="0" collapsed="false">
      <c r="A3380" s="12" t="n">
        <v>46235</v>
      </c>
      <c r="B3380" s="9" t="s">
        <v>93</v>
      </c>
      <c r="C3380" s="3" t="s">
        <v>105</v>
      </c>
      <c r="D3380" s="3" t="n">
        <v>7431000</v>
      </c>
      <c r="E3380" s="3" t="s">
        <v>114</v>
      </c>
      <c r="F3380" s="3" t="n">
        <f aca="false">IF(C3380="848630",0,1)</f>
        <v>1</v>
      </c>
    </row>
    <row r="3381" customFormat="false" ht="15" hidden="false" customHeight="false" outlineLevel="0" collapsed="false">
      <c r="A3381" s="12" t="n">
        <v>46235</v>
      </c>
      <c r="B3381" s="9" t="s">
        <v>93</v>
      </c>
      <c r="C3381" s="3" t="s">
        <v>105</v>
      </c>
      <c r="D3381" s="3" t="n">
        <v>69000</v>
      </c>
      <c r="E3381" s="3" t="s">
        <v>114</v>
      </c>
      <c r="F3381" s="3" t="n">
        <f aca="false">IF(C3381="848630",0,1)</f>
        <v>1</v>
      </c>
    </row>
    <row r="3382" customFormat="false" ht="15" hidden="false" customHeight="false" outlineLevel="0" collapsed="false">
      <c r="A3382" s="12" t="n">
        <v>46235</v>
      </c>
      <c r="B3382" s="9" t="s">
        <v>93</v>
      </c>
      <c r="C3382" s="3" t="s">
        <v>105</v>
      </c>
      <c r="D3382" s="3" t="n">
        <v>61000</v>
      </c>
      <c r="E3382" s="3" t="s">
        <v>114</v>
      </c>
      <c r="F3382" s="3" t="n">
        <f aca="false">IF(C3382="848630",0,1)</f>
        <v>1</v>
      </c>
    </row>
    <row r="3383" customFormat="false" ht="15" hidden="false" customHeight="false" outlineLevel="0" collapsed="false">
      <c r="A3383" s="12" t="n">
        <v>46235</v>
      </c>
      <c r="B3383" s="9" t="s">
        <v>93</v>
      </c>
      <c r="C3383" s="3" t="s">
        <v>107</v>
      </c>
      <c r="D3383" s="3" t="n">
        <v>765000</v>
      </c>
      <c r="E3383" s="3" t="s">
        <v>114</v>
      </c>
      <c r="F3383" s="3" t="n">
        <f aca="false">IF(C3383="848630",0,1)</f>
        <v>1</v>
      </c>
    </row>
    <row r="3384" customFormat="false" ht="15" hidden="false" customHeight="false" outlineLevel="0" collapsed="false">
      <c r="A3384" s="12" t="n">
        <v>46235</v>
      </c>
      <c r="B3384" s="9" t="s">
        <v>93</v>
      </c>
      <c r="C3384" s="3" t="s">
        <v>107</v>
      </c>
      <c r="D3384" s="3" t="n">
        <v>0</v>
      </c>
      <c r="E3384" s="3" t="s">
        <v>114</v>
      </c>
      <c r="F3384" s="3" t="n">
        <f aca="false">IF(C3384="848630",0,1)</f>
        <v>1</v>
      </c>
    </row>
    <row r="3385" customFormat="false" ht="15" hidden="false" customHeight="false" outlineLevel="0" collapsed="false">
      <c r="A3385" s="12" t="n">
        <v>46235</v>
      </c>
      <c r="B3385" s="9" t="s">
        <v>93</v>
      </c>
      <c r="C3385" s="3" t="s">
        <v>107</v>
      </c>
      <c r="D3385" s="3" t="n">
        <v>1215000</v>
      </c>
      <c r="E3385" s="3" t="s">
        <v>114</v>
      </c>
      <c r="F3385" s="3" t="n">
        <f aca="false">IF(C3385="848630",0,1)</f>
        <v>1</v>
      </c>
    </row>
    <row r="3386" customFormat="false" ht="15" hidden="false" customHeight="false" outlineLevel="0" collapsed="false">
      <c r="A3386" s="12" t="n">
        <v>46235</v>
      </c>
      <c r="B3386" s="9" t="s">
        <v>93</v>
      </c>
      <c r="C3386" s="3" t="s">
        <v>107</v>
      </c>
      <c r="D3386" s="3" t="n">
        <v>91645000</v>
      </c>
      <c r="E3386" s="3" t="s">
        <v>114</v>
      </c>
      <c r="F3386" s="3" t="n">
        <f aca="false">IF(C3386="848630",0,1)</f>
        <v>1</v>
      </c>
    </row>
    <row r="3387" customFormat="false" ht="15" hidden="false" customHeight="false" outlineLevel="0" collapsed="false">
      <c r="A3387" s="12" t="n">
        <v>46235</v>
      </c>
      <c r="B3387" s="9" t="s">
        <v>93</v>
      </c>
      <c r="C3387" s="3" t="s">
        <v>107</v>
      </c>
      <c r="D3387" s="3" t="n">
        <v>7157000</v>
      </c>
      <c r="E3387" s="3" t="s">
        <v>114</v>
      </c>
      <c r="F3387" s="3" t="n">
        <f aca="false">IF(C3387="848630",0,1)</f>
        <v>1</v>
      </c>
    </row>
    <row r="3388" customFormat="false" ht="15" hidden="false" customHeight="false" outlineLevel="0" collapsed="false">
      <c r="A3388" s="12" t="n">
        <v>46235</v>
      </c>
      <c r="B3388" s="9" t="s">
        <v>93</v>
      </c>
      <c r="C3388" s="3" t="s">
        <v>107</v>
      </c>
      <c r="D3388" s="3" t="n">
        <v>8847000</v>
      </c>
      <c r="E3388" s="3" t="s">
        <v>114</v>
      </c>
      <c r="F3388" s="3" t="n">
        <f aca="false">IF(C3388="848630",0,1)</f>
        <v>1</v>
      </c>
    </row>
    <row r="3389" customFormat="false" ht="15" hidden="false" customHeight="false" outlineLevel="0" collapsed="false">
      <c r="A3389" s="12" t="n">
        <v>46235</v>
      </c>
      <c r="B3389" s="9" t="s">
        <v>93</v>
      </c>
      <c r="C3389" s="3" t="s">
        <v>107</v>
      </c>
      <c r="D3389" s="3" t="n">
        <v>32460000</v>
      </c>
      <c r="E3389" s="3" t="s">
        <v>114</v>
      </c>
      <c r="F3389" s="3" t="n">
        <f aca="false">IF(C3389="848630",0,1)</f>
        <v>1</v>
      </c>
    </row>
    <row r="3390" customFormat="false" ht="15" hidden="false" customHeight="false" outlineLevel="0" collapsed="false">
      <c r="A3390" s="12" t="n">
        <v>46235</v>
      </c>
      <c r="B3390" s="9" t="s">
        <v>93</v>
      </c>
      <c r="C3390" s="3" t="s">
        <v>107</v>
      </c>
      <c r="D3390" s="3" t="n">
        <v>3489000</v>
      </c>
      <c r="E3390" s="3" t="s">
        <v>114</v>
      </c>
      <c r="F3390" s="3" t="n">
        <f aca="false">IF(C3390="848630",0,1)</f>
        <v>1</v>
      </c>
    </row>
    <row r="3391" customFormat="false" ht="15" hidden="false" customHeight="false" outlineLevel="0" collapsed="false">
      <c r="A3391" s="12" t="n">
        <v>46235</v>
      </c>
      <c r="B3391" s="9" t="s">
        <v>93</v>
      </c>
      <c r="C3391" s="3" t="s">
        <v>107</v>
      </c>
      <c r="D3391" s="3" t="n">
        <v>117115000</v>
      </c>
      <c r="E3391" s="3" t="s">
        <v>114</v>
      </c>
      <c r="F3391" s="3" t="n">
        <f aca="false">IF(C3391="848630",0,1)</f>
        <v>1</v>
      </c>
    </row>
    <row r="3392" customFormat="false" ht="15" hidden="false" customHeight="false" outlineLevel="0" collapsed="false">
      <c r="A3392" s="12" t="n">
        <v>46235</v>
      </c>
      <c r="B3392" s="9" t="s">
        <v>93</v>
      </c>
      <c r="C3392" s="3" t="s">
        <v>107</v>
      </c>
      <c r="D3392" s="3" t="n">
        <v>10000</v>
      </c>
      <c r="E3392" s="3" t="s">
        <v>114</v>
      </c>
      <c r="F3392" s="3" t="n">
        <f aca="false">IF(C3392="848630",0,1)</f>
        <v>1</v>
      </c>
    </row>
    <row r="3393" customFormat="false" ht="15" hidden="false" customHeight="false" outlineLevel="0" collapsed="false">
      <c r="A3393" s="12" t="n">
        <v>46235</v>
      </c>
      <c r="B3393" s="9" t="s">
        <v>93</v>
      </c>
      <c r="C3393" s="3" t="s">
        <v>107</v>
      </c>
      <c r="D3393" s="3" t="n">
        <v>5480000</v>
      </c>
      <c r="E3393" s="3" t="s">
        <v>114</v>
      </c>
      <c r="F3393" s="3" t="n">
        <f aca="false">IF(C3393="848630",0,1)</f>
        <v>1</v>
      </c>
    </row>
    <row r="3394" customFormat="false" ht="15" hidden="false" customHeight="false" outlineLevel="0" collapsed="false">
      <c r="A3394" s="12" t="n">
        <v>46235</v>
      </c>
      <c r="B3394" s="9" t="s">
        <v>93</v>
      </c>
      <c r="C3394" s="3" t="s">
        <v>107</v>
      </c>
      <c r="D3394" s="3" t="n">
        <v>80054000</v>
      </c>
      <c r="E3394" s="3" t="s">
        <v>114</v>
      </c>
      <c r="F3394" s="3" t="n">
        <f aca="false">IF(C3394="848630",0,1)</f>
        <v>1</v>
      </c>
    </row>
    <row r="3395" customFormat="false" ht="15" hidden="false" customHeight="false" outlineLevel="0" collapsed="false">
      <c r="A3395" s="12" t="n">
        <v>46235</v>
      </c>
      <c r="B3395" s="9" t="s">
        <v>93</v>
      </c>
      <c r="C3395" s="3" t="s">
        <v>107</v>
      </c>
      <c r="D3395" s="3" t="n">
        <v>22580000</v>
      </c>
      <c r="E3395" s="3" t="s">
        <v>114</v>
      </c>
      <c r="F3395" s="3" t="n">
        <f aca="false">IF(C3395="848630",0,1)</f>
        <v>1</v>
      </c>
    </row>
    <row r="3396" customFormat="false" ht="15" hidden="false" customHeight="false" outlineLevel="0" collapsed="false">
      <c r="A3396" s="12" t="n">
        <v>46235</v>
      </c>
      <c r="B3396" s="9" t="s">
        <v>93</v>
      </c>
      <c r="C3396" s="3" t="s">
        <v>107</v>
      </c>
      <c r="D3396" s="3" t="n">
        <v>3510000</v>
      </c>
      <c r="E3396" s="3" t="s">
        <v>114</v>
      </c>
      <c r="F3396" s="3" t="n">
        <f aca="false">IF(C3396="848630",0,1)</f>
        <v>1</v>
      </c>
    </row>
    <row r="3397" customFormat="false" ht="15" hidden="false" customHeight="false" outlineLevel="0" collapsed="false">
      <c r="A3397" s="12" t="n">
        <v>46235</v>
      </c>
      <c r="B3397" s="9" t="s">
        <v>93</v>
      </c>
      <c r="C3397" s="3" t="s">
        <v>107</v>
      </c>
      <c r="D3397" s="3" t="n">
        <v>958000</v>
      </c>
      <c r="E3397" s="3" t="s">
        <v>114</v>
      </c>
      <c r="F3397" s="3" t="n">
        <f aca="false">IF(C3397="848630",0,1)</f>
        <v>1</v>
      </c>
    </row>
    <row r="3398" customFormat="false" ht="15" hidden="false" customHeight="false" outlineLevel="0" collapsed="false">
      <c r="A3398" s="12" t="n">
        <v>46235</v>
      </c>
      <c r="B3398" s="9" t="s">
        <v>93</v>
      </c>
      <c r="C3398" s="3" t="s">
        <v>107</v>
      </c>
      <c r="D3398" s="3" t="n">
        <v>1494000</v>
      </c>
      <c r="E3398" s="3" t="s">
        <v>114</v>
      </c>
      <c r="F3398" s="3" t="n">
        <f aca="false">IF(C3398="848630",0,1)</f>
        <v>1</v>
      </c>
    </row>
    <row r="3399" customFormat="false" ht="15" hidden="false" customHeight="false" outlineLevel="0" collapsed="false">
      <c r="A3399" s="12" t="n">
        <v>46235</v>
      </c>
      <c r="B3399" s="9" t="s">
        <v>93</v>
      </c>
      <c r="C3399" s="3" t="s">
        <v>107</v>
      </c>
      <c r="D3399" s="3" t="n">
        <v>23708000</v>
      </c>
      <c r="E3399" s="3" t="s">
        <v>114</v>
      </c>
      <c r="F3399" s="3" t="n">
        <f aca="false">IF(C3399="848630",0,1)</f>
        <v>1</v>
      </c>
    </row>
    <row r="3400" customFormat="false" ht="15" hidden="false" customHeight="false" outlineLevel="0" collapsed="false">
      <c r="A3400" s="12" t="n">
        <v>46235</v>
      </c>
      <c r="B3400" s="9" t="s">
        <v>93</v>
      </c>
      <c r="C3400" s="3" t="s">
        <v>112</v>
      </c>
      <c r="D3400" s="3" t="n">
        <v>8958000</v>
      </c>
      <c r="E3400" s="3" t="s">
        <v>114</v>
      </c>
      <c r="F3400" s="3" t="n">
        <f aca="false">IF(C3400="848630",0,1)</f>
        <v>0</v>
      </c>
    </row>
    <row r="3401" customFormat="false" ht="15" hidden="false" customHeight="false" outlineLevel="0" collapsed="false">
      <c r="A3401" s="12" t="n">
        <v>46235</v>
      </c>
      <c r="B3401" s="9" t="s">
        <v>93</v>
      </c>
      <c r="C3401" s="3" t="s">
        <v>112</v>
      </c>
      <c r="D3401" s="3" t="n">
        <v>81000</v>
      </c>
      <c r="E3401" s="3" t="s">
        <v>114</v>
      </c>
      <c r="F3401" s="3" t="n">
        <f aca="false">IF(C3401="848630",0,1)</f>
        <v>0</v>
      </c>
    </row>
    <row r="3402" customFormat="false" ht="15" hidden="false" customHeight="false" outlineLevel="0" collapsed="false">
      <c r="A3402" s="12" t="n">
        <v>46235</v>
      </c>
      <c r="B3402" s="9" t="s">
        <v>93</v>
      </c>
      <c r="C3402" s="3" t="s">
        <v>112</v>
      </c>
      <c r="D3402" s="3" t="n">
        <v>24943000</v>
      </c>
      <c r="E3402" s="3" t="s">
        <v>114</v>
      </c>
      <c r="F3402" s="3" t="n">
        <f aca="false">IF(C3402="848630",0,1)</f>
        <v>0</v>
      </c>
    </row>
    <row r="3403" customFormat="false" ht="15" hidden="false" customHeight="false" outlineLevel="0" collapsed="false">
      <c r="A3403" s="12" t="n">
        <v>46235</v>
      </c>
      <c r="B3403" s="9" t="s">
        <v>93</v>
      </c>
      <c r="C3403" s="3" t="s">
        <v>112</v>
      </c>
      <c r="D3403" s="3" t="n">
        <v>44000</v>
      </c>
      <c r="E3403" s="3" t="s">
        <v>114</v>
      </c>
      <c r="F3403" s="3" t="n">
        <f aca="false">IF(C3403="848630",0,1)</f>
        <v>0</v>
      </c>
    </row>
    <row r="3404" customFormat="false" ht="15" hidden="false" customHeight="false" outlineLevel="0" collapsed="false">
      <c r="A3404" s="12" t="n">
        <v>46235</v>
      </c>
      <c r="B3404" s="9" t="s">
        <v>93</v>
      </c>
      <c r="C3404" s="3" t="s">
        <v>108</v>
      </c>
      <c r="D3404" s="3" t="n">
        <v>0</v>
      </c>
      <c r="E3404" s="3" t="s">
        <v>114</v>
      </c>
      <c r="F3404" s="3" t="n">
        <f aca="false">IF(C3404="848630",0,1)</f>
        <v>1</v>
      </c>
    </row>
    <row r="3405" customFormat="false" ht="15" hidden="false" customHeight="false" outlineLevel="0" collapsed="false">
      <c r="A3405" s="12" t="n">
        <v>46235</v>
      </c>
      <c r="B3405" s="9" t="s">
        <v>93</v>
      </c>
      <c r="C3405" s="3" t="s">
        <v>108</v>
      </c>
      <c r="D3405" s="3" t="n">
        <v>2682000</v>
      </c>
      <c r="E3405" s="3" t="s">
        <v>114</v>
      </c>
      <c r="F3405" s="3" t="n">
        <f aca="false">IF(C3405="848630",0,1)</f>
        <v>1</v>
      </c>
    </row>
    <row r="3406" customFormat="false" ht="15" hidden="false" customHeight="false" outlineLevel="0" collapsed="false">
      <c r="A3406" s="12" t="n">
        <v>46235</v>
      </c>
      <c r="B3406" s="9" t="s">
        <v>93</v>
      </c>
      <c r="C3406" s="3" t="s">
        <v>108</v>
      </c>
      <c r="D3406" s="3" t="n">
        <v>0</v>
      </c>
      <c r="E3406" s="3" t="s">
        <v>114</v>
      </c>
      <c r="F3406" s="3" t="n">
        <f aca="false">IF(C3406="848630",0,1)</f>
        <v>1</v>
      </c>
    </row>
    <row r="3407" customFormat="false" ht="15" hidden="false" customHeight="false" outlineLevel="0" collapsed="false">
      <c r="A3407" s="12" t="n">
        <v>46235</v>
      </c>
      <c r="B3407" s="9" t="s">
        <v>93</v>
      </c>
      <c r="C3407" s="3" t="s">
        <v>108</v>
      </c>
      <c r="D3407" s="3" t="n">
        <v>887000</v>
      </c>
      <c r="E3407" s="3" t="s">
        <v>114</v>
      </c>
      <c r="F3407" s="3" t="n">
        <f aca="false">IF(C3407="848630",0,1)</f>
        <v>1</v>
      </c>
    </row>
    <row r="3408" customFormat="false" ht="15" hidden="false" customHeight="false" outlineLevel="0" collapsed="false">
      <c r="A3408" s="12" t="n">
        <v>46235</v>
      </c>
      <c r="B3408" s="9" t="s">
        <v>93</v>
      </c>
      <c r="C3408" s="3" t="s">
        <v>108</v>
      </c>
      <c r="D3408" s="3" t="n">
        <v>0</v>
      </c>
      <c r="E3408" s="3" t="s">
        <v>114</v>
      </c>
      <c r="F3408" s="3" t="n">
        <f aca="false">IF(C3408="848630",0,1)</f>
        <v>1</v>
      </c>
    </row>
    <row r="3409" customFormat="false" ht="15" hidden="false" customHeight="false" outlineLevel="0" collapsed="false">
      <c r="A3409" s="12" t="n">
        <v>46235</v>
      </c>
      <c r="B3409" s="9" t="s">
        <v>93</v>
      </c>
      <c r="C3409" s="3" t="s">
        <v>108</v>
      </c>
      <c r="D3409" s="3" t="n">
        <v>2440000</v>
      </c>
      <c r="E3409" s="3" t="s">
        <v>114</v>
      </c>
      <c r="F3409" s="3" t="n">
        <f aca="false">IF(C3409="848630",0,1)</f>
        <v>1</v>
      </c>
    </row>
    <row r="3410" customFormat="false" ht="15" hidden="false" customHeight="false" outlineLevel="0" collapsed="false">
      <c r="A3410" s="12" t="n">
        <v>46235</v>
      </c>
      <c r="B3410" s="9" t="s">
        <v>93</v>
      </c>
      <c r="C3410" s="3" t="s">
        <v>108</v>
      </c>
      <c r="D3410" s="3" t="n">
        <v>287000</v>
      </c>
      <c r="E3410" s="3" t="s">
        <v>114</v>
      </c>
      <c r="F3410" s="3" t="n">
        <f aca="false">IF(C3410="848630",0,1)</f>
        <v>1</v>
      </c>
    </row>
    <row r="3411" customFormat="false" ht="15" hidden="false" customHeight="false" outlineLevel="0" collapsed="false">
      <c r="A3411" s="12" t="n">
        <v>46235</v>
      </c>
      <c r="B3411" s="9" t="s">
        <v>93</v>
      </c>
      <c r="C3411" s="3" t="s">
        <v>108</v>
      </c>
      <c r="D3411" s="3" t="n">
        <v>1401000</v>
      </c>
      <c r="E3411" s="3" t="s">
        <v>114</v>
      </c>
      <c r="F3411" s="3" t="n">
        <f aca="false">IF(C3411="848630",0,1)</f>
        <v>1</v>
      </c>
    </row>
    <row r="3412" customFormat="false" ht="15" hidden="false" customHeight="false" outlineLevel="0" collapsed="false">
      <c r="A3412" s="12" t="n">
        <v>46235</v>
      </c>
      <c r="B3412" s="9" t="s">
        <v>93</v>
      </c>
      <c r="C3412" s="3" t="s">
        <v>108</v>
      </c>
      <c r="D3412" s="3" t="n">
        <v>696000</v>
      </c>
      <c r="E3412" s="3" t="s">
        <v>114</v>
      </c>
      <c r="F3412" s="3" t="n">
        <f aca="false">IF(C3412="848630",0,1)</f>
        <v>1</v>
      </c>
    </row>
    <row r="3413" customFormat="false" ht="15" hidden="false" customHeight="false" outlineLevel="0" collapsed="false">
      <c r="A3413" s="12" t="n">
        <v>46235</v>
      </c>
      <c r="B3413" s="9" t="s">
        <v>93</v>
      </c>
      <c r="C3413" s="3" t="s">
        <v>108</v>
      </c>
      <c r="D3413" s="3" t="n">
        <v>18122000</v>
      </c>
      <c r="E3413" s="3" t="s">
        <v>114</v>
      </c>
      <c r="F3413" s="3" t="n">
        <f aca="false">IF(C3413="848630",0,1)</f>
        <v>1</v>
      </c>
    </row>
    <row r="3414" customFormat="false" ht="15" hidden="false" customHeight="false" outlineLevel="0" collapsed="false">
      <c r="A3414" s="12" t="n">
        <v>46235</v>
      </c>
      <c r="B3414" s="9" t="s">
        <v>93</v>
      </c>
      <c r="C3414" s="3" t="s">
        <v>108</v>
      </c>
      <c r="D3414" s="3" t="n">
        <v>52000</v>
      </c>
      <c r="E3414" s="3" t="s">
        <v>114</v>
      </c>
      <c r="F3414" s="3" t="n">
        <f aca="false">IF(C3414="848630",0,1)</f>
        <v>1</v>
      </c>
    </row>
    <row r="3415" customFormat="false" ht="15" hidden="false" customHeight="false" outlineLevel="0" collapsed="false">
      <c r="A3415" s="12" t="n">
        <v>46235</v>
      </c>
      <c r="B3415" s="9" t="s">
        <v>93</v>
      </c>
      <c r="C3415" s="3" t="s">
        <v>108</v>
      </c>
      <c r="D3415" s="3" t="n">
        <v>4076000</v>
      </c>
      <c r="E3415" s="3" t="s">
        <v>114</v>
      </c>
      <c r="F3415" s="3" t="n">
        <f aca="false">IF(C3415="848630",0,1)</f>
        <v>1</v>
      </c>
    </row>
    <row r="3416" customFormat="false" ht="15" hidden="false" customHeight="false" outlineLevel="0" collapsed="false">
      <c r="A3416" s="12" t="n">
        <v>46235</v>
      </c>
      <c r="B3416" s="9" t="s">
        <v>93</v>
      </c>
      <c r="C3416" s="3" t="s">
        <v>109</v>
      </c>
      <c r="D3416" s="3" t="n">
        <v>1532000</v>
      </c>
      <c r="E3416" s="3" t="s">
        <v>114</v>
      </c>
      <c r="F3416" s="3" t="n">
        <f aca="false">IF(C3416="848630",0,1)</f>
        <v>1</v>
      </c>
    </row>
    <row r="3417" customFormat="false" ht="15" hidden="false" customHeight="false" outlineLevel="0" collapsed="false">
      <c r="A3417" s="12" t="n">
        <v>46235</v>
      </c>
      <c r="B3417" s="9" t="s">
        <v>93</v>
      </c>
      <c r="C3417" s="3" t="s">
        <v>109</v>
      </c>
      <c r="D3417" s="3" t="n">
        <v>31749000</v>
      </c>
      <c r="E3417" s="3" t="s">
        <v>114</v>
      </c>
      <c r="F3417" s="3" t="n">
        <f aca="false">IF(C3417="848630",0,1)</f>
        <v>1</v>
      </c>
    </row>
    <row r="3418" customFormat="false" ht="15" hidden="false" customHeight="false" outlineLevel="0" collapsed="false">
      <c r="A3418" s="12" t="n">
        <v>46235</v>
      </c>
      <c r="B3418" s="9" t="s">
        <v>93</v>
      </c>
      <c r="C3418" s="3" t="s">
        <v>109</v>
      </c>
      <c r="D3418" s="3" t="n">
        <v>59661000</v>
      </c>
      <c r="E3418" s="3" t="s">
        <v>114</v>
      </c>
      <c r="F3418" s="3" t="n">
        <f aca="false">IF(C3418="848630",0,1)</f>
        <v>1</v>
      </c>
    </row>
    <row r="3419" customFormat="false" ht="15" hidden="false" customHeight="false" outlineLevel="0" collapsed="false">
      <c r="A3419" s="12" t="n">
        <v>46235</v>
      </c>
      <c r="B3419" s="9" t="s">
        <v>93</v>
      </c>
      <c r="C3419" s="3" t="s">
        <v>109</v>
      </c>
      <c r="D3419" s="3" t="n">
        <v>13972000</v>
      </c>
      <c r="E3419" s="3" t="s">
        <v>114</v>
      </c>
      <c r="F3419" s="3" t="n">
        <f aca="false">IF(C3419="848630",0,1)</f>
        <v>1</v>
      </c>
    </row>
    <row r="3420" customFormat="false" ht="15" hidden="false" customHeight="false" outlineLevel="0" collapsed="false">
      <c r="A3420" s="12" t="n">
        <v>46235</v>
      </c>
      <c r="B3420" s="9" t="s">
        <v>93</v>
      </c>
      <c r="C3420" s="3" t="s">
        <v>109</v>
      </c>
      <c r="D3420" s="3" t="n">
        <v>188000</v>
      </c>
      <c r="E3420" s="3" t="s">
        <v>114</v>
      </c>
      <c r="F3420" s="3" t="n">
        <f aca="false">IF(C3420="848630",0,1)</f>
        <v>1</v>
      </c>
    </row>
    <row r="3421" customFormat="false" ht="15" hidden="false" customHeight="false" outlineLevel="0" collapsed="false">
      <c r="A3421" s="12" t="n">
        <v>46235</v>
      </c>
      <c r="B3421" s="9" t="s">
        <v>93</v>
      </c>
      <c r="C3421" s="3" t="s">
        <v>109</v>
      </c>
      <c r="D3421" s="3" t="n">
        <v>2887000</v>
      </c>
      <c r="E3421" s="3" t="s">
        <v>114</v>
      </c>
      <c r="F3421" s="3" t="n">
        <f aca="false">IF(C3421="848630",0,1)</f>
        <v>1</v>
      </c>
    </row>
    <row r="3422" customFormat="false" ht="15" hidden="false" customHeight="false" outlineLevel="0" collapsed="false">
      <c r="A3422" s="12" t="n">
        <v>46235</v>
      </c>
      <c r="B3422" s="9" t="s">
        <v>93</v>
      </c>
      <c r="C3422" s="3" t="s">
        <v>109</v>
      </c>
      <c r="D3422" s="3" t="n">
        <v>563000</v>
      </c>
      <c r="E3422" s="3" t="s">
        <v>114</v>
      </c>
      <c r="F3422" s="3" t="n">
        <f aca="false">IF(C3422="848630",0,1)</f>
        <v>1</v>
      </c>
    </row>
    <row r="3423" customFormat="false" ht="15" hidden="false" customHeight="false" outlineLevel="0" collapsed="false">
      <c r="A3423" s="12" t="n">
        <v>46235</v>
      </c>
      <c r="B3423" s="9" t="s">
        <v>93</v>
      </c>
      <c r="C3423" s="3" t="s">
        <v>109</v>
      </c>
      <c r="D3423" s="3" t="n">
        <v>10076000</v>
      </c>
      <c r="E3423" s="3" t="s">
        <v>114</v>
      </c>
      <c r="F3423" s="3" t="n">
        <f aca="false">IF(C3423="848630",0,1)</f>
        <v>1</v>
      </c>
    </row>
    <row r="3424" customFormat="false" ht="15" hidden="false" customHeight="false" outlineLevel="0" collapsed="false">
      <c r="A3424" s="12" t="n">
        <v>46235</v>
      </c>
      <c r="B3424" s="9" t="s">
        <v>93</v>
      </c>
      <c r="C3424" s="3" t="s">
        <v>110</v>
      </c>
      <c r="D3424" s="3" t="n">
        <v>98575000</v>
      </c>
      <c r="E3424" s="3" t="s">
        <v>114</v>
      </c>
      <c r="F3424" s="3" t="n">
        <f aca="false">IF(C3424="848630",0,1)</f>
        <v>1</v>
      </c>
    </row>
    <row r="3425" customFormat="false" ht="15" hidden="false" customHeight="false" outlineLevel="0" collapsed="false">
      <c r="A3425" s="12" t="n">
        <v>46235</v>
      </c>
      <c r="B3425" s="9" t="s">
        <v>93</v>
      </c>
      <c r="C3425" s="3" t="s">
        <v>111</v>
      </c>
      <c r="D3425" s="3" t="n">
        <v>0</v>
      </c>
      <c r="E3425" s="3" t="s">
        <v>114</v>
      </c>
      <c r="F3425" s="3" t="n">
        <f aca="false">IF(C3425="848630",0,1)</f>
        <v>1</v>
      </c>
    </row>
    <row r="3426" customFormat="false" ht="15" hidden="false" customHeight="false" outlineLevel="0" collapsed="false">
      <c r="A3426" s="12" t="n">
        <v>46235</v>
      </c>
      <c r="B3426" s="9" t="s">
        <v>93</v>
      </c>
      <c r="C3426" s="3" t="s">
        <v>111</v>
      </c>
      <c r="D3426" s="3" t="n">
        <v>23720000</v>
      </c>
      <c r="E3426" s="3" t="s">
        <v>114</v>
      </c>
      <c r="F3426" s="3" t="n">
        <f aca="false">IF(C3426="848630",0,1)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3" min="2" style="0" width="14"/>
  </cols>
  <sheetData>
    <row r="1" customFormat="false" ht="15" hidden="false" customHeight="false" outlineLevel="0" collapsed="false">
      <c r="A1" s="4" t="s">
        <v>115</v>
      </c>
      <c r="B1" s="1" t="s">
        <v>116</v>
      </c>
      <c r="C1" s="4" t="s">
        <v>117</v>
      </c>
      <c r="D1" s="4" t="s">
        <v>118</v>
      </c>
    </row>
    <row r="2" customFormat="false" ht="15" hidden="false" customHeight="false" outlineLevel="0" collapsed="false">
      <c r="A2" s="12" t="n">
        <v>44927</v>
      </c>
      <c r="B2" s="3" t="s">
        <v>119</v>
      </c>
      <c r="C2" s="3" t="n">
        <v>491979231</v>
      </c>
      <c r="D2" s="9" t="s">
        <v>120</v>
      </c>
    </row>
    <row r="3" customFormat="false" ht="15" hidden="false" customHeight="false" outlineLevel="0" collapsed="false">
      <c r="A3" s="12" t="n">
        <v>44958</v>
      </c>
      <c r="B3" s="3" t="s">
        <v>119</v>
      </c>
      <c r="C3" s="3" t="n">
        <v>504745637</v>
      </c>
      <c r="D3" s="9" t="s">
        <v>120</v>
      </c>
    </row>
    <row r="4" customFormat="false" ht="15" hidden="false" customHeight="false" outlineLevel="0" collapsed="false">
      <c r="A4" s="12" t="n">
        <v>44986</v>
      </c>
      <c r="B4" s="3" t="s">
        <v>119</v>
      </c>
      <c r="C4" s="3" t="n">
        <v>502856760</v>
      </c>
      <c r="D4" s="9" t="s">
        <v>120</v>
      </c>
    </row>
    <row r="5" customFormat="false" ht="15" hidden="false" customHeight="false" outlineLevel="0" collapsed="false">
      <c r="A5" s="12" t="n">
        <v>45017</v>
      </c>
      <c r="B5" s="3" t="s">
        <v>119</v>
      </c>
      <c r="C5" s="3" t="n">
        <v>344651016</v>
      </c>
      <c r="D5" s="9" t="s">
        <v>120</v>
      </c>
    </row>
    <row r="6" customFormat="false" ht="15" hidden="false" customHeight="false" outlineLevel="0" collapsed="false">
      <c r="A6" s="12" t="n">
        <v>45047</v>
      </c>
      <c r="B6" s="3" t="s">
        <v>119</v>
      </c>
      <c r="C6" s="3" t="n">
        <v>478045743</v>
      </c>
      <c r="D6" s="9" t="s">
        <v>120</v>
      </c>
    </row>
    <row r="7" customFormat="false" ht="15" hidden="false" customHeight="false" outlineLevel="0" collapsed="false">
      <c r="A7" s="12" t="n">
        <v>45078</v>
      </c>
      <c r="B7" s="3" t="s">
        <v>119</v>
      </c>
      <c r="C7" s="3" t="n">
        <v>296115358</v>
      </c>
      <c r="D7" s="9" t="s">
        <v>120</v>
      </c>
    </row>
    <row r="8" customFormat="false" ht="15" hidden="false" customHeight="false" outlineLevel="0" collapsed="false">
      <c r="A8" s="12" t="n">
        <v>45108</v>
      </c>
      <c r="B8" s="3" t="s">
        <v>119</v>
      </c>
      <c r="C8" s="3" t="n">
        <v>281048307</v>
      </c>
      <c r="D8" s="9" t="s">
        <v>120</v>
      </c>
    </row>
    <row r="9" customFormat="false" ht="15" hidden="false" customHeight="false" outlineLevel="0" collapsed="false">
      <c r="A9" s="12" t="n">
        <v>45139</v>
      </c>
      <c r="B9" s="3" t="s">
        <v>119</v>
      </c>
      <c r="C9" s="3" t="n">
        <v>167344017</v>
      </c>
      <c r="D9" s="9" t="s">
        <v>120</v>
      </c>
    </row>
    <row r="10" customFormat="false" ht="15" hidden="false" customHeight="false" outlineLevel="0" collapsed="false">
      <c r="A10" s="12" t="n">
        <v>45170</v>
      </c>
      <c r="B10" s="3" t="s">
        <v>119</v>
      </c>
      <c r="C10" s="3" t="n">
        <v>181885144</v>
      </c>
      <c r="D10" s="9" t="s">
        <v>120</v>
      </c>
    </row>
    <row r="11" customFormat="false" ht="15" hidden="false" customHeight="false" outlineLevel="0" collapsed="false">
      <c r="A11" s="12" t="n">
        <v>45200</v>
      </c>
      <c r="B11" s="3" t="s">
        <v>119</v>
      </c>
      <c r="C11" s="3" t="n">
        <v>236236817</v>
      </c>
      <c r="D11" s="9" t="s">
        <v>120</v>
      </c>
    </row>
    <row r="12" customFormat="false" ht="15" hidden="false" customHeight="false" outlineLevel="0" collapsed="false">
      <c r="A12" s="12" t="n">
        <v>45231</v>
      </c>
      <c r="B12" s="3" t="s">
        <v>119</v>
      </c>
      <c r="C12" s="3" t="n">
        <v>236798470</v>
      </c>
      <c r="D12" s="9" t="s">
        <v>120</v>
      </c>
    </row>
    <row r="13" customFormat="false" ht="15" hidden="false" customHeight="false" outlineLevel="0" collapsed="false">
      <c r="A13" s="12" t="n">
        <v>45261</v>
      </c>
      <c r="B13" s="3" t="s">
        <v>119</v>
      </c>
      <c r="C13" s="3" t="n">
        <v>292221271</v>
      </c>
      <c r="D13" s="9" t="s">
        <v>120</v>
      </c>
    </row>
    <row r="14" customFormat="false" ht="15" hidden="false" customHeight="false" outlineLevel="0" collapsed="false">
      <c r="A14" s="12" t="n">
        <v>45292</v>
      </c>
      <c r="B14" s="3" t="s">
        <v>119</v>
      </c>
      <c r="C14" s="3" t="n">
        <v>257692564</v>
      </c>
      <c r="D14" s="9" t="s">
        <v>120</v>
      </c>
    </row>
    <row r="15" customFormat="false" ht="15" hidden="false" customHeight="false" outlineLevel="0" collapsed="false">
      <c r="A15" s="12" t="n">
        <v>45323</v>
      </c>
      <c r="B15" s="3" t="s">
        <v>119</v>
      </c>
      <c r="C15" s="3" t="n">
        <v>202843270</v>
      </c>
      <c r="D15" s="9" t="s">
        <v>120</v>
      </c>
    </row>
    <row r="16" customFormat="false" ht="15" hidden="false" customHeight="false" outlineLevel="0" collapsed="false">
      <c r="A16" s="12" t="n">
        <v>45352</v>
      </c>
      <c r="B16" s="3" t="s">
        <v>119</v>
      </c>
      <c r="C16" s="3" t="n">
        <v>321322461</v>
      </c>
      <c r="D16" s="9" t="s">
        <v>120</v>
      </c>
    </row>
    <row r="17" customFormat="false" ht="15" hidden="false" customHeight="false" outlineLevel="0" collapsed="false">
      <c r="A17" s="12" t="n">
        <v>45383</v>
      </c>
      <c r="B17" s="3" t="s">
        <v>119</v>
      </c>
      <c r="C17" s="3" t="n">
        <v>476701988</v>
      </c>
      <c r="D17" s="9" t="s">
        <v>120</v>
      </c>
    </row>
    <row r="18" customFormat="false" ht="15" hidden="false" customHeight="false" outlineLevel="0" collapsed="false">
      <c r="A18" s="12" t="n">
        <v>45413</v>
      </c>
      <c r="B18" s="3" t="s">
        <v>119</v>
      </c>
      <c r="C18" s="3" t="n">
        <v>261502165</v>
      </c>
      <c r="D18" s="9" t="s">
        <v>120</v>
      </c>
    </row>
    <row r="19" customFormat="false" ht="15" hidden="false" customHeight="false" outlineLevel="0" collapsed="false">
      <c r="A19" s="12" t="n">
        <v>45444</v>
      </c>
      <c r="B19" s="3" t="s">
        <v>119</v>
      </c>
      <c r="C19" s="3" t="n">
        <v>401189320</v>
      </c>
      <c r="D19" s="9" t="s">
        <v>120</v>
      </c>
    </row>
    <row r="20" customFormat="false" ht="15" hidden="false" customHeight="false" outlineLevel="0" collapsed="false">
      <c r="A20" s="12" t="n">
        <v>45474</v>
      </c>
      <c r="B20" s="3" t="s">
        <v>119</v>
      </c>
      <c r="C20" s="3" t="n">
        <v>478422539</v>
      </c>
      <c r="D20" s="9" t="s">
        <v>120</v>
      </c>
    </row>
    <row r="21" customFormat="false" ht="15" hidden="false" customHeight="false" outlineLevel="0" collapsed="false">
      <c r="A21" s="12" t="n">
        <v>45505</v>
      </c>
      <c r="B21" s="3" t="s">
        <v>119</v>
      </c>
      <c r="C21" s="3" t="n">
        <v>327945386</v>
      </c>
      <c r="D21" s="9" t="s">
        <v>120</v>
      </c>
    </row>
    <row r="22" customFormat="false" ht="15" hidden="false" customHeight="false" outlineLevel="0" collapsed="false">
      <c r="A22" s="12" t="n">
        <v>45536</v>
      </c>
      <c r="B22" s="3" t="s">
        <v>119</v>
      </c>
      <c r="C22" s="3" t="n">
        <v>375366513</v>
      </c>
      <c r="D22" s="9" t="s">
        <v>120</v>
      </c>
    </row>
    <row r="23" customFormat="false" ht="15" hidden="false" customHeight="false" outlineLevel="0" collapsed="false">
      <c r="A23" s="12" t="n">
        <v>45566</v>
      </c>
      <c r="B23" s="3" t="s">
        <v>119</v>
      </c>
      <c r="C23" s="3" t="n">
        <v>361868627</v>
      </c>
      <c r="D23" s="9" t="s">
        <v>120</v>
      </c>
    </row>
    <row r="24" customFormat="false" ht="15" hidden="false" customHeight="false" outlineLevel="0" collapsed="false">
      <c r="A24" s="12" t="n">
        <v>45597</v>
      </c>
      <c r="B24" s="3" t="s">
        <v>119</v>
      </c>
      <c r="C24" s="3" t="n">
        <v>397543635</v>
      </c>
      <c r="D24" s="9" t="s">
        <v>120</v>
      </c>
    </row>
    <row r="25" customFormat="false" ht="15" hidden="false" customHeight="false" outlineLevel="0" collapsed="false">
      <c r="A25" s="12" t="n">
        <v>45627</v>
      </c>
      <c r="B25" s="3" t="s">
        <v>119</v>
      </c>
      <c r="C25" s="3" t="n">
        <v>672526032</v>
      </c>
      <c r="D25" s="9" t="s">
        <v>120</v>
      </c>
    </row>
    <row r="26" customFormat="false" ht="15" hidden="false" customHeight="false" outlineLevel="0" collapsed="false">
      <c r="A26" s="12" t="n">
        <v>45658</v>
      </c>
      <c r="B26" s="3" t="s">
        <v>119</v>
      </c>
      <c r="C26" s="3" t="n">
        <v>368188866</v>
      </c>
      <c r="D26" s="9" t="s">
        <v>120</v>
      </c>
    </row>
    <row r="27" customFormat="false" ht="15" hidden="false" customHeight="false" outlineLevel="0" collapsed="false">
      <c r="A27" s="12" t="n">
        <v>45689</v>
      </c>
      <c r="B27" s="3" t="s">
        <v>119</v>
      </c>
      <c r="C27" s="3" t="n">
        <v>603694414</v>
      </c>
      <c r="D27" s="9" t="s">
        <v>120</v>
      </c>
    </row>
    <row r="28" customFormat="false" ht="15" hidden="false" customHeight="false" outlineLevel="0" collapsed="false">
      <c r="A28" s="12" t="n">
        <v>45717</v>
      </c>
      <c r="B28" s="3" t="s">
        <v>119</v>
      </c>
      <c r="C28" s="3" t="n">
        <v>867596063</v>
      </c>
      <c r="D28" s="9" t="s">
        <v>120</v>
      </c>
    </row>
    <row r="29" customFormat="false" ht="15" hidden="false" customHeight="false" outlineLevel="0" collapsed="false">
      <c r="A29" s="12" t="n">
        <v>45748</v>
      </c>
      <c r="B29" s="3" t="s">
        <v>119</v>
      </c>
      <c r="C29" s="3" t="n">
        <v>661414543</v>
      </c>
      <c r="D29" s="9" t="s">
        <v>120</v>
      </c>
    </row>
    <row r="30" customFormat="false" ht="15" hidden="false" customHeight="false" outlineLevel="0" collapsed="false">
      <c r="A30" s="12" t="n">
        <v>45778</v>
      </c>
      <c r="B30" s="3" t="s">
        <v>119</v>
      </c>
      <c r="C30" s="3" t="n">
        <v>564960939</v>
      </c>
      <c r="D30" s="9" t="s">
        <v>120</v>
      </c>
    </row>
    <row r="31" customFormat="false" ht="15" hidden="false" customHeight="false" outlineLevel="0" collapsed="false">
      <c r="A31" s="12" t="n">
        <v>45809</v>
      </c>
      <c r="B31" s="3" t="s">
        <v>119</v>
      </c>
      <c r="C31" s="3" t="n">
        <v>674719358</v>
      </c>
      <c r="D31" s="9" t="s">
        <v>120</v>
      </c>
    </row>
    <row r="32" customFormat="false" ht="15" hidden="false" customHeight="false" outlineLevel="0" collapsed="false">
      <c r="A32" s="12" t="n">
        <v>45839</v>
      </c>
      <c r="B32" s="3" t="s">
        <v>119</v>
      </c>
      <c r="C32" s="3" t="n">
        <v>481458420</v>
      </c>
      <c r="D32" s="9" t="s">
        <v>120</v>
      </c>
    </row>
    <row r="33" customFormat="false" ht="15" hidden="false" customHeight="false" outlineLevel="0" collapsed="false">
      <c r="A33" s="12" t="n">
        <v>45870</v>
      </c>
      <c r="B33" s="3" t="s">
        <v>119</v>
      </c>
      <c r="C33" s="3" t="n">
        <v>557244542</v>
      </c>
      <c r="D33" s="9" t="s">
        <v>120</v>
      </c>
    </row>
    <row r="34" customFormat="false" ht="15" hidden="false" customHeight="false" outlineLevel="0" collapsed="false">
      <c r="A34" s="12" t="n">
        <v>45901</v>
      </c>
      <c r="B34" s="3" t="s">
        <v>119</v>
      </c>
      <c r="C34" s="3" t="n">
        <v>443259531</v>
      </c>
      <c r="D34" s="9" t="s">
        <v>120</v>
      </c>
    </row>
    <row r="35" customFormat="false" ht="15" hidden="false" customHeight="false" outlineLevel="0" collapsed="false">
      <c r="A35" s="12" t="n">
        <v>45931</v>
      </c>
      <c r="B35" s="3" t="s">
        <v>119</v>
      </c>
      <c r="C35" s="3" t="n">
        <v>411374962</v>
      </c>
      <c r="D35" s="9" t="s">
        <v>120</v>
      </c>
    </row>
    <row r="36" customFormat="false" ht="15" hidden="false" customHeight="false" outlineLevel="0" collapsed="false">
      <c r="A36" s="12" t="n">
        <v>45962</v>
      </c>
      <c r="B36" s="3" t="s">
        <v>119</v>
      </c>
      <c r="C36" s="3" t="n">
        <v>688542985</v>
      </c>
      <c r="D36" s="9" t="s">
        <v>120</v>
      </c>
    </row>
    <row r="37" customFormat="false" ht="15" hidden="false" customHeight="false" outlineLevel="0" collapsed="false">
      <c r="A37" s="12" t="n">
        <v>45992</v>
      </c>
      <c r="B37" s="3" t="s">
        <v>119</v>
      </c>
      <c r="C37" s="3" t="n">
        <v>624896334</v>
      </c>
      <c r="D37" s="9" t="s">
        <v>120</v>
      </c>
    </row>
    <row r="38" customFormat="false" ht="15" hidden="false" customHeight="false" outlineLevel="0" collapsed="false">
      <c r="A38" s="12" t="n">
        <v>46023</v>
      </c>
      <c r="B38" s="3" t="s">
        <v>119</v>
      </c>
      <c r="C38" s="3" t="n">
        <v>470215956</v>
      </c>
      <c r="D38" s="9" t="s">
        <v>120</v>
      </c>
    </row>
    <row r="39" customFormat="false" ht="15" hidden="false" customHeight="false" outlineLevel="0" collapsed="false">
      <c r="A39" s="12" t="n">
        <v>46054</v>
      </c>
      <c r="B39" s="3" t="s">
        <v>119</v>
      </c>
      <c r="C39" s="3" t="n">
        <v>455342721</v>
      </c>
      <c r="D39" s="9" t="s">
        <v>120</v>
      </c>
    </row>
    <row r="40" customFormat="false" ht="15" hidden="false" customHeight="false" outlineLevel="0" collapsed="false">
      <c r="A40" s="12" t="n">
        <v>46082</v>
      </c>
      <c r="B40" s="3" t="s">
        <v>119</v>
      </c>
      <c r="C40" s="3" t="n">
        <v>871080489</v>
      </c>
      <c r="D40" s="9" t="s">
        <v>120</v>
      </c>
    </row>
    <row r="41" customFormat="false" ht="15" hidden="false" customHeight="false" outlineLevel="0" collapsed="false">
      <c r="A41" s="12" t="n">
        <v>46113</v>
      </c>
      <c r="B41" s="3" t="s">
        <v>119</v>
      </c>
      <c r="C41" s="3" t="n">
        <v>699231649</v>
      </c>
      <c r="D41" s="9" t="s">
        <v>120</v>
      </c>
    </row>
    <row r="42" customFormat="false" ht="15" hidden="false" customHeight="false" outlineLevel="0" collapsed="false">
      <c r="A42" s="12" t="n">
        <v>46143</v>
      </c>
      <c r="B42" s="3" t="s">
        <v>119</v>
      </c>
      <c r="C42" s="3" t="n">
        <v>561532252</v>
      </c>
      <c r="D42" s="9" t="s">
        <v>120</v>
      </c>
    </row>
    <row r="43" customFormat="false" ht="15" hidden="false" customHeight="false" outlineLevel="0" collapsed="false">
      <c r="A43" s="12" t="n">
        <v>46174</v>
      </c>
      <c r="B43" s="3" t="s">
        <v>119</v>
      </c>
      <c r="C43" s="3" t="n">
        <v>973012182</v>
      </c>
      <c r="D43" s="9" t="s">
        <v>120</v>
      </c>
    </row>
    <row r="44" customFormat="false" ht="15" hidden="false" customHeight="false" outlineLevel="0" collapsed="false">
      <c r="A44" s="12" t="n">
        <v>46204</v>
      </c>
      <c r="B44" s="3" t="s">
        <v>119</v>
      </c>
      <c r="C44" s="3" t="n">
        <v>718801408</v>
      </c>
      <c r="D44" s="9" t="s">
        <v>120</v>
      </c>
    </row>
    <row r="45" customFormat="false" ht="15" hidden="false" customHeight="false" outlineLevel="0" collapsed="false">
      <c r="A45" s="12" t="n">
        <v>46235</v>
      </c>
      <c r="B45" s="3" t="s">
        <v>119</v>
      </c>
      <c r="C45" s="3" t="n">
        <v>651926933</v>
      </c>
      <c r="D45" s="9" t="s">
        <v>120</v>
      </c>
    </row>
    <row r="46" customFormat="false" ht="15" hidden="false" customHeight="false" outlineLevel="0" collapsed="false">
      <c r="A46" s="12" t="n">
        <v>44927</v>
      </c>
      <c r="B46" s="3" t="s">
        <v>121</v>
      </c>
      <c r="C46" s="3"/>
      <c r="D46" s="9" t="s">
        <v>122</v>
      </c>
    </row>
    <row r="47" customFormat="false" ht="15" hidden="false" customHeight="false" outlineLevel="0" collapsed="false">
      <c r="A47" s="12" t="n">
        <v>44958</v>
      </c>
      <c r="B47" s="3" t="s">
        <v>121</v>
      </c>
      <c r="C47" s="3"/>
      <c r="D47" s="9" t="s">
        <v>122</v>
      </c>
    </row>
    <row r="48" customFormat="false" ht="15" hidden="false" customHeight="false" outlineLevel="0" collapsed="false">
      <c r="A48" s="12" t="n">
        <v>44986</v>
      </c>
      <c r="B48" s="3" t="s">
        <v>121</v>
      </c>
      <c r="C48" s="3"/>
      <c r="D48" s="9" t="s">
        <v>122</v>
      </c>
    </row>
    <row r="49" customFormat="false" ht="15" hidden="false" customHeight="false" outlineLevel="0" collapsed="false">
      <c r="A49" s="12" t="n">
        <v>45017</v>
      </c>
      <c r="B49" s="3" t="s">
        <v>121</v>
      </c>
      <c r="C49" s="3"/>
      <c r="D49" s="9" t="s">
        <v>122</v>
      </c>
    </row>
    <row r="50" customFormat="false" ht="15" hidden="false" customHeight="false" outlineLevel="0" collapsed="false">
      <c r="A50" s="12" t="n">
        <v>45047</v>
      </c>
      <c r="B50" s="3" t="s">
        <v>121</v>
      </c>
      <c r="C50" s="3"/>
      <c r="D50" s="9" t="s">
        <v>122</v>
      </c>
    </row>
    <row r="51" customFormat="false" ht="15" hidden="false" customHeight="false" outlineLevel="0" collapsed="false">
      <c r="A51" s="12" t="n">
        <v>45078</v>
      </c>
      <c r="B51" s="3" t="s">
        <v>121</v>
      </c>
      <c r="C51" s="3"/>
      <c r="D51" s="9" t="s">
        <v>122</v>
      </c>
    </row>
    <row r="52" customFormat="false" ht="15" hidden="false" customHeight="false" outlineLevel="0" collapsed="false">
      <c r="A52" s="12" t="n">
        <v>45108</v>
      </c>
      <c r="B52" s="3" t="s">
        <v>121</v>
      </c>
      <c r="C52" s="3"/>
      <c r="D52" s="9" t="s">
        <v>122</v>
      </c>
    </row>
    <row r="53" customFormat="false" ht="15" hidden="false" customHeight="false" outlineLevel="0" collapsed="false">
      <c r="A53" s="12" t="n">
        <v>45139</v>
      </c>
      <c r="B53" s="3" t="s">
        <v>121</v>
      </c>
      <c r="C53" s="3"/>
      <c r="D53" s="9" t="s">
        <v>122</v>
      </c>
    </row>
    <row r="54" customFormat="false" ht="15" hidden="false" customHeight="false" outlineLevel="0" collapsed="false">
      <c r="A54" s="12" t="n">
        <v>45170</v>
      </c>
      <c r="B54" s="3" t="s">
        <v>121</v>
      </c>
      <c r="C54" s="3"/>
      <c r="D54" s="9" t="s">
        <v>122</v>
      </c>
    </row>
    <row r="55" customFormat="false" ht="15" hidden="false" customHeight="false" outlineLevel="0" collapsed="false">
      <c r="A55" s="12" t="n">
        <v>45200</v>
      </c>
      <c r="B55" s="3" t="s">
        <v>121</v>
      </c>
      <c r="C55" s="3"/>
      <c r="D55" s="9" t="s">
        <v>122</v>
      </c>
    </row>
    <row r="56" customFormat="false" ht="15" hidden="false" customHeight="false" outlineLevel="0" collapsed="false">
      <c r="A56" s="12" t="n">
        <v>45231</v>
      </c>
      <c r="B56" s="3" t="s">
        <v>121</v>
      </c>
      <c r="C56" s="3"/>
      <c r="D56" s="9" t="s">
        <v>122</v>
      </c>
    </row>
    <row r="57" customFormat="false" ht="15" hidden="false" customHeight="false" outlineLevel="0" collapsed="false">
      <c r="A57" s="12" t="n">
        <v>45261</v>
      </c>
      <c r="B57" s="3" t="s">
        <v>121</v>
      </c>
      <c r="C57" s="3"/>
      <c r="D57" s="9" t="s">
        <v>122</v>
      </c>
    </row>
    <row r="58" customFormat="false" ht="15" hidden="false" customHeight="false" outlineLevel="0" collapsed="false">
      <c r="A58" s="12" t="n">
        <v>45292</v>
      </c>
      <c r="B58" s="3" t="s">
        <v>121</v>
      </c>
      <c r="C58" s="3"/>
      <c r="D58" s="9" t="s">
        <v>122</v>
      </c>
    </row>
    <row r="59" customFormat="false" ht="15" hidden="false" customHeight="false" outlineLevel="0" collapsed="false">
      <c r="A59" s="12" t="n">
        <v>45323</v>
      </c>
      <c r="B59" s="3" t="s">
        <v>121</v>
      </c>
      <c r="C59" s="3"/>
      <c r="D59" s="9" t="s">
        <v>122</v>
      </c>
    </row>
    <row r="60" customFormat="false" ht="15" hidden="false" customHeight="false" outlineLevel="0" collapsed="false">
      <c r="A60" s="12" t="n">
        <v>45352</v>
      </c>
      <c r="B60" s="3" t="s">
        <v>121</v>
      </c>
      <c r="C60" s="3"/>
      <c r="D60" s="9" t="s">
        <v>122</v>
      </c>
    </row>
    <row r="61" customFormat="false" ht="15" hidden="false" customHeight="false" outlineLevel="0" collapsed="false">
      <c r="A61" s="12" t="n">
        <v>45383</v>
      </c>
      <c r="B61" s="3" t="s">
        <v>121</v>
      </c>
      <c r="C61" s="3"/>
      <c r="D61" s="9" t="s">
        <v>122</v>
      </c>
    </row>
    <row r="62" customFormat="false" ht="15" hidden="false" customHeight="false" outlineLevel="0" collapsed="false">
      <c r="A62" s="12" t="n">
        <v>45413</v>
      </c>
      <c r="B62" s="3" t="s">
        <v>121</v>
      </c>
      <c r="C62" s="3"/>
      <c r="D62" s="9" t="s">
        <v>122</v>
      </c>
    </row>
    <row r="63" customFormat="false" ht="15" hidden="false" customHeight="false" outlineLevel="0" collapsed="false">
      <c r="A63" s="12" t="n">
        <v>45444</v>
      </c>
      <c r="B63" s="3" t="s">
        <v>121</v>
      </c>
      <c r="C63" s="3" t="n">
        <v>27196939</v>
      </c>
      <c r="D63" s="9" t="s">
        <v>120</v>
      </c>
    </row>
    <row r="64" customFormat="false" ht="15" hidden="false" customHeight="false" outlineLevel="0" collapsed="false">
      <c r="A64" s="12" t="n">
        <v>45474</v>
      </c>
      <c r="B64" s="3" t="s">
        <v>121</v>
      </c>
      <c r="C64" s="3" t="n">
        <v>20619906</v>
      </c>
      <c r="D64" s="9" t="s">
        <v>120</v>
      </c>
    </row>
    <row r="65" customFormat="false" ht="15" hidden="false" customHeight="false" outlineLevel="0" collapsed="false">
      <c r="A65" s="12" t="n">
        <v>45505</v>
      </c>
      <c r="B65" s="3" t="s">
        <v>121</v>
      </c>
      <c r="C65" s="3" t="n">
        <v>37486776</v>
      </c>
      <c r="D65" s="9" t="s">
        <v>120</v>
      </c>
    </row>
    <row r="66" customFormat="false" ht="15" hidden="false" customHeight="false" outlineLevel="0" collapsed="false">
      <c r="A66" s="12" t="n">
        <v>45536</v>
      </c>
      <c r="B66" s="3" t="s">
        <v>121</v>
      </c>
      <c r="C66" s="3" t="n">
        <v>24835115</v>
      </c>
      <c r="D66" s="9" t="s">
        <v>120</v>
      </c>
    </row>
    <row r="67" customFormat="false" ht="15" hidden="false" customHeight="false" outlineLevel="0" collapsed="false">
      <c r="A67" s="12" t="n">
        <v>45566</v>
      </c>
      <c r="B67" s="3" t="s">
        <v>121</v>
      </c>
      <c r="C67" s="3" t="n">
        <v>25536228</v>
      </c>
      <c r="D67" s="9" t="s">
        <v>120</v>
      </c>
    </row>
    <row r="68" customFormat="false" ht="15" hidden="false" customHeight="false" outlineLevel="0" collapsed="false">
      <c r="A68" s="12" t="n">
        <v>45597</v>
      </c>
      <c r="B68" s="3" t="s">
        <v>121</v>
      </c>
      <c r="C68" s="3" t="n">
        <v>32748896</v>
      </c>
      <c r="D68" s="9" t="s">
        <v>120</v>
      </c>
    </row>
    <row r="69" customFormat="false" ht="15" hidden="false" customHeight="false" outlineLevel="0" collapsed="false">
      <c r="A69" s="12" t="n">
        <v>45627</v>
      </c>
      <c r="B69" s="3" t="s">
        <v>121</v>
      </c>
      <c r="C69" s="3" t="n">
        <v>42504342</v>
      </c>
      <c r="D69" s="9" t="s">
        <v>120</v>
      </c>
    </row>
    <row r="70" customFormat="false" ht="15" hidden="false" customHeight="false" outlineLevel="0" collapsed="false">
      <c r="A70" s="12" t="n">
        <v>45658</v>
      </c>
      <c r="B70" s="3" t="s">
        <v>121</v>
      </c>
      <c r="C70" s="3" t="n">
        <v>27950441</v>
      </c>
      <c r="D70" s="9" t="s">
        <v>120</v>
      </c>
    </row>
    <row r="71" customFormat="false" ht="15" hidden="false" customHeight="false" outlineLevel="0" collapsed="false">
      <c r="A71" s="12" t="n">
        <v>45689</v>
      </c>
      <c r="B71" s="3" t="s">
        <v>121</v>
      </c>
      <c r="C71" s="3" t="n">
        <v>41377266</v>
      </c>
      <c r="D71" s="9" t="s">
        <v>120</v>
      </c>
    </row>
    <row r="72" customFormat="false" ht="15" hidden="false" customHeight="false" outlineLevel="0" collapsed="false">
      <c r="A72" s="12" t="n">
        <v>45717</v>
      </c>
      <c r="B72" s="3" t="s">
        <v>121</v>
      </c>
      <c r="C72" s="3" t="n">
        <v>53227057</v>
      </c>
      <c r="D72" s="9" t="s">
        <v>120</v>
      </c>
    </row>
    <row r="73" customFormat="false" ht="15" hidden="false" customHeight="false" outlineLevel="0" collapsed="false">
      <c r="A73" s="12" t="n">
        <v>45748</v>
      </c>
      <c r="B73" s="3" t="s">
        <v>121</v>
      </c>
      <c r="C73" s="3" t="n">
        <v>87920825</v>
      </c>
      <c r="D73" s="9" t="s">
        <v>120</v>
      </c>
    </row>
    <row r="74" customFormat="false" ht="15" hidden="false" customHeight="false" outlineLevel="0" collapsed="false">
      <c r="A74" s="12" t="n">
        <v>45778</v>
      </c>
      <c r="B74" s="3" t="s">
        <v>121</v>
      </c>
      <c r="C74" s="3" t="n">
        <v>71288756</v>
      </c>
      <c r="D74" s="9" t="s">
        <v>120</v>
      </c>
    </row>
    <row r="75" customFormat="false" ht="15" hidden="false" customHeight="false" outlineLevel="0" collapsed="false">
      <c r="A75" s="12" t="n">
        <v>45809</v>
      </c>
      <c r="B75" s="3" t="s">
        <v>121</v>
      </c>
      <c r="C75" s="3" t="n">
        <v>40681848</v>
      </c>
      <c r="D75" s="9" t="s">
        <v>120</v>
      </c>
    </row>
    <row r="76" customFormat="false" ht="15" hidden="false" customHeight="false" outlineLevel="0" collapsed="false">
      <c r="A76" s="12" t="n">
        <v>45839</v>
      </c>
      <c r="B76" s="3" t="s">
        <v>121</v>
      </c>
      <c r="C76" s="3" t="n">
        <v>57715004</v>
      </c>
      <c r="D76" s="9" t="s">
        <v>120</v>
      </c>
    </row>
    <row r="77" customFormat="false" ht="15" hidden="false" customHeight="false" outlineLevel="0" collapsed="false">
      <c r="A77" s="12" t="n">
        <v>45870</v>
      </c>
      <c r="B77" s="3" t="s">
        <v>121</v>
      </c>
      <c r="C77" s="3" t="n">
        <v>44669176</v>
      </c>
      <c r="D77" s="9" t="s">
        <v>120</v>
      </c>
    </row>
    <row r="78" customFormat="false" ht="15" hidden="false" customHeight="false" outlineLevel="0" collapsed="false">
      <c r="A78" s="12" t="n">
        <v>45901</v>
      </c>
      <c r="B78" s="3" t="s">
        <v>121</v>
      </c>
      <c r="C78" s="3" t="n">
        <v>61385069</v>
      </c>
      <c r="D78" s="9" t="s">
        <v>120</v>
      </c>
    </row>
    <row r="79" customFormat="false" ht="15" hidden="false" customHeight="false" outlineLevel="0" collapsed="false">
      <c r="A79" s="12" t="n">
        <v>45931</v>
      </c>
      <c r="B79" s="3" t="s">
        <v>121</v>
      </c>
      <c r="C79" s="3" t="n">
        <v>50537313</v>
      </c>
      <c r="D79" s="9" t="s">
        <v>120</v>
      </c>
    </row>
    <row r="80" customFormat="false" ht="15" hidden="false" customHeight="false" outlineLevel="0" collapsed="false">
      <c r="A80" s="12" t="n">
        <v>45962</v>
      </c>
      <c r="B80" s="3" t="s">
        <v>121</v>
      </c>
      <c r="C80" s="3" t="n">
        <v>52710336</v>
      </c>
      <c r="D80" s="9" t="s">
        <v>120</v>
      </c>
    </row>
    <row r="81" customFormat="false" ht="15" hidden="false" customHeight="false" outlineLevel="0" collapsed="false">
      <c r="A81" s="12" t="n">
        <v>45992</v>
      </c>
      <c r="B81" s="3" t="s">
        <v>121</v>
      </c>
      <c r="C81" s="3" t="n">
        <v>89984495</v>
      </c>
      <c r="D81" s="9" t="s">
        <v>120</v>
      </c>
    </row>
    <row r="82" customFormat="false" ht="15" hidden="false" customHeight="false" outlineLevel="0" collapsed="false">
      <c r="A82" s="12" t="n">
        <v>46023</v>
      </c>
      <c r="B82" s="3" t="s">
        <v>121</v>
      </c>
      <c r="C82" s="3" t="n">
        <v>41290581</v>
      </c>
      <c r="D82" s="9" t="s">
        <v>120</v>
      </c>
    </row>
    <row r="83" customFormat="false" ht="15" hidden="false" customHeight="false" outlineLevel="0" collapsed="false">
      <c r="A83" s="12" t="n">
        <v>46054</v>
      </c>
      <c r="B83" s="3" t="s">
        <v>121</v>
      </c>
      <c r="C83" s="3" t="n">
        <v>37951031</v>
      </c>
      <c r="D83" s="9" t="s">
        <v>120</v>
      </c>
    </row>
    <row r="84" customFormat="false" ht="15" hidden="false" customHeight="false" outlineLevel="0" collapsed="false">
      <c r="A84" s="12" t="n">
        <v>46082</v>
      </c>
      <c r="B84" s="3" t="s">
        <v>121</v>
      </c>
      <c r="C84" s="3" t="n">
        <v>80862515</v>
      </c>
      <c r="D84" s="9" t="s">
        <v>120</v>
      </c>
    </row>
    <row r="85" customFormat="false" ht="15" hidden="false" customHeight="false" outlineLevel="0" collapsed="false">
      <c r="A85" s="12" t="n">
        <v>46113</v>
      </c>
      <c r="B85" s="3" t="s">
        <v>121</v>
      </c>
      <c r="C85" s="3" t="n">
        <v>108876138</v>
      </c>
      <c r="D85" s="9" t="s">
        <v>120</v>
      </c>
    </row>
    <row r="86" customFormat="false" ht="15" hidden="false" customHeight="false" outlineLevel="0" collapsed="false">
      <c r="A86" s="12" t="n">
        <v>46143</v>
      </c>
      <c r="B86" s="3" t="s">
        <v>121</v>
      </c>
      <c r="C86" s="3" t="n">
        <v>63200568</v>
      </c>
      <c r="D86" s="9" t="s">
        <v>120</v>
      </c>
    </row>
    <row r="87" customFormat="false" ht="15" hidden="false" customHeight="false" outlineLevel="0" collapsed="false">
      <c r="A87" s="12" t="n">
        <v>46174</v>
      </c>
      <c r="B87" s="3" t="s">
        <v>121</v>
      </c>
      <c r="C87" s="3" t="n">
        <v>110168159</v>
      </c>
      <c r="D87" s="9" t="s">
        <v>120</v>
      </c>
    </row>
    <row r="88" customFormat="false" ht="15" hidden="false" customHeight="false" outlineLevel="0" collapsed="false">
      <c r="A88" s="12" t="n">
        <v>46204</v>
      </c>
      <c r="B88" s="3" t="s">
        <v>121</v>
      </c>
      <c r="C88" s="3" t="n">
        <v>67009567</v>
      </c>
      <c r="D88" s="9" t="s">
        <v>120</v>
      </c>
    </row>
    <row r="89" customFormat="false" ht="15" hidden="false" customHeight="false" outlineLevel="0" collapsed="false">
      <c r="A89" s="12" t="n">
        <v>46235</v>
      </c>
      <c r="B89" s="3" t="s">
        <v>121</v>
      </c>
      <c r="C89" s="3" t="n">
        <v>74323239</v>
      </c>
      <c r="D89" s="9" t="s">
        <v>120</v>
      </c>
    </row>
    <row r="90" customFormat="false" ht="15" hidden="false" customHeight="false" outlineLevel="0" collapsed="false">
      <c r="A90" s="12" t="n">
        <v>44927</v>
      </c>
      <c r="B90" s="3" t="s">
        <v>123</v>
      </c>
      <c r="C90" s="3" t="n">
        <v>2483987</v>
      </c>
      <c r="D90" s="9" t="s">
        <v>120</v>
      </c>
    </row>
    <row r="91" customFormat="false" ht="15" hidden="false" customHeight="false" outlineLevel="0" collapsed="false">
      <c r="A91" s="12" t="n">
        <v>44958</v>
      </c>
      <c r="B91" s="3" t="s">
        <v>123</v>
      </c>
      <c r="C91" s="3" t="n">
        <v>19874</v>
      </c>
      <c r="D91" s="9" t="s">
        <v>120</v>
      </c>
    </row>
    <row r="92" customFormat="false" ht="15" hidden="false" customHeight="false" outlineLevel="0" collapsed="false">
      <c r="A92" s="12" t="n">
        <v>44986</v>
      </c>
      <c r="B92" s="3" t="s">
        <v>123</v>
      </c>
      <c r="C92" s="3" t="n">
        <v>7469775</v>
      </c>
      <c r="D92" s="9" t="s">
        <v>120</v>
      </c>
    </row>
    <row r="93" customFormat="false" ht="15" hidden="false" customHeight="false" outlineLevel="0" collapsed="false">
      <c r="A93" s="12" t="n">
        <v>45017</v>
      </c>
      <c r="B93" s="3" t="s">
        <v>123</v>
      </c>
      <c r="C93" s="3" t="n">
        <v>3144909</v>
      </c>
      <c r="D93" s="9" t="s">
        <v>120</v>
      </c>
    </row>
    <row r="94" customFormat="false" ht="15" hidden="false" customHeight="false" outlineLevel="0" collapsed="false">
      <c r="A94" s="12" t="n">
        <v>45047</v>
      </c>
      <c r="B94" s="3" t="s">
        <v>123</v>
      </c>
      <c r="C94" s="3" t="n">
        <v>356920</v>
      </c>
      <c r="D94" s="9" t="s">
        <v>120</v>
      </c>
    </row>
    <row r="95" customFormat="false" ht="15" hidden="false" customHeight="false" outlineLevel="0" collapsed="false">
      <c r="A95" s="12" t="n">
        <v>45078</v>
      </c>
      <c r="B95" s="3" t="s">
        <v>123</v>
      </c>
      <c r="C95" s="3" t="n">
        <v>4763651</v>
      </c>
      <c r="D95" s="9" t="s">
        <v>120</v>
      </c>
    </row>
    <row r="96" customFormat="false" ht="15" hidden="false" customHeight="false" outlineLevel="0" collapsed="false">
      <c r="A96" s="12" t="n">
        <v>45108</v>
      </c>
      <c r="B96" s="3" t="s">
        <v>123</v>
      </c>
      <c r="C96" s="3" t="n">
        <v>3357295</v>
      </c>
      <c r="D96" s="9" t="s">
        <v>120</v>
      </c>
    </row>
    <row r="97" customFormat="false" ht="15" hidden="false" customHeight="false" outlineLevel="0" collapsed="false">
      <c r="A97" s="12" t="n">
        <v>45139</v>
      </c>
      <c r="B97" s="3" t="s">
        <v>123</v>
      </c>
      <c r="C97" s="3"/>
      <c r="D97" s="9" t="s">
        <v>124</v>
      </c>
    </row>
    <row r="98" customFormat="false" ht="15" hidden="false" customHeight="false" outlineLevel="0" collapsed="false">
      <c r="A98" s="12" t="n">
        <v>45170</v>
      </c>
      <c r="B98" s="3" t="s">
        <v>123</v>
      </c>
      <c r="C98" s="3" t="n">
        <v>2303543</v>
      </c>
      <c r="D98" s="9" t="s">
        <v>120</v>
      </c>
    </row>
    <row r="99" customFormat="false" ht="15" hidden="false" customHeight="false" outlineLevel="0" collapsed="false">
      <c r="A99" s="12" t="n">
        <v>45200</v>
      </c>
      <c r="B99" s="3" t="s">
        <v>123</v>
      </c>
      <c r="C99" s="3" t="n">
        <v>1961174</v>
      </c>
      <c r="D99" s="9" t="s">
        <v>120</v>
      </c>
    </row>
    <row r="100" customFormat="false" ht="15" hidden="false" customHeight="false" outlineLevel="0" collapsed="false">
      <c r="A100" s="12" t="n">
        <v>45231</v>
      </c>
      <c r="B100" s="3" t="s">
        <v>123</v>
      </c>
      <c r="C100" s="3" t="n">
        <v>5176992</v>
      </c>
      <c r="D100" s="9" t="s">
        <v>120</v>
      </c>
    </row>
    <row r="101" customFormat="false" ht="15" hidden="false" customHeight="false" outlineLevel="0" collapsed="false">
      <c r="A101" s="12" t="n">
        <v>45261</v>
      </c>
      <c r="B101" s="3" t="s">
        <v>123</v>
      </c>
      <c r="C101" s="3" t="n">
        <v>1534467</v>
      </c>
      <c r="D101" s="9" t="s">
        <v>120</v>
      </c>
    </row>
    <row r="102" customFormat="false" ht="15" hidden="false" customHeight="false" outlineLevel="0" collapsed="false">
      <c r="A102" s="12" t="n">
        <v>45292</v>
      </c>
      <c r="B102" s="3" t="s">
        <v>123</v>
      </c>
      <c r="C102" s="3" t="n">
        <v>1729081</v>
      </c>
      <c r="D102" s="9" t="s">
        <v>120</v>
      </c>
    </row>
    <row r="103" customFormat="false" ht="15" hidden="false" customHeight="false" outlineLevel="0" collapsed="false">
      <c r="A103" s="12" t="n">
        <v>45323</v>
      </c>
      <c r="B103" s="3" t="s">
        <v>123</v>
      </c>
      <c r="C103" s="3" t="n">
        <v>1711763</v>
      </c>
      <c r="D103" s="9" t="s">
        <v>120</v>
      </c>
    </row>
    <row r="104" customFormat="false" ht="15" hidden="false" customHeight="false" outlineLevel="0" collapsed="false">
      <c r="A104" s="12" t="n">
        <v>45352</v>
      </c>
      <c r="B104" s="3" t="s">
        <v>123</v>
      </c>
      <c r="C104" s="3" t="n">
        <v>9858949</v>
      </c>
      <c r="D104" s="9" t="s">
        <v>120</v>
      </c>
    </row>
    <row r="105" customFormat="false" ht="15" hidden="false" customHeight="false" outlineLevel="0" collapsed="false">
      <c r="A105" s="12" t="n">
        <v>45383</v>
      </c>
      <c r="B105" s="3" t="s">
        <v>123</v>
      </c>
      <c r="C105" s="3" t="n">
        <v>6882243</v>
      </c>
      <c r="D105" s="9" t="s">
        <v>120</v>
      </c>
    </row>
    <row r="106" customFormat="false" ht="15" hidden="false" customHeight="false" outlineLevel="0" collapsed="false">
      <c r="A106" s="12" t="n">
        <v>45413</v>
      </c>
      <c r="B106" s="3" t="s">
        <v>123</v>
      </c>
      <c r="C106" s="3" t="n">
        <v>4930290</v>
      </c>
      <c r="D106" s="9" t="s">
        <v>120</v>
      </c>
    </row>
    <row r="107" customFormat="false" ht="15" hidden="false" customHeight="false" outlineLevel="0" collapsed="false">
      <c r="A107" s="12" t="n">
        <v>45444</v>
      </c>
      <c r="B107" s="3" t="s">
        <v>123</v>
      </c>
      <c r="C107" s="3" t="n">
        <v>6016677</v>
      </c>
      <c r="D107" s="9" t="s">
        <v>120</v>
      </c>
    </row>
    <row r="108" customFormat="false" ht="15" hidden="false" customHeight="false" outlineLevel="0" collapsed="false">
      <c r="A108" s="12" t="n">
        <v>45474</v>
      </c>
      <c r="B108" s="3" t="s">
        <v>123</v>
      </c>
      <c r="C108" s="3" t="n">
        <v>5633969</v>
      </c>
      <c r="D108" s="9" t="s">
        <v>120</v>
      </c>
    </row>
    <row r="109" customFormat="false" ht="15" hidden="false" customHeight="false" outlineLevel="0" collapsed="false">
      <c r="A109" s="12" t="n">
        <v>45505</v>
      </c>
      <c r="B109" s="3" t="s">
        <v>123</v>
      </c>
      <c r="C109" s="3" t="n">
        <v>8692052</v>
      </c>
      <c r="D109" s="9" t="s">
        <v>120</v>
      </c>
    </row>
    <row r="110" customFormat="false" ht="15" hidden="false" customHeight="false" outlineLevel="0" collapsed="false">
      <c r="A110" s="12" t="n">
        <v>45536</v>
      </c>
      <c r="B110" s="3" t="s">
        <v>123</v>
      </c>
      <c r="C110" s="3" t="n">
        <v>10171135</v>
      </c>
      <c r="D110" s="9" t="s">
        <v>120</v>
      </c>
    </row>
    <row r="111" customFormat="false" ht="15" hidden="false" customHeight="false" outlineLevel="0" collapsed="false">
      <c r="A111" s="12" t="n">
        <v>45566</v>
      </c>
      <c r="B111" s="3" t="s">
        <v>123</v>
      </c>
      <c r="C111" s="3" t="n">
        <v>10026884</v>
      </c>
      <c r="D111" s="9" t="s">
        <v>120</v>
      </c>
    </row>
    <row r="112" customFormat="false" ht="15" hidden="false" customHeight="false" outlineLevel="0" collapsed="false">
      <c r="A112" s="12" t="n">
        <v>45597</v>
      </c>
      <c r="B112" s="3" t="s">
        <v>123</v>
      </c>
      <c r="C112" s="3" t="n">
        <v>13859186</v>
      </c>
      <c r="D112" s="9" t="s">
        <v>120</v>
      </c>
    </row>
    <row r="113" customFormat="false" ht="15" hidden="false" customHeight="false" outlineLevel="0" collapsed="false">
      <c r="A113" s="12" t="n">
        <v>45627</v>
      </c>
      <c r="B113" s="3" t="s">
        <v>123</v>
      </c>
      <c r="C113" s="3" t="n">
        <v>11157389</v>
      </c>
      <c r="D113" s="9" t="s">
        <v>120</v>
      </c>
    </row>
    <row r="114" customFormat="false" ht="15" hidden="false" customHeight="false" outlineLevel="0" collapsed="false">
      <c r="A114" s="12" t="n">
        <v>45658</v>
      </c>
      <c r="B114" s="3" t="s">
        <v>123</v>
      </c>
      <c r="C114" s="3" t="n">
        <v>1875829</v>
      </c>
      <c r="D114" s="9" t="s">
        <v>120</v>
      </c>
    </row>
    <row r="115" customFormat="false" ht="15" hidden="false" customHeight="false" outlineLevel="0" collapsed="false">
      <c r="A115" s="12" t="n">
        <v>45689</v>
      </c>
      <c r="B115" s="3" t="s">
        <v>123</v>
      </c>
      <c r="C115" s="3" t="n">
        <v>13469850</v>
      </c>
      <c r="D115" s="9" t="s">
        <v>120</v>
      </c>
    </row>
    <row r="116" customFormat="false" ht="15" hidden="false" customHeight="false" outlineLevel="0" collapsed="false">
      <c r="A116" s="12" t="n">
        <v>45717</v>
      </c>
      <c r="B116" s="3" t="s">
        <v>123</v>
      </c>
      <c r="C116" s="3" t="n">
        <v>23246529</v>
      </c>
      <c r="D116" s="9" t="s">
        <v>120</v>
      </c>
    </row>
    <row r="117" customFormat="false" ht="15" hidden="false" customHeight="false" outlineLevel="0" collapsed="false">
      <c r="A117" s="12" t="n">
        <v>45748</v>
      </c>
      <c r="B117" s="3" t="s">
        <v>123</v>
      </c>
      <c r="C117" s="3" t="n">
        <v>9967588</v>
      </c>
      <c r="D117" s="9" t="s">
        <v>120</v>
      </c>
    </row>
    <row r="118" customFormat="false" ht="15" hidden="false" customHeight="false" outlineLevel="0" collapsed="false">
      <c r="A118" s="12" t="n">
        <v>45778</v>
      </c>
      <c r="B118" s="3" t="s">
        <v>123</v>
      </c>
      <c r="C118" s="3" t="n">
        <v>9239515</v>
      </c>
      <c r="D118" s="9" t="s">
        <v>120</v>
      </c>
    </row>
    <row r="119" customFormat="false" ht="15" hidden="false" customHeight="false" outlineLevel="0" collapsed="false">
      <c r="A119" s="12" t="n">
        <v>45809</v>
      </c>
      <c r="B119" s="3" t="s">
        <v>123</v>
      </c>
      <c r="C119" s="3" t="n">
        <v>15779536</v>
      </c>
      <c r="D119" s="9" t="s">
        <v>120</v>
      </c>
    </row>
    <row r="120" customFormat="false" ht="15" hidden="false" customHeight="false" outlineLevel="0" collapsed="false">
      <c r="A120" s="12" t="n">
        <v>45839</v>
      </c>
      <c r="B120" s="3" t="s">
        <v>123</v>
      </c>
      <c r="C120" s="3" t="n">
        <v>14779033</v>
      </c>
      <c r="D120" s="9" t="s">
        <v>120</v>
      </c>
    </row>
    <row r="121" customFormat="false" ht="15" hidden="false" customHeight="false" outlineLevel="0" collapsed="false">
      <c r="A121" s="12" t="n">
        <v>45870</v>
      </c>
      <c r="B121" s="3" t="s">
        <v>123</v>
      </c>
      <c r="C121" s="3" t="n">
        <v>10592814</v>
      </c>
      <c r="D121" s="9" t="s">
        <v>120</v>
      </c>
    </row>
    <row r="122" customFormat="false" ht="15" hidden="false" customHeight="false" outlineLevel="0" collapsed="false">
      <c r="A122" s="12" t="n">
        <v>45901</v>
      </c>
      <c r="B122" s="3" t="s">
        <v>123</v>
      </c>
      <c r="C122" s="3" t="n">
        <v>7301021</v>
      </c>
      <c r="D122" s="9" t="s">
        <v>120</v>
      </c>
    </row>
    <row r="123" customFormat="false" ht="15" hidden="false" customHeight="false" outlineLevel="0" collapsed="false">
      <c r="A123" s="12" t="n">
        <v>45931</v>
      </c>
      <c r="B123" s="3" t="s">
        <v>123</v>
      </c>
      <c r="C123" s="3" t="n">
        <v>3543256</v>
      </c>
      <c r="D123" s="9" t="s">
        <v>120</v>
      </c>
    </row>
    <row r="124" customFormat="false" ht="15" hidden="false" customHeight="false" outlineLevel="0" collapsed="false">
      <c r="A124" s="12" t="n">
        <v>45962</v>
      </c>
      <c r="B124" s="3" t="s">
        <v>123</v>
      </c>
      <c r="C124" s="3" t="n">
        <v>9150128</v>
      </c>
      <c r="D124" s="9" t="s">
        <v>120</v>
      </c>
    </row>
    <row r="125" customFormat="false" ht="15" hidden="false" customHeight="false" outlineLevel="0" collapsed="false">
      <c r="A125" s="12" t="n">
        <v>45992</v>
      </c>
      <c r="B125" s="3" t="s">
        <v>123</v>
      </c>
      <c r="C125" s="3" t="n">
        <v>14612283</v>
      </c>
      <c r="D125" s="9" t="s">
        <v>120</v>
      </c>
    </row>
    <row r="126" customFormat="false" ht="15" hidden="false" customHeight="false" outlineLevel="0" collapsed="false">
      <c r="A126" s="12" t="n">
        <v>46023</v>
      </c>
      <c r="B126" s="3" t="s">
        <v>123</v>
      </c>
      <c r="C126" s="3" t="n">
        <v>2410626</v>
      </c>
      <c r="D126" s="9" t="s">
        <v>120</v>
      </c>
    </row>
    <row r="127" customFormat="false" ht="15" hidden="false" customHeight="false" outlineLevel="0" collapsed="false">
      <c r="A127" s="12" t="n">
        <v>46054</v>
      </c>
      <c r="B127" s="3" t="s">
        <v>123</v>
      </c>
      <c r="C127" s="3" t="n">
        <v>880298</v>
      </c>
      <c r="D127" s="9" t="s">
        <v>120</v>
      </c>
    </row>
    <row r="128" customFormat="false" ht="15" hidden="false" customHeight="false" outlineLevel="0" collapsed="false">
      <c r="A128" s="12" t="n">
        <v>46082</v>
      </c>
      <c r="B128" s="3" t="s">
        <v>123</v>
      </c>
      <c r="C128" s="3" t="n">
        <v>10940014</v>
      </c>
      <c r="D128" s="9" t="s">
        <v>120</v>
      </c>
    </row>
    <row r="129" customFormat="false" ht="15" hidden="false" customHeight="false" outlineLevel="0" collapsed="false">
      <c r="A129" s="12" t="n">
        <v>46113</v>
      </c>
      <c r="B129" s="3" t="s">
        <v>123</v>
      </c>
      <c r="C129" s="3" t="n">
        <v>20455038</v>
      </c>
      <c r="D129" s="9" t="s">
        <v>120</v>
      </c>
    </row>
    <row r="130" customFormat="false" ht="15" hidden="false" customHeight="false" outlineLevel="0" collapsed="false">
      <c r="A130" s="12" t="n">
        <v>46143</v>
      </c>
      <c r="B130" s="3" t="s">
        <v>123</v>
      </c>
      <c r="C130" s="3" t="n">
        <v>6263583</v>
      </c>
      <c r="D130" s="9" t="s">
        <v>120</v>
      </c>
    </row>
    <row r="131" customFormat="false" ht="15" hidden="false" customHeight="false" outlineLevel="0" collapsed="false">
      <c r="A131" s="12" t="n">
        <v>46174</v>
      </c>
      <c r="B131" s="3" t="s">
        <v>123</v>
      </c>
      <c r="C131" s="3" t="n">
        <v>15156761</v>
      </c>
      <c r="D131" s="9" t="s">
        <v>120</v>
      </c>
    </row>
    <row r="132" customFormat="false" ht="15" hidden="false" customHeight="false" outlineLevel="0" collapsed="false">
      <c r="A132" s="12" t="n">
        <v>46204</v>
      </c>
      <c r="B132" s="3" t="s">
        <v>123</v>
      </c>
      <c r="C132" s="3" t="n">
        <v>22716628</v>
      </c>
      <c r="D132" s="9" t="s">
        <v>120</v>
      </c>
    </row>
    <row r="133" customFormat="false" ht="15" hidden="false" customHeight="false" outlineLevel="0" collapsed="false">
      <c r="A133" s="12" t="n">
        <v>46235</v>
      </c>
      <c r="B133" s="3" t="s">
        <v>123</v>
      </c>
      <c r="C133" s="3" t="n">
        <v>17101148</v>
      </c>
      <c r="D133" s="9" t="s">
        <v>120</v>
      </c>
    </row>
    <row r="134" customFormat="false" ht="15" hidden="false" customHeight="false" outlineLevel="0" collapsed="false">
      <c r="A134" s="12" t="n">
        <v>44927</v>
      </c>
      <c r="B134" s="3" t="s">
        <v>125</v>
      </c>
      <c r="C134" s="3" t="n">
        <v>12733628</v>
      </c>
      <c r="D134" s="9" t="s">
        <v>120</v>
      </c>
    </row>
    <row r="135" customFormat="false" ht="15" hidden="false" customHeight="false" outlineLevel="0" collapsed="false">
      <c r="A135" s="12" t="n">
        <v>44958</v>
      </c>
      <c r="B135" s="3" t="s">
        <v>125</v>
      </c>
      <c r="C135" s="3" t="n">
        <v>1175422</v>
      </c>
      <c r="D135" s="9" t="s">
        <v>120</v>
      </c>
    </row>
    <row r="136" customFormat="false" ht="15" hidden="false" customHeight="false" outlineLevel="0" collapsed="false">
      <c r="A136" s="12" t="n">
        <v>44986</v>
      </c>
      <c r="B136" s="3" t="s">
        <v>125</v>
      </c>
      <c r="C136" s="3" t="n">
        <v>10138175</v>
      </c>
      <c r="D136" s="9" t="s">
        <v>120</v>
      </c>
    </row>
    <row r="137" customFormat="false" ht="15" hidden="false" customHeight="false" outlineLevel="0" collapsed="false">
      <c r="A137" s="12" t="n">
        <v>45017</v>
      </c>
      <c r="B137" s="3" t="s">
        <v>125</v>
      </c>
      <c r="C137" s="3" t="n">
        <v>12699671</v>
      </c>
      <c r="D137" s="9" t="s">
        <v>120</v>
      </c>
    </row>
    <row r="138" customFormat="false" ht="15" hidden="false" customHeight="false" outlineLevel="0" collapsed="false">
      <c r="A138" s="12" t="n">
        <v>45047</v>
      </c>
      <c r="B138" s="3" t="s">
        <v>125</v>
      </c>
      <c r="C138" s="3"/>
      <c r="D138" s="9" t="s">
        <v>124</v>
      </c>
    </row>
    <row r="139" customFormat="false" ht="15" hidden="false" customHeight="false" outlineLevel="0" collapsed="false">
      <c r="A139" s="12" t="n">
        <v>45078</v>
      </c>
      <c r="B139" s="3" t="s">
        <v>125</v>
      </c>
      <c r="C139" s="3" t="n">
        <v>178034</v>
      </c>
      <c r="D139" s="9" t="s">
        <v>120</v>
      </c>
    </row>
    <row r="140" customFormat="false" ht="15" hidden="false" customHeight="false" outlineLevel="0" collapsed="false">
      <c r="A140" s="12" t="n">
        <v>45108</v>
      </c>
      <c r="B140" s="3" t="s">
        <v>125</v>
      </c>
      <c r="C140" s="3" t="n">
        <v>6644061</v>
      </c>
      <c r="D140" s="9" t="s">
        <v>120</v>
      </c>
    </row>
    <row r="141" customFormat="false" ht="15" hidden="false" customHeight="false" outlineLevel="0" collapsed="false">
      <c r="A141" s="12" t="n">
        <v>45139</v>
      </c>
      <c r="B141" s="3" t="s">
        <v>125</v>
      </c>
      <c r="C141" s="3" t="n">
        <v>2650569</v>
      </c>
      <c r="D141" s="9" t="s">
        <v>120</v>
      </c>
    </row>
    <row r="142" customFormat="false" ht="15" hidden="false" customHeight="false" outlineLevel="0" collapsed="false">
      <c r="A142" s="12" t="n">
        <v>45170</v>
      </c>
      <c r="B142" s="3" t="s">
        <v>125</v>
      </c>
      <c r="C142" s="3" t="n">
        <v>7108436</v>
      </c>
      <c r="D142" s="9" t="s">
        <v>120</v>
      </c>
    </row>
    <row r="143" customFormat="false" ht="15" hidden="false" customHeight="false" outlineLevel="0" collapsed="false">
      <c r="A143" s="12" t="n">
        <v>45200</v>
      </c>
      <c r="B143" s="3" t="s">
        <v>125</v>
      </c>
      <c r="C143" s="3" t="n">
        <v>6458411</v>
      </c>
      <c r="D143" s="9" t="s">
        <v>120</v>
      </c>
    </row>
    <row r="144" customFormat="false" ht="15" hidden="false" customHeight="false" outlineLevel="0" collapsed="false">
      <c r="A144" s="12" t="n">
        <v>45231</v>
      </c>
      <c r="B144" s="3" t="s">
        <v>125</v>
      </c>
      <c r="C144" s="3" t="n">
        <v>7597</v>
      </c>
      <c r="D144" s="9" t="s">
        <v>120</v>
      </c>
    </row>
    <row r="145" customFormat="false" ht="15" hidden="false" customHeight="false" outlineLevel="0" collapsed="false">
      <c r="A145" s="12" t="n">
        <v>45261</v>
      </c>
      <c r="B145" s="3" t="s">
        <v>125</v>
      </c>
      <c r="C145" s="3" t="n">
        <v>10967313</v>
      </c>
      <c r="D145" s="9" t="s">
        <v>120</v>
      </c>
    </row>
    <row r="146" customFormat="false" ht="15" hidden="false" customHeight="false" outlineLevel="0" collapsed="false">
      <c r="A146" s="12" t="n">
        <v>45292</v>
      </c>
      <c r="B146" s="3" t="s">
        <v>125</v>
      </c>
      <c r="C146" s="3" t="n">
        <v>7127763</v>
      </c>
      <c r="D146" s="9" t="s">
        <v>120</v>
      </c>
    </row>
    <row r="147" customFormat="false" ht="15" hidden="false" customHeight="false" outlineLevel="0" collapsed="false">
      <c r="A147" s="12" t="n">
        <v>45323</v>
      </c>
      <c r="B147" s="3" t="s">
        <v>125</v>
      </c>
      <c r="C147" s="3" t="n">
        <v>11266656</v>
      </c>
      <c r="D147" s="9" t="s">
        <v>120</v>
      </c>
    </row>
    <row r="148" customFormat="false" ht="15" hidden="false" customHeight="false" outlineLevel="0" collapsed="false">
      <c r="A148" s="12" t="n">
        <v>45352</v>
      </c>
      <c r="B148" s="3" t="s">
        <v>125</v>
      </c>
      <c r="C148" s="3" t="n">
        <v>2930155</v>
      </c>
      <c r="D148" s="9" t="s">
        <v>120</v>
      </c>
    </row>
    <row r="149" customFormat="false" ht="15" hidden="false" customHeight="false" outlineLevel="0" collapsed="false">
      <c r="A149" s="12" t="n">
        <v>45383</v>
      </c>
      <c r="B149" s="3" t="s">
        <v>125</v>
      </c>
      <c r="C149" s="3" t="n">
        <v>7276262</v>
      </c>
      <c r="D149" s="9" t="s">
        <v>120</v>
      </c>
    </row>
    <row r="150" customFormat="false" ht="15" hidden="false" customHeight="false" outlineLevel="0" collapsed="false">
      <c r="A150" s="12" t="n">
        <v>45413</v>
      </c>
      <c r="B150" s="3" t="s">
        <v>125</v>
      </c>
      <c r="C150" s="3" t="n">
        <v>6138896</v>
      </c>
      <c r="D150" s="9" t="s">
        <v>120</v>
      </c>
    </row>
    <row r="151" customFormat="false" ht="15" hidden="false" customHeight="false" outlineLevel="0" collapsed="false">
      <c r="A151" s="12" t="n">
        <v>45444</v>
      </c>
      <c r="B151" s="3" t="s">
        <v>125</v>
      </c>
      <c r="C151" s="3" t="n">
        <v>20626177</v>
      </c>
      <c r="D151" s="9" t="s">
        <v>120</v>
      </c>
    </row>
    <row r="152" customFormat="false" ht="15" hidden="false" customHeight="false" outlineLevel="0" collapsed="false">
      <c r="A152" s="12" t="n">
        <v>45474</v>
      </c>
      <c r="B152" s="3" t="s">
        <v>125</v>
      </c>
      <c r="C152" s="3" t="n">
        <v>18372891</v>
      </c>
      <c r="D152" s="9" t="s">
        <v>120</v>
      </c>
    </row>
    <row r="153" customFormat="false" ht="15" hidden="false" customHeight="false" outlineLevel="0" collapsed="false">
      <c r="A153" s="12" t="n">
        <v>45505</v>
      </c>
      <c r="B153" s="3" t="s">
        <v>125</v>
      </c>
      <c r="C153" s="3" t="n">
        <v>11957256</v>
      </c>
      <c r="D153" s="9" t="s">
        <v>120</v>
      </c>
    </row>
    <row r="154" customFormat="false" ht="15" hidden="false" customHeight="false" outlineLevel="0" collapsed="false">
      <c r="A154" s="12" t="n">
        <v>45536</v>
      </c>
      <c r="B154" s="3" t="s">
        <v>125</v>
      </c>
      <c r="C154" s="3" t="n">
        <v>40120679</v>
      </c>
      <c r="D154" s="9" t="s">
        <v>120</v>
      </c>
    </row>
    <row r="155" customFormat="false" ht="15" hidden="false" customHeight="false" outlineLevel="0" collapsed="false">
      <c r="A155" s="12" t="n">
        <v>45566</v>
      </c>
      <c r="B155" s="3" t="s">
        <v>125</v>
      </c>
      <c r="C155" s="3" t="n">
        <v>7509471</v>
      </c>
      <c r="D155" s="9" t="s">
        <v>120</v>
      </c>
    </row>
    <row r="156" customFormat="false" ht="15" hidden="false" customHeight="false" outlineLevel="0" collapsed="false">
      <c r="A156" s="12" t="n">
        <v>45597</v>
      </c>
      <c r="B156" s="3" t="s">
        <v>125</v>
      </c>
      <c r="C156" s="3" t="n">
        <v>1609667</v>
      </c>
      <c r="D156" s="9" t="s">
        <v>120</v>
      </c>
    </row>
    <row r="157" customFormat="false" ht="15" hidden="false" customHeight="false" outlineLevel="0" collapsed="false">
      <c r="A157" s="12" t="n">
        <v>45627</v>
      </c>
      <c r="B157" s="3" t="s">
        <v>125</v>
      </c>
      <c r="C157" s="3" t="n">
        <v>17931804</v>
      </c>
      <c r="D157" s="9" t="s">
        <v>120</v>
      </c>
    </row>
    <row r="158" customFormat="false" ht="15" hidden="false" customHeight="false" outlineLevel="0" collapsed="false">
      <c r="A158" s="12" t="n">
        <v>45658</v>
      </c>
      <c r="B158" s="3" t="s">
        <v>125</v>
      </c>
      <c r="C158" s="3" t="n">
        <v>7532107</v>
      </c>
      <c r="D158" s="9" t="s">
        <v>120</v>
      </c>
    </row>
    <row r="159" customFormat="false" ht="15" hidden="false" customHeight="false" outlineLevel="0" collapsed="false">
      <c r="A159" s="12" t="n">
        <v>45689</v>
      </c>
      <c r="B159" s="3" t="s">
        <v>125</v>
      </c>
      <c r="C159" s="3" t="n">
        <v>44097009</v>
      </c>
      <c r="D159" s="9" t="s">
        <v>120</v>
      </c>
    </row>
    <row r="160" customFormat="false" ht="15" hidden="false" customHeight="false" outlineLevel="0" collapsed="false">
      <c r="A160" s="12" t="n">
        <v>45717</v>
      </c>
      <c r="B160" s="3" t="s">
        <v>125</v>
      </c>
      <c r="C160" s="3" t="n">
        <v>27078850</v>
      </c>
      <c r="D160" s="9" t="s">
        <v>120</v>
      </c>
    </row>
    <row r="161" customFormat="false" ht="15" hidden="false" customHeight="false" outlineLevel="0" collapsed="false">
      <c r="A161" s="12" t="n">
        <v>45748</v>
      </c>
      <c r="B161" s="3" t="s">
        <v>125</v>
      </c>
      <c r="C161" s="3" t="n">
        <v>49879173</v>
      </c>
      <c r="D161" s="9" t="s">
        <v>120</v>
      </c>
    </row>
    <row r="162" customFormat="false" ht="15" hidden="false" customHeight="false" outlineLevel="0" collapsed="false">
      <c r="A162" s="12" t="n">
        <v>45778</v>
      </c>
      <c r="B162" s="3" t="s">
        <v>125</v>
      </c>
      <c r="C162" s="3" t="n">
        <v>38732377</v>
      </c>
      <c r="D162" s="9" t="s">
        <v>120</v>
      </c>
    </row>
    <row r="163" customFormat="false" ht="15" hidden="false" customHeight="false" outlineLevel="0" collapsed="false">
      <c r="A163" s="12" t="n">
        <v>45809</v>
      </c>
      <c r="B163" s="3" t="s">
        <v>125</v>
      </c>
      <c r="C163" s="3" t="n">
        <v>52066110</v>
      </c>
      <c r="D163" s="9" t="s">
        <v>120</v>
      </c>
    </row>
    <row r="164" customFormat="false" ht="15" hidden="false" customHeight="false" outlineLevel="0" collapsed="false">
      <c r="A164" s="12" t="n">
        <v>45839</v>
      </c>
      <c r="B164" s="3" t="s">
        <v>125</v>
      </c>
      <c r="C164" s="3" t="n">
        <v>18588558</v>
      </c>
      <c r="D164" s="9" t="s">
        <v>120</v>
      </c>
    </row>
    <row r="165" customFormat="false" ht="15" hidden="false" customHeight="false" outlineLevel="0" collapsed="false">
      <c r="A165" s="12" t="n">
        <v>45870</v>
      </c>
      <c r="B165" s="3" t="s">
        <v>125</v>
      </c>
      <c r="C165" s="3" t="n">
        <v>17208059</v>
      </c>
      <c r="D165" s="9" t="s">
        <v>120</v>
      </c>
    </row>
    <row r="166" customFormat="false" ht="15" hidden="false" customHeight="false" outlineLevel="0" collapsed="false">
      <c r="A166" s="12" t="n">
        <v>45901</v>
      </c>
      <c r="B166" s="3" t="s">
        <v>125</v>
      </c>
      <c r="C166" s="3" t="n">
        <v>7618190</v>
      </c>
      <c r="D166" s="9" t="s">
        <v>120</v>
      </c>
    </row>
    <row r="167" customFormat="false" ht="15" hidden="false" customHeight="false" outlineLevel="0" collapsed="false">
      <c r="A167" s="12" t="n">
        <v>45931</v>
      </c>
      <c r="B167" s="3" t="s">
        <v>125</v>
      </c>
      <c r="C167" s="3" t="n">
        <v>38695110</v>
      </c>
      <c r="D167" s="9" t="s">
        <v>120</v>
      </c>
    </row>
    <row r="168" customFormat="false" ht="15" hidden="false" customHeight="false" outlineLevel="0" collapsed="false">
      <c r="A168" s="12" t="n">
        <v>45962</v>
      </c>
      <c r="B168" s="3" t="s">
        <v>125</v>
      </c>
      <c r="C168" s="3" t="n">
        <v>9496318</v>
      </c>
      <c r="D168" s="9" t="s">
        <v>120</v>
      </c>
    </row>
    <row r="169" customFormat="false" ht="15" hidden="false" customHeight="false" outlineLevel="0" collapsed="false">
      <c r="A169" s="12" t="n">
        <v>45992</v>
      </c>
      <c r="B169" s="3" t="s">
        <v>125</v>
      </c>
      <c r="C169" s="3" t="n">
        <v>15421277</v>
      </c>
      <c r="D169" s="9" t="s">
        <v>120</v>
      </c>
    </row>
    <row r="170" customFormat="false" ht="15" hidden="false" customHeight="false" outlineLevel="0" collapsed="false">
      <c r="A170" s="12" t="n">
        <v>46023</v>
      </c>
      <c r="B170" s="3" t="s">
        <v>125</v>
      </c>
      <c r="C170" s="3" t="n">
        <v>1996828</v>
      </c>
      <c r="D170" s="9" t="s">
        <v>120</v>
      </c>
    </row>
    <row r="171" customFormat="false" ht="15" hidden="false" customHeight="false" outlineLevel="0" collapsed="false">
      <c r="A171" s="12" t="n">
        <v>46054</v>
      </c>
      <c r="B171" s="3" t="s">
        <v>125</v>
      </c>
      <c r="C171" s="3" t="n">
        <v>6505670</v>
      </c>
      <c r="D171" s="9" t="s">
        <v>120</v>
      </c>
    </row>
    <row r="172" customFormat="false" ht="15" hidden="false" customHeight="false" outlineLevel="0" collapsed="false">
      <c r="A172" s="12" t="n">
        <v>46082</v>
      </c>
      <c r="B172" s="3" t="s">
        <v>125</v>
      </c>
      <c r="C172" s="3" t="n">
        <v>3289949</v>
      </c>
      <c r="D172" s="9" t="s">
        <v>120</v>
      </c>
    </row>
    <row r="173" customFormat="false" ht="15" hidden="false" customHeight="false" outlineLevel="0" collapsed="false">
      <c r="A173" s="12" t="n">
        <v>46113</v>
      </c>
      <c r="B173" s="3" t="s">
        <v>125</v>
      </c>
      <c r="C173" s="3" t="n">
        <v>21462857</v>
      </c>
      <c r="D173" s="9" t="s">
        <v>120</v>
      </c>
    </row>
    <row r="174" customFormat="false" ht="15" hidden="false" customHeight="false" outlineLevel="0" collapsed="false">
      <c r="A174" s="12" t="n">
        <v>46143</v>
      </c>
      <c r="B174" s="3" t="s">
        <v>125</v>
      </c>
      <c r="C174" s="3" t="n">
        <v>13784882</v>
      </c>
      <c r="D174" s="9" t="s">
        <v>120</v>
      </c>
    </row>
    <row r="175" customFormat="false" ht="15" hidden="false" customHeight="false" outlineLevel="0" collapsed="false">
      <c r="A175" s="12" t="n">
        <v>46174</v>
      </c>
      <c r="B175" s="3" t="s">
        <v>125</v>
      </c>
      <c r="C175" s="3" t="n">
        <v>11848350</v>
      </c>
      <c r="D175" s="9" t="s">
        <v>120</v>
      </c>
    </row>
    <row r="176" customFormat="false" ht="15" hidden="false" customHeight="false" outlineLevel="0" collapsed="false">
      <c r="A176" s="12" t="n">
        <v>46204</v>
      </c>
      <c r="B176" s="3" t="s">
        <v>125</v>
      </c>
      <c r="C176" s="3" t="n">
        <v>23206595</v>
      </c>
      <c r="D176" s="9" t="s">
        <v>120</v>
      </c>
    </row>
    <row r="177" customFormat="false" ht="15" hidden="false" customHeight="false" outlineLevel="0" collapsed="false">
      <c r="A177" s="12" t="n">
        <v>46235</v>
      </c>
      <c r="B177" s="3" t="s">
        <v>125</v>
      </c>
      <c r="C177" s="3" t="n">
        <v>43633664</v>
      </c>
      <c r="D177" s="9" t="s">
        <v>120</v>
      </c>
    </row>
    <row r="178" customFormat="false" ht="15" hidden="false" customHeight="false" outlineLevel="0" collapsed="false">
      <c r="A178" s="12" t="n">
        <v>44927</v>
      </c>
      <c r="B178" s="3" t="s">
        <v>126</v>
      </c>
      <c r="C178" s="3"/>
      <c r="D178" s="9" t="s">
        <v>124</v>
      </c>
    </row>
    <row r="179" customFormat="false" ht="15" hidden="false" customHeight="false" outlineLevel="0" collapsed="false">
      <c r="A179" s="12" t="n">
        <v>44958</v>
      </c>
      <c r="B179" s="3" t="s">
        <v>126</v>
      </c>
      <c r="C179" s="3" t="n">
        <v>2549420</v>
      </c>
      <c r="D179" s="9" t="s">
        <v>120</v>
      </c>
    </row>
    <row r="180" customFormat="false" ht="15" hidden="false" customHeight="false" outlineLevel="0" collapsed="false">
      <c r="A180" s="12" t="n">
        <v>44986</v>
      </c>
      <c r="B180" s="3" t="s">
        <v>126</v>
      </c>
      <c r="C180" s="3" t="n">
        <v>4025777</v>
      </c>
      <c r="D180" s="9" t="s">
        <v>120</v>
      </c>
    </row>
    <row r="181" customFormat="false" ht="15" hidden="false" customHeight="false" outlineLevel="0" collapsed="false">
      <c r="A181" s="12" t="n">
        <v>45017</v>
      </c>
      <c r="B181" s="3" t="s">
        <v>126</v>
      </c>
      <c r="C181" s="3"/>
      <c r="D181" s="9" t="s">
        <v>124</v>
      </c>
    </row>
    <row r="182" customFormat="false" ht="15" hidden="false" customHeight="false" outlineLevel="0" collapsed="false">
      <c r="A182" s="12" t="n">
        <v>45047</v>
      </c>
      <c r="B182" s="3" t="s">
        <v>126</v>
      </c>
      <c r="C182" s="3"/>
      <c r="D182" s="9" t="s">
        <v>124</v>
      </c>
    </row>
    <row r="183" customFormat="false" ht="15" hidden="false" customHeight="false" outlineLevel="0" collapsed="false">
      <c r="A183" s="12" t="n">
        <v>45078</v>
      </c>
      <c r="B183" s="3" t="s">
        <v>126</v>
      </c>
      <c r="C183" s="3" t="n">
        <v>2677547</v>
      </c>
      <c r="D183" s="9" t="s">
        <v>120</v>
      </c>
    </row>
    <row r="184" customFormat="false" ht="15" hidden="false" customHeight="false" outlineLevel="0" collapsed="false">
      <c r="A184" s="12" t="n">
        <v>45108</v>
      </c>
      <c r="B184" s="3" t="s">
        <v>126</v>
      </c>
      <c r="C184" s="3" t="n">
        <v>2591543</v>
      </c>
      <c r="D184" s="9" t="s">
        <v>120</v>
      </c>
    </row>
    <row r="185" customFormat="false" ht="15" hidden="false" customHeight="false" outlineLevel="0" collapsed="false">
      <c r="A185" s="12" t="n">
        <v>45139</v>
      </c>
      <c r="B185" s="3" t="s">
        <v>126</v>
      </c>
      <c r="C185" s="3" t="n">
        <v>1451707</v>
      </c>
      <c r="D185" s="9" t="s">
        <v>120</v>
      </c>
    </row>
    <row r="186" customFormat="false" ht="15" hidden="false" customHeight="false" outlineLevel="0" collapsed="false">
      <c r="A186" s="12" t="n">
        <v>45170</v>
      </c>
      <c r="B186" s="3" t="s">
        <v>126</v>
      </c>
      <c r="C186" s="3"/>
      <c r="D186" s="9" t="s">
        <v>124</v>
      </c>
    </row>
    <row r="187" customFormat="false" ht="15" hidden="false" customHeight="false" outlineLevel="0" collapsed="false">
      <c r="A187" s="12" t="n">
        <v>45200</v>
      </c>
      <c r="B187" s="3" t="s">
        <v>126</v>
      </c>
      <c r="C187" s="3"/>
      <c r="D187" s="9" t="s">
        <v>124</v>
      </c>
    </row>
    <row r="188" customFormat="false" ht="15" hidden="false" customHeight="false" outlineLevel="0" collapsed="false">
      <c r="A188" s="12" t="n">
        <v>45231</v>
      </c>
      <c r="B188" s="3" t="s">
        <v>126</v>
      </c>
      <c r="C188" s="3" t="n">
        <v>2484434</v>
      </c>
      <c r="D188" s="9" t="s">
        <v>120</v>
      </c>
    </row>
    <row r="189" customFormat="false" ht="15" hidden="false" customHeight="false" outlineLevel="0" collapsed="false">
      <c r="A189" s="12" t="n">
        <v>45261</v>
      </c>
      <c r="B189" s="3" t="s">
        <v>126</v>
      </c>
      <c r="C189" s="3" t="n">
        <v>4261208</v>
      </c>
      <c r="D189" s="9" t="s">
        <v>120</v>
      </c>
    </row>
    <row r="190" customFormat="false" ht="15" hidden="false" customHeight="false" outlineLevel="0" collapsed="false">
      <c r="A190" s="12" t="n">
        <v>45292</v>
      </c>
      <c r="B190" s="3" t="s">
        <v>126</v>
      </c>
      <c r="C190" s="3" t="n">
        <v>2612629</v>
      </c>
      <c r="D190" s="9" t="s">
        <v>120</v>
      </c>
    </row>
    <row r="191" customFormat="false" ht="15" hidden="false" customHeight="false" outlineLevel="0" collapsed="false">
      <c r="A191" s="12" t="n">
        <v>45323</v>
      </c>
      <c r="B191" s="3" t="s">
        <v>126</v>
      </c>
      <c r="C191" s="3" t="n">
        <v>5005260</v>
      </c>
      <c r="D191" s="9" t="s">
        <v>120</v>
      </c>
    </row>
    <row r="192" customFormat="false" ht="15" hidden="false" customHeight="false" outlineLevel="0" collapsed="false">
      <c r="A192" s="12" t="n">
        <v>45352</v>
      </c>
      <c r="B192" s="3" t="s">
        <v>126</v>
      </c>
      <c r="C192" s="3" t="n">
        <v>7437504</v>
      </c>
      <c r="D192" s="9" t="s">
        <v>120</v>
      </c>
    </row>
    <row r="193" customFormat="false" ht="15" hidden="false" customHeight="false" outlineLevel="0" collapsed="false">
      <c r="A193" s="12" t="n">
        <v>45383</v>
      </c>
      <c r="B193" s="3" t="s">
        <v>126</v>
      </c>
      <c r="C193" s="3" t="n">
        <v>11227975</v>
      </c>
      <c r="D193" s="9" t="s">
        <v>120</v>
      </c>
    </row>
    <row r="194" customFormat="false" ht="15" hidden="false" customHeight="false" outlineLevel="0" collapsed="false">
      <c r="A194" s="12" t="n">
        <v>45413</v>
      </c>
      <c r="B194" s="3" t="s">
        <v>126</v>
      </c>
      <c r="C194" s="3" t="n">
        <v>4786551</v>
      </c>
      <c r="D194" s="9" t="s">
        <v>120</v>
      </c>
    </row>
    <row r="195" customFormat="false" ht="15" hidden="false" customHeight="false" outlineLevel="0" collapsed="false">
      <c r="A195" s="12" t="n">
        <v>45444</v>
      </c>
      <c r="B195" s="3" t="s">
        <v>126</v>
      </c>
      <c r="C195" s="3" t="n">
        <v>6002</v>
      </c>
      <c r="D195" s="9" t="s">
        <v>120</v>
      </c>
    </row>
    <row r="196" customFormat="false" ht="15" hidden="false" customHeight="false" outlineLevel="0" collapsed="false">
      <c r="A196" s="12" t="n">
        <v>45474</v>
      </c>
      <c r="B196" s="3" t="s">
        <v>126</v>
      </c>
      <c r="C196" s="3" t="n">
        <v>4709170</v>
      </c>
      <c r="D196" s="9" t="s">
        <v>120</v>
      </c>
    </row>
    <row r="197" customFormat="false" ht="15" hidden="false" customHeight="false" outlineLevel="0" collapsed="false">
      <c r="A197" s="12" t="n">
        <v>45505</v>
      </c>
      <c r="B197" s="3" t="s">
        <v>126</v>
      </c>
      <c r="C197" s="3"/>
      <c r="D197" s="9" t="s">
        <v>124</v>
      </c>
    </row>
    <row r="198" customFormat="false" ht="15" hidden="false" customHeight="false" outlineLevel="0" collapsed="false">
      <c r="A198" s="12" t="n">
        <v>45536</v>
      </c>
      <c r="B198" s="3" t="s">
        <v>126</v>
      </c>
      <c r="C198" s="3" t="n">
        <v>4924554</v>
      </c>
      <c r="D198" s="9" t="s">
        <v>120</v>
      </c>
    </row>
    <row r="199" customFormat="false" ht="15" hidden="false" customHeight="false" outlineLevel="0" collapsed="false">
      <c r="A199" s="12" t="n">
        <v>45566</v>
      </c>
      <c r="B199" s="3" t="s">
        <v>126</v>
      </c>
      <c r="C199" s="3" t="n">
        <v>19270616</v>
      </c>
      <c r="D199" s="9" t="s">
        <v>120</v>
      </c>
    </row>
    <row r="200" customFormat="false" ht="15" hidden="false" customHeight="false" outlineLevel="0" collapsed="false">
      <c r="A200" s="12" t="n">
        <v>45597</v>
      </c>
      <c r="B200" s="3" t="s">
        <v>126</v>
      </c>
      <c r="C200" s="3" t="n">
        <v>16101431</v>
      </c>
      <c r="D200" s="9" t="s">
        <v>120</v>
      </c>
    </row>
    <row r="201" customFormat="false" ht="15" hidden="false" customHeight="false" outlineLevel="0" collapsed="false">
      <c r="A201" s="12" t="n">
        <v>45627</v>
      </c>
      <c r="B201" s="3" t="s">
        <v>126</v>
      </c>
      <c r="C201" s="3" t="n">
        <v>16997506</v>
      </c>
      <c r="D201" s="9" t="s">
        <v>120</v>
      </c>
    </row>
    <row r="202" customFormat="false" ht="15" hidden="false" customHeight="false" outlineLevel="0" collapsed="false">
      <c r="A202" s="12" t="n">
        <v>45658</v>
      </c>
      <c r="B202" s="3" t="s">
        <v>126</v>
      </c>
      <c r="C202" s="3" t="n">
        <v>11508696</v>
      </c>
      <c r="D202" s="9" t="s">
        <v>120</v>
      </c>
    </row>
    <row r="203" customFormat="false" ht="15" hidden="false" customHeight="false" outlineLevel="0" collapsed="false">
      <c r="A203" s="12" t="n">
        <v>45689</v>
      </c>
      <c r="B203" s="3" t="s">
        <v>126</v>
      </c>
      <c r="C203" s="3" t="n">
        <v>7199482</v>
      </c>
      <c r="D203" s="9" t="s">
        <v>120</v>
      </c>
    </row>
    <row r="204" customFormat="false" ht="15" hidden="false" customHeight="false" outlineLevel="0" collapsed="false">
      <c r="A204" s="12" t="n">
        <v>45717</v>
      </c>
      <c r="B204" s="3" t="s">
        <v>126</v>
      </c>
      <c r="C204" s="3" t="n">
        <v>13383109</v>
      </c>
      <c r="D204" s="9" t="s">
        <v>120</v>
      </c>
    </row>
    <row r="205" customFormat="false" ht="15" hidden="false" customHeight="false" outlineLevel="0" collapsed="false">
      <c r="A205" s="12" t="n">
        <v>45748</v>
      </c>
      <c r="B205" s="3" t="s">
        <v>126</v>
      </c>
      <c r="C205" s="3" t="n">
        <v>8078717</v>
      </c>
      <c r="D205" s="9" t="s">
        <v>120</v>
      </c>
    </row>
    <row r="206" customFormat="false" ht="15" hidden="false" customHeight="false" outlineLevel="0" collapsed="false">
      <c r="A206" s="12" t="n">
        <v>45778</v>
      </c>
      <c r="B206" s="3" t="s">
        <v>126</v>
      </c>
      <c r="C206" s="3" t="n">
        <v>17946075</v>
      </c>
      <c r="D206" s="9" t="s">
        <v>120</v>
      </c>
    </row>
    <row r="207" customFormat="false" ht="15" hidden="false" customHeight="false" outlineLevel="0" collapsed="false">
      <c r="A207" s="12" t="n">
        <v>45809</v>
      </c>
      <c r="B207" s="3" t="s">
        <v>126</v>
      </c>
      <c r="C207" s="3" t="n">
        <v>24872873</v>
      </c>
      <c r="D207" s="9" t="s">
        <v>120</v>
      </c>
    </row>
    <row r="208" customFormat="false" ht="15" hidden="false" customHeight="false" outlineLevel="0" collapsed="false">
      <c r="A208" s="12" t="n">
        <v>45839</v>
      </c>
      <c r="B208" s="3" t="s">
        <v>126</v>
      </c>
      <c r="C208" s="3" t="n">
        <v>9043850</v>
      </c>
      <c r="D208" s="9" t="s">
        <v>120</v>
      </c>
    </row>
    <row r="209" customFormat="false" ht="15" hidden="false" customHeight="false" outlineLevel="0" collapsed="false">
      <c r="A209" s="12" t="n">
        <v>45870</v>
      </c>
      <c r="B209" s="3" t="s">
        <v>126</v>
      </c>
      <c r="C209" s="3" t="n">
        <v>12966553</v>
      </c>
      <c r="D209" s="9" t="s">
        <v>120</v>
      </c>
    </row>
    <row r="210" customFormat="false" ht="15" hidden="false" customHeight="false" outlineLevel="0" collapsed="false">
      <c r="A210" s="12" t="n">
        <v>45901</v>
      </c>
      <c r="B210" s="3" t="s">
        <v>126</v>
      </c>
      <c r="C210" s="3" t="n">
        <v>2148026</v>
      </c>
      <c r="D210" s="9" t="s">
        <v>120</v>
      </c>
    </row>
    <row r="211" customFormat="false" ht="15" hidden="false" customHeight="false" outlineLevel="0" collapsed="false">
      <c r="A211" s="12" t="n">
        <v>45931</v>
      </c>
      <c r="B211" s="3" t="s">
        <v>126</v>
      </c>
      <c r="C211" s="3" t="n">
        <v>6267575</v>
      </c>
      <c r="D211" s="9" t="s">
        <v>120</v>
      </c>
    </row>
    <row r="212" customFormat="false" ht="15" hidden="false" customHeight="false" outlineLevel="0" collapsed="false">
      <c r="A212" s="12" t="n">
        <v>45962</v>
      </c>
      <c r="B212" s="3" t="s">
        <v>126</v>
      </c>
      <c r="C212" s="3" t="n">
        <v>44544348</v>
      </c>
      <c r="D212" s="9" t="s">
        <v>120</v>
      </c>
    </row>
    <row r="213" customFormat="false" ht="15" hidden="false" customHeight="false" outlineLevel="0" collapsed="false">
      <c r="A213" s="12" t="n">
        <v>45992</v>
      </c>
      <c r="B213" s="3" t="s">
        <v>126</v>
      </c>
      <c r="C213" s="3" t="n">
        <v>36206379</v>
      </c>
      <c r="D213" s="9" t="s">
        <v>120</v>
      </c>
    </row>
    <row r="214" customFormat="false" ht="15" hidden="false" customHeight="false" outlineLevel="0" collapsed="false">
      <c r="A214" s="12" t="n">
        <v>46023</v>
      </c>
      <c r="B214" s="3" t="s">
        <v>126</v>
      </c>
      <c r="C214" s="3" t="n">
        <v>4535839</v>
      </c>
      <c r="D214" s="9" t="s">
        <v>120</v>
      </c>
    </row>
    <row r="215" customFormat="false" ht="15" hidden="false" customHeight="false" outlineLevel="0" collapsed="false">
      <c r="A215" s="12" t="n">
        <v>46054</v>
      </c>
      <c r="B215" s="3" t="s">
        <v>126</v>
      </c>
      <c r="C215" s="3" t="n">
        <v>20707825</v>
      </c>
      <c r="D215" s="9" t="s">
        <v>120</v>
      </c>
    </row>
    <row r="216" customFormat="false" ht="15" hidden="false" customHeight="false" outlineLevel="0" collapsed="false">
      <c r="A216" s="12" t="n">
        <v>46082</v>
      </c>
      <c r="B216" s="3" t="s">
        <v>126</v>
      </c>
      <c r="C216" s="3" t="n">
        <v>25872822</v>
      </c>
      <c r="D216" s="9" t="s">
        <v>120</v>
      </c>
    </row>
    <row r="217" customFormat="false" ht="15" hidden="false" customHeight="false" outlineLevel="0" collapsed="false">
      <c r="A217" s="12" t="n">
        <v>46113</v>
      </c>
      <c r="B217" s="3" t="s">
        <v>126</v>
      </c>
      <c r="C217" s="3" t="n">
        <v>18186971</v>
      </c>
      <c r="D217" s="9" t="s">
        <v>120</v>
      </c>
    </row>
    <row r="218" customFormat="false" ht="15" hidden="false" customHeight="false" outlineLevel="0" collapsed="false">
      <c r="A218" s="12" t="n">
        <v>46143</v>
      </c>
      <c r="B218" s="3" t="s">
        <v>126</v>
      </c>
      <c r="C218" s="3" t="n">
        <v>13598447</v>
      </c>
      <c r="D218" s="9" t="s">
        <v>120</v>
      </c>
    </row>
    <row r="219" customFormat="false" ht="15" hidden="false" customHeight="false" outlineLevel="0" collapsed="false">
      <c r="A219" s="12" t="n">
        <v>46174</v>
      </c>
      <c r="B219" s="3" t="s">
        <v>126</v>
      </c>
      <c r="C219" s="3" t="n">
        <v>11151111</v>
      </c>
      <c r="D219" s="9" t="s">
        <v>120</v>
      </c>
    </row>
    <row r="220" customFormat="false" ht="15" hidden="false" customHeight="false" outlineLevel="0" collapsed="false">
      <c r="A220" s="12" t="n">
        <v>46204</v>
      </c>
      <c r="B220" s="3" t="s">
        <v>126</v>
      </c>
      <c r="C220" s="3" t="n">
        <v>4550907</v>
      </c>
      <c r="D220" s="9" t="s">
        <v>120</v>
      </c>
    </row>
    <row r="221" customFormat="false" ht="15" hidden="false" customHeight="false" outlineLevel="0" collapsed="false">
      <c r="A221" s="12" t="n">
        <v>46235</v>
      </c>
      <c r="B221" s="3" t="s">
        <v>126</v>
      </c>
      <c r="C221" s="3" t="n">
        <v>20050419</v>
      </c>
      <c r="D221" s="9" t="s">
        <v>120</v>
      </c>
    </row>
    <row r="222" customFormat="false" ht="15" hidden="false" customHeight="false" outlineLevel="0" collapsed="false">
      <c r="A222" s="12" t="n">
        <v>44927</v>
      </c>
      <c r="B222" s="3" t="s">
        <v>127</v>
      </c>
      <c r="C222" s="3" t="n">
        <v>89711766</v>
      </c>
      <c r="D222" s="9" t="s">
        <v>120</v>
      </c>
    </row>
    <row r="223" customFormat="false" ht="15" hidden="false" customHeight="false" outlineLevel="0" collapsed="false">
      <c r="A223" s="12" t="n">
        <v>44958</v>
      </c>
      <c r="B223" s="3" t="s">
        <v>127</v>
      </c>
      <c r="C223" s="3" t="n">
        <v>89791125</v>
      </c>
      <c r="D223" s="9" t="s">
        <v>120</v>
      </c>
    </row>
    <row r="224" customFormat="false" ht="15" hidden="false" customHeight="false" outlineLevel="0" collapsed="false">
      <c r="A224" s="12" t="n">
        <v>44986</v>
      </c>
      <c r="B224" s="3" t="s">
        <v>127</v>
      </c>
      <c r="C224" s="3" t="n">
        <v>69012169</v>
      </c>
      <c r="D224" s="9" t="s">
        <v>120</v>
      </c>
    </row>
    <row r="225" customFormat="false" ht="15" hidden="false" customHeight="false" outlineLevel="0" collapsed="false">
      <c r="A225" s="12" t="n">
        <v>45017</v>
      </c>
      <c r="B225" s="3" t="s">
        <v>127</v>
      </c>
      <c r="C225" s="3" t="n">
        <v>30953845</v>
      </c>
      <c r="D225" s="9" t="s">
        <v>120</v>
      </c>
    </row>
    <row r="226" customFormat="false" ht="15" hidden="false" customHeight="false" outlineLevel="0" collapsed="false">
      <c r="A226" s="12" t="n">
        <v>45047</v>
      </c>
      <c r="B226" s="3" t="s">
        <v>127</v>
      </c>
      <c r="C226" s="3" t="n">
        <v>88930447</v>
      </c>
      <c r="D226" s="9" t="s">
        <v>120</v>
      </c>
    </row>
    <row r="227" customFormat="false" ht="15" hidden="false" customHeight="false" outlineLevel="0" collapsed="false">
      <c r="A227" s="12" t="n">
        <v>45078</v>
      </c>
      <c r="B227" s="3" t="s">
        <v>127</v>
      </c>
      <c r="C227" s="3" t="n">
        <v>12217930</v>
      </c>
      <c r="D227" s="9" t="s">
        <v>120</v>
      </c>
    </row>
    <row r="228" customFormat="false" ht="15" hidden="false" customHeight="false" outlineLevel="0" collapsed="false">
      <c r="A228" s="12" t="n">
        <v>45108</v>
      </c>
      <c r="B228" s="3" t="s">
        <v>127</v>
      </c>
      <c r="C228" s="3" t="n">
        <v>40411427</v>
      </c>
      <c r="D228" s="9" t="s">
        <v>120</v>
      </c>
    </row>
    <row r="229" customFormat="false" ht="15" hidden="false" customHeight="false" outlineLevel="0" collapsed="false">
      <c r="A229" s="12" t="n">
        <v>45139</v>
      </c>
      <c r="B229" s="3" t="s">
        <v>127</v>
      </c>
      <c r="C229" s="3" t="n">
        <v>11962928</v>
      </c>
      <c r="D229" s="9" t="s">
        <v>120</v>
      </c>
    </row>
    <row r="230" customFormat="false" ht="15" hidden="false" customHeight="false" outlineLevel="0" collapsed="false">
      <c r="A230" s="12" t="n">
        <v>45170</v>
      </c>
      <c r="B230" s="3" t="s">
        <v>127</v>
      </c>
      <c r="C230" s="3" t="n">
        <v>9288428</v>
      </c>
      <c r="D230" s="9" t="s">
        <v>120</v>
      </c>
    </row>
    <row r="231" customFormat="false" ht="15" hidden="false" customHeight="false" outlineLevel="0" collapsed="false">
      <c r="A231" s="12" t="n">
        <v>45200</v>
      </c>
      <c r="B231" s="3" t="s">
        <v>127</v>
      </c>
      <c r="C231" s="3" t="n">
        <v>40418962</v>
      </c>
      <c r="D231" s="9" t="s">
        <v>120</v>
      </c>
    </row>
    <row r="232" customFormat="false" ht="15" hidden="false" customHeight="false" outlineLevel="0" collapsed="false">
      <c r="A232" s="12" t="n">
        <v>45231</v>
      </c>
      <c r="B232" s="3" t="s">
        <v>127</v>
      </c>
      <c r="C232" s="3" t="n">
        <v>4705023</v>
      </c>
      <c r="D232" s="9" t="s">
        <v>120</v>
      </c>
    </row>
    <row r="233" customFormat="false" ht="15" hidden="false" customHeight="false" outlineLevel="0" collapsed="false">
      <c r="A233" s="12" t="n">
        <v>45261</v>
      </c>
      <c r="B233" s="3" t="s">
        <v>127</v>
      </c>
      <c r="C233" s="3" t="n">
        <v>18600031</v>
      </c>
      <c r="D233" s="9" t="s">
        <v>120</v>
      </c>
    </row>
    <row r="234" customFormat="false" ht="15" hidden="false" customHeight="false" outlineLevel="0" collapsed="false">
      <c r="A234" s="12" t="n">
        <v>45292</v>
      </c>
      <c r="B234" s="3" t="s">
        <v>127</v>
      </c>
      <c r="C234" s="3" t="n">
        <v>32494538</v>
      </c>
      <c r="D234" s="9" t="s">
        <v>120</v>
      </c>
    </row>
    <row r="235" customFormat="false" ht="15" hidden="false" customHeight="false" outlineLevel="0" collapsed="false">
      <c r="A235" s="12" t="n">
        <v>45323</v>
      </c>
      <c r="B235" s="3" t="s">
        <v>127</v>
      </c>
      <c r="C235" s="3" t="n">
        <v>4175677</v>
      </c>
      <c r="D235" s="9" t="s">
        <v>120</v>
      </c>
    </row>
    <row r="236" customFormat="false" ht="15" hidden="false" customHeight="false" outlineLevel="0" collapsed="false">
      <c r="A236" s="12" t="n">
        <v>45352</v>
      </c>
      <c r="B236" s="3" t="s">
        <v>127</v>
      </c>
      <c r="C236" s="3" t="n">
        <v>6710231</v>
      </c>
      <c r="D236" s="9" t="s">
        <v>120</v>
      </c>
    </row>
    <row r="237" customFormat="false" ht="15" hidden="false" customHeight="false" outlineLevel="0" collapsed="false">
      <c r="A237" s="12" t="n">
        <v>45383</v>
      </c>
      <c r="B237" s="3" t="s">
        <v>127</v>
      </c>
      <c r="C237" s="3" t="n">
        <v>44073021</v>
      </c>
      <c r="D237" s="9" t="s">
        <v>120</v>
      </c>
    </row>
    <row r="238" customFormat="false" ht="15" hidden="false" customHeight="false" outlineLevel="0" collapsed="false">
      <c r="A238" s="12" t="n">
        <v>45413</v>
      </c>
      <c r="B238" s="3" t="s">
        <v>127</v>
      </c>
      <c r="C238" s="3" t="n">
        <v>3635688</v>
      </c>
      <c r="D238" s="9" t="s">
        <v>120</v>
      </c>
    </row>
    <row r="239" customFormat="false" ht="15" hidden="false" customHeight="false" outlineLevel="0" collapsed="false">
      <c r="A239" s="12" t="n">
        <v>45444</v>
      </c>
      <c r="B239" s="3" t="s">
        <v>127</v>
      </c>
      <c r="C239" s="3" t="n">
        <v>44987994</v>
      </c>
      <c r="D239" s="9" t="s">
        <v>120</v>
      </c>
    </row>
    <row r="240" customFormat="false" ht="15" hidden="false" customHeight="false" outlineLevel="0" collapsed="false">
      <c r="A240" s="12" t="n">
        <v>45474</v>
      </c>
      <c r="B240" s="3" t="s">
        <v>127</v>
      </c>
      <c r="C240" s="3" t="n">
        <v>55221446</v>
      </c>
      <c r="D240" s="9" t="s">
        <v>120</v>
      </c>
    </row>
    <row r="241" customFormat="false" ht="15" hidden="false" customHeight="false" outlineLevel="0" collapsed="false">
      <c r="A241" s="12" t="n">
        <v>45505</v>
      </c>
      <c r="B241" s="3" t="s">
        <v>127</v>
      </c>
      <c r="C241" s="3" t="n">
        <v>26667383</v>
      </c>
      <c r="D241" s="9" t="s">
        <v>120</v>
      </c>
    </row>
    <row r="242" customFormat="false" ht="15" hidden="false" customHeight="false" outlineLevel="0" collapsed="false">
      <c r="A242" s="12" t="n">
        <v>45536</v>
      </c>
      <c r="B242" s="3" t="s">
        <v>127</v>
      </c>
      <c r="C242" s="3" t="n">
        <v>52722116</v>
      </c>
      <c r="D242" s="9" t="s">
        <v>120</v>
      </c>
    </row>
    <row r="243" customFormat="false" ht="15" hidden="false" customHeight="false" outlineLevel="0" collapsed="false">
      <c r="A243" s="12" t="n">
        <v>45566</v>
      </c>
      <c r="B243" s="3" t="s">
        <v>127</v>
      </c>
      <c r="C243" s="3" t="n">
        <v>40304531</v>
      </c>
      <c r="D243" s="9" t="s">
        <v>120</v>
      </c>
    </row>
    <row r="244" customFormat="false" ht="15" hidden="false" customHeight="false" outlineLevel="0" collapsed="false">
      <c r="A244" s="12" t="n">
        <v>45597</v>
      </c>
      <c r="B244" s="3" t="s">
        <v>127</v>
      </c>
      <c r="C244" s="3" t="n">
        <v>38581381</v>
      </c>
      <c r="D244" s="9" t="s">
        <v>120</v>
      </c>
    </row>
    <row r="245" customFormat="false" ht="15" hidden="false" customHeight="false" outlineLevel="0" collapsed="false">
      <c r="A245" s="12" t="n">
        <v>45627</v>
      </c>
      <c r="B245" s="3" t="s">
        <v>127</v>
      </c>
      <c r="C245" s="3" t="n">
        <v>93294764</v>
      </c>
      <c r="D245" s="9" t="s">
        <v>120</v>
      </c>
    </row>
    <row r="246" customFormat="false" ht="15" hidden="false" customHeight="false" outlineLevel="0" collapsed="false">
      <c r="A246" s="12" t="n">
        <v>45658</v>
      </c>
      <c r="B246" s="3" t="s">
        <v>127</v>
      </c>
      <c r="C246" s="3" t="n">
        <v>33326360</v>
      </c>
      <c r="D246" s="9" t="s">
        <v>120</v>
      </c>
    </row>
    <row r="247" customFormat="false" ht="15" hidden="false" customHeight="false" outlineLevel="0" collapsed="false">
      <c r="A247" s="12" t="n">
        <v>45689</v>
      </c>
      <c r="B247" s="3" t="s">
        <v>127</v>
      </c>
      <c r="C247" s="3" t="n">
        <v>82208549</v>
      </c>
      <c r="D247" s="9" t="s">
        <v>120</v>
      </c>
    </row>
    <row r="248" customFormat="false" ht="15" hidden="false" customHeight="false" outlineLevel="0" collapsed="false">
      <c r="A248" s="12" t="n">
        <v>45717</v>
      </c>
      <c r="B248" s="3" t="s">
        <v>127</v>
      </c>
      <c r="C248" s="3" t="n">
        <v>132379336</v>
      </c>
      <c r="D248" s="9" t="s">
        <v>120</v>
      </c>
    </row>
    <row r="249" customFormat="false" ht="15" hidden="false" customHeight="false" outlineLevel="0" collapsed="false">
      <c r="A249" s="12" t="n">
        <v>45748</v>
      </c>
      <c r="B249" s="3" t="s">
        <v>127</v>
      </c>
      <c r="C249" s="3" t="n">
        <v>49145454</v>
      </c>
      <c r="D249" s="9" t="s">
        <v>120</v>
      </c>
    </row>
    <row r="250" customFormat="false" ht="15" hidden="false" customHeight="false" outlineLevel="0" collapsed="false">
      <c r="A250" s="12" t="n">
        <v>45778</v>
      </c>
      <c r="B250" s="3" t="s">
        <v>127</v>
      </c>
      <c r="C250" s="3" t="n">
        <v>65257479</v>
      </c>
      <c r="D250" s="9" t="s">
        <v>120</v>
      </c>
    </row>
    <row r="251" customFormat="false" ht="15" hidden="false" customHeight="false" outlineLevel="0" collapsed="false">
      <c r="A251" s="12" t="n">
        <v>45809</v>
      </c>
      <c r="B251" s="3" t="s">
        <v>127</v>
      </c>
      <c r="C251" s="3" t="n">
        <v>88604256</v>
      </c>
      <c r="D251" s="9" t="s">
        <v>120</v>
      </c>
    </row>
    <row r="252" customFormat="false" ht="15" hidden="false" customHeight="false" outlineLevel="0" collapsed="false">
      <c r="A252" s="12" t="n">
        <v>45839</v>
      </c>
      <c r="B252" s="3" t="s">
        <v>127</v>
      </c>
      <c r="C252" s="3" t="n">
        <v>53272490</v>
      </c>
      <c r="D252" s="9" t="s">
        <v>120</v>
      </c>
    </row>
    <row r="253" customFormat="false" ht="15" hidden="false" customHeight="false" outlineLevel="0" collapsed="false">
      <c r="A253" s="12" t="n">
        <v>45870</v>
      </c>
      <c r="B253" s="3" t="s">
        <v>127</v>
      </c>
      <c r="C253" s="3" t="n">
        <v>66566487</v>
      </c>
      <c r="D253" s="9" t="s">
        <v>120</v>
      </c>
    </row>
    <row r="254" customFormat="false" ht="15" hidden="false" customHeight="false" outlineLevel="0" collapsed="false">
      <c r="A254" s="12" t="n">
        <v>45901</v>
      </c>
      <c r="B254" s="3" t="s">
        <v>127</v>
      </c>
      <c r="C254" s="3" t="n">
        <v>51170098</v>
      </c>
      <c r="D254" s="9" t="s">
        <v>120</v>
      </c>
    </row>
    <row r="255" customFormat="false" ht="15" hidden="false" customHeight="false" outlineLevel="0" collapsed="false">
      <c r="A255" s="12" t="n">
        <v>45931</v>
      </c>
      <c r="B255" s="3" t="s">
        <v>127</v>
      </c>
      <c r="C255" s="3" t="n">
        <v>25740367</v>
      </c>
      <c r="D255" s="9" t="s">
        <v>120</v>
      </c>
    </row>
    <row r="256" customFormat="false" ht="15" hidden="false" customHeight="false" outlineLevel="0" collapsed="false">
      <c r="A256" s="12" t="n">
        <v>45962</v>
      </c>
      <c r="B256" s="3" t="s">
        <v>127</v>
      </c>
      <c r="C256" s="3" t="n">
        <v>109548286</v>
      </c>
      <c r="D256" s="9" t="s">
        <v>120</v>
      </c>
    </row>
    <row r="257" customFormat="false" ht="15" hidden="false" customHeight="false" outlineLevel="0" collapsed="false">
      <c r="A257" s="12" t="n">
        <v>45992</v>
      </c>
      <c r="B257" s="3" t="s">
        <v>127</v>
      </c>
      <c r="C257" s="3" t="n">
        <v>56553654</v>
      </c>
      <c r="D257" s="9" t="s">
        <v>120</v>
      </c>
    </row>
    <row r="258" customFormat="false" ht="15" hidden="false" customHeight="false" outlineLevel="0" collapsed="false">
      <c r="A258" s="12" t="n">
        <v>46023</v>
      </c>
      <c r="B258" s="3" t="s">
        <v>127</v>
      </c>
      <c r="C258" s="3" t="n">
        <v>72335555</v>
      </c>
      <c r="D258" s="9" t="s">
        <v>120</v>
      </c>
    </row>
    <row r="259" customFormat="false" ht="15" hidden="false" customHeight="false" outlineLevel="0" collapsed="false">
      <c r="A259" s="12" t="n">
        <v>46054</v>
      </c>
      <c r="B259" s="3" t="s">
        <v>127</v>
      </c>
      <c r="C259" s="3" t="n">
        <v>67839403</v>
      </c>
      <c r="D259" s="9" t="s">
        <v>120</v>
      </c>
    </row>
    <row r="260" customFormat="false" ht="15" hidden="false" customHeight="false" outlineLevel="0" collapsed="false">
      <c r="A260" s="12" t="n">
        <v>46082</v>
      </c>
      <c r="B260" s="3" t="s">
        <v>127</v>
      </c>
      <c r="C260" s="3" t="n">
        <v>95399810</v>
      </c>
      <c r="D260" s="9" t="s">
        <v>120</v>
      </c>
    </row>
    <row r="261" customFormat="false" ht="15" hidden="false" customHeight="false" outlineLevel="0" collapsed="false">
      <c r="A261" s="12" t="n">
        <v>46113</v>
      </c>
      <c r="B261" s="3" t="s">
        <v>127</v>
      </c>
      <c r="C261" s="3" t="n">
        <v>65548164</v>
      </c>
      <c r="D261" s="9" t="s">
        <v>120</v>
      </c>
    </row>
    <row r="262" customFormat="false" ht="15" hidden="false" customHeight="false" outlineLevel="0" collapsed="false">
      <c r="A262" s="12" t="n">
        <v>46143</v>
      </c>
      <c r="B262" s="3" t="s">
        <v>127</v>
      </c>
      <c r="C262" s="3" t="n">
        <v>58295624</v>
      </c>
      <c r="D262" s="9" t="s">
        <v>120</v>
      </c>
    </row>
    <row r="263" customFormat="false" ht="15" hidden="false" customHeight="false" outlineLevel="0" collapsed="false">
      <c r="A263" s="12" t="n">
        <v>46174</v>
      </c>
      <c r="B263" s="3" t="s">
        <v>127</v>
      </c>
      <c r="C263" s="3" t="n">
        <v>182052978</v>
      </c>
      <c r="D263" s="9" t="s">
        <v>120</v>
      </c>
    </row>
    <row r="264" customFormat="false" ht="15" hidden="false" customHeight="false" outlineLevel="0" collapsed="false">
      <c r="A264" s="12" t="n">
        <v>46204</v>
      </c>
      <c r="B264" s="3" t="s">
        <v>127</v>
      </c>
      <c r="C264" s="3" t="n">
        <v>86151314</v>
      </c>
      <c r="D264" s="9" t="s">
        <v>120</v>
      </c>
    </row>
    <row r="265" customFormat="false" ht="15" hidden="false" customHeight="false" outlineLevel="0" collapsed="false">
      <c r="A265" s="12" t="n">
        <v>46235</v>
      </c>
      <c r="B265" s="3" t="s">
        <v>127</v>
      </c>
      <c r="C265" s="3" t="n">
        <v>73076979</v>
      </c>
      <c r="D265" s="9" t="s">
        <v>120</v>
      </c>
    </row>
    <row r="266" customFormat="false" ht="15" hidden="false" customHeight="false" outlineLevel="0" collapsed="false">
      <c r="A266" s="12" t="n">
        <v>44927</v>
      </c>
      <c r="B266" s="3" t="s">
        <v>128</v>
      </c>
      <c r="C266" s="3" t="n">
        <v>18638986</v>
      </c>
      <c r="D266" s="9" t="s">
        <v>120</v>
      </c>
    </row>
    <row r="267" customFormat="false" ht="15" hidden="false" customHeight="false" outlineLevel="0" collapsed="false">
      <c r="A267" s="12" t="n">
        <v>44958</v>
      </c>
      <c r="B267" s="3" t="s">
        <v>128</v>
      </c>
      <c r="C267" s="3" t="n">
        <v>13188045</v>
      </c>
      <c r="D267" s="9" t="s">
        <v>120</v>
      </c>
    </row>
    <row r="268" customFormat="false" ht="15" hidden="false" customHeight="false" outlineLevel="0" collapsed="false">
      <c r="A268" s="12" t="n">
        <v>44986</v>
      </c>
      <c r="B268" s="3" t="s">
        <v>128</v>
      </c>
      <c r="C268" s="3" t="n">
        <v>8335360</v>
      </c>
      <c r="D268" s="9" t="s">
        <v>120</v>
      </c>
    </row>
    <row r="269" customFormat="false" ht="15" hidden="false" customHeight="false" outlineLevel="0" collapsed="false">
      <c r="A269" s="12" t="n">
        <v>45017</v>
      </c>
      <c r="B269" s="3" t="s">
        <v>128</v>
      </c>
      <c r="C269" s="3" t="n">
        <v>12731633</v>
      </c>
      <c r="D269" s="9" t="s">
        <v>120</v>
      </c>
    </row>
    <row r="270" customFormat="false" ht="15" hidden="false" customHeight="false" outlineLevel="0" collapsed="false">
      <c r="A270" s="12" t="n">
        <v>45047</v>
      </c>
      <c r="B270" s="3" t="s">
        <v>128</v>
      </c>
      <c r="C270" s="3" t="n">
        <v>9335333</v>
      </c>
      <c r="D270" s="9" t="s">
        <v>120</v>
      </c>
    </row>
    <row r="271" customFormat="false" ht="15" hidden="false" customHeight="false" outlineLevel="0" collapsed="false">
      <c r="A271" s="12" t="n">
        <v>45078</v>
      </c>
      <c r="B271" s="3" t="s">
        <v>128</v>
      </c>
      <c r="C271" s="3" t="n">
        <v>8789425</v>
      </c>
      <c r="D271" s="9" t="s">
        <v>120</v>
      </c>
    </row>
    <row r="272" customFormat="false" ht="15" hidden="false" customHeight="false" outlineLevel="0" collapsed="false">
      <c r="A272" s="12" t="n">
        <v>45108</v>
      </c>
      <c r="B272" s="3" t="s">
        <v>128</v>
      </c>
      <c r="C272" s="3" t="n">
        <v>13181380</v>
      </c>
      <c r="D272" s="9" t="s">
        <v>120</v>
      </c>
    </row>
    <row r="273" customFormat="false" ht="15" hidden="false" customHeight="false" outlineLevel="0" collapsed="false">
      <c r="A273" s="12" t="n">
        <v>45139</v>
      </c>
      <c r="B273" s="3" t="s">
        <v>128</v>
      </c>
      <c r="C273" s="3" t="n">
        <v>6057902</v>
      </c>
      <c r="D273" s="9" t="s">
        <v>120</v>
      </c>
    </row>
    <row r="274" customFormat="false" ht="15" hidden="false" customHeight="false" outlineLevel="0" collapsed="false">
      <c r="A274" s="12" t="n">
        <v>45170</v>
      </c>
      <c r="B274" s="3" t="s">
        <v>128</v>
      </c>
      <c r="C274" s="3" t="n">
        <v>8333171</v>
      </c>
      <c r="D274" s="9" t="s">
        <v>120</v>
      </c>
    </row>
    <row r="275" customFormat="false" ht="15" hidden="false" customHeight="false" outlineLevel="0" collapsed="false">
      <c r="A275" s="12" t="n">
        <v>45200</v>
      </c>
      <c r="B275" s="3" t="s">
        <v>128</v>
      </c>
      <c r="C275" s="3" t="n">
        <v>11081630</v>
      </c>
      <c r="D275" s="9" t="s">
        <v>120</v>
      </c>
    </row>
    <row r="276" customFormat="false" ht="15" hidden="false" customHeight="false" outlineLevel="0" collapsed="false">
      <c r="A276" s="12" t="n">
        <v>45231</v>
      </c>
      <c r="B276" s="3" t="s">
        <v>128</v>
      </c>
      <c r="C276" s="3" t="n">
        <v>13950313</v>
      </c>
      <c r="D276" s="9" t="s">
        <v>120</v>
      </c>
    </row>
    <row r="277" customFormat="false" ht="15" hidden="false" customHeight="false" outlineLevel="0" collapsed="false">
      <c r="A277" s="12" t="n">
        <v>45261</v>
      </c>
      <c r="B277" s="3" t="s">
        <v>128</v>
      </c>
      <c r="C277" s="3" t="n">
        <v>18953895</v>
      </c>
      <c r="D277" s="9" t="s">
        <v>120</v>
      </c>
    </row>
    <row r="278" customFormat="false" ht="15" hidden="false" customHeight="false" outlineLevel="0" collapsed="false">
      <c r="A278" s="12" t="n">
        <v>45292</v>
      </c>
      <c r="B278" s="3" t="s">
        <v>128</v>
      </c>
      <c r="C278" s="3" t="n">
        <v>14629500</v>
      </c>
      <c r="D278" s="9" t="s">
        <v>120</v>
      </c>
    </row>
    <row r="279" customFormat="false" ht="15" hidden="false" customHeight="false" outlineLevel="0" collapsed="false">
      <c r="A279" s="12" t="n">
        <v>45323</v>
      </c>
      <c r="B279" s="3" t="s">
        <v>128</v>
      </c>
      <c r="C279" s="3" t="n">
        <v>16180812</v>
      </c>
      <c r="D279" s="9" t="s">
        <v>120</v>
      </c>
    </row>
    <row r="280" customFormat="false" ht="15" hidden="false" customHeight="false" outlineLevel="0" collapsed="false">
      <c r="A280" s="12" t="n">
        <v>45352</v>
      </c>
      <c r="B280" s="3" t="s">
        <v>128</v>
      </c>
      <c r="C280" s="3" t="n">
        <v>16925500</v>
      </c>
      <c r="D280" s="9" t="s">
        <v>120</v>
      </c>
    </row>
    <row r="281" customFormat="false" ht="15" hidden="false" customHeight="false" outlineLevel="0" collapsed="false">
      <c r="A281" s="12" t="n">
        <v>45383</v>
      </c>
      <c r="B281" s="3" t="s">
        <v>128</v>
      </c>
      <c r="C281" s="3" t="n">
        <v>15968814</v>
      </c>
      <c r="D281" s="9" t="s">
        <v>120</v>
      </c>
    </row>
    <row r="282" customFormat="false" ht="15" hidden="false" customHeight="false" outlineLevel="0" collapsed="false">
      <c r="A282" s="12" t="n">
        <v>45413</v>
      </c>
      <c r="B282" s="3" t="s">
        <v>128</v>
      </c>
      <c r="C282" s="3" t="n">
        <v>8413239</v>
      </c>
      <c r="D282" s="9" t="s">
        <v>120</v>
      </c>
    </row>
    <row r="283" customFormat="false" ht="15" hidden="false" customHeight="false" outlineLevel="0" collapsed="false">
      <c r="A283" s="12" t="n">
        <v>45444</v>
      </c>
      <c r="B283" s="3" t="s">
        <v>128</v>
      </c>
      <c r="C283" s="3" t="n">
        <v>24107858</v>
      </c>
      <c r="D283" s="9" t="s">
        <v>120</v>
      </c>
    </row>
    <row r="284" customFormat="false" ht="15" hidden="false" customHeight="false" outlineLevel="0" collapsed="false">
      <c r="A284" s="12" t="n">
        <v>45474</v>
      </c>
      <c r="B284" s="3" t="s">
        <v>128</v>
      </c>
      <c r="C284" s="3" t="n">
        <v>26696059</v>
      </c>
      <c r="D284" s="9" t="s">
        <v>120</v>
      </c>
    </row>
    <row r="285" customFormat="false" ht="15" hidden="false" customHeight="false" outlineLevel="0" collapsed="false">
      <c r="A285" s="12" t="n">
        <v>45505</v>
      </c>
      <c r="B285" s="3" t="s">
        <v>128</v>
      </c>
      <c r="C285" s="3" t="n">
        <v>24298404</v>
      </c>
      <c r="D285" s="9" t="s">
        <v>120</v>
      </c>
    </row>
    <row r="286" customFormat="false" ht="15" hidden="false" customHeight="false" outlineLevel="0" collapsed="false">
      <c r="A286" s="12" t="n">
        <v>45536</v>
      </c>
      <c r="B286" s="3" t="s">
        <v>128</v>
      </c>
      <c r="C286" s="3" t="n">
        <v>19153300</v>
      </c>
      <c r="D286" s="9" t="s">
        <v>120</v>
      </c>
    </row>
    <row r="287" customFormat="false" ht="15" hidden="false" customHeight="false" outlineLevel="0" collapsed="false">
      <c r="A287" s="12" t="n">
        <v>45566</v>
      </c>
      <c r="B287" s="3" t="s">
        <v>128</v>
      </c>
      <c r="C287" s="3" t="n">
        <v>22268207</v>
      </c>
      <c r="D287" s="9" t="s">
        <v>120</v>
      </c>
    </row>
    <row r="288" customFormat="false" ht="15" hidden="false" customHeight="false" outlineLevel="0" collapsed="false">
      <c r="A288" s="12" t="n">
        <v>45597</v>
      </c>
      <c r="B288" s="3" t="s">
        <v>128</v>
      </c>
      <c r="C288" s="3" t="n">
        <v>24321482</v>
      </c>
      <c r="D288" s="9" t="s">
        <v>120</v>
      </c>
    </row>
    <row r="289" customFormat="false" ht="15" hidden="false" customHeight="false" outlineLevel="0" collapsed="false">
      <c r="A289" s="12" t="n">
        <v>45627</v>
      </c>
      <c r="B289" s="3" t="s">
        <v>128</v>
      </c>
      <c r="C289" s="3" t="n">
        <v>24916388</v>
      </c>
      <c r="D289" s="9" t="s">
        <v>120</v>
      </c>
    </row>
    <row r="290" customFormat="false" ht="15" hidden="false" customHeight="false" outlineLevel="0" collapsed="false">
      <c r="A290" s="12" t="n">
        <v>45658</v>
      </c>
      <c r="B290" s="3" t="s">
        <v>128</v>
      </c>
      <c r="C290" s="3" t="n">
        <v>11809968</v>
      </c>
      <c r="D290" s="9" t="s">
        <v>120</v>
      </c>
    </row>
    <row r="291" customFormat="false" ht="15" hidden="false" customHeight="false" outlineLevel="0" collapsed="false">
      <c r="A291" s="12" t="n">
        <v>45689</v>
      </c>
      <c r="B291" s="3" t="s">
        <v>128</v>
      </c>
      <c r="C291" s="3" t="n">
        <v>22180097</v>
      </c>
      <c r="D291" s="9" t="s">
        <v>120</v>
      </c>
    </row>
    <row r="292" customFormat="false" ht="15" hidden="false" customHeight="false" outlineLevel="0" collapsed="false">
      <c r="A292" s="12" t="n">
        <v>45717</v>
      </c>
      <c r="B292" s="3" t="s">
        <v>128</v>
      </c>
      <c r="C292" s="3" t="n">
        <v>42419874</v>
      </c>
      <c r="D292" s="9" t="s">
        <v>120</v>
      </c>
    </row>
    <row r="293" customFormat="false" ht="15" hidden="false" customHeight="false" outlineLevel="0" collapsed="false">
      <c r="A293" s="12" t="n">
        <v>45748</v>
      </c>
      <c r="B293" s="3" t="s">
        <v>128</v>
      </c>
      <c r="C293" s="3" t="n">
        <v>50848278</v>
      </c>
      <c r="D293" s="9" t="s">
        <v>120</v>
      </c>
    </row>
    <row r="294" customFormat="false" ht="15" hidden="false" customHeight="false" outlineLevel="0" collapsed="false">
      <c r="A294" s="12" t="n">
        <v>45778</v>
      </c>
      <c r="B294" s="3" t="s">
        <v>128</v>
      </c>
      <c r="C294" s="3" t="n">
        <v>57746527</v>
      </c>
      <c r="D294" s="9" t="s">
        <v>120</v>
      </c>
    </row>
    <row r="295" customFormat="false" ht="15" hidden="false" customHeight="false" outlineLevel="0" collapsed="false">
      <c r="A295" s="12" t="n">
        <v>45809</v>
      </c>
      <c r="B295" s="3" t="s">
        <v>128</v>
      </c>
      <c r="C295" s="3" t="n">
        <v>60965331</v>
      </c>
      <c r="D295" s="9" t="s">
        <v>120</v>
      </c>
    </row>
    <row r="296" customFormat="false" ht="15" hidden="false" customHeight="false" outlineLevel="0" collapsed="false">
      <c r="A296" s="12" t="n">
        <v>45839</v>
      </c>
      <c r="B296" s="3" t="s">
        <v>128</v>
      </c>
      <c r="C296" s="3" t="n">
        <v>39397051</v>
      </c>
      <c r="D296" s="9" t="s">
        <v>120</v>
      </c>
    </row>
    <row r="297" customFormat="false" ht="15" hidden="false" customHeight="false" outlineLevel="0" collapsed="false">
      <c r="A297" s="12" t="n">
        <v>45870</v>
      </c>
      <c r="B297" s="3" t="s">
        <v>128</v>
      </c>
      <c r="C297" s="3" t="n">
        <v>24286907</v>
      </c>
      <c r="D297" s="9" t="s">
        <v>120</v>
      </c>
    </row>
    <row r="298" customFormat="false" ht="15" hidden="false" customHeight="false" outlineLevel="0" collapsed="false">
      <c r="A298" s="12" t="n">
        <v>45901</v>
      </c>
      <c r="B298" s="3" t="s">
        <v>128</v>
      </c>
      <c r="C298" s="3" t="n">
        <v>39478742</v>
      </c>
      <c r="D298" s="9" t="s">
        <v>120</v>
      </c>
    </row>
    <row r="299" customFormat="false" ht="15" hidden="false" customHeight="false" outlineLevel="0" collapsed="false">
      <c r="A299" s="12" t="n">
        <v>45931</v>
      </c>
      <c r="B299" s="3" t="s">
        <v>128</v>
      </c>
      <c r="C299" s="3" t="n">
        <v>38024146</v>
      </c>
      <c r="D299" s="9" t="s">
        <v>120</v>
      </c>
    </row>
    <row r="300" customFormat="false" ht="15" hidden="false" customHeight="false" outlineLevel="0" collapsed="false">
      <c r="A300" s="12" t="n">
        <v>45962</v>
      </c>
      <c r="B300" s="3" t="s">
        <v>128</v>
      </c>
      <c r="C300" s="3" t="n">
        <v>72224773</v>
      </c>
      <c r="D300" s="9" t="s">
        <v>120</v>
      </c>
    </row>
    <row r="301" customFormat="false" ht="15" hidden="false" customHeight="false" outlineLevel="0" collapsed="false">
      <c r="A301" s="12" t="n">
        <v>45992</v>
      </c>
      <c r="B301" s="3" t="s">
        <v>128</v>
      </c>
      <c r="C301" s="3" t="n">
        <v>76769889</v>
      </c>
      <c r="D301" s="9" t="s">
        <v>120</v>
      </c>
    </row>
    <row r="302" customFormat="false" ht="15" hidden="false" customHeight="false" outlineLevel="0" collapsed="false">
      <c r="A302" s="12" t="n">
        <v>46023</v>
      </c>
      <c r="B302" s="3" t="s">
        <v>128</v>
      </c>
      <c r="C302" s="3" t="n">
        <v>44491982</v>
      </c>
      <c r="D302" s="9" t="s">
        <v>120</v>
      </c>
    </row>
    <row r="303" customFormat="false" ht="15" hidden="false" customHeight="false" outlineLevel="0" collapsed="false">
      <c r="A303" s="12" t="n">
        <v>46054</v>
      </c>
      <c r="B303" s="3" t="s">
        <v>128</v>
      </c>
      <c r="C303" s="3" t="n">
        <v>38680046</v>
      </c>
      <c r="D303" s="9" t="s">
        <v>120</v>
      </c>
    </row>
    <row r="304" customFormat="false" ht="15" hidden="false" customHeight="false" outlineLevel="0" collapsed="false">
      <c r="A304" s="12" t="n">
        <v>46082</v>
      </c>
      <c r="B304" s="3" t="s">
        <v>128</v>
      </c>
      <c r="C304" s="3" t="n">
        <v>106927784</v>
      </c>
      <c r="D304" s="9" t="s">
        <v>120</v>
      </c>
    </row>
    <row r="305" customFormat="false" ht="15" hidden="false" customHeight="false" outlineLevel="0" collapsed="false">
      <c r="A305" s="12" t="n">
        <v>46113</v>
      </c>
      <c r="B305" s="3" t="s">
        <v>128</v>
      </c>
      <c r="C305" s="3" t="n">
        <v>64231753</v>
      </c>
      <c r="D305" s="9" t="s">
        <v>120</v>
      </c>
    </row>
    <row r="306" customFormat="false" ht="15" hidden="false" customHeight="false" outlineLevel="0" collapsed="false">
      <c r="A306" s="12" t="n">
        <v>46143</v>
      </c>
      <c r="B306" s="3" t="s">
        <v>128</v>
      </c>
      <c r="C306" s="3" t="n">
        <v>58948075</v>
      </c>
      <c r="D306" s="9" t="s">
        <v>120</v>
      </c>
    </row>
    <row r="307" customFormat="false" ht="15" hidden="false" customHeight="false" outlineLevel="0" collapsed="false">
      <c r="A307" s="12" t="n">
        <v>46174</v>
      </c>
      <c r="B307" s="3" t="s">
        <v>128</v>
      </c>
      <c r="C307" s="3" t="n">
        <v>91861302</v>
      </c>
      <c r="D307" s="9" t="s">
        <v>120</v>
      </c>
    </row>
    <row r="308" customFormat="false" ht="15" hidden="false" customHeight="false" outlineLevel="0" collapsed="false">
      <c r="A308" s="12" t="n">
        <v>46204</v>
      </c>
      <c r="B308" s="3" t="s">
        <v>128</v>
      </c>
      <c r="C308" s="3" t="n">
        <v>135651607</v>
      </c>
      <c r="D308" s="9" t="s">
        <v>120</v>
      </c>
    </row>
    <row r="309" customFormat="false" ht="15" hidden="false" customHeight="false" outlineLevel="0" collapsed="false">
      <c r="A309" s="12" t="n">
        <v>46235</v>
      </c>
      <c r="B309" s="3" t="s">
        <v>128</v>
      </c>
      <c r="C309" s="3" t="n">
        <v>77884395</v>
      </c>
      <c r="D309" s="9" t="s">
        <v>120</v>
      </c>
    </row>
    <row r="310" customFormat="false" ht="15" hidden="false" customHeight="false" outlineLevel="0" collapsed="false">
      <c r="A310" s="12" t="n">
        <v>44927</v>
      </c>
      <c r="B310" s="3" t="s">
        <v>129</v>
      </c>
      <c r="C310" s="3" t="n">
        <v>4366305</v>
      </c>
      <c r="D310" s="9" t="s">
        <v>120</v>
      </c>
    </row>
    <row r="311" customFormat="false" ht="15" hidden="false" customHeight="false" outlineLevel="0" collapsed="false">
      <c r="A311" s="12" t="n">
        <v>44958</v>
      </c>
      <c r="B311" s="3" t="s">
        <v>129</v>
      </c>
      <c r="C311" s="3" t="n">
        <v>9344852</v>
      </c>
      <c r="D311" s="9" t="s">
        <v>120</v>
      </c>
    </row>
    <row r="312" customFormat="false" ht="15" hidden="false" customHeight="false" outlineLevel="0" collapsed="false">
      <c r="A312" s="12" t="n">
        <v>44986</v>
      </c>
      <c r="B312" s="3" t="s">
        <v>129</v>
      </c>
      <c r="C312" s="3" t="n">
        <v>8691202</v>
      </c>
      <c r="D312" s="9" t="s">
        <v>120</v>
      </c>
    </row>
    <row r="313" customFormat="false" ht="15" hidden="false" customHeight="false" outlineLevel="0" collapsed="false">
      <c r="A313" s="12" t="n">
        <v>45017</v>
      </c>
      <c r="B313" s="3" t="s">
        <v>129</v>
      </c>
      <c r="C313" s="3" t="n">
        <v>9400695</v>
      </c>
      <c r="D313" s="9" t="s">
        <v>120</v>
      </c>
    </row>
    <row r="314" customFormat="false" ht="15" hidden="false" customHeight="false" outlineLevel="0" collapsed="false">
      <c r="A314" s="12" t="n">
        <v>45047</v>
      </c>
      <c r="B314" s="3" t="s">
        <v>129</v>
      </c>
      <c r="C314" s="3" t="n">
        <v>8836441</v>
      </c>
      <c r="D314" s="9" t="s">
        <v>120</v>
      </c>
    </row>
    <row r="315" customFormat="false" ht="15" hidden="false" customHeight="false" outlineLevel="0" collapsed="false">
      <c r="A315" s="12" t="n">
        <v>45078</v>
      </c>
      <c r="B315" s="3" t="s">
        <v>129</v>
      </c>
      <c r="C315" s="3" t="n">
        <v>4423202</v>
      </c>
      <c r="D315" s="9" t="s">
        <v>120</v>
      </c>
    </row>
    <row r="316" customFormat="false" ht="15" hidden="false" customHeight="false" outlineLevel="0" collapsed="false">
      <c r="A316" s="12" t="n">
        <v>45108</v>
      </c>
      <c r="B316" s="3" t="s">
        <v>129</v>
      </c>
      <c r="C316" s="3" t="n">
        <v>10542841</v>
      </c>
      <c r="D316" s="9" t="s">
        <v>120</v>
      </c>
    </row>
    <row r="317" customFormat="false" ht="15" hidden="false" customHeight="false" outlineLevel="0" collapsed="false">
      <c r="A317" s="12" t="n">
        <v>45139</v>
      </c>
      <c r="B317" s="3" t="s">
        <v>129</v>
      </c>
      <c r="C317" s="3" t="n">
        <v>9283536</v>
      </c>
      <c r="D317" s="9" t="s">
        <v>120</v>
      </c>
    </row>
    <row r="318" customFormat="false" ht="15" hidden="false" customHeight="false" outlineLevel="0" collapsed="false">
      <c r="A318" s="12" t="n">
        <v>45170</v>
      </c>
      <c r="B318" s="3" t="s">
        <v>129</v>
      </c>
      <c r="C318" s="3" t="n">
        <v>5736975</v>
      </c>
      <c r="D318" s="9" t="s">
        <v>120</v>
      </c>
    </row>
    <row r="319" customFormat="false" ht="15" hidden="false" customHeight="false" outlineLevel="0" collapsed="false">
      <c r="A319" s="12" t="n">
        <v>45200</v>
      </c>
      <c r="B319" s="3" t="s">
        <v>129</v>
      </c>
      <c r="C319" s="3" t="n">
        <v>9878772</v>
      </c>
      <c r="D319" s="9" t="s">
        <v>120</v>
      </c>
    </row>
    <row r="320" customFormat="false" ht="15" hidden="false" customHeight="false" outlineLevel="0" collapsed="false">
      <c r="A320" s="12" t="n">
        <v>45231</v>
      </c>
      <c r="B320" s="3" t="s">
        <v>129</v>
      </c>
      <c r="C320" s="3" t="n">
        <v>5060341</v>
      </c>
      <c r="D320" s="9" t="s">
        <v>120</v>
      </c>
    </row>
    <row r="321" customFormat="false" ht="15" hidden="false" customHeight="false" outlineLevel="0" collapsed="false">
      <c r="A321" s="12" t="n">
        <v>45261</v>
      </c>
      <c r="B321" s="3" t="s">
        <v>129</v>
      </c>
      <c r="C321" s="3" t="n">
        <v>6767950</v>
      </c>
      <c r="D321" s="9" t="s">
        <v>120</v>
      </c>
    </row>
    <row r="322" customFormat="false" ht="15" hidden="false" customHeight="false" outlineLevel="0" collapsed="false">
      <c r="A322" s="12" t="n">
        <v>45292</v>
      </c>
      <c r="B322" s="3" t="s">
        <v>129</v>
      </c>
      <c r="C322" s="3" t="n">
        <v>2644410</v>
      </c>
      <c r="D322" s="9" t="s">
        <v>120</v>
      </c>
    </row>
    <row r="323" customFormat="false" ht="15" hidden="false" customHeight="false" outlineLevel="0" collapsed="false">
      <c r="A323" s="12" t="n">
        <v>45323</v>
      </c>
      <c r="B323" s="3" t="s">
        <v>129</v>
      </c>
      <c r="C323" s="3" t="n">
        <v>11694422</v>
      </c>
      <c r="D323" s="9" t="s">
        <v>120</v>
      </c>
    </row>
    <row r="324" customFormat="false" ht="15" hidden="false" customHeight="false" outlineLevel="0" collapsed="false">
      <c r="A324" s="12" t="n">
        <v>45352</v>
      </c>
      <c r="B324" s="3" t="s">
        <v>129</v>
      </c>
      <c r="C324" s="3" t="n">
        <v>9031518</v>
      </c>
      <c r="D324" s="9" t="s">
        <v>120</v>
      </c>
    </row>
    <row r="325" customFormat="false" ht="15" hidden="false" customHeight="false" outlineLevel="0" collapsed="false">
      <c r="A325" s="12" t="n">
        <v>45383</v>
      </c>
      <c r="B325" s="3" t="s">
        <v>129</v>
      </c>
      <c r="C325" s="3" t="n">
        <v>8728067</v>
      </c>
      <c r="D325" s="9" t="s">
        <v>120</v>
      </c>
    </row>
    <row r="326" customFormat="false" ht="15" hidden="false" customHeight="false" outlineLevel="0" collapsed="false">
      <c r="A326" s="12" t="n">
        <v>45413</v>
      </c>
      <c r="B326" s="3" t="s">
        <v>129</v>
      </c>
      <c r="C326" s="3" t="n">
        <v>9079213</v>
      </c>
      <c r="D326" s="9" t="s">
        <v>120</v>
      </c>
    </row>
    <row r="327" customFormat="false" ht="15" hidden="false" customHeight="false" outlineLevel="0" collapsed="false">
      <c r="A327" s="12" t="n">
        <v>45444</v>
      </c>
      <c r="B327" s="3" t="s">
        <v>129</v>
      </c>
      <c r="C327" s="3" t="n">
        <v>6725344</v>
      </c>
      <c r="D327" s="9" t="s">
        <v>120</v>
      </c>
    </row>
    <row r="328" customFormat="false" ht="15" hidden="false" customHeight="false" outlineLevel="0" collapsed="false">
      <c r="A328" s="12" t="n">
        <v>45474</v>
      </c>
      <c r="B328" s="3" t="s">
        <v>129</v>
      </c>
      <c r="C328" s="3" t="n">
        <v>7759603</v>
      </c>
      <c r="D328" s="9" t="s">
        <v>120</v>
      </c>
    </row>
    <row r="329" customFormat="false" ht="15" hidden="false" customHeight="false" outlineLevel="0" collapsed="false">
      <c r="A329" s="12" t="n">
        <v>45505</v>
      </c>
      <c r="B329" s="3" t="s">
        <v>129</v>
      </c>
      <c r="C329" s="3" t="n">
        <v>9179014</v>
      </c>
      <c r="D329" s="9" t="s">
        <v>120</v>
      </c>
    </row>
    <row r="330" customFormat="false" ht="15" hidden="false" customHeight="false" outlineLevel="0" collapsed="false">
      <c r="A330" s="12" t="n">
        <v>45536</v>
      </c>
      <c r="B330" s="3" t="s">
        <v>129</v>
      </c>
      <c r="C330" s="3" t="n">
        <v>9549449</v>
      </c>
      <c r="D330" s="9" t="s">
        <v>120</v>
      </c>
    </row>
    <row r="331" customFormat="false" ht="15" hidden="false" customHeight="false" outlineLevel="0" collapsed="false">
      <c r="A331" s="12" t="n">
        <v>45566</v>
      </c>
      <c r="B331" s="3" t="s">
        <v>129</v>
      </c>
      <c r="C331" s="3" t="n">
        <v>12331414</v>
      </c>
      <c r="D331" s="9" t="s">
        <v>120</v>
      </c>
    </row>
    <row r="332" customFormat="false" ht="15" hidden="false" customHeight="false" outlineLevel="0" collapsed="false">
      <c r="A332" s="12" t="n">
        <v>45597</v>
      </c>
      <c r="B332" s="3" t="s">
        <v>129</v>
      </c>
      <c r="C332" s="3" t="n">
        <v>10175472</v>
      </c>
      <c r="D332" s="9" t="s">
        <v>120</v>
      </c>
    </row>
    <row r="333" customFormat="false" ht="15" hidden="false" customHeight="false" outlineLevel="0" collapsed="false">
      <c r="A333" s="12" t="n">
        <v>45627</v>
      </c>
      <c r="B333" s="3" t="s">
        <v>129</v>
      </c>
      <c r="C333" s="3" t="n">
        <v>14952952</v>
      </c>
      <c r="D333" s="9" t="s">
        <v>120</v>
      </c>
    </row>
    <row r="334" customFormat="false" ht="15" hidden="false" customHeight="false" outlineLevel="0" collapsed="false">
      <c r="A334" s="12" t="n">
        <v>45658</v>
      </c>
      <c r="B334" s="3" t="s">
        <v>129</v>
      </c>
      <c r="C334" s="3" t="n">
        <v>5131709</v>
      </c>
      <c r="D334" s="9" t="s">
        <v>120</v>
      </c>
    </row>
    <row r="335" customFormat="false" ht="15" hidden="false" customHeight="false" outlineLevel="0" collapsed="false">
      <c r="A335" s="12" t="n">
        <v>45689</v>
      </c>
      <c r="B335" s="3" t="s">
        <v>129</v>
      </c>
      <c r="C335" s="3" t="n">
        <v>10862554</v>
      </c>
      <c r="D335" s="9" t="s">
        <v>120</v>
      </c>
    </row>
    <row r="336" customFormat="false" ht="15" hidden="false" customHeight="false" outlineLevel="0" collapsed="false">
      <c r="A336" s="12" t="n">
        <v>45717</v>
      </c>
      <c r="B336" s="3" t="s">
        <v>129</v>
      </c>
      <c r="C336" s="3" t="n">
        <v>9358366</v>
      </c>
      <c r="D336" s="9" t="s">
        <v>120</v>
      </c>
    </row>
    <row r="337" customFormat="false" ht="15" hidden="false" customHeight="false" outlineLevel="0" collapsed="false">
      <c r="A337" s="12" t="n">
        <v>45748</v>
      </c>
      <c r="B337" s="3" t="s">
        <v>129</v>
      </c>
      <c r="C337" s="3" t="n">
        <v>8739343</v>
      </c>
      <c r="D337" s="9" t="s">
        <v>120</v>
      </c>
    </row>
    <row r="338" customFormat="false" ht="15" hidden="false" customHeight="false" outlineLevel="0" collapsed="false">
      <c r="A338" s="12" t="n">
        <v>45778</v>
      </c>
      <c r="B338" s="3" t="s">
        <v>129</v>
      </c>
      <c r="C338" s="3" t="n">
        <v>15675645</v>
      </c>
      <c r="D338" s="9" t="s">
        <v>120</v>
      </c>
    </row>
    <row r="339" customFormat="false" ht="15" hidden="false" customHeight="false" outlineLevel="0" collapsed="false">
      <c r="A339" s="12" t="n">
        <v>45809</v>
      </c>
      <c r="B339" s="3" t="s">
        <v>129</v>
      </c>
      <c r="C339" s="3" t="n">
        <v>18839279</v>
      </c>
      <c r="D339" s="9" t="s">
        <v>120</v>
      </c>
    </row>
    <row r="340" customFormat="false" ht="15" hidden="false" customHeight="false" outlineLevel="0" collapsed="false">
      <c r="A340" s="12" t="n">
        <v>45839</v>
      </c>
      <c r="B340" s="3" t="s">
        <v>129</v>
      </c>
      <c r="C340" s="3" t="n">
        <v>11744059</v>
      </c>
      <c r="D340" s="9" t="s">
        <v>120</v>
      </c>
    </row>
    <row r="341" customFormat="false" ht="15" hidden="false" customHeight="false" outlineLevel="0" collapsed="false">
      <c r="A341" s="12" t="n">
        <v>45870</v>
      </c>
      <c r="B341" s="3" t="s">
        <v>129</v>
      </c>
      <c r="C341" s="3" t="n">
        <v>13405237</v>
      </c>
      <c r="D341" s="9" t="s">
        <v>120</v>
      </c>
    </row>
    <row r="342" customFormat="false" ht="15" hidden="false" customHeight="false" outlineLevel="0" collapsed="false">
      <c r="A342" s="12" t="n">
        <v>45901</v>
      </c>
      <c r="B342" s="3" t="s">
        <v>129</v>
      </c>
      <c r="C342" s="3" t="n">
        <v>11752339</v>
      </c>
      <c r="D342" s="9" t="s">
        <v>120</v>
      </c>
    </row>
    <row r="343" customFormat="false" ht="15" hidden="false" customHeight="false" outlineLevel="0" collapsed="false">
      <c r="A343" s="12" t="n">
        <v>45931</v>
      </c>
      <c r="B343" s="3" t="s">
        <v>129</v>
      </c>
      <c r="C343" s="3" t="n">
        <v>13349006</v>
      </c>
      <c r="D343" s="9" t="s">
        <v>120</v>
      </c>
    </row>
    <row r="344" customFormat="false" ht="15" hidden="false" customHeight="false" outlineLevel="0" collapsed="false">
      <c r="A344" s="12" t="n">
        <v>45962</v>
      </c>
      <c r="B344" s="3" t="s">
        <v>129</v>
      </c>
      <c r="C344" s="3" t="n">
        <v>10200936</v>
      </c>
      <c r="D344" s="9" t="s">
        <v>120</v>
      </c>
    </row>
    <row r="345" customFormat="false" ht="15" hidden="false" customHeight="false" outlineLevel="0" collapsed="false">
      <c r="A345" s="12" t="n">
        <v>45992</v>
      </c>
      <c r="B345" s="3" t="s">
        <v>129</v>
      </c>
      <c r="C345" s="3" t="n">
        <v>10535466</v>
      </c>
      <c r="D345" s="9" t="s">
        <v>120</v>
      </c>
    </row>
    <row r="346" customFormat="false" ht="15" hidden="false" customHeight="false" outlineLevel="0" collapsed="false">
      <c r="A346" s="12" t="n">
        <v>46023</v>
      </c>
      <c r="B346" s="3" t="s">
        <v>129</v>
      </c>
      <c r="C346" s="3" t="n">
        <v>8096540</v>
      </c>
      <c r="D346" s="9" t="s">
        <v>120</v>
      </c>
    </row>
    <row r="347" customFormat="false" ht="15" hidden="false" customHeight="false" outlineLevel="0" collapsed="false">
      <c r="A347" s="12" t="n">
        <v>46054</v>
      </c>
      <c r="B347" s="3" t="s">
        <v>129</v>
      </c>
      <c r="C347" s="3" t="n">
        <v>5403325</v>
      </c>
      <c r="D347" s="9" t="s">
        <v>120</v>
      </c>
    </row>
    <row r="348" customFormat="false" ht="15" hidden="false" customHeight="false" outlineLevel="0" collapsed="false">
      <c r="A348" s="12" t="n">
        <v>46082</v>
      </c>
      <c r="B348" s="3" t="s">
        <v>129</v>
      </c>
      <c r="C348" s="3" t="n">
        <v>12934515</v>
      </c>
      <c r="D348" s="9" t="s">
        <v>120</v>
      </c>
    </row>
    <row r="349" customFormat="false" ht="15" hidden="false" customHeight="false" outlineLevel="0" collapsed="false">
      <c r="A349" s="12" t="n">
        <v>46113</v>
      </c>
      <c r="B349" s="3" t="s">
        <v>129</v>
      </c>
      <c r="C349" s="3" t="n">
        <v>9852994</v>
      </c>
      <c r="D349" s="9" t="s">
        <v>120</v>
      </c>
    </row>
    <row r="350" customFormat="false" ht="15" hidden="false" customHeight="false" outlineLevel="0" collapsed="false">
      <c r="A350" s="12" t="n">
        <v>46143</v>
      </c>
      <c r="B350" s="3" t="s">
        <v>129</v>
      </c>
      <c r="C350" s="3" t="n">
        <v>14736892</v>
      </c>
      <c r="D350" s="9" t="s">
        <v>120</v>
      </c>
    </row>
    <row r="351" customFormat="false" ht="15" hidden="false" customHeight="false" outlineLevel="0" collapsed="false">
      <c r="A351" s="12" t="n">
        <v>46174</v>
      </c>
      <c r="B351" s="3" t="s">
        <v>129</v>
      </c>
      <c r="C351" s="3" t="n">
        <v>19144319</v>
      </c>
      <c r="D351" s="9" t="s">
        <v>120</v>
      </c>
    </row>
    <row r="352" customFormat="false" ht="15" hidden="false" customHeight="false" outlineLevel="0" collapsed="false">
      <c r="A352" s="12" t="n">
        <v>46204</v>
      </c>
      <c r="B352" s="3" t="s">
        <v>129</v>
      </c>
      <c r="C352" s="3" t="n">
        <v>16723853</v>
      </c>
      <c r="D352" s="9" t="s">
        <v>120</v>
      </c>
    </row>
    <row r="353" customFormat="false" ht="15" hidden="false" customHeight="false" outlineLevel="0" collapsed="false">
      <c r="A353" s="12" t="n">
        <v>46235</v>
      </c>
      <c r="B353" s="3" t="s">
        <v>129</v>
      </c>
      <c r="C353" s="3" t="n">
        <v>13952558</v>
      </c>
      <c r="D353" s="9" t="s">
        <v>120</v>
      </c>
    </row>
    <row r="354" customFormat="false" ht="15" hidden="false" customHeight="false" outlineLevel="0" collapsed="false">
      <c r="A354" s="12" t="n">
        <v>44927</v>
      </c>
      <c r="B354" s="3" t="s">
        <v>130</v>
      </c>
      <c r="C354" s="3" t="n">
        <v>10344169</v>
      </c>
      <c r="D354" s="9" t="s">
        <v>120</v>
      </c>
    </row>
    <row r="355" customFormat="false" ht="15" hidden="false" customHeight="false" outlineLevel="0" collapsed="false">
      <c r="A355" s="12" t="n">
        <v>44958</v>
      </c>
      <c r="B355" s="3" t="s">
        <v>130</v>
      </c>
      <c r="C355" s="3" t="n">
        <v>6292776</v>
      </c>
      <c r="D355" s="9" t="s">
        <v>120</v>
      </c>
    </row>
    <row r="356" customFormat="false" ht="15" hidden="false" customHeight="false" outlineLevel="0" collapsed="false">
      <c r="A356" s="12" t="n">
        <v>44986</v>
      </c>
      <c r="B356" s="3" t="s">
        <v>130</v>
      </c>
      <c r="C356" s="3" t="n">
        <v>3406855</v>
      </c>
      <c r="D356" s="9" t="s">
        <v>120</v>
      </c>
    </row>
    <row r="357" customFormat="false" ht="15" hidden="false" customHeight="false" outlineLevel="0" collapsed="false">
      <c r="A357" s="12" t="n">
        <v>45017</v>
      </c>
      <c r="B357" s="3" t="s">
        <v>130</v>
      </c>
      <c r="C357" s="3" t="n">
        <v>3046719</v>
      </c>
      <c r="D357" s="9" t="s">
        <v>120</v>
      </c>
    </row>
    <row r="358" customFormat="false" ht="15" hidden="false" customHeight="false" outlineLevel="0" collapsed="false">
      <c r="A358" s="12" t="n">
        <v>45047</v>
      </c>
      <c r="B358" s="3" t="s">
        <v>130</v>
      </c>
      <c r="C358" s="3" t="n">
        <v>2772316</v>
      </c>
      <c r="D358" s="9" t="s">
        <v>120</v>
      </c>
    </row>
    <row r="359" customFormat="false" ht="15" hidden="false" customHeight="false" outlineLevel="0" collapsed="false">
      <c r="A359" s="12" t="n">
        <v>45078</v>
      </c>
      <c r="B359" s="3" t="s">
        <v>130</v>
      </c>
      <c r="C359" s="3" t="n">
        <v>5106408</v>
      </c>
      <c r="D359" s="9" t="s">
        <v>120</v>
      </c>
    </row>
    <row r="360" customFormat="false" ht="15" hidden="false" customHeight="false" outlineLevel="0" collapsed="false">
      <c r="A360" s="12" t="n">
        <v>45108</v>
      </c>
      <c r="B360" s="3" t="s">
        <v>130</v>
      </c>
      <c r="C360" s="3" t="n">
        <v>4958533</v>
      </c>
      <c r="D360" s="9" t="s">
        <v>120</v>
      </c>
    </row>
    <row r="361" customFormat="false" ht="15" hidden="false" customHeight="false" outlineLevel="0" collapsed="false">
      <c r="A361" s="12" t="n">
        <v>45139</v>
      </c>
      <c r="B361" s="3" t="s">
        <v>130</v>
      </c>
      <c r="C361" s="3" t="n">
        <v>5220613</v>
      </c>
      <c r="D361" s="9" t="s">
        <v>120</v>
      </c>
    </row>
    <row r="362" customFormat="false" ht="15" hidden="false" customHeight="false" outlineLevel="0" collapsed="false">
      <c r="A362" s="12" t="n">
        <v>45170</v>
      </c>
      <c r="B362" s="3" t="s">
        <v>130</v>
      </c>
      <c r="C362" s="3" t="n">
        <v>4024621</v>
      </c>
      <c r="D362" s="9" t="s">
        <v>120</v>
      </c>
    </row>
    <row r="363" customFormat="false" ht="15" hidden="false" customHeight="false" outlineLevel="0" collapsed="false">
      <c r="A363" s="12" t="n">
        <v>45200</v>
      </c>
      <c r="B363" s="3" t="s">
        <v>130</v>
      </c>
      <c r="C363" s="3" t="n">
        <v>4374490</v>
      </c>
      <c r="D363" s="9" t="s">
        <v>120</v>
      </c>
    </row>
    <row r="364" customFormat="false" ht="15" hidden="false" customHeight="false" outlineLevel="0" collapsed="false">
      <c r="A364" s="12" t="n">
        <v>45231</v>
      </c>
      <c r="B364" s="3" t="s">
        <v>130</v>
      </c>
      <c r="C364" s="3" t="n">
        <v>4127735</v>
      </c>
      <c r="D364" s="9" t="s">
        <v>120</v>
      </c>
    </row>
    <row r="365" customFormat="false" ht="15" hidden="false" customHeight="false" outlineLevel="0" collapsed="false">
      <c r="A365" s="12" t="n">
        <v>45261</v>
      </c>
      <c r="B365" s="3" t="s">
        <v>130</v>
      </c>
      <c r="C365" s="3" t="n">
        <v>4351318</v>
      </c>
      <c r="D365" s="9" t="s">
        <v>120</v>
      </c>
    </row>
    <row r="366" customFormat="false" ht="15" hidden="false" customHeight="false" outlineLevel="0" collapsed="false">
      <c r="A366" s="12" t="n">
        <v>45292</v>
      </c>
      <c r="B366" s="3" t="s">
        <v>130</v>
      </c>
      <c r="C366" s="3" t="n">
        <v>4113113</v>
      </c>
      <c r="D366" s="9" t="s">
        <v>120</v>
      </c>
    </row>
    <row r="367" customFormat="false" ht="15" hidden="false" customHeight="false" outlineLevel="0" collapsed="false">
      <c r="A367" s="12" t="n">
        <v>45323</v>
      </c>
      <c r="B367" s="3" t="s">
        <v>130</v>
      </c>
      <c r="C367" s="3" t="n">
        <v>4704275</v>
      </c>
      <c r="D367" s="9" t="s">
        <v>120</v>
      </c>
    </row>
    <row r="368" customFormat="false" ht="15" hidden="false" customHeight="false" outlineLevel="0" collapsed="false">
      <c r="A368" s="12" t="n">
        <v>45352</v>
      </c>
      <c r="B368" s="3" t="s">
        <v>130</v>
      </c>
      <c r="C368" s="3" t="n">
        <v>5010213</v>
      </c>
      <c r="D368" s="9" t="s">
        <v>120</v>
      </c>
    </row>
    <row r="369" customFormat="false" ht="15" hidden="false" customHeight="false" outlineLevel="0" collapsed="false">
      <c r="A369" s="12" t="n">
        <v>45383</v>
      </c>
      <c r="B369" s="3" t="s">
        <v>130</v>
      </c>
      <c r="C369" s="3" t="n">
        <v>7645687</v>
      </c>
      <c r="D369" s="9" t="s">
        <v>120</v>
      </c>
    </row>
    <row r="370" customFormat="false" ht="15" hidden="false" customHeight="false" outlineLevel="0" collapsed="false">
      <c r="A370" s="12" t="n">
        <v>45413</v>
      </c>
      <c r="B370" s="3" t="s">
        <v>130</v>
      </c>
      <c r="C370" s="3" t="n">
        <v>4705007</v>
      </c>
      <c r="D370" s="9" t="s">
        <v>120</v>
      </c>
    </row>
    <row r="371" customFormat="false" ht="15" hidden="false" customHeight="false" outlineLevel="0" collapsed="false">
      <c r="A371" s="12" t="n">
        <v>45444</v>
      </c>
      <c r="B371" s="3" t="s">
        <v>130</v>
      </c>
      <c r="C371" s="3" t="n">
        <v>4825134</v>
      </c>
      <c r="D371" s="9" t="s">
        <v>120</v>
      </c>
    </row>
    <row r="372" customFormat="false" ht="15" hidden="false" customHeight="false" outlineLevel="0" collapsed="false">
      <c r="A372" s="12" t="n">
        <v>45474</v>
      </c>
      <c r="B372" s="3" t="s">
        <v>130</v>
      </c>
      <c r="C372" s="3" t="n">
        <v>6554613</v>
      </c>
      <c r="D372" s="9" t="s">
        <v>120</v>
      </c>
    </row>
    <row r="373" customFormat="false" ht="15" hidden="false" customHeight="false" outlineLevel="0" collapsed="false">
      <c r="A373" s="12" t="n">
        <v>45505</v>
      </c>
      <c r="B373" s="3" t="s">
        <v>130</v>
      </c>
      <c r="C373" s="3" t="n">
        <v>4175850</v>
      </c>
      <c r="D373" s="9" t="s">
        <v>120</v>
      </c>
    </row>
    <row r="374" customFormat="false" ht="15" hidden="false" customHeight="false" outlineLevel="0" collapsed="false">
      <c r="A374" s="12" t="n">
        <v>45536</v>
      </c>
      <c r="B374" s="3" t="s">
        <v>130</v>
      </c>
      <c r="C374" s="3" t="n">
        <v>3422512</v>
      </c>
      <c r="D374" s="9" t="s">
        <v>120</v>
      </c>
    </row>
    <row r="375" customFormat="false" ht="15" hidden="false" customHeight="false" outlineLevel="0" collapsed="false">
      <c r="A375" s="12" t="n">
        <v>45566</v>
      </c>
      <c r="B375" s="3" t="s">
        <v>130</v>
      </c>
      <c r="C375" s="3" t="n">
        <v>4089826</v>
      </c>
      <c r="D375" s="9" t="s">
        <v>120</v>
      </c>
    </row>
    <row r="376" customFormat="false" ht="15" hidden="false" customHeight="false" outlineLevel="0" collapsed="false">
      <c r="A376" s="12" t="n">
        <v>45597</v>
      </c>
      <c r="B376" s="3" t="s">
        <v>130</v>
      </c>
      <c r="C376" s="3" t="n">
        <v>6055153</v>
      </c>
      <c r="D376" s="9" t="s">
        <v>120</v>
      </c>
    </row>
    <row r="377" customFormat="false" ht="15" hidden="false" customHeight="false" outlineLevel="0" collapsed="false">
      <c r="A377" s="12" t="n">
        <v>45627</v>
      </c>
      <c r="B377" s="3" t="s">
        <v>130</v>
      </c>
      <c r="C377" s="3" t="n">
        <v>6124167</v>
      </c>
      <c r="D377" s="9" t="s">
        <v>120</v>
      </c>
    </row>
    <row r="378" customFormat="false" ht="15" hidden="false" customHeight="false" outlineLevel="0" collapsed="false">
      <c r="A378" s="12" t="n">
        <v>45658</v>
      </c>
      <c r="B378" s="3" t="s">
        <v>130</v>
      </c>
      <c r="C378" s="3" t="n">
        <v>4262267</v>
      </c>
      <c r="D378" s="9" t="s">
        <v>120</v>
      </c>
    </row>
    <row r="379" customFormat="false" ht="15" hidden="false" customHeight="false" outlineLevel="0" collapsed="false">
      <c r="A379" s="12" t="n">
        <v>45689</v>
      </c>
      <c r="B379" s="3" t="s">
        <v>130</v>
      </c>
      <c r="C379" s="3" t="n">
        <v>4176991</v>
      </c>
      <c r="D379" s="9" t="s">
        <v>120</v>
      </c>
    </row>
    <row r="380" customFormat="false" ht="15" hidden="false" customHeight="false" outlineLevel="0" collapsed="false">
      <c r="A380" s="12" t="n">
        <v>45717</v>
      </c>
      <c r="B380" s="3" t="s">
        <v>130</v>
      </c>
      <c r="C380" s="3" t="n">
        <v>6768747</v>
      </c>
      <c r="D380" s="9" t="s">
        <v>120</v>
      </c>
    </row>
    <row r="381" customFormat="false" ht="15" hidden="false" customHeight="false" outlineLevel="0" collapsed="false">
      <c r="A381" s="12" t="n">
        <v>45748</v>
      </c>
      <c r="B381" s="3" t="s">
        <v>130</v>
      </c>
      <c r="C381" s="3" t="n">
        <v>5893500</v>
      </c>
      <c r="D381" s="9" t="s">
        <v>120</v>
      </c>
    </row>
    <row r="382" customFormat="false" ht="15" hidden="false" customHeight="false" outlineLevel="0" collapsed="false">
      <c r="A382" s="12" t="n">
        <v>45778</v>
      </c>
      <c r="B382" s="3" t="s">
        <v>130</v>
      </c>
      <c r="C382" s="3" t="n">
        <v>6186841</v>
      </c>
      <c r="D382" s="9" t="s">
        <v>120</v>
      </c>
    </row>
    <row r="383" customFormat="false" ht="15" hidden="false" customHeight="false" outlineLevel="0" collapsed="false">
      <c r="A383" s="12" t="n">
        <v>45809</v>
      </c>
      <c r="B383" s="3" t="s">
        <v>130</v>
      </c>
      <c r="C383" s="3" t="n">
        <v>7633851</v>
      </c>
      <c r="D383" s="9" t="s">
        <v>120</v>
      </c>
    </row>
    <row r="384" customFormat="false" ht="15" hidden="false" customHeight="false" outlineLevel="0" collapsed="false">
      <c r="A384" s="12" t="n">
        <v>45839</v>
      </c>
      <c r="B384" s="3" t="s">
        <v>130</v>
      </c>
      <c r="C384" s="3" t="n">
        <v>5263861</v>
      </c>
      <c r="D384" s="9" t="s">
        <v>120</v>
      </c>
    </row>
    <row r="385" customFormat="false" ht="15" hidden="false" customHeight="false" outlineLevel="0" collapsed="false">
      <c r="A385" s="12" t="n">
        <v>45870</v>
      </c>
      <c r="B385" s="3" t="s">
        <v>130</v>
      </c>
      <c r="C385" s="3" t="n">
        <v>8016909</v>
      </c>
      <c r="D385" s="9" t="s">
        <v>120</v>
      </c>
    </row>
    <row r="386" customFormat="false" ht="15" hidden="false" customHeight="false" outlineLevel="0" collapsed="false">
      <c r="A386" s="12" t="n">
        <v>45901</v>
      </c>
      <c r="B386" s="3" t="s">
        <v>130</v>
      </c>
      <c r="C386" s="3" t="n">
        <v>7640974</v>
      </c>
      <c r="D386" s="9" t="s">
        <v>120</v>
      </c>
    </row>
    <row r="387" customFormat="false" ht="15" hidden="false" customHeight="false" outlineLevel="0" collapsed="false">
      <c r="A387" s="12" t="n">
        <v>45931</v>
      </c>
      <c r="B387" s="3" t="s">
        <v>130</v>
      </c>
      <c r="C387" s="3" t="n">
        <v>7350303</v>
      </c>
      <c r="D387" s="9" t="s">
        <v>120</v>
      </c>
    </row>
    <row r="388" customFormat="false" ht="15" hidden="false" customHeight="false" outlineLevel="0" collapsed="false">
      <c r="A388" s="12" t="n">
        <v>45962</v>
      </c>
      <c r="B388" s="3" t="s">
        <v>130</v>
      </c>
      <c r="C388" s="3" t="n">
        <v>6054991</v>
      </c>
      <c r="D388" s="9" t="s">
        <v>120</v>
      </c>
    </row>
    <row r="389" customFormat="false" ht="15" hidden="false" customHeight="false" outlineLevel="0" collapsed="false">
      <c r="A389" s="12" t="n">
        <v>45992</v>
      </c>
      <c r="B389" s="3" t="s">
        <v>130</v>
      </c>
      <c r="C389" s="3" t="n">
        <v>6367178</v>
      </c>
      <c r="D389" s="9" t="s">
        <v>120</v>
      </c>
    </row>
    <row r="390" customFormat="false" ht="15" hidden="false" customHeight="false" outlineLevel="0" collapsed="false">
      <c r="A390" s="12" t="n">
        <v>46023</v>
      </c>
      <c r="B390" s="3" t="s">
        <v>130</v>
      </c>
      <c r="C390" s="3" t="n">
        <v>6118368</v>
      </c>
      <c r="D390" s="9" t="s">
        <v>120</v>
      </c>
    </row>
    <row r="391" customFormat="false" ht="15" hidden="false" customHeight="false" outlineLevel="0" collapsed="false">
      <c r="A391" s="12" t="n">
        <v>46054</v>
      </c>
      <c r="B391" s="3" t="s">
        <v>130</v>
      </c>
      <c r="C391" s="3" t="n">
        <v>6915728</v>
      </c>
      <c r="D391" s="9" t="s">
        <v>120</v>
      </c>
    </row>
    <row r="392" customFormat="false" ht="15" hidden="false" customHeight="false" outlineLevel="0" collapsed="false">
      <c r="A392" s="12" t="n">
        <v>46082</v>
      </c>
      <c r="B392" s="3" t="s">
        <v>130</v>
      </c>
      <c r="C392" s="3" t="n">
        <v>8487233</v>
      </c>
      <c r="D392" s="9" t="s">
        <v>120</v>
      </c>
    </row>
    <row r="393" customFormat="false" ht="15" hidden="false" customHeight="false" outlineLevel="0" collapsed="false">
      <c r="A393" s="12" t="n">
        <v>46113</v>
      </c>
      <c r="B393" s="3" t="s">
        <v>130</v>
      </c>
      <c r="C393" s="3" t="n">
        <v>7912710</v>
      </c>
      <c r="D393" s="9" t="s">
        <v>120</v>
      </c>
    </row>
    <row r="394" customFormat="false" ht="15" hidden="false" customHeight="false" outlineLevel="0" collapsed="false">
      <c r="A394" s="12" t="n">
        <v>46143</v>
      </c>
      <c r="B394" s="3" t="s">
        <v>130</v>
      </c>
      <c r="C394" s="3" t="n">
        <v>6114068</v>
      </c>
      <c r="D394" s="9" t="s">
        <v>120</v>
      </c>
    </row>
    <row r="395" customFormat="false" ht="15" hidden="false" customHeight="false" outlineLevel="0" collapsed="false">
      <c r="A395" s="12" t="n">
        <v>46174</v>
      </c>
      <c r="B395" s="3" t="s">
        <v>130</v>
      </c>
      <c r="C395" s="3" t="n">
        <v>8096316</v>
      </c>
      <c r="D395" s="9" t="s">
        <v>120</v>
      </c>
    </row>
    <row r="396" customFormat="false" ht="15" hidden="false" customHeight="false" outlineLevel="0" collapsed="false">
      <c r="A396" s="12" t="n">
        <v>46204</v>
      </c>
      <c r="B396" s="3" t="s">
        <v>130</v>
      </c>
      <c r="C396" s="3" t="n">
        <v>9774205</v>
      </c>
      <c r="D396" s="9" t="s">
        <v>120</v>
      </c>
    </row>
    <row r="397" customFormat="false" ht="15" hidden="false" customHeight="false" outlineLevel="0" collapsed="false">
      <c r="A397" s="12" t="n">
        <v>46235</v>
      </c>
      <c r="B397" s="3" t="s">
        <v>130</v>
      </c>
      <c r="C397" s="3" t="n">
        <v>5996413</v>
      </c>
      <c r="D397" s="9" t="s">
        <v>120</v>
      </c>
    </row>
    <row r="398" customFormat="false" ht="15" hidden="false" customHeight="false" outlineLevel="0" collapsed="false">
      <c r="A398" s="12" t="n">
        <v>44927</v>
      </c>
      <c r="B398" s="3" t="s">
        <v>131</v>
      </c>
      <c r="C398" s="3" t="n">
        <v>19006833</v>
      </c>
      <c r="D398" s="9" t="s">
        <v>120</v>
      </c>
    </row>
    <row r="399" customFormat="false" ht="15" hidden="false" customHeight="false" outlineLevel="0" collapsed="false">
      <c r="A399" s="12" t="n">
        <v>44958</v>
      </c>
      <c r="B399" s="3" t="s">
        <v>131</v>
      </c>
      <c r="C399" s="3" t="n">
        <v>24376010</v>
      </c>
      <c r="D399" s="9" t="s">
        <v>120</v>
      </c>
    </row>
    <row r="400" customFormat="false" ht="15" hidden="false" customHeight="false" outlineLevel="0" collapsed="false">
      <c r="A400" s="12" t="n">
        <v>44986</v>
      </c>
      <c r="B400" s="3" t="s">
        <v>131</v>
      </c>
      <c r="C400" s="3" t="n">
        <v>21305467</v>
      </c>
      <c r="D400" s="9" t="s">
        <v>120</v>
      </c>
    </row>
    <row r="401" customFormat="false" ht="15" hidden="false" customHeight="false" outlineLevel="0" collapsed="false">
      <c r="A401" s="12" t="n">
        <v>45017</v>
      </c>
      <c r="B401" s="3" t="s">
        <v>131</v>
      </c>
      <c r="C401" s="3" t="n">
        <v>19608283</v>
      </c>
      <c r="D401" s="9" t="s">
        <v>120</v>
      </c>
    </row>
    <row r="402" customFormat="false" ht="15" hidden="false" customHeight="false" outlineLevel="0" collapsed="false">
      <c r="A402" s="12" t="n">
        <v>45047</v>
      </c>
      <c r="B402" s="3" t="s">
        <v>131</v>
      </c>
      <c r="C402" s="3" t="n">
        <v>16783805</v>
      </c>
      <c r="D402" s="9" t="s">
        <v>120</v>
      </c>
    </row>
    <row r="403" customFormat="false" ht="15" hidden="false" customHeight="false" outlineLevel="0" collapsed="false">
      <c r="A403" s="12" t="n">
        <v>45078</v>
      </c>
      <c r="B403" s="3" t="s">
        <v>131</v>
      </c>
      <c r="C403" s="3" t="n">
        <v>15005770</v>
      </c>
      <c r="D403" s="9" t="s">
        <v>120</v>
      </c>
    </row>
    <row r="404" customFormat="false" ht="15" hidden="false" customHeight="false" outlineLevel="0" collapsed="false">
      <c r="A404" s="12" t="n">
        <v>45108</v>
      </c>
      <c r="B404" s="3" t="s">
        <v>131</v>
      </c>
      <c r="C404" s="3" t="n">
        <v>15903262</v>
      </c>
      <c r="D404" s="9" t="s">
        <v>120</v>
      </c>
    </row>
    <row r="405" customFormat="false" ht="15" hidden="false" customHeight="false" outlineLevel="0" collapsed="false">
      <c r="A405" s="12" t="n">
        <v>45139</v>
      </c>
      <c r="B405" s="3" t="s">
        <v>131</v>
      </c>
      <c r="C405" s="3" t="n">
        <v>13112647</v>
      </c>
      <c r="D405" s="9" t="s">
        <v>120</v>
      </c>
    </row>
    <row r="406" customFormat="false" ht="15" hidden="false" customHeight="false" outlineLevel="0" collapsed="false">
      <c r="A406" s="12" t="n">
        <v>45170</v>
      </c>
      <c r="B406" s="3" t="s">
        <v>131</v>
      </c>
      <c r="C406" s="3" t="n">
        <v>16475576</v>
      </c>
      <c r="D406" s="9" t="s">
        <v>120</v>
      </c>
    </row>
    <row r="407" customFormat="false" ht="15" hidden="false" customHeight="false" outlineLevel="0" collapsed="false">
      <c r="A407" s="12" t="n">
        <v>45200</v>
      </c>
      <c r="B407" s="3" t="s">
        <v>131</v>
      </c>
      <c r="C407" s="3" t="n">
        <v>21016452</v>
      </c>
      <c r="D407" s="9" t="s">
        <v>120</v>
      </c>
    </row>
    <row r="408" customFormat="false" ht="15" hidden="false" customHeight="false" outlineLevel="0" collapsed="false">
      <c r="A408" s="12" t="n">
        <v>45231</v>
      </c>
      <c r="B408" s="3" t="s">
        <v>131</v>
      </c>
      <c r="C408" s="3" t="n">
        <v>12130877</v>
      </c>
      <c r="D408" s="9" t="s">
        <v>120</v>
      </c>
    </row>
    <row r="409" customFormat="false" ht="15" hidden="false" customHeight="false" outlineLevel="0" collapsed="false">
      <c r="A409" s="12" t="n">
        <v>45261</v>
      </c>
      <c r="B409" s="3" t="s">
        <v>131</v>
      </c>
      <c r="C409" s="3" t="n">
        <v>20625734</v>
      </c>
      <c r="D409" s="9" t="s">
        <v>120</v>
      </c>
    </row>
    <row r="410" customFormat="false" ht="15" hidden="false" customHeight="false" outlineLevel="0" collapsed="false">
      <c r="A410" s="12" t="n">
        <v>45292</v>
      </c>
      <c r="B410" s="3" t="s">
        <v>131</v>
      </c>
      <c r="C410" s="3" t="n">
        <v>18518389</v>
      </c>
      <c r="D410" s="9" t="s">
        <v>120</v>
      </c>
    </row>
    <row r="411" customFormat="false" ht="15" hidden="false" customHeight="false" outlineLevel="0" collapsed="false">
      <c r="A411" s="12" t="n">
        <v>45323</v>
      </c>
      <c r="B411" s="3" t="s">
        <v>131</v>
      </c>
      <c r="C411" s="3" t="n">
        <v>22213471</v>
      </c>
      <c r="D411" s="9" t="s">
        <v>120</v>
      </c>
    </row>
    <row r="412" customFormat="false" ht="15" hidden="false" customHeight="false" outlineLevel="0" collapsed="false">
      <c r="A412" s="12" t="n">
        <v>45352</v>
      </c>
      <c r="B412" s="3" t="s">
        <v>131</v>
      </c>
      <c r="C412" s="3" t="n">
        <v>19580245</v>
      </c>
      <c r="D412" s="9" t="s">
        <v>120</v>
      </c>
    </row>
    <row r="413" customFormat="false" ht="15" hidden="false" customHeight="false" outlineLevel="0" collapsed="false">
      <c r="A413" s="12" t="n">
        <v>45383</v>
      </c>
      <c r="B413" s="3" t="s">
        <v>131</v>
      </c>
      <c r="C413" s="3" t="n">
        <v>24978449</v>
      </c>
      <c r="D413" s="9" t="s">
        <v>120</v>
      </c>
    </row>
    <row r="414" customFormat="false" ht="15" hidden="false" customHeight="false" outlineLevel="0" collapsed="false">
      <c r="A414" s="12" t="n">
        <v>45413</v>
      </c>
      <c r="B414" s="3" t="s">
        <v>131</v>
      </c>
      <c r="C414" s="3" t="n">
        <v>16600833</v>
      </c>
      <c r="D414" s="9" t="s">
        <v>120</v>
      </c>
    </row>
    <row r="415" customFormat="false" ht="15" hidden="false" customHeight="false" outlineLevel="0" collapsed="false">
      <c r="A415" s="12" t="n">
        <v>45444</v>
      </c>
      <c r="B415" s="3" t="s">
        <v>131</v>
      </c>
      <c r="C415" s="3" t="n">
        <v>16993150</v>
      </c>
      <c r="D415" s="9" t="s">
        <v>120</v>
      </c>
    </row>
    <row r="416" customFormat="false" ht="15" hidden="false" customHeight="false" outlineLevel="0" collapsed="false">
      <c r="A416" s="12" t="n">
        <v>45474</v>
      </c>
      <c r="B416" s="3" t="s">
        <v>131</v>
      </c>
      <c r="C416" s="3" t="n">
        <v>19127117</v>
      </c>
      <c r="D416" s="9" t="s">
        <v>120</v>
      </c>
    </row>
    <row r="417" customFormat="false" ht="15" hidden="false" customHeight="false" outlineLevel="0" collapsed="false">
      <c r="A417" s="12" t="n">
        <v>45505</v>
      </c>
      <c r="B417" s="3" t="s">
        <v>131</v>
      </c>
      <c r="C417" s="3" t="n">
        <v>21657993</v>
      </c>
      <c r="D417" s="9" t="s">
        <v>120</v>
      </c>
    </row>
    <row r="418" customFormat="false" ht="15" hidden="false" customHeight="false" outlineLevel="0" collapsed="false">
      <c r="A418" s="12" t="n">
        <v>45536</v>
      </c>
      <c r="B418" s="3" t="s">
        <v>131</v>
      </c>
      <c r="C418" s="3" t="n">
        <v>22189363</v>
      </c>
      <c r="D418" s="9" t="s">
        <v>120</v>
      </c>
    </row>
    <row r="419" customFormat="false" ht="15" hidden="false" customHeight="false" outlineLevel="0" collapsed="false">
      <c r="A419" s="12" t="n">
        <v>45566</v>
      </c>
      <c r="B419" s="3" t="s">
        <v>131</v>
      </c>
      <c r="C419" s="3" t="n">
        <v>19644277</v>
      </c>
      <c r="D419" s="9" t="s">
        <v>120</v>
      </c>
    </row>
    <row r="420" customFormat="false" ht="15" hidden="false" customHeight="false" outlineLevel="0" collapsed="false">
      <c r="A420" s="12" t="n">
        <v>45597</v>
      </c>
      <c r="B420" s="3" t="s">
        <v>131</v>
      </c>
      <c r="C420" s="3" t="n">
        <v>27697795</v>
      </c>
      <c r="D420" s="9" t="s">
        <v>120</v>
      </c>
    </row>
    <row r="421" customFormat="false" ht="15" hidden="false" customHeight="false" outlineLevel="0" collapsed="false">
      <c r="A421" s="12" t="n">
        <v>45627</v>
      </c>
      <c r="B421" s="3" t="s">
        <v>131</v>
      </c>
      <c r="C421" s="3" t="n">
        <v>32099500</v>
      </c>
      <c r="D421" s="9" t="s">
        <v>120</v>
      </c>
    </row>
    <row r="422" customFormat="false" ht="15" hidden="false" customHeight="false" outlineLevel="0" collapsed="false">
      <c r="A422" s="12" t="n">
        <v>45658</v>
      </c>
      <c r="B422" s="3" t="s">
        <v>131</v>
      </c>
      <c r="C422" s="3" t="n">
        <v>16419924</v>
      </c>
      <c r="D422" s="9" t="s">
        <v>120</v>
      </c>
    </row>
    <row r="423" customFormat="false" ht="15" hidden="false" customHeight="false" outlineLevel="0" collapsed="false">
      <c r="A423" s="12" t="n">
        <v>45689</v>
      </c>
      <c r="B423" s="3" t="s">
        <v>131</v>
      </c>
      <c r="C423" s="3" t="n">
        <v>24468430</v>
      </c>
      <c r="D423" s="9" t="s">
        <v>120</v>
      </c>
    </row>
    <row r="424" customFormat="false" ht="15" hidden="false" customHeight="false" outlineLevel="0" collapsed="false">
      <c r="A424" s="12" t="n">
        <v>45717</v>
      </c>
      <c r="B424" s="3" t="s">
        <v>131</v>
      </c>
      <c r="C424" s="3" t="n">
        <v>30141420</v>
      </c>
      <c r="D424" s="9" t="s">
        <v>120</v>
      </c>
    </row>
    <row r="425" customFormat="false" ht="15" hidden="false" customHeight="false" outlineLevel="0" collapsed="false">
      <c r="A425" s="12" t="n">
        <v>45748</v>
      </c>
      <c r="B425" s="3" t="s">
        <v>131</v>
      </c>
      <c r="C425" s="3" t="n">
        <v>28331412</v>
      </c>
      <c r="D425" s="9" t="s">
        <v>120</v>
      </c>
    </row>
    <row r="426" customFormat="false" ht="15" hidden="false" customHeight="false" outlineLevel="0" collapsed="false">
      <c r="A426" s="12" t="n">
        <v>45778</v>
      </c>
      <c r="B426" s="3" t="s">
        <v>131</v>
      </c>
      <c r="C426" s="3" t="n">
        <v>33295655</v>
      </c>
      <c r="D426" s="9" t="s">
        <v>120</v>
      </c>
    </row>
    <row r="427" customFormat="false" ht="15" hidden="false" customHeight="false" outlineLevel="0" collapsed="false">
      <c r="A427" s="12" t="n">
        <v>45809</v>
      </c>
      <c r="B427" s="3" t="s">
        <v>131</v>
      </c>
      <c r="C427" s="3" t="n">
        <v>31501685</v>
      </c>
      <c r="D427" s="9" t="s">
        <v>120</v>
      </c>
    </row>
    <row r="428" customFormat="false" ht="15" hidden="false" customHeight="false" outlineLevel="0" collapsed="false">
      <c r="A428" s="12" t="n">
        <v>45839</v>
      </c>
      <c r="B428" s="3" t="s">
        <v>131</v>
      </c>
      <c r="C428" s="3" t="n">
        <v>25193881</v>
      </c>
      <c r="D428" s="9" t="s">
        <v>120</v>
      </c>
    </row>
    <row r="429" customFormat="false" ht="15" hidden="false" customHeight="false" outlineLevel="0" collapsed="false">
      <c r="A429" s="12" t="n">
        <v>45870</v>
      </c>
      <c r="B429" s="3" t="s">
        <v>131</v>
      </c>
      <c r="C429" s="3" t="n">
        <v>29104952</v>
      </c>
      <c r="D429" s="9" t="s">
        <v>120</v>
      </c>
    </row>
    <row r="430" customFormat="false" ht="15" hidden="false" customHeight="false" outlineLevel="0" collapsed="false">
      <c r="A430" s="12" t="n">
        <v>45901</v>
      </c>
      <c r="B430" s="3" t="s">
        <v>131</v>
      </c>
      <c r="C430" s="3" t="n">
        <v>29562640</v>
      </c>
      <c r="D430" s="9" t="s">
        <v>120</v>
      </c>
    </row>
    <row r="431" customFormat="false" ht="15" hidden="false" customHeight="false" outlineLevel="0" collapsed="false">
      <c r="A431" s="12" t="n">
        <v>45931</v>
      </c>
      <c r="B431" s="3" t="s">
        <v>131</v>
      </c>
      <c r="C431" s="3" t="n">
        <v>25110681</v>
      </c>
      <c r="D431" s="9" t="s">
        <v>120</v>
      </c>
    </row>
    <row r="432" customFormat="false" ht="15" hidden="false" customHeight="false" outlineLevel="0" collapsed="false">
      <c r="A432" s="12" t="n">
        <v>45962</v>
      </c>
      <c r="B432" s="3" t="s">
        <v>131</v>
      </c>
      <c r="C432" s="3" t="n">
        <v>31859803</v>
      </c>
      <c r="D432" s="9" t="s">
        <v>120</v>
      </c>
    </row>
    <row r="433" customFormat="false" ht="15" hidden="false" customHeight="false" outlineLevel="0" collapsed="false">
      <c r="A433" s="12" t="n">
        <v>45992</v>
      </c>
      <c r="B433" s="3" t="s">
        <v>131</v>
      </c>
      <c r="C433" s="3" t="n">
        <v>30662509</v>
      </c>
      <c r="D433" s="9" t="s">
        <v>120</v>
      </c>
    </row>
    <row r="434" customFormat="false" ht="15" hidden="false" customHeight="false" outlineLevel="0" collapsed="false">
      <c r="A434" s="12" t="n">
        <v>46023</v>
      </c>
      <c r="B434" s="3" t="s">
        <v>131</v>
      </c>
      <c r="C434" s="3" t="n">
        <v>35443881</v>
      </c>
      <c r="D434" s="9" t="s">
        <v>120</v>
      </c>
    </row>
    <row r="435" customFormat="false" ht="15" hidden="false" customHeight="false" outlineLevel="0" collapsed="false">
      <c r="A435" s="12" t="n">
        <v>46054</v>
      </c>
      <c r="B435" s="3" t="s">
        <v>131</v>
      </c>
      <c r="C435" s="3" t="n">
        <v>29335399</v>
      </c>
      <c r="D435" s="9" t="s">
        <v>120</v>
      </c>
    </row>
    <row r="436" customFormat="false" ht="15" hidden="false" customHeight="false" outlineLevel="0" collapsed="false">
      <c r="A436" s="12" t="n">
        <v>46082</v>
      </c>
      <c r="B436" s="3" t="s">
        <v>131</v>
      </c>
      <c r="C436" s="3" t="n">
        <v>55515209</v>
      </c>
      <c r="D436" s="9" t="s">
        <v>120</v>
      </c>
    </row>
    <row r="437" customFormat="false" ht="15" hidden="false" customHeight="false" outlineLevel="0" collapsed="false">
      <c r="A437" s="12" t="n">
        <v>46113</v>
      </c>
      <c r="B437" s="3" t="s">
        <v>131</v>
      </c>
      <c r="C437" s="3" t="n">
        <v>41649816</v>
      </c>
      <c r="D437" s="9" t="s">
        <v>120</v>
      </c>
    </row>
    <row r="438" customFormat="false" ht="15" hidden="false" customHeight="false" outlineLevel="0" collapsed="false">
      <c r="A438" s="12" t="n">
        <v>46143</v>
      </c>
      <c r="B438" s="3" t="s">
        <v>131</v>
      </c>
      <c r="C438" s="3" t="n">
        <v>44288017</v>
      </c>
      <c r="D438" s="9" t="s">
        <v>120</v>
      </c>
    </row>
    <row r="439" customFormat="false" ht="15" hidden="false" customHeight="false" outlineLevel="0" collapsed="false">
      <c r="A439" s="12" t="n">
        <v>46174</v>
      </c>
      <c r="B439" s="3" t="s">
        <v>131</v>
      </c>
      <c r="C439" s="3" t="n">
        <v>44594962</v>
      </c>
      <c r="D439" s="9" t="s">
        <v>120</v>
      </c>
    </row>
    <row r="440" customFormat="false" ht="15" hidden="false" customHeight="false" outlineLevel="0" collapsed="false">
      <c r="A440" s="12" t="n">
        <v>46204</v>
      </c>
      <c r="B440" s="3" t="s">
        <v>131</v>
      </c>
      <c r="C440" s="3" t="n">
        <v>41949568</v>
      </c>
      <c r="D440" s="9" t="s">
        <v>120</v>
      </c>
    </row>
    <row r="441" customFormat="false" ht="15" hidden="false" customHeight="false" outlineLevel="0" collapsed="false">
      <c r="A441" s="12" t="n">
        <v>46235</v>
      </c>
      <c r="B441" s="3" t="s">
        <v>131</v>
      </c>
      <c r="C441" s="3" t="n">
        <v>33802690</v>
      </c>
      <c r="D441" s="9" t="s">
        <v>120</v>
      </c>
    </row>
    <row r="442" customFormat="false" ht="15" hidden="false" customHeight="false" outlineLevel="0" collapsed="false">
      <c r="A442" s="12" t="n">
        <v>44927</v>
      </c>
      <c r="B442" s="3" t="s">
        <v>132</v>
      </c>
      <c r="C442" s="3" t="n">
        <v>869742</v>
      </c>
      <c r="D442" s="9" t="s">
        <v>120</v>
      </c>
    </row>
    <row r="443" customFormat="false" ht="15" hidden="false" customHeight="false" outlineLevel="0" collapsed="false">
      <c r="A443" s="12" t="n">
        <v>44958</v>
      </c>
      <c r="B443" s="3" t="s">
        <v>132</v>
      </c>
      <c r="C443" s="3" t="n">
        <v>843096</v>
      </c>
      <c r="D443" s="9" t="s">
        <v>120</v>
      </c>
    </row>
    <row r="444" customFormat="false" ht="15" hidden="false" customHeight="false" outlineLevel="0" collapsed="false">
      <c r="A444" s="12" t="n">
        <v>44986</v>
      </c>
      <c r="B444" s="3" t="s">
        <v>132</v>
      </c>
      <c r="C444" s="3" t="n">
        <v>662153</v>
      </c>
      <c r="D444" s="9" t="s">
        <v>120</v>
      </c>
    </row>
    <row r="445" customFormat="false" ht="15" hidden="false" customHeight="false" outlineLevel="0" collapsed="false">
      <c r="A445" s="12" t="n">
        <v>45017</v>
      </c>
      <c r="B445" s="3" t="s">
        <v>132</v>
      </c>
      <c r="C445" s="3" t="n">
        <v>933805</v>
      </c>
      <c r="D445" s="9" t="s">
        <v>120</v>
      </c>
    </row>
    <row r="446" customFormat="false" ht="15" hidden="false" customHeight="false" outlineLevel="0" collapsed="false">
      <c r="A446" s="12" t="n">
        <v>45047</v>
      </c>
      <c r="B446" s="3" t="s">
        <v>132</v>
      </c>
      <c r="C446" s="3" t="n">
        <v>515890</v>
      </c>
      <c r="D446" s="9" t="s">
        <v>120</v>
      </c>
    </row>
    <row r="447" customFormat="false" ht="15" hidden="false" customHeight="false" outlineLevel="0" collapsed="false">
      <c r="A447" s="12" t="n">
        <v>45078</v>
      </c>
      <c r="B447" s="3" t="s">
        <v>132</v>
      </c>
      <c r="C447" s="3" t="n">
        <v>1180475</v>
      </c>
      <c r="D447" s="9" t="s">
        <v>120</v>
      </c>
    </row>
    <row r="448" customFormat="false" ht="15" hidden="false" customHeight="false" outlineLevel="0" collapsed="false">
      <c r="A448" s="12" t="n">
        <v>45108</v>
      </c>
      <c r="B448" s="3" t="s">
        <v>132</v>
      </c>
      <c r="C448" s="3" t="n">
        <v>1207973</v>
      </c>
      <c r="D448" s="9" t="s">
        <v>120</v>
      </c>
    </row>
    <row r="449" customFormat="false" ht="15" hidden="false" customHeight="false" outlineLevel="0" collapsed="false">
      <c r="A449" s="12" t="n">
        <v>45139</v>
      </c>
      <c r="B449" s="3" t="s">
        <v>132</v>
      </c>
      <c r="C449" s="3" t="n">
        <v>1198925</v>
      </c>
      <c r="D449" s="9" t="s">
        <v>120</v>
      </c>
    </row>
    <row r="450" customFormat="false" ht="15" hidden="false" customHeight="false" outlineLevel="0" collapsed="false">
      <c r="A450" s="12" t="n">
        <v>45170</v>
      </c>
      <c r="B450" s="3" t="s">
        <v>132</v>
      </c>
      <c r="C450" s="3" t="n">
        <v>1887554</v>
      </c>
      <c r="D450" s="9" t="s">
        <v>120</v>
      </c>
    </row>
    <row r="451" customFormat="false" ht="15" hidden="false" customHeight="false" outlineLevel="0" collapsed="false">
      <c r="A451" s="12" t="n">
        <v>45200</v>
      </c>
      <c r="B451" s="3" t="s">
        <v>132</v>
      </c>
      <c r="C451" s="3" t="n">
        <v>1792958</v>
      </c>
      <c r="D451" s="9" t="s">
        <v>120</v>
      </c>
    </row>
    <row r="452" customFormat="false" ht="15" hidden="false" customHeight="false" outlineLevel="0" collapsed="false">
      <c r="A452" s="12" t="n">
        <v>45231</v>
      </c>
      <c r="B452" s="3" t="s">
        <v>132</v>
      </c>
      <c r="C452" s="3" t="n">
        <v>2199006</v>
      </c>
      <c r="D452" s="9" t="s">
        <v>120</v>
      </c>
    </row>
    <row r="453" customFormat="false" ht="15" hidden="false" customHeight="false" outlineLevel="0" collapsed="false">
      <c r="A453" s="12" t="n">
        <v>45261</v>
      </c>
      <c r="B453" s="3" t="s">
        <v>132</v>
      </c>
      <c r="C453" s="3" t="n">
        <v>499428</v>
      </c>
      <c r="D453" s="9" t="s">
        <v>120</v>
      </c>
    </row>
    <row r="454" customFormat="false" ht="15" hidden="false" customHeight="false" outlineLevel="0" collapsed="false">
      <c r="A454" s="12" t="n">
        <v>45292</v>
      </c>
      <c r="B454" s="3" t="s">
        <v>132</v>
      </c>
      <c r="C454" s="3" t="n">
        <v>907876</v>
      </c>
      <c r="D454" s="9" t="s">
        <v>120</v>
      </c>
    </row>
    <row r="455" customFormat="false" ht="15" hidden="false" customHeight="false" outlineLevel="0" collapsed="false">
      <c r="A455" s="12" t="n">
        <v>45323</v>
      </c>
      <c r="B455" s="3" t="s">
        <v>132</v>
      </c>
      <c r="C455" s="3" t="n">
        <v>654607</v>
      </c>
      <c r="D455" s="9" t="s">
        <v>120</v>
      </c>
    </row>
    <row r="456" customFormat="false" ht="15" hidden="false" customHeight="false" outlineLevel="0" collapsed="false">
      <c r="A456" s="12" t="n">
        <v>45352</v>
      </c>
      <c r="B456" s="3" t="s">
        <v>132</v>
      </c>
      <c r="C456" s="3" t="n">
        <v>548592</v>
      </c>
      <c r="D456" s="9" t="s">
        <v>120</v>
      </c>
    </row>
    <row r="457" customFormat="false" ht="15" hidden="false" customHeight="false" outlineLevel="0" collapsed="false">
      <c r="A457" s="12" t="n">
        <v>45383</v>
      </c>
      <c r="B457" s="3" t="s">
        <v>132</v>
      </c>
      <c r="C457" s="3" t="n">
        <v>626917</v>
      </c>
      <c r="D457" s="9" t="s">
        <v>120</v>
      </c>
    </row>
    <row r="458" customFormat="false" ht="15" hidden="false" customHeight="false" outlineLevel="0" collapsed="false">
      <c r="A458" s="12" t="n">
        <v>45413</v>
      </c>
      <c r="B458" s="3" t="s">
        <v>132</v>
      </c>
      <c r="C458" s="3" t="n">
        <v>1259808</v>
      </c>
      <c r="D458" s="9" t="s">
        <v>120</v>
      </c>
    </row>
    <row r="459" customFormat="false" ht="15" hidden="false" customHeight="false" outlineLevel="0" collapsed="false">
      <c r="A459" s="12" t="n">
        <v>45444</v>
      </c>
      <c r="B459" s="3" t="s">
        <v>132</v>
      </c>
      <c r="C459" s="3" t="n">
        <v>1742633</v>
      </c>
      <c r="D459" s="9" t="s">
        <v>120</v>
      </c>
    </row>
    <row r="460" customFormat="false" ht="15" hidden="false" customHeight="false" outlineLevel="0" collapsed="false">
      <c r="A460" s="12" t="n">
        <v>45474</v>
      </c>
      <c r="B460" s="3" t="s">
        <v>132</v>
      </c>
      <c r="C460" s="3" t="n">
        <v>613233</v>
      </c>
      <c r="D460" s="9" t="s">
        <v>120</v>
      </c>
    </row>
    <row r="461" customFormat="false" ht="15" hidden="false" customHeight="false" outlineLevel="0" collapsed="false">
      <c r="A461" s="12" t="n">
        <v>45505</v>
      </c>
      <c r="B461" s="3" t="s">
        <v>132</v>
      </c>
      <c r="C461" s="3" t="n">
        <v>644431</v>
      </c>
      <c r="D461" s="9" t="s">
        <v>120</v>
      </c>
    </row>
    <row r="462" customFormat="false" ht="15" hidden="false" customHeight="false" outlineLevel="0" collapsed="false">
      <c r="A462" s="12" t="n">
        <v>45536</v>
      </c>
      <c r="B462" s="3" t="s">
        <v>132</v>
      </c>
      <c r="C462" s="3" t="n">
        <v>1158044</v>
      </c>
      <c r="D462" s="9" t="s">
        <v>120</v>
      </c>
    </row>
    <row r="463" customFormat="false" ht="15" hidden="false" customHeight="false" outlineLevel="0" collapsed="false">
      <c r="A463" s="12" t="n">
        <v>45566</v>
      </c>
      <c r="B463" s="3" t="s">
        <v>132</v>
      </c>
      <c r="C463" s="3" t="n">
        <v>1247142</v>
      </c>
      <c r="D463" s="9" t="s">
        <v>120</v>
      </c>
    </row>
    <row r="464" customFormat="false" ht="15" hidden="false" customHeight="false" outlineLevel="0" collapsed="false">
      <c r="A464" s="12" t="n">
        <v>45597</v>
      </c>
      <c r="B464" s="3" t="s">
        <v>132</v>
      </c>
      <c r="C464" s="3" t="n">
        <v>1266242</v>
      </c>
      <c r="D464" s="9" t="s">
        <v>120</v>
      </c>
    </row>
    <row r="465" customFormat="false" ht="15" hidden="false" customHeight="false" outlineLevel="0" collapsed="false">
      <c r="A465" s="12" t="n">
        <v>45627</v>
      </c>
      <c r="B465" s="3" t="s">
        <v>132</v>
      </c>
      <c r="C465" s="3" t="n">
        <v>798091</v>
      </c>
      <c r="D465" s="9" t="s">
        <v>120</v>
      </c>
    </row>
    <row r="466" customFormat="false" ht="15" hidden="false" customHeight="false" outlineLevel="0" collapsed="false">
      <c r="A466" s="12" t="n">
        <v>45658</v>
      </c>
      <c r="B466" s="3" t="s">
        <v>132</v>
      </c>
      <c r="C466" s="3" t="n">
        <v>578231</v>
      </c>
      <c r="D466" s="9" t="s">
        <v>120</v>
      </c>
    </row>
    <row r="467" customFormat="false" ht="15" hidden="false" customHeight="false" outlineLevel="0" collapsed="false">
      <c r="A467" s="12" t="n">
        <v>45689</v>
      </c>
      <c r="B467" s="3" t="s">
        <v>132</v>
      </c>
      <c r="C467" s="3" t="n">
        <v>1379556</v>
      </c>
      <c r="D467" s="9" t="s">
        <v>120</v>
      </c>
    </row>
    <row r="468" customFormat="false" ht="15" hidden="false" customHeight="false" outlineLevel="0" collapsed="false">
      <c r="A468" s="12" t="n">
        <v>45717</v>
      </c>
      <c r="B468" s="3" t="s">
        <v>132</v>
      </c>
      <c r="C468" s="3" t="n">
        <v>1732347</v>
      </c>
      <c r="D468" s="9" t="s">
        <v>120</v>
      </c>
    </row>
    <row r="469" customFormat="false" ht="15" hidden="false" customHeight="false" outlineLevel="0" collapsed="false">
      <c r="A469" s="12" t="n">
        <v>45748</v>
      </c>
      <c r="B469" s="3" t="s">
        <v>132</v>
      </c>
      <c r="C469" s="3" t="n">
        <v>2092882</v>
      </c>
      <c r="D469" s="9" t="s">
        <v>120</v>
      </c>
    </row>
    <row r="470" customFormat="false" ht="15" hidden="false" customHeight="false" outlineLevel="0" collapsed="false">
      <c r="A470" s="12" t="n">
        <v>45778</v>
      </c>
      <c r="B470" s="3" t="s">
        <v>132</v>
      </c>
      <c r="C470" s="3" t="n">
        <v>1461840</v>
      </c>
      <c r="D470" s="9" t="s">
        <v>120</v>
      </c>
    </row>
    <row r="471" customFormat="false" ht="15" hidden="false" customHeight="false" outlineLevel="0" collapsed="false">
      <c r="A471" s="12" t="n">
        <v>45809</v>
      </c>
      <c r="B471" s="3" t="s">
        <v>132</v>
      </c>
      <c r="C471" s="3" t="n">
        <v>1944576</v>
      </c>
      <c r="D471" s="9" t="s">
        <v>120</v>
      </c>
    </row>
    <row r="472" customFormat="false" ht="15" hidden="false" customHeight="false" outlineLevel="0" collapsed="false">
      <c r="A472" s="12" t="n">
        <v>45839</v>
      </c>
      <c r="B472" s="3" t="s">
        <v>132</v>
      </c>
      <c r="C472" s="3" t="n">
        <v>2238062</v>
      </c>
      <c r="D472" s="9" t="s">
        <v>120</v>
      </c>
    </row>
    <row r="473" customFormat="false" ht="15" hidden="false" customHeight="false" outlineLevel="0" collapsed="false">
      <c r="A473" s="12" t="n">
        <v>45870</v>
      </c>
      <c r="B473" s="3" t="s">
        <v>132</v>
      </c>
      <c r="C473" s="3" t="n">
        <v>1895164</v>
      </c>
      <c r="D473" s="9" t="s">
        <v>120</v>
      </c>
    </row>
    <row r="474" customFormat="false" ht="15" hidden="false" customHeight="false" outlineLevel="0" collapsed="false">
      <c r="A474" s="12" t="n">
        <v>45901</v>
      </c>
      <c r="B474" s="3" t="s">
        <v>132</v>
      </c>
      <c r="C474" s="3" t="n">
        <v>1477269</v>
      </c>
      <c r="D474" s="9" t="s">
        <v>120</v>
      </c>
    </row>
    <row r="475" customFormat="false" ht="15" hidden="false" customHeight="false" outlineLevel="0" collapsed="false">
      <c r="A475" s="12" t="n">
        <v>45931</v>
      </c>
      <c r="B475" s="3" t="s">
        <v>132</v>
      </c>
      <c r="C475" s="3" t="n">
        <v>1331738</v>
      </c>
      <c r="D475" s="9" t="s">
        <v>120</v>
      </c>
    </row>
    <row r="476" customFormat="false" ht="15" hidden="false" customHeight="false" outlineLevel="0" collapsed="false">
      <c r="A476" s="12" t="n">
        <v>45962</v>
      </c>
      <c r="B476" s="3" t="s">
        <v>132</v>
      </c>
      <c r="C476" s="3" t="n">
        <v>2399996</v>
      </c>
      <c r="D476" s="9" t="s">
        <v>120</v>
      </c>
    </row>
    <row r="477" customFormat="false" ht="15" hidden="false" customHeight="false" outlineLevel="0" collapsed="false">
      <c r="A477" s="12" t="n">
        <v>45992</v>
      </c>
      <c r="B477" s="3" t="s">
        <v>132</v>
      </c>
      <c r="C477" s="3" t="n">
        <v>1627498</v>
      </c>
      <c r="D477" s="9" t="s">
        <v>120</v>
      </c>
    </row>
    <row r="478" customFormat="false" ht="15" hidden="false" customHeight="false" outlineLevel="0" collapsed="false">
      <c r="A478" s="12" t="n">
        <v>46023</v>
      </c>
      <c r="B478" s="3" t="s">
        <v>132</v>
      </c>
      <c r="C478" s="3" t="n">
        <v>1431493</v>
      </c>
      <c r="D478" s="9" t="s">
        <v>120</v>
      </c>
    </row>
    <row r="479" customFormat="false" ht="15" hidden="false" customHeight="false" outlineLevel="0" collapsed="false">
      <c r="A479" s="12" t="n">
        <v>46054</v>
      </c>
      <c r="B479" s="3" t="s">
        <v>132</v>
      </c>
      <c r="C479" s="3" t="n">
        <v>2047859</v>
      </c>
      <c r="D479" s="9" t="s">
        <v>120</v>
      </c>
    </row>
    <row r="480" customFormat="false" ht="15" hidden="false" customHeight="false" outlineLevel="0" collapsed="false">
      <c r="A480" s="12" t="n">
        <v>46082</v>
      </c>
      <c r="B480" s="3" t="s">
        <v>132</v>
      </c>
      <c r="C480" s="3" t="n">
        <v>3171078</v>
      </c>
      <c r="D480" s="9" t="s">
        <v>120</v>
      </c>
    </row>
    <row r="481" customFormat="false" ht="15" hidden="false" customHeight="false" outlineLevel="0" collapsed="false">
      <c r="A481" s="12" t="n">
        <v>46113</v>
      </c>
      <c r="B481" s="3" t="s">
        <v>132</v>
      </c>
      <c r="C481" s="3" t="n">
        <v>1804497</v>
      </c>
      <c r="D481" s="9" t="s">
        <v>120</v>
      </c>
    </row>
    <row r="482" customFormat="false" ht="15" hidden="false" customHeight="false" outlineLevel="0" collapsed="false">
      <c r="A482" s="12" t="n">
        <v>46143</v>
      </c>
      <c r="B482" s="3" t="s">
        <v>132</v>
      </c>
      <c r="C482" s="3" t="n">
        <v>2756706</v>
      </c>
      <c r="D482" s="9" t="s">
        <v>120</v>
      </c>
    </row>
    <row r="483" customFormat="false" ht="15" hidden="false" customHeight="false" outlineLevel="0" collapsed="false">
      <c r="A483" s="12" t="n">
        <v>46174</v>
      </c>
      <c r="B483" s="3" t="s">
        <v>132</v>
      </c>
      <c r="C483" s="3" t="n">
        <v>2203781</v>
      </c>
      <c r="D483" s="9" t="s">
        <v>120</v>
      </c>
    </row>
    <row r="484" customFormat="false" ht="15" hidden="false" customHeight="false" outlineLevel="0" collapsed="false">
      <c r="A484" s="12" t="n">
        <v>46204</v>
      </c>
      <c r="B484" s="3" t="s">
        <v>132</v>
      </c>
      <c r="C484" s="3" t="n">
        <v>2878985</v>
      </c>
      <c r="D484" s="9" t="s">
        <v>120</v>
      </c>
    </row>
    <row r="485" customFormat="false" ht="15" hidden="false" customHeight="false" outlineLevel="0" collapsed="false">
      <c r="A485" s="12" t="n">
        <v>46235</v>
      </c>
      <c r="B485" s="3" t="s">
        <v>132</v>
      </c>
      <c r="C485" s="3" t="n">
        <v>1746231</v>
      </c>
      <c r="D485" s="9" t="s">
        <v>120</v>
      </c>
    </row>
    <row r="486" customFormat="false" ht="15" hidden="false" customHeight="false" outlineLevel="0" collapsed="false">
      <c r="A486" s="12" t="n">
        <v>44927</v>
      </c>
      <c r="B486" s="3" t="s">
        <v>133</v>
      </c>
      <c r="C486" s="3" t="n">
        <v>33608064</v>
      </c>
      <c r="D486" s="9" t="s">
        <v>120</v>
      </c>
    </row>
    <row r="487" customFormat="false" ht="15" hidden="false" customHeight="false" outlineLevel="0" collapsed="false">
      <c r="A487" s="12" t="n">
        <v>44958</v>
      </c>
      <c r="B487" s="3" t="s">
        <v>133</v>
      </c>
      <c r="C487" s="3" t="n">
        <v>55102061</v>
      </c>
      <c r="D487" s="9" t="s">
        <v>120</v>
      </c>
    </row>
    <row r="488" customFormat="false" ht="15" hidden="false" customHeight="false" outlineLevel="0" collapsed="false">
      <c r="A488" s="12" t="n">
        <v>44986</v>
      </c>
      <c r="B488" s="3" t="s">
        <v>133</v>
      </c>
      <c r="C488" s="3" t="n">
        <v>74474599</v>
      </c>
      <c r="D488" s="9" t="s">
        <v>120</v>
      </c>
    </row>
    <row r="489" customFormat="false" ht="15" hidden="false" customHeight="false" outlineLevel="0" collapsed="false">
      <c r="A489" s="12" t="n">
        <v>45017</v>
      </c>
      <c r="B489" s="3" t="s">
        <v>133</v>
      </c>
      <c r="C489" s="3" t="n">
        <v>44830141</v>
      </c>
      <c r="D489" s="9" t="s">
        <v>120</v>
      </c>
    </row>
    <row r="490" customFormat="false" ht="15" hidden="false" customHeight="false" outlineLevel="0" collapsed="false">
      <c r="A490" s="12" t="n">
        <v>45047</v>
      </c>
      <c r="B490" s="3" t="s">
        <v>133</v>
      </c>
      <c r="C490" s="3" t="n">
        <v>47416479</v>
      </c>
      <c r="D490" s="9" t="s">
        <v>120</v>
      </c>
    </row>
    <row r="491" customFormat="false" ht="15" hidden="false" customHeight="false" outlineLevel="0" collapsed="false">
      <c r="A491" s="12" t="n">
        <v>45078</v>
      </c>
      <c r="B491" s="3" t="s">
        <v>133</v>
      </c>
      <c r="C491" s="3" t="n">
        <v>53291768</v>
      </c>
      <c r="D491" s="9" t="s">
        <v>120</v>
      </c>
    </row>
    <row r="492" customFormat="false" ht="15" hidden="false" customHeight="false" outlineLevel="0" collapsed="false">
      <c r="A492" s="12" t="n">
        <v>45108</v>
      </c>
      <c r="B492" s="3" t="s">
        <v>133</v>
      </c>
      <c r="C492" s="3" t="n">
        <v>51424145</v>
      </c>
      <c r="D492" s="9" t="s">
        <v>120</v>
      </c>
    </row>
    <row r="493" customFormat="false" ht="15" hidden="false" customHeight="false" outlineLevel="0" collapsed="false">
      <c r="A493" s="12" t="n">
        <v>45139</v>
      </c>
      <c r="B493" s="3" t="s">
        <v>133</v>
      </c>
      <c r="C493" s="3" t="n">
        <v>43688030</v>
      </c>
      <c r="D493" s="9" t="s">
        <v>120</v>
      </c>
    </row>
    <row r="494" customFormat="false" ht="15" hidden="false" customHeight="false" outlineLevel="0" collapsed="false">
      <c r="A494" s="12" t="n">
        <v>45170</v>
      </c>
      <c r="B494" s="3" t="s">
        <v>133</v>
      </c>
      <c r="C494" s="3" t="n">
        <v>50807710</v>
      </c>
      <c r="D494" s="9" t="s">
        <v>120</v>
      </c>
    </row>
    <row r="495" customFormat="false" ht="15" hidden="false" customHeight="false" outlineLevel="0" collapsed="false">
      <c r="A495" s="12" t="n">
        <v>45200</v>
      </c>
      <c r="B495" s="3" t="s">
        <v>133</v>
      </c>
      <c r="C495" s="3" t="n">
        <v>48663895</v>
      </c>
      <c r="D495" s="9" t="s">
        <v>120</v>
      </c>
    </row>
    <row r="496" customFormat="false" ht="15" hidden="false" customHeight="false" outlineLevel="0" collapsed="false">
      <c r="A496" s="12" t="n">
        <v>45231</v>
      </c>
      <c r="B496" s="3" t="s">
        <v>133</v>
      </c>
      <c r="C496" s="3" t="n">
        <v>37129206</v>
      </c>
      <c r="D496" s="9" t="s">
        <v>120</v>
      </c>
    </row>
    <row r="497" customFormat="false" ht="15" hidden="false" customHeight="false" outlineLevel="0" collapsed="false">
      <c r="A497" s="12" t="n">
        <v>45261</v>
      </c>
      <c r="B497" s="3" t="s">
        <v>133</v>
      </c>
      <c r="C497" s="3" t="n">
        <v>42998971</v>
      </c>
      <c r="D497" s="9" t="s">
        <v>120</v>
      </c>
    </row>
    <row r="498" customFormat="false" ht="15" hidden="false" customHeight="false" outlineLevel="0" collapsed="false">
      <c r="A498" s="12" t="n">
        <v>45292</v>
      </c>
      <c r="B498" s="3" t="s">
        <v>133</v>
      </c>
      <c r="C498" s="3" t="n">
        <v>47102376</v>
      </c>
      <c r="D498" s="9" t="s">
        <v>120</v>
      </c>
    </row>
    <row r="499" customFormat="false" ht="15" hidden="false" customHeight="false" outlineLevel="0" collapsed="false">
      <c r="A499" s="12" t="n">
        <v>45323</v>
      </c>
      <c r="B499" s="3" t="s">
        <v>133</v>
      </c>
      <c r="C499" s="3" t="n">
        <v>49194219</v>
      </c>
      <c r="D499" s="9" t="s">
        <v>120</v>
      </c>
    </row>
    <row r="500" customFormat="false" ht="15" hidden="false" customHeight="false" outlineLevel="0" collapsed="false">
      <c r="A500" s="12" t="n">
        <v>45352</v>
      </c>
      <c r="B500" s="3" t="s">
        <v>133</v>
      </c>
      <c r="C500" s="3" t="n">
        <v>69230730</v>
      </c>
      <c r="D500" s="9" t="s">
        <v>120</v>
      </c>
    </row>
    <row r="501" customFormat="false" ht="15" hidden="false" customHeight="false" outlineLevel="0" collapsed="false">
      <c r="A501" s="12" t="n">
        <v>45383</v>
      </c>
      <c r="B501" s="3" t="s">
        <v>133</v>
      </c>
      <c r="C501" s="3" t="n">
        <v>65136708</v>
      </c>
      <c r="D501" s="9" t="s">
        <v>120</v>
      </c>
    </row>
    <row r="502" customFormat="false" ht="15" hidden="false" customHeight="false" outlineLevel="0" collapsed="false">
      <c r="A502" s="12" t="n">
        <v>45413</v>
      </c>
      <c r="B502" s="3" t="s">
        <v>133</v>
      </c>
      <c r="C502" s="3" t="n">
        <v>59467906</v>
      </c>
      <c r="D502" s="9" t="s">
        <v>120</v>
      </c>
    </row>
    <row r="503" customFormat="false" ht="15" hidden="false" customHeight="false" outlineLevel="0" collapsed="false">
      <c r="A503" s="12" t="n">
        <v>45444</v>
      </c>
      <c r="B503" s="3" t="s">
        <v>133</v>
      </c>
      <c r="C503" s="3" t="n">
        <v>74591515</v>
      </c>
      <c r="D503" s="9" t="s">
        <v>120</v>
      </c>
    </row>
    <row r="504" customFormat="false" ht="15" hidden="false" customHeight="false" outlineLevel="0" collapsed="false">
      <c r="A504" s="12" t="n">
        <v>45474</v>
      </c>
      <c r="B504" s="3" t="s">
        <v>133</v>
      </c>
      <c r="C504" s="3" t="n">
        <v>83462130</v>
      </c>
      <c r="D504" s="9" t="s">
        <v>120</v>
      </c>
    </row>
    <row r="505" customFormat="false" ht="15" hidden="false" customHeight="false" outlineLevel="0" collapsed="false">
      <c r="A505" s="12" t="n">
        <v>45505</v>
      </c>
      <c r="B505" s="3" t="s">
        <v>133</v>
      </c>
      <c r="C505" s="3" t="n">
        <v>52442343</v>
      </c>
      <c r="D505" s="9" t="s">
        <v>120</v>
      </c>
    </row>
    <row r="506" customFormat="false" ht="15" hidden="false" customHeight="false" outlineLevel="0" collapsed="false">
      <c r="A506" s="12" t="n">
        <v>45536</v>
      </c>
      <c r="B506" s="3" t="s">
        <v>133</v>
      </c>
      <c r="C506" s="3" t="n">
        <v>52018868</v>
      </c>
      <c r="D506" s="9" t="s">
        <v>120</v>
      </c>
    </row>
    <row r="507" customFormat="false" ht="15" hidden="false" customHeight="false" outlineLevel="0" collapsed="false">
      <c r="A507" s="12" t="n">
        <v>45566</v>
      </c>
      <c r="B507" s="3" t="s">
        <v>133</v>
      </c>
      <c r="C507" s="3" t="n">
        <v>64342126</v>
      </c>
      <c r="D507" s="9" t="s">
        <v>120</v>
      </c>
    </row>
    <row r="508" customFormat="false" ht="15" hidden="false" customHeight="false" outlineLevel="0" collapsed="false">
      <c r="A508" s="12" t="n">
        <v>45597</v>
      </c>
      <c r="B508" s="3" t="s">
        <v>133</v>
      </c>
      <c r="C508" s="3" t="n">
        <v>64506689</v>
      </c>
      <c r="D508" s="9" t="s">
        <v>120</v>
      </c>
    </row>
    <row r="509" customFormat="false" ht="15" hidden="false" customHeight="false" outlineLevel="0" collapsed="false">
      <c r="A509" s="12" t="n">
        <v>45627</v>
      </c>
      <c r="B509" s="3" t="s">
        <v>133</v>
      </c>
      <c r="C509" s="3" t="n">
        <v>86663948</v>
      </c>
      <c r="D509" s="9" t="s">
        <v>120</v>
      </c>
    </row>
    <row r="510" customFormat="false" ht="15" hidden="false" customHeight="false" outlineLevel="0" collapsed="false">
      <c r="A510" s="12" t="n">
        <v>45658</v>
      </c>
      <c r="B510" s="3" t="s">
        <v>133</v>
      </c>
      <c r="C510" s="3" t="n">
        <v>57581023</v>
      </c>
      <c r="D510" s="9" t="s">
        <v>120</v>
      </c>
    </row>
    <row r="511" customFormat="false" ht="15" hidden="false" customHeight="false" outlineLevel="0" collapsed="false">
      <c r="A511" s="12" t="n">
        <v>45689</v>
      </c>
      <c r="B511" s="3" t="s">
        <v>133</v>
      </c>
      <c r="C511" s="3" t="n">
        <v>91229276</v>
      </c>
      <c r="D511" s="9" t="s">
        <v>120</v>
      </c>
    </row>
    <row r="512" customFormat="false" ht="15" hidden="false" customHeight="false" outlineLevel="0" collapsed="false">
      <c r="A512" s="12" t="n">
        <v>45717</v>
      </c>
      <c r="B512" s="3" t="s">
        <v>133</v>
      </c>
      <c r="C512" s="3" t="n">
        <v>116807795</v>
      </c>
      <c r="D512" s="9" t="s">
        <v>120</v>
      </c>
    </row>
    <row r="513" customFormat="false" ht="15" hidden="false" customHeight="false" outlineLevel="0" collapsed="false">
      <c r="A513" s="12" t="n">
        <v>45748</v>
      </c>
      <c r="B513" s="3" t="s">
        <v>133</v>
      </c>
      <c r="C513" s="3" t="n">
        <v>96338355</v>
      </c>
      <c r="D513" s="9" t="s">
        <v>120</v>
      </c>
    </row>
    <row r="514" customFormat="false" ht="15" hidden="false" customHeight="false" outlineLevel="0" collapsed="false">
      <c r="A514" s="12" t="n">
        <v>45778</v>
      </c>
      <c r="B514" s="3" t="s">
        <v>133</v>
      </c>
      <c r="C514" s="3" t="n">
        <v>103568676</v>
      </c>
      <c r="D514" s="9" t="s">
        <v>120</v>
      </c>
    </row>
    <row r="515" customFormat="false" ht="15" hidden="false" customHeight="false" outlineLevel="0" collapsed="false">
      <c r="A515" s="12" t="n">
        <v>45809</v>
      </c>
      <c r="B515" s="3" t="s">
        <v>133</v>
      </c>
      <c r="C515" s="3" t="n">
        <v>104169698</v>
      </c>
      <c r="D515" s="9" t="s">
        <v>120</v>
      </c>
    </row>
    <row r="516" customFormat="false" ht="15" hidden="false" customHeight="false" outlineLevel="0" collapsed="false">
      <c r="A516" s="12" t="n">
        <v>45839</v>
      </c>
      <c r="B516" s="3" t="s">
        <v>133</v>
      </c>
      <c r="C516" s="3" t="n">
        <v>92182047</v>
      </c>
      <c r="D516" s="9" t="s">
        <v>120</v>
      </c>
    </row>
    <row r="517" customFormat="false" ht="15" hidden="false" customHeight="false" outlineLevel="0" collapsed="false">
      <c r="A517" s="12" t="n">
        <v>45870</v>
      </c>
      <c r="B517" s="3" t="s">
        <v>133</v>
      </c>
      <c r="C517" s="3" t="n">
        <v>81530132</v>
      </c>
      <c r="D517" s="9" t="s">
        <v>120</v>
      </c>
    </row>
    <row r="518" customFormat="false" ht="15" hidden="false" customHeight="false" outlineLevel="0" collapsed="false">
      <c r="A518" s="12" t="n">
        <v>45901</v>
      </c>
      <c r="B518" s="3" t="s">
        <v>133</v>
      </c>
      <c r="C518" s="3" t="n">
        <v>64150563</v>
      </c>
      <c r="D518" s="9" t="s">
        <v>120</v>
      </c>
    </row>
    <row r="519" customFormat="false" ht="15" hidden="false" customHeight="false" outlineLevel="0" collapsed="false">
      <c r="A519" s="12" t="n">
        <v>45931</v>
      </c>
      <c r="B519" s="3" t="s">
        <v>133</v>
      </c>
      <c r="C519" s="3" t="n">
        <v>80607157</v>
      </c>
      <c r="D519" s="9" t="s">
        <v>120</v>
      </c>
    </row>
    <row r="520" customFormat="false" ht="15" hidden="false" customHeight="false" outlineLevel="0" collapsed="false">
      <c r="A520" s="12" t="n">
        <v>45962</v>
      </c>
      <c r="B520" s="3" t="s">
        <v>133</v>
      </c>
      <c r="C520" s="3" t="n">
        <v>73637693</v>
      </c>
      <c r="D520" s="9" t="s">
        <v>120</v>
      </c>
    </row>
    <row r="521" customFormat="false" ht="15" hidden="false" customHeight="false" outlineLevel="0" collapsed="false">
      <c r="A521" s="12" t="n">
        <v>45992</v>
      </c>
      <c r="B521" s="3" t="s">
        <v>133</v>
      </c>
      <c r="C521" s="3" t="n">
        <v>74424703</v>
      </c>
      <c r="D521" s="9" t="s">
        <v>120</v>
      </c>
    </row>
    <row r="522" customFormat="false" ht="15" hidden="false" customHeight="false" outlineLevel="0" collapsed="false">
      <c r="A522" s="12" t="n">
        <v>46023</v>
      </c>
      <c r="B522" s="3" t="s">
        <v>133</v>
      </c>
      <c r="C522" s="3" t="n">
        <v>60746631</v>
      </c>
      <c r="D522" s="9" t="s">
        <v>120</v>
      </c>
    </row>
    <row r="523" customFormat="false" ht="15" hidden="false" customHeight="false" outlineLevel="0" collapsed="false">
      <c r="A523" s="12" t="n">
        <v>46054</v>
      </c>
      <c r="B523" s="3" t="s">
        <v>133</v>
      </c>
      <c r="C523" s="3" t="n">
        <v>59660807</v>
      </c>
      <c r="D523" s="9" t="s">
        <v>120</v>
      </c>
    </row>
    <row r="524" customFormat="false" ht="15" hidden="false" customHeight="false" outlineLevel="0" collapsed="false">
      <c r="A524" s="12" t="n">
        <v>46082</v>
      </c>
      <c r="B524" s="3" t="s">
        <v>133</v>
      </c>
      <c r="C524" s="3" t="n">
        <v>80438254</v>
      </c>
      <c r="D524" s="9" t="s">
        <v>120</v>
      </c>
    </row>
    <row r="525" customFormat="false" ht="15" hidden="false" customHeight="false" outlineLevel="0" collapsed="false">
      <c r="A525" s="12" t="n">
        <v>46113</v>
      </c>
      <c r="B525" s="3" t="s">
        <v>133</v>
      </c>
      <c r="C525" s="3" t="n">
        <v>91763111</v>
      </c>
      <c r="D525" s="9" t="s">
        <v>120</v>
      </c>
    </row>
    <row r="526" customFormat="false" ht="15" hidden="false" customHeight="false" outlineLevel="0" collapsed="false">
      <c r="A526" s="12" t="n">
        <v>46143</v>
      </c>
      <c r="B526" s="3" t="s">
        <v>133</v>
      </c>
      <c r="C526" s="3" t="n">
        <v>83439713</v>
      </c>
      <c r="D526" s="9" t="s">
        <v>120</v>
      </c>
    </row>
    <row r="527" customFormat="false" ht="15" hidden="false" customHeight="false" outlineLevel="0" collapsed="false">
      <c r="A527" s="12" t="n">
        <v>46174</v>
      </c>
      <c r="B527" s="3" t="s">
        <v>133</v>
      </c>
      <c r="C527" s="3" t="n">
        <v>90363859</v>
      </c>
      <c r="D527" s="9" t="s">
        <v>120</v>
      </c>
    </row>
    <row r="528" customFormat="false" ht="15" hidden="false" customHeight="false" outlineLevel="0" collapsed="false">
      <c r="A528" s="12" t="n">
        <v>46204</v>
      </c>
      <c r="B528" s="3" t="s">
        <v>133</v>
      </c>
      <c r="C528" s="3" t="n">
        <v>82815772</v>
      </c>
      <c r="D528" s="9" t="s">
        <v>120</v>
      </c>
    </row>
    <row r="529" customFormat="false" ht="15" hidden="false" customHeight="false" outlineLevel="0" collapsed="false">
      <c r="A529" s="12" t="n">
        <v>46235</v>
      </c>
      <c r="B529" s="3" t="s">
        <v>133</v>
      </c>
      <c r="C529" s="3" t="n">
        <v>98329167</v>
      </c>
      <c r="D529" s="9" t="s">
        <v>120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3" min="2" style="0" width="14"/>
  </cols>
  <sheetData>
    <row r="1" customFormat="false" ht="15" hidden="false" customHeight="false" outlineLevel="0" collapsed="false">
      <c r="A1" s="4" t="s">
        <v>99</v>
      </c>
      <c r="B1" s="4" t="s">
        <v>134</v>
      </c>
      <c r="C1" s="1" t="s">
        <v>135</v>
      </c>
      <c r="D1" s="4" t="s">
        <v>136</v>
      </c>
      <c r="E1" s="4" t="s">
        <v>137</v>
      </c>
      <c r="F1" s="1" t="s">
        <v>138</v>
      </c>
      <c r="G1" s="1" t="s">
        <v>139</v>
      </c>
      <c r="H1" s="4" t="s">
        <v>140</v>
      </c>
      <c r="I1" s="4" t="s">
        <v>141</v>
      </c>
      <c r="J1" s="1" t="s">
        <v>142</v>
      </c>
      <c r="K1" s="4" t="s">
        <v>143</v>
      </c>
      <c r="L1" s="1" t="s">
        <v>144</v>
      </c>
    </row>
    <row r="2" customFormat="false" ht="15" hidden="false" customHeight="false" outlineLevel="0" collapsed="false">
      <c r="A2" s="12" t="n">
        <v>44927</v>
      </c>
      <c r="B2" s="13" t="n">
        <f aca="false">IF(COUNTIFS(raw_月次輸入実績!$A$2:$A$20000,$A2,raw_月次輸入実績!$B$2:$B$20000,"韓国",raw_月次輸入実績!$F$2:$F$20000,1)=0,"",SUMIFS(raw_月次輸入実績!$D$2:$D$20000,raw_月次輸入実績!$A$2:$A$20000,$A2,raw_月次輸入実績!$B$2:$B$20000,"韓国",raw_月次輸入実績!$F$2:$F$20000,1))</f>
        <v>304186000</v>
      </c>
      <c r="C2" s="13" t="n">
        <f aca="false">IF(COUNTIFS(raw_月次輸入実績!$A$2:$A$20000,$A2,raw_月次輸入実績!$B$2:$B$20000,"EU27",raw_月次輸入実績!$F$2:$F$20000,1)=0,"",SUMIFS(raw_月次輸入実績!$D$2:$D$20000,raw_月次輸入実績!$A$2:$A$20000,$A2,raw_月次輸入実績!$B$2:$B$20000,"EU27",raw_月次輸入実績!$F$2:$F$20000,1))</f>
        <v>109107210</v>
      </c>
      <c r="D2" s="13" t="n">
        <f aca="false">IF(COUNTIFS(raw_月次輸入実績!$A$2:$A$20000,$A2,raw_月次輸入実績!$B$2:$B$20000,"米国",raw_月次輸入実績!$F$2:$F$20000,1)=0,"",SUMIFS(raw_月次輸入実績!$D$2:$D$20000,raw_月次輸入実績!$A$2:$A$20000,$A2,raw_月次輸入実績!$B$2:$B$20000,"米国",raw_月次輸入実績!$F$2:$F$20000,1))</f>
        <v>293644294</v>
      </c>
      <c r="E2" s="13" t="n">
        <f aca="false">IF(COUNTIFS(raw_台湾月次!$A$2:$A$20000,$A2,raw_台湾月次!$B$2:$B$20000,"8486",raw_台湾月次!$D$2:$D$20000,"利用可")=0,"",SUMIFS(raw_台湾月次!$C$2:$C$20000,raw_台湾月次!$A$2:$A$20000,$A2,raw_台湾月次!$B$2:$B$20000,"8486",raw_台湾月次!$D$2:$D$20000,"利用可"))</f>
        <v>491979231</v>
      </c>
      <c r="F2" s="13" t="n">
        <f aca="false">IF(C2="","",C2*設定!$B$3)</f>
        <v>120017931</v>
      </c>
      <c r="G2" s="13" t="n">
        <f aca="false">IF(COUNT(B2,E2,F2)=3,B2+E2+F2,"")</f>
        <v>916183162</v>
      </c>
      <c r="H2" s="13"/>
      <c r="I2" s="13"/>
      <c r="J2" s="13"/>
      <c r="K2" s="13"/>
      <c r="L2" s="13"/>
    </row>
    <row r="3" customFormat="false" ht="15" hidden="false" customHeight="false" outlineLevel="0" collapsed="false">
      <c r="A3" s="12" t="n">
        <v>44958</v>
      </c>
      <c r="B3" s="13" t="n">
        <f aca="false">IF(COUNTIFS(raw_月次輸入実績!$A$2:$A$20000,$A3,raw_月次輸入実績!$B$2:$B$20000,"韓国",raw_月次輸入実績!$F$2:$F$20000,1)=0,"",SUMIFS(raw_月次輸入実績!$D$2:$D$20000,raw_月次輸入実績!$A$2:$A$20000,$A3,raw_月次輸入実績!$B$2:$B$20000,"韓国",raw_月次輸入実績!$F$2:$F$20000,1))</f>
        <v>377138000</v>
      </c>
      <c r="C3" s="13" t="n">
        <f aca="false">IF(COUNTIFS(raw_月次輸入実績!$A$2:$A$20000,$A3,raw_月次輸入実績!$B$2:$B$20000,"EU27",raw_月次輸入実績!$F$2:$F$20000,1)=0,"",SUMIFS(raw_月次輸入実績!$D$2:$D$20000,raw_月次輸入実績!$A$2:$A$20000,$A3,raw_月次輸入実績!$B$2:$B$20000,"EU27",raw_月次輸入実績!$F$2:$F$20000,1))</f>
        <v>118898535</v>
      </c>
      <c r="D3" s="13" t="n">
        <f aca="false">IF(COUNTIFS(raw_月次輸入実績!$A$2:$A$20000,$A3,raw_月次輸入実績!$B$2:$B$20000,"米国",raw_月次輸入実績!$F$2:$F$20000,1)=0,"",SUMIFS(raw_月次輸入実績!$D$2:$D$20000,raw_月次輸入実績!$A$2:$A$20000,$A3,raw_月次輸入実績!$B$2:$B$20000,"米国",raw_月次輸入実績!$F$2:$F$20000,1))</f>
        <v>349797338</v>
      </c>
      <c r="E3" s="13" t="n">
        <f aca="false">IF(COUNTIFS(raw_台湾月次!$A$2:$A$20000,$A3,raw_台湾月次!$B$2:$B$20000,"8486",raw_台湾月次!$D$2:$D$20000,"利用可")=0,"",SUMIFS(raw_台湾月次!$C$2:$C$20000,raw_台湾月次!$A$2:$A$20000,$A3,raw_台湾月次!$B$2:$B$20000,"8486",raw_台湾月次!$D$2:$D$20000,"利用可"))</f>
        <v>504745637</v>
      </c>
      <c r="F3" s="13" t="n">
        <f aca="false">IF(C3="","",C3*設定!$B$3)</f>
        <v>130788388.5</v>
      </c>
      <c r="G3" s="13" t="n">
        <f aca="false">IF(COUNT(B3,E3,F3)=3,B3+E3+F3,"")</f>
        <v>1012672025.5</v>
      </c>
      <c r="H3" s="13"/>
      <c r="I3" s="13"/>
      <c r="J3" s="13"/>
      <c r="K3" s="13"/>
      <c r="L3" s="13"/>
    </row>
    <row r="4" customFormat="false" ht="15" hidden="false" customHeight="false" outlineLevel="0" collapsed="false">
      <c r="A4" s="12" t="n">
        <v>44986</v>
      </c>
      <c r="B4" s="13" t="n">
        <f aca="false">IF(COUNTIFS(raw_月次輸入実績!$A$2:$A$20000,$A4,raw_月次輸入実績!$B$2:$B$20000,"韓国",raw_月次輸入実績!$F$2:$F$20000,1)=0,"",SUMIFS(raw_月次輸入実績!$D$2:$D$20000,raw_月次輸入実績!$A$2:$A$20000,$A4,raw_月次輸入実績!$B$2:$B$20000,"韓国",raw_月次輸入実績!$F$2:$F$20000,1))</f>
        <v>545674000</v>
      </c>
      <c r="C4" s="13" t="n">
        <f aca="false">IF(COUNTIFS(raw_月次輸入実績!$A$2:$A$20000,$A4,raw_月次輸入実績!$B$2:$B$20000,"EU27",raw_月次輸入実績!$F$2:$F$20000,1)=0,"",SUMIFS(raw_月次輸入実績!$D$2:$D$20000,raw_月次輸入実績!$A$2:$A$20000,$A4,raw_月次輸入実績!$B$2:$B$20000,"EU27",raw_月次輸入実績!$F$2:$F$20000,1))</f>
        <v>271099575</v>
      </c>
      <c r="D4" s="13" t="n">
        <f aca="false">IF(COUNTIFS(raw_月次輸入実績!$A$2:$A$20000,$A4,raw_月次輸入実績!$B$2:$B$20000,"米国",raw_月次輸入実績!$F$2:$F$20000,1)=0,"",SUMIFS(raw_月次輸入実績!$D$2:$D$20000,raw_月次輸入実績!$A$2:$A$20000,$A4,raw_月次輸入実績!$B$2:$B$20000,"米国",raw_月次輸入実績!$F$2:$F$20000,1))</f>
        <v>474108474</v>
      </c>
      <c r="E4" s="13" t="n">
        <f aca="false">IF(COUNTIFS(raw_台湾月次!$A$2:$A$20000,$A4,raw_台湾月次!$B$2:$B$20000,"8486",raw_台湾月次!$D$2:$D$20000,"利用可")=0,"",SUMIFS(raw_台湾月次!$C$2:$C$20000,raw_台湾月次!$A$2:$A$20000,$A4,raw_台湾月次!$B$2:$B$20000,"8486",raw_台湾月次!$D$2:$D$20000,"利用可"))</f>
        <v>502856760</v>
      </c>
      <c r="F4" s="13" t="n">
        <f aca="false">IF(C4="","",C4*設定!$B$3)</f>
        <v>298209532.5</v>
      </c>
      <c r="G4" s="13" t="n">
        <f aca="false">IF(COUNT(B4,E4,F4)=3,B4+E4+F4,"")</f>
        <v>1346740292.5</v>
      </c>
      <c r="H4" s="13" t="n">
        <f aca="false">IF(COUNT(B2:B4)=3,SUM(B2:B4),"")</f>
        <v>1226998000</v>
      </c>
      <c r="I4" s="13" t="n">
        <f aca="false">IF(COUNT(E2:E4)=3,SUM(E2:E4),"")</f>
        <v>1499581628</v>
      </c>
      <c r="J4" s="13" t="n">
        <f aca="false">IF(COUNT(F2:F4)=3,SUM(F2:F4),"")</f>
        <v>549015852</v>
      </c>
      <c r="K4" s="13" t="n">
        <f aca="false">IF(COUNT(D2:D4)=3,SUM(D2:D4),"")</f>
        <v>1117550106</v>
      </c>
      <c r="L4" s="13" t="n">
        <f aca="false">IF(COUNT(G2:G4)=3,SUM(G2:G4),"")</f>
        <v>3275595480</v>
      </c>
    </row>
    <row r="5" customFormat="false" ht="15" hidden="false" customHeight="false" outlineLevel="0" collapsed="false">
      <c r="A5" s="12" t="n">
        <v>45017</v>
      </c>
      <c r="B5" s="13" t="n">
        <f aca="false">IF(COUNTIFS(raw_月次輸入実績!$A$2:$A$20000,$A5,raw_月次輸入実績!$B$2:$B$20000,"韓国",raw_月次輸入実績!$F$2:$F$20000,1)=0,"",SUMIFS(raw_月次輸入実績!$D$2:$D$20000,raw_月次輸入実績!$A$2:$A$20000,$A5,raw_月次輸入実績!$B$2:$B$20000,"韓国",raw_月次輸入実績!$F$2:$F$20000,1))</f>
        <v>444608000</v>
      </c>
      <c r="C5" s="13" t="n">
        <f aca="false">IF(COUNTIFS(raw_月次輸入実績!$A$2:$A$20000,$A5,raw_月次輸入実績!$B$2:$B$20000,"EU27",raw_月次輸入実績!$F$2:$F$20000,1)=0,"",SUMIFS(raw_月次輸入実績!$D$2:$D$20000,raw_月次輸入実績!$A$2:$A$20000,$A5,raw_月次輸入実績!$B$2:$B$20000,"EU27",raw_月次輸入実績!$F$2:$F$20000,1))</f>
        <v>241413843</v>
      </c>
      <c r="D5" s="13" t="n">
        <f aca="false">IF(COUNTIFS(raw_月次輸入実績!$A$2:$A$20000,$A5,raw_月次輸入実績!$B$2:$B$20000,"米国",raw_月次輸入実績!$F$2:$F$20000,1)=0,"",SUMIFS(raw_月次輸入実績!$D$2:$D$20000,raw_月次輸入実績!$A$2:$A$20000,$A5,raw_月次輸入実績!$B$2:$B$20000,"米国",raw_月次輸入実績!$F$2:$F$20000,1))</f>
        <v>565164996</v>
      </c>
      <c r="E5" s="13" t="n">
        <f aca="false">IF(COUNTIFS(raw_台湾月次!$A$2:$A$20000,$A5,raw_台湾月次!$B$2:$B$20000,"8486",raw_台湾月次!$D$2:$D$20000,"利用可")=0,"",SUMIFS(raw_台湾月次!$C$2:$C$20000,raw_台湾月次!$A$2:$A$20000,$A5,raw_台湾月次!$B$2:$B$20000,"8486",raw_台湾月次!$D$2:$D$20000,"利用可"))</f>
        <v>344651016</v>
      </c>
      <c r="F5" s="13" t="n">
        <f aca="false">IF(C5="","",C5*設定!$B$3)</f>
        <v>265555227.3</v>
      </c>
      <c r="G5" s="13" t="n">
        <f aca="false">IF(COUNT(B5,E5,F5)=3,B5+E5+F5,"")</f>
        <v>1054814243.3</v>
      </c>
      <c r="H5" s="13" t="n">
        <f aca="false">IF(COUNT(B3:B5)=3,SUM(B3:B5),"")</f>
        <v>1367420000</v>
      </c>
      <c r="I5" s="13" t="n">
        <f aca="false">IF(COUNT(E3:E5)=3,SUM(E3:E5),"")</f>
        <v>1352253413</v>
      </c>
      <c r="J5" s="13" t="n">
        <f aca="false">IF(COUNT(F3:F5)=3,SUM(F3:F5),"")</f>
        <v>694553148.3</v>
      </c>
      <c r="K5" s="13" t="n">
        <f aca="false">IF(COUNT(D3:D5)=3,SUM(D3:D5),"")</f>
        <v>1389070808</v>
      </c>
      <c r="L5" s="13" t="n">
        <f aca="false">IF(COUNT(G3:G5)=3,SUM(G3:G5),"")</f>
        <v>3414226561.3</v>
      </c>
    </row>
    <row r="6" customFormat="false" ht="15" hidden="false" customHeight="false" outlineLevel="0" collapsed="false">
      <c r="A6" s="12" t="n">
        <v>45047</v>
      </c>
      <c r="B6" s="13" t="n">
        <f aca="false">IF(COUNTIFS(raw_月次輸入実績!$A$2:$A$20000,$A6,raw_月次輸入実績!$B$2:$B$20000,"韓国",raw_月次輸入実績!$F$2:$F$20000,1)=0,"",SUMIFS(raw_月次輸入実績!$D$2:$D$20000,raw_月次輸入実績!$A$2:$A$20000,$A6,raw_月次輸入実績!$B$2:$B$20000,"韓国",raw_月次輸入実績!$F$2:$F$20000,1))</f>
        <v>381300000</v>
      </c>
      <c r="C6" s="13" t="n">
        <f aca="false">IF(COUNTIFS(raw_月次輸入実績!$A$2:$A$20000,$A6,raw_月次輸入実績!$B$2:$B$20000,"EU27",raw_月次輸入実績!$F$2:$F$20000,1)=0,"",SUMIFS(raw_月次輸入実績!$D$2:$D$20000,raw_月次輸入実績!$A$2:$A$20000,$A6,raw_月次輸入実績!$B$2:$B$20000,"EU27",raw_月次輸入実績!$F$2:$F$20000,1))</f>
        <v>289915110</v>
      </c>
      <c r="D6" s="13" t="n">
        <f aca="false">IF(COUNTIFS(raw_月次輸入実績!$A$2:$A$20000,$A6,raw_月次輸入実績!$B$2:$B$20000,"米国",raw_月次輸入実績!$F$2:$F$20000,1)=0,"",SUMIFS(raw_月次輸入実績!$D$2:$D$20000,raw_月次輸入実績!$A$2:$A$20000,$A6,raw_月次輸入実績!$B$2:$B$20000,"米国",raw_月次輸入実績!$F$2:$F$20000,1))</f>
        <v>362202336</v>
      </c>
      <c r="E6" s="13" t="n">
        <f aca="false">IF(COUNTIFS(raw_台湾月次!$A$2:$A$20000,$A6,raw_台湾月次!$B$2:$B$20000,"8486",raw_台湾月次!$D$2:$D$20000,"利用可")=0,"",SUMIFS(raw_台湾月次!$C$2:$C$20000,raw_台湾月次!$A$2:$A$20000,$A6,raw_台湾月次!$B$2:$B$20000,"8486",raw_台湾月次!$D$2:$D$20000,"利用可"))</f>
        <v>478045743</v>
      </c>
      <c r="F6" s="13" t="n">
        <f aca="false">IF(C6="","",C6*設定!$B$3)</f>
        <v>318906621</v>
      </c>
      <c r="G6" s="13" t="n">
        <f aca="false">IF(COUNT(B6,E6,F6)=3,B6+E6+F6,"")</f>
        <v>1178252364</v>
      </c>
      <c r="H6" s="13" t="n">
        <f aca="false">IF(COUNT(B4:B6)=3,SUM(B4:B6),"")</f>
        <v>1371582000</v>
      </c>
      <c r="I6" s="13" t="n">
        <f aca="false">IF(COUNT(E4:E6)=3,SUM(E4:E6),"")</f>
        <v>1325553519</v>
      </c>
      <c r="J6" s="13" t="n">
        <f aca="false">IF(COUNT(F4:F6)=3,SUM(F4:F6),"")</f>
        <v>882671380.8</v>
      </c>
      <c r="K6" s="13" t="n">
        <f aca="false">IF(COUNT(D4:D6)=3,SUM(D4:D6),"")</f>
        <v>1401475806</v>
      </c>
      <c r="L6" s="13" t="n">
        <f aca="false">IF(COUNT(G4:G6)=3,SUM(G4:G6),"")</f>
        <v>3579806899.8</v>
      </c>
    </row>
    <row r="7" customFormat="false" ht="15" hidden="false" customHeight="false" outlineLevel="0" collapsed="false">
      <c r="A7" s="12" t="n">
        <v>45078</v>
      </c>
      <c r="B7" s="13" t="n">
        <f aca="false">IF(COUNTIFS(raw_月次輸入実績!$A$2:$A$20000,$A7,raw_月次輸入実績!$B$2:$B$20000,"韓国",raw_月次輸入実績!$F$2:$F$20000,1)=0,"",SUMIFS(raw_月次輸入実績!$D$2:$D$20000,raw_月次輸入実績!$A$2:$A$20000,$A7,raw_月次輸入実績!$B$2:$B$20000,"韓国",raw_月次輸入実績!$F$2:$F$20000,1))</f>
        <v>468629000</v>
      </c>
      <c r="C7" s="13" t="n">
        <f aca="false">IF(COUNTIFS(raw_月次輸入実績!$A$2:$A$20000,$A7,raw_月次輸入実績!$B$2:$B$20000,"EU27",raw_月次輸入実績!$F$2:$F$20000,1)=0,"",SUMIFS(raw_月次輸入実績!$D$2:$D$20000,raw_月次輸入実績!$A$2:$A$20000,$A7,raw_月次輸入実績!$B$2:$B$20000,"EU27",raw_月次輸入実績!$F$2:$F$20000,1))</f>
        <v>245307331</v>
      </c>
      <c r="D7" s="13" t="n">
        <f aca="false">IF(COUNTIFS(raw_月次輸入実績!$A$2:$A$20000,$A7,raw_月次輸入実績!$B$2:$B$20000,"米国",raw_月次輸入実績!$F$2:$F$20000,1)=0,"",SUMIFS(raw_月次輸入実績!$D$2:$D$20000,raw_月次輸入実績!$A$2:$A$20000,$A7,raw_月次輸入実績!$B$2:$B$20000,"米国",raw_月次輸入実績!$F$2:$F$20000,1))</f>
        <v>255491101</v>
      </c>
      <c r="E7" s="13" t="n">
        <f aca="false">IF(COUNTIFS(raw_台湾月次!$A$2:$A$20000,$A7,raw_台湾月次!$B$2:$B$20000,"8486",raw_台湾月次!$D$2:$D$20000,"利用可")=0,"",SUMIFS(raw_台湾月次!$C$2:$C$20000,raw_台湾月次!$A$2:$A$20000,$A7,raw_台湾月次!$B$2:$B$20000,"8486",raw_台湾月次!$D$2:$D$20000,"利用可"))</f>
        <v>296115358</v>
      </c>
      <c r="F7" s="13" t="n">
        <f aca="false">IF(C7="","",C7*設定!$B$3)</f>
        <v>269838064.1</v>
      </c>
      <c r="G7" s="13" t="n">
        <f aca="false">IF(COUNT(B7,E7,F7)=3,B7+E7+F7,"")</f>
        <v>1034582422.1</v>
      </c>
      <c r="H7" s="13" t="n">
        <f aca="false">IF(COUNT(B5:B7)=3,SUM(B5:B7),"")</f>
        <v>1294537000</v>
      </c>
      <c r="I7" s="13" t="n">
        <f aca="false">IF(COUNT(E5:E7)=3,SUM(E5:E7),"")</f>
        <v>1118812117</v>
      </c>
      <c r="J7" s="13" t="n">
        <f aca="false">IF(COUNT(F5:F7)=3,SUM(F5:F7),"")</f>
        <v>854299912.4</v>
      </c>
      <c r="K7" s="13" t="n">
        <f aca="false">IF(COUNT(D5:D7)=3,SUM(D5:D7),"")</f>
        <v>1182858433</v>
      </c>
      <c r="L7" s="13" t="n">
        <f aca="false">IF(COUNT(G5:G7)=3,SUM(G5:G7),"")</f>
        <v>3267649029.4</v>
      </c>
    </row>
    <row r="8" customFormat="false" ht="15" hidden="false" customHeight="false" outlineLevel="0" collapsed="false">
      <c r="A8" s="12" t="n">
        <v>45108</v>
      </c>
      <c r="B8" s="13" t="n">
        <f aca="false">IF(COUNTIFS(raw_月次輸入実績!$A$2:$A$20000,$A8,raw_月次輸入実績!$B$2:$B$20000,"韓国",raw_月次輸入実績!$F$2:$F$20000,1)=0,"",SUMIFS(raw_月次輸入実績!$D$2:$D$20000,raw_月次輸入実績!$A$2:$A$20000,$A8,raw_月次輸入実績!$B$2:$B$20000,"韓国",raw_月次輸入実績!$F$2:$F$20000,1))</f>
        <v>412611000</v>
      </c>
      <c r="C8" s="13" t="n">
        <f aca="false">IF(COUNTIFS(raw_月次輸入実績!$A$2:$A$20000,$A8,raw_月次輸入実績!$B$2:$B$20000,"EU27",raw_月次輸入実績!$F$2:$F$20000,1)=0,"",SUMIFS(raw_月次輸入実績!$D$2:$D$20000,raw_月次輸入実績!$A$2:$A$20000,$A8,raw_月次輸入実績!$B$2:$B$20000,"EU27",raw_月次輸入実績!$F$2:$F$20000,1))</f>
        <v>154212097</v>
      </c>
      <c r="D8" s="13" t="str">
        <f aca="false">IF(COUNTIFS(raw_月次輸入実績!$A$2:$A$20000,$A8,raw_月次輸入実績!$B$2:$B$20000,"米国",raw_月次輸入実績!$F$2:$F$20000,1)=0,"",SUMIFS(raw_月次輸入実績!$D$2:$D$20000,raw_月次輸入実績!$A$2:$A$20000,$A8,raw_月次輸入実績!$B$2:$B$20000,"米国",raw_月次輸入実績!$F$2:$F$20000,1))</f>
        <v/>
      </c>
      <c r="E8" s="13" t="n">
        <f aca="false">IF(COUNTIFS(raw_台湾月次!$A$2:$A$20000,$A8,raw_台湾月次!$B$2:$B$20000,"8486",raw_台湾月次!$D$2:$D$20000,"利用可")=0,"",SUMIFS(raw_台湾月次!$C$2:$C$20000,raw_台湾月次!$A$2:$A$20000,$A8,raw_台湾月次!$B$2:$B$20000,"8486",raw_台湾月次!$D$2:$D$20000,"利用可"))</f>
        <v>281048307</v>
      </c>
      <c r="F8" s="13" t="n">
        <f aca="false">IF(C8="","",C8*設定!$B$3)</f>
        <v>169633306.7</v>
      </c>
      <c r="G8" s="13" t="n">
        <f aca="false">IF(COUNT(B8,E8,F8)=3,B8+E8+F8,"")</f>
        <v>863292613.7</v>
      </c>
      <c r="H8" s="13" t="n">
        <f aca="false">IF(COUNT(B6:B8)=3,SUM(B6:B8),"")</f>
        <v>1262540000</v>
      </c>
      <c r="I8" s="13" t="n">
        <f aca="false">IF(COUNT(E6:E8)=3,SUM(E6:E8),"")</f>
        <v>1055209408</v>
      </c>
      <c r="J8" s="13" t="n">
        <f aca="false">IF(COUNT(F6:F8)=3,SUM(F6:F8),"")</f>
        <v>758377991.8</v>
      </c>
      <c r="K8" s="13" t="str">
        <f aca="false">IF(COUNT(D6:D8)=3,SUM(D6:D8),"")</f>
        <v/>
      </c>
      <c r="L8" s="13" t="n">
        <f aca="false">IF(COUNT(G6:G8)=3,SUM(G6:G8),"")</f>
        <v>3076127399.8</v>
      </c>
    </row>
    <row r="9" customFormat="false" ht="15" hidden="false" customHeight="false" outlineLevel="0" collapsed="false">
      <c r="A9" s="12" t="n">
        <v>45139</v>
      </c>
      <c r="B9" s="13" t="n">
        <f aca="false">IF(COUNTIFS(raw_月次輸入実績!$A$2:$A$20000,$A9,raw_月次輸入実績!$B$2:$B$20000,"韓国",raw_月次輸入実績!$F$2:$F$20000,1)=0,"",SUMIFS(raw_月次輸入実績!$D$2:$D$20000,raw_月次輸入実績!$A$2:$A$20000,$A9,raw_月次輸入実績!$B$2:$B$20000,"韓国",raw_月次輸入実績!$F$2:$F$20000,1))</f>
        <v>258491000</v>
      </c>
      <c r="C9" s="13" t="n">
        <f aca="false">IF(COUNTIFS(raw_月次輸入実績!$A$2:$A$20000,$A9,raw_月次輸入実績!$B$2:$B$20000,"EU27",raw_月次輸入実績!$F$2:$F$20000,1)=0,"",SUMIFS(raw_月次輸入実績!$D$2:$D$20000,raw_月次輸入実績!$A$2:$A$20000,$A9,raw_月次輸入実績!$B$2:$B$20000,"EU27",raw_月次輸入実績!$F$2:$F$20000,1))</f>
        <v>139911138</v>
      </c>
      <c r="D9" s="13" t="n">
        <f aca="false">IF(COUNTIFS(raw_月次輸入実績!$A$2:$A$20000,$A9,raw_月次輸入実績!$B$2:$B$20000,"米国",raw_月次輸入実績!$F$2:$F$20000,1)=0,"",SUMIFS(raw_月次輸入実績!$D$2:$D$20000,raw_月次輸入実績!$A$2:$A$20000,$A9,raw_月次輸入実績!$B$2:$B$20000,"米国",raw_月次輸入実績!$F$2:$F$20000,1))</f>
        <v>244571745</v>
      </c>
      <c r="E9" s="13" t="n">
        <f aca="false">IF(COUNTIFS(raw_台湾月次!$A$2:$A$20000,$A9,raw_台湾月次!$B$2:$B$20000,"8486",raw_台湾月次!$D$2:$D$20000,"利用可")=0,"",SUMIFS(raw_台湾月次!$C$2:$C$20000,raw_台湾月次!$A$2:$A$20000,$A9,raw_台湾月次!$B$2:$B$20000,"8486",raw_台湾月次!$D$2:$D$20000,"利用可"))</f>
        <v>167344017</v>
      </c>
      <c r="F9" s="13" t="n">
        <f aca="false">IF(C9="","",C9*設定!$B$3)</f>
        <v>153902251.8</v>
      </c>
      <c r="G9" s="13" t="n">
        <f aca="false">IF(COUNT(B9,E9,F9)=3,B9+E9+F9,"")</f>
        <v>579737268.8</v>
      </c>
      <c r="H9" s="13" t="n">
        <f aca="false">IF(COUNT(B7:B9)=3,SUM(B7:B9),"")</f>
        <v>1139731000</v>
      </c>
      <c r="I9" s="13" t="n">
        <f aca="false">IF(COUNT(E7:E9)=3,SUM(E7:E9),"")</f>
        <v>744507682</v>
      </c>
      <c r="J9" s="13" t="n">
        <f aca="false">IF(COUNT(F7:F9)=3,SUM(F7:F9),"")</f>
        <v>593373622.6</v>
      </c>
      <c r="K9" s="13" t="str">
        <f aca="false">IF(COUNT(D7:D9)=3,SUM(D7:D9),"")</f>
        <v/>
      </c>
      <c r="L9" s="13" t="n">
        <f aca="false">IF(COUNT(G7:G9)=3,SUM(G7:G9),"")</f>
        <v>2477612304.6</v>
      </c>
    </row>
    <row r="10" customFormat="false" ht="15" hidden="false" customHeight="false" outlineLevel="0" collapsed="false">
      <c r="A10" s="12" t="n">
        <v>45170</v>
      </c>
      <c r="B10" s="13" t="n">
        <f aca="false">IF(COUNTIFS(raw_月次輸入実績!$A$2:$A$20000,$A10,raw_月次輸入実績!$B$2:$B$20000,"韓国",raw_月次輸入実績!$F$2:$F$20000,1)=0,"",SUMIFS(raw_月次輸入実績!$D$2:$D$20000,raw_月次輸入実績!$A$2:$A$20000,$A10,raw_月次輸入実績!$B$2:$B$20000,"韓国",raw_月次輸入実績!$F$2:$F$20000,1))</f>
        <v>327383000</v>
      </c>
      <c r="C10" s="13" t="n">
        <f aca="false">IF(COUNTIFS(raw_月次輸入実績!$A$2:$A$20000,$A10,raw_月次輸入実績!$B$2:$B$20000,"EU27",raw_月次輸入実績!$F$2:$F$20000,1)=0,"",SUMIFS(raw_月次輸入実績!$D$2:$D$20000,raw_月次輸入実績!$A$2:$A$20000,$A10,raw_月次輸入実績!$B$2:$B$20000,"EU27",raw_月次輸入実績!$F$2:$F$20000,1))</f>
        <v>133270606</v>
      </c>
      <c r="D10" s="13" t="n">
        <f aca="false">IF(COUNTIFS(raw_月次輸入実績!$A$2:$A$20000,$A10,raw_月次輸入実績!$B$2:$B$20000,"米国",raw_月次輸入実績!$F$2:$F$20000,1)=0,"",SUMIFS(raw_月次輸入実績!$D$2:$D$20000,raw_月次輸入実績!$A$2:$A$20000,$A10,raw_月次輸入実績!$B$2:$B$20000,"米国",raw_月次輸入実績!$F$2:$F$20000,1))</f>
        <v>252977840</v>
      </c>
      <c r="E10" s="13" t="n">
        <f aca="false">IF(COUNTIFS(raw_台湾月次!$A$2:$A$20000,$A10,raw_台湾月次!$B$2:$B$20000,"8486",raw_台湾月次!$D$2:$D$20000,"利用可")=0,"",SUMIFS(raw_台湾月次!$C$2:$C$20000,raw_台湾月次!$A$2:$A$20000,$A10,raw_台湾月次!$B$2:$B$20000,"8486",raw_台湾月次!$D$2:$D$20000,"利用可"))</f>
        <v>181885144</v>
      </c>
      <c r="F10" s="13" t="n">
        <f aca="false">IF(C10="","",C10*設定!$B$3)</f>
        <v>146597666.6</v>
      </c>
      <c r="G10" s="13" t="n">
        <f aca="false">IF(COUNT(B10,E10,F10)=3,B10+E10+F10,"")</f>
        <v>655865810.6</v>
      </c>
      <c r="H10" s="13" t="n">
        <f aca="false">IF(COUNT(B8:B10)=3,SUM(B8:B10),"")</f>
        <v>998485000</v>
      </c>
      <c r="I10" s="13" t="n">
        <f aca="false">IF(COUNT(E8:E10)=3,SUM(E8:E10),"")</f>
        <v>630277468</v>
      </c>
      <c r="J10" s="13" t="n">
        <f aca="false">IF(COUNT(F8:F10)=3,SUM(F8:F10),"")</f>
        <v>470133225.1</v>
      </c>
      <c r="K10" s="13" t="str">
        <f aca="false">IF(COUNT(D8:D10)=3,SUM(D8:D10),"")</f>
        <v/>
      </c>
      <c r="L10" s="13" t="n">
        <f aca="false">IF(COUNT(G8:G10)=3,SUM(G8:G10),"")</f>
        <v>2098895693.1</v>
      </c>
    </row>
    <row r="11" customFormat="false" ht="15" hidden="false" customHeight="false" outlineLevel="0" collapsed="false">
      <c r="A11" s="12" t="n">
        <v>45200</v>
      </c>
      <c r="B11" s="13" t="n">
        <f aca="false">IF(COUNTIFS(raw_月次輸入実績!$A$2:$A$20000,$A11,raw_月次輸入実績!$B$2:$B$20000,"韓国",raw_月次輸入実績!$F$2:$F$20000,1)=0,"",SUMIFS(raw_月次輸入実績!$D$2:$D$20000,raw_月次輸入実績!$A$2:$A$20000,$A11,raw_月次輸入実績!$B$2:$B$20000,"韓国",raw_月次輸入実績!$F$2:$F$20000,1))</f>
        <v>242689000</v>
      </c>
      <c r="C11" s="13" t="n">
        <f aca="false">IF(COUNTIFS(raw_月次輸入実績!$A$2:$A$20000,$A11,raw_月次輸入実績!$B$2:$B$20000,"EU27",raw_月次輸入実績!$F$2:$F$20000,1)=0,"",SUMIFS(raw_月次輸入実績!$D$2:$D$20000,raw_月次輸入実績!$A$2:$A$20000,$A11,raw_月次輸入実績!$B$2:$B$20000,"EU27",raw_月次輸入実績!$F$2:$F$20000,1))</f>
        <v>155521919</v>
      </c>
      <c r="D11" s="13" t="n">
        <f aca="false">IF(COUNTIFS(raw_月次輸入実績!$A$2:$A$20000,$A11,raw_月次輸入実績!$B$2:$B$20000,"米国",raw_月次輸入実績!$F$2:$F$20000,1)=0,"",SUMIFS(raw_月次輸入実績!$D$2:$D$20000,raw_月次輸入実績!$A$2:$A$20000,$A11,raw_月次輸入実績!$B$2:$B$20000,"米国",raw_月次輸入実績!$F$2:$F$20000,1))</f>
        <v>284168551</v>
      </c>
      <c r="E11" s="13" t="n">
        <f aca="false">IF(COUNTIFS(raw_台湾月次!$A$2:$A$20000,$A11,raw_台湾月次!$B$2:$B$20000,"8486",raw_台湾月次!$D$2:$D$20000,"利用可")=0,"",SUMIFS(raw_台湾月次!$C$2:$C$20000,raw_台湾月次!$A$2:$A$20000,$A11,raw_台湾月次!$B$2:$B$20000,"8486",raw_台湾月次!$D$2:$D$20000,"利用可"))</f>
        <v>236236817</v>
      </c>
      <c r="F11" s="13" t="n">
        <f aca="false">IF(C11="","",C11*設定!$B$3)</f>
        <v>171074110.9</v>
      </c>
      <c r="G11" s="13" t="n">
        <f aca="false">IF(COUNT(B11,E11,F11)=3,B11+E11+F11,"")</f>
        <v>649999927.9</v>
      </c>
      <c r="H11" s="13" t="n">
        <f aca="false">IF(COUNT(B9:B11)=3,SUM(B9:B11),"")</f>
        <v>828563000</v>
      </c>
      <c r="I11" s="13" t="n">
        <f aca="false">IF(COUNT(E9:E11)=3,SUM(E9:E11),"")</f>
        <v>585465978</v>
      </c>
      <c r="J11" s="13" t="n">
        <f aca="false">IF(COUNT(F9:F11)=3,SUM(F9:F11),"")</f>
        <v>471574029.3</v>
      </c>
      <c r="K11" s="13" t="n">
        <f aca="false">IF(COUNT(D9:D11)=3,SUM(D9:D11),"")</f>
        <v>781718136</v>
      </c>
      <c r="L11" s="13" t="n">
        <f aca="false">IF(COUNT(G9:G11)=3,SUM(G9:G11),"")</f>
        <v>1885603007.3</v>
      </c>
    </row>
    <row r="12" customFormat="false" ht="15" hidden="false" customHeight="false" outlineLevel="0" collapsed="false">
      <c r="A12" s="12" t="n">
        <v>45231</v>
      </c>
      <c r="B12" s="13" t="n">
        <f aca="false">IF(COUNTIFS(raw_月次輸入実績!$A$2:$A$20000,$A12,raw_月次輸入実績!$B$2:$B$20000,"韓国",raw_月次輸入実績!$F$2:$F$20000,1)=0,"",SUMIFS(raw_月次輸入実績!$D$2:$D$20000,raw_月次輸入実績!$A$2:$A$20000,$A12,raw_月次輸入実績!$B$2:$B$20000,"韓国",raw_月次輸入実績!$F$2:$F$20000,1))</f>
        <v>266275000</v>
      </c>
      <c r="C12" s="13" t="n">
        <f aca="false">IF(COUNTIFS(raw_月次輸入実績!$A$2:$A$20000,$A12,raw_月次輸入実績!$B$2:$B$20000,"EU27",raw_月次輸入実績!$F$2:$F$20000,1)=0,"",SUMIFS(raw_月次輸入実績!$D$2:$D$20000,raw_月次輸入実績!$A$2:$A$20000,$A12,raw_月次輸入実績!$B$2:$B$20000,"EU27",raw_月次輸入実績!$F$2:$F$20000,1))</f>
        <v>113816534</v>
      </c>
      <c r="D12" s="13" t="n">
        <f aca="false">IF(COUNTIFS(raw_月次輸入実績!$A$2:$A$20000,$A12,raw_月次輸入実績!$B$2:$B$20000,"米国",raw_月次輸入実績!$F$2:$F$20000,1)=0,"",SUMIFS(raw_月次輸入実績!$D$2:$D$20000,raw_月次輸入実績!$A$2:$A$20000,$A12,raw_月次輸入実績!$B$2:$B$20000,"米国",raw_月次輸入実績!$F$2:$F$20000,1))</f>
        <v>325764618</v>
      </c>
      <c r="E12" s="13" t="n">
        <f aca="false">IF(COUNTIFS(raw_台湾月次!$A$2:$A$20000,$A12,raw_台湾月次!$B$2:$B$20000,"8486",raw_台湾月次!$D$2:$D$20000,"利用可")=0,"",SUMIFS(raw_台湾月次!$C$2:$C$20000,raw_台湾月次!$A$2:$A$20000,$A12,raw_台湾月次!$B$2:$B$20000,"8486",raw_台湾月次!$D$2:$D$20000,"利用可"))</f>
        <v>236798470</v>
      </c>
      <c r="F12" s="13" t="n">
        <f aca="false">IF(C12="","",C12*設定!$B$3)</f>
        <v>125198187.4</v>
      </c>
      <c r="G12" s="13" t="n">
        <f aca="false">IF(COUNT(B12,E12,F12)=3,B12+E12+F12,"")</f>
        <v>628271657.4</v>
      </c>
      <c r="H12" s="13" t="n">
        <f aca="false">IF(COUNT(B10:B12)=3,SUM(B10:B12),"")</f>
        <v>836347000</v>
      </c>
      <c r="I12" s="13" t="n">
        <f aca="false">IF(COUNT(E10:E12)=3,SUM(E10:E12),"")</f>
        <v>654920431</v>
      </c>
      <c r="J12" s="13" t="n">
        <f aca="false">IF(COUNT(F10:F12)=3,SUM(F10:F12),"")</f>
        <v>442869964.9</v>
      </c>
      <c r="K12" s="13" t="n">
        <f aca="false">IF(COUNT(D10:D12)=3,SUM(D10:D12),"")</f>
        <v>862911009</v>
      </c>
      <c r="L12" s="13" t="n">
        <f aca="false">IF(COUNT(G10:G12)=3,SUM(G10:G12),"")</f>
        <v>1934137395.9</v>
      </c>
    </row>
    <row r="13" customFormat="false" ht="15" hidden="false" customHeight="false" outlineLevel="0" collapsed="false">
      <c r="A13" s="12" t="n">
        <v>45261</v>
      </c>
      <c r="B13" s="13" t="n">
        <f aca="false">IF(COUNTIFS(raw_月次輸入実績!$A$2:$A$20000,$A13,raw_月次輸入実績!$B$2:$B$20000,"韓国",raw_月次輸入実績!$F$2:$F$20000,1)=0,"",SUMIFS(raw_月次輸入実績!$D$2:$D$20000,raw_月次輸入実績!$A$2:$A$20000,$A13,raw_月次輸入実績!$B$2:$B$20000,"韓国",raw_月次輸入実績!$F$2:$F$20000,1))</f>
        <v>362514000</v>
      </c>
      <c r="C13" s="13" t="n">
        <f aca="false">IF(COUNTIFS(raw_月次輸入実績!$A$2:$A$20000,$A13,raw_月次輸入実績!$B$2:$B$20000,"EU27",raw_月次輸入実績!$F$2:$F$20000,1)=0,"",SUMIFS(raw_月次輸入実績!$D$2:$D$20000,raw_月次輸入実績!$A$2:$A$20000,$A13,raw_月次輸入実績!$B$2:$B$20000,"EU27",raw_月次輸入実績!$F$2:$F$20000,1))</f>
        <v>59303938</v>
      </c>
      <c r="D13" s="13" t="n">
        <f aca="false">IF(COUNTIFS(raw_月次輸入実績!$A$2:$A$20000,$A13,raw_月次輸入実績!$B$2:$B$20000,"米国",raw_月次輸入実績!$F$2:$F$20000,1)=0,"",SUMIFS(raw_月次輸入実績!$D$2:$D$20000,raw_月次輸入実績!$A$2:$A$20000,$A13,raw_月次輸入実績!$B$2:$B$20000,"米国",raw_月次輸入実績!$F$2:$F$20000,1))</f>
        <v>274987453</v>
      </c>
      <c r="E13" s="13" t="n">
        <f aca="false">IF(COUNTIFS(raw_台湾月次!$A$2:$A$20000,$A13,raw_台湾月次!$B$2:$B$20000,"8486",raw_台湾月次!$D$2:$D$20000,"利用可")=0,"",SUMIFS(raw_台湾月次!$C$2:$C$20000,raw_台湾月次!$A$2:$A$20000,$A13,raw_台湾月次!$B$2:$B$20000,"8486",raw_台湾月次!$D$2:$D$20000,"利用可"))</f>
        <v>292221271</v>
      </c>
      <c r="F13" s="13" t="n">
        <f aca="false">IF(C13="","",C13*設定!$B$3)</f>
        <v>65234331.8</v>
      </c>
      <c r="G13" s="13" t="n">
        <f aca="false">IF(COUNT(B13,E13,F13)=3,B13+E13+F13,"")</f>
        <v>719969602.8</v>
      </c>
      <c r="H13" s="13" t="n">
        <f aca="false">IF(COUNT(B11:B13)=3,SUM(B11:B13),"")</f>
        <v>871478000</v>
      </c>
      <c r="I13" s="13" t="n">
        <f aca="false">IF(COUNT(E11:E13)=3,SUM(E11:E13),"")</f>
        <v>765256558</v>
      </c>
      <c r="J13" s="13" t="n">
        <f aca="false">IF(COUNT(F11:F13)=3,SUM(F11:F13),"")</f>
        <v>361506630.1</v>
      </c>
      <c r="K13" s="13" t="n">
        <f aca="false">IF(COUNT(D11:D13)=3,SUM(D11:D13),"")</f>
        <v>884920622</v>
      </c>
      <c r="L13" s="13" t="n">
        <f aca="false">IF(COUNT(G11:G13)=3,SUM(G11:G13),"")</f>
        <v>1998241188.1</v>
      </c>
    </row>
    <row r="14" customFormat="false" ht="15" hidden="false" customHeight="false" outlineLevel="0" collapsed="false">
      <c r="A14" s="12" t="n">
        <v>45292</v>
      </c>
      <c r="B14" s="13" t="n">
        <f aca="false">IF(COUNTIFS(raw_月次輸入実績!$A$2:$A$20000,$A14,raw_月次輸入実績!$B$2:$B$20000,"韓国",raw_月次輸入実績!$F$2:$F$20000,1)=0,"",SUMIFS(raw_月次輸入実績!$D$2:$D$20000,raw_月次輸入実績!$A$2:$A$20000,$A14,raw_月次輸入実績!$B$2:$B$20000,"韓国",raw_月次輸入実績!$F$2:$F$20000,1))</f>
        <v>390312000</v>
      </c>
      <c r="C14" s="13" t="n">
        <f aca="false">IF(COUNTIFS(raw_月次輸入実績!$A$2:$A$20000,$A14,raw_月次輸入実績!$B$2:$B$20000,"EU27",raw_月次輸入実績!$F$2:$F$20000,1)=0,"",SUMIFS(raw_月次輸入実績!$D$2:$D$20000,raw_月次輸入実績!$A$2:$A$20000,$A14,raw_月次輸入実績!$B$2:$B$20000,"EU27",raw_月次輸入実績!$F$2:$F$20000,1))</f>
        <v>144482449</v>
      </c>
      <c r="D14" s="13" t="n">
        <f aca="false">IF(COUNTIFS(raw_月次輸入実績!$A$2:$A$20000,$A14,raw_月次輸入実績!$B$2:$B$20000,"米国",raw_月次輸入実績!$F$2:$F$20000,1)=0,"",SUMIFS(raw_月次輸入実績!$D$2:$D$20000,raw_月次輸入実績!$A$2:$A$20000,$A14,raw_月次輸入実績!$B$2:$B$20000,"米国",raw_月次輸入実績!$F$2:$F$20000,1))</f>
        <v>244964160</v>
      </c>
      <c r="E14" s="13" t="n">
        <f aca="false">IF(COUNTIFS(raw_台湾月次!$A$2:$A$20000,$A14,raw_台湾月次!$B$2:$B$20000,"8486",raw_台湾月次!$D$2:$D$20000,"利用可")=0,"",SUMIFS(raw_台湾月次!$C$2:$C$20000,raw_台湾月次!$A$2:$A$20000,$A14,raw_台湾月次!$B$2:$B$20000,"8486",raw_台湾月次!$D$2:$D$20000,"利用可"))</f>
        <v>257692564</v>
      </c>
      <c r="F14" s="13" t="n">
        <f aca="false">IF(C14="","",C14*設定!$B$3)</f>
        <v>158930693.9</v>
      </c>
      <c r="G14" s="13" t="n">
        <f aca="false">IF(COUNT(B14,E14,F14)=3,B14+E14+F14,"")</f>
        <v>806935257.9</v>
      </c>
      <c r="H14" s="13" t="n">
        <f aca="false">IF(COUNT(B12:B14)=3,SUM(B12:B14),"")</f>
        <v>1019101000</v>
      </c>
      <c r="I14" s="13" t="n">
        <f aca="false">IF(COUNT(E12:E14)=3,SUM(E12:E14),"")</f>
        <v>786712305</v>
      </c>
      <c r="J14" s="13" t="n">
        <f aca="false">IF(COUNT(F12:F14)=3,SUM(F12:F14),"")</f>
        <v>349363213.1</v>
      </c>
      <c r="K14" s="13" t="n">
        <f aca="false">IF(COUNT(D12:D14)=3,SUM(D12:D14),"")</f>
        <v>845716231</v>
      </c>
      <c r="L14" s="13" t="n">
        <f aca="false">IF(COUNT(G12:G14)=3,SUM(G12:G14),"")</f>
        <v>2155176518.1</v>
      </c>
    </row>
    <row r="15" customFormat="false" ht="15" hidden="false" customHeight="false" outlineLevel="0" collapsed="false">
      <c r="A15" s="12" t="n">
        <v>45323</v>
      </c>
      <c r="B15" s="13" t="n">
        <f aca="false">IF(COUNTIFS(raw_月次輸入実績!$A$2:$A$20000,$A15,raw_月次輸入実績!$B$2:$B$20000,"韓国",raw_月次輸入実績!$F$2:$F$20000,1)=0,"",SUMIFS(raw_月次輸入実績!$D$2:$D$20000,raw_月次輸入実績!$A$2:$A$20000,$A15,raw_月次輸入実績!$B$2:$B$20000,"韓国",raw_月次輸入実績!$F$2:$F$20000,1))</f>
        <v>388391000</v>
      </c>
      <c r="C15" s="13" t="n">
        <f aca="false">IF(COUNTIFS(raw_月次輸入実績!$A$2:$A$20000,$A15,raw_月次輸入実績!$B$2:$B$20000,"EU27",raw_月次輸入実績!$F$2:$F$20000,1)=0,"",SUMIFS(raw_月次輸入実績!$D$2:$D$20000,raw_月次輸入実績!$A$2:$A$20000,$A15,raw_月次輸入実績!$B$2:$B$20000,"EU27",raw_月次輸入実績!$F$2:$F$20000,1))</f>
        <v>135039798</v>
      </c>
      <c r="D15" s="13" t="n">
        <f aca="false">IF(COUNTIFS(raw_月次輸入実績!$A$2:$A$20000,$A15,raw_月次輸入実績!$B$2:$B$20000,"米国",raw_月次輸入実績!$F$2:$F$20000,1)=0,"",SUMIFS(raw_月次輸入実績!$D$2:$D$20000,raw_月次輸入実績!$A$2:$A$20000,$A15,raw_月次輸入実績!$B$2:$B$20000,"米国",raw_月次輸入実績!$F$2:$F$20000,1))</f>
        <v>287762563</v>
      </c>
      <c r="E15" s="13" t="n">
        <f aca="false">IF(COUNTIFS(raw_台湾月次!$A$2:$A$20000,$A15,raw_台湾月次!$B$2:$B$20000,"8486",raw_台湾月次!$D$2:$D$20000,"利用可")=0,"",SUMIFS(raw_台湾月次!$C$2:$C$20000,raw_台湾月次!$A$2:$A$20000,$A15,raw_台湾月次!$B$2:$B$20000,"8486",raw_台湾月次!$D$2:$D$20000,"利用可"))</f>
        <v>202843270</v>
      </c>
      <c r="F15" s="13" t="n">
        <f aca="false">IF(C15="","",C15*設定!$B$3)</f>
        <v>148543777.8</v>
      </c>
      <c r="G15" s="13" t="n">
        <f aca="false">IF(COUNT(B15,E15,F15)=3,B15+E15+F15,"")</f>
        <v>739778047.8</v>
      </c>
      <c r="H15" s="13" t="n">
        <f aca="false">IF(COUNT(B13:B15)=3,SUM(B13:B15),"")</f>
        <v>1141217000</v>
      </c>
      <c r="I15" s="13" t="n">
        <f aca="false">IF(COUNT(E13:E15)=3,SUM(E13:E15),"")</f>
        <v>752757105</v>
      </c>
      <c r="J15" s="13" t="n">
        <f aca="false">IF(COUNT(F13:F15)=3,SUM(F13:F15),"")</f>
        <v>372708803.5</v>
      </c>
      <c r="K15" s="13" t="n">
        <f aca="false">IF(COUNT(D13:D15)=3,SUM(D13:D15),"")</f>
        <v>807714176</v>
      </c>
      <c r="L15" s="13" t="n">
        <f aca="false">IF(COUNT(G13:G15)=3,SUM(G13:G15),"")</f>
        <v>2266682908.5</v>
      </c>
    </row>
    <row r="16" customFormat="false" ht="15" hidden="false" customHeight="false" outlineLevel="0" collapsed="false">
      <c r="A16" s="12" t="n">
        <v>45352</v>
      </c>
      <c r="B16" s="13" t="n">
        <f aca="false">IF(COUNTIFS(raw_月次輸入実績!$A$2:$A$20000,$A16,raw_月次輸入実績!$B$2:$B$20000,"韓国",raw_月次輸入実績!$F$2:$F$20000,1)=0,"",SUMIFS(raw_月次輸入実績!$D$2:$D$20000,raw_月次輸入実績!$A$2:$A$20000,$A16,raw_月次輸入実績!$B$2:$B$20000,"韓国",raw_月次輸入実績!$F$2:$F$20000,1))</f>
        <v>416808000</v>
      </c>
      <c r="C16" s="13" t="n">
        <f aca="false">IF(COUNTIFS(raw_月次輸入実績!$A$2:$A$20000,$A16,raw_月次輸入実績!$B$2:$B$20000,"EU27",raw_月次輸入実績!$F$2:$F$20000,1)=0,"",SUMIFS(raw_月次輸入実績!$D$2:$D$20000,raw_月次輸入実績!$A$2:$A$20000,$A16,raw_月次輸入実績!$B$2:$B$20000,"EU27",raw_月次輸入実績!$F$2:$F$20000,1))</f>
        <v>153760805</v>
      </c>
      <c r="D16" s="13" t="n">
        <f aca="false">IF(COUNTIFS(raw_月次輸入実績!$A$2:$A$20000,$A16,raw_月次輸入実績!$B$2:$B$20000,"米国",raw_月次輸入実績!$F$2:$F$20000,1)=0,"",SUMIFS(raw_月次輸入実績!$D$2:$D$20000,raw_月次輸入実績!$A$2:$A$20000,$A16,raw_月次輸入実績!$B$2:$B$20000,"米国",raw_月次輸入実績!$F$2:$F$20000,1))</f>
        <v>309535252</v>
      </c>
      <c r="E16" s="13" t="n">
        <f aca="false">IF(COUNTIFS(raw_台湾月次!$A$2:$A$20000,$A16,raw_台湾月次!$B$2:$B$20000,"8486",raw_台湾月次!$D$2:$D$20000,"利用可")=0,"",SUMIFS(raw_台湾月次!$C$2:$C$20000,raw_台湾月次!$A$2:$A$20000,$A16,raw_台湾月次!$B$2:$B$20000,"8486",raw_台湾月次!$D$2:$D$20000,"利用可"))</f>
        <v>321322461</v>
      </c>
      <c r="F16" s="13" t="n">
        <f aca="false">IF(C16="","",C16*設定!$B$3)</f>
        <v>169136885.5</v>
      </c>
      <c r="G16" s="13" t="n">
        <f aca="false">IF(COUNT(B16,E16,F16)=3,B16+E16+F16,"")</f>
        <v>907267346.5</v>
      </c>
      <c r="H16" s="13" t="n">
        <f aca="false">IF(COUNT(B14:B16)=3,SUM(B14:B16),"")</f>
        <v>1195511000</v>
      </c>
      <c r="I16" s="13" t="n">
        <f aca="false">IF(COUNT(E14:E16)=3,SUM(E14:E16),"")</f>
        <v>781858295</v>
      </c>
      <c r="J16" s="13" t="n">
        <f aca="false">IF(COUNT(F14:F16)=3,SUM(F14:F16),"")</f>
        <v>476611357.2</v>
      </c>
      <c r="K16" s="13" t="n">
        <f aca="false">IF(COUNT(D14:D16)=3,SUM(D14:D16),"")</f>
        <v>842261975</v>
      </c>
      <c r="L16" s="13" t="n">
        <f aca="false">IF(COUNT(G14:G16)=3,SUM(G14:G16),"")</f>
        <v>2453980652.2</v>
      </c>
    </row>
    <row r="17" customFormat="false" ht="15" hidden="false" customHeight="false" outlineLevel="0" collapsed="false">
      <c r="A17" s="12" t="n">
        <v>45383</v>
      </c>
      <c r="B17" s="13" t="n">
        <f aca="false">IF(COUNTIFS(raw_月次輸入実績!$A$2:$A$20000,$A17,raw_月次輸入実績!$B$2:$B$20000,"韓国",raw_月次輸入実績!$F$2:$F$20000,1)=0,"",SUMIFS(raw_月次輸入実績!$D$2:$D$20000,raw_月次輸入実績!$A$2:$A$20000,$A17,raw_月次輸入実績!$B$2:$B$20000,"韓国",raw_月次輸入実績!$F$2:$F$20000,1))</f>
        <v>386272000</v>
      </c>
      <c r="C17" s="13" t="n">
        <f aca="false">IF(COUNTIFS(raw_月次輸入実績!$A$2:$A$20000,$A17,raw_月次輸入実績!$B$2:$B$20000,"EU27",raw_月次輸入実績!$F$2:$F$20000,1)=0,"",SUMIFS(raw_月次輸入実績!$D$2:$D$20000,raw_月次輸入実績!$A$2:$A$20000,$A17,raw_月次輸入実績!$B$2:$B$20000,"EU27",raw_月次輸入実績!$F$2:$F$20000,1))</f>
        <v>153015819</v>
      </c>
      <c r="D17" s="13" t="n">
        <f aca="false">IF(COUNTIFS(raw_月次輸入実績!$A$2:$A$20000,$A17,raw_月次輸入実績!$B$2:$B$20000,"米国",raw_月次輸入実績!$F$2:$F$20000,1)=0,"",SUMIFS(raw_月次輸入実績!$D$2:$D$20000,raw_月次輸入実績!$A$2:$A$20000,$A17,raw_月次輸入実績!$B$2:$B$20000,"米国",raw_月次輸入実績!$F$2:$F$20000,1))</f>
        <v>275603400</v>
      </c>
      <c r="E17" s="13" t="n">
        <f aca="false">IF(COUNTIFS(raw_台湾月次!$A$2:$A$20000,$A17,raw_台湾月次!$B$2:$B$20000,"8486",raw_台湾月次!$D$2:$D$20000,"利用可")=0,"",SUMIFS(raw_台湾月次!$C$2:$C$20000,raw_台湾月次!$A$2:$A$20000,$A17,raw_台湾月次!$B$2:$B$20000,"8486",raw_台湾月次!$D$2:$D$20000,"利用可"))</f>
        <v>476701988</v>
      </c>
      <c r="F17" s="13" t="n">
        <f aca="false">IF(C17="","",C17*設定!$B$3)</f>
        <v>168317400.9</v>
      </c>
      <c r="G17" s="13" t="n">
        <f aca="false">IF(COUNT(B17,E17,F17)=3,B17+E17+F17,"")</f>
        <v>1031291388.9</v>
      </c>
      <c r="H17" s="13" t="n">
        <f aca="false">IF(COUNT(B15:B17)=3,SUM(B15:B17),"")</f>
        <v>1191471000</v>
      </c>
      <c r="I17" s="13" t="n">
        <f aca="false">IF(COUNT(E15:E17)=3,SUM(E15:E17),"")</f>
        <v>1000867719</v>
      </c>
      <c r="J17" s="13" t="n">
        <f aca="false">IF(COUNT(F15:F17)=3,SUM(F15:F17),"")</f>
        <v>485998064.2</v>
      </c>
      <c r="K17" s="13" t="n">
        <f aca="false">IF(COUNT(D15:D17)=3,SUM(D15:D17),"")</f>
        <v>872901215</v>
      </c>
      <c r="L17" s="13" t="n">
        <f aca="false">IF(COUNT(G15:G17)=3,SUM(G15:G17),"")</f>
        <v>2678336783.2</v>
      </c>
    </row>
    <row r="18" customFormat="false" ht="15" hidden="false" customHeight="false" outlineLevel="0" collapsed="false">
      <c r="A18" s="12" t="n">
        <v>45413</v>
      </c>
      <c r="B18" s="13" t="n">
        <f aca="false">IF(COUNTIFS(raw_月次輸入実績!$A$2:$A$20000,$A18,raw_月次輸入実績!$B$2:$B$20000,"韓国",raw_月次輸入実績!$F$2:$F$20000,1)=0,"",SUMIFS(raw_月次輸入実績!$D$2:$D$20000,raw_月次輸入実績!$A$2:$A$20000,$A18,raw_月次輸入実績!$B$2:$B$20000,"韓国",raw_月次輸入実績!$F$2:$F$20000,1))</f>
        <v>284874000</v>
      </c>
      <c r="C18" s="13" t="n">
        <f aca="false">IF(COUNTIFS(raw_月次輸入実績!$A$2:$A$20000,$A18,raw_月次輸入実績!$B$2:$B$20000,"EU27",raw_月次輸入実績!$F$2:$F$20000,1)=0,"",SUMIFS(raw_月次輸入実績!$D$2:$D$20000,raw_月次輸入実績!$A$2:$A$20000,$A18,raw_月次輸入実績!$B$2:$B$20000,"EU27",raw_月次輸入実績!$F$2:$F$20000,1))</f>
        <v>64464882</v>
      </c>
      <c r="D18" s="13" t="n">
        <f aca="false">IF(COUNTIFS(raw_月次輸入実績!$A$2:$A$20000,$A18,raw_月次輸入実績!$B$2:$B$20000,"米国",raw_月次輸入実績!$F$2:$F$20000,1)=0,"",SUMIFS(raw_月次輸入実績!$D$2:$D$20000,raw_月次輸入実績!$A$2:$A$20000,$A18,raw_月次輸入実績!$B$2:$B$20000,"米国",raw_月次輸入実績!$F$2:$F$20000,1))</f>
        <v>331759341</v>
      </c>
      <c r="E18" s="13" t="n">
        <f aca="false">IF(COUNTIFS(raw_台湾月次!$A$2:$A$20000,$A18,raw_台湾月次!$B$2:$B$20000,"8486",raw_台湾月次!$D$2:$D$20000,"利用可")=0,"",SUMIFS(raw_台湾月次!$C$2:$C$20000,raw_台湾月次!$A$2:$A$20000,$A18,raw_台湾月次!$B$2:$B$20000,"8486",raw_台湾月次!$D$2:$D$20000,"利用可"))</f>
        <v>261502165</v>
      </c>
      <c r="F18" s="13" t="n">
        <f aca="false">IF(C18="","",C18*設定!$B$3)</f>
        <v>70911370.2</v>
      </c>
      <c r="G18" s="13" t="n">
        <f aca="false">IF(COUNT(B18,E18,F18)=3,B18+E18+F18,"")</f>
        <v>617287535.2</v>
      </c>
      <c r="H18" s="13" t="n">
        <f aca="false">IF(COUNT(B16:B18)=3,SUM(B16:B18),"")</f>
        <v>1087954000</v>
      </c>
      <c r="I18" s="13" t="n">
        <f aca="false">IF(COUNT(E16:E18)=3,SUM(E16:E18),"")</f>
        <v>1059526614</v>
      </c>
      <c r="J18" s="13" t="n">
        <f aca="false">IF(COUNT(F16:F18)=3,SUM(F16:F18),"")</f>
        <v>408365656.6</v>
      </c>
      <c r="K18" s="13" t="n">
        <f aca="false">IF(COUNT(D16:D18)=3,SUM(D16:D18),"")</f>
        <v>916897993</v>
      </c>
      <c r="L18" s="13" t="n">
        <f aca="false">IF(COUNT(G16:G18)=3,SUM(G16:G18),"")</f>
        <v>2555846270.6</v>
      </c>
    </row>
    <row r="19" customFormat="false" ht="15" hidden="false" customHeight="false" outlineLevel="0" collapsed="false">
      <c r="A19" s="12" t="n">
        <v>45444</v>
      </c>
      <c r="B19" s="13" t="n">
        <f aca="false">IF(COUNTIFS(raw_月次輸入実績!$A$2:$A$20000,$A19,raw_月次輸入実績!$B$2:$B$20000,"韓国",raw_月次輸入実績!$F$2:$F$20000,1)=0,"",SUMIFS(raw_月次輸入実績!$D$2:$D$20000,raw_月次輸入実績!$A$2:$A$20000,$A19,raw_月次輸入実績!$B$2:$B$20000,"韓国",raw_月次輸入実績!$F$2:$F$20000,1))</f>
        <v>324733000</v>
      </c>
      <c r="C19" s="13" t="n">
        <f aca="false">IF(COUNTIFS(raw_月次輸入実績!$A$2:$A$20000,$A19,raw_月次輸入実績!$B$2:$B$20000,"EU27",raw_月次輸入実績!$F$2:$F$20000,1)=0,"",SUMIFS(raw_月次輸入実績!$D$2:$D$20000,raw_月次輸入実績!$A$2:$A$20000,$A19,raw_月次輸入実績!$B$2:$B$20000,"EU27",raw_月次輸入実績!$F$2:$F$20000,1))</f>
        <v>86524085</v>
      </c>
      <c r="D19" s="13" t="n">
        <f aca="false">IF(COUNTIFS(raw_月次輸入実績!$A$2:$A$20000,$A19,raw_月次輸入実績!$B$2:$B$20000,"米国",raw_月次輸入実績!$F$2:$F$20000,1)=0,"",SUMIFS(raw_月次輸入実績!$D$2:$D$20000,raw_月次輸入実績!$A$2:$A$20000,$A19,raw_月次輸入実績!$B$2:$B$20000,"米国",raw_月次輸入実績!$F$2:$F$20000,1))</f>
        <v>306908316</v>
      </c>
      <c r="E19" s="13" t="n">
        <f aca="false">IF(COUNTIFS(raw_台湾月次!$A$2:$A$20000,$A19,raw_台湾月次!$B$2:$B$20000,"8486",raw_台湾月次!$D$2:$D$20000,"利用可")=0,"",SUMIFS(raw_台湾月次!$C$2:$C$20000,raw_台湾月次!$A$2:$A$20000,$A19,raw_台湾月次!$B$2:$B$20000,"8486",raw_台湾月次!$D$2:$D$20000,"利用可"))</f>
        <v>401189320</v>
      </c>
      <c r="F19" s="13" t="n">
        <f aca="false">IF(C19="","",C19*設定!$B$3)</f>
        <v>95176493.5</v>
      </c>
      <c r="G19" s="13" t="n">
        <f aca="false">IF(COUNT(B19,E19,F19)=3,B19+E19+F19,"")</f>
        <v>821098813.5</v>
      </c>
      <c r="H19" s="13" t="n">
        <f aca="false">IF(COUNT(B17:B19)=3,SUM(B17:B19),"")</f>
        <v>995879000</v>
      </c>
      <c r="I19" s="13" t="n">
        <f aca="false">IF(COUNT(E17:E19)=3,SUM(E17:E19),"")</f>
        <v>1139393473</v>
      </c>
      <c r="J19" s="13" t="n">
        <f aca="false">IF(COUNT(F17:F19)=3,SUM(F17:F19),"")</f>
        <v>334405264.6</v>
      </c>
      <c r="K19" s="13" t="n">
        <f aca="false">IF(COUNT(D17:D19)=3,SUM(D17:D19),"")</f>
        <v>914271057</v>
      </c>
      <c r="L19" s="13" t="n">
        <f aca="false">IF(COUNT(G17:G19)=3,SUM(G17:G19),"")</f>
        <v>2469677737.6</v>
      </c>
    </row>
    <row r="20" customFormat="false" ht="15" hidden="false" customHeight="false" outlineLevel="0" collapsed="false">
      <c r="A20" s="12" t="n">
        <v>45474</v>
      </c>
      <c r="B20" s="13" t="n">
        <f aca="false">IF(COUNTIFS(raw_月次輸入実績!$A$2:$A$20000,$A20,raw_月次輸入実績!$B$2:$B$20000,"韓国",raw_月次輸入実績!$F$2:$F$20000,1)=0,"",SUMIFS(raw_月次輸入実績!$D$2:$D$20000,raw_月次輸入実績!$A$2:$A$20000,$A20,raw_月次輸入実績!$B$2:$B$20000,"韓国",raw_月次輸入実績!$F$2:$F$20000,1))</f>
        <v>421353000</v>
      </c>
      <c r="C20" s="13" t="n">
        <f aca="false">IF(COUNTIFS(raw_月次輸入実績!$A$2:$A$20000,$A20,raw_月次輸入実績!$B$2:$B$20000,"EU27",raw_月次輸入実績!$F$2:$F$20000,1)=0,"",SUMIFS(raw_月次輸入実績!$D$2:$D$20000,raw_月次輸入実績!$A$2:$A$20000,$A20,raw_月次輸入実績!$B$2:$B$20000,"EU27",raw_月次輸入実績!$F$2:$F$20000,1))</f>
        <v>110410596</v>
      </c>
      <c r="D20" s="13" t="n">
        <f aca="false">IF(COUNTIFS(raw_月次輸入実績!$A$2:$A$20000,$A20,raw_月次輸入実績!$B$2:$B$20000,"米国",raw_月次輸入実績!$F$2:$F$20000,1)=0,"",SUMIFS(raw_月次輸入実績!$D$2:$D$20000,raw_月次輸入実績!$A$2:$A$20000,$A20,raw_月次輸入実績!$B$2:$B$20000,"米国",raw_月次輸入実績!$F$2:$F$20000,1))</f>
        <v>401778037</v>
      </c>
      <c r="E20" s="13" t="n">
        <f aca="false">IF(COUNTIFS(raw_台湾月次!$A$2:$A$20000,$A20,raw_台湾月次!$B$2:$B$20000,"8486",raw_台湾月次!$D$2:$D$20000,"利用可")=0,"",SUMIFS(raw_台湾月次!$C$2:$C$20000,raw_台湾月次!$A$2:$A$20000,$A20,raw_台湾月次!$B$2:$B$20000,"8486",raw_台湾月次!$D$2:$D$20000,"利用可"))</f>
        <v>478422539</v>
      </c>
      <c r="F20" s="13" t="n">
        <f aca="false">IF(C20="","",C20*設定!$B$3)</f>
        <v>121451655.6</v>
      </c>
      <c r="G20" s="13" t="n">
        <f aca="false">IF(COUNT(B20,E20,F20)=3,B20+E20+F20,"")</f>
        <v>1021227194.6</v>
      </c>
      <c r="H20" s="13" t="n">
        <f aca="false">IF(COUNT(B18:B20)=3,SUM(B18:B20),"")</f>
        <v>1030960000</v>
      </c>
      <c r="I20" s="13" t="n">
        <f aca="false">IF(COUNT(E18:E20)=3,SUM(E18:E20),"")</f>
        <v>1141114024</v>
      </c>
      <c r="J20" s="13" t="n">
        <f aca="false">IF(COUNT(F18:F20)=3,SUM(F18:F20),"")</f>
        <v>287539519.3</v>
      </c>
      <c r="K20" s="13" t="n">
        <f aca="false">IF(COUNT(D18:D20)=3,SUM(D18:D20),"")</f>
        <v>1040445694</v>
      </c>
      <c r="L20" s="13" t="n">
        <f aca="false">IF(COUNT(G18:G20)=3,SUM(G18:G20),"")</f>
        <v>2459613543.3</v>
      </c>
    </row>
    <row r="21" customFormat="false" ht="15" hidden="false" customHeight="false" outlineLevel="0" collapsed="false">
      <c r="A21" s="12" t="n">
        <v>45505</v>
      </c>
      <c r="B21" s="13" t="n">
        <f aca="false">IF(COUNTIFS(raw_月次輸入実績!$A$2:$A$20000,$A21,raw_月次輸入実績!$B$2:$B$20000,"韓国",raw_月次輸入実績!$F$2:$F$20000,1)=0,"",SUMIFS(raw_月次輸入実績!$D$2:$D$20000,raw_月次輸入実績!$A$2:$A$20000,$A21,raw_月次輸入実績!$B$2:$B$20000,"韓国",raw_月次輸入実績!$F$2:$F$20000,1))</f>
        <v>402783000</v>
      </c>
      <c r="C21" s="13" t="n">
        <f aca="false">IF(COUNTIFS(raw_月次輸入実績!$A$2:$A$20000,$A21,raw_月次輸入実績!$B$2:$B$20000,"EU27",raw_月次輸入実績!$F$2:$F$20000,1)=0,"",SUMIFS(raw_月次輸入実績!$D$2:$D$20000,raw_月次輸入実績!$A$2:$A$20000,$A21,raw_月次輸入実績!$B$2:$B$20000,"EU27",raw_月次輸入実績!$F$2:$F$20000,1))</f>
        <v>142301140</v>
      </c>
      <c r="D21" s="13" t="n">
        <f aca="false">IF(COUNTIFS(raw_月次輸入実績!$A$2:$A$20000,$A21,raw_月次輸入実績!$B$2:$B$20000,"米国",raw_月次輸入実績!$F$2:$F$20000,1)=0,"",SUMIFS(raw_月次輸入実績!$D$2:$D$20000,raw_月次輸入実績!$A$2:$A$20000,$A21,raw_月次輸入実績!$B$2:$B$20000,"米国",raw_月次輸入実績!$F$2:$F$20000,1))</f>
        <v>320994077</v>
      </c>
      <c r="E21" s="13" t="n">
        <f aca="false">IF(COUNTIFS(raw_台湾月次!$A$2:$A$20000,$A21,raw_台湾月次!$B$2:$B$20000,"8486",raw_台湾月次!$D$2:$D$20000,"利用可")=0,"",SUMIFS(raw_台湾月次!$C$2:$C$20000,raw_台湾月次!$A$2:$A$20000,$A21,raw_台湾月次!$B$2:$B$20000,"8486",raw_台湾月次!$D$2:$D$20000,"利用可"))</f>
        <v>327945386</v>
      </c>
      <c r="F21" s="13" t="n">
        <f aca="false">IF(C21="","",C21*設定!$B$3)</f>
        <v>156531254</v>
      </c>
      <c r="G21" s="13" t="n">
        <f aca="false">IF(COUNT(B21,E21,F21)=3,B21+E21+F21,"")</f>
        <v>887259640</v>
      </c>
      <c r="H21" s="13" t="n">
        <f aca="false">IF(COUNT(B19:B21)=3,SUM(B19:B21),"")</f>
        <v>1148869000</v>
      </c>
      <c r="I21" s="13" t="n">
        <f aca="false">IF(COUNT(E19:E21)=3,SUM(E19:E21),"")</f>
        <v>1207557245</v>
      </c>
      <c r="J21" s="13" t="n">
        <f aca="false">IF(COUNT(F19:F21)=3,SUM(F19:F21),"")</f>
        <v>373159403.1</v>
      </c>
      <c r="K21" s="13" t="n">
        <f aca="false">IF(COUNT(D19:D21)=3,SUM(D19:D21),"")</f>
        <v>1029680430</v>
      </c>
      <c r="L21" s="13" t="n">
        <f aca="false">IF(COUNT(G19:G21)=3,SUM(G19:G21),"")</f>
        <v>2729585648.1</v>
      </c>
    </row>
    <row r="22" customFormat="false" ht="15" hidden="false" customHeight="false" outlineLevel="0" collapsed="false">
      <c r="A22" s="12" t="n">
        <v>45536</v>
      </c>
      <c r="B22" s="13" t="n">
        <f aca="false">IF(COUNTIFS(raw_月次輸入実績!$A$2:$A$20000,$A22,raw_月次輸入実績!$B$2:$B$20000,"韓国",raw_月次輸入実績!$F$2:$F$20000,1)=0,"",SUMIFS(raw_月次輸入実績!$D$2:$D$20000,raw_月次輸入実績!$A$2:$A$20000,$A22,raw_月次輸入実績!$B$2:$B$20000,"韓国",raw_月次輸入実績!$F$2:$F$20000,1))</f>
        <v>451875000</v>
      </c>
      <c r="C22" s="13" t="n">
        <f aca="false">IF(COUNTIFS(raw_月次輸入実績!$A$2:$A$20000,$A22,raw_月次輸入実績!$B$2:$B$20000,"EU27",raw_月次輸入実績!$F$2:$F$20000,1)=0,"",SUMIFS(raw_月次輸入実績!$D$2:$D$20000,raw_月次輸入実績!$A$2:$A$20000,$A22,raw_月次輸入実績!$B$2:$B$20000,"EU27",raw_月次輸入実績!$F$2:$F$20000,1))</f>
        <v>68564421</v>
      </c>
      <c r="D22" s="13" t="n">
        <f aca="false">IF(COUNTIFS(raw_月次輸入実績!$A$2:$A$20000,$A22,raw_月次輸入実績!$B$2:$B$20000,"米国",raw_月次輸入実績!$F$2:$F$20000,1)=0,"",SUMIFS(raw_月次輸入実績!$D$2:$D$20000,raw_月次輸入実績!$A$2:$A$20000,$A22,raw_月次輸入実績!$B$2:$B$20000,"米国",raw_月次輸入実績!$F$2:$F$20000,1))</f>
        <v>333663268</v>
      </c>
      <c r="E22" s="13" t="n">
        <f aca="false">IF(COUNTIFS(raw_台湾月次!$A$2:$A$20000,$A22,raw_台湾月次!$B$2:$B$20000,"8486",raw_台湾月次!$D$2:$D$20000,"利用可")=0,"",SUMIFS(raw_台湾月次!$C$2:$C$20000,raw_台湾月次!$A$2:$A$20000,$A22,raw_台湾月次!$B$2:$B$20000,"8486",raw_台湾月次!$D$2:$D$20000,"利用可"))</f>
        <v>375366513</v>
      </c>
      <c r="F22" s="13" t="n">
        <f aca="false">IF(C22="","",C22*設定!$B$3)</f>
        <v>75420863.1</v>
      </c>
      <c r="G22" s="13" t="n">
        <f aca="false">IF(COUNT(B22,E22,F22)=3,B22+E22+F22,"")</f>
        <v>902662376.1</v>
      </c>
      <c r="H22" s="13" t="n">
        <f aca="false">IF(COUNT(B20:B22)=3,SUM(B20:B22),"")</f>
        <v>1276011000</v>
      </c>
      <c r="I22" s="13" t="n">
        <f aca="false">IF(COUNT(E20:E22)=3,SUM(E20:E22),"")</f>
        <v>1181734438</v>
      </c>
      <c r="J22" s="13" t="n">
        <f aca="false">IF(COUNT(F20:F22)=3,SUM(F20:F22),"")</f>
        <v>353403772.7</v>
      </c>
      <c r="K22" s="13" t="n">
        <f aca="false">IF(COUNT(D20:D22)=3,SUM(D20:D22),"")</f>
        <v>1056435382</v>
      </c>
      <c r="L22" s="13" t="n">
        <f aca="false">IF(COUNT(G20:G22)=3,SUM(G20:G22),"")</f>
        <v>2811149210.7</v>
      </c>
    </row>
    <row r="23" customFormat="false" ht="15" hidden="false" customHeight="false" outlineLevel="0" collapsed="false">
      <c r="A23" s="12" t="n">
        <v>45566</v>
      </c>
      <c r="B23" s="13" t="n">
        <f aca="false">IF(COUNTIFS(raw_月次輸入実績!$A$2:$A$20000,$A23,raw_月次輸入実績!$B$2:$B$20000,"韓国",raw_月次輸入実績!$F$2:$F$20000,1)=0,"",SUMIFS(raw_月次輸入実績!$D$2:$D$20000,raw_月次輸入実績!$A$2:$A$20000,$A23,raw_月次輸入実績!$B$2:$B$20000,"韓国",raw_月次輸入実績!$F$2:$F$20000,1))</f>
        <v>551193000</v>
      </c>
      <c r="C23" s="13" t="n">
        <f aca="false">IF(COUNTIFS(raw_月次輸入実績!$A$2:$A$20000,$A23,raw_月次輸入実績!$B$2:$B$20000,"EU27",raw_月次輸入実績!$F$2:$F$20000,1)=0,"",SUMIFS(raw_月次輸入実績!$D$2:$D$20000,raw_月次輸入実績!$A$2:$A$20000,$A23,raw_月次輸入実績!$B$2:$B$20000,"EU27",raw_月次輸入実績!$F$2:$F$20000,1))</f>
        <v>86822517</v>
      </c>
      <c r="D23" s="13" t="n">
        <f aca="false">IF(COUNTIFS(raw_月次輸入実績!$A$2:$A$20000,$A23,raw_月次輸入実績!$B$2:$B$20000,"米国",raw_月次輸入実績!$F$2:$F$20000,1)=0,"",SUMIFS(raw_月次輸入実績!$D$2:$D$20000,raw_月次輸入実績!$A$2:$A$20000,$A23,raw_月次輸入実績!$B$2:$B$20000,"米国",raw_月次輸入実績!$F$2:$F$20000,1))</f>
        <v>746445539</v>
      </c>
      <c r="E23" s="13" t="n">
        <f aca="false">IF(COUNTIFS(raw_台湾月次!$A$2:$A$20000,$A23,raw_台湾月次!$B$2:$B$20000,"8486",raw_台湾月次!$D$2:$D$20000,"利用可")=0,"",SUMIFS(raw_台湾月次!$C$2:$C$20000,raw_台湾月次!$A$2:$A$20000,$A23,raw_台湾月次!$B$2:$B$20000,"8486",raw_台湾月次!$D$2:$D$20000,"利用可"))</f>
        <v>361868627</v>
      </c>
      <c r="F23" s="13" t="n">
        <f aca="false">IF(C23="","",C23*設定!$B$3)</f>
        <v>95504768.7</v>
      </c>
      <c r="G23" s="13" t="n">
        <f aca="false">IF(COUNT(B23,E23,F23)=3,B23+E23+F23,"")</f>
        <v>1008566395.7</v>
      </c>
      <c r="H23" s="13" t="n">
        <f aca="false">IF(COUNT(B21:B23)=3,SUM(B21:B23),"")</f>
        <v>1405851000</v>
      </c>
      <c r="I23" s="13" t="n">
        <f aca="false">IF(COUNT(E21:E23)=3,SUM(E21:E23),"")</f>
        <v>1065180526</v>
      </c>
      <c r="J23" s="13" t="n">
        <f aca="false">IF(COUNT(F21:F23)=3,SUM(F21:F23),"")</f>
        <v>327456885.8</v>
      </c>
      <c r="K23" s="13" t="n">
        <f aca="false">IF(COUNT(D21:D23)=3,SUM(D21:D23),"")</f>
        <v>1401102884</v>
      </c>
      <c r="L23" s="13" t="n">
        <f aca="false">IF(COUNT(G21:G23)=3,SUM(G21:G23),"")</f>
        <v>2798488411.8</v>
      </c>
    </row>
    <row r="24" customFormat="false" ht="15" hidden="false" customHeight="false" outlineLevel="0" collapsed="false">
      <c r="A24" s="12" t="n">
        <v>45597</v>
      </c>
      <c r="B24" s="13" t="n">
        <f aca="false">IF(COUNTIFS(raw_月次輸入実績!$A$2:$A$20000,$A24,raw_月次輸入実績!$B$2:$B$20000,"韓国",raw_月次輸入実績!$F$2:$F$20000,1)=0,"",SUMIFS(raw_月次輸入実績!$D$2:$D$20000,raw_月次輸入実績!$A$2:$A$20000,$A24,raw_月次輸入実績!$B$2:$B$20000,"韓国",raw_月次輸入実績!$F$2:$F$20000,1))</f>
        <v>434934000</v>
      </c>
      <c r="C24" s="13" t="n">
        <f aca="false">IF(COUNTIFS(raw_月次輸入実績!$A$2:$A$20000,$A24,raw_月次輸入実績!$B$2:$B$20000,"EU27",raw_月次輸入実績!$F$2:$F$20000,1)=0,"",SUMIFS(raw_月次輸入実績!$D$2:$D$20000,raw_月次輸入実績!$A$2:$A$20000,$A24,raw_月次輸入実績!$B$2:$B$20000,"EU27",raw_月次輸入実績!$F$2:$F$20000,1))</f>
        <v>101293491</v>
      </c>
      <c r="D24" s="13" t="n">
        <f aca="false">IF(COUNTIFS(raw_月次輸入実績!$A$2:$A$20000,$A24,raw_月次輸入実績!$B$2:$B$20000,"米国",raw_月次輸入実績!$F$2:$F$20000,1)=0,"",SUMIFS(raw_月次輸入実績!$D$2:$D$20000,raw_月次輸入実績!$A$2:$A$20000,$A24,raw_月次輸入実績!$B$2:$B$20000,"米国",raw_月次輸入実績!$F$2:$F$20000,1))</f>
        <v>314290153</v>
      </c>
      <c r="E24" s="13" t="n">
        <f aca="false">IF(COUNTIFS(raw_台湾月次!$A$2:$A$20000,$A24,raw_台湾月次!$B$2:$B$20000,"8486",raw_台湾月次!$D$2:$D$20000,"利用可")=0,"",SUMIFS(raw_台湾月次!$C$2:$C$20000,raw_台湾月次!$A$2:$A$20000,$A24,raw_台湾月次!$B$2:$B$20000,"8486",raw_台湾月次!$D$2:$D$20000,"利用可"))</f>
        <v>397543635</v>
      </c>
      <c r="F24" s="13" t="n">
        <f aca="false">IF(C24="","",C24*設定!$B$3)</f>
        <v>111422840.1</v>
      </c>
      <c r="G24" s="13" t="n">
        <f aca="false">IF(COUNT(B24,E24,F24)=3,B24+E24+F24,"")</f>
        <v>943900475.1</v>
      </c>
      <c r="H24" s="13" t="n">
        <f aca="false">IF(COUNT(B22:B24)=3,SUM(B22:B24),"")</f>
        <v>1438002000</v>
      </c>
      <c r="I24" s="13" t="n">
        <f aca="false">IF(COUNT(E22:E24)=3,SUM(E22:E24),"")</f>
        <v>1134778775</v>
      </c>
      <c r="J24" s="13" t="n">
        <f aca="false">IF(COUNT(F22:F24)=3,SUM(F22:F24),"")</f>
        <v>282348471.9</v>
      </c>
      <c r="K24" s="13" t="n">
        <f aca="false">IF(COUNT(D22:D24)=3,SUM(D22:D24),"")</f>
        <v>1394398960</v>
      </c>
      <c r="L24" s="13" t="n">
        <f aca="false">IF(COUNT(G22:G24)=3,SUM(G22:G24),"")</f>
        <v>2855129246.9</v>
      </c>
    </row>
    <row r="25" customFormat="false" ht="15" hidden="false" customHeight="false" outlineLevel="0" collapsed="false">
      <c r="A25" s="12" t="n">
        <v>45627</v>
      </c>
      <c r="B25" s="13" t="n">
        <f aca="false">IF(COUNTIFS(raw_月次輸入実績!$A$2:$A$20000,$A25,raw_月次輸入実績!$B$2:$B$20000,"韓国",raw_月次輸入実績!$F$2:$F$20000,1)=0,"",SUMIFS(raw_月次輸入実績!$D$2:$D$20000,raw_月次輸入実績!$A$2:$A$20000,$A25,raw_月次輸入実績!$B$2:$B$20000,"韓国",raw_月次輸入実績!$F$2:$F$20000,1))</f>
        <v>531708000</v>
      </c>
      <c r="C25" s="13" t="n">
        <f aca="false">IF(COUNTIFS(raw_月次輸入実績!$A$2:$A$20000,$A25,raw_月次輸入実績!$B$2:$B$20000,"EU27",raw_月次輸入実績!$F$2:$F$20000,1)=0,"",SUMIFS(raw_月次輸入実績!$D$2:$D$20000,raw_月次輸入実績!$A$2:$A$20000,$A25,raw_月次輸入実績!$B$2:$B$20000,"EU27",raw_月次輸入実績!$F$2:$F$20000,1))</f>
        <v>97118587</v>
      </c>
      <c r="D25" s="13" t="n">
        <f aca="false">IF(COUNTIFS(raw_月次輸入実績!$A$2:$A$20000,$A25,raw_月次輸入実績!$B$2:$B$20000,"米国",raw_月次輸入実績!$F$2:$F$20000,1)=0,"",SUMIFS(raw_月次輸入実績!$D$2:$D$20000,raw_月次輸入実績!$A$2:$A$20000,$A25,raw_月次輸入実績!$B$2:$B$20000,"米国",raw_月次輸入実績!$F$2:$F$20000,1))</f>
        <v>295356065</v>
      </c>
      <c r="E25" s="13" t="n">
        <f aca="false">IF(COUNTIFS(raw_台湾月次!$A$2:$A$20000,$A25,raw_台湾月次!$B$2:$B$20000,"8486",raw_台湾月次!$D$2:$D$20000,"利用可")=0,"",SUMIFS(raw_台湾月次!$C$2:$C$20000,raw_台湾月次!$A$2:$A$20000,$A25,raw_台湾月次!$B$2:$B$20000,"8486",raw_台湾月次!$D$2:$D$20000,"利用可"))</f>
        <v>672526032</v>
      </c>
      <c r="F25" s="13" t="n">
        <f aca="false">IF(C25="","",C25*設定!$B$3)</f>
        <v>106830445.7</v>
      </c>
      <c r="G25" s="13" t="n">
        <f aca="false">IF(COUNT(B25,E25,F25)=3,B25+E25+F25,"")</f>
        <v>1311064477.7</v>
      </c>
      <c r="H25" s="13" t="n">
        <f aca="false">IF(COUNT(B23:B25)=3,SUM(B23:B25),"")</f>
        <v>1517835000</v>
      </c>
      <c r="I25" s="13" t="n">
        <f aca="false">IF(COUNT(E23:E25)=3,SUM(E23:E25),"")</f>
        <v>1431938294</v>
      </c>
      <c r="J25" s="13" t="n">
        <f aca="false">IF(COUNT(F23:F25)=3,SUM(F23:F25),"")</f>
        <v>313758054.5</v>
      </c>
      <c r="K25" s="13" t="n">
        <f aca="false">IF(COUNT(D23:D25)=3,SUM(D23:D25),"")</f>
        <v>1356091757</v>
      </c>
      <c r="L25" s="13" t="n">
        <f aca="false">IF(COUNT(G23:G25)=3,SUM(G23:G25),"")</f>
        <v>3263531348.5</v>
      </c>
    </row>
    <row r="26" customFormat="false" ht="15" hidden="false" customHeight="false" outlineLevel="0" collapsed="false">
      <c r="A26" s="12" t="n">
        <v>45658</v>
      </c>
      <c r="B26" s="13" t="n">
        <f aca="false">IF(COUNTIFS(raw_月次輸入実績!$A$2:$A$20000,$A26,raw_月次輸入実績!$B$2:$B$20000,"韓国",raw_月次輸入実績!$F$2:$F$20000,1)=0,"",SUMIFS(raw_月次輸入実績!$D$2:$D$20000,raw_月次輸入実績!$A$2:$A$20000,$A26,raw_月次輸入実績!$B$2:$B$20000,"韓国",raw_月次輸入実績!$F$2:$F$20000,1))</f>
        <v>412244000</v>
      </c>
      <c r="C26" s="13" t="n">
        <f aca="false">IF(COUNTIFS(raw_月次輸入実績!$A$2:$A$20000,$A26,raw_月次輸入実績!$B$2:$B$20000,"EU27",raw_月次輸入実績!$F$2:$F$20000,1)=0,"",SUMIFS(raw_月次輸入実績!$D$2:$D$20000,raw_月次輸入実績!$A$2:$A$20000,$A26,raw_月次輸入実績!$B$2:$B$20000,"EU27",raw_月次輸入実績!$F$2:$F$20000,1))</f>
        <v>112064877</v>
      </c>
      <c r="D26" s="13" t="n">
        <f aca="false">IF(COUNTIFS(raw_月次輸入実績!$A$2:$A$20000,$A26,raw_月次輸入実績!$B$2:$B$20000,"米国",raw_月次輸入実績!$F$2:$F$20000,1)=0,"",SUMIFS(raw_月次輸入実績!$D$2:$D$20000,raw_月次輸入実績!$A$2:$A$20000,$A26,raw_月次輸入実績!$B$2:$B$20000,"米国",raw_月次輸入実績!$F$2:$F$20000,1))</f>
        <v>304621823</v>
      </c>
      <c r="E26" s="13" t="n">
        <f aca="false">IF(COUNTIFS(raw_台湾月次!$A$2:$A$20000,$A26,raw_台湾月次!$B$2:$B$20000,"8486",raw_台湾月次!$D$2:$D$20000,"利用可")=0,"",SUMIFS(raw_台湾月次!$C$2:$C$20000,raw_台湾月次!$A$2:$A$20000,$A26,raw_台湾月次!$B$2:$B$20000,"8486",raw_台湾月次!$D$2:$D$20000,"利用可"))</f>
        <v>368188866</v>
      </c>
      <c r="F26" s="13" t="n">
        <f aca="false">IF(C26="","",C26*設定!$B$3)</f>
        <v>123271364.7</v>
      </c>
      <c r="G26" s="13" t="n">
        <f aca="false">IF(COUNT(B26,E26,F26)=3,B26+E26+F26,"")</f>
        <v>903704230.7</v>
      </c>
      <c r="H26" s="13" t="n">
        <f aca="false">IF(COUNT(B24:B26)=3,SUM(B24:B26),"")</f>
        <v>1378886000</v>
      </c>
      <c r="I26" s="13" t="n">
        <f aca="false">IF(COUNT(E24:E26)=3,SUM(E24:E26),"")</f>
        <v>1438258533</v>
      </c>
      <c r="J26" s="13" t="n">
        <f aca="false">IF(COUNT(F24:F26)=3,SUM(F24:F26),"")</f>
        <v>341524650.5</v>
      </c>
      <c r="K26" s="13" t="n">
        <f aca="false">IF(COUNT(D24:D26)=3,SUM(D24:D26),"")</f>
        <v>914268041</v>
      </c>
      <c r="L26" s="13" t="n">
        <f aca="false">IF(COUNT(G24:G26)=3,SUM(G24:G26),"")</f>
        <v>3158669183.5</v>
      </c>
    </row>
    <row r="27" customFormat="false" ht="15" hidden="false" customHeight="false" outlineLevel="0" collapsed="false">
      <c r="A27" s="12" t="n">
        <v>45689</v>
      </c>
      <c r="B27" s="13" t="n">
        <f aca="false">IF(COUNTIFS(raw_月次輸入実績!$A$2:$A$20000,$A27,raw_月次輸入実績!$B$2:$B$20000,"韓国",raw_月次輸入実績!$F$2:$F$20000,1)=0,"",SUMIFS(raw_月次輸入実績!$D$2:$D$20000,raw_月次輸入実績!$A$2:$A$20000,$A27,raw_月次輸入実績!$B$2:$B$20000,"韓国",raw_月次輸入実績!$F$2:$F$20000,1))</f>
        <v>517693000</v>
      </c>
      <c r="C27" s="13" t="n">
        <f aca="false">IF(COUNTIFS(raw_月次輸入実績!$A$2:$A$20000,$A27,raw_月次輸入実績!$B$2:$B$20000,"EU27",raw_月次輸入実績!$F$2:$F$20000,1)=0,"",SUMIFS(raw_月次輸入実績!$D$2:$D$20000,raw_月次輸入実績!$A$2:$A$20000,$A27,raw_月次輸入実績!$B$2:$B$20000,"EU27",raw_月次輸入実績!$F$2:$F$20000,1))</f>
        <v>74833827</v>
      </c>
      <c r="D27" s="13" t="n">
        <f aca="false">IF(COUNTIFS(raw_月次輸入実績!$A$2:$A$20000,$A27,raw_月次輸入実績!$B$2:$B$20000,"米国",raw_月次輸入実績!$F$2:$F$20000,1)=0,"",SUMIFS(raw_月次輸入実績!$D$2:$D$20000,raw_月次輸入実績!$A$2:$A$20000,$A27,raw_月次輸入実績!$B$2:$B$20000,"米国",raw_月次輸入実績!$F$2:$F$20000,1))</f>
        <v>313093795</v>
      </c>
      <c r="E27" s="13" t="n">
        <f aca="false">IF(COUNTIFS(raw_台湾月次!$A$2:$A$20000,$A27,raw_台湾月次!$B$2:$B$20000,"8486",raw_台湾月次!$D$2:$D$20000,"利用可")=0,"",SUMIFS(raw_台湾月次!$C$2:$C$20000,raw_台湾月次!$A$2:$A$20000,$A27,raw_台湾月次!$B$2:$B$20000,"8486",raw_台湾月次!$D$2:$D$20000,"利用可"))</f>
        <v>603694414</v>
      </c>
      <c r="F27" s="13" t="n">
        <f aca="false">IF(C27="","",C27*設定!$B$3)</f>
        <v>82317209.7</v>
      </c>
      <c r="G27" s="13" t="n">
        <f aca="false">IF(COUNT(B27,E27,F27)=3,B27+E27+F27,"")</f>
        <v>1203704623.7</v>
      </c>
      <c r="H27" s="13" t="n">
        <f aca="false">IF(COUNT(B25:B27)=3,SUM(B25:B27),"")</f>
        <v>1461645000</v>
      </c>
      <c r="I27" s="13" t="n">
        <f aca="false">IF(COUNT(E25:E27)=3,SUM(E25:E27),"")</f>
        <v>1644409312</v>
      </c>
      <c r="J27" s="13" t="n">
        <f aca="false">IF(COUNT(F25:F27)=3,SUM(F25:F27),"")</f>
        <v>312419020.1</v>
      </c>
      <c r="K27" s="13" t="n">
        <f aca="false">IF(COUNT(D25:D27)=3,SUM(D25:D27),"")</f>
        <v>913071683</v>
      </c>
      <c r="L27" s="13" t="n">
        <f aca="false">IF(COUNT(G25:G27)=3,SUM(G25:G27),"")</f>
        <v>3418473332.1</v>
      </c>
    </row>
    <row r="28" customFormat="false" ht="15" hidden="false" customHeight="false" outlineLevel="0" collapsed="false">
      <c r="A28" s="12" t="n">
        <v>45717</v>
      </c>
      <c r="B28" s="13" t="n">
        <f aca="false">IF(COUNTIFS(raw_月次輸入実績!$A$2:$A$20000,$A28,raw_月次輸入実績!$B$2:$B$20000,"韓国",raw_月次輸入実績!$F$2:$F$20000,1)=0,"",SUMIFS(raw_月次輸入実績!$D$2:$D$20000,raw_月次輸入実績!$A$2:$A$20000,$A28,raw_月次輸入実績!$B$2:$B$20000,"韓国",raw_月次輸入実績!$F$2:$F$20000,1))</f>
        <v>779203000</v>
      </c>
      <c r="C28" s="13" t="n">
        <f aca="false">IF(COUNTIFS(raw_月次輸入実績!$A$2:$A$20000,$A28,raw_月次輸入実績!$B$2:$B$20000,"EU27",raw_月次輸入実績!$F$2:$F$20000,1)=0,"",SUMIFS(raw_月次輸入実績!$D$2:$D$20000,raw_月次輸入実績!$A$2:$A$20000,$A28,raw_月次輸入実績!$B$2:$B$20000,"EU27",raw_月次輸入実績!$F$2:$F$20000,1))</f>
        <v>94373956</v>
      </c>
      <c r="D28" s="13" t="n">
        <f aca="false">IF(COUNTIFS(raw_月次輸入実績!$A$2:$A$20000,$A28,raw_月次輸入実績!$B$2:$B$20000,"米国",raw_月次輸入実績!$F$2:$F$20000,1)=0,"",SUMIFS(raw_月次輸入実績!$D$2:$D$20000,raw_月次輸入実績!$A$2:$A$20000,$A28,raw_月次輸入実績!$B$2:$B$20000,"米国",raw_月次輸入実績!$F$2:$F$20000,1))</f>
        <v>274304031</v>
      </c>
      <c r="E28" s="13" t="n">
        <f aca="false">IF(COUNTIFS(raw_台湾月次!$A$2:$A$20000,$A28,raw_台湾月次!$B$2:$B$20000,"8486",raw_台湾月次!$D$2:$D$20000,"利用可")=0,"",SUMIFS(raw_台湾月次!$C$2:$C$20000,raw_台湾月次!$A$2:$A$20000,$A28,raw_台湾月次!$B$2:$B$20000,"8486",raw_台湾月次!$D$2:$D$20000,"利用可"))</f>
        <v>867596063</v>
      </c>
      <c r="F28" s="13" t="n">
        <f aca="false">IF(C28="","",C28*設定!$B$3)</f>
        <v>103811351.6</v>
      </c>
      <c r="G28" s="13" t="n">
        <f aca="false">IF(COUNT(B28,E28,F28)=3,B28+E28+F28,"")</f>
        <v>1750610414.6</v>
      </c>
      <c r="H28" s="13" t="n">
        <f aca="false">IF(COUNT(B26:B28)=3,SUM(B26:B28),"")</f>
        <v>1709140000</v>
      </c>
      <c r="I28" s="13" t="n">
        <f aca="false">IF(COUNT(E26:E28)=3,SUM(E26:E28),"")</f>
        <v>1839479343</v>
      </c>
      <c r="J28" s="13" t="n">
        <f aca="false">IF(COUNT(F26:F28)=3,SUM(F26:F28),"")</f>
        <v>309399926</v>
      </c>
      <c r="K28" s="13" t="n">
        <f aca="false">IF(COUNT(D26:D28)=3,SUM(D26:D28),"")</f>
        <v>892019649</v>
      </c>
      <c r="L28" s="13" t="n">
        <f aca="false">IF(COUNT(G26:G28)=3,SUM(G26:G28),"")</f>
        <v>3858019269</v>
      </c>
    </row>
    <row r="29" customFormat="false" ht="15" hidden="false" customHeight="false" outlineLevel="0" collapsed="false">
      <c r="A29" s="12" t="n">
        <v>45748</v>
      </c>
      <c r="B29" s="13" t="n">
        <f aca="false">IF(COUNTIFS(raw_月次輸入実績!$A$2:$A$20000,$A29,raw_月次輸入実績!$B$2:$B$20000,"韓国",raw_月次輸入実績!$F$2:$F$20000,1)=0,"",SUMIFS(raw_月次輸入実績!$D$2:$D$20000,raw_月次輸入実績!$A$2:$A$20000,$A29,raw_月次輸入実績!$B$2:$B$20000,"韓国",raw_月次輸入実績!$F$2:$F$20000,1))</f>
        <v>489693000</v>
      </c>
      <c r="C29" s="13" t="n">
        <f aca="false">IF(COUNTIFS(raw_月次輸入実績!$A$2:$A$20000,$A29,raw_月次輸入実績!$B$2:$B$20000,"EU27",raw_月次輸入実績!$F$2:$F$20000,1)=0,"",SUMIFS(raw_月次輸入実績!$D$2:$D$20000,raw_月次輸入実績!$A$2:$A$20000,$A29,raw_月次輸入実績!$B$2:$B$20000,"EU27",raw_月次輸入実績!$F$2:$F$20000,1))</f>
        <v>105178369</v>
      </c>
      <c r="D29" s="13" t="n">
        <f aca="false">IF(COUNTIFS(raw_月次輸入実績!$A$2:$A$20000,$A29,raw_月次輸入実績!$B$2:$B$20000,"米国",raw_月次輸入実績!$F$2:$F$20000,1)=0,"",SUMIFS(raw_月次輸入実績!$D$2:$D$20000,raw_月次輸入実績!$A$2:$A$20000,$A29,raw_月次輸入実績!$B$2:$B$20000,"米国",raw_月次輸入実績!$F$2:$F$20000,1))</f>
        <v>271876030</v>
      </c>
      <c r="E29" s="13" t="n">
        <f aca="false">IF(COUNTIFS(raw_台湾月次!$A$2:$A$20000,$A29,raw_台湾月次!$B$2:$B$20000,"8486",raw_台湾月次!$D$2:$D$20000,"利用可")=0,"",SUMIFS(raw_台湾月次!$C$2:$C$20000,raw_台湾月次!$A$2:$A$20000,$A29,raw_台湾月次!$B$2:$B$20000,"8486",raw_台湾月次!$D$2:$D$20000,"利用可"))</f>
        <v>661414543</v>
      </c>
      <c r="F29" s="13" t="n">
        <f aca="false">IF(C29="","",C29*設定!$B$3)</f>
        <v>115696205.9</v>
      </c>
      <c r="G29" s="13" t="n">
        <f aca="false">IF(COUNT(B29,E29,F29)=3,B29+E29+F29,"")</f>
        <v>1266803748.9</v>
      </c>
      <c r="H29" s="13" t="n">
        <f aca="false">IF(COUNT(B27:B29)=3,SUM(B27:B29),"")</f>
        <v>1786589000</v>
      </c>
      <c r="I29" s="13" t="n">
        <f aca="false">IF(COUNT(E27:E29)=3,SUM(E27:E29),"")</f>
        <v>2132705020</v>
      </c>
      <c r="J29" s="13" t="n">
        <f aca="false">IF(COUNT(F27:F29)=3,SUM(F27:F29),"")</f>
        <v>301824767.2</v>
      </c>
      <c r="K29" s="13" t="n">
        <f aca="false">IF(COUNT(D27:D29)=3,SUM(D27:D29),"")</f>
        <v>859273856</v>
      </c>
      <c r="L29" s="13" t="n">
        <f aca="false">IF(COUNT(G27:G29)=3,SUM(G27:G29),"")</f>
        <v>4221118787.2</v>
      </c>
    </row>
    <row r="30" customFormat="false" ht="15" hidden="false" customHeight="false" outlineLevel="0" collapsed="false">
      <c r="A30" s="12" t="n">
        <v>45778</v>
      </c>
      <c r="B30" s="13" t="n">
        <f aca="false">IF(COUNTIFS(raw_月次輸入実績!$A$2:$A$20000,$A30,raw_月次輸入実績!$B$2:$B$20000,"韓国",raw_月次輸入実績!$F$2:$F$20000,1)=0,"",SUMIFS(raw_月次輸入実績!$D$2:$D$20000,raw_月次輸入実績!$A$2:$A$20000,$A30,raw_月次輸入実績!$B$2:$B$20000,"韓国",raw_月次輸入実績!$F$2:$F$20000,1))</f>
        <v>414659000</v>
      </c>
      <c r="C30" s="13" t="n">
        <f aca="false">IF(COUNTIFS(raw_月次輸入実績!$A$2:$A$20000,$A30,raw_月次輸入実績!$B$2:$B$20000,"EU27",raw_月次輸入実績!$F$2:$F$20000,1)=0,"",SUMIFS(raw_月次輸入実績!$D$2:$D$20000,raw_月次輸入実績!$A$2:$A$20000,$A30,raw_月次輸入実績!$B$2:$B$20000,"EU27",raw_月次輸入実績!$F$2:$F$20000,1))</f>
        <v>67329353</v>
      </c>
      <c r="D30" s="13" t="n">
        <f aca="false">IF(COUNTIFS(raw_月次輸入実績!$A$2:$A$20000,$A30,raw_月次輸入実績!$B$2:$B$20000,"米国",raw_月次輸入実績!$F$2:$F$20000,1)=0,"",SUMIFS(raw_月次輸入実績!$D$2:$D$20000,raw_月次輸入実績!$A$2:$A$20000,$A30,raw_月次輸入実績!$B$2:$B$20000,"米国",raw_月次輸入実績!$F$2:$F$20000,1))</f>
        <v>268038164</v>
      </c>
      <c r="E30" s="13" t="n">
        <f aca="false">IF(COUNTIFS(raw_台湾月次!$A$2:$A$20000,$A30,raw_台湾月次!$B$2:$B$20000,"8486",raw_台湾月次!$D$2:$D$20000,"利用可")=0,"",SUMIFS(raw_台湾月次!$C$2:$C$20000,raw_台湾月次!$A$2:$A$20000,$A30,raw_台湾月次!$B$2:$B$20000,"8486",raw_台湾月次!$D$2:$D$20000,"利用可"))</f>
        <v>564960939</v>
      </c>
      <c r="F30" s="13" t="n">
        <f aca="false">IF(C30="","",C30*設定!$B$3)</f>
        <v>74062288.3</v>
      </c>
      <c r="G30" s="13" t="n">
        <f aca="false">IF(COUNT(B30,E30,F30)=3,B30+E30+F30,"")</f>
        <v>1053682227.3</v>
      </c>
      <c r="H30" s="13" t="n">
        <f aca="false">IF(COUNT(B28:B30)=3,SUM(B28:B30),"")</f>
        <v>1683555000</v>
      </c>
      <c r="I30" s="13" t="n">
        <f aca="false">IF(COUNT(E28:E30)=3,SUM(E28:E30),"")</f>
        <v>2093971545</v>
      </c>
      <c r="J30" s="13" t="n">
        <f aca="false">IF(COUNT(F28:F30)=3,SUM(F28:F30),"")</f>
        <v>293569845.8</v>
      </c>
      <c r="K30" s="13" t="n">
        <f aca="false">IF(COUNT(D28:D30)=3,SUM(D28:D30),"")</f>
        <v>814218225</v>
      </c>
      <c r="L30" s="13" t="n">
        <f aca="false">IF(COUNT(G28:G30)=3,SUM(G28:G30),"")</f>
        <v>4071096390.8</v>
      </c>
    </row>
    <row r="31" customFormat="false" ht="15" hidden="false" customHeight="false" outlineLevel="0" collapsed="false">
      <c r="A31" s="12" t="n">
        <v>45809</v>
      </c>
      <c r="B31" s="13" t="n">
        <f aca="false">IF(COUNTIFS(raw_月次輸入実績!$A$2:$A$20000,$A31,raw_月次輸入実績!$B$2:$B$20000,"韓国",raw_月次輸入実績!$F$2:$F$20000,1)=0,"",SUMIFS(raw_月次輸入実績!$D$2:$D$20000,raw_月次輸入実績!$A$2:$A$20000,$A31,raw_月次輸入実績!$B$2:$B$20000,"韓国",raw_月次輸入実績!$F$2:$F$20000,1))</f>
        <v>523192000</v>
      </c>
      <c r="C31" s="13" t="n">
        <f aca="false">IF(COUNTIFS(raw_月次輸入実績!$A$2:$A$20000,$A31,raw_月次輸入実績!$B$2:$B$20000,"EU27",raw_月次輸入実績!$F$2:$F$20000,1)=0,"",SUMIFS(raw_月次輸入実績!$D$2:$D$20000,raw_月次輸入実績!$A$2:$A$20000,$A31,raw_月次輸入実績!$B$2:$B$20000,"EU27",raw_月次輸入実績!$F$2:$F$20000,1))</f>
        <v>53937825</v>
      </c>
      <c r="D31" s="13" t="n">
        <f aca="false">IF(COUNTIFS(raw_月次輸入実績!$A$2:$A$20000,$A31,raw_月次輸入実績!$B$2:$B$20000,"米国",raw_月次輸入実績!$F$2:$F$20000,1)=0,"",SUMIFS(raw_月次輸入実績!$D$2:$D$20000,raw_月次輸入実績!$A$2:$A$20000,$A31,raw_月次輸入実績!$B$2:$B$20000,"米国",raw_月次輸入実績!$F$2:$F$20000,1))</f>
        <v>259783678</v>
      </c>
      <c r="E31" s="13" t="n">
        <f aca="false">IF(COUNTIFS(raw_台湾月次!$A$2:$A$20000,$A31,raw_台湾月次!$B$2:$B$20000,"8486",raw_台湾月次!$D$2:$D$20000,"利用可")=0,"",SUMIFS(raw_台湾月次!$C$2:$C$20000,raw_台湾月次!$A$2:$A$20000,$A31,raw_台湾月次!$B$2:$B$20000,"8486",raw_台湾月次!$D$2:$D$20000,"利用可"))</f>
        <v>674719358</v>
      </c>
      <c r="F31" s="13" t="n">
        <f aca="false">IF(C31="","",C31*設定!$B$3)</f>
        <v>59331607.5</v>
      </c>
      <c r="G31" s="13" t="n">
        <f aca="false">IF(COUNT(B31,E31,F31)=3,B31+E31+F31,"")</f>
        <v>1257242965.5</v>
      </c>
      <c r="H31" s="13" t="n">
        <f aca="false">IF(COUNT(B29:B31)=3,SUM(B29:B31),"")</f>
        <v>1427544000</v>
      </c>
      <c r="I31" s="13" t="n">
        <f aca="false">IF(COUNT(E29:E31)=3,SUM(E29:E31),"")</f>
        <v>1901094840</v>
      </c>
      <c r="J31" s="13" t="n">
        <f aca="false">IF(COUNT(F29:F31)=3,SUM(F29:F31),"")</f>
        <v>249090101.7</v>
      </c>
      <c r="K31" s="13" t="n">
        <f aca="false">IF(COUNT(D29:D31)=3,SUM(D29:D31),"")</f>
        <v>799697872</v>
      </c>
      <c r="L31" s="13" t="n">
        <f aca="false">IF(COUNT(G29:G31)=3,SUM(G29:G31),"")</f>
        <v>3577728941.7</v>
      </c>
    </row>
    <row r="32" customFormat="false" ht="15" hidden="false" customHeight="false" outlineLevel="0" collapsed="false">
      <c r="A32" s="12" t="n">
        <v>45839</v>
      </c>
      <c r="B32" s="13" t="n">
        <f aca="false">IF(COUNTIFS(raw_月次輸入実績!$A$2:$A$20000,$A32,raw_月次輸入実績!$B$2:$B$20000,"韓国",raw_月次輸入実績!$F$2:$F$20000,1)=0,"",SUMIFS(raw_月次輸入実績!$D$2:$D$20000,raw_月次輸入実績!$A$2:$A$20000,$A32,raw_月次輸入実績!$B$2:$B$20000,"韓国",raw_月次輸入実績!$F$2:$F$20000,1))</f>
        <v>428140000</v>
      </c>
      <c r="C32" s="13" t="n">
        <f aca="false">IF(COUNTIFS(raw_月次輸入実績!$A$2:$A$20000,$A32,raw_月次輸入実績!$B$2:$B$20000,"EU27",raw_月次輸入実績!$F$2:$F$20000,1)=0,"",SUMIFS(raw_月次輸入実績!$D$2:$D$20000,raw_月次輸入実績!$A$2:$A$20000,$A32,raw_月次輸入実績!$B$2:$B$20000,"EU27",raw_月次輸入実績!$F$2:$F$20000,1))</f>
        <v>46834776</v>
      </c>
      <c r="D32" s="13" t="n">
        <f aca="false">IF(COUNTIFS(raw_月次輸入実績!$A$2:$A$20000,$A32,raw_月次輸入実績!$B$2:$B$20000,"米国",raw_月次輸入実績!$F$2:$F$20000,1)=0,"",SUMIFS(raw_月次輸入実績!$D$2:$D$20000,raw_月次輸入実績!$A$2:$A$20000,$A32,raw_月次輸入実績!$B$2:$B$20000,"米国",raw_月次輸入実績!$F$2:$F$20000,1))</f>
        <v>298182505</v>
      </c>
      <c r="E32" s="13" t="n">
        <f aca="false">IF(COUNTIFS(raw_台湾月次!$A$2:$A$20000,$A32,raw_台湾月次!$B$2:$B$20000,"8486",raw_台湾月次!$D$2:$D$20000,"利用可")=0,"",SUMIFS(raw_台湾月次!$C$2:$C$20000,raw_台湾月次!$A$2:$A$20000,$A32,raw_台湾月次!$B$2:$B$20000,"8486",raw_台湾月次!$D$2:$D$20000,"利用可"))</f>
        <v>481458420</v>
      </c>
      <c r="F32" s="13" t="n">
        <f aca="false">IF(C32="","",C32*設定!$B$3)</f>
        <v>51518253.6</v>
      </c>
      <c r="G32" s="13" t="n">
        <f aca="false">IF(COUNT(B32,E32,F32)=3,B32+E32+F32,"")</f>
        <v>961116673.6</v>
      </c>
      <c r="H32" s="13" t="n">
        <f aca="false">IF(COUNT(B30:B32)=3,SUM(B30:B32),"")</f>
        <v>1365991000</v>
      </c>
      <c r="I32" s="13" t="n">
        <f aca="false">IF(COUNT(E30:E32)=3,SUM(E30:E32),"")</f>
        <v>1721138717</v>
      </c>
      <c r="J32" s="13" t="n">
        <f aca="false">IF(COUNT(F30:F32)=3,SUM(F30:F32),"")</f>
        <v>184912149.4</v>
      </c>
      <c r="K32" s="13" t="n">
        <f aca="false">IF(COUNT(D30:D32)=3,SUM(D30:D32),"")</f>
        <v>826004347</v>
      </c>
      <c r="L32" s="13" t="n">
        <f aca="false">IF(COUNT(G30:G32)=3,SUM(G30:G32),"")</f>
        <v>3272041866.4</v>
      </c>
    </row>
    <row r="33" customFormat="false" ht="15" hidden="false" customHeight="false" outlineLevel="0" collapsed="false">
      <c r="A33" s="12" t="n">
        <v>45870</v>
      </c>
      <c r="B33" s="13" t="n">
        <f aca="false">IF(COUNTIFS(raw_月次輸入実績!$A$2:$A$20000,$A33,raw_月次輸入実績!$B$2:$B$20000,"韓国",raw_月次輸入実績!$F$2:$F$20000,1)=0,"",SUMIFS(raw_月次輸入実績!$D$2:$D$20000,raw_月次輸入実績!$A$2:$A$20000,$A33,raw_月次輸入実績!$B$2:$B$20000,"韓国",raw_月次輸入実績!$F$2:$F$20000,1))</f>
        <v>348631000</v>
      </c>
      <c r="C33" s="13" t="n">
        <f aca="false">IF(COUNTIFS(raw_月次輸入実績!$A$2:$A$20000,$A33,raw_月次輸入実績!$B$2:$B$20000,"EU27",raw_月次輸入実績!$F$2:$F$20000,1)=0,"",SUMIFS(raw_月次輸入実績!$D$2:$D$20000,raw_月次輸入実績!$A$2:$A$20000,$A33,raw_月次輸入実績!$B$2:$B$20000,"EU27",raw_月次輸入実績!$F$2:$F$20000,1))</f>
        <v>54668027</v>
      </c>
      <c r="D33" s="13" t="n">
        <f aca="false">IF(COUNTIFS(raw_月次輸入実績!$A$2:$A$20000,$A33,raw_月次輸入実績!$B$2:$B$20000,"米国",raw_月次輸入実績!$F$2:$F$20000,1)=0,"",SUMIFS(raw_月次輸入実績!$D$2:$D$20000,raw_月次輸入実績!$A$2:$A$20000,$A33,raw_月次輸入実績!$B$2:$B$20000,"米国",raw_月次輸入実績!$F$2:$F$20000,1))</f>
        <v>135106445</v>
      </c>
      <c r="E33" s="13" t="n">
        <f aca="false">IF(COUNTIFS(raw_台湾月次!$A$2:$A$20000,$A33,raw_台湾月次!$B$2:$B$20000,"8486",raw_台湾月次!$D$2:$D$20000,"利用可")=0,"",SUMIFS(raw_台湾月次!$C$2:$C$20000,raw_台湾月次!$A$2:$A$20000,$A33,raw_台湾月次!$B$2:$B$20000,"8486",raw_台湾月次!$D$2:$D$20000,"利用可"))</f>
        <v>557244542</v>
      </c>
      <c r="F33" s="13" t="n">
        <f aca="false">IF(C33="","",C33*設定!$B$3)</f>
        <v>60134829.7</v>
      </c>
      <c r="G33" s="13" t="n">
        <f aca="false">IF(COUNT(B33,E33,F33)=3,B33+E33+F33,"")</f>
        <v>966010371.7</v>
      </c>
      <c r="H33" s="13" t="n">
        <f aca="false">IF(COUNT(B31:B33)=3,SUM(B31:B33),"")</f>
        <v>1299963000</v>
      </c>
      <c r="I33" s="13" t="n">
        <f aca="false">IF(COUNT(E31:E33)=3,SUM(E31:E33),"")</f>
        <v>1713422320</v>
      </c>
      <c r="J33" s="13" t="n">
        <f aca="false">IF(COUNT(F31:F33)=3,SUM(F31:F33),"")</f>
        <v>170984690.8</v>
      </c>
      <c r="K33" s="13" t="n">
        <f aca="false">IF(COUNT(D31:D33)=3,SUM(D31:D33),"")</f>
        <v>693072628</v>
      </c>
      <c r="L33" s="13" t="n">
        <f aca="false">IF(COUNT(G31:G33)=3,SUM(G31:G33),"")</f>
        <v>3184370010.8</v>
      </c>
    </row>
    <row r="34" customFormat="false" ht="15" hidden="false" customHeight="false" outlineLevel="0" collapsed="false">
      <c r="A34" s="12" t="n">
        <v>45901</v>
      </c>
      <c r="B34" s="13" t="n">
        <f aca="false">IF(COUNTIFS(raw_月次輸入実績!$A$2:$A$20000,$A34,raw_月次輸入実績!$B$2:$B$20000,"韓国",raw_月次輸入実績!$F$2:$F$20000,1)=0,"",SUMIFS(raw_月次輸入実績!$D$2:$D$20000,raw_月次輸入実績!$A$2:$A$20000,$A34,raw_月次輸入実績!$B$2:$B$20000,"韓国",raw_月次輸入実績!$F$2:$F$20000,1))</f>
        <v>522761000</v>
      </c>
      <c r="C34" s="13" t="n">
        <f aca="false">IF(COUNTIFS(raw_月次輸入実績!$A$2:$A$20000,$A34,raw_月次輸入実績!$B$2:$B$20000,"EU27",raw_月次輸入実績!$F$2:$F$20000,1)=0,"",SUMIFS(raw_月次輸入実績!$D$2:$D$20000,raw_月次輸入実績!$A$2:$A$20000,$A34,raw_月次輸入実績!$B$2:$B$20000,"EU27",raw_月次輸入実績!$F$2:$F$20000,1))</f>
        <v>61821107</v>
      </c>
      <c r="D34" s="13" t="n">
        <f aca="false">IF(COUNTIFS(raw_月次輸入実績!$A$2:$A$20000,$A34,raw_月次輸入実績!$B$2:$B$20000,"米国",raw_月次輸入実績!$F$2:$F$20000,1)=0,"",SUMIFS(raw_月次輸入実績!$D$2:$D$20000,raw_月次輸入実績!$A$2:$A$20000,$A34,raw_月次輸入実績!$B$2:$B$20000,"米国",raw_月次輸入実績!$F$2:$F$20000,1))</f>
        <v>18594070</v>
      </c>
      <c r="E34" s="13" t="n">
        <f aca="false">IF(COUNTIFS(raw_台湾月次!$A$2:$A$20000,$A34,raw_台湾月次!$B$2:$B$20000,"8486",raw_台湾月次!$D$2:$D$20000,"利用可")=0,"",SUMIFS(raw_台湾月次!$C$2:$C$20000,raw_台湾月次!$A$2:$A$20000,$A34,raw_台湾月次!$B$2:$B$20000,"8486",raw_台湾月次!$D$2:$D$20000,"利用可"))</f>
        <v>443259531</v>
      </c>
      <c r="F34" s="13" t="n">
        <f aca="false">IF(C34="","",C34*設定!$B$3)</f>
        <v>68003217.7</v>
      </c>
      <c r="G34" s="13" t="n">
        <f aca="false">IF(COUNT(B34,E34,F34)=3,B34+E34+F34,"")</f>
        <v>1034023748.7</v>
      </c>
      <c r="H34" s="13" t="n">
        <f aca="false">IF(COUNT(B32:B34)=3,SUM(B32:B34),"")</f>
        <v>1299532000</v>
      </c>
      <c r="I34" s="13" t="n">
        <f aca="false">IF(COUNT(E32:E34)=3,SUM(E32:E34),"")</f>
        <v>1481962493</v>
      </c>
      <c r="J34" s="13" t="n">
        <f aca="false">IF(COUNT(F32:F34)=3,SUM(F32:F34),"")</f>
        <v>179656301</v>
      </c>
      <c r="K34" s="13" t="n">
        <f aca="false">IF(COUNT(D32:D34)=3,SUM(D32:D34),"")</f>
        <v>451883020</v>
      </c>
      <c r="L34" s="13" t="n">
        <f aca="false">IF(COUNT(G32:G34)=3,SUM(G32:G34),"")</f>
        <v>2961150794</v>
      </c>
    </row>
    <row r="35" customFormat="false" ht="15" hidden="false" customHeight="false" outlineLevel="0" collapsed="false">
      <c r="A35" s="12" t="n">
        <v>45931</v>
      </c>
      <c r="B35" s="13" t="n">
        <f aca="false">IF(COUNTIFS(raw_月次輸入実績!$A$2:$A$20000,$A35,raw_月次輸入実績!$B$2:$B$20000,"韓国",raw_月次輸入実績!$F$2:$F$20000,1)=0,"",SUMIFS(raw_月次輸入実績!$D$2:$D$20000,raw_月次輸入実績!$A$2:$A$20000,$A35,raw_月次輸入実績!$B$2:$B$20000,"韓国",raw_月次輸入実績!$F$2:$F$20000,1))</f>
        <v>397598000</v>
      </c>
      <c r="C35" s="13" t="n">
        <f aca="false">IF(COUNTIFS(raw_月次輸入実績!$A$2:$A$20000,$A35,raw_月次輸入実績!$B$2:$B$20000,"EU27",raw_月次輸入実績!$F$2:$F$20000,1)=0,"",SUMIFS(raw_月次輸入実績!$D$2:$D$20000,raw_月次輸入実績!$A$2:$A$20000,$A35,raw_月次輸入実績!$B$2:$B$20000,"EU27",raw_月次輸入実績!$F$2:$F$20000,1))</f>
        <v>76747000</v>
      </c>
      <c r="D35" s="13" t="str">
        <f aca="false">IF(COUNTIFS(raw_月次輸入実績!$A$2:$A$20000,$A35,raw_月次輸入実績!$B$2:$B$20000,"米国",raw_月次輸入実績!$F$2:$F$20000,1)=0,"",SUMIFS(raw_月次輸入実績!$D$2:$D$20000,raw_月次輸入実績!$A$2:$A$20000,$A35,raw_月次輸入実績!$B$2:$B$20000,"米国",raw_月次輸入実績!$F$2:$F$20000,1))</f>
        <v/>
      </c>
      <c r="E35" s="13" t="n">
        <f aca="false">IF(COUNTIFS(raw_台湾月次!$A$2:$A$20000,$A35,raw_台湾月次!$B$2:$B$20000,"8486",raw_台湾月次!$D$2:$D$20000,"利用可")=0,"",SUMIFS(raw_台湾月次!$C$2:$C$20000,raw_台湾月次!$A$2:$A$20000,$A35,raw_台湾月次!$B$2:$B$20000,"8486",raw_台湾月次!$D$2:$D$20000,"利用可"))</f>
        <v>411374962</v>
      </c>
      <c r="F35" s="13" t="n">
        <f aca="false">IF(C35="","",C35*設定!$B$3)</f>
        <v>84421700</v>
      </c>
      <c r="G35" s="13" t="n">
        <f aca="false">IF(COUNT(B35,E35,F35)=3,B35+E35+F35,"")</f>
        <v>893394662</v>
      </c>
      <c r="H35" s="13" t="n">
        <f aca="false">IF(COUNT(B33:B35)=3,SUM(B33:B35),"")</f>
        <v>1268990000</v>
      </c>
      <c r="I35" s="13" t="n">
        <f aca="false">IF(COUNT(E33:E35)=3,SUM(E33:E35),"")</f>
        <v>1411879035</v>
      </c>
      <c r="J35" s="13" t="n">
        <f aca="false">IF(COUNT(F33:F35)=3,SUM(F33:F35),"")</f>
        <v>212559747.4</v>
      </c>
      <c r="K35" s="13" t="str">
        <f aca="false">IF(COUNT(D33:D35)=3,SUM(D33:D35),"")</f>
        <v/>
      </c>
      <c r="L35" s="13" t="n">
        <f aca="false">IF(COUNT(G33:G35)=3,SUM(G33:G35),"")</f>
        <v>2893428782.4</v>
      </c>
    </row>
    <row r="36" customFormat="false" ht="15" hidden="false" customHeight="false" outlineLevel="0" collapsed="false">
      <c r="A36" s="12" t="n">
        <v>45962</v>
      </c>
      <c r="B36" s="13" t="n">
        <f aca="false">IF(COUNTIFS(raw_月次輸入実績!$A$2:$A$20000,$A36,raw_月次輸入実績!$B$2:$B$20000,"韓国",raw_月次輸入実績!$F$2:$F$20000,1)=0,"",SUMIFS(raw_月次輸入実績!$D$2:$D$20000,raw_月次輸入実績!$A$2:$A$20000,$A36,raw_月次輸入実績!$B$2:$B$20000,"韓国",raw_月次輸入実績!$F$2:$F$20000,1))</f>
        <v>421699000</v>
      </c>
      <c r="C36" s="13" t="n">
        <f aca="false">IF(COUNTIFS(raw_月次輸入実績!$A$2:$A$20000,$A36,raw_月次輸入実績!$B$2:$B$20000,"EU27",raw_月次輸入実績!$F$2:$F$20000,1)=0,"",SUMIFS(raw_月次輸入実績!$D$2:$D$20000,raw_月次輸入実績!$A$2:$A$20000,$A36,raw_月次輸入実績!$B$2:$B$20000,"EU27",raw_月次輸入実績!$F$2:$F$20000,1))</f>
        <v>84255335</v>
      </c>
      <c r="D36" s="13" t="n">
        <f aca="false">IF(COUNTIFS(raw_月次輸入実績!$A$2:$A$20000,$A36,raw_月次輸入実績!$B$2:$B$20000,"米国",raw_月次輸入実績!$F$2:$F$20000,1)=0,"",SUMIFS(raw_月次輸入実績!$D$2:$D$20000,raw_月次輸入実績!$A$2:$A$20000,$A36,raw_月次輸入実績!$B$2:$B$20000,"米国",raw_月次輸入実績!$F$2:$F$20000,1))</f>
        <v>216689419</v>
      </c>
      <c r="E36" s="13" t="n">
        <f aca="false">IF(COUNTIFS(raw_台湾月次!$A$2:$A$20000,$A36,raw_台湾月次!$B$2:$B$20000,"8486",raw_台湾月次!$D$2:$D$20000,"利用可")=0,"",SUMIFS(raw_台湾月次!$C$2:$C$20000,raw_台湾月次!$A$2:$A$20000,$A36,raw_台湾月次!$B$2:$B$20000,"8486",raw_台湾月次!$D$2:$D$20000,"利用可"))</f>
        <v>688542985</v>
      </c>
      <c r="F36" s="13" t="n">
        <f aca="false">IF(C36="","",C36*設定!$B$3)</f>
        <v>92680868.5</v>
      </c>
      <c r="G36" s="13" t="n">
        <f aca="false">IF(COUNT(B36,E36,F36)=3,B36+E36+F36,"")</f>
        <v>1202922853.5</v>
      </c>
      <c r="H36" s="13" t="n">
        <f aca="false">IF(COUNT(B34:B36)=3,SUM(B34:B36),"")</f>
        <v>1342058000</v>
      </c>
      <c r="I36" s="13" t="n">
        <f aca="false">IF(COUNT(E34:E36)=3,SUM(E34:E36),"")</f>
        <v>1543177478</v>
      </c>
      <c r="J36" s="13" t="n">
        <f aca="false">IF(COUNT(F34:F36)=3,SUM(F34:F36),"")</f>
        <v>245105786.2</v>
      </c>
      <c r="K36" s="13" t="str">
        <f aca="false">IF(COUNT(D34:D36)=3,SUM(D34:D36),"")</f>
        <v/>
      </c>
      <c r="L36" s="13" t="n">
        <f aca="false">IF(COUNT(G34:G36)=3,SUM(G34:G36),"")</f>
        <v>3130341264.2</v>
      </c>
    </row>
    <row r="37" customFormat="false" ht="15" hidden="false" customHeight="false" outlineLevel="0" collapsed="false">
      <c r="A37" s="12" t="n">
        <v>45992</v>
      </c>
      <c r="B37" s="13" t="n">
        <f aca="false">IF(COUNTIFS(raw_月次輸入実績!$A$2:$A$20000,$A37,raw_月次輸入実績!$B$2:$B$20000,"韓国",raw_月次輸入実績!$F$2:$F$20000,1)=0,"",SUMIFS(raw_月次輸入実績!$D$2:$D$20000,raw_月次輸入実績!$A$2:$A$20000,$A37,raw_月次輸入実績!$B$2:$B$20000,"韓国",raw_月次輸入実績!$F$2:$F$20000,1))</f>
        <v>684490000</v>
      </c>
      <c r="C37" s="13" t="n">
        <f aca="false">IF(COUNTIFS(raw_月次輸入実績!$A$2:$A$20000,$A37,raw_月次輸入実績!$B$2:$B$20000,"EU27",raw_月次輸入実績!$F$2:$F$20000,1)=0,"",SUMIFS(raw_月次輸入実績!$D$2:$D$20000,raw_月次輸入実績!$A$2:$A$20000,$A37,raw_月次輸入実績!$B$2:$B$20000,"EU27",raw_月次輸入実績!$F$2:$F$20000,1))</f>
        <v>70045799</v>
      </c>
      <c r="D37" s="13" t="n">
        <f aca="false">IF(COUNTIFS(raw_月次輸入実績!$A$2:$A$20000,$A37,raw_月次輸入実績!$B$2:$B$20000,"米国",raw_月次輸入実績!$F$2:$F$20000,1)=0,"",SUMIFS(raw_月次輸入実績!$D$2:$D$20000,raw_月次輸入実績!$A$2:$A$20000,$A37,raw_月次輸入実績!$B$2:$B$20000,"米国",raw_月次輸入実績!$F$2:$F$20000,1))</f>
        <v>243622249</v>
      </c>
      <c r="E37" s="13" t="n">
        <f aca="false">IF(COUNTIFS(raw_台湾月次!$A$2:$A$20000,$A37,raw_台湾月次!$B$2:$B$20000,"8486",raw_台湾月次!$D$2:$D$20000,"利用可")=0,"",SUMIFS(raw_台湾月次!$C$2:$C$20000,raw_台湾月次!$A$2:$A$20000,$A37,raw_台湾月次!$B$2:$B$20000,"8486",raw_台湾月次!$D$2:$D$20000,"利用可"))</f>
        <v>624896334</v>
      </c>
      <c r="F37" s="13" t="n">
        <f aca="false">IF(C37="","",C37*設定!$B$3)</f>
        <v>77050378.9</v>
      </c>
      <c r="G37" s="13" t="n">
        <f aca="false">IF(COUNT(B37,E37,F37)=3,B37+E37+F37,"")</f>
        <v>1386436712.9</v>
      </c>
      <c r="H37" s="13" t="n">
        <f aca="false">IF(COUNT(B35:B37)=3,SUM(B35:B37),"")</f>
        <v>1503787000</v>
      </c>
      <c r="I37" s="13" t="n">
        <f aca="false">IF(COUNT(E35:E37)=3,SUM(E35:E37),"")</f>
        <v>1724814281</v>
      </c>
      <c r="J37" s="13" t="n">
        <f aca="false">IF(COUNT(F35:F37)=3,SUM(F35:F37),"")</f>
        <v>254152947.4</v>
      </c>
      <c r="K37" s="13" t="str">
        <f aca="false">IF(COUNT(D35:D37)=3,SUM(D35:D37),"")</f>
        <v/>
      </c>
      <c r="L37" s="13" t="n">
        <f aca="false">IF(COUNT(G35:G37)=3,SUM(G35:G37),"")</f>
        <v>3482754228.4</v>
      </c>
    </row>
    <row r="38" customFormat="false" ht="15" hidden="false" customHeight="false" outlineLevel="0" collapsed="false">
      <c r="A38" s="12" t="n">
        <v>46023</v>
      </c>
      <c r="B38" s="13" t="n">
        <f aca="false">IF(COUNTIFS(raw_月次輸入実績!$A$2:$A$20000,$A38,raw_月次輸入実績!$B$2:$B$20000,"韓国",raw_月次輸入実績!$F$2:$F$20000,1)=0,"",SUMIFS(raw_月次輸入実績!$D$2:$D$20000,raw_月次輸入実績!$A$2:$A$20000,$A38,raw_月次輸入実績!$B$2:$B$20000,"韓国",raw_月次輸入実績!$F$2:$F$20000,1))</f>
        <v>552184000</v>
      </c>
      <c r="C38" s="13" t="n">
        <f aca="false">IF(COUNTIFS(raw_月次輸入実績!$A$2:$A$20000,$A38,raw_月次輸入実績!$B$2:$B$20000,"EU27",raw_月次輸入実績!$F$2:$F$20000,1)=0,"",SUMIFS(raw_月次輸入実績!$D$2:$D$20000,raw_月次輸入実績!$A$2:$A$20000,$A38,raw_月次輸入実績!$B$2:$B$20000,"EU27",raw_月次輸入実績!$F$2:$F$20000,1))</f>
        <v>73341880</v>
      </c>
      <c r="D38" s="13" t="n">
        <f aca="false">IF(COUNTIFS(raw_月次輸入実績!$A$2:$A$20000,$A38,raw_月次輸入実績!$B$2:$B$20000,"米国",raw_月次輸入実績!$F$2:$F$20000,1)=0,"",SUMIFS(raw_月次輸入実績!$D$2:$D$20000,raw_月次輸入実績!$A$2:$A$20000,$A38,raw_月次輸入実績!$B$2:$B$20000,"米国",raw_月次輸入実績!$F$2:$F$20000,1))</f>
        <v>312134983</v>
      </c>
      <c r="E38" s="13" t="n">
        <f aca="false">IF(COUNTIFS(raw_台湾月次!$A$2:$A$20000,$A38,raw_台湾月次!$B$2:$B$20000,"8486",raw_台湾月次!$D$2:$D$20000,"利用可")=0,"",SUMIFS(raw_台湾月次!$C$2:$C$20000,raw_台湾月次!$A$2:$A$20000,$A38,raw_台湾月次!$B$2:$B$20000,"8486",raw_台湾月次!$D$2:$D$20000,"利用可"))</f>
        <v>470215956</v>
      </c>
      <c r="F38" s="13" t="n">
        <f aca="false">IF(C38="","",C38*設定!$B$3)</f>
        <v>80676068</v>
      </c>
      <c r="G38" s="13" t="n">
        <f aca="false">IF(COUNT(B38,E38,F38)=3,B38+E38+F38,"")</f>
        <v>1103076024</v>
      </c>
      <c r="H38" s="13" t="n">
        <f aca="false">IF(COUNT(B36:B38)=3,SUM(B36:B38),"")</f>
        <v>1658373000</v>
      </c>
      <c r="I38" s="13" t="n">
        <f aca="false">IF(COUNT(E36:E38)=3,SUM(E36:E38),"")</f>
        <v>1783655275</v>
      </c>
      <c r="J38" s="13" t="n">
        <f aca="false">IF(COUNT(F36:F38)=3,SUM(F36:F38),"")</f>
        <v>250407315.4</v>
      </c>
      <c r="K38" s="13" t="n">
        <f aca="false">IF(COUNT(D36:D38)=3,SUM(D36:D38),"")</f>
        <v>772446651</v>
      </c>
      <c r="L38" s="13" t="n">
        <f aca="false">IF(COUNT(G36:G38)=3,SUM(G36:G38),"")</f>
        <v>3692435590.4</v>
      </c>
    </row>
    <row r="39" customFormat="false" ht="15" hidden="false" customHeight="false" outlineLevel="0" collapsed="false">
      <c r="A39" s="12" t="n">
        <v>46054</v>
      </c>
      <c r="B39" s="13" t="n">
        <f aca="false">IF(COUNTIFS(raw_月次輸入実績!$A$2:$A$20000,$A39,raw_月次輸入実績!$B$2:$B$20000,"韓国",raw_月次輸入実績!$F$2:$F$20000,1)=0,"",SUMIFS(raw_月次輸入実績!$D$2:$D$20000,raw_月次輸入実績!$A$2:$A$20000,$A39,raw_月次輸入実績!$B$2:$B$20000,"韓国",raw_月次輸入実績!$F$2:$F$20000,1))</f>
        <v>514200000</v>
      </c>
      <c r="C39" s="13" t="n">
        <f aca="false">IF(COUNTIFS(raw_月次輸入実績!$A$2:$A$20000,$A39,raw_月次輸入実績!$B$2:$B$20000,"EU27",raw_月次輸入実績!$F$2:$F$20000,1)=0,"",SUMIFS(raw_月次輸入実績!$D$2:$D$20000,raw_月次輸入実績!$A$2:$A$20000,$A39,raw_月次輸入実績!$B$2:$B$20000,"EU27",raw_月次輸入実績!$F$2:$F$20000,1))</f>
        <v>90214246</v>
      </c>
      <c r="D39" s="13" t="str">
        <f aca="false">IF(COUNTIFS(raw_月次輸入実績!$A$2:$A$20000,$A39,raw_月次輸入実績!$B$2:$B$20000,"米国",raw_月次輸入実績!$F$2:$F$20000,1)=0,"",SUMIFS(raw_月次輸入実績!$D$2:$D$20000,raw_月次輸入実績!$A$2:$A$20000,$A39,raw_月次輸入実績!$B$2:$B$20000,"米国",raw_月次輸入実績!$F$2:$F$20000,1))</f>
        <v/>
      </c>
      <c r="E39" s="13" t="n">
        <f aca="false">IF(COUNTIFS(raw_台湾月次!$A$2:$A$20000,$A39,raw_台湾月次!$B$2:$B$20000,"8486",raw_台湾月次!$D$2:$D$20000,"利用可")=0,"",SUMIFS(raw_台湾月次!$C$2:$C$20000,raw_台湾月次!$A$2:$A$20000,$A39,raw_台湾月次!$B$2:$B$20000,"8486",raw_台湾月次!$D$2:$D$20000,"利用可"))</f>
        <v>455342721</v>
      </c>
      <c r="F39" s="13" t="n">
        <f aca="false">IF(C39="","",C39*設定!$B$3)</f>
        <v>99235670.6</v>
      </c>
      <c r="G39" s="13" t="n">
        <f aca="false">IF(COUNT(B39,E39,F39)=3,B39+E39+F39,"")</f>
        <v>1068778391.6</v>
      </c>
      <c r="H39" s="13" t="n">
        <f aca="false">IF(COUNT(B37:B39)=3,SUM(B37:B39),"")</f>
        <v>1750874000</v>
      </c>
      <c r="I39" s="13" t="n">
        <f aca="false">IF(COUNT(E37:E39)=3,SUM(E37:E39),"")</f>
        <v>1550455011</v>
      </c>
      <c r="J39" s="13" t="n">
        <f aca="false">IF(COUNT(F37:F39)=3,SUM(F37:F39),"")</f>
        <v>256962117.5</v>
      </c>
      <c r="K39" s="13" t="str">
        <f aca="false">IF(COUNT(D37:D39)=3,SUM(D37:D39),"")</f>
        <v/>
      </c>
      <c r="L39" s="13" t="n">
        <f aca="false">IF(COUNT(G37:G39)=3,SUM(G37:G39),"")</f>
        <v>3558291128.5</v>
      </c>
    </row>
    <row r="40" customFormat="false" ht="15" hidden="false" customHeight="false" outlineLevel="0" collapsed="false">
      <c r="A40" s="12" t="n">
        <v>46082</v>
      </c>
      <c r="B40" s="13" t="n">
        <f aca="false">IF(COUNTIFS(raw_月次輸入実績!$A$2:$A$20000,$A40,raw_月次輸入実績!$B$2:$B$20000,"韓国",raw_月次輸入実績!$F$2:$F$20000,1)=0,"",SUMIFS(raw_月次輸入実績!$D$2:$D$20000,raw_月次輸入実績!$A$2:$A$20000,$A40,raw_月次輸入実績!$B$2:$B$20000,"韓国",raw_月次輸入実績!$F$2:$F$20000,1))</f>
        <v>782980000</v>
      </c>
      <c r="C40" s="13" t="n">
        <f aca="false">IF(COUNTIFS(raw_月次輸入実績!$A$2:$A$20000,$A40,raw_月次輸入実績!$B$2:$B$20000,"EU27",raw_月次輸入実績!$F$2:$F$20000,1)=0,"",SUMIFS(raw_月次輸入実績!$D$2:$D$20000,raw_月次輸入実績!$A$2:$A$20000,$A40,raw_月次輸入実績!$B$2:$B$20000,"EU27",raw_月次輸入実績!$F$2:$F$20000,1))</f>
        <v>197295605</v>
      </c>
      <c r="D40" s="13" t="n">
        <f aca="false">IF(COUNTIFS(raw_月次輸入実績!$A$2:$A$20000,$A40,raw_月次輸入実績!$B$2:$B$20000,"米国",raw_月次輸入実績!$F$2:$F$20000,1)=0,"",SUMIFS(raw_月次輸入実績!$D$2:$D$20000,raw_月次輸入実績!$A$2:$A$20000,$A40,raw_月次輸入実績!$B$2:$B$20000,"米国",raw_月次輸入実績!$F$2:$F$20000,1))</f>
        <v>384045151</v>
      </c>
      <c r="E40" s="13" t="n">
        <f aca="false">IF(COUNTIFS(raw_台湾月次!$A$2:$A$20000,$A40,raw_台湾月次!$B$2:$B$20000,"8486",raw_台湾月次!$D$2:$D$20000,"利用可")=0,"",SUMIFS(raw_台湾月次!$C$2:$C$20000,raw_台湾月次!$A$2:$A$20000,$A40,raw_台湾月次!$B$2:$B$20000,"8486",raw_台湾月次!$D$2:$D$20000,"利用可"))</f>
        <v>871080489</v>
      </c>
      <c r="F40" s="13" t="n">
        <f aca="false">IF(C40="","",C40*設定!$B$3)</f>
        <v>217025165.5</v>
      </c>
      <c r="G40" s="13" t="n">
        <f aca="false">IF(COUNT(B40,E40,F40)=3,B40+E40+F40,"")</f>
        <v>1871085654.5</v>
      </c>
      <c r="H40" s="13" t="n">
        <f aca="false">IF(COUNT(B38:B40)=3,SUM(B38:B40),"")</f>
        <v>1849364000</v>
      </c>
      <c r="I40" s="13" t="n">
        <f aca="false">IF(COUNT(E38:E40)=3,SUM(E38:E40),"")</f>
        <v>1796639166</v>
      </c>
      <c r="J40" s="13" t="n">
        <f aca="false">IF(COUNT(F38:F40)=3,SUM(F38:F40),"")</f>
        <v>396936904.1</v>
      </c>
      <c r="K40" s="13" t="str">
        <f aca="false">IF(COUNT(D38:D40)=3,SUM(D38:D40),"")</f>
        <v/>
      </c>
      <c r="L40" s="13" t="n">
        <f aca="false">IF(COUNT(G38:G40)=3,SUM(G38:G40),"")</f>
        <v>4042940070.1</v>
      </c>
    </row>
    <row r="41" customFormat="false" ht="15" hidden="false" customHeight="false" outlineLevel="0" collapsed="false">
      <c r="A41" s="12" t="n">
        <v>46113</v>
      </c>
      <c r="B41" s="13" t="n">
        <f aca="false">IF(COUNTIFS(raw_月次輸入実績!$A$2:$A$20000,$A41,raw_月次輸入実績!$B$2:$B$20000,"韓国",raw_月次輸入実績!$F$2:$F$20000,1)=0,"",SUMIFS(raw_月次輸入実績!$D$2:$D$20000,raw_月次輸入実績!$A$2:$A$20000,$A41,raw_月次輸入実績!$B$2:$B$20000,"韓国",raw_月次輸入実績!$F$2:$F$20000,1))</f>
        <v>613485000</v>
      </c>
      <c r="C41" s="13" t="n">
        <f aca="false">IF(COUNTIFS(raw_月次輸入実績!$A$2:$A$20000,$A41,raw_月次輸入実績!$B$2:$B$20000,"EU27",raw_月次輸入実績!$F$2:$F$20000,1)=0,"",SUMIFS(raw_月次輸入実績!$D$2:$D$20000,raw_月次輸入実績!$A$2:$A$20000,$A41,raw_月次輸入実績!$B$2:$B$20000,"EU27",raw_月次輸入実績!$F$2:$F$20000,1))</f>
        <v>329310848</v>
      </c>
      <c r="D41" s="13" t="n">
        <f aca="false">IF(COUNTIFS(raw_月次輸入実績!$A$2:$A$20000,$A41,raw_月次輸入実績!$B$2:$B$20000,"米国",raw_月次輸入実績!$F$2:$F$20000,1)=0,"",SUMIFS(raw_月次輸入実績!$D$2:$D$20000,raw_月次輸入実績!$A$2:$A$20000,$A41,raw_月次輸入実績!$B$2:$B$20000,"米国",raw_月次輸入実績!$F$2:$F$20000,1))</f>
        <v>422647863</v>
      </c>
      <c r="E41" s="13" t="n">
        <f aca="false">IF(COUNTIFS(raw_台湾月次!$A$2:$A$20000,$A41,raw_台湾月次!$B$2:$B$20000,"8486",raw_台湾月次!$D$2:$D$20000,"利用可")=0,"",SUMIFS(raw_台湾月次!$C$2:$C$20000,raw_台湾月次!$A$2:$A$20000,$A41,raw_台湾月次!$B$2:$B$20000,"8486",raw_台湾月次!$D$2:$D$20000,"利用可"))</f>
        <v>699231649</v>
      </c>
      <c r="F41" s="13" t="n">
        <f aca="false">IF(C41="","",C41*設定!$B$3)</f>
        <v>362241932.8</v>
      </c>
      <c r="G41" s="13" t="n">
        <f aca="false">IF(COUNT(B41,E41,F41)=3,B41+E41+F41,"")</f>
        <v>1674958581.8</v>
      </c>
      <c r="H41" s="13" t="n">
        <f aca="false">IF(COUNT(B39:B41)=3,SUM(B39:B41),"")</f>
        <v>1910665000</v>
      </c>
      <c r="I41" s="13" t="n">
        <f aca="false">IF(COUNT(E39:E41)=3,SUM(E39:E41),"")</f>
        <v>2025654859</v>
      </c>
      <c r="J41" s="13" t="n">
        <f aca="false">IF(COUNT(F39:F41)=3,SUM(F39:F41),"")</f>
        <v>678502768.9</v>
      </c>
      <c r="K41" s="13" t="str">
        <f aca="false">IF(COUNT(D39:D41)=3,SUM(D39:D41),"")</f>
        <v/>
      </c>
      <c r="L41" s="13" t="n">
        <f aca="false">IF(COUNT(G39:G41)=3,SUM(G39:G41),"")</f>
        <v>4614822627.9</v>
      </c>
    </row>
    <row r="42" customFormat="false" ht="15" hidden="false" customHeight="false" outlineLevel="0" collapsed="false">
      <c r="A42" s="12" t="n">
        <v>46143</v>
      </c>
      <c r="B42" s="13" t="n">
        <f aca="false">IF(COUNTIFS(raw_月次輸入実績!$A$2:$A$20000,$A42,raw_月次輸入実績!$B$2:$B$20000,"韓国",raw_月次輸入実績!$F$2:$F$20000,1)=0,"",SUMIFS(raw_月次輸入実績!$D$2:$D$20000,raw_月次輸入実績!$A$2:$A$20000,$A42,raw_月次輸入実績!$B$2:$B$20000,"韓国",raw_月次輸入実績!$F$2:$F$20000,1))</f>
        <v>564135000</v>
      </c>
      <c r="C42" s="13" t="n">
        <f aca="false">IF(COUNTIFS(raw_月次輸入実績!$A$2:$A$20000,$A42,raw_月次輸入実績!$B$2:$B$20000,"EU27",raw_月次輸入実績!$F$2:$F$20000,1)=0,"",SUMIFS(raw_月次輸入実績!$D$2:$D$20000,raw_月次輸入実績!$A$2:$A$20000,$A42,raw_月次輸入実績!$B$2:$B$20000,"EU27",raw_月次輸入実績!$F$2:$F$20000,1))</f>
        <v>119835464</v>
      </c>
      <c r="D42" s="13" t="n">
        <f aca="false">IF(COUNTIFS(raw_月次輸入実績!$A$2:$A$20000,$A42,raw_月次輸入実績!$B$2:$B$20000,"米国",raw_月次輸入実績!$F$2:$F$20000,1)=0,"",SUMIFS(raw_月次輸入実績!$D$2:$D$20000,raw_月次輸入実績!$A$2:$A$20000,$A42,raw_月次輸入実績!$B$2:$B$20000,"米国",raw_月次輸入実績!$F$2:$F$20000,1))</f>
        <v>347801740</v>
      </c>
      <c r="E42" s="13" t="n">
        <f aca="false">IF(COUNTIFS(raw_台湾月次!$A$2:$A$20000,$A42,raw_台湾月次!$B$2:$B$20000,"8486",raw_台湾月次!$D$2:$D$20000,"利用可")=0,"",SUMIFS(raw_台湾月次!$C$2:$C$20000,raw_台湾月次!$A$2:$A$20000,$A42,raw_台湾月次!$B$2:$B$20000,"8486",raw_台湾月次!$D$2:$D$20000,"利用可"))</f>
        <v>561532252</v>
      </c>
      <c r="F42" s="13" t="n">
        <f aca="false">IF(C42="","",C42*設定!$B$3)</f>
        <v>131819010.4</v>
      </c>
      <c r="G42" s="13" t="n">
        <f aca="false">IF(COUNT(B42,E42,F42)=3,B42+E42+F42,"")</f>
        <v>1257486262.4</v>
      </c>
      <c r="H42" s="13" t="n">
        <f aca="false">IF(COUNT(B40:B42)=3,SUM(B40:B42),"")</f>
        <v>1960600000</v>
      </c>
      <c r="I42" s="13" t="n">
        <f aca="false">IF(COUNT(E40:E42)=3,SUM(E40:E42),"")</f>
        <v>2131844390</v>
      </c>
      <c r="J42" s="13" t="n">
        <f aca="false">IF(COUNT(F40:F42)=3,SUM(F40:F42),"")</f>
        <v>711086108.7</v>
      </c>
      <c r="K42" s="13" t="n">
        <f aca="false">IF(COUNT(D40:D42)=3,SUM(D40:D42),"")</f>
        <v>1154494754</v>
      </c>
      <c r="L42" s="13" t="n">
        <f aca="false">IF(COUNT(G40:G42)=3,SUM(G40:G42),"")</f>
        <v>4803530498.7</v>
      </c>
    </row>
    <row r="43" customFormat="false" ht="15" hidden="false" customHeight="false" outlineLevel="0" collapsed="false">
      <c r="A43" s="12" t="n">
        <v>46174</v>
      </c>
      <c r="B43" s="13" t="n">
        <f aca="false">IF(COUNTIFS(raw_月次輸入実績!$A$2:$A$20000,$A43,raw_月次輸入実績!$B$2:$B$20000,"韓国",raw_月次輸入実績!$F$2:$F$20000,1)=0,"",SUMIFS(raw_月次輸入実績!$D$2:$D$20000,raw_月次輸入実績!$A$2:$A$20000,$A43,raw_月次輸入実績!$B$2:$B$20000,"韓国",raw_月次輸入実績!$F$2:$F$20000,1))</f>
        <v>616778000</v>
      </c>
      <c r="C43" s="13" t="n">
        <f aca="false">IF(COUNTIFS(raw_月次輸入実績!$A$2:$A$20000,$A43,raw_月次輸入実績!$B$2:$B$20000,"EU27",raw_月次輸入実績!$F$2:$F$20000,1)=0,"",SUMIFS(raw_月次輸入実績!$D$2:$D$20000,raw_月次輸入実績!$A$2:$A$20000,$A43,raw_月次輸入実績!$B$2:$B$20000,"EU27",raw_月次輸入実績!$F$2:$F$20000,1))</f>
        <v>139319763</v>
      </c>
      <c r="D43" s="13" t="n">
        <f aca="false">IF(COUNTIFS(raw_月次輸入実績!$A$2:$A$20000,$A43,raw_月次輸入実績!$B$2:$B$20000,"米国",raw_月次輸入実績!$F$2:$F$20000,1)=0,"",SUMIFS(raw_月次輸入実績!$D$2:$D$20000,raw_月次輸入実績!$A$2:$A$20000,$A43,raw_月次輸入実績!$B$2:$B$20000,"米国",raw_月次輸入実績!$F$2:$F$20000,1))</f>
        <v>337191573</v>
      </c>
      <c r="E43" s="13" t="n">
        <f aca="false">IF(COUNTIFS(raw_台湾月次!$A$2:$A$20000,$A43,raw_台湾月次!$B$2:$B$20000,"8486",raw_台湾月次!$D$2:$D$20000,"利用可")=0,"",SUMIFS(raw_台湾月次!$C$2:$C$20000,raw_台湾月次!$A$2:$A$20000,$A43,raw_台湾月次!$B$2:$B$20000,"8486",raw_台湾月次!$D$2:$D$20000,"利用可"))</f>
        <v>973012182</v>
      </c>
      <c r="F43" s="13" t="n">
        <f aca="false">IF(C43="","",C43*設定!$B$3)</f>
        <v>153251739.3</v>
      </c>
      <c r="G43" s="13" t="n">
        <f aca="false">IF(COUNT(B43,E43,F43)=3,B43+E43+F43,"")</f>
        <v>1743041921.3</v>
      </c>
      <c r="H43" s="13" t="n">
        <f aca="false">IF(COUNT(B41:B43)=3,SUM(B41:B43),"")</f>
        <v>1794398000</v>
      </c>
      <c r="I43" s="13" t="n">
        <f aca="false">IF(COUNT(E41:E43)=3,SUM(E41:E43),"")</f>
        <v>2233776083</v>
      </c>
      <c r="J43" s="13" t="n">
        <f aca="false">IF(COUNT(F41:F43)=3,SUM(F41:F43),"")</f>
        <v>647312682.5</v>
      </c>
      <c r="K43" s="13" t="n">
        <f aca="false">IF(COUNT(D41:D43)=3,SUM(D41:D43),"")</f>
        <v>1107641176</v>
      </c>
      <c r="L43" s="13" t="n">
        <f aca="false">IF(COUNT(G41:G43)=3,SUM(G41:G43),"")</f>
        <v>4675486765.5</v>
      </c>
    </row>
    <row r="44" customFormat="false" ht="15" hidden="false" customHeight="false" outlineLevel="0" collapsed="false">
      <c r="A44" s="12" t="n">
        <v>46204</v>
      </c>
      <c r="B44" s="13" t="n">
        <f aca="false">IF(COUNTIFS(raw_月次輸入実績!$A$2:$A$20000,$A44,raw_月次輸入実績!$B$2:$B$20000,"韓国",raw_月次輸入実績!$F$2:$F$20000,1)=0,"",SUMIFS(raw_月次輸入実績!$D$2:$D$20000,raw_月次輸入実績!$A$2:$A$20000,$A44,raw_月次輸入実績!$B$2:$B$20000,"韓国",raw_月次輸入実績!$F$2:$F$20000,1))</f>
        <v>645727000</v>
      </c>
      <c r="C44" s="13" t="n">
        <f aca="false">IF(COUNTIFS(raw_月次輸入実績!$A$2:$A$20000,$A44,raw_月次輸入実績!$B$2:$B$20000,"EU27",raw_月次輸入実績!$F$2:$F$20000,1)=0,"",SUMIFS(raw_月次輸入実績!$D$2:$D$20000,raw_月次輸入実績!$A$2:$A$20000,$A44,raw_月次輸入実績!$B$2:$B$20000,"EU27",raw_月次輸入実績!$F$2:$F$20000,1))</f>
        <v>538285039</v>
      </c>
      <c r="D44" s="13" t="n">
        <f aca="false">IF(COUNTIFS(raw_月次輸入実績!$A$2:$A$20000,$A44,raw_月次輸入実績!$B$2:$B$20000,"米国",raw_月次輸入実績!$F$2:$F$20000,1)=0,"",SUMIFS(raw_月次輸入実績!$D$2:$D$20000,raw_月次輸入実績!$A$2:$A$20000,$A44,raw_月次輸入実績!$B$2:$B$20000,"米国",raw_月次輸入実績!$F$2:$F$20000,1))</f>
        <v>319079866</v>
      </c>
      <c r="E44" s="13" t="n">
        <f aca="false">IF(COUNTIFS(raw_台湾月次!$A$2:$A$20000,$A44,raw_台湾月次!$B$2:$B$20000,"8486",raw_台湾月次!$D$2:$D$20000,"利用可")=0,"",SUMIFS(raw_台湾月次!$C$2:$C$20000,raw_台湾月次!$A$2:$A$20000,$A44,raw_台湾月次!$B$2:$B$20000,"8486",raw_台湾月次!$D$2:$D$20000,"利用可"))</f>
        <v>718801408</v>
      </c>
      <c r="F44" s="13" t="n">
        <f aca="false">IF(C44="","",C44*設定!$B$3)</f>
        <v>592113542.9</v>
      </c>
      <c r="G44" s="13" t="n">
        <f aca="false">IF(COUNT(B44,E44,F44)=3,B44+E44+F44,"")</f>
        <v>1956641950.9</v>
      </c>
      <c r="H44" s="13" t="n">
        <f aca="false">IF(COUNT(B42:B44)=3,SUM(B42:B44),"")</f>
        <v>1826640000</v>
      </c>
      <c r="I44" s="13" t="n">
        <f aca="false">IF(COUNT(E42:E44)=3,SUM(E42:E44),"")</f>
        <v>2253345842</v>
      </c>
      <c r="J44" s="13" t="n">
        <f aca="false">IF(COUNT(F42:F44)=3,SUM(F42:F44),"")</f>
        <v>877184292.6</v>
      </c>
      <c r="K44" s="13" t="n">
        <f aca="false">IF(COUNT(D42:D44)=3,SUM(D42:D44),"")</f>
        <v>1004073179</v>
      </c>
      <c r="L44" s="13" t="n">
        <f aca="false">IF(COUNT(G42:G44)=3,SUM(G42:G44),"")</f>
        <v>4957170134.6</v>
      </c>
    </row>
    <row r="45" customFormat="false" ht="15" hidden="false" customHeight="false" outlineLevel="0" collapsed="false">
      <c r="A45" s="12" t="n">
        <v>46235</v>
      </c>
      <c r="B45" s="13" t="n">
        <f aca="false">IF(COUNTIFS(raw_月次輸入実績!$A$2:$A$20000,$A45,raw_月次輸入実績!$B$2:$B$20000,"韓国",raw_月次輸入実績!$F$2:$F$20000,1)=0,"",SUMIFS(raw_月次輸入実績!$D$2:$D$20000,raw_月次輸入実績!$A$2:$A$20000,$A45,raw_月次輸入実績!$B$2:$B$20000,"韓国",raw_月次輸入実績!$F$2:$F$20000,1))</f>
        <v>681614000</v>
      </c>
      <c r="C45" s="13" t="str">
        <f aca="false">IF(COUNTIFS(raw_月次輸入実績!$A$2:$A$20000,$A45,raw_月次輸入実績!$B$2:$B$20000,"EU27",raw_月次輸入実績!$F$2:$F$20000,1)=0,"",SUMIFS(raw_月次輸入実績!$D$2:$D$20000,raw_月次輸入実績!$A$2:$A$20000,$A45,raw_月次輸入実績!$B$2:$B$20000,"EU27",raw_月次輸入実績!$F$2:$F$20000,1))</f>
        <v/>
      </c>
      <c r="D45" s="13" t="str">
        <f aca="false">IF(COUNTIFS(raw_月次輸入実績!$A$2:$A$20000,$A45,raw_月次輸入実績!$B$2:$B$20000,"米国",raw_月次輸入実績!$F$2:$F$20000,1)=0,"",SUMIFS(raw_月次輸入実績!$D$2:$D$20000,raw_月次輸入実績!$A$2:$A$20000,$A45,raw_月次輸入実績!$B$2:$B$20000,"米国",raw_月次輸入実績!$F$2:$F$20000,1))</f>
        <v/>
      </c>
      <c r="E45" s="13" t="n">
        <f aca="false">IF(COUNTIFS(raw_台湾月次!$A$2:$A$20000,$A45,raw_台湾月次!$B$2:$B$20000,"8486",raw_台湾月次!$D$2:$D$20000,"利用可")=0,"",SUMIFS(raw_台湾月次!$C$2:$C$20000,raw_台湾月次!$A$2:$A$20000,$A45,raw_台湾月次!$B$2:$B$20000,"8486",raw_台湾月次!$D$2:$D$20000,"利用可"))</f>
        <v>651926933</v>
      </c>
      <c r="F45" s="13" t="str">
        <f aca="false">IF(C45="","",C45*設定!$B$3)</f>
        <v/>
      </c>
      <c r="G45" s="13" t="str">
        <f aca="false">IF(COUNT(B45,E45,F45)=3,B45+E45+F45,"")</f>
        <v/>
      </c>
      <c r="H45" s="13" t="n">
        <f aca="false">IF(COUNT(B43:B45)=3,SUM(B43:B45),"")</f>
        <v>1944119000</v>
      </c>
      <c r="I45" s="13" t="n">
        <f aca="false">IF(COUNT(E43:E45)=3,SUM(E43:E45),"")</f>
        <v>2343740523</v>
      </c>
      <c r="J45" s="13" t="str">
        <f aca="false">IF(COUNT(F43:F45)=3,SUM(F43:F45),"")</f>
        <v/>
      </c>
      <c r="K45" s="13" t="str">
        <f aca="false">IF(COUNT(D43:D45)=3,SUM(D43:D45),"")</f>
        <v/>
      </c>
      <c r="L45" s="13" t="str">
        <f aca="false">IF(COUNT(G43:G45)=3,SUM(G43:G45),"")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3" min="2" style="0" width="14"/>
  </cols>
  <sheetData>
    <row r="1" customFormat="false" ht="15" hidden="false" customHeight="false" outlineLevel="0" collapsed="false">
      <c r="A1" s="4" t="s">
        <v>145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customFormat="false" ht="15" hidden="false" customHeight="false" outlineLevel="0" collapsed="false">
      <c r="A2" s="3"/>
      <c r="B2" s="3"/>
      <c r="C2" s="3"/>
      <c r="D2" s="3"/>
      <c r="E2" s="3"/>
      <c r="F2" s="3"/>
      <c r="G2" s="3"/>
      <c r="H2" s="3"/>
      <c r="I2" s="3"/>
      <c r="J2" s="3"/>
      <c r="K2" s="3"/>
    </row>
    <row r="3" customFormat="false" ht="15" hidden="false" customHeight="false" outlineLevel="0" collapsed="false">
      <c r="A3" s="4" t="s">
        <v>64</v>
      </c>
      <c r="B3" s="4" t="s">
        <v>146</v>
      </c>
      <c r="C3" s="1" t="s">
        <v>90</v>
      </c>
      <c r="D3" s="1" t="s">
        <v>147</v>
      </c>
      <c r="E3" s="1" t="s">
        <v>91</v>
      </c>
      <c r="F3" s="1" t="s">
        <v>92</v>
      </c>
      <c r="G3" s="3"/>
      <c r="H3" s="1" t="s">
        <v>148</v>
      </c>
      <c r="I3" s="1" t="s">
        <v>149</v>
      </c>
      <c r="J3" s="1" t="s">
        <v>150</v>
      </c>
      <c r="K3" s="1" t="s">
        <v>151</v>
      </c>
    </row>
    <row r="4" customFormat="false" ht="15" hidden="false" customHeight="false" outlineLevel="0" collapsed="false">
      <c r="A4" s="3" t="s">
        <v>74</v>
      </c>
      <c r="B4" s="8" t="n">
        <v>5582</v>
      </c>
      <c r="C4" s="8" t="n">
        <v>1255</v>
      </c>
      <c r="D4" s="8" t="n">
        <v>1002</v>
      </c>
      <c r="E4" s="8"/>
      <c r="F4" s="3" t="str">
        <f aca="false">IF(COUNT(B4,C4,E4)=3,B4+C4+E4,"")</f>
        <v/>
      </c>
      <c r="G4" s="3"/>
      <c r="H4" s="10"/>
      <c r="I4" s="10"/>
      <c r="J4" s="10"/>
      <c r="K4" s="10"/>
    </row>
    <row r="5" customFormat="false" ht="15" hidden="false" customHeight="false" outlineLevel="0" collapsed="false">
      <c r="A5" s="3" t="s">
        <v>75</v>
      </c>
      <c r="B5" s="8" t="n">
        <v>3917</v>
      </c>
      <c r="C5" s="8" t="n">
        <v>996</v>
      </c>
      <c r="D5" s="8" t="n">
        <v>823</v>
      </c>
      <c r="E5" s="8" t="n">
        <v>327</v>
      </c>
      <c r="F5" s="3" t="n">
        <f aca="false">IF(COUNT(B5,C5,E5)=3,B5+C5+E5,"")</f>
        <v>5240</v>
      </c>
      <c r="G5" s="3"/>
      <c r="H5" s="10" t="n">
        <f aca="false">IF(AND(ISNUMBER(B5),ISNUMBER(B4)),LN(B5/B4),"")</f>
        <v>-0.354221080430436</v>
      </c>
      <c r="I5" s="10" t="n">
        <f aca="false">IF(AND(ISNUMBER(C5),ISNUMBER(C4)),LN(C5/C4),"")</f>
        <v>-0.231143593981286</v>
      </c>
      <c r="J5" s="10" t="str">
        <f aca="false">IF(AND(ISNUMBER(E5),ISNUMBER(E4)),LN(E5/E4),"")</f>
        <v/>
      </c>
      <c r="K5" s="10" t="str">
        <f aca="false">IF(AND(ISNUMBER(F5),ISNUMBER(F4)),LN(F5/F4),"")</f>
        <v/>
      </c>
    </row>
    <row r="6" customFormat="false" ht="15" hidden="false" customHeight="false" outlineLevel="0" collapsed="false">
      <c r="A6" s="3" t="s">
        <v>76</v>
      </c>
      <c r="B6" s="8" t="n">
        <v>4278</v>
      </c>
      <c r="C6" s="8" t="n">
        <v>1235</v>
      </c>
      <c r="D6" s="8" t="n">
        <v>1037</v>
      </c>
      <c r="E6" s="8" t="n">
        <v>450</v>
      </c>
      <c r="F6" s="3" t="n">
        <f aca="false">IF(COUNT(B6,C6,E6)=3,B6+C6+E6,"")</f>
        <v>5963</v>
      </c>
      <c r="G6" s="3"/>
      <c r="H6" s="10" t="n">
        <f aca="false">IF(AND(ISNUMBER(B6),ISNUMBER(B5)),LN(B6/B5),"")</f>
        <v>0.0881595559765196</v>
      </c>
      <c r="I6" s="10" t="n">
        <f aca="false">IF(AND(ISNUMBER(C6),ISNUMBER(C5)),LN(C6/C5),"")</f>
        <v>0.215078991477479</v>
      </c>
      <c r="J6" s="10" t="n">
        <f aca="false">IF(AND(ISNUMBER(E6),ISNUMBER(E5)),LN(E6/E5),"")</f>
        <v>0.319287411867112</v>
      </c>
      <c r="K6" s="10" t="n">
        <f aca="false">IF(AND(ISNUMBER(F6),ISNUMBER(F5)),LN(F6/F5),"")</f>
        <v>0.129252211808018</v>
      </c>
    </row>
    <row r="7" customFormat="false" ht="15" hidden="false" customHeight="false" outlineLevel="0" collapsed="false">
      <c r="A7" s="3" t="s">
        <v>77</v>
      </c>
      <c r="B7" s="8" t="n">
        <v>4636</v>
      </c>
      <c r="C7" s="8" t="n">
        <v>1245</v>
      </c>
      <c r="D7" s="8" t="n">
        <v>1019</v>
      </c>
      <c r="E7" s="8" t="n">
        <v>540</v>
      </c>
      <c r="F7" s="3" t="n">
        <f aca="false">IF(COUNT(B7,C7,E7)=3,B7+C7+E7,"")</f>
        <v>6421</v>
      </c>
      <c r="G7" s="3"/>
      <c r="H7" s="10" t="n">
        <f aca="false">IF(AND(ISNUMBER(B7),ISNUMBER(B6)),LN(B7/B6),"")</f>
        <v>0.0803663148172915</v>
      </c>
      <c r="I7" s="10" t="n">
        <f aca="false">IF(AND(ISNUMBER(C7),ISNUMBER(C6)),LN(C7/C6),"")</f>
        <v>0.0080645598367305</v>
      </c>
      <c r="J7" s="10" t="n">
        <f aca="false">IF(AND(ISNUMBER(E7),ISNUMBER(E6)),LN(E7/E6),"")</f>
        <v>0.182321556793955</v>
      </c>
      <c r="K7" s="10" t="n">
        <f aca="false">IF(AND(ISNUMBER(F7),ISNUMBER(F6)),LN(F7/F6),"")</f>
        <v>0.0740001586709424</v>
      </c>
    </row>
    <row r="8" customFormat="false" ht="15" hidden="false" customHeight="false" outlineLevel="0" collapsed="false">
      <c r="A8" s="3" t="s">
        <v>78</v>
      </c>
      <c r="B8" s="8" t="n">
        <v>5472</v>
      </c>
      <c r="C8" s="8" t="n">
        <v>1570</v>
      </c>
      <c r="D8" s="8" t="n">
        <v>1296</v>
      </c>
      <c r="E8" s="8" t="n">
        <v>492</v>
      </c>
      <c r="F8" s="3" t="n">
        <f aca="false">IF(COUNT(B8,C8,E8)=3,B8+C8+E8,"")</f>
        <v>7534</v>
      </c>
      <c r="G8" s="3"/>
      <c r="H8" s="10" t="n">
        <f aca="false">IF(AND(ISNUMBER(B8),ISNUMBER(B7)),LN(B8/B7),"")</f>
        <v>0.165792254842744</v>
      </c>
      <c r="I8" s="10" t="n">
        <f aca="false">IF(AND(ISNUMBER(C8),ISNUMBER(C7)),LN(C8/C7),"")</f>
        <v>0.231940089443546</v>
      </c>
      <c r="J8" s="10" t="n">
        <f aca="false">IF(AND(ISNUMBER(E8),ISNUMBER(E7)),LN(E8/E7),"")</f>
        <v>-0.093090423066012</v>
      </c>
      <c r="K8" s="10" t="n">
        <f aca="false">IF(AND(ISNUMBER(F8),ISNUMBER(F7)),LN(F8/F7),"")</f>
        <v>0.159852240457938</v>
      </c>
    </row>
    <row r="9" customFormat="false" ht="15" hidden="false" customHeight="false" outlineLevel="0" collapsed="false">
      <c r="A9" s="3" t="s">
        <v>79</v>
      </c>
      <c r="B9" s="8" t="n">
        <v>5550</v>
      </c>
      <c r="C9" s="8" t="n">
        <v>1342</v>
      </c>
      <c r="D9" s="8" t="n">
        <v>1121</v>
      </c>
      <c r="E9" s="8" t="n">
        <v>652</v>
      </c>
      <c r="F9" s="3" t="n">
        <f aca="false">IF(COUNT(B9,C9,E9)=3,B9+C9+E9,"")</f>
        <v>7544</v>
      </c>
      <c r="G9" s="3"/>
      <c r="H9" s="10" t="n">
        <f aca="false">IF(AND(ISNUMBER(B9),ISNUMBER(B8)),LN(B9/B8),"")</f>
        <v>0.0141537474380938</v>
      </c>
      <c r="I9" s="10" t="n">
        <f aca="false">IF(AND(ISNUMBER(C9),ISNUMBER(C8)),LN(C9/C8),"")</f>
        <v>-0.156914580810727</v>
      </c>
      <c r="J9" s="10" t="n">
        <f aca="false">IF(AND(ISNUMBER(E9),ISNUMBER(E8)),LN(E9/E8),"")</f>
        <v>0.281565845434345</v>
      </c>
      <c r="K9" s="10" t="n">
        <f aca="false">IF(AND(ISNUMBER(F9),ISNUMBER(F8)),LN(F9/F8),"")</f>
        <v>0.00132643606130702</v>
      </c>
    </row>
    <row r="10" customFormat="false" ht="15" hidden="false" customHeight="false" outlineLevel="0" collapsed="false">
      <c r="A10" s="3" t="s">
        <v>80</v>
      </c>
      <c r="B10" s="8" t="n">
        <v>5665</v>
      </c>
      <c r="C10" s="8" t="n">
        <v>1431</v>
      </c>
      <c r="D10" s="8" t="n">
        <v>1168</v>
      </c>
      <c r="E10" s="8" t="n">
        <v>493</v>
      </c>
      <c r="F10" s="3" t="n">
        <f aca="false">IF(COUNT(B10,C10,E10)=3,B10+C10+E10,"")</f>
        <v>7589</v>
      </c>
      <c r="G10" s="3"/>
      <c r="H10" s="10" t="n">
        <f aca="false">IF(AND(ISNUMBER(B10),ISNUMBER(B9)),LN(B10/B9),"")</f>
        <v>0.0205089667216265</v>
      </c>
      <c r="I10" s="10" t="n">
        <f aca="false">IF(AND(ISNUMBER(C10),ISNUMBER(C9)),LN(C10/C9),"")</f>
        <v>0.0642124620248238</v>
      </c>
      <c r="J10" s="10" t="n">
        <f aca="false">IF(AND(ISNUMBER(E10),ISNUMBER(E9)),LN(E10/E9),"")</f>
        <v>-0.279535387883963</v>
      </c>
      <c r="K10" s="10" t="n">
        <f aca="false">IF(AND(ISNUMBER(F10),ISNUMBER(F9)),LN(F10/F9),"")</f>
        <v>0.00594728509061933</v>
      </c>
    </row>
    <row r="11" customFormat="false" ht="15" hidden="false" customHeight="false" outlineLevel="0" collapsed="false">
      <c r="A11" s="3" t="s">
        <v>81</v>
      </c>
      <c r="B11" s="8" t="n">
        <v>6545</v>
      </c>
      <c r="C11" s="8" t="n">
        <v>1825</v>
      </c>
      <c r="D11" s="8" t="n">
        <v>1548</v>
      </c>
      <c r="E11" s="8" t="n">
        <v>601</v>
      </c>
      <c r="F11" s="3" t="n">
        <f aca="false">IF(COUNT(B11,C11,E11)=3,B11+C11+E11,"")</f>
        <v>8971</v>
      </c>
      <c r="G11" s="3"/>
      <c r="H11" s="10" t="n">
        <f aca="false">IF(AND(ISNUMBER(B11),ISNUMBER(B10)),LN(B11/B10),"")</f>
        <v>0.144394504881894</v>
      </c>
      <c r="I11" s="10" t="n">
        <f aca="false">IF(AND(ISNUMBER(C11),ISNUMBER(C10)),LN(C11/C10),"")</f>
        <v>0.243206486460141</v>
      </c>
      <c r="J11" s="10" t="n">
        <f aca="false">IF(AND(ISNUMBER(E11),ISNUMBER(E10)),LN(E11/E10),"")</f>
        <v>0.198085760492517</v>
      </c>
      <c r="K11" s="10" t="n">
        <f aca="false">IF(AND(ISNUMBER(F11),ISNUMBER(F10)),LN(F11/F10),"")</f>
        <v>0.167297322155371</v>
      </c>
    </row>
    <row r="12" customFormat="false" ht="15" hidden="false" customHeight="false" outlineLevel="0" collapsed="false">
      <c r="A12" s="3" t="s">
        <v>82</v>
      </c>
      <c r="B12" s="8" t="n">
        <v>6554</v>
      </c>
      <c r="C12" s="8" t="n">
        <v>1653</v>
      </c>
      <c r="D12" s="8" t="n">
        <v>1355</v>
      </c>
      <c r="E12" s="8" t="n">
        <v>643</v>
      </c>
      <c r="F12" s="3" t="n">
        <f aca="false">IF(COUNT(B12,C12,E12)=3,B12+C12+E12,"")</f>
        <v>8850</v>
      </c>
      <c r="G12" s="3"/>
      <c r="H12" s="10" t="n">
        <f aca="false">IF(AND(ISNUMBER(B12),ISNUMBER(B11)),LN(B12/B11),"")</f>
        <v>0.00137415091475956</v>
      </c>
      <c r="I12" s="10" t="n">
        <f aca="false">IF(AND(ISNUMBER(C12),ISNUMBER(C11)),LN(C12/C11),"")</f>
        <v>-0.0989881681955677</v>
      </c>
      <c r="J12" s="10" t="n">
        <f aca="false">IF(AND(ISNUMBER(E12),ISNUMBER(E11)),LN(E12/E11),"")</f>
        <v>0.0675497897024118</v>
      </c>
      <c r="K12" s="10" t="n">
        <f aca="false">IF(AND(ISNUMBER(F12),ISNUMBER(F11)),LN(F12/F11),"")</f>
        <v>-0.0135796935573083</v>
      </c>
    </row>
    <row r="13" customFormat="false" ht="15" hidden="false" customHeight="false" outlineLevel="0" collapsed="false">
      <c r="A13" s="3" t="s">
        <v>83</v>
      </c>
      <c r="B13" s="8" t="n">
        <v>5495</v>
      </c>
      <c r="C13" s="8" t="n">
        <v>1357</v>
      </c>
      <c r="D13" s="8" t="n">
        <v>1095</v>
      </c>
      <c r="E13" s="8" t="n">
        <v>518</v>
      </c>
      <c r="F13" s="3" t="n">
        <f aca="false">IF(COUNT(B13,C13,E13)=3,B13+C13+E13,"")</f>
        <v>7370</v>
      </c>
      <c r="G13" s="3"/>
      <c r="H13" s="10" t="n">
        <f aca="false">IF(AND(ISNUMBER(B13),ISNUMBER(B12)),LN(B13/B12),"")</f>
        <v>-0.176236962421038</v>
      </c>
      <c r="I13" s="10" t="n">
        <f aca="false">IF(AND(ISNUMBER(C13),ISNUMBER(C12)),LN(C13/C12),"")</f>
        <v>-0.197315437986155</v>
      </c>
      <c r="J13" s="10" t="n">
        <f aca="false">IF(AND(ISNUMBER(E13),ISNUMBER(E12)),LN(E13/E12),"")</f>
        <v>-0.216169481978136</v>
      </c>
      <c r="K13" s="10" t="n">
        <f aca="false">IF(AND(ISNUMBER(F13),ISNUMBER(F12)),LN(F13/F12),"")</f>
        <v>-0.182999752818593</v>
      </c>
    </row>
    <row r="14" customFormat="false" ht="15" hidden="false" customHeight="false" outlineLevel="0" collapsed="false">
      <c r="A14" s="3" t="s">
        <v>84</v>
      </c>
      <c r="B14" s="8" t="n">
        <v>6300</v>
      </c>
      <c r="C14" s="8" t="n">
        <v>1385</v>
      </c>
      <c r="D14" s="8" t="n">
        <v>1090</v>
      </c>
      <c r="E14" s="8" t="n">
        <v>654</v>
      </c>
      <c r="F14" s="3" t="n">
        <f aca="false">IF(COUNT(B14,C14,E14)=3,B14+C14+E14,"")</f>
        <v>8339</v>
      </c>
      <c r="G14" s="3"/>
      <c r="H14" s="10" t="n">
        <f aca="false">IF(AND(ISNUMBER(B14),ISNUMBER(B13)),LN(B14/B13),"")</f>
        <v>0.136711045541902</v>
      </c>
      <c r="I14" s="10" t="n">
        <f aca="false">IF(AND(ISNUMBER(C14),ISNUMBER(C13)),LN(C14/C13),"")</f>
        <v>0.0204237587865697</v>
      </c>
      <c r="J14" s="10" t="n">
        <f aca="false">IF(AND(ISNUMBER(E14),ISNUMBER(E13)),LN(E14/E13),"")</f>
        <v>0.233132109197716</v>
      </c>
      <c r="K14" s="10" t="n">
        <f aca="false">IF(AND(ISNUMBER(F14),ISNUMBER(F13)),LN(F14/F13),"")</f>
        <v>0.123525598903603</v>
      </c>
    </row>
    <row r="15" customFormat="false" ht="15" hidden="false" customHeight="false" outlineLevel="0" collapsed="false">
      <c r="A15" s="3" t="s">
        <v>85</v>
      </c>
      <c r="B15" s="8" t="n">
        <v>5520</v>
      </c>
      <c r="C15" s="8" t="n">
        <v>1510</v>
      </c>
      <c r="D15" s="8" t="n">
        <v>1200</v>
      </c>
      <c r="E15" s="8" t="n">
        <v>559</v>
      </c>
      <c r="F15" s="3" t="n">
        <f aca="false">IF(COUNT(B15,C15,E15)=3,B15+C15+E15,"")</f>
        <v>7589</v>
      </c>
      <c r="G15" s="3"/>
      <c r="H15" s="10" t="n">
        <f aca="false">IF(AND(ISNUMBER(B15),ISNUMBER(B14)),LN(B15/B14),"")</f>
        <v>-0.132171773108483</v>
      </c>
      <c r="I15" s="10" t="n">
        <f aca="false">IF(AND(ISNUMBER(C15),ISNUMBER(C14)),LN(C15/C14),"")</f>
        <v>0.0864095111875311</v>
      </c>
      <c r="J15" s="10" t="n">
        <f aca="false">IF(AND(ISNUMBER(E15),ISNUMBER(E14)),LN(E15/E14),"")</f>
        <v>-0.1569578783021</v>
      </c>
      <c r="K15" s="10" t="n">
        <f aca="false">IF(AND(ISNUMBER(F15),ISNUMBER(F14)),LN(F15/F14),"")</f>
        <v>-0.0942434746830726</v>
      </c>
    </row>
    <row r="16" customFormat="false" ht="15" hidden="false" customHeight="false" outlineLevel="0" collapsed="false">
      <c r="A16" s="3" t="s">
        <v>86</v>
      </c>
      <c r="B16" s="8" t="n">
        <v>7118</v>
      </c>
      <c r="C16" s="8" t="n">
        <v>1803</v>
      </c>
      <c r="D16" s="8" t="n">
        <v>1473</v>
      </c>
      <c r="E16" s="8" t="n">
        <v>620</v>
      </c>
      <c r="F16" s="3" t="n">
        <f aca="false">IF(COUNT(B16,C16,E16)=3,B16+C16+E16,"")</f>
        <v>9541</v>
      </c>
      <c r="G16" s="3"/>
      <c r="H16" s="10" t="n">
        <f aca="false">IF(AND(ISNUMBER(B16),ISNUMBER(B15)),LN(B16/B15),"")</f>
        <v>0.254248926798997</v>
      </c>
      <c r="I16" s="10" t="n">
        <f aca="false">IF(AND(ISNUMBER(C16),ISNUMBER(C15)),LN(C16/C15),"")</f>
        <v>0.177342293394347</v>
      </c>
      <c r="J16" s="10" t="n">
        <f aca="false">IF(AND(ISNUMBER(E16),ISNUMBER(E15)),LN(E16/E15),"")</f>
        <v>0.103570004884038</v>
      </c>
      <c r="K16" s="10" t="n">
        <f aca="false">IF(AND(ISNUMBER(F16),ISNUMBER(F15)),LN(F16/F15),"")</f>
        <v>0.228898471347933</v>
      </c>
    </row>
    <row r="17" customFormat="false" ht="15" hidden="false" customHeight="false" outlineLevel="0" collapsed="false">
      <c r="A17" s="3" t="s">
        <v>87</v>
      </c>
      <c r="B17" s="8" t="n">
        <v>7323</v>
      </c>
      <c r="C17" s="8" t="n">
        <v>1217</v>
      </c>
      <c r="D17" s="8" t="n">
        <v>931</v>
      </c>
      <c r="E17" s="8" t="n">
        <v>754</v>
      </c>
      <c r="F17" s="3" t="n">
        <f aca="false">IF(COUNT(B17,C17,E17)=3,B17+C17+E17,"")</f>
        <v>9294</v>
      </c>
      <c r="G17" s="3"/>
      <c r="H17" s="10" t="n">
        <f aca="false">IF(AND(ISNUMBER(B17),ISNUMBER(B16)),LN(B17/B16),"")</f>
        <v>0.0283932929909319</v>
      </c>
      <c r="I17" s="10" t="n">
        <f aca="false">IF(AND(ISNUMBER(C17),ISNUMBER(C16)),LN(C17/C16),"")</f>
        <v>-0.39306313021579</v>
      </c>
      <c r="J17" s="10" t="n">
        <f aca="false">IF(AND(ISNUMBER(E17),ISNUMBER(E16)),LN(E17/E16),"")</f>
        <v>0.195672889968819</v>
      </c>
      <c r="K17" s="10" t="n">
        <f aca="false">IF(AND(ISNUMBER(F17),ISNUMBER(F16)),LN(F17/F16),"")</f>
        <v>-0.0262292711069222</v>
      </c>
    </row>
    <row r="18" customFormat="false" ht="15" hidden="false" customHeight="fals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customFormat="false" ht="15" hidden="false" customHeight="false" outlineLevel="0" collapsed="false">
      <c r="A19" s="3" t="s">
        <v>152</v>
      </c>
      <c r="B19" s="3"/>
      <c r="C19" s="3"/>
      <c r="D19" s="3"/>
      <c r="E19" s="3"/>
      <c r="F19" s="3"/>
      <c r="G19" s="3"/>
      <c r="H19" s="3"/>
      <c r="I19" s="3"/>
      <c r="J19" s="3"/>
      <c r="K19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O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3" min="2" style="0" width="14"/>
  </cols>
  <sheetData>
    <row r="1" customFormat="false" ht="15" hidden="false" customHeight="false" outlineLevel="0" collapsed="false">
      <c r="A1" s="4" t="s">
        <v>153</v>
      </c>
      <c r="B1" s="3"/>
      <c r="C1" s="1" t="s">
        <v>154</v>
      </c>
      <c r="D1" s="1" t="s">
        <v>154</v>
      </c>
      <c r="E1" s="1" t="s">
        <v>154</v>
      </c>
      <c r="F1" s="1" t="s">
        <v>154</v>
      </c>
      <c r="G1" s="1" t="s">
        <v>154</v>
      </c>
      <c r="H1" s="1" t="s">
        <v>154</v>
      </c>
      <c r="I1" s="1" t="s">
        <v>154</v>
      </c>
      <c r="J1" s="1" t="s">
        <v>154</v>
      </c>
      <c r="K1" s="1" t="s">
        <v>154</v>
      </c>
      <c r="L1" s="1" t="s">
        <v>154</v>
      </c>
      <c r="M1" s="1" t="s">
        <v>154</v>
      </c>
      <c r="N1" s="1" t="s">
        <v>154</v>
      </c>
      <c r="O1" s="1" t="s">
        <v>154</v>
      </c>
      <c r="P1" s="1" t="s">
        <v>155</v>
      </c>
      <c r="Q1" s="1" t="s">
        <v>155</v>
      </c>
      <c r="R1" s="1" t="s">
        <v>155</v>
      </c>
      <c r="S1" s="1" t="s">
        <v>155</v>
      </c>
      <c r="T1" s="1" t="s">
        <v>155</v>
      </c>
      <c r="U1" s="1" t="s">
        <v>155</v>
      </c>
      <c r="V1" s="1" t="s">
        <v>155</v>
      </c>
      <c r="W1" s="1" t="s">
        <v>155</v>
      </c>
      <c r="X1" s="1" t="s">
        <v>155</v>
      </c>
      <c r="Y1" s="1" t="s">
        <v>155</v>
      </c>
      <c r="Z1" s="1" t="s">
        <v>155</v>
      </c>
      <c r="AA1" s="1" t="s">
        <v>155</v>
      </c>
      <c r="AB1" s="1" t="s">
        <v>155</v>
      </c>
      <c r="AC1" s="1" t="s">
        <v>156</v>
      </c>
      <c r="AD1" s="1" t="s">
        <v>156</v>
      </c>
      <c r="AE1" s="1" t="s">
        <v>156</v>
      </c>
      <c r="AF1" s="1" t="s">
        <v>156</v>
      </c>
      <c r="AG1" s="1" t="s">
        <v>156</v>
      </c>
      <c r="AH1" s="1" t="s">
        <v>156</v>
      </c>
      <c r="AI1" s="1" t="s">
        <v>156</v>
      </c>
      <c r="AJ1" s="1" t="s">
        <v>156</v>
      </c>
      <c r="AK1" s="1" t="s">
        <v>156</v>
      </c>
      <c r="AL1" s="1" t="s">
        <v>156</v>
      </c>
      <c r="AM1" s="1" t="s">
        <v>156</v>
      </c>
      <c r="AN1" s="1" t="s">
        <v>156</v>
      </c>
      <c r="AO1" s="1" t="s">
        <v>156</v>
      </c>
      <c r="AP1" s="1" t="s">
        <v>157</v>
      </c>
      <c r="AQ1" s="1" t="s">
        <v>157</v>
      </c>
      <c r="AR1" s="1" t="s">
        <v>157</v>
      </c>
      <c r="AS1" s="1" t="s">
        <v>157</v>
      </c>
      <c r="AT1" s="1" t="s">
        <v>157</v>
      </c>
      <c r="AU1" s="1" t="s">
        <v>157</v>
      </c>
      <c r="AV1" s="1" t="s">
        <v>157</v>
      </c>
      <c r="AW1" s="1" t="s">
        <v>157</v>
      </c>
      <c r="AX1" s="1" t="s">
        <v>157</v>
      </c>
      <c r="AY1" s="1" t="s">
        <v>157</v>
      </c>
      <c r="AZ1" s="1" t="s">
        <v>157</v>
      </c>
      <c r="BA1" s="1" t="s">
        <v>157</v>
      </c>
      <c r="BB1" s="1" t="s">
        <v>157</v>
      </c>
      <c r="BC1" s="1" t="s">
        <v>97</v>
      </c>
      <c r="BD1" s="1" t="s">
        <v>97</v>
      </c>
      <c r="BE1" s="1" t="s">
        <v>97</v>
      </c>
      <c r="BF1" s="1" t="s">
        <v>97</v>
      </c>
      <c r="BG1" s="1" t="s">
        <v>97</v>
      </c>
      <c r="BH1" s="1" t="s">
        <v>97</v>
      </c>
      <c r="BI1" s="1" t="s">
        <v>97</v>
      </c>
      <c r="BJ1" s="1" t="s">
        <v>97</v>
      </c>
      <c r="BK1" s="1" t="s">
        <v>97</v>
      </c>
      <c r="BL1" s="1" t="s">
        <v>97</v>
      </c>
      <c r="BM1" s="1" t="s">
        <v>97</v>
      </c>
      <c r="BN1" s="1" t="s">
        <v>97</v>
      </c>
      <c r="BO1" s="1" t="s">
        <v>97</v>
      </c>
    </row>
    <row r="2" customFormat="false" ht="15" hidden="false" customHeight="false" outlineLevel="0" collapsed="false">
      <c r="A2" s="3"/>
      <c r="B2" s="3"/>
      <c r="C2" s="3" t="n">
        <v>-6</v>
      </c>
      <c r="D2" s="3" t="n">
        <v>-5</v>
      </c>
      <c r="E2" s="3" t="n">
        <v>-4</v>
      </c>
      <c r="F2" s="3" t="n">
        <v>-3</v>
      </c>
      <c r="G2" s="3" t="n">
        <v>-2</v>
      </c>
      <c r="H2" s="3" t="n">
        <v>-1</v>
      </c>
      <c r="I2" s="3" t="n">
        <v>0</v>
      </c>
      <c r="J2" s="3" t="n">
        <v>1</v>
      </c>
      <c r="K2" s="3" t="n">
        <v>2</v>
      </c>
      <c r="L2" s="3" t="n">
        <v>3</v>
      </c>
      <c r="M2" s="3" t="n">
        <v>4</v>
      </c>
      <c r="N2" s="3" t="n">
        <v>5</v>
      </c>
      <c r="O2" s="3" t="n">
        <v>6</v>
      </c>
      <c r="P2" s="3" t="n">
        <v>-6</v>
      </c>
      <c r="Q2" s="3" t="n">
        <v>-5</v>
      </c>
      <c r="R2" s="3" t="n">
        <v>-4</v>
      </c>
      <c r="S2" s="3" t="n">
        <v>-3</v>
      </c>
      <c r="T2" s="3" t="n">
        <v>-2</v>
      </c>
      <c r="U2" s="3" t="n">
        <v>-1</v>
      </c>
      <c r="V2" s="3" t="n">
        <v>0</v>
      </c>
      <c r="W2" s="3" t="n">
        <v>1</v>
      </c>
      <c r="X2" s="3" t="n">
        <v>2</v>
      </c>
      <c r="Y2" s="3" t="n">
        <v>3</v>
      </c>
      <c r="Z2" s="3" t="n">
        <v>4</v>
      </c>
      <c r="AA2" s="3" t="n">
        <v>5</v>
      </c>
      <c r="AB2" s="3" t="n">
        <v>6</v>
      </c>
      <c r="AC2" s="3" t="n">
        <v>-6</v>
      </c>
      <c r="AD2" s="3" t="n">
        <v>-5</v>
      </c>
      <c r="AE2" s="3" t="n">
        <v>-4</v>
      </c>
      <c r="AF2" s="3" t="n">
        <v>-3</v>
      </c>
      <c r="AG2" s="3" t="n">
        <v>-2</v>
      </c>
      <c r="AH2" s="3" t="n">
        <v>-1</v>
      </c>
      <c r="AI2" s="3" t="n">
        <v>0</v>
      </c>
      <c r="AJ2" s="3" t="n">
        <v>1</v>
      </c>
      <c r="AK2" s="3" t="n">
        <v>2</v>
      </c>
      <c r="AL2" s="3" t="n">
        <v>3</v>
      </c>
      <c r="AM2" s="3" t="n">
        <v>4</v>
      </c>
      <c r="AN2" s="3" t="n">
        <v>5</v>
      </c>
      <c r="AO2" s="3" t="n">
        <v>6</v>
      </c>
      <c r="AP2" s="3" t="n">
        <v>-6</v>
      </c>
      <c r="AQ2" s="3" t="n">
        <v>-5</v>
      </c>
      <c r="AR2" s="3" t="n">
        <v>-4</v>
      </c>
      <c r="AS2" s="3" t="n">
        <v>-3</v>
      </c>
      <c r="AT2" s="3" t="n">
        <v>-2</v>
      </c>
      <c r="AU2" s="3" t="n">
        <v>-1</v>
      </c>
      <c r="AV2" s="3" t="n">
        <v>0</v>
      </c>
      <c r="AW2" s="3" t="n">
        <v>1</v>
      </c>
      <c r="AX2" s="3" t="n">
        <v>2</v>
      </c>
      <c r="AY2" s="3" t="n">
        <v>3</v>
      </c>
      <c r="AZ2" s="3" t="n">
        <v>4</v>
      </c>
      <c r="BA2" s="3" t="n">
        <v>5</v>
      </c>
      <c r="BB2" s="3" t="n">
        <v>6</v>
      </c>
      <c r="BC2" s="3" t="n">
        <v>-6</v>
      </c>
      <c r="BD2" s="3" t="n">
        <v>-5</v>
      </c>
      <c r="BE2" s="3" t="n">
        <v>-4</v>
      </c>
      <c r="BF2" s="3" t="n">
        <v>-3</v>
      </c>
      <c r="BG2" s="3" t="n">
        <v>-2</v>
      </c>
      <c r="BH2" s="3" t="n">
        <v>-1</v>
      </c>
      <c r="BI2" s="3" t="n">
        <v>0</v>
      </c>
      <c r="BJ2" s="3" t="n">
        <v>1</v>
      </c>
      <c r="BK2" s="3" t="n">
        <v>2</v>
      </c>
      <c r="BL2" s="3" t="n">
        <v>3</v>
      </c>
      <c r="BM2" s="3" t="n">
        <v>4</v>
      </c>
      <c r="BN2" s="3" t="n">
        <v>5</v>
      </c>
      <c r="BO2" s="3" t="n">
        <v>6</v>
      </c>
    </row>
    <row r="3" customFormat="false" ht="15" hidden="false" customHeight="false" outlineLevel="0" collapsed="false">
      <c r="A3" s="9" t="s">
        <v>64</v>
      </c>
      <c r="B3" s="9" t="s">
        <v>158</v>
      </c>
      <c r="C3" s="1" t="s">
        <v>159</v>
      </c>
      <c r="D3" s="1" t="s">
        <v>160</v>
      </c>
      <c r="E3" s="1" t="s">
        <v>161</v>
      </c>
      <c r="F3" s="1" t="s">
        <v>162</v>
      </c>
      <c r="G3" s="1" t="s">
        <v>163</v>
      </c>
      <c r="H3" s="1" t="s">
        <v>164</v>
      </c>
      <c r="I3" s="1" t="s">
        <v>165</v>
      </c>
      <c r="J3" s="1" t="s">
        <v>166</v>
      </c>
      <c r="K3" s="1" t="s">
        <v>167</v>
      </c>
      <c r="L3" s="1" t="s">
        <v>168</v>
      </c>
      <c r="M3" s="1" t="s">
        <v>169</v>
      </c>
      <c r="N3" s="1" t="s">
        <v>170</v>
      </c>
      <c r="O3" s="1" t="s">
        <v>171</v>
      </c>
      <c r="P3" s="1" t="s">
        <v>172</v>
      </c>
      <c r="Q3" s="1" t="s">
        <v>173</v>
      </c>
      <c r="R3" s="1" t="s">
        <v>174</v>
      </c>
      <c r="S3" s="1" t="s">
        <v>175</v>
      </c>
      <c r="T3" s="1" t="s">
        <v>176</v>
      </c>
      <c r="U3" s="1" t="s">
        <v>177</v>
      </c>
      <c r="V3" s="1" t="s">
        <v>178</v>
      </c>
      <c r="W3" s="1" t="s">
        <v>179</v>
      </c>
      <c r="X3" s="1" t="s">
        <v>180</v>
      </c>
      <c r="Y3" s="1" t="s">
        <v>181</v>
      </c>
      <c r="Z3" s="1" t="s">
        <v>182</v>
      </c>
      <c r="AA3" s="1" t="s">
        <v>183</v>
      </c>
      <c r="AB3" s="1" t="s">
        <v>184</v>
      </c>
      <c r="AC3" s="1" t="s">
        <v>185</v>
      </c>
      <c r="AD3" s="1" t="s">
        <v>186</v>
      </c>
      <c r="AE3" s="1" t="s">
        <v>187</v>
      </c>
      <c r="AF3" s="1" t="s">
        <v>188</v>
      </c>
      <c r="AG3" s="1" t="s">
        <v>189</v>
      </c>
      <c r="AH3" s="1" t="s">
        <v>190</v>
      </c>
      <c r="AI3" s="1" t="s">
        <v>191</v>
      </c>
      <c r="AJ3" s="1" t="s">
        <v>192</v>
      </c>
      <c r="AK3" s="1" t="s">
        <v>193</v>
      </c>
      <c r="AL3" s="1" t="s">
        <v>194</v>
      </c>
      <c r="AM3" s="1" t="s">
        <v>195</v>
      </c>
      <c r="AN3" s="1" t="s">
        <v>196</v>
      </c>
      <c r="AO3" s="1" t="s">
        <v>197</v>
      </c>
      <c r="AP3" s="1" t="s">
        <v>198</v>
      </c>
      <c r="AQ3" s="1" t="s">
        <v>199</v>
      </c>
      <c r="AR3" s="1" t="s">
        <v>200</v>
      </c>
      <c r="AS3" s="1" t="s">
        <v>201</v>
      </c>
      <c r="AT3" s="1" t="s">
        <v>202</v>
      </c>
      <c r="AU3" s="1" t="s">
        <v>203</v>
      </c>
      <c r="AV3" s="1" t="s">
        <v>204</v>
      </c>
      <c r="AW3" s="1" t="s">
        <v>205</v>
      </c>
      <c r="AX3" s="1" t="s">
        <v>206</v>
      </c>
      <c r="AY3" s="1" t="s">
        <v>207</v>
      </c>
      <c r="AZ3" s="1" t="s">
        <v>208</v>
      </c>
      <c r="BA3" s="1" t="s">
        <v>209</v>
      </c>
      <c r="BB3" s="1" t="s">
        <v>210</v>
      </c>
      <c r="BC3" s="1" t="s">
        <v>211</v>
      </c>
      <c r="BD3" s="1" t="s">
        <v>212</v>
      </c>
      <c r="BE3" s="1" t="s">
        <v>213</v>
      </c>
      <c r="BF3" s="1" t="s">
        <v>214</v>
      </c>
      <c r="BG3" s="1" t="s">
        <v>215</v>
      </c>
      <c r="BH3" s="1" t="s">
        <v>216</v>
      </c>
      <c r="BI3" s="1" t="s">
        <v>217</v>
      </c>
      <c r="BJ3" s="1" t="s">
        <v>218</v>
      </c>
      <c r="BK3" s="1" t="s">
        <v>219</v>
      </c>
      <c r="BL3" s="1" t="s">
        <v>220</v>
      </c>
      <c r="BM3" s="1" t="s">
        <v>221</v>
      </c>
      <c r="BN3" s="1" t="s">
        <v>222</v>
      </c>
      <c r="BO3" s="1" t="s">
        <v>223</v>
      </c>
    </row>
    <row r="4" customFormat="false" ht="15" hidden="false" customHeight="false" outlineLevel="0" collapsed="false">
      <c r="A4" s="3" t="s">
        <v>74</v>
      </c>
      <c r="B4" s="3" t="n">
        <v>3</v>
      </c>
      <c r="C4" s="10" t="str">
        <f aca="false">IF(OR($B4+C$2-3&lt;1,$B4+C$2&gt;設定!$B$5),"",IFERROR(LN(INDEX(月次集計!$H$2:$H$45,$B4+C$2)/INDEX(月次集計!$H$2:$H$45,$B4+C$2-3)),""))</f>
        <v/>
      </c>
      <c r="D4" s="10" t="str">
        <f aca="false">IF(OR($B4+D$2-3&lt;1,$B4+D$2&gt;設定!$B$5),"",IFERROR(LN(INDEX(月次集計!$H$2:$H$45,$B4+D$2)/INDEX(月次集計!$H$2:$H$45,$B4+D$2-3)),""))</f>
        <v/>
      </c>
      <c r="E4" s="10" t="str">
        <f aca="false">IF(OR($B4+E$2-3&lt;1,$B4+E$2&gt;設定!$B$5),"",IFERROR(LN(INDEX(月次集計!$H$2:$H$45,$B4+E$2)/INDEX(月次集計!$H$2:$H$45,$B4+E$2-3)),""))</f>
        <v/>
      </c>
      <c r="F4" s="10" t="str">
        <f aca="false">IF(OR($B4+F$2-3&lt;1,$B4+F$2&gt;設定!$B$5),"",IFERROR(LN(INDEX(月次集計!$H$2:$H$45,$B4+F$2)/INDEX(月次集計!$H$2:$H$45,$B4+F$2-3)),""))</f>
        <v/>
      </c>
      <c r="G4" s="10" t="str">
        <f aca="false">IF(OR($B4+G$2-3&lt;1,$B4+G$2&gt;設定!$B$5),"",IFERROR(LN(INDEX(月次集計!$H$2:$H$45,$B4+G$2)/INDEX(月次集計!$H$2:$H$45,$B4+G$2-3)),""))</f>
        <v/>
      </c>
      <c r="H4" s="10" t="str">
        <f aca="false">IF(OR($B4+H$2-3&lt;1,$B4+H$2&gt;設定!$B$5),"",IFERROR(LN(INDEX(月次集計!$H$2:$H$45,$B4+H$2)/INDEX(月次集計!$H$2:$H$45,$B4+H$2-3)),""))</f>
        <v/>
      </c>
      <c r="I4" s="10" t="str">
        <f aca="false">IF(OR($B4+I$2-3&lt;1,$B4+I$2&gt;設定!$B$5),"",IFERROR(LN(INDEX(月次集計!$H$2:$H$45,$B4+I$2)/INDEX(月次集計!$H$2:$H$45,$B4+I$2-3)),""))</f>
        <v/>
      </c>
      <c r="J4" s="10" t="str">
        <f aca="false">IF(OR($B4+J$2-3&lt;1,$B4+J$2&gt;設定!$B$5),"",IFERROR(LN(INDEX(月次集計!$H$2:$H$45,$B4+J$2)/INDEX(月次集計!$H$2:$H$45,$B4+J$2-3)),""))</f>
        <v/>
      </c>
      <c r="K4" s="10" t="str">
        <f aca="false">IF(OR($B4+K$2-3&lt;1,$B4+K$2&gt;設定!$B$5),"",IFERROR(LN(INDEX(月次集計!$H$2:$H$45,$B4+K$2)/INDEX(月次集計!$H$2:$H$45,$B4+K$2-3)),""))</f>
        <v/>
      </c>
      <c r="L4" s="10" t="n">
        <f aca="false">IF(OR($B4+L$2-3&lt;1,$B4+L$2&gt;設定!$B$5),"",IFERROR(LN(INDEX(月次集計!$H$2:$H$45,$B4+L$2)/INDEX(月次集計!$H$2:$H$45,$B4+L$2-3)),""))</f>
        <v>0.0535825665296605</v>
      </c>
      <c r="M4" s="10" t="n">
        <f aca="false">IF(OR($B4+M$2-3&lt;1,$B4+M$2&gt;設定!$B$5),"",IFERROR(LN(INDEX(月次集計!$H$2:$H$45,$B4+M$2)/INDEX(月次集計!$H$2:$H$45,$B4+M$2-3)),""))</f>
        <v>-0.0798001878548836</v>
      </c>
      <c r="N4" s="10" t="n">
        <f aca="false">IF(OR($B4+N$2-3&lt;1,$B4+N$2&gt;設定!$B$5),"",IFERROR(LN(INDEX(月次集計!$H$2:$H$45,$B4+N$2)/INDEX(月次集計!$H$2:$H$45,$B4+N$2-3)),""))</f>
        <v>-0.185172548510913</v>
      </c>
      <c r="O4" s="10" t="n">
        <f aca="false">IF(OR($B4+O$2-3&lt;1,$B4+O$2&gt;設定!$B$5),"",IFERROR(LN(INDEX(月次集計!$H$2:$H$45,$B4+O$2)/INDEX(月次集計!$H$2:$H$45,$B4+O$2-3)),""))</f>
        <v>-0.259669251038164</v>
      </c>
      <c r="P4" s="10" t="str">
        <f aca="false">IF(OR($B4+P$2-3&lt;1,$B4+P$2&gt;設定!$B$5),"",IFERROR(LN(INDEX(月次集計!$I$2:$I$45,$B4+P$2)/INDEX(月次集計!$I$2:$I$45,$B4+P$2-3)),""))</f>
        <v/>
      </c>
      <c r="Q4" s="10" t="str">
        <f aca="false">IF(OR($B4+Q$2-3&lt;1,$B4+Q$2&gt;設定!$B$5),"",IFERROR(LN(INDEX(月次集計!$I$2:$I$45,$B4+Q$2)/INDEX(月次集計!$I$2:$I$45,$B4+Q$2-3)),""))</f>
        <v/>
      </c>
      <c r="R4" s="10" t="str">
        <f aca="false">IF(OR($B4+R$2-3&lt;1,$B4+R$2&gt;設定!$B$5),"",IFERROR(LN(INDEX(月次集計!$I$2:$I$45,$B4+R$2)/INDEX(月次集計!$I$2:$I$45,$B4+R$2-3)),""))</f>
        <v/>
      </c>
      <c r="S4" s="10" t="str">
        <f aca="false">IF(OR($B4+S$2-3&lt;1,$B4+S$2&gt;設定!$B$5),"",IFERROR(LN(INDEX(月次集計!$I$2:$I$45,$B4+S$2)/INDEX(月次集計!$I$2:$I$45,$B4+S$2-3)),""))</f>
        <v/>
      </c>
      <c r="T4" s="10" t="str">
        <f aca="false">IF(OR($B4+T$2-3&lt;1,$B4+T$2&gt;設定!$B$5),"",IFERROR(LN(INDEX(月次集計!$I$2:$I$45,$B4+T$2)/INDEX(月次集計!$I$2:$I$45,$B4+T$2-3)),""))</f>
        <v/>
      </c>
      <c r="U4" s="10" t="str">
        <f aca="false">IF(OR($B4+U$2-3&lt;1,$B4+U$2&gt;設定!$B$5),"",IFERROR(LN(INDEX(月次集計!$I$2:$I$45,$B4+U$2)/INDEX(月次集計!$I$2:$I$45,$B4+U$2-3)),""))</f>
        <v/>
      </c>
      <c r="V4" s="10" t="str">
        <f aca="false">IF(OR($B4+V$2-3&lt;1,$B4+V$2&gt;設定!$B$5),"",IFERROR(LN(INDEX(月次集計!$I$2:$I$45,$B4+V$2)/INDEX(月次集計!$I$2:$I$45,$B4+V$2-3)),""))</f>
        <v/>
      </c>
      <c r="W4" s="10" t="str">
        <f aca="false">IF(OR($B4+W$2-3&lt;1,$B4+W$2&gt;設定!$B$5),"",IFERROR(LN(INDEX(月次集計!$I$2:$I$45,$B4+W$2)/INDEX(月次集計!$I$2:$I$45,$B4+W$2-3)),""))</f>
        <v/>
      </c>
      <c r="X4" s="10" t="str">
        <f aca="false">IF(OR($B4+X$2-3&lt;1,$B4+X$2&gt;設定!$B$5),"",IFERROR(LN(INDEX(月次集計!$I$2:$I$45,$B4+X$2)/INDEX(月次集計!$I$2:$I$45,$B4+X$2-3)),""))</f>
        <v/>
      </c>
      <c r="Y4" s="10" t="n">
        <f aca="false">IF(OR($B4+Y$2-3&lt;1,$B4+Y$2&gt;設定!$B$5),"",IFERROR(LN(INDEX(月次集計!$I$2:$I$45,$B4+Y$2)/INDEX(月次集計!$I$2:$I$45,$B4+Y$2-3)),""))</f>
        <v>-0.292918641896598</v>
      </c>
      <c r="Z4" s="10" t="n">
        <f aca="false">IF(OR($B4+Z$2-3&lt;1,$B4+Z$2&gt;設定!$B$5),"",IFERROR(LN(INDEX(月次集計!$I$2:$I$45,$B4+Z$2)/INDEX(月次集計!$I$2:$I$45,$B4+Z$2-3)),""))</f>
        <v>-0.248033157481234</v>
      </c>
      <c r="AA4" s="10" t="n">
        <f aca="false">IF(OR($B4+AA$2-3&lt;1,$B4+AA$2&gt;設定!$B$5),"",IFERROR(LN(INDEX(月次集計!$I$2:$I$45,$B4+AA$2)/INDEX(月次集計!$I$2:$I$45,$B4+AA$2-3)),""))</f>
        <v>-0.576862230970403</v>
      </c>
      <c r="AB4" s="10" t="n">
        <f aca="false">IF(OR($B4+AB$2-3&lt;1,$B4+AB$2&gt;設定!$B$5),"",IFERROR(LN(INDEX(月次集計!$I$2:$I$45,$B4+AB$2)/INDEX(月次集計!$I$2:$I$45,$B4+AB$2-3)),""))</f>
        <v>-0.573862643799501</v>
      </c>
      <c r="AC4" s="10" t="str">
        <f aca="false">IF(OR($B4+AC$2-3&lt;1,$B4+AC$2&gt;設定!$B$5),"",IFERROR(LN(INDEX(月次集計!$J$2:$J$45,$B4+AC$2)/INDEX(月次集計!$J$2:$J$45,$B4+AC$2-3)),""))</f>
        <v/>
      </c>
      <c r="AD4" s="10" t="str">
        <f aca="false">IF(OR($B4+AD$2-3&lt;1,$B4+AD$2&gt;設定!$B$5),"",IFERROR(LN(INDEX(月次集計!$J$2:$J$45,$B4+AD$2)/INDEX(月次集計!$J$2:$J$45,$B4+AD$2-3)),""))</f>
        <v/>
      </c>
      <c r="AE4" s="10" t="str">
        <f aca="false">IF(OR($B4+AE$2-3&lt;1,$B4+AE$2&gt;設定!$B$5),"",IFERROR(LN(INDEX(月次集計!$J$2:$J$45,$B4+AE$2)/INDEX(月次集計!$J$2:$J$45,$B4+AE$2-3)),""))</f>
        <v/>
      </c>
      <c r="AF4" s="10" t="str">
        <f aca="false">IF(OR($B4+AF$2-3&lt;1,$B4+AF$2&gt;設定!$B$5),"",IFERROR(LN(INDEX(月次集計!$J$2:$J$45,$B4+AF$2)/INDEX(月次集計!$J$2:$J$45,$B4+AF$2-3)),""))</f>
        <v/>
      </c>
      <c r="AG4" s="10" t="str">
        <f aca="false">IF(OR($B4+AG$2-3&lt;1,$B4+AG$2&gt;設定!$B$5),"",IFERROR(LN(INDEX(月次集計!$J$2:$J$45,$B4+AG$2)/INDEX(月次集計!$J$2:$J$45,$B4+AG$2-3)),""))</f>
        <v/>
      </c>
      <c r="AH4" s="10" t="str">
        <f aca="false">IF(OR($B4+AH$2-3&lt;1,$B4+AH$2&gt;設定!$B$5),"",IFERROR(LN(INDEX(月次集計!$J$2:$J$45,$B4+AH$2)/INDEX(月次集計!$J$2:$J$45,$B4+AH$2-3)),""))</f>
        <v/>
      </c>
      <c r="AI4" s="10" t="str">
        <f aca="false">IF(OR($B4+AI$2-3&lt;1,$B4+AI$2&gt;設定!$B$5),"",IFERROR(LN(INDEX(月次集計!$J$2:$J$45,$B4+AI$2)/INDEX(月次集計!$J$2:$J$45,$B4+AI$2-3)),""))</f>
        <v/>
      </c>
      <c r="AJ4" s="10" t="str">
        <f aca="false">IF(OR($B4+AJ$2-3&lt;1,$B4+AJ$2&gt;設定!$B$5),"",IFERROR(LN(INDEX(月次集計!$J$2:$J$45,$B4+AJ$2)/INDEX(月次集計!$J$2:$J$45,$B4+AJ$2-3)),""))</f>
        <v/>
      </c>
      <c r="AK4" s="10" t="str">
        <f aca="false">IF(OR($B4+AK$2-3&lt;1,$B4+AK$2&gt;設定!$B$5),"",IFERROR(LN(INDEX(月次集計!$J$2:$J$45,$B4+AK$2)/INDEX(月次集計!$J$2:$J$45,$B4+AK$2-3)),""))</f>
        <v/>
      </c>
      <c r="AL4" s="10" t="n">
        <f aca="false">IF(OR($B4+AL$2-3&lt;1,$B4+AL$2&gt;設定!$B$5),"",IFERROR(LN(INDEX(月次集計!$J$2:$J$45,$B4+AL$2)/INDEX(月次集計!$J$2:$J$45,$B4+AL$2-3)),""))</f>
        <v>0.442155002207861</v>
      </c>
      <c r="AM4" s="10" t="n">
        <f aca="false">IF(OR($B4+AM$2-3&lt;1,$B4+AM$2&gt;設定!$B$5),"",IFERROR(LN(INDEX(月次集計!$J$2:$J$45,$B4+AM$2)/INDEX(月次集計!$J$2:$J$45,$B4+AM$2-3)),""))</f>
        <v>0.0879132445725611</v>
      </c>
      <c r="AN4" s="10" t="n">
        <f aca="false">IF(OR($B4+AN$2-3&lt;1,$B4+AN$2&gt;設定!$B$5),"",IFERROR(LN(INDEX(月次集計!$J$2:$J$45,$B4+AN$2)/INDEX(月次集計!$J$2:$J$45,$B4+AN$2-3)),""))</f>
        <v>-0.397128713588899</v>
      </c>
      <c r="AO4" s="10" t="n">
        <f aca="false">IF(OR($B4+AO$2-3&lt;1,$B4+AO$2&gt;設定!$B$5),"",IFERROR(LN(INDEX(月次集計!$J$2:$J$45,$B4+AO$2)/INDEX(月次集計!$J$2:$J$45,$B4+AO$2-3)),""))</f>
        <v>-0.59726620542033</v>
      </c>
      <c r="AP4" s="10" t="str">
        <f aca="false">IF(OR($B4+AP$2-3&lt;1,$B4+AP$2&gt;設定!$B$5),"",IFERROR(LN(INDEX(月次集計!$K$2:$K$45,$B4+AP$2)/INDEX(月次集計!$K$2:$K$45,$B4+AP$2-3)),""))</f>
        <v/>
      </c>
      <c r="AQ4" s="10" t="str">
        <f aca="false">IF(OR($B4+AQ$2-3&lt;1,$B4+AQ$2&gt;設定!$B$5),"",IFERROR(LN(INDEX(月次集計!$K$2:$K$45,$B4+AQ$2)/INDEX(月次集計!$K$2:$K$45,$B4+AQ$2-3)),""))</f>
        <v/>
      </c>
      <c r="AR4" s="10" t="str">
        <f aca="false">IF(OR($B4+AR$2-3&lt;1,$B4+AR$2&gt;設定!$B$5),"",IFERROR(LN(INDEX(月次集計!$K$2:$K$45,$B4+AR$2)/INDEX(月次集計!$K$2:$K$45,$B4+AR$2-3)),""))</f>
        <v/>
      </c>
      <c r="AS4" s="10" t="str">
        <f aca="false">IF(OR($B4+AS$2-3&lt;1,$B4+AS$2&gt;設定!$B$5),"",IFERROR(LN(INDEX(月次集計!$K$2:$K$45,$B4+AS$2)/INDEX(月次集計!$K$2:$K$45,$B4+AS$2-3)),""))</f>
        <v/>
      </c>
      <c r="AT4" s="10" t="str">
        <f aca="false">IF(OR($B4+AT$2-3&lt;1,$B4+AT$2&gt;設定!$B$5),"",IFERROR(LN(INDEX(月次集計!$K$2:$K$45,$B4+AT$2)/INDEX(月次集計!$K$2:$K$45,$B4+AT$2-3)),""))</f>
        <v/>
      </c>
      <c r="AU4" s="10" t="str">
        <f aca="false">IF(OR($B4+AU$2-3&lt;1,$B4+AU$2&gt;設定!$B$5),"",IFERROR(LN(INDEX(月次集計!$K$2:$K$45,$B4+AU$2)/INDEX(月次集計!$K$2:$K$45,$B4+AU$2-3)),""))</f>
        <v/>
      </c>
      <c r="AV4" s="10" t="str">
        <f aca="false">IF(OR($B4+AV$2-3&lt;1,$B4+AV$2&gt;設定!$B$5),"",IFERROR(LN(INDEX(月次集計!$K$2:$K$45,$B4+AV$2)/INDEX(月次集計!$K$2:$K$45,$B4+AV$2-3)),""))</f>
        <v/>
      </c>
      <c r="AW4" s="10" t="str">
        <f aca="false">IF(OR($B4+AW$2-3&lt;1,$B4+AW$2&gt;設定!$B$5),"",IFERROR(LN(INDEX(月次集計!$K$2:$K$45,$B4+AW$2)/INDEX(月次集計!$K$2:$K$45,$B4+AW$2-3)),""))</f>
        <v/>
      </c>
      <c r="AX4" s="10" t="str">
        <f aca="false">IF(OR($B4+AX$2-3&lt;1,$B4+AX$2&gt;設定!$B$5),"",IFERROR(LN(INDEX(月次集計!$K$2:$K$45,$B4+AX$2)/INDEX(月次集計!$K$2:$K$45,$B4+AX$2-3)),""))</f>
        <v/>
      </c>
      <c r="AY4" s="10" t="n">
        <f aca="false">IF(OR($B4+AY$2-3&lt;1,$B4+AY$2&gt;設定!$B$5),"",IFERROR(LN(INDEX(月次集計!$K$2:$K$45,$B4+AY$2)/INDEX(月次集計!$K$2:$K$45,$B4+AY$2-3)),""))</f>
        <v>0.0567950259574382</v>
      </c>
      <c r="AZ4" s="10" t="str">
        <f aca="false">IF(OR($B4+AZ$2-3&lt;1,$B4+AZ$2&gt;設定!$B$5),"",IFERROR(LN(INDEX(月次集計!$K$2:$K$45,$B4+AZ$2)/INDEX(月次集計!$K$2:$K$45,$B4+AZ$2-3)),""))</f>
        <v/>
      </c>
      <c r="BA4" s="10" t="str">
        <f aca="false">IF(OR($B4+BA$2-3&lt;1,$B4+BA$2&gt;設定!$B$5),"",IFERROR(LN(INDEX(月次集計!$K$2:$K$45,$B4+BA$2)/INDEX(月次集計!$K$2:$K$45,$B4+BA$2-3)),""))</f>
        <v/>
      </c>
      <c r="BB4" s="10" t="str">
        <f aca="false">IF(OR($B4+BB$2-3&lt;1,$B4+BB$2&gt;設定!$B$5),"",IFERROR(LN(INDEX(月次集計!$K$2:$K$45,$B4+BB$2)/INDEX(月次集計!$K$2:$K$45,$B4+BB$2-3)),""))</f>
        <v/>
      </c>
      <c r="BC4" s="10" t="str">
        <f aca="false">IF(OR($B4+BC$2-3&lt;1,$B4+BC$2&gt;設定!$B$5),"",IFERROR(LN(INDEX(月次集計!$L$2:$L$45,$B4+BC$2)/INDEX(月次集計!$L$2:$L$45,$B4+BC$2-3)),""))</f>
        <v/>
      </c>
      <c r="BD4" s="10" t="str">
        <f aca="false">IF(OR($B4+BD$2-3&lt;1,$B4+BD$2&gt;設定!$B$5),"",IFERROR(LN(INDEX(月次集計!$L$2:$L$45,$B4+BD$2)/INDEX(月次集計!$L$2:$L$45,$B4+BD$2-3)),""))</f>
        <v/>
      </c>
      <c r="BE4" s="10" t="str">
        <f aca="false">IF(OR($B4+BE$2-3&lt;1,$B4+BE$2&gt;設定!$B$5),"",IFERROR(LN(INDEX(月次集計!$L$2:$L$45,$B4+BE$2)/INDEX(月次集計!$L$2:$L$45,$B4+BE$2-3)),""))</f>
        <v/>
      </c>
      <c r="BF4" s="10" t="str">
        <f aca="false">IF(OR($B4+BF$2-3&lt;1,$B4+BF$2&gt;設定!$B$5),"",IFERROR(LN(INDEX(月次集計!$L$2:$L$45,$B4+BF$2)/INDEX(月次集計!$L$2:$L$45,$B4+BF$2-3)),""))</f>
        <v/>
      </c>
      <c r="BG4" s="10" t="str">
        <f aca="false">IF(OR($B4+BG$2-3&lt;1,$B4+BG$2&gt;設定!$B$5),"",IFERROR(LN(INDEX(月次集計!$L$2:$L$45,$B4+BG$2)/INDEX(月次集計!$L$2:$L$45,$B4+BG$2-3)),""))</f>
        <v/>
      </c>
      <c r="BH4" s="10" t="str">
        <f aca="false">IF(OR($B4+BH$2-3&lt;1,$B4+BH$2&gt;設定!$B$5),"",IFERROR(LN(INDEX(月次集計!$L$2:$L$45,$B4+BH$2)/INDEX(月次集計!$L$2:$L$45,$B4+BH$2-3)),""))</f>
        <v/>
      </c>
      <c r="BI4" s="10" t="str">
        <f aca="false">IF(OR($B4+BI$2-3&lt;1,$B4+BI$2&gt;設定!$B$5),"",IFERROR(LN(INDEX(月次集計!$L$2:$L$45,$B4+BI$2)/INDEX(月次集計!$L$2:$L$45,$B4+BI$2-3)),""))</f>
        <v/>
      </c>
      <c r="BJ4" s="10" t="str">
        <f aca="false">IF(OR($B4+BJ$2-3&lt;1,$B4+BJ$2&gt;設定!$B$5),"",IFERROR(LN(INDEX(月次集計!$L$2:$L$45,$B4+BJ$2)/INDEX(月次集計!$L$2:$L$45,$B4+BJ$2-3)),""))</f>
        <v/>
      </c>
      <c r="BK4" s="10" t="str">
        <f aca="false">IF(OR($B4+BK$2-3&lt;1,$B4+BK$2&gt;設定!$B$5),"",IFERROR(LN(INDEX(月次集計!$L$2:$L$45,$B4+BK$2)/INDEX(月次集計!$L$2:$L$45,$B4+BK$2-3)),""))</f>
        <v/>
      </c>
      <c r="BL4" s="10" t="n">
        <f aca="false">IF(OR($B4+BL$2-3&lt;1,$B4+BL$2&gt;設定!$B$5),"",IFERROR(LN(INDEX(月次集計!$L$2:$L$45,$B4+BL$2)/INDEX(月次集計!$L$2:$L$45,$B4+BL$2-3)),""))</f>
        <v>-0.00242890342713161</v>
      </c>
      <c r="BM4" s="10" t="n">
        <f aca="false">IF(OR($B4+BM$2-3&lt;1,$B4+BM$2&gt;設定!$B$5),"",IFERROR(LN(INDEX(月次集計!$L$2:$L$45,$B4+BM$2)/INDEX(月次集計!$L$2:$L$45,$B4+BM$2-3)),""))</f>
        <v>-0.10427951644388</v>
      </c>
      <c r="BN4" s="10" t="n">
        <f aca="false">IF(OR($B4+BN$2-3&lt;1,$B4+BN$2&gt;設定!$B$5),"",IFERROR(LN(INDEX(月次集計!$L$2:$L$45,$B4+BN$2)/INDEX(月次集計!$L$2:$L$45,$B4+BN$2-3)),""))</f>
        <v>-0.368013544351602</v>
      </c>
      <c r="BO4" s="10" t="n">
        <f aca="false">IF(OR($B4+BO$2-3&lt;1,$B4+BO$2&gt;設定!$B$5),"",IFERROR(LN(INDEX(月次集計!$L$2:$L$45,$B4+BO$2)/INDEX(月次集計!$L$2:$L$45,$B4+BO$2-3)),""))</f>
        <v>-0.442659429098227</v>
      </c>
    </row>
    <row r="5" customFormat="false" ht="15" hidden="false" customHeight="false" outlineLevel="0" collapsed="false">
      <c r="A5" s="3" t="s">
        <v>75</v>
      </c>
      <c r="B5" s="3" t="n">
        <v>6</v>
      </c>
      <c r="C5" s="10" t="str">
        <f aca="false">IF(OR($B5+C$2-3&lt;1,$B5+C$2&gt;設定!$B$5),"",IFERROR(LN(INDEX(月次集計!$H$2:$H$45,$B5+C$2)/INDEX(月次集計!$H$2:$H$45,$B5+C$2-3)),""))</f>
        <v/>
      </c>
      <c r="D5" s="10" t="str">
        <f aca="false">IF(OR($B5+D$2-3&lt;1,$B5+D$2&gt;設定!$B$5),"",IFERROR(LN(INDEX(月次集計!$H$2:$H$45,$B5+D$2)/INDEX(月次集計!$H$2:$H$45,$B5+D$2-3)),""))</f>
        <v/>
      </c>
      <c r="E5" s="10" t="str">
        <f aca="false">IF(OR($B5+E$2-3&lt;1,$B5+E$2&gt;設定!$B$5),"",IFERROR(LN(INDEX(月次集計!$H$2:$H$45,$B5+E$2)/INDEX(月次集計!$H$2:$H$45,$B5+E$2-3)),""))</f>
        <v/>
      </c>
      <c r="F5" s="10" t="str">
        <f aca="false">IF(OR($B5+F$2-3&lt;1,$B5+F$2&gt;設定!$B$5),"",IFERROR(LN(INDEX(月次集計!$H$2:$H$45,$B5+F$2)/INDEX(月次集計!$H$2:$H$45,$B5+F$2-3)),""))</f>
        <v/>
      </c>
      <c r="G5" s="10" t="str">
        <f aca="false">IF(OR($B5+G$2-3&lt;1,$B5+G$2&gt;設定!$B$5),"",IFERROR(LN(INDEX(月次集計!$H$2:$H$45,$B5+G$2)/INDEX(月次集計!$H$2:$H$45,$B5+G$2-3)),""))</f>
        <v/>
      </c>
      <c r="H5" s="10" t="str">
        <f aca="false">IF(OR($B5+H$2-3&lt;1,$B5+H$2&gt;設定!$B$5),"",IFERROR(LN(INDEX(月次集計!$H$2:$H$45,$B5+H$2)/INDEX(月次集計!$H$2:$H$45,$B5+H$2-3)),""))</f>
        <v/>
      </c>
      <c r="I5" s="10" t="n">
        <f aca="false">IF(OR($B5+I$2-3&lt;1,$B5+I$2&gt;設定!$B$5),"",IFERROR(LN(INDEX(月次集計!$H$2:$H$45,$B5+I$2)/INDEX(月次集計!$H$2:$H$45,$B5+I$2-3)),""))</f>
        <v>0.0535825665296605</v>
      </c>
      <c r="J5" s="10" t="n">
        <f aca="false">IF(OR($B5+J$2-3&lt;1,$B5+J$2&gt;設定!$B$5),"",IFERROR(LN(INDEX(月次集計!$H$2:$H$45,$B5+J$2)/INDEX(月次集計!$H$2:$H$45,$B5+J$2-3)),""))</f>
        <v>-0.0798001878548836</v>
      </c>
      <c r="K5" s="10" t="n">
        <f aca="false">IF(OR($B5+K$2-3&lt;1,$B5+K$2&gt;設定!$B$5),"",IFERROR(LN(INDEX(月次集計!$H$2:$H$45,$B5+K$2)/INDEX(月次集計!$H$2:$H$45,$B5+K$2-3)),""))</f>
        <v>-0.185172548510913</v>
      </c>
      <c r="L5" s="10" t="n">
        <f aca="false">IF(OR($B5+L$2-3&lt;1,$B5+L$2&gt;設定!$B$5),"",IFERROR(LN(INDEX(月次集計!$H$2:$H$45,$B5+L$2)/INDEX(月次集計!$H$2:$H$45,$B5+L$2-3)),""))</f>
        <v>-0.259669251038164</v>
      </c>
      <c r="M5" s="10" t="n">
        <f aca="false">IF(OR($B5+M$2-3&lt;1,$B5+M$2&gt;設定!$B$5),"",IFERROR(LN(INDEX(月次集計!$H$2:$H$45,$B5+M$2)/INDEX(月次集計!$H$2:$H$45,$B5+M$2-3)),""))</f>
        <v>-0.421187968802266</v>
      </c>
      <c r="N5" s="10" t="n">
        <f aca="false">IF(OR($B5+N$2-3&lt;1,$B5+N$2&gt;設定!$B$5),"",IFERROR(LN(INDEX(月次集計!$H$2:$H$45,$B5+N$2)/INDEX(月次集計!$H$2:$H$45,$B5+N$2-3)),""))</f>
        <v>-0.309503949895582</v>
      </c>
      <c r="O5" s="10" t="n">
        <f aca="false">IF(OR($B5+O$2-3&lt;1,$B5+O$2&gt;設定!$B$5),"",IFERROR(LN(INDEX(月次集計!$H$2:$H$45,$B5+O$2)/INDEX(月次集計!$H$2:$H$45,$B5+O$2-3)),""))</f>
        <v>-0.136048509400258</v>
      </c>
      <c r="P5" s="10" t="str">
        <f aca="false">IF(OR($B5+P$2-3&lt;1,$B5+P$2&gt;設定!$B$5),"",IFERROR(LN(INDEX(月次集計!$I$2:$I$45,$B5+P$2)/INDEX(月次集計!$I$2:$I$45,$B5+P$2-3)),""))</f>
        <v/>
      </c>
      <c r="Q5" s="10" t="str">
        <f aca="false">IF(OR($B5+Q$2-3&lt;1,$B5+Q$2&gt;設定!$B$5),"",IFERROR(LN(INDEX(月次集計!$I$2:$I$45,$B5+Q$2)/INDEX(月次集計!$I$2:$I$45,$B5+Q$2-3)),""))</f>
        <v/>
      </c>
      <c r="R5" s="10" t="str">
        <f aca="false">IF(OR($B5+R$2-3&lt;1,$B5+R$2&gt;設定!$B$5),"",IFERROR(LN(INDEX(月次集計!$I$2:$I$45,$B5+R$2)/INDEX(月次集計!$I$2:$I$45,$B5+R$2-3)),""))</f>
        <v/>
      </c>
      <c r="S5" s="10" t="str">
        <f aca="false">IF(OR($B5+S$2-3&lt;1,$B5+S$2&gt;設定!$B$5),"",IFERROR(LN(INDEX(月次集計!$I$2:$I$45,$B5+S$2)/INDEX(月次集計!$I$2:$I$45,$B5+S$2-3)),""))</f>
        <v/>
      </c>
      <c r="T5" s="10" t="str">
        <f aca="false">IF(OR($B5+T$2-3&lt;1,$B5+T$2&gt;設定!$B$5),"",IFERROR(LN(INDEX(月次集計!$I$2:$I$45,$B5+T$2)/INDEX(月次集計!$I$2:$I$45,$B5+T$2-3)),""))</f>
        <v/>
      </c>
      <c r="U5" s="10" t="str">
        <f aca="false">IF(OR($B5+U$2-3&lt;1,$B5+U$2&gt;設定!$B$5),"",IFERROR(LN(INDEX(月次集計!$I$2:$I$45,$B5+U$2)/INDEX(月次集計!$I$2:$I$45,$B5+U$2-3)),""))</f>
        <v/>
      </c>
      <c r="V5" s="10" t="n">
        <f aca="false">IF(OR($B5+V$2-3&lt;1,$B5+V$2&gt;設定!$B$5),"",IFERROR(LN(INDEX(月次集計!$I$2:$I$45,$B5+V$2)/INDEX(月次集計!$I$2:$I$45,$B5+V$2-3)),""))</f>
        <v>-0.292918641896598</v>
      </c>
      <c r="W5" s="10" t="n">
        <f aca="false">IF(OR($B5+W$2-3&lt;1,$B5+W$2&gt;設定!$B$5),"",IFERROR(LN(INDEX(月次集計!$I$2:$I$45,$B5+W$2)/INDEX(月次集計!$I$2:$I$45,$B5+W$2-3)),""))</f>
        <v>-0.248033157481234</v>
      </c>
      <c r="X5" s="10" t="n">
        <f aca="false">IF(OR($B5+X$2-3&lt;1,$B5+X$2&gt;設定!$B$5),"",IFERROR(LN(INDEX(月次集計!$I$2:$I$45,$B5+X$2)/INDEX(月次集計!$I$2:$I$45,$B5+X$2-3)),""))</f>
        <v>-0.576862230970403</v>
      </c>
      <c r="Y5" s="10" t="n">
        <f aca="false">IF(OR($B5+Y$2-3&lt;1,$B5+Y$2&gt;設定!$B$5),"",IFERROR(LN(INDEX(月次集計!$I$2:$I$45,$B5+Y$2)/INDEX(月次集計!$I$2:$I$45,$B5+Y$2-3)),""))</f>
        <v>-0.573862643799501</v>
      </c>
      <c r="Z5" s="10" t="n">
        <f aca="false">IF(OR($B5+Z$2-3&lt;1,$B5+Z$2&gt;設定!$B$5),"",IFERROR(LN(INDEX(月次集計!$I$2:$I$45,$B5+Z$2)/INDEX(月次集計!$I$2:$I$45,$B5+Z$2-3)),""))</f>
        <v>-0.589086443459578</v>
      </c>
      <c r="AA5" s="10" t="n">
        <f aca="false">IF(OR($B5+AA$2-3&lt;1,$B5+AA$2&gt;設定!$B$5),"",IFERROR(LN(INDEX(月次集計!$I$2:$I$45,$B5+AA$2)/INDEX(月次集計!$I$2:$I$45,$B5+AA$2-3)),""))</f>
        <v>-0.128209421538562</v>
      </c>
      <c r="AB5" s="10" t="n">
        <f aca="false">IF(OR($B5+AB$2-3&lt;1,$B5+AB$2&gt;設定!$B$5),"",IFERROR(LN(INDEX(月次集計!$I$2:$I$45,$B5+AB$2)/INDEX(月次集計!$I$2:$I$45,$B5+AB$2-3)),""))</f>
        <v>0.194050999713644</v>
      </c>
      <c r="AC5" s="10" t="str">
        <f aca="false">IF(OR($B5+AC$2-3&lt;1,$B5+AC$2&gt;設定!$B$5),"",IFERROR(LN(INDEX(月次集計!$J$2:$J$45,$B5+AC$2)/INDEX(月次集計!$J$2:$J$45,$B5+AC$2-3)),""))</f>
        <v/>
      </c>
      <c r="AD5" s="10" t="str">
        <f aca="false">IF(OR($B5+AD$2-3&lt;1,$B5+AD$2&gt;設定!$B$5),"",IFERROR(LN(INDEX(月次集計!$J$2:$J$45,$B5+AD$2)/INDEX(月次集計!$J$2:$J$45,$B5+AD$2-3)),""))</f>
        <v/>
      </c>
      <c r="AE5" s="10" t="str">
        <f aca="false">IF(OR($B5+AE$2-3&lt;1,$B5+AE$2&gt;設定!$B$5),"",IFERROR(LN(INDEX(月次集計!$J$2:$J$45,$B5+AE$2)/INDEX(月次集計!$J$2:$J$45,$B5+AE$2-3)),""))</f>
        <v/>
      </c>
      <c r="AF5" s="10" t="str">
        <f aca="false">IF(OR($B5+AF$2-3&lt;1,$B5+AF$2&gt;設定!$B$5),"",IFERROR(LN(INDEX(月次集計!$J$2:$J$45,$B5+AF$2)/INDEX(月次集計!$J$2:$J$45,$B5+AF$2-3)),""))</f>
        <v/>
      </c>
      <c r="AG5" s="10" t="str">
        <f aca="false">IF(OR($B5+AG$2-3&lt;1,$B5+AG$2&gt;設定!$B$5),"",IFERROR(LN(INDEX(月次集計!$J$2:$J$45,$B5+AG$2)/INDEX(月次集計!$J$2:$J$45,$B5+AG$2-3)),""))</f>
        <v/>
      </c>
      <c r="AH5" s="10" t="str">
        <f aca="false">IF(OR($B5+AH$2-3&lt;1,$B5+AH$2&gt;設定!$B$5),"",IFERROR(LN(INDEX(月次集計!$J$2:$J$45,$B5+AH$2)/INDEX(月次集計!$J$2:$J$45,$B5+AH$2-3)),""))</f>
        <v/>
      </c>
      <c r="AI5" s="10" t="n">
        <f aca="false">IF(OR($B5+AI$2-3&lt;1,$B5+AI$2&gt;設定!$B$5),"",IFERROR(LN(INDEX(月次集計!$J$2:$J$45,$B5+AI$2)/INDEX(月次集計!$J$2:$J$45,$B5+AI$2-3)),""))</f>
        <v>0.442155002207861</v>
      </c>
      <c r="AJ5" s="10" t="n">
        <f aca="false">IF(OR($B5+AJ$2-3&lt;1,$B5+AJ$2&gt;設定!$B$5),"",IFERROR(LN(INDEX(月次集計!$J$2:$J$45,$B5+AJ$2)/INDEX(月次集計!$J$2:$J$45,$B5+AJ$2-3)),""))</f>
        <v>0.0879132445725611</v>
      </c>
      <c r="AK5" s="10" t="n">
        <f aca="false">IF(OR($B5+AK$2-3&lt;1,$B5+AK$2&gt;設定!$B$5),"",IFERROR(LN(INDEX(月次集計!$J$2:$J$45,$B5+AK$2)/INDEX(月次集計!$J$2:$J$45,$B5+AK$2-3)),""))</f>
        <v>-0.397128713588899</v>
      </c>
      <c r="AL5" s="10" t="n">
        <f aca="false">IF(OR($B5+AL$2-3&lt;1,$B5+AL$2&gt;設定!$B$5),"",IFERROR(LN(INDEX(月次集計!$J$2:$J$45,$B5+AL$2)/INDEX(月次集計!$J$2:$J$45,$B5+AL$2-3)),""))</f>
        <v>-0.59726620542033</v>
      </c>
      <c r="AM5" s="10" t="n">
        <f aca="false">IF(OR($B5+AM$2-3&lt;1,$B5+AM$2&gt;設定!$B$5),"",IFERROR(LN(INDEX(月次集計!$J$2:$J$45,$B5+AM$2)/INDEX(月次集計!$J$2:$J$45,$B5+AM$2-3)),""))</f>
        <v>-0.475105833460269</v>
      </c>
      <c r="AN5" s="10" t="n">
        <f aca="false">IF(OR($B5+AN$2-3&lt;1,$B5+AN$2&gt;設定!$B$5),"",IFERROR(LN(INDEX(月次集計!$J$2:$J$45,$B5+AN$2)/INDEX(月次集計!$J$2:$J$45,$B5+AN$2-3)),""))</f>
        <v>-0.292548061572332</v>
      </c>
      <c r="AO5" s="10" t="n">
        <f aca="false">IF(OR($B5+AO$2-3&lt;1,$B5+AO$2&gt;設定!$B$5),"",IFERROR(LN(INDEX(月次集計!$J$2:$J$45,$B5+AO$2)/INDEX(月次集計!$J$2:$J$45,$B5+AO$2-3)),""))</f>
        <v>-0.262735730240925</v>
      </c>
      <c r="AP5" s="10" t="str">
        <f aca="false">IF(OR($B5+AP$2-3&lt;1,$B5+AP$2&gt;設定!$B$5),"",IFERROR(LN(INDEX(月次集計!$K$2:$K$45,$B5+AP$2)/INDEX(月次集計!$K$2:$K$45,$B5+AP$2-3)),""))</f>
        <v/>
      </c>
      <c r="AQ5" s="10" t="str">
        <f aca="false">IF(OR($B5+AQ$2-3&lt;1,$B5+AQ$2&gt;設定!$B$5),"",IFERROR(LN(INDEX(月次集計!$K$2:$K$45,$B5+AQ$2)/INDEX(月次集計!$K$2:$K$45,$B5+AQ$2-3)),""))</f>
        <v/>
      </c>
      <c r="AR5" s="10" t="str">
        <f aca="false">IF(OR($B5+AR$2-3&lt;1,$B5+AR$2&gt;設定!$B$5),"",IFERROR(LN(INDEX(月次集計!$K$2:$K$45,$B5+AR$2)/INDEX(月次集計!$K$2:$K$45,$B5+AR$2-3)),""))</f>
        <v/>
      </c>
      <c r="AS5" s="10" t="str">
        <f aca="false">IF(OR($B5+AS$2-3&lt;1,$B5+AS$2&gt;設定!$B$5),"",IFERROR(LN(INDEX(月次集計!$K$2:$K$45,$B5+AS$2)/INDEX(月次集計!$K$2:$K$45,$B5+AS$2-3)),""))</f>
        <v/>
      </c>
      <c r="AT5" s="10" t="str">
        <f aca="false">IF(OR($B5+AT$2-3&lt;1,$B5+AT$2&gt;設定!$B$5),"",IFERROR(LN(INDEX(月次集計!$K$2:$K$45,$B5+AT$2)/INDEX(月次集計!$K$2:$K$45,$B5+AT$2-3)),""))</f>
        <v/>
      </c>
      <c r="AU5" s="10" t="str">
        <f aca="false">IF(OR($B5+AU$2-3&lt;1,$B5+AU$2&gt;設定!$B$5),"",IFERROR(LN(INDEX(月次集計!$K$2:$K$45,$B5+AU$2)/INDEX(月次集計!$K$2:$K$45,$B5+AU$2-3)),""))</f>
        <v/>
      </c>
      <c r="AV5" s="10" t="n">
        <f aca="false">IF(OR($B5+AV$2-3&lt;1,$B5+AV$2&gt;設定!$B$5),"",IFERROR(LN(INDEX(月次集計!$K$2:$K$45,$B5+AV$2)/INDEX(月次集計!$K$2:$K$45,$B5+AV$2-3)),""))</f>
        <v>0.0567950259574382</v>
      </c>
      <c r="AW5" s="10" t="str">
        <f aca="false">IF(OR($B5+AW$2-3&lt;1,$B5+AW$2&gt;設定!$B$5),"",IFERROR(LN(INDEX(月次集計!$K$2:$K$45,$B5+AW$2)/INDEX(月次集計!$K$2:$K$45,$B5+AW$2-3)),""))</f>
        <v/>
      </c>
      <c r="AX5" s="10" t="str">
        <f aca="false">IF(OR($B5+AX$2-3&lt;1,$B5+AX$2&gt;設定!$B$5),"",IFERROR(LN(INDEX(月次集計!$K$2:$K$45,$B5+AX$2)/INDEX(月次集計!$K$2:$K$45,$B5+AX$2-3)),""))</f>
        <v/>
      </c>
      <c r="AY5" s="10" t="str">
        <f aca="false">IF(OR($B5+AY$2-3&lt;1,$B5+AY$2&gt;設定!$B$5),"",IFERROR(LN(INDEX(月次集計!$K$2:$K$45,$B5+AY$2)/INDEX(月次集計!$K$2:$K$45,$B5+AY$2-3)),""))</f>
        <v/>
      </c>
      <c r="AZ5" s="10" t="str">
        <f aca="false">IF(OR($B5+AZ$2-3&lt;1,$B5+AZ$2&gt;設定!$B$5),"",IFERROR(LN(INDEX(月次集計!$K$2:$K$45,$B5+AZ$2)/INDEX(月次集計!$K$2:$K$45,$B5+AZ$2-3)),""))</f>
        <v/>
      </c>
      <c r="BA5" s="10" t="str">
        <f aca="false">IF(OR($B5+BA$2-3&lt;1,$B5+BA$2&gt;設定!$B$5),"",IFERROR(LN(INDEX(月次集計!$K$2:$K$45,$B5+BA$2)/INDEX(月次集計!$K$2:$K$45,$B5+BA$2-3)),""))</f>
        <v/>
      </c>
      <c r="BB5" s="10" t="str">
        <f aca="false">IF(OR($B5+BB$2-3&lt;1,$B5+BB$2&gt;設定!$B$5),"",IFERROR(LN(INDEX(月次集計!$K$2:$K$45,$B5+BB$2)/INDEX(月次集計!$K$2:$K$45,$B5+BB$2-3)),""))</f>
        <v/>
      </c>
      <c r="BC5" s="10" t="str">
        <f aca="false">IF(OR($B5+BC$2-3&lt;1,$B5+BC$2&gt;設定!$B$5),"",IFERROR(LN(INDEX(月次集計!$L$2:$L$45,$B5+BC$2)/INDEX(月次集計!$L$2:$L$45,$B5+BC$2-3)),""))</f>
        <v/>
      </c>
      <c r="BD5" s="10" t="str">
        <f aca="false">IF(OR($B5+BD$2-3&lt;1,$B5+BD$2&gt;設定!$B$5),"",IFERROR(LN(INDEX(月次集計!$L$2:$L$45,$B5+BD$2)/INDEX(月次集計!$L$2:$L$45,$B5+BD$2-3)),""))</f>
        <v/>
      </c>
      <c r="BE5" s="10" t="str">
        <f aca="false">IF(OR($B5+BE$2-3&lt;1,$B5+BE$2&gt;設定!$B$5),"",IFERROR(LN(INDEX(月次集計!$L$2:$L$45,$B5+BE$2)/INDEX(月次集計!$L$2:$L$45,$B5+BE$2-3)),""))</f>
        <v/>
      </c>
      <c r="BF5" s="10" t="str">
        <f aca="false">IF(OR($B5+BF$2-3&lt;1,$B5+BF$2&gt;設定!$B$5),"",IFERROR(LN(INDEX(月次集計!$L$2:$L$45,$B5+BF$2)/INDEX(月次集計!$L$2:$L$45,$B5+BF$2-3)),""))</f>
        <v/>
      </c>
      <c r="BG5" s="10" t="str">
        <f aca="false">IF(OR($B5+BG$2-3&lt;1,$B5+BG$2&gt;設定!$B$5),"",IFERROR(LN(INDEX(月次集計!$L$2:$L$45,$B5+BG$2)/INDEX(月次集計!$L$2:$L$45,$B5+BG$2-3)),""))</f>
        <v/>
      </c>
      <c r="BH5" s="10" t="str">
        <f aca="false">IF(OR($B5+BH$2-3&lt;1,$B5+BH$2&gt;設定!$B$5),"",IFERROR(LN(INDEX(月次集計!$L$2:$L$45,$B5+BH$2)/INDEX(月次集計!$L$2:$L$45,$B5+BH$2-3)),""))</f>
        <v/>
      </c>
      <c r="BI5" s="10" t="n">
        <f aca="false">IF(OR($B5+BI$2-3&lt;1,$B5+BI$2&gt;設定!$B$5),"",IFERROR(LN(INDEX(月次集計!$L$2:$L$45,$B5+BI$2)/INDEX(月次集計!$L$2:$L$45,$B5+BI$2-3)),""))</f>
        <v>-0.00242890342713161</v>
      </c>
      <c r="BJ5" s="10" t="n">
        <f aca="false">IF(OR($B5+BJ$2-3&lt;1,$B5+BJ$2&gt;設定!$B$5),"",IFERROR(LN(INDEX(月次集計!$L$2:$L$45,$B5+BJ$2)/INDEX(月次集計!$L$2:$L$45,$B5+BJ$2-3)),""))</f>
        <v>-0.10427951644388</v>
      </c>
      <c r="BK5" s="10" t="n">
        <f aca="false">IF(OR($B5+BK$2-3&lt;1,$B5+BK$2&gt;設定!$B$5),"",IFERROR(LN(INDEX(月次集計!$L$2:$L$45,$B5+BK$2)/INDEX(月次集計!$L$2:$L$45,$B5+BK$2-3)),""))</f>
        <v>-0.368013544351602</v>
      </c>
      <c r="BL5" s="10" t="n">
        <f aca="false">IF(OR($B5+BL$2-3&lt;1,$B5+BL$2&gt;設定!$B$5),"",IFERROR(LN(INDEX(月次集計!$L$2:$L$45,$B5+BL$2)/INDEX(月次集計!$L$2:$L$45,$B5+BL$2-3)),""))</f>
        <v>-0.442659429098227</v>
      </c>
      <c r="BM5" s="10" t="n">
        <f aca="false">IF(OR($B5+BM$2-3&lt;1,$B5+BM$2&gt;設定!$B$5),"",IFERROR(LN(INDEX(月次集計!$L$2:$L$45,$B5+BM$2)/INDEX(月次集計!$L$2:$L$45,$B5+BM$2-3)),""))</f>
        <v>-0.489423800630456</v>
      </c>
      <c r="BN5" s="10" t="n">
        <f aca="false">IF(OR($B5+BN$2-3&lt;1,$B5+BN$2&gt;設定!$B$5),"",IFERROR(LN(INDEX(月次集計!$L$2:$L$45,$B5+BN$2)/INDEX(月次集計!$L$2:$L$45,$B5+BN$2-3)),""))</f>
        <v>-0.247633879147735</v>
      </c>
      <c r="BO5" s="10" t="n">
        <f aca="false">IF(OR($B5+BO$2-3&lt;1,$B5+BO$2&gt;設定!$B$5),"",IFERROR(LN(INDEX(月次集計!$L$2:$L$45,$B5+BO$2)/INDEX(月次集計!$L$2:$L$45,$B5+BO$2-3)),""))</f>
        <v>-0.049143958282034</v>
      </c>
    </row>
    <row r="6" customFormat="false" ht="15" hidden="false" customHeight="false" outlineLevel="0" collapsed="false">
      <c r="A6" s="3" t="s">
        <v>76</v>
      </c>
      <c r="B6" s="3" t="n">
        <v>9</v>
      </c>
      <c r="C6" s="10" t="str">
        <f aca="false">IF(OR($B6+C$2-3&lt;1,$B6+C$2&gt;設定!$B$5),"",IFERROR(LN(INDEX(月次集計!$H$2:$H$45,$B6+C$2)/INDEX(月次集計!$H$2:$H$45,$B6+C$2-3)),""))</f>
        <v/>
      </c>
      <c r="D6" s="10" t="str">
        <f aca="false">IF(OR($B6+D$2-3&lt;1,$B6+D$2&gt;設定!$B$5),"",IFERROR(LN(INDEX(月次集計!$H$2:$H$45,$B6+D$2)/INDEX(月次集計!$H$2:$H$45,$B6+D$2-3)),""))</f>
        <v/>
      </c>
      <c r="E6" s="10" t="str">
        <f aca="false">IF(OR($B6+E$2-3&lt;1,$B6+E$2&gt;設定!$B$5),"",IFERROR(LN(INDEX(月次集計!$H$2:$H$45,$B6+E$2)/INDEX(月次集計!$H$2:$H$45,$B6+E$2-3)),""))</f>
        <v/>
      </c>
      <c r="F6" s="10" t="n">
        <f aca="false">IF(OR($B6+F$2-3&lt;1,$B6+F$2&gt;設定!$B$5),"",IFERROR(LN(INDEX(月次集計!$H$2:$H$45,$B6+F$2)/INDEX(月次集計!$H$2:$H$45,$B6+F$2-3)),""))</f>
        <v>0.0535825665296605</v>
      </c>
      <c r="G6" s="10" t="n">
        <f aca="false">IF(OR($B6+G$2-3&lt;1,$B6+G$2&gt;設定!$B$5),"",IFERROR(LN(INDEX(月次集計!$H$2:$H$45,$B6+G$2)/INDEX(月次集計!$H$2:$H$45,$B6+G$2-3)),""))</f>
        <v>-0.0798001878548836</v>
      </c>
      <c r="H6" s="10" t="n">
        <f aca="false">IF(OR($B6+H$2-3&lt;1,$B6+H$2&gt;設定!$B$5),"",IFERROR(LN(INDEX(月次集計!$H$2:$H$45,$B6+H$2)/INDEX(月次集計!$H$2:$H$45,$B6+H$2-3)),""))</f>
        <v>-0.185172548510913</v>
      </c>
      <c r="I6" s="10" t="n">
        <f aca="false">IF(OR($B6+I$2-3&lt;1,$B6+I$2&gt;設定!$B$5),"",IFERROR(LN(INDEX(月次集計!$H$2:$H$45,$B6+I$2)/INDEX(月次集計!$H$2:$H$45,$B6+I$2-3)),""))</f>
        <v>-0.259669251038164</v>
      </c>
      <c r="J6" s="10" t="n">
        <f aca="false">IF(OR($B6+J$2-3&lt;1,$B6+J$2&gt;設定!$B$5),"",IFERROR(LN(INDEX(月次集計!$H$2:$H$45,$B6+J$2)/INDEX(月次集計!$H$2:$H$45,$B6+J$2-3)),""))</f>
        <v>-0.421187968802266</v>
      </c>
      <c r="K6" s="10" t="n">
        <f aca="false">IF(OR($B6+K$2-3&lt;1,$B6+K$2&gt;設定!$B$5),"",IFERROR(LN(INDEX(月次集計!$H$2:$H$45,$B6+K$2)/INDEX(月次集計!$H$2:$H$45,$B6+K$2-3)),""))</f>
        <v>-0.309503949895582</v>
      </c>
      <c r="L6" s="10" t="n">
        <f aca="false">IF(OR($B6+L$2-3&lt;1,$B6+L$2&gt;設定!$B$5),"",IFERROR(LN(INDEX(月次集計!$H$2:$H$45,$B6+L$2)/INDEX(月次集計!$H$2:$H$45,$B6+L$2-3)),""))</f>
        <v>-0.136048509400258</v>
      </c>
      <c r="M6" s="10" t="n">
        <f aca="false">IF(OR($B6+M$2-3&lt;1,$B6+M$2&gt;設定!$B$5),"",IFERROR(LN(INDEX(月次集計!$H$2:$H$45,$B6+M$2)/INDEX(月次集計!$H$2:$H$45,$B6+M$2-3)),""))</f>
        <v>0.206983270078474</v>
      </c>
      <c r="N6" s="10" t="n">
        <f aca="false">IF(OR($B6+N$2-3&lt;1,$B6+N$2&gt;設定!$B$5),"",IFERROR(LN(INDEX(月次集計!$H$2:$H$45,$B6+N$2)/INDEX(月次集計!$H$2:$H$45,$B6+N$2-3)),""))</f>
        <v>0.310806917091883</v>
      </c>
      <c r="O6" s="10" t="n">
        <f aca="false">IF(OR($B6+O$2-3&lt;1,$B6+O$2&gt;設定!$B$5),"",IFERROR(LN(INDEX(月次集計!$H$2:$H$45,$B6+O$2)/INDEX(月次集計!$H$2:$H$45,$B6+O$2-3)),""))</f>
        <v>0.316138367218135</v>
      </c>
      <c r="P6" s="10" t="str">
        <f aca="false">IF(OR($B6+P$2-3&lt;1,$B6+P$2&gt;設定!$B$5),"",IFERROR(LN(INDEX(月次集計!$I$2:$I$45,$B6+P$2)/INDEX(月次集計!$I$2:$I$45,$B6+P$2-3)),""))</f>
        <v/>
      </c>
      <c r="Q6" s="10" t="str">
        <f aca="false">IF(OR($B6+Q$2-3&lt;1,$B6+Q$2&gt;設定!$B$5),"",IFERROR(LN(INDEX(月次集計!$I$2:$I$45,$B6+Q$2)/INDEX(月次集計!$I$2:$I$45,$B6+Q$2-3)),""))</f>
        <v/>
      </c>
      <c r="R6" s="10" t="str">
        <f aca="false">IF(OR($B6+R$2-3&lt;1,$B6+R$2&gt;設定!$B$5),"",IFERROR(LN(INDEX(月次集計!$I$2:$I$45,$B6+R$2)/INDEX(月次集計!$I$2:$I$45,$B6+R$2-3)),""))</f>
        <v/>
      </c>
      <c r="S6" s="10" t="n">
        <f aca="false">IF(OR($B6+S$2-3&lt;1,$B6+S$2&gt;設定!$B$5),"",IFERROR(LN(INDEX(月次集計!$I$2:$I$45,$B6+S$2)/INDEX(月次集計!$I$2:$I$45,$B6+S$2-3)),""))</f>
        <v>-0.292918641896598</v>
      </c>
      <c r="T6" s="10" t="n">
        <f aca="false">IF(OR($B6+T$2-3&lt;1,$B6+T$2&gt;設定!$B$5),"",IFERROR(LN(INDEX(月次集計!$I$2:$I$45,$B6+T$2)/INDEX(月次集計!$I$2:$I$45,$B6+T$2-3)),""))</f>
        <v>-0.248033157481234</v>
      </c>
      <c r="U6" s="10" t="n">
        <f aca="false">IF(OR($B6+U$2-3&lt;1,$B6+U$2&gt;設定!$B$5),"",IFERROR(LN(INDEX(月次集計!$I$2:$I$45,$B6+U$2)/INDEX(月次集計!$I$2:$I$45,$B6+U$2-3)),""))</f>
        <v>-0.576862230970403</v>
      </c>
      <c r="V6" s="10" t="n">
        <f aca="false">IF(OR($B6+V$2-3&lt;1,$B6+V$2&gt;設定!$B$5),"",IFERROR(LN(INDEX(月次集計!$I$2:$I$45,$B6+V$2)/INDEX(月次集計!$I$2:$I$45,$B6+V$2-3)),""))</f>
        <v>-0.573862643799501</v>
      </c>
      <c r="W6" s="10" t="n">
        <f aca="false">IF(OR($B6+W$2-3&lt;1,$B6+W$2&gt;設定!$B$5),"",IFERROR(LN(INDEX(月次集計!$I$2:$I$45,$B6+W$2)/INDEX(月次集計!$I$2:$I$45,$B6+W$2-3)),""))</f>
        <v>-0.589086443459578</v>
      </c>
      <c r="X6" s="10" t="n">
        <f aca="false">IF(OR($B6+X$2-3&lt;1,$B6+X$2&gt;設定!$B$5),"",IFERROR(LN(INDEX(月次集計!$I$2:$I$45,$B6+X$2)/INDEX(月次集計!$I$2:$I$45,$B6+X$2-3)),""))</f>
        <v>-0.128209421538562</v>
      </c>
      <c r="Y6" s="10" t="n">
        <f aca="false">IF(OR($B6+Y$2-3&lt;1,$B6+Y$2&gt;設定!$B$5),"",IFERROR(LN(INDEX(月次集計!$I$2:$I$45,$B6+Y$2)/INDEX(月次集計!$I$2:$I$45,$B6+Y$2-3)),""))</f>
        <v>0.194050999713644</v>
      </c>
      <c r="Z6" s="10" t="n">
        <f aca="false">IF(OR($B6+Z$2-3&lt;1,$B6+Z$2&gt;設定!$B$5),"",IFERROR(LN(INDEX(月次集計!$I$2:$I$45,$B6+Z$2)/INDEX(月次集計!$I$2:$I$45,$B6+Z$2-3)),""))</f>
        <v>0.295454548750141</v>
      </c>
      <c r="AA6" s="10" t="n">
        <f aca="false">IF(OR($B6+AA$2-3&lt;1,$B6+AA$2&gt;設定!$B$5),"",IFERROR(LN(INDEX(月次集計!$I$2:$I$45,$B6+AA$2)/INDEX(月次集計!$I$2:$I$45,$B6+AA$2-3)),""))</f>
        <v>0.139228857175255</v>
      </c>
      <c r="AB6" s="10" t="n">
        <f aca="false">IF(OR($B6+AB$2-3&lt;1,$B6+AB$2&gt;設定!$B$5),"",IFERROR(LN(INDEX(月次集計!$I$2:$I$45,$B6+AB$2)/INDEX(月次集計!$I$2:$I$45,$B6+AB$2-3)),""))</f>
        <v>0.0214623681479303</v>
      </c>
      <c r="AC6" s="10" t="str">
        <f aca="false">IF(OR($B6+AC$2-3&lt;1,$B6+AC$2&gt;設定!$B$5),"",IFERROR(LN(INDEX(月次集計!$J$2:$J$45,$B6+AC$2)/INDEX(月次集計!$J$2:$J$45,$B6+AC$2-3)),""))</f>
        <v/>
      </c>
      <c r="AD6" s="10" t="str">
        <f aca="false">IF(OR($B6+AD$2-3&lt;1,$B6+AD$2&gt;設定!$B$5),"",IFERROR(LN(INDEX(月次集計!$J$2:$J$45,$B6+AD$2)/INDEX(月次集計!$J$2:$J$45,$B6+AD$2-3)),""))</f>
        <v/>
      </c>
      <c r="AE6" s="10" t="str">
        <f aca="false">IF(OR($B6+AE$2-3&lt;1,$B6+AE$2&gt;設定!$B$5),"",IFERROR(LN(INDEX(月次集計!$J$2:$J$45,$B6+AE$2)/INDEX(月次集計!$J$2:$J$45,$B6+AE$2-3)),""))</f>
        <v/>
      </c>
      <c r="AF6" s="10" t="n">
        <f aca="false">IF(OR($B6+AF$2-3&lt;1,$B6+AF$2&gt;設定!$B$5),"",IFERROR(LN(INDEX(月次集計!$J$2:$J$45,$B6+AF$2)/INDEX(月次集計!$J$2:$J$45,$B6+AF$2-3)),""))</f>
        <v>0.442155002207861</v>
      </c>
      <c r="AG6" s="10" t="n">
        <f aca="false">IF(OR($B6+AG$2-3&lt;1,$B6+AG$2&gt;設定!$B$5),"",IFERROR(LN(INDEX(月次集計!$J$2:$J$45,$B6+AG$2)/INDEX(月次集計!$J$2:$J$45,$B6+AG$2-3)),""))</f>
        <v>0.0879132445725611</v>
      </c>
      <c r="AH6" s="10" t="n">
        <f aca="false">IF(OR($B6+AH$2-3&lt;1,$B6+AH$2&gt;設定!$B$5),"",IFERROR(LN(INDEX(月次集計!$J$2:$J$45,$B6+AH$2)/INDEX(月次集計!$J$2:$J$45,$B6+AH$2-3)),""))</f>
        <v>-0.397128713588899</v>
      </c>
      <c r="AI6" s="10" t="n">
        <f aca="false">IF(OR($B6+AI$2-3&lt;1,$B6+AI$2&gt;設定!$B$5),"",IFERROR(LN(INDEX(月次集計!$J$2:$J$45,$B6+AI$2)/INDEX(月次集計!$J$2:$J$45,$B6+AI$2-3)),""))</f>
        <v>-0.59726620542033</v>
      </c>
      <c r="AJ6" s="10" t="n">
        <f aca="false">IF(OR($B6+AJ$2-3&lt;1,$B6+AJ$2&gt;設定!$B$5),"",IFERROR(LN(INDEX(月次集計!$J$2:$J$45,$B6+AJ$2)/INDEX(月次集計!$J$2:$J$45,$B6+AJ$2-3)),""))</f>
        <v>-0.475105833460269</v>
      </c>
      <c r="AK6" s="10" t="n">
        <f aca="false">IF(OR($B6+AK$2-3&lt;1,$B6+AK$2&gt;設定!$B$5),"",IFERROR(LN(INDEX(月次集計!$J$2:$J$45,$B6+AK$2)/INDEX(月次集計!$J$2:$J$45,$B6+AK$2-3)),""))</f>
        <v>-0.292548061572332</v>
      </c>
      <c r="AL6" s="10" t="n">
        <f aca="false">IF(OR($B6+AL$2-3&lt;1,$B6+AL$2&gt;設定!$B$5),"",IFERROR(LN(INDEX(月次集計!$J$2:$J$45,$B6+AL$2)/INDEX(月次集計!$J$2:$J$45,$B6+AL$2-3)),""))</f>
        <v>-0.262735730240925</v>
      </c>
      <c r="AM6" s="10" t="n">
        <f aca="false">IF(OR($B6+AM$2-3&lt;1,$B6+AM$2&gt;設定!$B$5),"",IFERROR(LN(INDEX(月次集計!$J$2:$J$45,$B6+AM$2)/INDEX(月次集計!$J$2:$J$45,$B6+AM$2-3)),""))</f>
        <v>-0.299963991570135</v>
      </c>
      <c r="AN6" s="10" t="n">
        <f aca="false">IF(OR($B6+AN$2-3&lt;1,$B6+AN$2&gt;設定!$B$5),"",IFERROR(LN(INDEX(月次集計!$J$2:$J$45,$B6+AN$2)/INDEX(月次集計!$J$2:$J$45,$B6+AN$2-3)),""))</f>
        <v>-0.172478766917852</v>
      </c>
      <c r="AO6" s="10" t="n">
        <f aca="false">IF(OR($B6+AO$2-3&lt;1,$B6+AO$2&gt;設定!$B$5),"",IFERROR(LN(INDEX(月次集計!$J$2:$J$45,$B6+AO$2)/INDEX(月次集計!$J$2:$J$45,$B6+AO$2-3)),""))</f>
        <v>0.27642101205102</v>
      </c>
      <c r="AP6" s="10" t="str">
        <f aca="false">IF(OR($B6+AP$2-3&lt;1,$B6+AP$2&gt;設定!$B$5),"",IFERROR(LN(INDEX(月次集計!$K$2:$K$45,$B6+AP$2)/INDEX(月次集計!$K$2:$K$45,$B6+AP$2-3)),""))</f>
        <v/>
      </c>
      <c r="AQ6" s="10" t="str">
        <f aca="false">IF(OR($B6+AQ$2-3&lt;1,$B6+AQ$2&gt;設定!$B$5),"",IFERROR(LN(INDEX(月次集計!$K$2:$K$45,$B6+AQ$2)/INDEX(月次集計!$K$2:$K$45,$B6+AQ$2-3)),""))</f>
        <v/>
      </c>
      <c r="AR6" s="10" t="str">
        <f aca="false">IF(OR($B6+AR$2-3&lt;1,$B6+AR$2&gt;設定!$B$5),"",IFERROR(LN(INDEX(月次集計!$K$2:$K$45,$B6+AR$2)/INDEX(月次集計!$K$2:$K$45,$B6+AR$2-3)),""))</f>
        <v/>
      </c>
      <c r="AS6" s="10" t="n">
        <f aca="false">IF(OR($B6+AS$2-3&lt;1,$B6+AS$2&gt;設定!$B$5),"",IFERROR(LN(INDEX(月次集計!$K$2:$K$45,$B6+AS$2)/INDEX(月次集計!$K$2:$K$45,$B6+AS$2-3)),""))</f>
        <v>0.0567950259574382</v>
      </c>
      <c r="AT6" s="10" t="str">
        <f aca="false">IF(OR($B6+AT$2-3&lt;1,$B6+AT$2&gt;設定!$B$5),"",IFERROR(LN(INDEX(月次集計!$K$2:$K$45,$B6+AT$2)/INDEX(月次集計!$K$2:$K$45,$B6+AT$2-3)),""))</f>
        <v/>
      </c>
      <c r="AU6" s="10" t="str">
        <f aca="false">IF(OR($B6+AU$2-3&lt;1,$B6+AU$2&gt;設定!$B$5),"",IFERROR(LN(INDEX(月次集計!$K$2:$K$45,$B6+AU$2)/INDEX(月次集計!$K$2:$K$45,$B6+AU$2-3)),""))</f>
        <v/>
      </c>
      <c r="AV6" s="10" t="str">
        <f aca="false">IF(OR($B6+AV$2-3&lt;1,$B6+AV$2&gt;設定!$B$5),"",IFERROR(LN(INDEX(月次集計!$K$2:$K$45,$B6+AV$2)/INDEX(月次集計!$K$2:$K$45,$B6+AV$2-3)),""))</f>
        <v/>
      </c>
      <c r="AW6" s="10" t="str">
        <f aca="false">IF(OR($B6+AW$2-3&lt;1,$B6+AW$2&gt;設定!$B$5),"",IFERROR(LN(INDEX(月次集計!$K$2:$K$45,$B6+AW$2)/INDEX(月次集計!$K$2:$K$45,$B6+AW$2-3)),""))</f>
        <v/>
      </c>
      <c r="AX6" s="10" t="str">
        <f aca="false">IF(OR($B6+AX$2-3&lt;1,$B6+AX$2&gt;設定!$B$5),"",IFERROR(LN(INDEX(月次集計!$K$2:$K$45,$B6+AX$2)/INDEX(月次集計!$K$2:$K$45,$B6+AX$2-3)),""))</f>
        <v/>
      </c>
      <c r="AY6" s="10" t="str">
        <f aca="false">IF(OR($B6+AY$2-3&lt;1,$B6+AY$2&gt;設定!$B$5),"",IFERROR(LN(INDEX(月次集計!$K$2:$K$45,$B6+AY$2)/INDEX(月次集計!$K$2:$K$45,$B6+AY$2-3)),""))</f>
        <v/>
      </c>
      <c r="AZ6" s="10" t="n">
        <f aca="false">IF(OR($B6+AZ$2-3&lt;1,$B6+AZ$2&gt;設定!$B$5),"",IFERROR(LN(INDEX(月次集計!$K$2:$K$45,$B6+AZ$2)/INDEX(月次集計!$K$2:$K$45,$B6+AZ$2-3)),""))</f>
        <v>0.078689643315472</v>
      </c>
      <c r="BA6" s="10" t="n">
        <f aca="false">IF(OR($B6+BA$2-3&lt;1,$B6+BA$2&gt;設定!$B$5),"",IFERROR(LN(INDEX(月次集計!$K$2:$K$45,$B6+BA$2)/INDEX(月次集計!$K$2:$K$45,$B6+BA$2-3)),""))</f>
        <v>-0.0661033142088548</v>
      </c>
      <c r="BB6" s="10" t="n">
        <f aca="false">IF(OR($B6+BB$2-3&lt;1,$B6+BB$2&gt;設定!$B$5),"",IFERROR(LN(INDEX(月次集計!$K$2:$K$45,$B6+BB$2)/INDEX(月次集計!$K$2:$K$45,$B6+BB$2-3)),""))</f>
        <v>-0.0494068482755424</v>
      </c>
      <c r="BC6" s="10" t="str">
        <f aca="false">IF(OR($B6+BC$2-3&lt;1,$B6+BC$2&gt;設定!$B$5),"",IFERROR(LN(INDEX(月次集計!$L$2:$L$45,$B6+BC$2)/INDEX(月次集計!$L$2:$L$45,$B6+BC$2-3)),""))</f>
        <v/>
      </c>
      <c r="BD6" s="10" t="str">
        <f aca="false">IF(OR($B6+BD$2-3&lt;1,$B6+BD$2&gt;設定!$B$5),"",IFERROR(LN(INDEX(月次集計!$L$2:$L$45,$B6+BD$2)/INDEX(月次集計!$L$2:$L$45,$B6+BD$2-3)),""))</f>
        <v/>
      </c>
      <c r="BE6" s="10" t="str">
        <f aca="false">IF(OR($B6+BE$2-3&lt;1,$B6+BE$2&gt;設定!$B$5),"",IFERROR(LN(INDEX(月次集計!$L$2:$L$45,$B6+BE$2)/INDEX(月次集計!$L$2:$L$45,$B6+BE$2-3)),""))</f>
        <v/>
      </c>
      <c r="BF6" s="10" t="n">
        <f aca="false">IF(OR($B6+BF$2-3&lt;1,$B6+BF$2&gt;設定!$B$5),"",IFERROR(LN(INDEX(月次集計!$L$2:$L$45,$B6+BF$2)/INDEX(月次集計!$L$2:$L$45,$B6+BF$2-3)),""))</f>
        <v>-0.00242890342713161</v>
      </c>
      <c r="BG6" s="10" t="n">
        <f aca="false">IF(OR($B6+BG$2-3&lt;1,$B6+BG$2&gt;設定!$B$5),"",IFERROR(LN(INDEX(月次集計!$L$2:$L$45,$B6+BG$2)/INDEX(月次集計!$L$2:$L$45,$B6+BG$2-3)),""))</f>
        <v>-0.10427951644388</v>
      </c>
      <c r="BH6" s="10" t="n">
        <f aca="false">IF(OR($B6+BH$2-3&lt;1,$B6+BH$2&gt;設定!$B$5),"",IFERROR(LN(INDEX(月次集計!$L$2:$L$45,$B6+BH$2)/INDEX(月次集計!$L$2:$L$45,$B6+BH$2-3)),""))</f>
        <v>-0.368013544351602</v>
      </c>
      <c r="BI6" s="10" t="n">
        <f aca="false">IF(OR($B6+BI$2-3&lt;1,$B6+BI$2&gt;設定!$B$5),"",IFERROR(LN(INDEX(月次集計!$L$2:$L$45,$B6+BI$2)/INDEX(月次集計!$L$2:$L$45,$B6+BI$2-3)),""))</f>
        <v>-0.442659429098227</v>
      </c>
      <c r="BJ6" s="10" t="n">
        <f aca="false">IF(OR($B6+BJ$2-3&lt;1,$B6+BJ$2&gt;設定!$B$5),"",IFERROR(LN(INDEX(月次集計!$L$2:$L$45,$B6+BJ$2)/INDEX(月次集計!$L$2:$L$45,$B6+BJ$2-3)),""))</f>
        <v>-0.489423800630456</v>
      </c>
      <c r="BK6" s="10" t="n">
        <f aca="false">IF(OR($B6+BK$2-3&lt;1,$B6+BK$2&gt;設定!$B$5),"",IFERROR(LN(INDEX(月次集計!$L$2:$L$45,$B6+BK$2)/INDEX(月次集計!$L$2:$L$45,$B6+BK$2-3)),""))</f>
        <v>-0.247633879147735</v>
      </c>
      <c r="BL6" s="10" t="n">
        <f aca="false">IF(OR($B6+BL$2-3&lt;1,$B6+BL$2&gt;設定!$B$5),"",IFERROR(LN(INDEX(月次集計!$L$2:$L$45,$B6+BL$2)/INDEX(月次集計!$L$2:$L$45,$B6+BL$2-3)),""))</f>
        <v>-0.049143958282034</v>
      </c>
      <c r="BM6" s="10" t="n">
        <f aca="false">IF(OR($B6+BM$2-3&lt;1,$B6+BM$2&gt;設定!$B$5),"",IFERROR(LN(INDEX(月次集計!$L$2:$L$45,$B6+BM$2)/INDEX(月次集計!$L$2:$L$45,$B6+BM$2-3)),""))</f>
        <v>0.133624963636994</v>
      </c>
      <c r="BN6" s="10" t="n">
        <f aca="false">IF(OR($B6+BN$2-3&lt;1,$B6+BN$2&gt;設定!$B$5),"",IFERROR(LN(INDEX(月次集計!$L$2:$L$45,$B6+BN$2)/INDEX(月次集計!$L$2:$L$45,$B6+BN$2-3)),""))</f>
        <v>0.158656052147804</v>
      </c>
      <c r="BO6" s="10" t="n">
        <f aca="false">IF(OR($B6+BO$2-3&lt;1,$B6+BO$2&gt;設定!$B$5),"",IFERROR(LN(INDEX(月次集計!$L$2:$L$45,$B6+BO$2)/INDEX(月次集計!$L$2:$L$45,$B6+BO$2-3)),""))</f>
        <v>0.205444074362875</v>
      </c>
    </row>
    <row r="7" customFormat="false" ht="15" hidden="false" customHeight="false" outlineLevel="0" collapsed="false">
      <c r="A7" s="3" t="s">
        <v>77</v>
      </c>
      <c r="B7" s="3" t="n">
        <v>12</v>
      </c>
      <c r="C7" s="10" t="n">
        <f aca="false">IF(OR($B7+C$2-3&lt;1,$B7+C$2&gt;設定!$B$5),"",IFERROR(LN(INDEX(月次集計!$H$2:$H$45,$B7+C$2)/INDEX(月次集計!$H$2:$H$45,$B7+C$2-3)),""))</f>
        <v>0.0535825665296605</v>
      </c>
      <c r="D7" s="10" t="n">
        <f aca="false">IF(OR($B7+D$2-3&lt;1,$B7+D$2&gt;設定!$B$5),"",IFERROR(LN(INDEX(月次集計!$H$2:$H$45,$B7+D$2)/INDEX(月次集計!$H$2:$H$45,$B7+D$2-3)),""))</f>
        <v>-0.0798001878548836</v>
      </c>
      <c r="E7" s="10" t="n">
        <f aca="false">IF(OR($B7+E$2-3&lt;1,$B7+E$2&gt;設定!$B$5),"",IFERROR(LN(INDEX(月次集計!$H$2:$H$45,$B7+E$2)/INDEX(月次集計!$H$2:$H$45,$B7+E$2-3)),""))</f>
        <v>-0.185172548510913</v>
      </c>
      <c r="F7" s="10" t="n">
        <f aca="false">IF(OR($B7+F$2-3&lt;1,$B7+F$2&gt;設定!$B$5),"",IFERROR(LN(INDEX(月次集計!$H$2:$H$45,$B7+F$2)/INDEX(月次集計!$H$2:$H$45,$B7+F$2-3)),""))</f>
        <v>-0.259669251038164</v>
      </c>
      <c r="G7" s="10" t="n">
        <f aca="false">IF(OR($B7+G$2-3&lt;1,$B7+G$2&gt;設定!$B$5),"",IFERROR(LN(INDEX(月次集計!$H$2:$H$45,$B7+G$2)/INDEX(月次集計!$H$2:$H$45,$B7+G$2-3)),""))</f>
        <v>-0.421187968802266</v>
      </c>
      <c r="H7" s="10" t="n">
        <f aca="false">IF(OR($B7+H$2-3&lt;1,$B7+H$2&gt;設定!$B$5),"",IFERROR(LN(INDEX(月次集計!$H$2:$H$45,$B7+H$2)/INDEX(月次集計!$H$2:$H$45,$B7+H$2-3)),""))</f>
        <v>-0.309503949895582</v>
      </c>
      <c r="I7" s="10" t="n">
        <f aca="false">IF(OR($B7+I$2-3&lt;1,$B7+I$2&gt;設定!$B$5),"",IFERROR(LN(INDEX(月次集計!$H$2:$H$45,$B7+I$2)/INDEX(月次集計!$H$2:$H$45,$B7+I$2-3)),""))</f>
        <v>-0.136048509400258</v>
      </c>
      <c r="J7" s="10" t="n">
        <f aca="false">IF(OR($B7+J$2-3&lt;1,$B7+J$2&gt;設定!$B$5),"",IFERROR(LN(INDEX(月次集計!$H$2:$H$45,$B7+J$2)/INDEX(月次集計!$H$2:$H$45,$B7+J$2-3)),""))</f>
        <v>0.206983270078474</v>
      </c>
      <c r="K7" s="10" t="n">
        <f aca="false">IF(OR($B7+K$2-3&lt;1,$B7+K$2&gt;設定!$B$5),"",IFERROR(LN(INDEX(月次集計!$H$2:$H$45,$B7+K$2)/INDEX(月次集計!$H$2:$H$45,$B7+K$2-3)),""))</f>
        <v>0.310806917091883</v>
      </c>
      <c r="L7" s="10" t="n">
        <f aca="false">IF(OR($B7+L$2-3&lt;1,$B7+L$2&gt;設定!$B$5),"",IFERROR(LN(INDEX(月次集計!$H$2:$H$45,$B7+L$2)/INDEX(月次集計!$H$2:$H$45,$B7+L$2-3)),""))</f>
        <v>0.316138367218135</v>
      </c>
      <c r="M7" s="10" t="n">
        <f aca="false">IF(OR($B7+M$2-3&lt;1,$B7+M$2&gt;設定!$B$5),"",IFERROR(LN(INDEX(月次集計!$H$2:$H$45,$B7+M$2)/INDEX(月次集計!$H$2:$H$45,$B7+M$2-3)),""))</f>
        <v>0.156267812082056</v>
      </c>
      <c r="N7" s="10" t="n">
        <f aca="false">IF(OR($B7+N$2-3&lt;1,$B7+N$2&gt;設定!$B$5),"",IFERROR(LN(INDEX(月次集計!$H$2:$H$45,$B7+N$2)/INDEX(月次集計!$H$2:$H$45,$B7+N$2-3)),""))</f>
        <v>-0.0477963687181381</v>
      </c>
      <c r="O7" s="10" t="n">
        <f aca="false">IF(OR($B7+O$2-3&lt;1,$B7+O$2&gt;設定!$B$5),"",IFERROR(LN(INDEX(月次集計!$H$2:$H$45,$B7+O$2)/INDEX(月次集計!$H$2:$H$45,$B7+O$2-3)),""))</f>
        <v>-0.182703223766299</v>
      </c>
      <c r="P7" s="10" t="n">
        <f aca="false">IF(OR($B7+P$2-3&lt;1,$B7+P$2&gt;設定!$B$5),"",IFERROR(LN(INDEX(月次集計!$I$2:$I$45,$B7+P$2)/INDEX(月次集計!$I$2:$I$45,$B7+P$2-3)),""))</f>
        <v>-0.292918641896598</v>
      </c>
      <c r="Q7" s="10" t="n">
        <f aca="false">IF(OR($B7+Q$2-3&lt;1,$B7+Q$2&gt;設定!$B$5),"",IFERROR(LN(INDEX(月次集計!$I$2:$I$45,$B7+Q$2)/INDEX(月次集計!$I$2:$I$45,$B7+Q$2-3)),""))</f>
        <v>-0.248033157481234</v>
      </c>
      <c r="R7" s="10" t="n">
        <f aca="false">IF(OR($B7+R$2-3&lt;1,$B7+R$2&gt;設定!$B$5),"",IFERROR(LN(INDEX(月次集計!$I$2:$I$45,$B7+R$2)/INDEX(月次集計!$I$2:$I$45,$B7+R$2-3)),""))</f>
        <v>-0.576862230970403</v>
      </c>
      <c r="S7" s="10" t="n">
        <f aca="false">IF(OR($B7+S$2-3&lt;1,$B7+S$2&gt;設定!$B$5),"",IFERROR(LN(INDEX(月次集計!$I$2:$I$45,$B7+S$2)/INDEX(月次集計!$I$2:$I$45,$B7+S$2-3)),""))</f>
        <v>-0.573862643799501</v>
      </c>
      <c r="T7" s="10" t="n">
        <f aca="false">IF(OR($B7+T$2-3&lt;1,$B7+T$2&gt;設定!$B$5),"",IFERROR(LN(INDEX(月次集計!$I$2:$I$45,$B7+T$2)/INDEX(月次集計!$I$2:$I$45,$B7+T$2-3)),""))</f>
        <v>-0.589086443459578</v>
      </c>
      <c r="U7" s="10" t="n">
        <f aca="false">IF(OR($B7+U$2-3&lt;1,$B7+U$2&gt;設定!$B$5),"",IFERROR(LN(INDEX(月次集計!$I$2:$I$45,$B7+U$2)/INDEX(月次集計!$I$2:$I$45,$B7+U$2-3)),""))</f>
        <v>-0.128209421538562</v>
      </c>
      <c r="V7" s="10" t="n">
        <f aca="false">IF(OR($B7+V$2-3&lt;1,$B7+V$2&gt;設定!$B$5),"",IFERROR(LN(INDEX(月次集計!$I$2:$I$45,$B7+V$2)/INDEX(月次集計!$I$2:$I$45,$B7+V$2-3)),""))</f>
        <v>0.194050999713644</v>
      </c>
      <c r="W7" s="10" t="n">
        <f aca="false">IF(OR($B7+W$2-3&lt;1,$B7+W$2&gt;設定!$B$5),"",IFERROR(LN(INDEX(月次集計!$I$2:$I$45,$B7+W$2)/INDEX(月次集計!$I$2:$I$45,$B7+W$2-3)),""))</f>
        <v>0.295454548750141</v>
      </c>
      <c r="X7" s="10" t="n">
        <f aca="false">IF(OR($B7+X$2-3&lt;1,$B7+X$2&gt;設定!$B$5),"",IFERROR(LN(INDEX(月次集計!$I$2:$I$45,$B7+X$2)/INDEX(月次集計!$I$2:$I$45,$B7+X$2-3)),""))</f>
        <v>0.139228857175255</v>
      </c>
      <c r="Y7" s="10" t="n">
        <f aca="false">IF(OR($B7+Y$2-3&lt;1,$B7+Y$2&gt;設定!$B$5),"",IFERROR(LN(INDEX(月次集計!$I$2:$I$45,$B7+Y$2)/INDEX(月次集計!$I$2:$I$45,$B7+Y$2-3)),""))</f>
        <v>0.0214623681479303</v>
      </c>
      <c r="Z7" s="10" t="n">
        <f aca="false">IF(OR($B7+Z$2-3&lt;1,$B7+Z$2&gt;設定!$B$5),"",IFERROR(LN(INDEX(月次集計!$I$2:$I$45,$B7+Z$2)/INDEX(月次集計!$I$2:$I$45,$B7+Z$2-3)),""))</f>
        <v>0.240759999232384</v>
      </c>
      <c r="AA7" s="10" t="n">
        <f aca="false">IF(OR($B7+AA$2-3&lt;1,$B7+AA$2&gt;設定!$B$5),"",IFERROR(LN(INDEX(月次集計!$I$2:$I$45,$B7+AA$2)/INDEX(月次集計!$I$2:$I$45,$B7+AA$2-3)),""))</f>
        <v>0.341834890746834</v>
      </c>
      <c r="AB7" s="10" t="n">
        <f aca="false">IF(OR($B7+AB$2-3&lt;1,$B7+AB$2&gt;設定!$B$5),"",IFERROR(LN(INDEX(月次集計!$I$2:$I$45,$B7+AB$2)/INDEX(月次集計!$I$2:$I$45,$B7+AB$2-3)),""))</f>
        <v>0.376577842891135</v>
      </c>
      <c r="AC7" s="10" t="n">
        <f aca="false">IF(OR($B7+AC$2-3&lt;1,$B7+AC$2&gt;設定!$B$5),"",IFERROR(LN(INDEX(月次集計!$J$2:$J$45,$B7+AC$2)/INDEX(月次集計!$J$2:$J$45,$B7+AC$2-3)),""))</f>
        <v>0.442155002207861</v>
      </c>
      <c r="AD7" s="10" t="n">
        <f aca="false">IF(OR($B7+AD$2-3&lt;1,$B7+AD$2&gt;設定!$B$5),"",IFERROR(LN(INDEX(月次集計!$J$2:$J$45,$B7+AD$2)/INDEX(月次集計!$J$2:$J$45,$B7+AD$2-3)),""))</f>
        <v>0.0879132445725611</v>
      </c>
      <c r="AE7" s="10" t="n">
        <f aca="false">IF(OR($B7+AE$2-3&lt;1,$B7+AE$2&gt;設定!$B$5),"",IFERROR(LN(INDEX(月次集計!$J$2:$J$45,$B7+AE$2)/INDEX(月次集計!$J$2:$J$45,$B7+AE$2-3)),""))</f>
        <v>-0.397128713588899</v>
      </c>
      <c r="AF7" s="10" t="n">
        <f aca="false">IF(OR($B7+AF$2-3&lt;1,$B7+AF$2&gt;設定!$B$5),"",IFERROR(LN(INDEX(月次集計!$J$2:$J$45,$B7+AF$2)/INDEX(月次集計!$J$2:$J$45,$B7+AF$2-3)),""))</f>
        <v>-0.59726620542033</v>
      </c>
      <c r="AG7" s="10" t="n">
        <f aca="false">IF(OR($B7+AG$2-3&lt;1,$B7+AG$2&gt;設定!$B$5),"",IFERROR(LN(INDEX(月次集計!$J$2:$J$45,$B7+AG$2)/INDEX(月次集計!$J$2:$J$45,$B7+AG$2-3)),""))</f>
        <v>-0.475105833460269</v>
      </c>
      <c r="AH7" s="10" t="n">
        <f aca="false">IF(OR($B7+AH$2-3&lt;1,$B7+AH$2&gt;設定!$B$5),"",IFERROR(LN(INDEX(月次集計!$J$2:$J$45,$B7+AH$2)/INDEX(月次集計!$J$2:$J$45,$B7+AH$2-3)),""))</f>
        <v>-0.292548061572332</v>
      </c>
      <c r="AI7" s="10" t="n">
        <f aca="false">IF(OR($B7+AI$2-3&lt;1,$B7+AI$2&gt;設定!$B$5),"",IFERROR(LN(INDEX(月次集計!$J$2:$J$45,$B7+AI$2)/INDEX(月次集計!$J$2:$J$45,$B7+AI$2-3)),""))</f>
        <v>-0.262735730240925</v>
      </c>
      <c r="AJ7" s="10" t="n">
        <f aca="false">IF(OR($B7+AJ$2-3&lt;1,$B7+AJ$2&gt;設定!$B$5),"",IFERROR(LN(INDEX(月次集計!$J$2:$J$45,$B7+AJ$2)/INDEX(月次集計!$J$2:$J$45,$B7+AJ$2-3)),""))</f>
        <v>-0.299963991570135</v>
      </c>
      <c r="AK7" s="10" t="n">
        <f aca="false">IF(OR($B7+AK$2-3&lt;1,$B7+AK$2&gt;設定!$B$5),"",IFERROR(LN(INDEX(月次集計!$J$2:$J$45,$B7+AK$2)/INDEX(月次集計!$J$2:$J$45,$B7+AK$2-3)),""))</f>
        <v>-0.172478766917852</v>
      </c>
      <c r="AL7" s="10" t="n">
        <f aca="false">IF(OR($B7+AL$2-3&lt;1,$B7+AL$2&gt;設定!$B$5),"",IFERROR(LN(INDEX(月次集計!$J$2:$J$45,$B7+AL$2)/INDEX(月次集計!$J$2:$J$45,$B7+AL$2-3)),""))</f>
        <v>0.27642101205102</v>
      </c>
      <c r="AM7" s="10" t="n">
        <f aca="false">IF(OR($B7+AM$2-3&lt;1,$B7+AM$2&gt;設定!$B$5),"",IFERROR(LN(INDEX(月次集計!$J$2:$J$45,$B7+AM$2)/INDEX(月次集計!$J$2:$J$45,$B7+AM$2-3)),""))</f>
        <v>0.330092534526702</v>
      </c>
      <c r="AN7" s="10" t="n">
        <f aca="false">IF(OR($B7+AN$2-3&lt;1,$B7+AN$2&gt;設定!$B$5),"",IFERROR(LN(INDEX(月次集計!$J$2:$J$45,$B7+AN$2)/INDEX(月次集計!$J$2:$J$45,$B7+AN$2-3)),""))</f>
        <v>0.0913655631172735</v>
      </c>
      <c r="AO7" s="10" t="n">
        <f aca="false">IF(OR($B7+AO$2-3&lt;1,$B7+AO$2&gt;設定!$B$5),"",IFERROR(LN(INDEX(月次集計!$J$2:$J$45,$B7+AO$2)/INDEX(月次集計!$J$2:$J$45,$B7+AO$2-3)),""))</f>
        <v>-0.354347769499569</v>
      </c>
      <c r="AP7" s="10" t="n">
        <f aca="false">IF(OR($B7+AP$2-3&lt;1,$B7+AP$2&gt;設定!$B$5),"",IFERROR(LN(INDEX(月次集計!$K$2:$K$45,$B7+AP$2)/INDEX(月次集計!$K$2:$K$45,$B7+AP$2-3)),""))</f>
        <v>0.0567950259574382</v>
      </c>
      <c r="AQ7" s="10" t="str">
        <f aca="false">IF(OR($B7+AQ$2-3&lt;1,$B7+AQ$2&gt;設定!$B$5),"",IFERROR(LN(INDEX(月次集計!$K$2:$K$45,$B7+AQ$2)/INDEX(月次集計!$K$2:$K$45,$B7+AQ$2-3)),""))</f>
        <v/>
      </c>
      <c r="AR7" s="10" t="str">
        <f aca="false">IF(OR($B7+AR$2-3&lt;1,$B7+AR$2&gt;設定!$B$5),"",IFERROR(LN(INDEX(月次集計!$K$2:$K$45,$B7+AR$2)/INDEX(月次集計!$K$2:$K$45,$B7+AR$2-3)),""))</f>
        <v/>
      </c>
      <c r="AS7" s="10" t="str">
        <f aca="false">IF(OR($B7+AS$2-3&lt;1,$B7+AS$2&gt;設定!$B$5),"",IFERROR(LN(INDEX(月次集計!$K$2:$K$45,$B7+AS$2)/INDEX(月次集計!$K$2:$K$45,$B7+AS$2-3)),""))</f>
        <v/>
      </c>
      <c r="AT7" s="10" t="str">
        <f aca="false">IF(OR($B7+AT$2-3&lt;1,$B7+AT$2&gt;設定!$B$5),"",IFERROR(LN(INDEX(月次集計!$K$2:$K$45,$B7+AT$2)/INDEX(月次集計!$K$2:$K$45,$B7+AT$2-3)),""))</f>
        <v/>
      </c>
      <c r="AU7" s="10" t="str">
        <f aca="false">IF(OR($B7+AU$2-3&lt;1,$B7+AU$2&gt;設定!$B$5),"",IFERROR(LN(INDEX(月次集計!$K$2:$K$45,$B7+AU$2)/INDEX(月次集計!$K$2:$K$45,$B7+AU$2-3)),""))</f>
        <v/>
      </c>
      <c r="AV7" s="10" t="str">
        <f aca="false">IF(OR($B7+AV$2-3&lt;1,$B7+AV$2&gt;設定!$B$5),"",IFERROR(LN(INDEX(月次集計!$K$2:$K$45,$B7+AV$2)/INDEX(月次集計!$K$2:$K$45,$B7+AV$2-3)),""))</f>
        <v/>
      </c>
      <c r="AW7" s="10" t="n">
        <f aca="false">IF(OR($B7+AW$2-3&lt;1,$B7+AW$2&gt;設定!$B$5),"",IFERROR(LN(INDEX(月次集計!$K$2:$K$45,$B7+AW$2)/INDEX(月次集計!$K$2:$K$45,$B7+AW$2-3)),""))</f>
        <v>0.078689643315472</v>
      </c>
      <c r="AX7" s="10" t="n">
        <f aca="false">IF(OR($B7+AX$2-3&lt;1,$B7+AX$2&gt;設定!$B$5),"",IFERROR(LN(INDEX(月次集計!$K$2:$K$45,$B7+AX$2)/INDEX(月次集計!$K$2:$K$45,$B7+AX$2-3)),""))</f>
        <v>-0.0661033142088548</v>
      </c>
      <c r="AY7" s="10" t="n">
        <f aca="false">IF(OR($B7+AY$2-3&lt;1,$B7+AY$2&gt;設定!$B$5),"",IFERROR(LN(INDEX(月次集計!$K$2:$K$45,$B7+AY$2)/INDEX(月次集計!$K$2:$K$45,$B7+AY$2-3)),""))</f>
        <v>-0.0494068482755424</v>
      </c>
      <c r="AZ7" s="10" t="n">
        <f aca="false">IF(OR($B7+AZ$2-3&lt;1,$B7+AZ$2&gt;設定!$B$5),"",IFERROR(LN(INDEX(月次集計!$K$2:$K$45,$B7+AZ$2)/INDEX(月次集計!$K$2:$K$45,$B7+AZ$2-3)),""))</f>
        <v>0.0316385146633413</v>
      </c>
      <c r="BA7" s="10" t="n">
        <f aca="false">IF(OR($B7+BA$2-3&lt;1,$B7+BA$2&gt;設定!$B$5),"",IFERROR(LN(INDEX(月次集計!$K$2:$K$45,$B7+BA$2)/INDEX(月次集計!$K$2:$K$45,$B7+BA$2-3)),""))</f>
        <v>0.126787972790913</v>
      </c>
      <c r="BB7" s="10" t="n">
        <f aca="false">IF(OR($B7+BB$2-3&lt;1,$B7+BB$2&gt;設定!$B$5),"",IFERROR(LN(INDEX(月次集計!$K$2:$K$45,$B7+BB$2)/INDEX(月次集計!$K$2:$K$45,$B7+BB$2-3)),""))</f>
        <v>0.0820359887033025</v>
      </c>
      <c r="BC7" s="10" t="n">
        <f aca="false">IF(OR($B7+BC$2-3&lt;1,$B7+BC$2&gt;設定!$B$5),"",IFERROR(LN(INDEX(月次集計!$L$2:$L$45,$B7+BC$2)/INDEX(月次集計!$L$2:$L$45,$B7+BC$2-3)),""))</f>
        <v>-0.00242890342713161</v>
      </c>
      <c r="BD7" s="10" t="n">
        <f aca="false">IF(OR($B7+BD$2-3&lt;1,$B7+BD$2&gt;設定!$B$5),"",IFERROR(LN(INDEX(月次集計!$L$2:$L$45,$B7+BD$2)/INDEX(月次集計!$L$2:$L$45,$B7+BD$2-3)),""))</f>
        <v>-0.10427951644388</v>
      </c>
      <c r="BE7" s="10" t="n">
        <f aca="false">IF(OR($B7+BE$2-3&lt;1,$B7+BE$2&gt;設定!$B$5),"",IFERROR(LN(INDEX(月次集計!$L$2:$L$45,$B7+BE$2)/INDEX(月次集計!$L$2:$L$45,$B7+BE$2-3)),""))</f>
        <v>-0.368013544351602</v>
      </c>
      <c r="BF7" s="10" t="n">
        <f aca="false">IF(OR($B7+BF$2-3&lt;1,$B7+BF$2&gt;設定!$B$5),"",IFERROR(LN(INDEX(月次集計!$L$2:$L$45,$B7+BF$2)/INDEX(月次集計!$L$2:$L$45,$B7+BF$2-3)),""))</f>
        <v>-0.442659429098227</v>
      </c>
      <c r="BG7" s="10" t="n">
        <f aca="false">IF(OR($B7+BG$2-3&lt;1,$B7+BG$2&gt;設定!$B$5),"",IFERROR(LN(INDEX(月次集計!$L$2:$L$45,$B7+BG$2)/INDEX(月次集計!$L$2:$L$45,$B7+BG$2-3)),""))</f>
        <v>-0.489423800630456</v>
      </c>
      <c r="BH7" s="10" t="n">
        <f aca="false">IF(OR($B7+BH$2-3&lt;1,$B7+BH$2&gt;設定!$B$5),"",IFERROR(LN(INDEX(月次集計!$L$2:$L$45,$B7+BH$2)/INDEX(月次集計!$L$2:$L$45,$B7+BH$2-3)),""))</f>
        <v>-0.247633879147735</v>
      </c>
      <c r="BI7" s="10" t="n">
        <f aca="false">IF(OR($B7+BI$2-3&lt;1,$B7+BI$2&gt;設定!$B$5),"",IFERROR(LN(INDEX(月次集計!$L$2:$L$45,$B7+BI$2)/INDEX(月次集計!$L$2:$L$45,$B7+BI$2-3)),""))</f>
        <v>-0.049143958282034</v>
      </c>
      <c r="BJ7" s="10" t="n">
        <f aca="false">IF(OR($B7+BJ$2-3&lt;1,$B7+BJ$2&gt;設定!$B$5),"",IFERROR(LN(INDEX(月次集計!$L$2:$L$45,$B7+BJ$2)/INDEX(月次集計!$L$2:$L$45,$B7+BJ$2-3)),""))</f>
        <v>0.133624963636994</v>
      </c>
      <c r="BK7" s="10" t="n">
        <f aca="false">IF(OR($B7+BK$2-3&lt;1,$B7+BK$2&gt;設定!$B$5),"",IFERROR(LN(INDEX(月次集計!$L$2:$L$45,$B7+BK$2)/INDEX(月次集計!$L$2:$L$45,$B7+BK$2-3)),""))</f>
        <v>0.158656052147804</v>
      </c>
      <c r="BL7" s="10" t="n">
        <f aca="false">IF(OR($B7+BL$2-3&lt;1,$B7+BL$2&gt;設定!$B$5),"",IFERROR(LN(INDEX(月次集計!$L$2:$L$45,$B7+BL$2)/INDEX(月次集計!$L$2:$L$45,$B7+BL$2-3)),""))</f>
        <v>0.205444074362875</v>
      </c>
      <c r="BM7" s="10" t="n">
        <f aca="false">IF(OR($B7+BM$2-3&lt;1,$B7+BM$2&gt;設定!$B$5),"",IFERROR(LN(INDEX(月次集計!$L$2:$L$45,$B7+BM$2)/INDEX(月次集計!$L$2:$L$45,$B7+BM$2-3)),""))</f>
        <v>0.217323367432785</v>
      </c>
      <c r="BN7" s="10" t="n">
        <f aca="false">IF(OR($B7+BN$2-3&lt;1,$B7+BN$2&gt;設定!$B$5),"",IFERROR(LN(INDEX(月次集計!$L$2:$L$45,$B7+BN$2)/INDEX(月次集計!$L$2:$L$45,$B7+BN$2-3)),""))</f>
        <v>0.120065901180857</v>
      </c>
      <c r="BO7" s="10" t="n">
        <f aca="false">IF(OR($B7+BO$2-3&lt;1,$B7+BO$2&gt;設定!$B$5),"",IFERROR(LN(INDEX(月次集計!$L$2:$L$45,$B7+BO$2)/INDEX(月次集計!$L$2:$L$45,$B7+BO$2-3)),""))</f>
        <v>0.00637620945200817</v>
      </c>
    </row>
    <row r="8" customFormat="false" ht="15" hidden="false" customHeight="false" outlineLevel="0" collapsed="false">
      <c r="A8" s="3" t="s">
        <v>78</v>
      </c>
      <c r="B8" s="3" t="n">
        <v>15</v>
      </c>
      <c r="C8" s="10" t="n">
        <f aca="false">IF(OR($B8+C$2-3&lt;1,$B8+C$2&gt;設定!$B$5),"",IFERROR(LN(INDEX(月次集計!$H$2:$H$45,$B8+C$2)/INDEX(月次集計!$H$2:$H$45,$B8+C$2-3)),""))</f>
        <v>-0.259669251038164</v>
      </c>
      <c r="D8" s="10" t="n">
        <f aca="false">IF(OR($B8+D$2-3&lt;1,$B8+D$2&gt;設定!$B$5),"",IFERROR(LN(INDEX(月次集計!$H$2:$H$45,$B8+D$2)/INDEX(月次集計!$H$2:$H$45,$B8+D$2-3)),""))</f>
        <v>-0.421187968802266</v>
      </c>
      <c r="E8" s="10" t="n">
        <f aca="false">IF(OR($B8+E$2-3&lt;1,$B8+E$2&gt;設定!$B$5),"",IFERROR(LN(INDEX(月次集計!$H$2:$H$45,$B8+E$2)/INDEX(月次集計!$H$2:$H$45,$B8+E$2-3)),""))</f>
        <v>-0.309503949895582</v>
      </c>
      <c r="F8" s="10" t="n">
        <f aca="false">IF(OR($B8+F$2-3&lt;1,$B8+F$2&gt;設定!$B$5),"",IFERROR(LN(INDEX(月次集計!$H$2:$H$45,$B8+F$2)/INDEX(月次集計!$H$2:$H$45,$B8+F$2-3)),""))</f>
        <v>-0.136048509400258</v>
      </c>
      <c r="G8" s="10" t="n">
        <f aca="false">IF(OR($B8+G$2-3&lt;1,$B8+G$2&gt;設定!$B$5),"",IFERROR(LN(INDEX(月次集計!$H$2:$H$45,$B8+G$2)/INDEX(月次集計!$H$2:$H$45,$B8+G$2-3)),""))</f>
        <v>0.206983270078474</v>
      </c>
      <c r="H8" s="10" t="n">
        <f aca="false">IF(OR($B8+H$2-3&lt;1,$B8+H$2&gt;設定!$B$5),"",IFERROR(LN(INDEX(月次集計!$H$2:$H$45,$B8+H$2)/INDEX(月次集計!$H$2:$H$45,$B8+H$2-3)),""))</f>
        <v>0.310806917091883</v>
      </c>
      <c r="I8" s="10" t="n">
        <f aca="false">IF(OR($B8+I$2-3&lt;1,$B8+I$2&gt;設定!$B$5),"",IFERROR(LN(INDEX(月次集計!$H$2:$H$45,$B8+I$2)/INDEX(月次集計!$H$2:$H$45,$B8+I$2-3)),""))</f>
        <v>0.316138367218135</v>
      </c>
      <c r="J8" s="10" t="n">
        <f aca="false">IF(OR($B8+J$2-3&lt;1,$B8+J$2&gt;設定!$B$5),"",IFERROR(LN(INDEX(月次集計!$H$2:$H$45,$B8+J$2)/INDEX(月次集計!$H$2:$H$45,$B8+J$2-3)),""))</f>
        <v>0.156267812082056</v>
      </c>
      <c r="K8" s="10" t="n">
        <f aca="false">IF(OR($B8+K$2-3&lt;1,$B8+K$2&gt;設定!$B$5),"",IFERROR(LN(INDEX(月次集計!$H$2:$H$45,$B8+K$2)/INDEX(月次集計!$H$2:$H$45,$B8+K$2-3)),""))</f>
        <v>-0.0477963687181381</v>
      </c>
      <c r="L8" s="10" t="n">
        <f aca="false">IF(OR($B8+L$2-3&lt;1,$B8+L$2&gt;設定!$B$5),"",IFERROR(LN(INDEX(月次集計!$H$2:$H$45,$B8+L$2)/INDEX(月次集計!$H$2:$H$45,$B8+L$2-3)),""))</f>
        <v>-0.182703223766299</v>
      </c>
      <c r="M8" s="10" t="n">
        <f aca="false">IF(OR($B8+M$2-3&lt;1,$B8+M$2&gt;設定!$B$5),"",IFERROR(LN(INDEX(月次集計!$H$2:$H$45,$B8+M$2)/INDEX(月次集計!$H$2:$H$45,$B8+M$2-3)),""))</f>
        <v>-0.14469827119406</v>
      </c>
      <c r="N8" s="10" t="n">
        <f aca="false">IF(OR($B8+N$2-3&lt;1,$B8+N$2&gt;設定!$B$5),"",IFERROR(LN(INDEX(月次集計!$H$2:$H$45,$B8+N$2)/INDEX(月次集計!$H$2:$H$45,$B8+N$2-3)),""))</f>
        <v>0.0544791120540406</v>
      </c>
      <c r="O8" s="10" t="n">
        <f aca="false">IF(OR($B8+O$2-3&lt;1,$B8+O$2&gt;設定!$B$5),"",IFERROR(LN(INDEX(月次集計!$H$2:$H$45,$B8+O$2)/INDEX(月次集計!$H$2:$H$45,$B8+O$2-3)),""))</f>
        <v>0.247868320296424</v>
      </c>
      <c r="P8" s="10" t="n">
        <f aca="false">IF(OR($B8+P$2-3&lt;1,$B8+P$2&gt;設定!$B$5),"",IFERROR(LN(INDEX(月次集計!$I$2:$I$45,$B8+P$2)/INDEX(月次集計!$I$2:$I$45,$B8+P$2-3)),""))</f>
        <v>-0.573862643799501</v>
      </c>
      <c r="Q8" s="10" t="n">
        <f aca="false">IF(OR($B8+Q$2-3&lt;1,$B8+Q$2&gt;設定!$B$5),"",IFERROR(LN(INDEX(月次集計!$I$2:$I$45,$B8+Q$2)/INDEX(月次集計!$I$2:$I$45,$B8+Q$2-3)),""))</f>
        <v>-0.589086443459578</v>
      </c>
      <c r="R8" s="10" t="n">
        <f aca="false">IF(OR($B8+R$2-3&lt;1,$B8+R$2&gt;設定!$B$5),"",IFERROR(LN(INDEX(月次集計!$I$2:$I$45,$B8+R$2)/INDEX(月次集計!$I$2:$I$45,$B8+R$2-3)),""))</f>
        <v>-0.128209421538562</v>
      </c>
      <c r="S8" s="10" t="n">
        <f aca="false">IF(OR($B8+S$2-3&lt;1,$B8+S$2&gt;設定!$B$5),"",IFERROR(LN(INDEX(月次集計!$I$2:$I$45,$B8+S$2)/INDEX(月次集計!$I$2:$I$45,$B8+S$2-3)),""))</f>
        <v>0.194050999713644</v>
      </c>
      <c r="T8" s="10" t="n">
        <f aca="false">IF(OR($B8+T$2-3&lt;1,$B8+T$2&gt;設定!$B$5),"",IFERROR(LN(INDEX(月次集計!$I$2:$I$45,$B8+T$2)/INDEX(月次集計!$I$2:$I$45,$B8+T$2-3)),""))</f>
        <v>0.295454548750141</v>
      </c>
      <c r="U8" s="10" t="n">
        <f aca="false">IF(OR($B8+U$2-3&lt;1,$B8+U$2&gt;設定!$B$5),"",IFERROR(LN(INDEX(月次集計!$I$2:$I$45,$B8+U$2)/INDEX(月次集計!$I$2:$I$45,$B8+U$2-3)),""))</f>
        <v>0.139228857175255</v>
      </c>
      <c r="V8" s="10" t="n">
        <f aca="false">IF(OR($B8+V$2-3&lt;1,$B8+V$2&gt;設定!$B$5),"",IFERROR(LN(INDEX(月次集計!$I$2:$I$45,$B8+V$2)/INDEX(月次集計!$I$2:$I$45,$B8+V$2-3)),""))</f>
        <v>0.0214623681479303</v>
      </c>
      <c r="W8" s="10" t="n">
        <f aca="false">IF(OR($B8+W$2-3&lt;1,$B8+W$2&gt;設定!$B$5),"",IFERROR(LN(INDEX(月次集計!$I$2:$I$45,$B8+W$2)/INDEX(月次集計!$I$2:$I$45,$B8+W$2-3)),""))</f>
        <v>0.240759999232384</v>
      </c>
      <c r="X8" s="10" t="n">
        <f aca="false">IF(OR($B8+X$2-3&lt;1,$B8+X$2&gt;設定!$B$5),"",IFERROR(LN(INDEX(月次集計!$I$2:$I$45,$B8+X$2)/INDEX(月次集計!$I$2:$I$45,$B8+X$2-3)),""))</f>
        <v>0.341834890746834</v>
      </c>
      <c r="Y8" s="10" t="n">
        <f aca="false">IF(OR($B8+Y$2-3&lt;1,$B8+Y$2&gt;設定!$B$5),"",IFERROR(LN(INDEX(月次集計!$I$2:$I$45,$B8+Y$2)/INDEX(月次集計!$I$2:$I$45,$B8+Y$2-3)),""))</f>
        <v>0.376577842891135</v>
      </c>
      <c r="Z8" s="10" t="n">
        <f aca="false">IF(OR($B8+Z$2-3&lt;1,$B8+Z$2&gt;設定!$B$5),"",IFERROR(LN(INDEX(月次集計!$I$2:$I$45,$B8+Z$2)/INDEX(月次集計!$I$2:$I$45,$B8+Z$2-3)),""))</f>
        <v>0.131137656529186</v>
      </c>
      <c r="AA8" s="10" t="n">
        <f aca="false">IF(OR($B8+AA$2-3&lt;1,$B8+AA$2&gt;設定!$B$5),"",IFERROR(LN(INDEX(月次集計!$I$2:$I$45,$B8+AA$2)/INDEX(月次集計!$I$2:$I$45,$B8+AA$2-3)),""))</f>
        <v>0.130777295481697</v>
      </c>
      <c r="AB8" s="10" t="n">
        <f aca="false">IF(OR($B8+AB$2-3&lt;1,$B8+AB$2&gt;設定!$B$5),"",IFERROR(LN(INDEX(月次集計!$I$2:$I$45,$B8+AB$2)/INDEX(月次集計!$I$2:$I$45,$B8+AB$2-3)),""))</f>
        <v>0.0364871424044422</v>
      </c>
      <c r="AC8" s="10" t="n">
        <f aca="false">IF(OR($B8+AC$2-3&lt;1,$B8+AC$2&gt;設定!$B$5),"",IFERROR(LN(INDEX(月次集計!$J$2:$J$45,$B8+AC$2)/INDEX(月次集計!$J$2:$J$45,$B8+AC$2-3)),""))</f>
        <v>-0.59726620542033</v>
      </c>
      <c r="AD8" s="10" t="n">
        <f aca="false">IF(OR($B8+AD$2-3&lt;1,$B8+AD$2&gt;設定!$B$5),"",IFERROR(LN(INDEX(月次集計!$J$2:$J$45,$B8+AD$2)/INDEX(月次集計!$J$2:$J$45,$B8+AD$2-3)),""))</f>
        <v>-0.475105833460269</v>
      </c>
      <c r="AE8" s="10" t="n">
        <f aca="false">IF(OR($B8+AE$2-3&lt;1,$B8+AE$2&gt;設定!$B$5),"",IFERROR(LN(INDEX(月次集計!$J$2:$J$45,$B8+AE$2)/INDEX(月次集計!$J$2:$J$45,$B8+AE$2-3)),""))</f>
        <v>-0.292548061572332</v>
      </c>
      <c r="AF8" s="10" t="n">
        <f aca="false">IF(OR($B8+AF$2-3&lt;1,$B8+AF$2&gt;設定!$B$5),"",IFERROR(LN(INDEX(月次集計!$J$2:$J$45,$B8+AF$2)/INDEX(月次集計!$J$2:$J$45,$B8+AF$2-3)),""))</f>
        <v>-0.262735730240925</v>
      </c>
      <c r="AG8" s="10" t="n">
        <f aca="false">IF(OR($B8+AG$2-3&lt;1,$B8+AG$2&gt;設定!$B$5),"",IFERROR(LN(INDEX(月次集計!$J$2:$J$45,$B8+AG$2)/INDEX(月次集計!$J$2:$J$45,$B8+AG$2-3)),""))</f>
        <v>-0.299963991570135</v>
      </c>
      <c r="AH8" s="10" t="n">
        <f aca="false">IF(OR($B8+AH$2-3&lt;1,$B8+AH$2&gt;設定!$B$5),"",IFERROR(LN(INDEX(月次集計!$J$2:$J$45,$B8+AH$2)/INDEX(月次集計!$J$2:$J$45,$B8+AH$2-3)),""))</f>
        <v>-0.172478766917852</v>
      </c>
      <c r="AI8" s="10" t="n">
        <f aca="false">IF(OR($B8+AI$2-3&lt;1,$B8+AI$2&gt;設定!$B$5),"",IFERROR(LN(INDEX(月次集計!$J$2:$J$45,$B8+AI$2)/INDEX(月次集計!$J$2:$J$45,$B8+AI$2-3)),""))</f>
        <v>0.27642101205102</v>
      </c>
      <c r="AJ8" s="10" t="n">
        <f aca="false">IF(OR($B8+AJ$2-3&lt;1,$B8+AJ$2&gt;設定!$B$5),"",IFERROR(LN(INDEX(月次集計!$J$2:$J$45,$B8+AJ$2)/INDEX(月次集計!$J$2:$J$45,$B8+AJ$2-3)),""))</f>
        <v>0.330092534526702</v>
      </c>
      <c r="AK8" s="10" t="n">
        <f aca="false">IF(OR($B8+AK$2-3&lt;1,$B8+AK$2&gt;設定!$B$5),"",IFERROR(LN(INDEX(月次集計!$J$2:$J$45,$B8+AK$2)/INDEX(月次集計!$J$2:$J$45,$B8+AK$2-3)),""))</f>
        <v>0.0913655631172735</v>
      </c>
      <c r="AL8" s="10" t="n">
        <f aca="false">IF(OR($B8+AL$2-3&lt;1,$B8+AL$2&gt;設定!$B$5),"",IFERROR(LN(INDEX(月次集計!$J$2:$J$45,$B8+AL$2)/INDEX(月次集計!$J$2:$J$45,$B8+AL$2-3)),""))</f>
        <v>-0.354347769499569</v>
      </c>
      <c r="AM8" s="10" t="n">
        <f aca="false">IF(OR($B8+AM$2-3&lt;1,$B8+AM$2&gt;設定!$B$5),"",IFERROR(LN(INDEX(月次集計!$J$2:$J$45,$B8+AM$2)/INDEX(月次集計!$J$2:$J$45,$B8+AM$2-3)),""))</f>
        <v>-0.524844331539346</v>
      </c>
      <c r="AN8" s="10" t="n">
        <f aca="false">IF(OR($B8+AN$2-3&lt;1,$B8+AN$2&gt;設定!$B$5),"",IFERROR(LN(INDEX(月次集計!$J$2:$J$45,$B8+AN$2)/INDEX(月次集計!$J$2:$J$45,$B8+AN$2-3)),""))</f>
        <v>-0.0901573076886836</v>
      </c>
      <c r="AO8" s="10" t="n">
        <f aca="false">IF(OR($B8+AO$2-3&lt;1,$B8+AO$2&gt;設定!$B$5),"",IFERROR(LN(INDEX(月次集計!$J$2:$J$45,$B8+AO$2)/INDEX(月次集計!$J$2:$J$45,$B8+AO$2-3)),""))</f>
        <v>0.0552576107595377</v>
      </c>
      <c r="AP8" s="10" t="str">
        <f aca="false">IF(OR($B8+AP$2-3&lt;1,$B8+AP$2&gt;設定!$B$5),"",IFERROR(LN(INDEX(月次集計!$K$2:$K$45,$B8+AP$2)/INDEX(月次集計!$K$2:$K$45,$B8+AP$2-3)),""))</f>
        <v/>
      </c>
      <c r="AQ8" s="10" t="str">
        <f aca="false">IF(OR($B8+AQ$2-3&lt;1,$B8+AQ$2&gt;設定!$B$5),"",IFERROR(LN(INDEX(月次集計!$K$2:$K$45,$B8+AQ$2)/INDEX(月次集計!$K$2:$K$45,$B8+AQ$2-3)),""))</f>
        <v/>
      </c>
      <c r="AR8" s="10" t="str">
        <f aca="false">IF(OR($B8+AR$2-3&lt;1,$B8+AR$2&gt;設定!$B$5),"",IFERROR(LN(INDEX(月次集計!$K$2:$K$45,$B8+AR$2)/INDEX(月次集計!$K$2:$K$45,$B8+AR$2-3)),""))</f>
        <v/>
      </c>
      <c r="AS8" s="10" t="str">
        <f aca="false">IF(OR($B8+AS$2-3&lt;1,$B8+AS$2&gt;設定!$B$5),"",IFERROR(LN(INDEX(月次集計!$K$2:$K$45,$B8+AS$2)/INDEX(月次集計!$K$2:$K$45,$B8+AS$2-3)),""))</f>
        <v/>
      </c>
      <c r="AT8" s="10" t="n">
        <f aca="false">IF(OR($B8+AT$2-3&lt;1,$B8+AT$2&gt;設定!$B$5),"",IFERROR(LN(INDEX(月次集計!$K$2:$K$45,$B8+AT$2)/INDEX(月次集計!$K$2:$K$45,$B8+AT$2-3)),""))</f>
        <v>0.078689643315472</v>
      </c>
      <c r="AU8" s="10" t="n">
        <f aca="false">IF(OR($B8+AU$2-3&lt;1,$B8+AU$2&gt;設定!$B$5),"",IFERROR(LN(INDEX(月次集計!$K$2:$K$45,$B8+AU$2)/INDEX(月次集計!$K$2:$K$45,$B8+AU$2-3)),""))</f>
        <v>-0.0661033142088548</v>
      </c>
      <c r="AV8" s="10" t="n">
        <f aca="false">IF(OR($B8+AV$2-3&lt;1,$B8+AV$2&gt;設定!$B$5),"",IFERROR(LN(INDEX(月次集計!$K$2:$K$45,$B8+AV$2)/INDEX(月次集計!$K$2:$K$45,$B8+AV$2-3)),""))</f>
        <v>-0.0494068482755424</v>
      </c>
      <c r="AW8" s="10" t="n">
        <f aca="false">IF(OR($B8+AW$2-3&lt;1,$B8+AW$2&gt;設定!$B$5),"",IFERROR(LN(INDEX(月次集計!$K$2:$K$45,$B8+AW$2)/INDEX(月次集計!$K$2:$K$45,$B8+AW$2-3)),""))</f>
        <v>0.0316385146633413</v>
      </c>
      <c r="AX8" s="10" t="n">
        <f aca="false">IF(OR($B8+AX$2-3&lt;1,$B8+AX$2&gt;設定!$B$5),"",IFERROR(LN(INDEX(月次集計!$K$2:$K$45,$B8+AX$2)/INDEX(月次集計!$K$2:$K$45,$B8+AX$2-3)),""))</f>
        <v>0.126787972790913</v>
      </c>
      <c r="AY8" s="10" t="n">
        <f aca="false">IF(OR($B8+AY$2-3&lt;1,$B8+AY$2&gt;設定!$B$5),"",IFERROR(LN(INDEX(月次集計!$K$2:$K$45,$B8+AY$2)/INDEX(月次集計!$K$2:$K$45,$B8+AY$2-3)),""))</f>
        <v>0.0820359887033025</v>
      </c>
      <c r="AZ8" s="10" t="n">
        <f aca="false">IF(OR($B8+AZ$2-3&lt;1,$B8+AZ$2&gt;設定!$B$5),"",IFERROR(LN(INDEX(月次集計!$K$2:$K$45,$B8+AZ$2)/INDEX(月次集計!$K$2:$K$45,$B8+AZ$2-3)),""))</f>
        <v>0.175582058603994</v>
      </c>
      <c r="BA8" s="10" t="n">
        <f aca="false">IF(OR($B8+BA$2-3&lt;1,$B8+BA$2&gt;設定!$B$5),"",IFERROR(LN(INDEX(月次集計!$K$2:$K$45,$B8+BA$2)/INDEX(月次集計!$K$2:$K$45,$B8+BA$2-3)),""))</f>
        <v>0.116007544790417</v>
      </c>
      <c r="BB8" s="10" t="n">
        <f aca="false">IF(OR($B8+BB$2-3&lt;1,$B8+BB$2&gt;設定!$B$5),"",IFERROR(LN(INDEX(月次集計!$K$2:$K$45,$B8+BB$2)/INDEX(月次集計!$K$2:$K$45,$B8+BB$2-3)),""))</f>
        <v>0.144528584099481</v>
      </c>
      <c r="BC8" s="10" t="n">
        <f aca="false">IF(OR($B8+BC$2-3&lt;1,$B8+BC$2&gt;設定!$B$5),"",IFERROR(LN(INDEX(月次集計!$L$2:$L$45,$B8+BC$2)/INDEX(月次集計!$L$2:$L$45,$B8+BC$2-3)),""))</f>
        <v>-0.442659429098227</v>
      </c>
      <c r="BD8" s="10" t="n">
        <f aca="false">IF(OR($B8+BD$2-3&lt;1,$B8+BD$2&gt;設定!$B$5),"",IFERROR(LN(INDEX(月次集計!$L$2:$L$45,$B8+BD$2)/INDEX(月次集計!$L$2:$L$45,$B8+BD$2-3)),""))</f>
        <v>-0.489423800630456</v>
      </c>
      <c r="BE8" s="10" t="n">
        <f aca="false">IF(OR($B8+BE$2-3&lt;1,$B8+BE$2&gt;設定!$B$5),"",IFERROR(LN(INDEX(月次集計!$L$2:$L$45,$B8+BE$2)/INDEX(月次集計!$L$2:$L$45,$B8+BE$2-3)),""))</f>
        <v>-0.247633879147735</v>
      </c>
      <c r="BF8" s="10" t="n">
        <f aca="false">IF(OR($B8+BF$2-3&lt;1,$B8+BF$2&gt;設定!$B$5),"",IFERROR(LN(INDEX(月次集計!$L$2:$L$45,$B8+BF$2)/INDEX(月次集計!$L$2:$L$45,$B8+BF$2-3)),""))</f>
        <v>-0.049143958282034</v>
      </c>
      <c r="BG8" s="10" t="n">
        <f aca="false">IF(OR($B8+BG$2-3&lt;1,$B8+BG$2&gt;設定!$B$5),"",IFERROR(LN(INDEX(月次集計!$L$2:$L$45,$B8+BG$2)/INDEX(月次集計!$L$2:$L$45,$B8+BG$2-3)),""))</f>
        <v>0.133624963636994</v>
      </c>
      <c r="BH8" s="10" t="n">
        <f aca="false">IF(OR($B8+BH$2-3&lt;1,$B8+BH$2&gt;設定!$B$5),"",IFERROR(LN(INDEX(月次集計!$L$2:$L$45,$B8+BH$2)/INDEX(月次集計!$L$2:$L$45,$B8+BH$2-3)),""))</f>
        <v>0.158656052147804</v>
      </c>
      <c r="BI8" s="10" t="n">
        <f aca="false">IF(OR($B8+BI$2-3&lt;1,$B8+BI$2&gt;設定!$B$5),"",IFERROR(LN(INDEX(月次集計!$L$2:$L$45,$B8+BI$2)/INDEX(月次集計!$L$2:$L$45,$B8+BI$2-3)),""))</f>
        <v>0.205444074362875</v>
      </c>
      <c r="BJ8" s="10" t="n">
        <f aca="false">IF(OR($B8+BJ$2-3&lt;1,$B8+BJ$2&gt;設定!$B$5),"",IFERROR(LN(INDEX(月次集計!$L$2:$L$45,$B8+BJ$2)/INDEX(月次集計!$L$2:$L$45,$B8+BJ$2-3)),""))</f>
        <v>0.217323367432785</v>
      </c>
      <c r="BK8" s="10" t="n">
        <f aca="false">IF(OR($B8+BK$2-3&lt;1,$B8+BK$2&gt;設定!$B$5),"",IFERROR(LN(INDEX(月次集計!$L$2:$L$45,$B8+BK$2)/INDEX(月次集計!$L$2:$L$45,$B8+BK$2-3)),""))</f>
        <v>0.120065901180857</v>
      </c>
      <c r="BL8" s="10" t="n">
        <f aca="false">IF(OR($B8+BL$2-3&lt;1,$B8+BL$2&gt;設定!$B$5),"",IFERROR(LN(INDEX(月次集計!$L$2:$L$45,$B8+BL$2)/INDEX(月次集計!$L$2:$L$45,$B8+BL$2-3)),""))</f>
        <v>0.00637620945200817</v>
      </c>
      <c r="BM8" s="10" t="n">
        <f aca="false">IF(OR($B8+BM$2-3&lt;1,$B8+BM$2&gt;設定!$B$5),"",IFERROR(LN(INDEX(月次集計!$L$2:$L$45,$B8+BM$2)/INDEX(月次集計!$L$2:$L$45,$B8+BM$2-3)),""))</f>
        <v>-0.0851917572013977</v>
      </c>
      <c r="BN8" s="10" t="n">
        <f aca="false">IF(OR($B8+BN$2-3&lt;1,$B8+BN$2&gt;設定!$B$5),"",IFERROR(LN(INDEX(月次集計!$L$2:$L$45,$B8+BN$2)/INDEX(月次集計!$L$2:$L$45,$B8+BN$2-3)),""))</f>
        <v>0.0657664302409457</v>
      </c>
      <c r="BO8" s="10" t="n">
        <f aca="false">IF(OR($B8+BO$2-3&lt;1,$B8+BO$2&gt;設定!$B$5),"",IFERROR(LN(INDEX(月次集計!$L$2:$L$45,$B8+BO$2)/INDEX(月次集計!$L$2:$L$45,$B8+BO$2-3)),""))</f>
        <v>0.129505699998282</v>
      </c>
    </row>
    <row r="9" customFormat="false" ht="15" hidden="false" customHeight="false" outlineLevel="0" collapsed="false">
      <c r="A9" s="3" t="s">
        <v>79</v>
      </c>
      <c r="B9" s="3" t="n">
        <v>18</v>
      </c>
      <c r="C9" s="10" t="n">
        <f aca="false">IF(OR($B9+C$2-3&lt;1,$B9+C$2&gt;設定!$B$5),"",IFERROR(LN(INDEX(月次集計!$H$2:$H$45,$B9+C$2)/INDEX(月次集計!$H$2:$H$45,$B9+C$2-3)),""))</f>
        <v>-0.136048509400258</v>
      </c>
      <c r="D9" s="10" t="n">
        <f aca="false">IF(OR($B9+D$2-3&lt;1,$B9+D$2&gt;設定!$B$5),"",IFERROR(LN(INDEX(月次集計!$H$2:$H$45,$B9+D$2)/INDEX(月次集計!$H$2:$H$45,$B9+D$2-3)),""))</f>
        <v>0.206983270078474</v>
      </c>
      <c r="E9" s="10" t="n">
        <f aca="false">IF(OR($B9+E$2-3&lt;1,$B9+E$2&gt;設定!$B$5),"",IFERROR(LN(INDEX(月次集計!$H$2:$H$45,$B9+E$2)/INDEX(月次集計!$H$2:$H$45,$B9+E$2-3)),""))</f>
        <v>0.310806917091883</v>
      </c>
      <c r="F9" s="10" t="n">
        <f aca="false">IF(OR($B9+F$2-3&lt;1,$B9+F$2&gt;設定!$B$5),"",IFERROR(LN(INDEX(月次集計!$H$2:$H$45,$B9+F$2)/INDEX(月次集計!$H$2:$H$45,$B9+F$2-3)),""))</f>
        <v>0.316138367218135</v>
      </c>
      <c r="G9" s="10" t="n">
        <f aca="false">IF(OR($B9+G$2-3&lt;1,$B9+G$2&gt;設定!$B$5),"",IFERROR(LN(INDEX(月次集計!$H$2:$H$45,$B9+G$2)/INDEX(月次集計!$H$2:$H$45,$B9+G$2-3)),""))</f>
        <v>0.156267812082056</v>
      </c>
      <c r="H9" s="10" t="n">
        <f aca="false">IF(OR($B9+H$2-3&lt;1,$B9+H$2&gt;設定!$B$5),"",IFERROR(LN(INDEX(月次集計!$H$2:$H$45,$B9+H$2)/INDEX(月次集計!$H$2:$H$45,$B9+H$2-3)),""))</f>
        <v>-0.0477963687181381</v>
      </c>
      <c r="I9" s="10" t="n">
        <f aca="false">IF(OR($B9+I$2-3&lt;1,$B9+I$2&gt;設定!$B$5),"",IFERROR(LN(INDEX(月次集計!$H$2:$H$45,$B9+I$2)/INDEX(月次集計!$H$2:$H$45,$B9+I$2-3)),""))</f>
        <v>-0.182703223766299</v>
      </c>
      <c r="J9" s="10" t="n">
        <f aca="false">IF(OR($B9+J$2-3&lt;1,$B9+J$2&gt;設定!$B$5),"",IFERROR(LN(INDEX(月次集計!$H$2:$H$45,$B9+J$2)/INDEX(月次集計!$H$2:$H$45,$B9+J$2-3)),""))</f>
        <v>-0.14469827119406</v>
      </c>
      <c r="K9" s="10" t="n">
        <f aca="false">IF(OR($B9+K$2-3&lt;1,$B9+K$2&gt;設定!$B$5),"",IFERROR(LN(INDEX(月次集計!$H$2:$H$45,$B9+K$2)/INDEX(月次集計!$H$2:$H$45,$B9+K$2-3)),""))</f>
        <v>0.0544791120540406</v>
      </c>
      <c r="L9" s="10" t="n">
        <f aca="false">IF(OR($B9+L$2-3&lt;1,$B9+L$2&gt;設定!$B$5),"",IFERROR(LN(INDEX(月次集計!$H$2:$H$45,$B9+L$2)/INDEX(月次集計!$H$2:$H$45,$B9+L$2-3)),""))</f>
        <v>0.247868320296424</v>
      </c>
      <c r="M9" s="10" t="n">
        <f aca="false">IF(OR($B9+M$2-3&lt;1,$B9+M$2&gt;設定!$B$5),"",IFERROR(LN(INDEX(月次集計!$H$2:$H$45,$B9+M$2)/INDEX(月次集計!$H$2:$H$45,$B9+M$2-3)),""))</f>
        <v>0.310152406379343</v>
      </c>
      <c r="N9" s="10" t="n">
        <f aca="false">IF(OR($B9+N$2-3&lt;1,$B9+N$2&gt;設定!$B$5),"",IFERROR(LN(INDEX(月次集計!$H$2:$H$45,$B9+N$2)/INDEX(月次集計!$H$2:$H$45,$B9+N$2-3)),""))</f>
        <v>0.224476669936245</v>
      </c>
      <c r="O9" s="10" t="n">
        <f aca="false">IF(OR($B9+O$2-3&lt;1,$B9+O$2&gt;設定!$B$5),"",IFERROR(LN(INDEX(月次集計!$H$2:$H$45,$B9+O$2)/INDEX(月次集計!$H$2:$H$45,$B9+O$2-3)),""))</f>
        <v>0.173546171838368</v>
      </c>
      <c r="P9" s="10" t="n">
        <f aca="false">IF(OR($B9+P$2-3&lt;1,$B9+P$2&gt;設定!$B$5),"",IFERROR(LN(INDEX(月次集計!$I$2:$I$45,$B9+P$2)/INDEX(月次集計!$I$2:$I$45,$B9+P$2-3)),""))</f>
        <v>0.194050999713644</v>
      </c>
      <c r="Q9" s="10" t="n">
        <f aca="false">IF(OR($B9+Q$2-3&lt;1,$B9+Q$2&gt;設定!$B$5),"",IFERROR(LN(INDEX(月次集計!$I$2:$I$45,$B9+Q$2)/INDEX(月次集計!$I$2:$I$45,$B9+Q$2-3)),""))</f>
        <v>0.295454548750141</v>
      </c>
      <c r="R9" s="10" t="n">
        <f aca="false">IF(OR($B9+R$2-3&lt;1,$B9+R$2&gt;設定!$B$5),"",IFERROR(LN(INDEX(月次集計!$I$2:$I$45,$B9+R$2)/INDEX(月次集計!$I$2:$I$45,$B9+R$2-3)),""))</f>
        <v>0.139228857175255</v>
      </c>
      <c r="S9" s="10" t="n">
        <f aca="false">IF(OR($B9+S$2-3&lt;1,$B9+S$2&gt;設定!$B$5),"",IFERROR(LN(INDEX(月次集計!$I$2:$I$45,$B9+S$2)/INDEX(月次集計!$I$2:$I$45,$B9+S$2-3)),""))</f>
        <v>0.0214623681479303</v>
      </c>
      <c r="T9" s="10" t="n">
        <f aca="false">IF(OR($B9+T$2-3&lt;1,$B9+T$2&gt;設定!$B$5),"",IFERROR(LN(INDEX(月次集計!$I$2:$I$45,$B9+T$2)/INDEX(月次集計!$I$2:$I$45,$B9+T$2-3)),""))</f>
        <v>0.240759999232384</v>
      </c>
      <c r="U9" s="10" t="n">
        <f aca="false">IF(OR($B9+U$2-3&lt;1,$B9+U$2&gt;設定!$B$5),"",IFERROR(LN(INDEX(月次集計!$I$2:$I$45,$B9+U$2)/INDEX(月次集計!$I$2:$I$45,$B9+U$2-3)),""))</f>
        <v>0.341834890746834</v>
      </c>
      <c r="V9" s="10" t="n">
        <f aca="false">IF(OR($B9+V$2-3&lt;1,$B9+V$2&gt;設定!$B$5),"",IFERROR(LN(INDEX(月次集計!$I$2:$I$45,$B9+V$2)/INDEX(月次集計!$I$2:$I$45,$B9+V$2-3)),""))</f>
        <v>0.376577842891135</v>
      </c>
      <c r="W9" s="10" t="n">
        <f aca="false">IF(OR($B9+W$2-3&lt;1,$B9+W$2&gt;設定!$B$5),"",IFERROR(LN(INDEX(月次集計!$I$2:$I$45,$B9+W$2)/INDEX(月次集計!$I$2:$I$45,$B9+W$2-3)),""))</f>
        <v>0.131137656529186</v>
      </c>
      <c r="X9" s="10" t="n">
        <f aca="false">IF(OR($B9+X$2-3&lt;1,$B9+X$2&gt;設定!$B$5),"",IFERROR(LN(INDEX(月次集計!$I$2:$I$45,$B9+X$2)/INDEX(月次集計!$I$2:$I$45,$B9+X$2-3)),""))</f>
        <v>0.130777295481697</v>
      </c>
      <c r="Y9" s="10" t="n">
        <f aca="false">IF(OR($B9+Y$2-3&lt;1,$B9+Y$2&gt;設定!$B$5),"",IFERROR(LN(INDEX(月次集計!$I$2:$I$45,$B9+Y$2)/INDEX(月次集計!$I$2:$I$45,$B9+Y$2-3)),""))</f>
        <v>0.0364871424044422</v>
      </c>
      <c r="Z9" s="10" t="n">
        <f aca="false">IF(OR($B9+Z$2-3&lt;1,$B9+Z$2&gt;設定!$B$5),"",IFERROR(LN(INDEX(月次集計!$I$2:$I$45,$B9+Z$2)/INDEX(月次集計!$I$2:$I$45,$B9+Z$2-3)),""))</f>
        <v>-0.0688607065009369</v>
      </c>
      <c r="AA9" s="10" t="n">
        <f aca="false">IF(OR($B9+AA$2-3&lt;1,$B9+AA$2&gt;設定!$B$5),"",IFERROR(LN(INDEX(月次集計!$I$2:$I$45,$B9+AA$2)/INDEX(月次集計!$I$2:$I$45,$B9+AA$2-3)),""))</f>
        <v>-0.0621617932470671</v>
      </c>
      <c r="AB9" s="10" t="n">
        <f aca="false">IF(OR($B9+AB$2-3&lt;1,$B9+AB$2&gt;設定!$B$5),"",IFERROR(LN(INDEX(月次集計!$I$2:$I$45,$B9+AB$2)/INDEX(月次集計!$I$2:$I$45,$B9+AB$2-3)),""))</f>
        <v>0.192045754829276</v>
      </c>
      <c r="AC9" s="10" t="n">
        <f aca="false">IF(OR($B9+AC$2-3&lt;1,$B9+AC$2&gt;設定!$B$5),"",IFERROR(LN(INDEX(月次集計!$J$2:$J$45,$B9+AC$2)/INDEX(月次集計!$J$2:$J$45,$B9+AC$2-3)),""))</f>
        <v>-0.262735730240925</v>
      </c>
      <c r="AD9" s="10" t="n">
        <f aca="false">IF(OR($B9+AD$2-3&lt;1,$B9+AD$2&gt;設定!$B$5),"",IFERROR(LN(INDEX(月次集計!$J$2:$J$45,$B9+AD$2)/INDEX(月次集計!$J$2:$J$45,$B9+AD$2-3)),""))</f>
        <v>-0.299963991570135</v>
      </c>
      <c r="AE9" s="10" t="n">
        <f aca="false">IF(OR($B9+AE$2-3&lt;1,$B9+AE$2&gt;設定!$B$5),"",IFERROR(LN(INDEX(月次集計!$J$2:$J$45,$B9+AE$2)/INDEX(月次集計!$J$2:$J$45,$B9+AE$2-3)),""))</f>
        <v>-0.172478766917852</v>
      </c>
      <c r="AF9" s="10" t="n">
        <f aca="false">IF(OR($B9+AF$2-3&lt;1,$B9+AF$2&gt;設定!$B$5),"",IFERROR(LN(INDEX(月次集計!$J$2:$J$45,$B9+AF$2)/INDEX(月次集計!$J$2:$J$45,$B9+AF$2-3)),""))</f>
        <v>0.27642101205102</v>
      </c>
      <c r="AG9" s="10" t="n">
        <f aca="false">IF(OR($B9+AG$2-3&lt;1,$B9+AG$2&gt;設定!$B$5),"",IFERROR(LN(INDEX(月次集計!$J$2:$J$45,$B9+AG$2)/INDEX(月次集計!$J$2:$J$45,$B9+AG$2-3)),""))</f>
        <v>0.330092534526702</v>
      </c>
      <c r="AH9" s="10" t="n">
        <f aca="false">IF(OR($B9+AH$2-3&lt;1,$B9+AH$2&gt;設定!$B$5),"",IFERROR(LN(INDEX(月次集計!$J$2:$J$45,$B9+AH$2)/INDEX(月次集計!$J$2:$J$45,$B9+AH$2-3)),""))</f>
        <v>0.0913655631172735</v>
      </c>
      <c r="AI9" s="10" t="n">
        <f aca="false">IF(OR($B9+AI$2-3&lt;1,$B9+AI$2&gt;設定!$B$5),"",IFERROR(LN(INDEX(月次集計!$J$2:$J$45,$B9+AI$2)/INDEX(月次集計!$J$2:$J$45,$B9+AI$2-3)),""))</f>
        <v>-0.354347769499569</v>
      </c>
      <c r="AJ9" s="10" t="n">
        <f aca="false">IF(OR($B9+AJ$2-3&lt;1,$B9+AJ$2&gt;設定!$B$5),"",IFERROR(LN(INDEX(月次集計!$J$2:$J$45,$B9+AJ$2)/INDEX(月次集計!$J$2:$J$45,$B9+AJ$2-3)),""))</f>
        <v>-0.524844331539346</v>
      </c>
      <c r="AK9" s="10" t="n">
        <f aca="false">IF(OR($B9+AK$2-3&lt;1,$B9+AK$2&gt;設定!$B$5),"",IFERROR(LN(INDEX(月次集計!$J$2:$J$45,$B9+AK$2)/INDEX(月次集計!$J$2:$J$45,$B9+AK$2-3)),""))</f>
        <v>-0.0901573076886836</v>
      </c>
      <c r="AL9" s="10" t="n">
        <f aca="false">IF(OR($B9+AL$2-3&lt;1,$B9+AL$2&gt;設定!$B$5),"",IFERROR(LN(INDEX(月次集計!$J$2:$J$45,$B9+AL$2)/INDEX(月次集計!$J$2:$J$45,$B9+AL$2-3)),""))</f>
        <v>0.0552576107595377</v>
      </c>
      <c r="AM9" s="10" t="n">
        <f aca="false">IF(OR($B9+AM$2-3&lt;1,$B9+AM$2&gt;設定!$B$5),"",IFERROR(LN(INDEX(月次集計!$J$2:$J$45,$B9+AM$2)/INDEX(月次集計!$J$2:$J$45,$B9+AM$2-3)),""))</f>
        <v>0.129996090771301</v>
      </c>
      <c r="AN9" s="10" t="n">
        <f aca="false">IF(OR($B9+AN$2-3&lt;1,$B9+AN$2&gt;設定!$B$5),"",IFERROR(LN(INDEX(月次集計!$J$2:$J$45,$B9+AN$2)/INDEX(月次集計!$J$2:$J$45,$B9+AN$2-3)),""))</f>
        <v>-0.278863658482541</v>
      </c>
      <c r="AO9" s="10" t="n">
        <f aca="false">IF(OR($B9+AO$2-3&lt;1,$B9+AO$2&gt;設定!$B$5),"",IFERROR(LN(INDEX(月次集計!$J$2:$J$45,$B9+AO$2)/INDEX(月次集計!$J$2:$J$45,$B9+AO$2-3)),""))</f>
        <v>-0.118989073437582</v>
      </c>
      <c r="AP9" s="10" t="str">
        <f aca="false">IF(OR($B9+AP$2-3&lt;1,$B9+AP$2&gt;設定!$B$5),"",IFERROR(LN(INDEX(月次集計!$K$2:$K$45,$B9+AP$2)/INDEX(月次集計!$K$2:$K$45,$B9+AP$2-3)),""))</f>
        <v/>
      </c>
      <c r="AQ9" s="10" t="n">
        <f aca="false">IF(OR($B9+AQ$2-3&lt;1,$B9+AQ$2&gt;設定!$B$5),"",IFERROR(LN(INDEX(月次集計!$K$2:$K$45,$B9+AQ$2)/INDEX(月次集計!$K$2:$K$45,$B9+AQ$2-3)),""))</f>
        <v>0.078689643315472</v>
      </c>
      <c r="AR9" s="10" t="n">
        <f aca="false">IF(OR($B9+AR$2-3&lt;1,$B9+AR$2&gt;設定!$B$5),"",IFERROR(LN(INDEX(月次集計!$K$2:$K$45,$B9+AR$2)/INDEX(月次集計!$K$2:$K$45,$B9+AR$2-3)),""))</f>
        <v>-0.0661033142088548</v>
      </c>
      <c r="AS9" s="10" t="n">
        <f aca="false">IF(OR($B9+AS$2-3&lt;1,$B9+AS$2&gt;設定!$B$5),"",IFERROR(LN(INDEX(月次集計!$K$2:$K$45,$B9+AS$2)/INDEX(月次集計!$K$2:$K$45,$B9+AS$2-3)),""))</f>
        <v>-0.0494068482755424</v>
      </c>
      <c r="AT9" s="10" t="n">
        <f aca="false">IF(OR($B9+AT$2-3&lt;1,$B9+AT$2&gt;設定!$B$5),"",IFERROR(LN(INDEX(月次集計!$K$2:$K$45,$B9+AT$2)/INDEX(月次集計!$K$2:$K$45,$B9+AT$2-3)),""))</f>
        <v>0.0316385146633413</v>
      </c>
      <c r="AU9" s="10" t="n">
        <f aca="false">IF(OR($B9+AU$2-3&lt;1,$B9+AU$2&gt;設定!$B$5),"",IFERROR(LN(INDEX(月次集計!$K$2:$K$45,$B9+AU$2)/INDEX(月次集計!$K$2:$K$45,$B9+AU$2-3)),""))</f>
        <v>0.126787972790913</v>
      </c>
      <c r="AV9" s="10" t="n">
        <f aca="false">IF(OR($B9+AV$2-3&lt;1,$B9+AV$2&gt;設定!$B$5),"",IFERROR(LN(INDEX(月次集計!$K$2:$K$45,$B9+AV$2)/INDEX(月次集計!$K$2:$K$45,$B9+AV$2-3)),""))</f>
        <v>0.0820359887033025</v>
      </c>
      <c r="AW9" s="10" t="n">
        <f aca="false">IF(OR($B9+AW$2-3&lt;1,$B9+AW$2&gt;設定!$B$5),"",IFERROR(LN(INDEX(月次集計!$K$2:$K$45,$B9+AW$2)/INDEX(月次集計!$K$2:$K$45,$B9+AW$2-3)),""))</f>
        <v>0.175582058603994</v>
      </c>
      <c r="AX9" s="10" t="n">
        <f aca="false">IF(OR($B9+AX$2-3&lt;1,$B9+AX$2&gt;設定!$B$5),"",IFERROR(LN(INDEX(月次集計!$K$2:$K$45,$B9+AX$2)/INDEX(月次集計!$K$2:$K$45,$B9+AX$2-3)),""))</f>
        <v>0.116007544790417</v>
      </c>
      <c r="AY9" s="10" t="n">
        <f aca="false">IF(OR($B9+AY$2-3&lt;1,$B9+AY$2&gt;設定!$B$5),"",IFERROR(LN(INDEX(月次集計!$K$2:$K$45,$B9+AY$2)/INDEX(月次集計!$K$2:$K$45,$B9+AY$2-3)),""))</f>
        <v>0.144528584099481</v>
      </c>
      <c r="AZ9" s="10" t="n">
        <f aca="false">IF(OR($B9+AZ$2-3&lt;1,$B9+AZ$2&gt;設定!$B$5),"",IFERROR(LN(INDEX(月次集計!$K$2:$K$45,$B9+AZ$2)/INDEX(月次集計!$K$2:$K$45,$B9+AZ$2-3)),""))</f>
        <v>0.29761052750142</v>
      </c>
      <c r="BA9" s="10" t="n">
        <f aca="false">IF(OR($B9+BA$2-3&lt;1,$B9+BA$2&gt;設定!$B$5),"",IFERROR(LN(INDEX(月次集計!$K$2:$K$45,$B9+BA$2)/INDEX(月次集計!$K$2:$K$45,$B9+BA$2-3)),""))</f>
        <v>0.303214977418523</v>
      </c>
      <c r="BB9" s="10" t="n">
        <f aca="false">IF(OR($B9+BB$2-3&lt;1,$B9+BB$2&gt;設定!$B$5),"",IFERROR(LN(INDEX(月次集計!$K$2:$K$45,$B9+BB$2)/INDEX(月次集計!$K$2:$K$45,$B9+BB$2-3)),""))</f>
        <v>0.249706460757958</v>
      </c>
      <c r="BC9" s="10" t="n">
        <f aca="false">IF(OR($B9+BC$2-3&lt;1,$B9+BC$2&gt;設定!$B$5),"",IFERROR(LN(INDEX(月次集計!$L$2:$L$45,$B9+BC$2)/INDEX(月次集計!$L$2:$L$45,$B9+BC$2-3)),""))</f>
        <v>-0.049143958282034</v>
      </c>
      <c r="BD9" s="10" t="n">
        <f aca="false">IF(OR($B9+BD$2-3&lt;1,$B9+BD$2&gt;設定!$B$5),"",IFERROR(LN(INDEX(月次集計!$L$2:$L$45,$B9+BD$2)/INDEX(月次集計!$L$2:$L$45,$B9+BD$2-3)),""))</f>
        <v>0.133624963636994</v>
      </c>
      <c r="BE9" s="10" t="n">
        <f aca="false">IF(OR($B9+BE$2-3&lt;1,$B9+BE$2&gt;設定!$B$5),"",IFERROR(LN(INDEX(月次集計!$L$2:$L$45,$B9+BE$2)/INDEX(月次集計!$L$2:$L$45,$B9+BE$2-3)),""))</f>
        <v>0.158656052147804</v>
      </c>
      <c r="BF9" s="10" t="n">
        <f aca="false">IF(OR($B9+BF$2-3&lt;1,$B9+BF$2&gt;設定!$B$5),"",IFERROR(LN(INDEX(月次集計!$L$2:$L$45,$B9+BF$2)/INDEX(月次集計!$L$2:$L$45,$B9+BF$2-3)),""))</f>
        <v>0.205444074362875</v>
      </c>
      <c r="BG9" s="10" t="n">
        <f aca="false">IF(OR($B9+BG$2-3&lt;1,$B9+BG$2&gt;設定!$B$5),"",IFERROR(LN(INDEX(月次集計!$L$2:$L$45,$B9+BG$2)/INDEX(月次集計!$L$2:$L$45,$B9+BG$2-3)),""))</f>
        <v>0.217323367432785</v>
      </c>
      <c r="BH9" s="10" t="n">
        <f aca="false">IF(OR($B9+BH$2-3&lt;1,$B9+BH$2&gt;設定!$B$5),"",IFERROR(LN(INDEX(月次集計!$L$2:$L$45,$B9+BH$2)/INDEX(月次集計!$L$2:$L$45,$B9+BH$2-3)),""))</f>
        <v>0.120065901180857</v>
      </c>
      <c r="BI9" s="10" t="n">
        <f aca="false">IF(OR($B9+BI$2-3&lt;1,$B9+BI$2&gt;設定!$B$5),"",IFERROR(LN(INDEX(月次集計!$L$2:$L$45,$B9+BI$2)/INDEX(月次集計!$L$2:$L$45,$B9+BI$2-3)),""))</f>
        <v>0.00637620945200817</v>
      </c>
      <c r="BJ9" s="10" t="n">
        <f aca="false">IF(OR($B9+BJ$2-3&lt;1,$B9+BJ$2&gt;設定!$B$5),"",IFERROR(LN(INDEX(月次集計!$L$2:$L$45,$B9+BJ$2)/INDEX(月次集計!$L$2:$L$45,$B9+BJ$2-3)),""))</f>
        <v>-0.0851917572013977</v>
      </c>
      <c r="BK9" s="10" t="n">
        <f aca="false">IF(OR($B9+BK$2-3&lt;1,$B9+BK$2&gt;設定!$B$5),"",IFERROR(LN(INDEX(月次集計!$L$2:$L$45,$B9+BK$2)/INDEX(月次集計!$L$2:$L$45,$B9+BK$2-3)),""))</f>
        <v>0.0657664302409457</v>
      </c>
      <c r="BL9" s="10" t="n">
        <f aca="false">IF(OR($B9+BL$2-3&lt;1,$B9+BL$2&gt;設定!$B$5),"",IFERROR(LN(INDEX(月次集計!$L$2:$L$45,$B9+BL$2)/INDEX(月次集計!$L$2:$L$45,$B9+BL$2-3)),""))</f>
        <v>0.129505699998282</v>
      </c>
      <c r="BM9" s="10" t="n">
        <f aca="false">IF(OR($B9+BM$2-3&lt;1,$B9+BM$2&gt;設定!$B$5),"",IFERROR(LN(INDEX(月次集計!$L$2:$L$45,$B9+BM$2)/INDEX(月次集計!$L$2:$L$45,$B9+BM$2-3)),""))</f>
        <v>0.129075177095672</v>
      </c>
      <c r="BN9" s="10" t="n">
        <f aca="false">IF(OR($B9+BN$2-3&lt;1,$B9+BN$2&gt;設定!$B$5),"",IFERROR(LN(INDEX(月次集計!$L$2:$L$45,$B9+BN$2)/INDEX(月次集計!$L$2:$L$45,$B9+BN$2-3)),""))</f>
        <v>0.044967292026289</v>
      </c>
      <c r="BO9" s="10" t="n">
        <f aca="false">IF(OR($B9+BO$2-3&lt;1,$B9+BO$2&gt;設定!$B$5),"",IFERROR(LN(INDEX(月次集計!$L$2:$L$45,$B9+BO$2)/INDEX(月次集計!$L$2:$L$45,$B9+BO$2-3)),""))</f>
        <v>0.149216473319478</v>
      </c>
    </row>
    <row r="10" customFormat="false" ht="15" hidden="false" customHeight="false" outlineLevel="0" collapsed="false">
      <c r="A10" s="3" t="s">
        <v>80</v>
      </c>
      <c r="B10" s="3" t="n">
        <v>21</v>
      </c>
      <c r="C10" s="10" t="n">
        <f aca="false">IF(OR($B10+C$2-3&lt;1,$B10+C$2&gt;設定!$B$5),"",IFERROR(LN(INDEX(月次集計!$H$2:$H$45,$B10+C$2)/INDEX(月次集計!$H$2:$H$45,$B10+C$2-3)),""))</f>
        <v>0.316138367218135</v>
      </c>
      <c r="D10" s="10" t="n">
        <f aca="false">IF(OR($B10+D$2-3&lt;1,$B10+D$2&gt;設定!$B$5),"",IFERROR(LN(INDEX(月次集計!$H$2:$H$45,$B10+D$2)/INDEX(月次集計!$H$2:$H$45,$B10+D$2-3)),""))</f>
        <v>0.156267812082056</v>
      </c>
      <c r="E10" s="10" t="n">
        <f aca="false">IF(OR($B10+E$2-3&lt;1,$B10+E$2&gt;設定!$B$5),"",IFERROR(LN(INDEX(月次集計!$H$2:$H$45,$B10+E$2)/INDEX(月次集計!$H$2:$H$45,$B10+E$2-3)),""))</f>
        <v>-0.0477963687181381</v>
      </c>
      <c r="F10" s="10" t="n">
        <f aca="false">IF(OR($B10+F$2-3&lt;1,$B10+F$2&gt;設定!$B$5),"",IFERROR(LN(INDEX(月次集計!$H$2:$H$45,$B10+F$2)/INDEX(月次集計!$H$2:$H$45,$B10+F$2-3)),""))</f>
        <v>-0.182703223766299</v>
      </c>
      <c r="G10" s="10" t="n">
        <f aca="false">IF(OR($B10+G$2-3&lt;1,$B10+G$2&gt;設定!$B$5),"",IFERROR(LN(INDEX(月次集計!$H$2:$H$45,$B10+G$2)/INDEX(月次集計!$H$2:$H$45,$B10+G$2-3)),""))</f>
        <v>-0.14469827119406</v>
      </c>
      <c r="H10" s="10" t="n">
        <f aca="false">IF(OR($B10+H$2-3&lt;1,$B10+H$2&gt;設定!$B$5),"",IFERROR(LN(INDEX(月次集計!$H$2:$H$45,$B10+H$2)/INDEX(月次集計!$H$2:$H$45,$B10+H$2-3)),""))</f>
        <v>0.0544791120540406</v>
      </c>
      <c r="I10" s="10" t="n">
        <f aca="false">IF(OR($B10+I$2-3&lt;1,$B10+I$2&gt;設定!$B$5),"",IFERROR(LN(INDEX(月次集計!$H$2:$H$45,$B10+I$2)/INDEX(月次集計!$H$2:$H$45,$B10+I$2-3)),""))</f>
        <v>0.247868320296424</v>
      </c>
      <c r="J10" s="10" t="n">
        <f aca="false">IF(OR($B10+J$2-3&lt;1,$B10+J$2&gt;設定!$B$5),"",IFERROR(LN(INDEX(月次集計!$H$2:$H$45,$B10+J$2)/INDEX(月次集計!$H$2:$H$45,$B10+J$2-3)),""))</f>
        <v>0.310152406379343</v>
      </c>
      <c r="K10" s="10" t="n">
        <f aca="false">IF(OR($B10+K$2-3&lt;1,$B10+K$2&gt;設定!$B$5),"",IFERROR(LN(INDEX(月次集計!$H$2:$H$45,$B10+K$2)/INDEX(月次集計!$H$2:$H$45,$B10+K$2-3)),""))</f>
        <v>0.224476669936245</v>
      </c>
      <c r="L10" s="10" t="n">
        <f aca="false">IF(OR($B10+L$2-3&lt;1,$B10+L$2&gt;設定!$B$5),"",IFERROR(LN(INDEX(月次集計!$H$2:$H$45,$B10+L$2)/INDEX(月次集計!$H$2:$H$45,$B10+L$2-3)),""))</f>
        <v>0.173546171838368</v>
      </c>
      <c r="M10" s="10" t="n">
        <f aca="false">IF(OR($B10+M$2-3&lt;1,$B10+M$2&gt;設定!$B$5),"",IFERROR(LN(INDEX(月次集計!$H$2:$H$45,$B10+M$2)/INDEX(月次集計!$H$2:$H$45,$B10+M$2-3)),""))</f>
        <v>-0.0193668865838496</v>
      </c>
      <c r="N10" s="10" t="n">
        <f aca="false">IF(OR($B10+N$2-3&lt;1,$B10+N$2&gt;設定!$B$5),"",IFERROR(LN(INDEX(月次集計!$H$2:$H$45,$B10+N$2)/INDEX(月次集計!$H$2:$H$45,$B10+N$2-3)),""))</f>
        <v>0.0163078636665818</v>
      </c>
      <c r="O10" s="10" t="n">
        <f aca="false">IF(OR($B10+O$2-3&lt;1,$B10+O$2&gt;設定!$B$5),"",IFERROR(LN(INDEX(月次集計!$H$2:$H$45,$B10+O$2)/INDEX(月次集計!$H$2:$H$45,$B10+O$2-3)),""))</f>
        <v>0.118705342615815</v>
      </c>
      <c r="P10" s="10" t="n">
        <f aca="false">IF(OR($B10+P$2-3&lt;1,$B10+P$2&gt;設定!$B$5),"",IFERROR(LN(INDEX(月次集計!$I$2:$I$45,$B10+P$2)/INDEX(月次集計!$I$2:$I$45,$B10+P$2-3)),""))</f>
        <v>0.0214623681479303</v>
      </c>
      <c r="Q10" s="10" t="n">
        <f aca="false">IF(OR($B10+Q$2-3&lt;1,$B10+Q$2&gt;設定!$B$5),"",IFERROR(LN(INDEX(月次集計!$I$2:$I$45,$B10+Q$2)/INDEX(月次集計!$I$2:$I$45,$B10+Q$2-3)),""))</f>
        <v>0.240759999232384</v>
      </c>
      <c r="R10" s="10" t="n">
        <f aca="false">IF(OR($B10+R$2-3&lt;1,$B10+R$2&gt;設定!$B$5),"",IFERROR(LN(INDEX(月次集計!$I$2:$I$45,$B10+R$2)/INDEX(月次集計!$I$2:$I$45,$B10+R$2-3)),""))</f>
        <v>0.341834890746834</v>
      </c>
      <c r="S10" s="10" t="n">
        <f aca="false">IF(OR($B10+S$2-3&lt;1,$B10+S$2&gt;設定!$B$5),"",IFERROR(LN(INDEX(月次集計!$I$2:$I$45,$B10+S$2)/INDEX(月次集計!$I$2:$I$45,$B10+S$2-3)),""))</f>
        <v>0.376577842891135</v>
      </c>
      <c r="T10" s="10" t="n">
        <f aca="false">IF(OR($B10+T$2-3&lt;1,$B10+T$2&gt;設定!$B$5),"",IFERROR(LN(INDEX(月次集計!$I$2:$I$45,$B10+T$2)/INDEX(月次集計!$I$2:$I$45,$B10+T$2-3)),""))</f>
        <v>0.131137656529186</v>
      </c>
      <c r="U10" s="10" t="n">
        <f aca="false">IF(OR($B10+U$2-3&lt;1,$B10+U$2&gt;設定!$B$5),"",IFERROR(LN(INDEX(月次集計!$I$2:$I$45,$B10+U$2)/INDEX(月次集計!$I$2:$I$45,$B10+U$2-3)),""))</f>
        <v>0.130777295481697</v>
      </c>
      <c r="V10" s="10" t="n">
        <f aca="false">IF(OR($B10+V$2-3&lt;1,$B10+V$2&gt;設定!$B$5),"",IFERROR(LN(INDEX(月次集計!$I$2:$I$45,$B10+V$2)/INDEX(月次集計!$I$2:$I$45,$B10+V$2-3)),""))</f>
        <v>0.0364871424044422</v>
      </c>
      <c r="W10" s="10" t="n">
        <f aca="false">IF(OR($B10+W$2-3&lt;1,$B10+W$2&gt;設定!$B$5),"",IFERROR(LN(INDEX(月次集計!$I$2:$I$45,$B10+W$2)/INDEX(月次集計!$I$2:$I$45,$B10+W$2-3)),""))</f>
        <v>-0.0688607065009369</v>
      </c>
      <c r="X10" s="10" t="n">
        <f aca="false">IF(OR($B10+X$2-3&lt;1,$B10+X$2&gt;設定!$B$5),"",IFERROR(LN(INDEX(月次集計!$I$2:$I$45,$B10+X$2)/INDEX(月次集計!$I$2:$I$45,$B10+X$2-3)),""))</f>
        <v>-0.0621617932470671</v>
      </c>
      <c r="Y10" s="10" t="n">
        <f aca="false">IF(OR($B10+Y$2-3&lt;1,$B10+Y$2&gt;設定!$B$5),"",IFERROR(LN(INDEX(月次集計!$I$2:$I$45,$B10+Y$2)/INDEX(月次集計!$I$2:$I$45,$B10+Y$2-3)),""))</f>
        <v>0.192045754829276</v>
      </c>
      <c r="Z10" s="10" t="n">
        <f aca="false">IF(OR($B10+Z$2-3&lt;1,$B10+Z$2&gt;設定!$B$5),"",IFERROR(LN(INDEX(月次集計!$I$2:$I$45,$B10+Z$2)/INDEX(月次集計!$I$2:$I$45,$B10+Z$2-3)),""))</f>
        <v>0.300288736870483</v>
      </c>
      <c r="AA10" s="10" t="n">
        <f aca="false">IF(OR($B10+AA$2-3&lt;1,$B10+AA$2&gt;設定!$B$5),"",IFERROR(LN(INDEX(月次集計!$I$2:$I$45,$B10+AA$2)/INDEX(月次集計!$I$2:$I$45,$B10+AA$2-3)),""))</f>
        <v>0.370943518840004</v>
      </c>
      <c r="AB10" s="10" t="n">
        <f aca="false">IF(OR($B10+AB$2-3&lt;1,$B10+AB$2&gt;設定!$B$5),"",IFERROR(LN(INDEX(月次集計!$I$2:$I$45,$B10+AB$2)/INDEX(月次集計!$I$2:$I$45,$B10+AB$2-3)),""))</f>
        <v>0.250453588989763</v>
      </c>
      <c r="AC10" s="10" t="n">
        <f aca="false">IF(OR($B10+AC$2-3&lt;1,$B10+AC$2&gt;設定!$B$5),"",IFERROR(LN(INDEX(月次集計!$J$2:$J$45,$B10+AC$2)/INDEX(月次集計!$J$2:$J$45,$B10+AC$2-3)),""))</f>
        <v>0.27642101205102</v>
      </c>
      <c r="AD10" s="10" t="n">
        <f aca="false">IF(OR($B10+AD$2-3&lt;1,$B10+AD$2&gt;設定!$B$5),"",IFERROR(LN(INDEX(月次集計!$J$2:$J$45,$B10+AD$2)/INDEX(月次集計!$J$2:$J$45,$B10+AD$2-3)),""))</f>
        <v>0.330092534526702</v>
      </c>
      <c r="AE10" s="10" t="n">
        <f aca="false">IF(OR($B10+AE$2-3&lt;1,$B10+AE$2&gt;設定!$B$5),"",IFERROR(LN(INDEX(月次集計!$J$2:$J$45,$B10+AE$2)/INDEX(月次集計!$J$2:$J$45,$B10+AE$2-3)),""))</f>
        <v>0.0913655631172735</v>
      </c>
      <c r="AF10" s="10" t="n">
        <f aca="false">IF(OR($B10+AF$2-3&lt;1,$B10+AF$2&gt;設定!$B$5),"",IFERROR(LN(INDEX(月次集計!$J$2:$J$45,$B10+AF$2)/INDEX(月次集計!$J$2:$J$45,$B10+AF$2-3)),""))</f>
        <v>-0.354347769499569</v>
      </c>
      <c r="AG10" s="10" t="n">
        <f aca="false">IF(OR($B10+AG$2-3&lt;1,$B10+AG$2&gt;設定!$B$5),"",IFERROR(LN(INDEX(月次集計!$J$2:$J$45,$B10+AG$2)/INDEX(月次集計!$J$2:$J$45,$B10+AG$2-3)),""))</f>
        <v>-0.524844331539346</v>
      </c>
      <c r="AH10" s="10" t="n">
        <f aca="false">IF(OR($B10+AH$2-3&lt;1,$B10+AH$2&gt;設定!$B$5),"",IFERROR(LN(INDEX(月次集計!$J$2:$J$45,$B10+AH$2)/INDEX(月次集計!$J$2:$J$45,$B10+AH$2-3)),""))</f>
        <v>-0.0901573076886836</v>
      </c>
      <c r="AI10" s="10" t="n">
        <f aca="false">IF(OR($B10+AI$2-3&lt;1,$B10+AI$2&gt;設定!$B$5),"",IFERROR(LN(INDEX(月次集計!$J$2:$J$45,$B10+AI$2)/INDEX(月次集計!$J$2:$J$45,$B10+AI$2-3)),""))</f>
        <v>0.0552576107595377</v>
      </c>
      <c r="AJ10" s="10" t="n">
        <f aca="false">IF(OR($B10+AJ$2-3&lt;1,$B10+AJ$2&gt;設定!$B$5),"",IFERROR(LN(INDEX(月次集計!$J$2:$J$45,$B10+AJ$2)/INDEX(月次集計!$J$2:$J$45,$B10+AJ$2-3)),""))</f>
        <v>0.129996090771301</v>
      </c>
      <c r="AK10" s="10" t="n">
        <f aca="false">IF(OR($B10+AK$2-3&lt;1,$B10+AK$2&gt;設定!$B$5),"",IFERROR(LN(INDEX(月次集計!$J$2:$J$45,$B10+AK$2)/INDEX(月次集計!$J$2:$J$45,$B10+AK$2-3)),""))</f>
        <v>-0.278863658482541</v>
      </c>
      <c r="AL10" s="10" t="n">
        <f aca="false">IF(OR($B10+AL$2-3&lt;1,$B10+AL$2&gt;設定!$B$5),"",IFERROR(LN(INDEX(月次集計!$J$2:$J$45,$B10+AL$2)/INDEX(月次集計!$J$2:$J$45,$B10+AL$2-3)),""))</f>
        <v>-0.118989073437582</v>
      </c>
      <c r="AM10" s="10" t="n">
        <f aca="false">IF(OR($B10+AM$2-3&lt;1,$B10+AM$2&gt;設定!$B$5),"",IFERROR(LN(INDEX(月次集計!$J$2:$J$45,$B10+AM$2)/INDEX(月次集計!$J$2:$J$45,$B10+AM$2-3)),""))</f>
        <v>0.0420634594249383</v>
      </c>
      <c r="AN10" s="10" t="n">
        <f aca="false">IF(OR($B10+AN$2-3&lt;1,$B10+AN$2&gt;設定!$B$5),"",IFERROR(LN(INDEX(月次集計!$J$2:$J$45,$B10+AN$2)/INDEX(月次集計!$J$2:$J$45,$B10+AN$2-3)),""))</f>
        <v>0.101203275888013</v>
      </c>
      <c r="AO10" s="10" t="n">
        <f aca="false">IF(OR($B10+AO$2-3&lt;1,$B10+AO$2&gt;設定!$B$5),"",IFERROR(LN(INDEX(月次集計!$J$2:$J$45,$B10+AO$2)/INDEX(月次集計!$J$2:$J$45,$B10+AO$2-3)),""))</f>
        <v>-0.0139874628632832</v>
      </c>
      <c r="AP10" s="10" t="n">
        <f aca="false">IF(OR($B10+AP$2-3&lt;1,$B10+AP$2&gt;設定!$B$5),"",IFERROR(LN(INDEX(月次集計!$K$2:$K$45,$B10+AP$2)/INDEX(月次集計!$K$2:$K$45,$B10+AP$2-3)),""))</f>
        <v>-0.0494068482755424</v>
      </c>
      <c r="AQ10" s="10" t="n">
        <f aca="false">IF(OR($B10+AQ$2-3&lt;1,$B10+AQ$2&gt;設定!$B$5),"",IFERROR(LN(INDEX(月次集計!$K$2:$K$45,$B10+AQ$2)/INDEX(月次集計!$K$2:$K$45,$B10+AQ$2-3)),""))</f>
        <v>0.0316385146633413</v>
      </c>
      <c r="AR10" s="10" t="n">
        <f aca="false">IF(OR($B10+AR$2-3&lt;1,$B10+AR$2&gt;設定!$B$5),"",IFERROR(LN(INDEX(月次集計!$K$2:$K$45,$B10+AR$2)/INDEX(月次集計!$K$2:$K$45,$B10+AR$2-3)),""))</f>
        <v>0.126787972790913</v>
      </c>
      <c r="AS10" s="10" t="n">
        <f aca="false">IF(OR($B10+AS$2-3&lt;1,$B10+AS$2&gt;設定!$B$5),"",IFERROR(LN(INDEX(月次集計!$K$2:$K$45,$B10+AS$2)/INDEX(月次集計!$K$2:$K$45,$B10+AS$2-3)),""))</f>
        <v>0.0820359887033025</v>
      </c>
      <c r="AT10" s="10" t="n">
        <f aca="false">IF(OR($B10+AT$2-3&lt;1,$B10+AT$2&gt;設定!$B$5),"",IFERROR(LN(INDEX(月次集計!$K$2:$K$45,$B10+AT$2)/INDEX(月次集計!$K$2:$K$45,$B10+AT$2-3)),""))</f>
        <v>0.175582058603994</v>
      </c>
      <c r="AU10" s="10" t="n">
        <f aca="false">IF(OR($B10+AU$2-3&lt;1,$B10+AU$2&gt;設定!$B$5),"",IFERROR(LN(INDEX(月次集計!$K$2:$K$45,$B10+AU$2)/INDEX(月次集計!$K$2:$K$45,$B10+AU$2-3)),""))</f>
        <v>0.116007544790417</v>
      </c>
      <c r="AV10" s="10" t="n">
        <f aca="false">IF(OR($B10+AV$2-3&lt;1,$B10+AV$2&gt;設定!$B$5),"",IFERROR(LN(INDEX(月次集計!$K$2:$K$45,$B10+AV$2)/INDEX(月次集計!$K$2:$K$45,$B10+AV$2-3)),""))</f>
        <v>0.144528584099481</v>
      </c>
      <c r="AW10" s="10" t="n">
        <f aca="false">IF(OR($B10+AW$2-3&lt;1,$B10+AW$2&gt;設定!$B$5),"",IFERROR(LN(INDEX(月次集計!$K$2:$K$45,$B10+AW$2)/INDEX(月次集計!$K$2:$K$45,$B10+AW$2-3)),""))</f>
        <v>0.29761052750142</v>
      </c>
      <c r="AX10" s="10" t="n">
        <f aca="false">IF(OR($B10+AX$2-3&lt;1,$B10+AX$2&gt;設定!$B$5),"",IFERROR(LN(INDEX(月次集計!$K$2:$K$45,$B10+AX$2)/INDEX(月次集計!$K$2:$K$45,$B10+AX$2-3)),""))</f>
        <v>0.303214977418523</v>
      </c>
      <c r="AY10" s="10" t="n">
        <f aca="false">IF(OR($B10+AY$2-3&lt;1,$B10+AY$2&gt;設定!$B$5),"",IFERROR(LN(INDEX(月次集計!$K$2:$K$45,$B10+AY$2)/INDEX(月次集計!$K$2:$K$45,$B10+AY$2-3)),""))</f>
        <v>0.249706460757958</v>
      </c>
      <c r="AZ10" s="10" t="n">
        <f aca="false">IF(OR($B10+AZ$2-3&lt;1,$B10+AZ$2&gt;設定!$B$5),"",IFERROR(LN(INDEX(月次集計!$K$2:$K$45,$B10+AZ$2)/INDEX(月次集計!$K$2:$K$45,$B10+AZ$2-3)),""))</f>
        <v>-0.426891189808397</v>
      </c>
      <c r="BA10" s="10" t="n">
        <f aca="false">IF(OR($B10+BA$2-3&lt;1,$B10+BA$2&gt;設定!$B$5),"",IFERROR(LN(INDEX(月次集計!$K$2:$K$45,$B10+BA$2)/INDEX(月次集計!$K$2:$K$45,$B10+BA$2-3)),""))</f>
        <v>-0.42340435716097</v>
      </c>
      <c r="BB10" s="10" t="n">
        <f aca="false">IF(OR($B10+BB$2-3&lt;1,$B10+BB$2&gt;設定!$B$5),"",IFERROR(LN(INDEX(月次集計!$K$2:$K$45,$B10+BB$2)/INDEX(月次集計!$K$2:$K$45,$B10+BB$2-3)),""))</f>
        <v>-0.418873973250833</v>
      </c>
      <c r="BC10" s="10" t="n">
        <f aca="false">IF(OR($B10+BC$2-3&lt;1,$B10+BC$2&gt;設定!$B$5),"",IFERROR(LN(INDEX(月次集計!$L$2:$L$45,$B10+BC$2)/INDEX(月次集計!$L$2:$L$45,$B10+BC$2-3)),""))</f>
        <v>0.205444074362875</v>
      </c>
      <c r="BD10" s="10" t="n">
        <f aca="false">IF(OR($B10+BD$2-3&lt;1,$B10+BD$2&gt;設定!$B$5),"",IFERROR(LN(INDEX(月次集計!$L$2:$L$45,$B10+BD$2)/INDEX(月次集計!$L$2:$L$45,$B10+BD$2-3)),""))</f>
        <v>0.217323367432785</v>
      </c>
      <c r="BE10" s="10" t="n">
        <f aca="false">IF(OR($B10+BE$2-3&lt;1,$B10+BE$2&gt;設定!$B$5),"",IFERROR(LN(INDEX(月次集計!$L$2:$L$45,$B10+BE$2)/INDEX(月次集計!$L$2:$L$45,$B10+BE$2-3)),""))</f>
        <v>0.120065901180857</v>
      </c>
      <c r="BF10" s="10" t="n">
        <f aca="false">IF(OR($B10+BF$2-3&lt;1,$B10+BF$2&gt;設定!$B$5),"",IFERROR(LN(INDEX(月次集計!$L$2:$L$45,$B10+BF$2)/INDEX(月次集計!$L$2:$L$45,$B10+BF$2-3)),""))</f>
        <v>0.00637620945200817</v>
      </c>
      <c r="BG10" s="10" t="n">
        <f aca="false">IF(OR($B10+BG$2-3&lt;1,$B10+BG$2&gt;設定!$B$5),"",IFERROR(LN(INDEX(月次集計!$L$2:$L$45,$B10+BG$2)/INDEX(月次集計!$L$2:$L$45,$B10+BG$2-3)),""))</f>
        <v>-0.0851917572013977</v>
      </c>
      <c r="BH10" s="10" t="n">
        <f aca="false">IF(OR($B10+BH$2-3&lt;1,$B10+BH$2&gt;設定!$B$5),"",IFERROR(LN(INDEX(月次集計!$L$2:$L$45,$B10+BH$2)/INDEX(月次集計!$L$2:$L$45,$B10+BH$2-3)),""))</f>
        <v>0.0657664302409457</v>
      </c>
      <c r="BI10" s="10" t="n">
        <f aca="false">IF(OR($B10+BI$2-3&lt;1,$B10+BI$2&gt;設定!$B$5),"",IFERROR(LN(INDEX(月次集計!$L$2:$L$45,$B10+BI$2)/INDEX(月次集計!$L$2:$L$45,$B10+BI$2-3)),""))</f>
        <v>0.129505699998282</v>
      </c>
      <c r="BJ10" s="10" t="n">
        <f aca="false">IF(OR($B10+BJ$2-3&lt;1,$B10+BJ$2&gt;設定!$B$5),"",IFERROR(LN(INDEX(月次集計!$L$2:$L$45,$B10+BJ$2)/INDEX(月次集計!$L$2:$L$45,$B10+BJ$2-3)),""))</f>
        <v>0.129075177095672</v>
      </c>
      <c r="BK10" s="10" t="n">
        <f aca="false">IF(OR($B10+BK$2-3&lt;1,$B10+BK$2&gt;設定!$B$5),"",IFERROR(LN(INDEX(月次集計!$L$2:$L$45,$B10+BK$2)/INDEX(月次集計!$L$2:$L$45,$B10+BK$2-3)),""))</f>
        <v>0.044967292026289</v>
      </c>
      <c r="BL10" s="10" t="n">
        <f aca="false">IF(OR($B10+BL$2-3&lt;1,$B10+BL$2&gt;設定!$B$5),"",IFERROR(LN(INDEX(月次集計!$L$2:$L$45,$B10+BL$2)/INDEX(月次集計!$L$2:$L$45,$B10+BL$2-3)),""))</f>
        <v>0.149216473319478</v>
      </c>
      <c r="BM10" s="10" t="n">
        <f aca="false">IF(OR($B10+BM$2-3&lt;1,$B10+BM$2&gt;設定!$B$5),"",IFERROR(LN(INDEX(月次集計!$L$2:$L$45,$B10+BM$2)/INDEX(月次集計!$L$2:$L$45,$B10+BM$2-3)),""))</f>
        <v>0.121071375951032</v>
      </c>
      <c r="BN10" s="10" t="n">
        <f aca="false">IF(OR($B10+BN$2-3&lt;1,$B10+BN$2&gt;設定!$B$5),"",IFERROR(LN(INDEX(月次集計!$L$2:$L$45,$B10+BN$2)/INDEX(月次集計!$L$2:$L$45,$B10+BN$2-3)),""))</f>
        <v>0.180076944837113</v>
      </c>
      <c r="BO10" s="10" t="n">
        <f aca="false">IF(OR($B10+BO$2-3&lt;1,$B10+BO$2&gt;設定!$B$5),"",IFERROR(LN(INDEX(月次集計!$L$2:$L$45,$B10+BO$2)/INDEX(月次集計!$L$2:$L$45,$B10+BO$2-3)),""))</f>
        <v>0.167344064189502</v>
      </c>
    </row>
    <row r="11" customFormat="false" ht="15" hidden="false" customHeight="false" outlineLevel="0" collapsed="false">
      <c r="A11" s="3" t="s">
        <v>81</v>
      </c>
      <c r="B11" s="3" t="n">
        <v>24</v>
      </c>
      <c r="C11" s="10" t="n">
        <f aca="false">IF(OR($B11+C$2-3&lt;1,$B11+C$2&gt;設定!$B$5),"",IFERROR(LN(INDEX(月次集計!$H$2:$H$45,$B11+C$2)/INDEX(月次集計!$H$2:$H$45,$B11+C$2-3)),""))</f>
        <v>-0.182703223766299</v>
      </c>
      <c r="D11" s="10" t="n">
        <f aca="false">IF(OR($B11+D$2-3&lt;1,$B11+D$2&gt;設定!$B$5),"",IFERROR(LN(INDEX(月次集計!$H$2:$H$45,$B11+D$2)/INDEX(月次集計!$H$2:$H$45,$B11+D$2-3)),""))</f>
        <v>-0.14469827119406</v>
      </c>
      <c r="E11" s="10" t="n">
        <f aca="false">IF(OR($B11+E$2-3&lt;1,$B11+E$2&gt;設定!$B$5),"",IFERROR(LN(INDEX(月次集計!$H$2:$H$45,$B11+E$2)/INDEX(月次集計!$H$2:$H$45,$B11+E$2-3)),""))</f>
        <v>0.0544791120540406</v>
      </c>
      <c r="F11" s="10" t="n">
        <f aca="false">IF(OR($B11+F$2-3&lt;1,$B11+F$2&gt;設定!$B$5),"",IFERROR(LN(INDEX(月次集計!$H$2:$H$45,$B11+F$2)/INDEX(月次集計!$H$2:$H$45,$B11+F$2-3)),""))</f>
        <v>0.247868320296424</v>
      </c>
      <c r="G11" s="10" t="n">
        <f aca="false">IF(OR($B11+G$2-3&lt;1,$B11+G$2&gt;設定!$B$5),"",IFERROR(LN(INDEX(月次集計!$H$2:$H$45,$B11+G$2)/INDEX(月次集計!$H$2:$H$45,$B11+G$2-3)),""))</f>
        <v>0.310152406379343</v>
      </c>
      <c r="H11" s="10" t="n">
        <f aca="false">IF(OR($B11+H$2-3&lt;1,$B11+H$2&gt;設定!$B$5),"",IFERROR(LN(INDEX(月次集計!$H$2:$H$45,$B11+H$2)/INDEX(月次集計!$H$2:$H$45,$B11+H$2-3)),""))</f>
        <v>0.224476669936245</v>
      </c>
      <c r="I11" s="10" t="n">
        <f aca="false">IF(OR($B11+I$2-3&lt;1,$B11+I$2&gt;設定!$B$5),"",IFERROR(LN(INDEX(月次集計!$H$2:$H$45,$B11+I$2)/INDEX(月次集計!$H$2:$H$45,$B11+I$2-3)),""))</f>
        <v>0.173546171838368</v>
      </c>
      <c r="J11" s="10" t="n">
        <f aca="false">IF(OR($B11+J$2-3&lt;1,$B11+J$2&gt;設定!$B$5),"",IFERROR(LN(INDEX(月次集計!$H$2:$H$45,$B11+J$2)/INDEX(月次集計!$H$2:$H$45,$B11+J$2-3)),""))</f>
        <v>-0.0193668865838496</v>
      </c>
      <c r="K11" s="10" t="n">
        <f aca="false">IF(OR($B11+K$2-3&lt;1,$B11+K$2&gt;設定!$B$5),"",IFERROR(LN(INDEX(月次集計!$H$2:$H$45,$B11+K$2)/INDEX(月次集計!$H$2:$H$45,$B11+K$2-3)),""))</f>
        <v>0.0163078636665818</v>
      </c>
      <c r="L11" s="10" t="n">
        <f aca="false">IF(OR($B11+L$2-3&lt;1,$B11+L$2&gt;設定!$B$5),"",IFERROR(LN(INDEX(月次集計!$H$2:$H$45,$B11+L$2)/INDEX(月次集計!$H$2:$H$45,$B11+L$2-3)),""))</f>
        <v>0.118705342615815</v>
      </c>
      <c r="M11" s="10" t="n">
        <f aca="false">IF(OR($B11+M$2-3&lt;1,$B11+M$2&gt;設定!$B$5),"",IFERROR(LN(INDEX(月次集計!$H$2:$H$45,$B11+M$2)/INDEX(月次集計!$H$2:$H$45,$B11+M$2-3)),""))</f>
        <v>0.259032288527</v>
      </c>
      <c r="N11" s="10" t="n">
        <f aca="false">IF(OR($B11+N$2-3&lt;1,$B11+N$2&gt;設定!$B$5),"",IFERROR(LN(INDEX(月次集計!$H$2:$H$45,$B11+N$2)/INDEX(月次集計!$H$2:$H$45,$B11+N$2-3)),""))</f>
        <v>0.141345115332955</v>
      </c>
      <c r="O11" s="10" t="n">
        <f aca="false">IF(OR($B11+O$2-3&lt;1,$B11+O$2&gt;設定!$B$5),"",IFERROR(LN(INDEX(月次集計!$H$2:$H$45,$B11+O$2)/INDEX(月次集計!$H$2:$H$45,$B11+O$2-3)),""))</f>
        <v>-0.180034834838936</v>
      </c>
      <c r="P11" s="10" t="n">
        <f aca="false">IF(OR($B11+P$2-3&lt;1,$B11+P$2&gt;設定!$B$5),"",IFERROR(LN(INDEX(月次集計!$I$2:$I$45,$B11+P$2)/INDEX(月次集計!$I$2:$I$45,$B11+P$2-3)),""))</f>
        <v>0.376577842891135</v>
      </c>
      <c r="Q11" s="10" t="n">
        <f aca="false">IF(OR($B11+Q$2-3&lt;1,$B11+Q$2&gt;設定!$B$5),"",IFERROR(LN(INDEX(月次集計!$I$2:$I$45,$B11+Q$2)/INDEX(月次集計!$I$2:$I$45,$B11+Q$2-3)),""))</f>
        <v>0.131137656529186</v>
      </c>
      <c r="R11" s="10" t="n">
        <f aca="false">IF(OR($B11+R$2-3&lt;1,$B11+R$2&gt;設定!$B$5),"",IFERROR(LN(INDEX(月次集計!$I$2:$I$45,$B11+R$2)/INDEX(月次集計!$I$2:$I$45,$B11+R$2-3)),""))</f>
        <v>0.130777295481697</v>
      </c>
      <c r="S11" s="10" t="n">
        <f aca="false">IF(OR($B11+S$2-3&lt;1,$B11+S$2&gt;設定!$B$5),"",IFERROR(LN(INDEX(月次集計!$I$2:$I$45,$B11+S$2)/INDEX(月次集計!$I$2:$I$45,$B11+S$2-3)),""))</f>
        <v>0.0364871424044422</v>
      </c>
      <c r="T11" s="10" t="n">
        <f aca="false">IF(OR($B11+T$2-3&lt;1,$B11+T$2&gt;設定!$B$5),"",IFERROR(LN(INDEX(月次集計!$I$2:$I$45,$B11+T$2)/INDEX(月次集計!$I$2:$I$45,$B11+T$2-3)),""))</f>
        <v>-0.0688607065009369</v>
      </c>
      <c r="U11" s="10" t="n">
        <f aca="false">IF(OR($B11+U$2-3&lt;1,$B11+U$2&gt;設定!$B$5),"",IFERROR(LN(INDEX(月次集計!$I$2:$I$45,$B11+U$2)/INDEX(月次集計!$I$2:$I$45,$B11+U$2-3)),""))</f>
        <v>-0.0621617932470671</v>
      </c>
      <c r="V11" s="10" t="n">
        <f aca="false">IF(OR($B11+V$2-3&lt;1,$B11+V$2&gt;設定!$B$5),"",IFERROR(LN(INDEX(月次集計!$I$2:$I$45,$B11+V$2)/INDEX(月次集計!$I$2:$I$45,$B11+V$2-3)),""))</f>
        <v>0.192045754829276</v>
      </c>
      <c r="W11" s="10" t="n">
        <f aca="false">IF(OR($B11+W$2-3&lt;1,$B11+W$2&gt;設定!$B$5),"",IFERROR(LN(INDEX(月次集計!$I$2:$I$45,$B11+W$2)/INDEX(月次集計!$I$2:$I$45,$B11+W$2-3)),""))</f>
        <v>0.300288736870483</v>
      </c>
      <c r="X11" s="10" t="n">
        <f aca="false">IF(OR($B11+X$2-3&lt;1,$B11+X$2&gt;設定!$B$5),"",IFERROR(LN(INDEX(月次集計!$I$2:$I$45,$B11+X$2)/INDEX(月次集計!$I$2:$I$45,$B11+X$2-3)),""))</f>
        <v>0.370943518840004</v>
      </c>
      <c r="Y11" s="10" t="n">
        <f aca="false">IF(OR($B11+Y$2-3&lt;1,$B11+Y$2&gt;設定!$B$5),"",IFERROR(LN(INDEX(月次集計!$I$2:$I$45,$B11+Y$2)/INDEX(月次集計!$I$2:$I$45,$B11+Y$2-3)),""))</f>
        <v>0.250453588989763</v>
      </c>
      <c r="Z11" s="10" t="n">
        <f aca="false">IF(OR($B11+Z$2-3&lt;1,$B11+Z$2&gt;設定!$B$5),"",IFERROR(LN(INDEX(月次集計!$I$2:$I$45,$B11+Z$2)/INDEX(月次集計!$I$2:$I$45,$B11+Z$2-3)),""))</f>
        <v>0.393958106794194</v>
      </c>
      <c r="AA11" s="10" t="n">
        <f aca="false">IF(OR($B11+AA$2-3&lt;1,$B11+AA$2&gt;設定!$B$5),"",IFERROR(LN(INDEX(月次集計!$I$2:$I$45,$B11+AA$2)/INDEX(月次集計!$I$2:$I$45,$B11+AA$2-3)),""))</f>
        <v>0.241681284649496</v>
      </c>
      <c r="AB11" s="10" t="n">
        <f aca="false">IF(OR($B11+AB$2-3&lt;1,$B11+AB$2&gt;設定!$B$5),"",IFERROR(LN(INDEX(月次集計!$I$2:$I$45,$B11+AB$2)/INDEX(月次集計!$I$2:$I$45,$B11+AB$2-3)),""))</f>
        <v>0.0329473859760162</v>
      </c>
      <c r="AC11" s="10" t="n">
        <f aca="false">IF(OR($B11+AC$2-3&lt;1,$B11+AC$2&gt;設定!$B$5),"",IFERROR(LN(INDEX(月次集計!$J$2:$J$45,$B11+AC$2)/INDEX(月次集計!$J$2:$J$45,$B11+AC$2-3)),""))</f>
        <v>-0.354347769499569</v>
      </c>
      <c r="AD11" s="10" t="n">
        <f aca="false">IF(OR($B11+AD$2-3&lt;1,$B11+AD$2&gt;設定!$B$5),"",IFERROR(LN(INDEX(月次集計!$J$2:$J$45,$B11+AD$2)/INDEX(月次集計!$J$2:$J$45,$B11+AD$2-3)),""))</f>
        <v>-0.524844331539346</v>
      </c>
      <c r="AE11" s="10" t="n">
        <f aca="false">IF(OR($B11+AE$2-3&lt;1,$B11+AE$2&gt;設定!$B$5),"",IFERROR(LN(INDEX(月次集計!$J$2:$J$45,$B11+AE$2)/INDEX(月次集計!$J$2:$J$45,$B11+AE$2-3)),""))</f>
        <v>-0.0901573076886836</v>
      </c>
      <c r="AF11" s="10" t="n">
        <f aca="false">IF(OR($B11+AF$2-3&lt;1,$B11+AF$2&gt;設定!$B$5),"",IFERROR(LN(INDEX(月次集計!$J$2:$J$45,$B11+AF$2)/INDEX(月次集計!$J$2:$J$45,$B11+AF$2-3)),""))</f>
        <v>0.0552576107595377</v>
      </c>
      <c r="AG11" s="10" t="n">
        <f aca="false">IF(OR($B11+AG$2-3&lt;1,$B11+AG$2&gt;設定!$B$5),"",IFERROR(LN(INDEX(月次集計!$J$2:$J$45,$B11+AG$2)/INDEX(月次集計!$J$2:$J$45,$B11+AG$2-3)),""))</f>
        <v>0.129996090771301</v>
      </c>
      <c r="AH11" s="10" t="n">
        <f aca="false">IF(OR($B11+AH$2-3&lt;1,$B11+AH$2&gt;設定!$B$5),"",IFERROR(LN(INDEX(月次集計!$J$2:$J$45,$B11+AH$2)/INDEX(月次集計!$J$2:$J$45,$B11+AH$2-3)),""))</f>
        <v>-0.278863658482541</v>
      </c>
      <c r="AI11" s="10" t="n">
        <f aca="false">IF(OR($B11+AI$2-3&lt;1,$B11+AI$2&gt;設定!$B$5),"",IFERROR(LN(INDEX(月次集計!$J$2:$J$45,$B11+AI$2)/INDEX(月次集計!$J$2:$J$45,$B11+AI$2-3)),""))</f>
        <v>-0.118989073437582</v>
      </c>
      <c r="AJ11" s="10" t="n">
        <f aca="false">IF(OR($B11+AJ$2-3&lt;1,$B11+AJ$2&gt;設定!$B$5),"",IFERROR(LN(INDEX(月次集計!$J$2:$J$45,$B11+AJ$2)/INDEX(月次集計!$J$2:$J$45,$B11+AJ$2-3)),""))</f>
        <v>0.0420634594249383</v>
      </c>
      <c r="AK11" s="10" t="n">
        <f aca="false">IF(OR($B11+AK$2-3&lt;1,$B11+AK$2&gt;設定!$B$5),"",IFERROR(LN(INDEX(月次集計!$J$2:$J$45,$B11+AK$2)/INDEX(月次集計!$J$2:$J$45,$B11+AK$2-3)),""))</f>
        <v>0.101203275888013</v>
      </c>
      <c r="AL11" s="10" t="n">
        <f aca="false">IF(OR($B11+AL$2-3&lt;1,$B11+AL$2&gt;設定!$B$5),"",IFERROR(LN(INDEX(月次集計!$J$2:$J$45,$B11+AL$2)/INDEX(月次集計!$J$2:$J$45,$B11+AL$2-3)),""))</f>
        <v>-0.0139874628632832</v>
      </c>
      <c r="AM11" s="10" t="n">
        <f aca="false">IF(OR($B11+AM$2-3&lt;1,$B11+AM$2&gt;設定!$B$5),"",IFERROR(LN(INDEX(月次集計!$J$2:$J$45,$B11+AM$2)/INDEX(月次集計!$J$2:$J$45,$B11+AM$2-3)),""))</f>
        <v>-0.123573251511605</v>
      </c>
      <c r="AN11" s="10" t="n">
        <f aca="false">IF(OR($B11+AN$2-3&lt;1,$B11+AN$2&gt;設定!$B$5),"",IFERROR(LN(INDEX(月次集計!$J$2:$J$45,$B11+AN$2)/INDEX(月次集計!$J$2:$J$45,$B11+AN$2-3)),""))</f>
        <v>-0.0622297134900396</v>
      </c>
      <c r="AO11" s="10" t="n">
        <f aca="false">IF(OR($B11+AO$2-3&lt;1,$B11+AO$2&gt;設定!$B$5),"",IFERROR(LN(INDEX(月次集計!$J$2:$J$45,$B11+AO$2)/INDEX(月次集計!$J$2:$J$45,$B11+AO$2-3)),""))</f>
        <v>-0.216820013738218</v>
      </c>
      <c r="AP11" s="10" t="n">
        <f aca="false">IF(OR($B11+AP$2-3&lt;1,$B11+AP$2&gt;設定!$B$5),"",IFERROR(LN(INDEX(月次集計!$K$2:$K$45,$B11+AP$2)/INDEX(月次集計!$K$2:$K$45,$B11+AP$2-3)),""))</f>
        <v>0.0820359887033025</v>
      </c>
      <c r="AQ11" s="10" t="n">
        <f aca="false">IF(OR($B11+AQ$2-3&lt;1,$B11+AQ$2&gt;設定!$B$5),"",IFERROR(LN(INDEX(月次集計!$K$2:$K$45,$B11+AQ$2)/INDEX(月次集計!$K$2:$K$45,$B11+AQ$2-3)),""))</f>
        <v>0.175582058603994</v>
      </c>
      <c r="AR11" s="10" t="n">
        <f aca="false">IF(OR($B11+AR$2-3&lt;1,$B11+AR$2&gt;設定!$B$5),"",IFERROR(LN(INDEX(月次集計!$K$2:$K$45,$B11+AR$2)/INDEX(月次集計!$K$2:$K$45,$B11+AR$2-3)),""))</f>
        <v>0.116007544790417</v>
      </c>
      <c r="AS11" s="10" t="n">
        <f aca="false">IF(OR($B11+AS$2-3&lt;1,$B11+AS$2&gt;設定!$B$5),"",IFERROR(LN(INDEX(月次集計!$K$2:$K$45,$B11+AS$2)/INDEX(月次集計!$K$2:$K$45,$B11+AS$2-3)),""))</f>
        <v>0.144528584099481</v>
      </c>
      <c r="AT11" s="10" t="n">
        <f aca="false">IF(OR($B11+AT$2-3&lt;1,$B11+AT$2&gt;設定!$B$5),"",IFERROR(LN(INDEX(月次集計!$K$2:$K$45,$B11+AT$2)/INDEX(月次集計!$K$2:$K$45,$B11+AT$2-3)),""))</f>
        <v>0.29761052750142</v>
      </c>
      <c r="AU11" s="10" t="n">
        <f aca="false">IF(OR($B11+AU$2-3&lt;1,$B11+AU$2&gt;設定!$B$5),"",IFERROR(LN(INDEX(月次集計!$K$2:$K$45,$B11+AU$2)/INDEX(月次集計!$K$2:$K$45,$B11+AU$2-3)),""))</f>
        <v>0.303214977418523</v>
      </c>
      <c r="AV11" s="10" t="n">
        <f aca="false">IF(OR($B11+AV$2-3&lt;1,$B11+AV$2&gt;設定!$B$5),"",IFERROR(LN(INDEX(月次集計!$K$2:$K$45,$B11+AV$2)/INDEX(月次集計!$K$2:$K$45,$B11+AV$2-3)),""))</f>
        <v>0.249706460757958</v>
      </c>
      <c r="AW11" s="10" t="n">
        <f aca="false">IF(OR($B11+AW$2-3&lt;1,$B11+AW$2&gt;設定!$B$5),"",IFERROR(LN(INDEX(月次集計!$K$2:$K$45,$B11+AW$2)/INDEX(月次集計!$K$2:$K$45,$B11+AW$2-3)),""))</f>
        <v>-0.426891189808397</v>
      </c>
      <c r="AX11" s="10" t="n">
        <f aca="false">IF(OR($B11+AX$2-3&lt;1,$B11+AX$2&gt;設定!$B$5),"",IFERROR(LN(INDEX(月次集計!$K$2:$K$45,$B11+AX$2)/INDEX(月次集計!$K$2:$K$45,$B11+AX$2-3)),""))</f>
        <v>-0.42340435716097</v>
      </c>
      <c r="AY11" s="10" t="n">
        <f aca="false">IF(OR($B11+AY$2-3&lt;1,$B11+AY$2&gt;設定!$B$5),"",IFERROR(LN(INDEX(月次集計!$K$2:$K$45,$B11+AY$2)/INDEX(月次集計!$K$2:$K$45,$B11+AY$2-3)),""))</f>
        <v>-0.418873973250833</v>
      </c>
      <c r="AZ11" s="10" t="n">
        <f aca="false">IF(OR($B11+AZ$2-3&lt;1,$B11+AZ$2&gt;設定!$B$5),"",IFERROR(LN(INDEX(月次集計!$K$2:$K$45,$B11+AZ$2)/INDEX(月次集計!$K$2:$K$45,$B11+AZ$2-3)),""))</f>
        <v>-0.0620361108573783</v>
      </c>
      <c r="BA11" s="10" t="n">
        <f aca="false">IF(OR($B11+BA$2-3&lt;1,$B11+BA$2&gt;設定!$B$5),"",IFERROR(LN(INDEX(月次集計!$K$2:$K$45,$B11+BA$2)/INDEX(月次集計!$K$2:$K$45,$B11+BA$2-3)),""))</f>
        <v>-0.114585971450545</v>
      </c>
      <c r="BB11" s="10" t="n">
        <f aca="false">IF(OR($B11+BB$2-3&lt;1,$B11+BB$2&gt;設定!$B$5),"",IFERROR(LN(INDEX(月次集計!$K$2:$K$45,$B11+BB$2)/INDEX(月次集計!$K$2:$K$45,$B11+BB$2-3)),""))</f>
        <v>-0.109254164027872</v>
      </c>
      <c r="BC11" s="10" t="n">
        <f aca="false">IF(OR($B11+BC$2-3&lt;1,$B11+BC$2&gt;設定!$B$5),"",IFERROR(LN(INDEX(月次集計!$L$2:$L$45,$B11+BC$2)/INDEX(月次集計!$L$2:$L$45,$B11+BC$2-3)),""))</f>
        <v>0.00637620945200817</v>
      </c>
      <c r="BD11" s="10" t="n">
        <f aca="false">IF(OR($B11+BD$2-3&lt;1,$B11+BD$2&gt;設定!$B$5),"",IFERROR(LN(INDEX(月次集計!$L$2:$L$45,$B11+BD$2)/INDEX(月次集計!$L$2:$L$45,$B11+BD$2-3)),""))</f>
        <v>-0.0851917572013977</v>
      </c>
      <c r="BE11" s="10" t="n">
        <f aca="false">IF(OR($B11+BE$2-3&lt;1,$B11+BE$2&gt;設定!$B$5),"",IFERROR(LN(INDEX(月次集計!$L$2:$L$45,$B11+BE$2)/INDEX(月次集計!$L$2:$L$45,$B11+BE$2-3)),""))</f>
        <v>0.0657664302409457</v>
      </c>
      <c r="BF11" s="10" t="n">
        <f aca="false">IF(OR($B11+BF$2-3&lt;1,$B11+BF$2&gt;設定!$B$5),"",IFERROR(LN(INDEX(月次集計!$L$2:$L$45,$B11+BF$2)/INDEX(月次集計!$L$2:$L$45,$B11+BF$2-3)),""))</f>
        <v>0.129505699998282</v>
      </c>
      <c r="BG11" s="10" t="n">
        <f aca="false">IF(OR($B11+BG$2-3&lt;1,$B11+BG$2&gt;設定!$B$5),"",IFERROR(LN(INDEX(月次集計!$L$2:$L$45,$B11+BG$2)/INDEX(月次集計!$L$2:$L$45,$B11+BG$2-3)),""))</f>
        <v>0.129075177095672</v>
      </c>
      <c r="BH11" s="10" t="n">
        <f aca="false">IF(OR($B11+BH$2-3&lt;1,$B11+BH$2&gt;設定!$B$5),"",IFERROR(LN(INDEX(月次集計!$L$2:$L$45,$B11+BH$2)/INDEX(月次集計!$L$2:$L$45,$B11+BH$2-3)),""))</f>
        <v>0.044967292026289</v>
      </c>
      <c r="BI11" s="10" t="n">
        <f aca="false">IF(OR($B11+BI$2-3&lt;1,$B11+BI$2&gt;設定!$B$5),"",IFERROR(LN(INDEX(月次集計!$L$2:$L$45,$B11+BI$2)/INDEX(月次集計!$L$2:$L$45,$B11+BI$2-3)),""))</f>
        <v>0.149216473319478</v>
      </c>
      <c r="BJ11" s="10" t="n">
        <f aca="false">IF(OR($B11+BJ$2-3&lt;1,$B11+BJ$2&gt;設定!$B$5),"",IFERROR(LN(INDEX(月次集計!$L$2:$L$45,$B11+BJ$2)/INDEX(月次集計!$L$2:$L$45,$B11+BJ$2-3)),""))</f>
        <v>0.121071375951032</v>
      </c>
      <c r="BK11" s="10" t="n">
        <f aca="false">IF(OR($B11+BK$2-3&lt;1,$B11+BK$2&gt;設定!$B$5),"",IFERROR(LN(INDEX(月次集計!$L$2:$L$45,$B11+BK$2)/INDEX(月次集計!$L$2:$L$45,$B11+BK$2-3)),""))</f>
        <v>0.180076944837113</v>
      </c>
      <c r="BL11" s="10" t="n">
        <f aca="false">IF(OR($B11+BL$2-3&lt;1,$B11+BL$2&gt;設定!$B$5),"",IFERROR(LN(INDEX(月次集計!$L$2:$L$45,$B11+BL$2)/INDEX(月次集計!$L$2:$L$45,$B11+BL$2-3)),""))</f>
        <v>0.167344064189502</v>
      </c>
      <c r="BM11" s="10" t="n">
        <f aca="false">IF(OR($B11+BM$2-3&lt;1,$B11+BM$2&gt;設定!$B$5),"",IFERROR(LN(INDEX(月次集計!$L$2:$L$45,$B11+BM$2)/INDEX(月次集計!$L$2:$L$45,$B11+BM$2-3)),""))</f>
        <v>0.289949413930706</v>
      </c>
      <c r="BN11" s="10" t="n">
        <f aca="false">IF(OR($B11+BN$2-3&lt;1,$B11+BN$2&gt;設定!$B$5),"",IFERROR(LN(INDEX(月次集計!$L$2:$L$45,$B11+BN$2)/INDEX(月次集計!$L$2:$L$45,$B11+BN$2-3)),""))</f>
        <v>0.17471828937804</v>
      </c>
      <c r="BO11" s="10" t="n">
        <f aca="false">IF(OR($B11+BO$2-3&lt;1,$B11+BO$2&gt;設定!$B$5),"",IFERROR(LN(INDEX(月次集計!$L$2:$L$45,$B11+BO$2)/INDEX(月次集計!$L$2:$L$45,$B11+BO$2-3)),""))</f>
        <v>-0.0754256837422501</v>
      </c>
    </row>
    <row r="12" customFormat="false" ht="15" hidden="false" customHeight="false" outlineLevel="0" collapsed="false">
      <c r="A12" s="3" t="s">
        <v>82</v>
      </c>
      <c r="B12" s="3" t="n">
        <v>27</v>
      </c>
      <c r="C12" s="10" t="n">
        <f aca="false">IF(OR($B12+C$2-3&lt;1,$B12+C$2&gt;設定!$B$5),"",IFERROR(LN(INDEX(月次集計!$H$2:$H$45,$B12+C$2)/INDEX(月次集計!$H$2:$H$45,$B12+C$2-3)),""))</f>
        <v>0.247868320296424</v>
      </c>
      <c r="D12" s="10" t="n">
        <f aca="false">IF(OR($B12+D$2-3&lt;1,$B12+D$2&gt;設定!$B$5),"",IFERROR(LN(INDEX(月次集計!$H$2:$H$45,$B12+D$2)/INDEX(月次集計!$H$2:$H$45,$B12+D$2-3)),""))</f>
        <v>0.310152406379343</v>
      </c>
      <c r="E12" s="10" t="n">
        <f aca="false">IF(OR($B12+E$2-3&lt;1,$B12+E$2&gt;設定!$B$5),"",IFERROR(LN(INDEX(月次集計!$H$2:$H$45,$B12+E$2)/INDEX(月次集計!$H$2:$H$45,$B12+E$2-3)),""))</f>
        <v>0.224476669936245</v>
      </c>
      <c r="F12" s="10" t="n">
        <f aca="false">IF(OR($B12+F$2-3&lt;1,$B12+F$2&gt;設定!$B$5),"",IFERROR(LN(INDEX(月次集計!$H$2:$H$45,$B12+F$2)/INDEX(月次集計!$H$2:$H$45,$B12+F$2-3)),""))</f>
        <v>0.173546171838368</v>
      </c>
      <c r="G12" s="10" t="n">
        <f aca="false">IF(OR($B12+G$2-3&lt;1,$B12+G$2&gt;設定!$B$5),"",IFERROR(LN(INDEX(月次集計!$H$2:$H$45,$B12+G$2)/INDEX(月次集計!$H$2:$H$45,$B12+G$2-3)),""))</f>
        <v>-0.0193668865838496</v>
      </c>
      <c r="H12" s="10" t="n">
        <f aca="false">IF(OR($B12+H$2-3&lt;1,$B12+H$2&gt;設定!$B$5),"",IFERROR(LN(INDEX(月次集計!$H$2:$H$45,$B12+H$2)/INDEX(月次集計!$H$2:$H$45,$B12+H$2-3)),""))</f>
        <v>0.0163078636665818</v>
      </c>
      <c r="I12" s="10" t="n">
        <f aca="false">IF(OR($B12+I$2-3&lt;1,$B12+I$2&gt;設定!$B$5),"",IFERROR(LN(INDEX(月次集計!$H$2:$H$45,$B12+I$2)/INDEX(月次集計!$H$2:$H$45,$B12+I$2-3)),""))</f>
        <v>0.118705342615815</v>
      </c>
      <c r="J12" s="10" t="n">
        <f aca="false">IF(OR($B12+J$2-3&lt;1,$B12+J$2&gt;設定!$B$5),"",IFERROR(LN(INDEX(月次集計!$H$2:$H$45,$B12+J$2)/INDEX(月次集計!$H$2:$H$45,$B12+J$2-3)),""))</f>
        <v>0.259032288527</v>
      </c>
      <c r="K12" s="10" t="n">
        <f aca="false">IF(OR($B12+K$2-3&lt;1,$B12+K$2&gt;設定!$B$5),"",IFERROR(LN(INDEX(月次集計!$H$2:$H$45,$B12+K$2)/INDEX(月次集計!$H$2:$H$45,$B12+K$2-3)),""))</f>
        <v>0.141345115332955</v>
      </c>
      <c r="L12" s="10" t="n">
        <f aca="false">IF(OR($B12+L$2-3&lt;1,$B12+L$2&gt;設定!$B$5),"",IFERROR(LN(INDEX(月次集計!$H$2:$H$45,$B12+L$2)/INDEX(月次集計!$H$2:$H$45,$B12+L$2-3)),""))</f>
        <v>-0.180034834838936</v>
      </c>
      <c r="M12" s="10" t="n">
        <f aca="false">IF(OR($B12+M$2-3&lt;1,$B12+M$2&gt;設定!$B$5),"",IFERROR(LN(INDEX(月次集計!$H$2:$H$45,$B12+M$2)/INDEX(月次集計!$H$2:$H$45,$B12+M$2-3)),""))</f>
        <v>-0.268428042773394</v>
      </c>
      <c r="N12" s="10" t="n">
        <f aca="false">IF(OR($B12+N$2-3&lt;1,$B12+N$2&gt;設定!$B$5),"",IFERROR(LN(INDEX(月次集計!$H$2:$H$45,$B12+N$2)/INDEX(月次集計!$H$2:$H$45,$B12+N$2-3)),""))</f>
        <v>-0.258571826594016</v>
      </c>
      <c r="O12" s="10" t="n">
        <f aca="false">IF(OR($B12+O$2-3&lt;1,$B12+O$2&gt;設定!$B$5),"",IFERROR(LN(INDEX(月次集計!$H$2:$H$45,$B12+O$2)/INDEX(月次集計!$H$2:$H$45,$B12+O$2-3)),""))</f>
        <v>-0.0939512855384088</v>
      </c>
      <c r="P12" s="10" t="n">
        <f aca="false">IF(OR($B12+P$2-3&lt;1,$B12+P$2&gt;設定!$B$5),"",IFERROR(LN(INDEX(月次集計!$I$2:$I$45,$B12+P$2)/INDEX(月次集計!$I$2:$I$45,$B12+P$2-3)),""))</f>
        <v>0.0364871424044422</v>
      </c>
      <c r="Q12" s="10" t="n">
        <f aca="false">IF(OR($B12+Q$2-3&lt;1,$B12+Q$2&gt;設定!$B$5),"",IFERROR(LN(INDEX(月次集計!$I$2:$I$45,$B12+Q$2)/INDEX(月次集計!$I$2:$I$45,$B12+Q$2-3)),""))</f>
        <v>-0.0688607065009369</v>
      </c>
      <c r="R12" s="10" t="n">
        <f aca="false">IF(OR($B12+R$2-3&lt;1,$B12+R$2&gt;設定!$B$5),"",IFERROR(LN(INDEX(月次集計!$I$2:$I$45,$B12+R$2)/INDEX(月次集計!$I$2:$I$45,$B12+R$2-3)),""))</f>
        <v>-0.0621617932470671</v>
      </c>
      <c r="S12" s="10" t="n">
        <f aca="false">IF(OR($B12+S$2-3&lt;1,$B12+S$2&gt;設定!$B$5),"",IFERROR(LN(INDEX(月次集計!$I$2:$I$45,$B12+S$2)/INDEX(月次集計!$I$2:$I$45,$B12+S$2-3)),""))</f>
        <v>0.192045754829276</v>
      </c>
      <c r="T12" s="10" t="n">
        <f aca="false">IF(OR($B12+T$2-3&lt;1,$B12+T$2&gt;設定!$B$5),"",IFERROR(LN(INDEX(月次集計!$I$2:$I$45,$B12+T$2)/INDEX(月次集計!$I$2:$I$45,$B12+T$2-3)),""))</f>
        <v>0.300288736870483</v>
      </c>
      <c r="U12" s="10" t="n">
        <f aca="false">IF(OR($B12+U$2-3&lt;1,$B12+U$2&gt;設定!$B$5),"",IFERROR(LN(INDEX(月次集計!$I$2:$I$45,$B12+U$2)/INDEX(月次集計!$I$2:$I$45,$B12+U$2-3)),""))</f>
        <v>0.370943518840004</v>
      </c>
      <c r="V12" s="10" t="n">
        <f aca="false">IF(OR($B12+V$2-3&lt;1,$B12+V$2&gt;設定!$B$5),"",IFERROR(LN(INDEX(月次集計!$I$2:$I$45,$B12+V$2)/INDEX(月次集計!$I$2:$I$45,$B12+V$2-3)),""))</f>
        <v>0.250453588989763</v>
      </c>
      <c r="W12" s="10" t="n">
        <f aca="false">IF(OR($B12+W$2-3&lt;1,$B12+W$2&gt;設定!$B$5),"",IFERROR(LN(INDEX(月次集計!$I$2:$I$45,$B12+W$2)/INDEX(月次集計!$I$2:$I$45,$B12+W$2-3)),""))</f>
        <v>0.393958106794194</v>
      </c>
      <c r="X12" s="10" t="n">
        <f aca="false">IF(OR($B12+X$2-3&lt;1,$B12+X$2&gt;設定!$B$5),"",IFERROR(LN(INDEX(月次集計!$I$2:$I$45,$B12+X$2)/INDEX(月次集計!$I$2:$I$45,$B12+X$2-3)),""))</f>
        <v>0.241681284649496</v>
      </c>
      <c r="Y12" s="10" t="n">
        <f aca="false">IF(OR($B12+Y$2-3&lt;1,$B12+Y$2&gt;設定!$B$5),"",IFERROR(LN(INDEX(月次集計!$I$2:$I$45,$B12+Y$2)/INDEX(月次集計!$I$2:$I$45,$B12+Y$2-3)),""))</f>
        <v>0.0329473859760162</v>
      </c>
      <c r="Z12" s="10" t="n">
        <f aca="false">IF(OR($B12+Z$2-3&lt;1,$B12+Z$2&gt;設定!$B$5),"",IFERROR(LN(INDEX(月次集計!$I$2:$I$45,$B12+Z$2)/INDEX(月次集計!$I$2:$I$45,$B12+Z$2-3)),""))</f>
        <v>-0.214405019904587</v>
      </c>
      <c r="AA12" s="10" t="n">
        <f aca="false">IF(OR($B12+AA$2-3&lt;1,$B12+AA$2&gt;設定!$B$5),"",IFERROR(LN(INDEX(月次集計!$I$2:$I$45,$B12+AA$2)/INDEX(月次集計!$I$2:$I$45,$B12+AA$2-3)),""))</f>
        <v>-0.200569796337364</v>
      </c>
      <c r="AB12" s="10" t="n">
        <f aca="false">IF(OR($B12+AB$2-3&lt;1,$B12+AB$2&gt;設定!$B$5),"",IFERROR(LN(INDEX(月次集計!$I$2:$I$45,$B12+AB$2)/INDEX(月次集計!$I$2:$I$45,$B12+AB$2-3)),""))</f>
        <v>-0.249062733607115</v>
      </c>
      <c r="AC12" s="10" t="n">
        <f aca="false">IF(OR($B12+AC$2-3&lt;1,$B12+AC$2&gt;設定!$B$5),"",IFERROR(LN(INDEX(月次集計!$J$2:$J$45,$B12+AC$2)/INDEX(月次集計!$J$2:$J$45,$B12+AC$2-3)),""))</f>
        <v>0.0552576107595377</v>
      </c>
      <c r="AD12" s="10" t="n">
        <f aca="false">IF(OR($B12+AD$2-3&lt;1,$B12+AD$2&gt;設定!$B$5),"",IFERROR(LN(INDEX(月次集計!$J$2:$J$45,$B12+AD$2)/INDEX(月次集計!$J$2:$J$45,$B12+AD$2-3)),""))</f>
        <v>0.129996090771301</v>
      </c>
      <c r="AE12" s="10" t="n">
        <f aca="false">IF(OR($B12+AE$2-3&lt;1,$B12+AE$2&gt;設定!$B$5),"",IFERROR(LN(INDEX(月次集計!$J$2:$J$45,$B12+AE$2)/INDEX(月次集計!$J$2:$J$45,$B12+AE$2-3)),""))</f>
        <v>-0.278863658482541</v>
      </c>
      <c r="AF12" s="10" t="n">
        <f aca="false">IF(OR($B12+AF$2-3&lt;1,$B12+AF$2&gt;設定!$B$5),"",IFERROR(LN(INDEX(月次集計!$J$2:$J$45,$B12+AF$2)/INDEX(月次集計!$J$2:$J$45,$B12+AF$2-3)),""))</f>
        <v>-0.118989073437582</v>
      </c>
      <c r="AG12" s="10" t="n">
        <f aca="false">IF(OR($B12+AG$2-3&lt;1,$B12+AG$2&gt;設定!$B$5),"",IFERROR(LN(INDEX(月次集計!$J$2:$J$45,$B12+AG$2)/INDEX(月次集計!$J$2:$J$45,$B12+AG$2-3)),""))</f>
        <v>0.0420634594249383</v>
      </c>
      <c r="AH12" s="10" t="n">
        <f aca="false">IF(OR($B12+AH$2-3&lt;1,$B12+AH$2&gt;設定!$B$5),"",IFERROR(LN(INDEX(月次集計!$J$2:$J$45,$B12+AH$2)/INDEX(月次集計!$J$2:$J$45,$B12+AH$2-3)),""))</f>
        <v>0.101203275888013</v>
      </c>
      <c r="AI12" s="10" t="n">
        <f aca="false">IF(OR($B12+AI$2-3&lt;1,$B12+AI$2&gt;設定!$B$5),"",IFERROR(LN(INDEX(月次集計!$J$2:$J$45,$B12+AI$2)/INDEX(月次集計!$J$2:$J$45,$B12+AI$2-3)),""))</f>
        <v>-0.0139874628632832</v>
      </c>
      <c r="AJ12" s="10" t="n">
        <f aca="false">IF(OR($B12+AJ$2-3&lt;1,$B12+AJ$2&gt;設定!$B$5),"",IFERROR(LN(INDEX(月次集計!$J$2:$J$45,$B12+AJ$2)/INDEX(月次集計!$J$2:$J$45,$B12+AJ$2-3)),""))</f>
        <v>-0.123573251511605</v>
      </c>
      <c r="AK12" s="10" t="n">
        <f aca="false">IF(OR($B12+AK$2-3&lt;1,$B12+AK$2&gt;設定!$B$5),"",IFERROR(LN(INDEX(月次集計!$J$2:$J$45,$B12+AK$2)/INDEX(月次集計!$J$2:$J$45,$B12+AK$2-3)),""))</f>
        <v>-0.0622297134900396</v>
      </c>
      <c r="AL12" s="10" t="n">
        <f aca="false">IF(OR($B12+AL$2-3&lt;1,$B12+AL$2&gt;設定!$B$5),"",IFERROR(LN(INDEX(月次集計!$J$2:$J$45,$B12+AL$2)/INDEX(月次集計!$J$2:$J$45,$B12+AL$2-3)),""))</f>
        <v>-0.216820013738218</v>
      </c>
      <c r="AM12" s="10" t="n">
        <f aca="false">IF(OR($B12+AM$2-3&lt;1,$B12+AM$2&gt;設定!$B$5),"",IFERROR(LN(INDEX(月次集計!$J$2:$J$45,$B12+AM$2)/INDEX(月次集計!$J$2:$J$45,$B12+AM$2-3)),""))</f>
        <v>-0.489965763725627</v>
      </c>
      <c r="AN12" s="10" t="n">
        <f aca="false">IF(OR($B12+AN$2-3&lt;1,$B12+AN$2&gt;設定!$B$5),"",IFERROR(LN(INDEX(月次集計!$J$2:$J$45,$B12+AN$2)/INDEX(月次集計!$J$2:$J$45,$B12+AN$2-3)),""))</f>
        <v>-0.54054156141551</v>
      </c>
      <c r="AO12" s="10" t="n">
        <f aca="false">IF(OR($B12+AO$2-3&lt;1,$B12+AO$2&gt;設定!$B$5),"",IFERROR(LN(INDEX(月次集計!$J$2:$J$45,$B12+AO$2)/INDEX(月次集計!$J$2:$J$45,$B12+AO$2-3)),""))</f>
        <v>-0.326769098529147</v>
      </c>
      <c r="AP12" s="10" t="n">
        <f aca="false">IF(OR($B12+AP$2-3&lt;1,$B12+AP$2&gt;設定!$B$5),"",IFERROR(LN(INDEX(月次集計!$K$2:$K$45,$B12+AP$2)/INDEX(月次集計!$K$2:$K$45,$B12+AP$2-3)),""))</f>
        <v>0.144528584099481</v>
      </c>
      <c r="AQ12" s="10" t="n">
        <f aca="false">IF(OR($B12+AQ$2-3&lt;1,$B12+AQ$2&gt;設定!$B$5),"",IFERROR(LN(INDEX(月次集計!$K$2:$K$45,$B12+AQ$2)/INDEX(月次集計!$K$2:$K$45,$B12+AQ$2-3)),""))</f>
        <v>0.29761052750142</v>
      </c>
      <c r="AR12" s="10" t="n">
        <f aca="false">IF(OR($B12+AR$2-3&lt;1,$B12+AR$2&gt;設定!$B$5),"",IFERROR(LN(INDEX(月次集計!$K$2:$K$45,$B12+AR$2)/INDEX(月次集計!$K$2:$K$45,$B12+AR$2-3)),""))</f>
        <v>0.303214977418523</v>
      </c>
      <c r="AS12" s="10" t="n">
        <f aca="false">IF(OR($B12+AS$2-3&lt;1,$B12+AS$2&gt;設定!$B$5),"",IFERROR(LN(INDEX(月次集計!$K$2:$K$45,$B12+AS$2)/INDEX(月次集計!$K$2:$K$45,$B12+AS$2-3)),""))</f>
        <v>0.249706460757958</v>
      </c>
      <c r="AT12" s="10" t="n">
        <f aca="false">IF(OR($B12+AT$2-3&lt;1,$B12+AT$2&gt;設定!$B$5),"",IFERROR(LN(INDEX(月次集計!$K$2:$K$45,$B12+AT$2)/INDEX(月次集計!$K$2:$K$45,$B12+AT$2-3)),""))</f>
        <v>-0.426891189808397</v>
      </c>
      <c r="AU12" s="10" t="n">
        <f aca="false">IF(OR($B12+AU$2-3&lt;1,$B12+AU$2&gt;設定!$B$5),"",IFERROR(LN(INDEX(月次集計!$K$2:$K$45,$B12+AU$2)/INDEX(月次集計!$K$2:$K$45,$B12+AU$2-3)),""))</f>
        <v>-0.42340435716097</v>
      </c>
      <c r="AV12" s="10" t="n">
        <f aca="false">IF(OR($B12+AV$2-3&lt;1,$B12+AV$2&gt;設定!$B$5),"",IFERROR(LN(INDEX(月次集計!$K$2:$K$45,$B12+AV$2)/INDEX(月次集計!$K$2:$K$45,$B12+AV$2-3)),""))</f>
        <v>-0.418873973250833</v>
      </c>
      <c r="AW12" s="10" t="n">
        <f aca="false">IF(OR($B12+AW$2-3&lt;1,$B12+AW$2&gt;設定!$B$5),"",IFERROR(LN(INDEX(月次集計!$K$2:$K$45,$B12+AW$2)/INDEX(月次集計!$K$2:$K$45,$B12+AW$2-3)),""))</f>
        <v>-0.0620361108573783</v>
      </c>
      <c r="AX12" s="10" t="n">
        <f aca="false">IF(OR($B12+AX$2-3&lt;1,$B12+AX$2&gt;設定!$B$5),"",IFERROR(LN(INDEX(月次集計!$K$2:$K$45,$B12+AX$2)/INDEX(月次集計!$K$2:$K$45,$B12+AX$2-3)),""))</f>
        <v>-0.114585971450545</v>
      </c>
      <c r="AY12" s="10" t="n">
        <f aca="false">IF(OR($B12+AY$2-3&lt;1,$B12+AY$2&gt;設定!$B$5),"",IFERROR(LN(INDEX(月次集計!$K$2:$K$45,$B12+AY$2)/INDEX(月次集計!$K$2:$K$45,$B12+AY$2-3)),""))</f>
        <v>-0.109254164027872</v>
      </c>
      <c r="AZ12" s="10" t="n">
        <f aca="false">IF(OR($B12+AZ$2-3&lt;1,$B12+AZ$2&gt;設定!$B$5),"",IFERROR(LN(INDEX(月次集計!$K$2:$K$45,$B12+AZ$2)/INDEX(月次集計!$K$2:$K$45,$B12+AZ$2-3)),""))</f>
        <v>-0.0394876428729973</v>
      </c>
      <c r="BA12" s="10" t="n">
        <f aca="false">IF(OR($B12+BA$2-3&lt;1,$B12+BA$2&gt;設定!$B$5),"",IFERROR(LN(INDEX(月次集計!$K$2:$K$45,$B12+BA$2)/INDEX(月次集計!$K$2:$K$45,$B12+BA$2-3)),""))</f>
        <v>-0.161093623746186</v>
      </c>
      <c r="BB12" s="10" t="n">
        <f aca="false">IF(OR($B12+BB$2-3&lt;1,$B12+BB$2&gt;設定!$B$5),"",IFERROR(LN(INDEX(月次集計!$K$2:$K$45,$B12+BB$2)/INDEX(月次集計!$K$2:$K$45,$B12+BB$2-3)),""))</f>
        <v>-0.570810655309807</v>
      </c>
      <c r="BC12" s="10" t="n">
        <f aca="false">IF(OR($B12+BC$2-3&lt;1,$B12+BC$2&gt;設定!$B$5),"",IFERROR(LN(INDEX(月次集計!$L$2:$L$45,$B12+BC$2)/INDEX(月次集計!$L$2:$L$45,$B12+BC$2-3)),""))</f>
        <v>0.129505699998282</v>
      </c>
      <c r="BD12" s="10" t="n">
        <f aca="false">IF(OR($B12+BD$2-3&lt;1,$B12+BD$2&gt;設定!$B$5),"",IFERROR(LN(INDEX(月次集計!$L$2:$L$45,$B12+BD$2)/INDEX(月次集計!$L$2:$L$45,$B12+BD$2-3)),""))</f>
        <v>0.129075177095672</v>
      </c>
      <c r="BE12" s="10" t="n">
        <f aca="false">IF(OR($B12+BE$2-3&lt;1,$B12+BE$2&gt;設定!$B$5),"",IFERROR(LN(INDEX(月次集計!$L$2:$L$45,$B12+BE$2)/INDEX(月次集計!$L$2:$L$45,$B12+BE$2-3)),""))</f>
        <v>0.044967292026289</v>
      </c>
      <c r="BF12" s="10" t="n">
        <f aca="false">IF(OR($B12+BF$2-3&lt;1,$B12+BF$2&gt;設定!$B$5),"",IFERROR(LN(INDEX(月次集計!$L$2:$L$45,$B12+BF$2)/INDEX(月次集計!$L$2:$L$45,$B12+BF$2-3)),""))</f>
        <v>0.149216473319478</v>
      </c>
      <c r="BG12" s="10" t="n">
        <f aca="false">IF(OR($B12+BG$2-3&lt;1,$B12+BG$2&gt;設定!$B$5),"",IFERROR(LN(INDEX(月次集計!$L$2:$L$45,$B12+BG$2)/INDEX(月次集計!$L$2:$L$45,$B12+BG$2-3)),""))</f>
        <v>0.121071375951032</v>
      </c>
      <c r="BH12" s="10" t="n">
        <f aca="false">IF(OR($B12+BH$2-3&lt;1,$B12+BH$2&gt;設定!$B$5),"",IFERROR(LN(INDEX(月次集計!$L$2:$L$45,$B12+BH$2)/INDEX(月次集計!$L$2:$L$45,$B12+BH$2-3)),""))</f>
        <v>0.180076944837113</v>
      </c>
      <c r="BI12" s="10" t="n">
        <f aca="false">IF(OR($B12+BI$2-3&lt;1,$B12+BI$2&gt;設定!$B$5),"",IFERROR(LN(INDEX(月次集計!$L$2:$L$45,$B12+BI$2)/INDEX(月次集計!$L$2:$L$45,$B12+BI$2-3)),""))</f>
        <v>0.167344064189502</v>
      </c>
      <c r="BJ12" s="10" t="n">
        <f aca="false">IF(OR($B12+BJ$2-3&lt;1,$B12+BJ$2&gt;設定!$B$5),"",IFERROR(LN(INDEX(月次集計!$L$2:$L$45,$B12+BJ$2)/INDEX(月次集計!$L$2:$L$45,$B12+BJ$2-3)),""))</f>
        <v>0.289949413930706</v>
      </c>
      <c r="BK12" s="10" t="n">
        <f aca="false">IF(OR($B12+BK$2-3&lt;1,$B12+BK$2&gt;設定!$B$5),"",IFERROR(LN(INDEX(月次集計!$L$2:$L$45,$B12+BK$2)/INDEX(月次集計!$L$2:$L$45,$B12+BK$2-3)),""))</f>
        <v>0.17471828937804</v>
      </c>
      <c r="BL12" s="10" t="n">
        <f aca="false">IF(OR($B12+BL$2-3&lt;1,$B12+BL$2&gt;設定!$B$5),"",IFERROR(LN(INDEX(月次集計!$L$2:$L$45,$B12+BL$2)/INDEX(月次集計!$L$2:$L$45,$B12+BL$2-3)),""))</f>
        <v>-0.0754256837422501</v>
      </c>
      <c r="BM12" s="10" t="n">
        <f aca="false">IF(OR($B12+BM$2-3&lt;1,$B12+BM$2&gt;設定!$B$5),"",IFERROR(LN(INDEX(月次集計!$L$2:$L$45,$B12+BM$2)/INDEX(月次集計!$L$2:$L$45,$B12+BM$2-3)),""))</f>
        <v>-0.254685994348103</v>
      </c>
      <c r="BN12" s="10" t="n">
        <f aca="false">IF(OR($B12+BN$2-3&lt;1,$B12+BN$2&gt;設定!$B$5),"",IFERROR(LN(INDEX(月次集計!$L$2:$L$45,$B12+BN$2)/INDEX(月次集計!$L$2:$L$45,$B12+BN$2-3)),""))</f>
        <v>-0.245657876013775</v>
      </c>
      <c r="BO12" s="10" t="n">
        <f aca="false">IF(OR($B12+BO$2-3&lt;1,$B12+BO$2&gt;設定!$B$5),"",IFERROR(LN(INDEX(月次集計!$L$2:$L$45,$B12+BO$2)/INDEX(月次集計!$L$2:$L$45,$B12+BO$2-3)),""))</f>
        <v>-0.189150250748899</v>
      </c>
    </row>
    <row r="13" customFormat="false" ht="15" hidden="false" customHeight="false" outlineLevel="0" collapsed="false">
      <c r="A13" s="3" t="s">
        <v>83</v>
      </c>
      <c r="B13" s="3" t="n">
        <v>30</v>
      </c>
      <c r="C13" s="10" t="n">
        <f aca="false">IF(OR($B13+C$2-3&lt;1,$B13+C$2&gt;設定!$B$5),"",IFERROR(LN(INDEX(月次集計!$H$2:$H$45,$B13+C$2)/INDEX(月次集計!$H$2:$H$45,$B13+C$2-3)),""))</f>
        <v>0.173546171838368</v>
      </c>
      <c r="D13" s="10" t="n">
        <f aca="false">IF(OR($B13+D$2-3&lt;1,$B13+D$2&gt;設定!$B$5),"",IFERROR(LN(INDEX(月次集計!$H$2:$H$45,$B13+D$2)/INDEX(月次集計!$H$2:$H$45,$B13+D$2-3)),""))</f>
        <v>-0.0193668865838496</v>
      </c>
      <c r="E13" s="10" t="n">
        <f aca="false">IF(OR($B13+E$2-3&lt;1,$B13+E$2&gt;設定!$B$5),"",IFERROR(LN(INDEX(月次集計!$H$2:$H$45,$B13+E$2)/INDEX(月次集計!$H$2:$H$45,$B13+E$2-3)),""))</f>
        <v>0.0163078636665818</v>
      </c>
      <c r="F13" s="10" t="n">
        <f aca="false">IF(OR($B13+F$2-3&lt;1,$B13+F$2&gt;設定!$B$5),"",IFERROR(LN(INDEX(月次集計!$H$2:$H$45,$B13+F$2)/INDEX(月次集計!$H$2:$H$45,$B13+F$2-3)),""))</f>
        <v>0.118705342615815</v>
      </c>
      <c r="G13" s="10" t="n">
        <f aca="false">IF(OR($B13+G$2-3&lt;1,$B13+G$2&gt;設定!$B$5),"",IFERROR(LN(INDEX(月次集計!$H$2:$H$45,$B13+G$2)/INDEX(月次集計!$H$2:$H$45,$B13+G$2-3)),""))</f>
        <v>0.259032288527</v>
      </c>
      <c r="H13" s="10" t="n">
        <f aca="false">IF(OR($B13+H$2-3&lt;1,$B13+H$2&gt;設定!$B$5),"",IFERROR(LN(INDEX(月次集計!$H$2:$H$45,$B13+H$2)/INDEX(月次集計!$H$2:$H$45,$B13+H$2-3)),""))</f>
        <v>0.141345115332955</v>
      </c>
      <c r="I13" s="10" t="n">
        <f aca="false">IF(OR($B13+I$2-3&lt;1,$B13+I$2&gt;設定!$B$5),"",IFERROR(LN(INDEX(月次集計!$H$2:$H$45,$B13+I$2)/INDEX(月次集計!$H$2:$H$45,$B13+I$2-3)),""))</f>
        <v>-0.180034834838936</v>
      </c>
      <c r="J13" s="10" t="n">
        <f aca="false">IF(OR($B13+J$2-3&lt;1,$B13+J$2&gt;設定!$B$5),"",IFERROR(LN(INDEX(月次集計!$H$2:$H$45,$B13+J$2)/INDEX(月次集計!$H$2:$H$45,$B13+J$2-3)),""))</f>
        <v>-0.268428042773394</v>
      </c>
      <c r="K13" s="10" t="n">
        <f aca="false">IF(OR($B13+K$2-3&lt;1,$B13+K$2&gt;設定!$B$5),"",IFERROR(LN(INDEX(月次集計!$H$2:$H$45,$B13+K$2)/INDEX(月次集計!$H$2:$H$45,$B13+K$2-3)),""))</f>
        <v>-0.258571826594016</v>
      </c>
      <c r="L13" s="10" t="n">
        <f aca="false">IF(OR($B13+L$2-3&lt;1,$B13+L$2&gt;設定!$B$5),"",IFERROR(LN(INDEX(月次集計!$H$2:$H$45,$B13+L$2)/INDEX(月次集計!$H$2:$H$45,$B13+L$2-3)),""))</f>
        <v>-0.0939512855384088</v>
      </c>
      <c r="M13" s="10" t="n">
        <f aca="false">IF(OR($B13+M$2-3&lt;1,$B13+M$2&gt;設定!$B$5),"",IFERROR(LN(INDEX(月次集計!$H$2:$H$45,$B13+M$2)/INDEX(月次集計!$H$2:$H$45,$B13+M$2-3)),""))</f>
        <v>-0.0736588640665432</v>
      </c>
      <c r="N13" s="10" t="n">
        <f aca="false">IF(OR($B13+N$2-3&lt;1,$B13+N$2&gt;設定!$B$5),"",IFERROR(LN(INDEX(月次集計!$H$2:$H$45,$B13+N$2)/INDEX(月次集計!$H$2:$H$45,$B13+N$2-3)),""))</f>
        <v>0.0318684541675865</v>
      </c>
      <c r="O13" s="10" t="n">
        <f aca="false">IF(OR($B13+O$2-3&lt;1,$B13+O$2&gt;設定!$B$5),"",IFERROR(LN(INDEX(月次集計!$H$2:$H$45,$B13+O$2)/INDEX(月次集計!$H$2:$H$45,$B13+O$2-3)),""))</f>
        <v>0.145982393505897</v>
      </c>
      <c r="P13" s="10" t="n">
        <f aca="false">IF(OR($B13+P$2-3&lt;1,$B13+P$2&gt;設定!$B$5),"",IFERROR(LN(INDEX(月次集計!$I$2:$I$45,$B13+P$2)/INDEX(月次集計!$I$2:$I$45,$B13+P$2-3)),""))</f>
        <v>0.192045754829276</v>
      </c>
      <c r="Q13" s="10" t="n">
        <f aca="false">IF(OR($B13+Q$2-3&lt;1,$B13+Q$2&gt;設定!$B$5),"",IFERROR(LN(INDEX(月次集計!$I$2:$I$45,$B13+Q$2)/INDEX(月次集計!$I$2:$I$45,$B13+Q$2-3)),""))</f>
        <v>0.300288736870483</v>
      </c>
      <c r="R13" s="10" t="n">
        <f aca="false">IF(OR($B13+R$2-3&lt;1,$B13+R$2&gt;設定!$B$5),"",IFERROR(LN(INDEX(月次集計!$I$2:$I$45,$B13+R$2)/INDEX(月次集計!$I$2:$I$45,$B13+R$2-3)),""))</f>
        <v>0.370943518840004</v>
      </c>
      <c r="S13" s="10" t="n">
        <f aca="false">IF(OR($B13+S$2-3&lt;1,$B13+S$2&gt;設定!$B$5),"",IFERROR(LN(INDEX(月次集計!$I$2:$I$45,$B13+S$2)/INDEX(月次集計!$I$2:$I$45,$B13+S$2-3)),""))</f>
        <v>0.250453588989763</v>
      </c>
      <c r="T13" s="10" t="n">
        <f aca="false">IF(OR($B13+T$2-3&lt;1,$B13+T$2&gt;設定!$B$5),"",IFERROR(LN(INDEX(月次集計!$I$2:$I$45,$B13+T$2)/INDEX(月次集計!$I$2:$I$45,$B13+T$2-3)),""))</f>
        <v>0.393958106794194</v>
      </c>
      <c r="U13" s="10" t="n">
        <f aca="false">IF(OR($B13+U$2-3&lt;1,$B13+U$2&gt;設定!$B$5),"",IFERROR(LN(INDEX(月次集計!$I$2:$I$45,$B13+U$2)/INDEX(月次集計!$I$2:$I$45,$B13+U$2-3)),""))</f>
        <v>0.241681284649496</v>
      </c>
      <c r="V13" s="10" t="n">
        <f aca="false">IF(OR($B13+V$2-3&lt;1,$B13+V$2&gt;設定!$B$5),"",IFERROR(LN(INDEX(月次集計!$I$2:$I$45,$B13+V$2)/INDEX(月次集計!$I$2:$I$45,$B13+V$2-3)),""))</f>
        <v>0.0329473859760162</v>
      </c>
      <c r="W13" s="10" t="n">
        <f aca="false">IF(OR($B13+W$2-3&lt;1,$B13+W$2&gt;設定!$B$5),"",IFERROR(LN(INDEX(月次集計!$I$2:$I$45,$B13+W$2)/INDEX(月次集計!$I$2:$I$45,$B13+W$2-3)),""))</f>
        <v>-0.214405019904587</v>
      </c>
      <c r="X13" s="10" t="n">
        <f aca="false">IF(OR($B13+X$2-3&lt;1,$B13+X$2&gt;設定!$B$5),"",IFERROR(LN(INDEX(月次集計!$I$2:$I$45,$B13+X$2)/INDEX(月次集計!$I$2:$I$45,$B13+X$2-3)),""))</f>
        <v>-0.200569796337364</v>
      </c>
      <c r="Y13" s="10" t="n">
        <f aca="false">IF(OR($B13+Y$2-3&lt;1,$B13+Y$2&gt;設定!$B$5),"",IFERROR(LN(INDEX(月次集計!$I$2:$I$45,$B13+Y$2)/INDEX(月次集計!$I$2:$I$45,$B13+Y$2-3)),""))</f>
        <v>-0.249062733607115</v>
      </c>
      <c r="Z13" s="10" t="n">
        <f aca="false">IF(OR($B13+Z$2-3&lt;1,$B13+Z$2&gt;設定!$B$5),"",IFERROR(LN(INDEX(月次集計!$I$2:$I$45,$B13+Z$2)/INDEX(月次集計!$I$2:$I$45,$B13+Z$2-3)),""))</f>
        <v>-0.198064650400071</v>
      </c>
      <c r="AA13" s="10" t="n">
        <f aca="false">IF(OR($B13+AA$2-3&lt;1,$B13+AA$2&gt;設定!$B$5),"",IFERROR(LN(INDEX(月次集計!$I$2:$I$45,$B13+AA$2)/INDEX(月次集計!$I$2:$I$45,$B13+AA$2-3)),""))</f>
        <v>-0.104649139039957</v>
      </c>
      <c r="AB13" s="10" t="n">
        <f aca="false">IF(OR($B13+AB$2-3&lt;1,$B13+AB$2&gt;設定!$B$5),"",IFERROR(LN(INDEX(月次集計!$I$2:$I$45,$B13+AB$2)/INDEX(月次集計!$I$2:$I$45,$B13+AB$2-3)),""))</f>
        <v>0.151752163312259</v>
      </c>
      <c r="AC13" s="10" t="n">
        <f aca="false">IF(OR($B13+AC$2-3&lt;1,$B13+AC$2&gt;設定!$B$5),"",IFERROR(LN(INDEX(月次集計!$J$2:$J$45,$B13+AC$2)/INDEX(月次集計!$J$2:$J$45,$B13+AC$2-3)),""))</f>
        <v>-0.118989073437582</v>
      </c>
      <c r="AD13" s="10" t="n">
        <f aca="false">IF(OR($B13+AD$2-3&lt;1,$B13+AD$2&gt;設定!$B$5),"",IFERROR(LN(INDEX(月次集計!$J$2:$J$45,$B13+AD$2)/INDEX(月次集計!$J$2:$J$45,$B13+AD$2-3)),""))</f>
        <v>0.0420634594249383</v>
      </c>
      <c r="AE13" s="10" t="n">
        <f aca="false">IF(OR($B13+AE$2-3&lt;1,$B13+AE$2&gt;設定!$B$5),"",IFERROR(LN(INDEX(月次集計!$J$2:$J$45,$B13+AE$2)/INDEX(月次集計!$J$2:$J$45,$B13+AE$2-3)),""))</f>
        <v>0.101203275888013</v>
      </c>
      <c r="AF13" s="10" t="n">
        <f aca="false">IF(OR($B13+AF$2-3&lt;1,$B13+AF$2&gt;設定!$B$5),"",IFERROR(LN(INDEX(月次集計!$J$2:$J$45,$B13+AF$2)/INDEX(月次集計!$J$2:$J$45,$B13+AF$2-3)),""))</f>
        <v>-0.0139874628632832</v>
      </c>
      <c r="AG13" s="10" t="n">
        <f aca="false">IF(OR($B13+AG$2-3&lt;1,$B13+AG$2&gt;設定!$B$5),"",IFERROR(LN(INDEX(月次集計!$J$2:$J$45,$B13+AG$2)/INDEX(月次集計!$J$2:$J$45,$B13+AG$2-3)),""))</f>
        <v>-0.123573251511605</v>
      </c>
      <c r="AH13" s="10" t="n">
        <f aca="false">IF(OR($B13+AH$2-3&lt;1,$B13+AH$2&gt;設定!$B$5),"",IFERROR(LN(INDEX(月次集計!$J$2:$J$45,$B13+AH$2)/INDEX(月次集計!$J$2:$J$45,$B13+AH$2-3)),""))</f>
        <v>-0.0622297134900396</v>
      </c>
      <c r="AI13" s="10" t="n">
        <f aca="false">IF(OR($B13+AI$2-3&lt;1,$B13+AI$2&gt;設定!$B$5),"",IFERROR(LN(INDEX(月次集計!$J$2:$J$45,$B13+AI$2)/INDEX(月次集計!$J$2:$J$45,$B13+AI$2-3)),""))</f>
        <v>-0.216820013738218</v>
      </c>
      <c r="AJ13" s="10" t="n">
        <f aca="false">IF(OR($B13+AJ$2-3&lt;1,$B13+AJ$2&gt;設定!$B$5),"",IFERROR(LN(INDEX(月次集計!$J$2:$J$45,$B13+AJ$2)/INDEX(月次集計!$J$2:$J$45,$B13+AJ$2-3)),""))</f>
        <v>-0.489965763725627</v>
      </c>
      <c r="AK13" s="10" t="n">
        <f aca="false">IF(OR($B13+AK$2-3&lt;1,$B13+AK$2&gt;設定!$B$5),"",IFERROR(LN(INDEX(月次集計!$J$2:$J$45,$B13+AK$2)/INDEX(月次集計!$J$2:$J$45,$B13+AK$2-3)),""))</f>
        <v>-0.54054156141551</v>
      </c>
      <c r="AL13" s="10" t="n">
        <f aca="false">IF(OR($B13+AL$2-3&lt;1,$B13+AL$2&gt;設定!$B$5),"",IFERROR(LN(INDEX(月次集計!$J$2:$J$45,$B13+AL$2)/INDEX(月次集計!$J$2:$J$45,$B13+AL$2-3)),""))</f>
        <v>-0.326769098529147</v>
      </c>
      <c r="AM13" s="10" t="n">
        <f aca="false">IF(OR($B13+AM$2-3&lt;1,$B13+AM$2&gt;設定!$B$5),"",IFERROR(LN(INDEX(月次集計!$J$2:$J$45,$B13+AM$2)/INDEX(月次集計!$J$2:$J$45,$B13+AM$2-3)),""))</f>
        <v>0.13934226889586</v>
      </c>
      <c r="AN13" s="10" t="n">
        <f aca="false">IF(OR($B13+AN$2-3&lt;1,$B13+AN$2&gt;設定!$B$5),"",IFERROR(LN(INDEX(月次集計!$J$2:$J$45,$B13+AN$2)/INDEX(月次集計!$J$2:$J$45,$B13+AN$2-3)),""))</f>
        <v>0.360115872753099</v>
      </c>
      <c r="AO13" s="10" t="n">
        <f aca="false">IF(OR($B13+AO$2-3&lt;1,$B13+AO$2&gt;設定!$B$5),"",IFERROR(LN(INDEX(月次集計!$J$2:$J$45,$B13+AO$2)/INDEX(月次集計!$J$2:$J$45,$B13+AO$2-3)),""))</f>
        <v>0.346890654215019</v>
      </c>
      <c r="AP13" s="10" t="n">
        <f aca="false">IF(OR($B13+AP$2-3&lt;1,$B13+AP$2&gt;設定!$B$5),"",IFERROR(LN(INDEX(月次集計!$K$2:$K$45,$B13+AP$2)/INDEX(月次集計!$K$2:$K$45,$B13+AP$2-3)),""))</f>
        <v>0.249706460757958</v>
      </c>
      <c r="AQ13" s="10" t="n">
        <f aca="false">IF(OR($B13+AQ$2-3&lt;1,$B13+AQ$2&gt;設定!$B$5),"",IFERROR(LN(INDEX(月次集計!$K$2:$K$45,$B13+AQ$2)/INDEX(月次集計!$K$2:$K$45,$B13+AQ$2-3)),""))</f>
        <v>-0.426891189808397</v>
      </c>
      <c r="AR13" s="10" t="n">
        <f aca="false">IF(OR($B13+AR$2-3&lt;1,$B13+AR$2&gt;設定!$B$5),"",IFERROR(LN(INDEX(月次集計!$K$2:$K$45,$B13+AR$2)/INDEX(月次集計!$K$2:$K$45,$B13+AR$2-3)),""))</f>
        <v>-0.42340435716097</v>
      </c>
      <c r="AS13" s="10" t="n">
        <f aca="false">IF(OR($B13+AS$2-3&lt;1,$B13+AS$2&gt;設定!$B$5),"",IFERROR(LN(INDEX(月次集計!$K$2:$K$45,$B13+AS$2)/INDEX(月次集計!$K$2:$K$45,$B13+AS$2-3)),""))</f>
        <v>-0.418873973250833</v>
      </c>
      <c r="AT13" s="10" t="n">
        <f aca="false">IF(OR($B13+AT$2-3&lt;1,$B13+AT$2&gt;設定!$B$5),"",IFERROR(LN(INDEX(月次集計!$K$2:$K$45,$B13+AT$2)/INDEX(月次集計!$K$2:$K$45,$B13+AT$2-3)),""))</f>
        <v>-0.0620361108573783</v>
      </c>
      <c r="AU13" s="10" t="n">
        <f aca="false">IF(OR($B13+AU$2-3&lt;1,$B13+AU$2&gt;設定!$B$5),"",IFERROR(LN(INDEX(月次集計!$K$2:$K$45,$B13+AU$2)/INDEX(月次集計!$K$2:$K$45,$B13+AU$2-3)),""))</f>
        <v>-0.114585971450545</v>
      </c>
      <c r="AV13" s="10" t="n">
        <f aca="false">IF(OR($B13+AV$2-3&lt;1,$B13+AV$2&gt;設定!$B$5),"",IFERROR(LN(INDEX(月次集計!$K$2:$K$45,$B13+AV$2)/INDEX(月次集計!$K$2:$K$45,$B13+AV$2-3)),""))</f>
        <v>-0.109254164027872</v>
      </c>
      <c r="AW13" s="10" t="n">
        <f aca="false">IF(OR($B13+AW$2-3&lt;1,$B13+AW$2&gt;設定!$B$5),"",IFERROR(LN(INDEX(月次集計!$K$2:$K$45,$B13+AW$2)/INDEX(月次集計!$K$2:$K$45,$B13+AW$2-3)),""))</f>
        <v>-0.0394876428729973</v>
      </c>
      <c r="AX13" s="10" t="n">
        <f aca="false">IF(OR($B13+AX$2-3&lt;1,$B13+AX$2&gt;設定!$B$5),"",IFERROR(LN(INDEX(月次集計!$K$2:$K$45,$B13+AX$2)/INDEX(月次集計!$K$2:$K$45,$B13+AX$2-3)),""))</f>
        <v>-0.161093623746186</v>
      </c>
      <c r="AY13" s="10" t="n">
        <f aca="false">IF(OR($B13+AY$2-3&lt;1,$B13+AY$2&gt;設定!$B$5),"",IFERROR(LN(INDEX(月次集計!$K$2:$K$45,$B13+AY$2)/INDEX(月次集計!$K$2:$K$45,$B13+AY$2-3)),""))</f>
        <v>-0.570810655309807</v>
      </c>
      <c r="AZ13" s="10" t="str">
        <f aca="false">IF(OR($B13+AZ$2-3&lt;1,$B13+AZ$2&gt;設定!$B$5),"",IFERROR(LN(INDEX(月次集計!$K$2:$K$45,$B13+AZ$2)/INDEX(月次集計!$K$2:$K$45,$B13+AZ$2-3)),""))</f>
        <v/>
      </c>
      <c r="BA13" s="10" t="str">
        <f aca="false">IF(OR($B13+BA$2-3&lt;1,$B13+BA$2&gt;設定!$B$5),"",IFERROR(LN(INDEX(月次集計!$K$2:$K$45,$B13+BA$2)/INDEX(月次集計!$K$2:$K$45,$B13+BA$2-3)),""))</f>
        <v/>
      </c>
      <c r="BB13" s="10" t="str">
        <f aca="false">IF(OR($B13+BB$2-3&lt;1,$B13+BB$2&gt;設定!$B$5),"",IFERROR(LN(INDEX(月次集計!$K$2:$K$45,$B13+BB$2)/INDEX(月次集計!$K$2:$K$45,$B13+BB$2-3)),""))</f>
        <v/>
      </c>
      <c r="BC13" s="10" t="n">
        <f aca="false">IF(OR($B13+BC$2-3&lt;1,$B13+BC$2&gt;設定!$B$5),"",IFERROR(LN(INDEX(月次集計!$L$2:$L$45,$B13+BC$2)/INDEX(月次集計!$L$2:$L$45,$B13+BC$2-3)),""))</f>
        <v>0.149216473319478</v>
      </c>
      <c r="BD13" s="10" t="n">
        <f aca="false">IF(OR($B13+BD$2-3&lt;1,$B13+BD$2&gt;設定!$B$5),"",IFERROR(LN(INDEX(月次集計!$L$2:$L$45,$B13+BD$2)/INDEX(月次集計!$L$2:$L$45,$B13+BD$2-3)),""))</f>
        <v>0.121071375951032</v>
      </c>
      <c r="BE13" s="10" t="n">
        <f aca="false">IF(OR($B13+BE$2-3&lt;1,$B13+BE$2&gt;設定!$B$5),"",IFERROR(LN(INDEX(月次集計!$L$2:$L$45,$B13+BE$2)/INDEX(月次集計!$L$2:$L$45,$B13+BE$2-3)),""))</f>
        <v>0.180076944837113</v>
      </c>
      <c r="BF13" s="10" t="n">
        <f aca="false">IF(OR($B13+BF$2-3&lt;1,$B13+BF$2&gt;設定!$B$5),"",IFERROR(LN(INDEX(月次集計!$L$2:$L$45,$B13+BF$2)/INDEX(月次集計!$L$2:$L$45,$B13+BF$2-3)),""))</f>
        <v>0.167344064189502</v>
      </c>
      <c r="BG13" s="10" t="n">
        <f aca="false">IF(OR($B13+BG$2-3&lt;1,$B13+BG$2&gt;設定!$B$5),"",IFERROR(LN(INDEX(月次集計!$L$2:$L$45,$B13+BG$2)/INDEX(月次集計!$L$2:$L$45,$B13+BG$2-3)),""))</f>
        <v>0.289949413930706</v>
      </c>
      <c r="BH13" s="10" t="n">
        <f aca="false">IF(OR($B13+BH$2-3&lt;1,$B13+BH$2&gt;設定!$B$5),"",IFERROR(LN(INDEX(月次集計!$L$2:$L$45,$B13+BH$2)/INDEX(月次集計!$L$2:$L$45,$B13+BH$2-3)),""))</f>
        <v>0.17471828937804</v>
      </c>
      <c r="BI13" s="10" t="n">
        <f aca="false">IF(OR($B13+BI$2-3&lt;1,$B13+BI$2&gt;設定!$B$5),"",IFERROR(LN(INDEX(月次集計!$L$2:$L$45,$B13+BI$2)/INDEX(月次集計!$L$2:$L$45,$B13+BI$2-3)),""))</f>
        <v>-0.0754256837422501</v>
      </c>
      <c r="BJ13" s="10" t="n">
        <f aca="false">IF(OR($B13+BJ$2-3&lt;1,$B13+BJ$2&gt;設定!$B$5),"",IFERROR(LN(INDEX(月次集計!$L$2:$L$45,$B13+BJ$2)/INDEX(月次集計!$L$2:$L$45,$B13+BJ$2-3)),""))</f>
        <v>-0.254685994348103</v>
      </c>
      <c r="BK13" s="10" t="n">
        <f aca="false">IF(OR($B13+BK$2-3&lt;1,$B13+BK$2&gt;設定!$B$5),"",IFERROR(LN(INDEX(月次集計!$L$2:$L$45,$B13+BK$2)/INDEX(月次集計!$L$2:$L$45,$B13+BK$2-3)),""))</f>
        <v>-0.245657876013775</v>
      </c>
      <c r="BL13" s="10" t="n">
        <f aca="false">IF(OR($B13+BL$2-3&lt;1,$B13+BL$2&gt;設定!$B$5),"",IFERROR(LN(INDEX(月次集計!$L$2:$L$45,$B13+BL$2)/INDEX(月次集計!$L$2:$L$45,$B13+BL$2-3)),""))</f>
        <v>-0.189150250748899</v>
      </c>
      <c r="BM13" s="10" t="n">
        <f aca="false">IF(OR($B13+BM$2-3&lt;1,$B13+BM$2&gt;設定!$B$5),"",IFERROR(LN(INDEX(月次集計!$L$2:$L$45,$B13+BM$2)/INDEX(月次集計!$L$2:$L$45,$B13+BM$2-3)),""))</f>
        <v>-0.122971985244394</v>
      </c>
      <c r="BN13" s="10" t="n">
        <f aca="false">IF(OR($B13+BN$2-3&lt;1,$B13+BN$2&gt;設定!$B$5),"",IFERROR(LN(INDEX(月次集計!$L$2:$L$45,$B13+BN$2)/INDEX(月次集計!$L$2:$L$45,$B13+BN$2-3)),""))</f>
        <v>-0.0171124419478958</v>
      </c>
      <c r="BO13" s="10" t="n">
        <f aca="false">IF(OR($B13+BO$2-3&lt;1,$B13+BO$2&gt;設定!$B$5),"",IFERROR(LN(INDEX(月次集計!$L$2:$L$45,$B13+BO$2)/INDEX(月次集計!$L$2:$L$45,$B13+BO$2-3)),""))</f>
        <v>0.162245451164834</v>
      </c>
    </row>
    <row r="14" customFormat="false" ht="15" hidden="false" customHeight="false" outlineLevel="0" collapsed="false">
      <c r="A14" s="3" t="s">
        <v>84</v>
      </c>
      <c r="B14" s="3" t="n">
        <v>33</v>
      </c>
      <c r="C14" s="10" t="n">
        <f aca="false">IF(OR($B14+C$2-3&lt;1,$B14+C$2&gt;設定!$B$5),"",IFERROR(LN(INDEX(月次集計!$H$2:$H$45,$B14+C$2)/INDEX(月次集計!$H$2:$H$45,$B14+C$2-3)),""))</f>
        <v>0.118705342615815</v>
      </c>
      <c r="D14" s="10" t="n">
        <f aca="false">IF(OR($B14+D$2-3&lt;1,$B14+D$2&gt;設定!$B$5),"",IFERROR(LN(INDEX(月次集計!$H$2:$H$45,$B14+D$2)/INDEX(月次集計!$H$2:$H$45,$B14+D$2-3)),""))</f>
        <v>0.259032288527</v>
      </c>
      <c r="E14" s="10" t="n">
        <f aca="false">IF(OR($B14+E$2-3&lt;1,$B14+E$2&gt;設定!$B$5),"",IFERROR(LN(INDEX(月次集計!$H$2:$H$45,$B14+E$2)/INDEX(月次集計!$H$2:$H$45,$B14+E$2-3)),""))</f>
        <v>0.141345115332955</v>
      </c>
      <c r="F14" s="10" t="n">
        <f aca="false">IF(OR($B14+F$2-3&lt;1,$B14+F$2&gt;設定!$B$5),"",IFERROR(LN(INDEX(月次集計!$H$2:$H$45,$B14+F$2)/INDEX(月次集計!$H$2:$H$45,$B14+F$2-3)),""))</f>
        <v>-0.180034834838936</v>
      </c>
      <c r="G14" s="10" t="n">
        <f aca="false">IF(OR($B14+G$2-3&lt;1,$B14+G$2&gt;設定!$B$5),"",IFERROR(LN(INDEX(月次集計!$H$2:$H$45,$B14+G$2)/INDEX(月次集計!$H$2:$H$45,$B14+G$2-3)),""))</f>
        <v>-0.268428042773394</v>
      </c>
      <c r="H14" s="10" t="n">
        <f aca="false">IF(OR($B14+H$2-3&lt;1,$B14+H$2&gt;設定!$B$5),"",IFERROR(LN(INDEX(月次集計!$H$2:$H$45,$B14+H$2)/INDEX(月次集計!$H$2:$H$45,$B14+H$2-3)),""))</f>
        <v>-0.258571826594016</v>
      </c>
      <c r="I14" s="10" t="n">
        <f aca="false">IF(OR($B14+I$2-3&lt;1,$B14+I$2&gt;設定!$B$5),"",IFERROR(LN(INDEX(月次集計!$H$2:$H$45,$B14+I$2)/INDEX(月次集計!$H$2:$H$45,$B14+I$2-3)),""))</f>
        <v>-0.0939512855384088</v>
      </c>
      <c r="J14" s="10" t="n">
        <f aca="false">IF(OR($B14+J$2-3&lt;1,$B14+J$2&gt;設定!$B$5),"",IFERROR(LN(INDEX(月次集計!$H$2:$H$45,$B14+J$2)/INDEX(月次集計!$H$2:$H$45,$B14+J$2-3)),""))</f>
        <v>-0.0736588640665432</v>
      </c>
      <c r="K14" s="10" t="n">
        <f aca="false">IF(OR($B14+K$2-3&lt;1,$B14+K$2&gt;設定!$B$5),"",IFERROR(LN(INDEX(月次集計!$H$2:$H$45,$B14+K$2)/INDEX(月次集計!$H$2:$H$45,$B14+K$2-3)),""))</f>
        <v>0.0318684541675865</v>
      </c>
      <c r="L14" s="10" t="n">
        <f aca="false">IF(OR($B14+L$2-3&lt;1,$B14+L$2&gt;設定!$B$5),"",IFERROR(LN(INDEX(月次集計!$H$2:$H$45,$B14+L$2)/INDEX(月次集計!$H$2:$H$45,$B14+L$2-3)),""))</f>
        <v>0.145982393505897</v>
      </c>
      <c r="M14" s="10" t="n">
        <f aca="false">IF(OR($B14+M$2-3&lt;1,$B14+M$2&gt;設定!$B$5),"",IFERROR(LN(INDEX(月次集計!$H$2:$H$45,$B14+M$2)/INDEX(月次集計!$H$2:$H$45,$B14+M$2-3)),""))</f>
        <v>0.267615692773812</v>
      </c>
      <c r="N14" s="10" t="n">
        <f aca="false">IF(OR($B14+N$2-3&lt;1,$B14+N$2&gt;設定!$B$5),"",IFERROR(LN(INDEX(月次集計!$H$2:$H$45,$B14+N$2)/INDEX(月次集計!$H$2:$H$45,$B14+N$2-3)),""))</f>
        <v>0.265910835142332</v>
      </c>
      <c r="O14" s="10" t="n">
        <f aca="false">IF(OR($B14+O$2-3&lt;1,$B14+O$2&gt;設定!$B$5),"",IFERROR(LN(INDEX(月次集計!$H$2:$H$45,$B14+O$2)/INDEX(月次集計!$H$2:$H$45,$B14+O$2-3)),""))</f>
        <v>0.206855203041426</v>
      </c>
      <c r="P14" s="10" t="n">
        <f aca="false">IF(OR($B14+P$2-3&lt;1,$B14+P$2&gt;設定!$B$5),"",IFERROR(LN(INDEX(月次集計!$I$2:$I$45,$B14+P$2)/INDEX(月次集計!$I$2:$I$45,$B14+P$2-3)),""))</f>
        <v>0.250453588989763</v>
      </c>
      <c r="Q14" s="10" t="n">
        <f aca="false">IF(OR($B14+Q$2-3&lt;1,$B14+Q$2&gt;設定!$B$5),"",IFERROR(LN(INDEX(月次集計!$I$2:$I$45,$B14+Q$2)/INDEX(月次集計!$I$2:$I$45,$B14+Q$2-3)),""))</f>
        <v>0.393958106794194</v>
      </c>
      <c r="R14" s="10" t="n">
        <f aca="false">IF(OR($B14+R$2-3&lt;1,$B14+R$2&gt;設定!$B$5),"",IFERROR(LN(INDEX(月次集計!$I$2:$I$45,$B14+R$2)/INDEX(月次集計!$I$2:$I$45,$B14+R$2-3)),""))</f>
        <v>0.241681284649496</v>
      </c>
      <c r="S14" s="10" t="n">
        <f aca="false">IF(OR($B14+S$2-3&lt;1,$B14+S$2&gt;設定!$B$5),"",IFERROR(LN(INDEX(月次集計!$I$2:$I$45,$B14+S$2)/INDEX(月次集計!$I$2:$I$45,$B14+S$2-3)),""))</f>
        <v>0.0329473859760162</v>
      </c>
      <c r="T14" s="10" t="n">
        <f aca="false">IF(OR($B14+T$2-3&lt;1,$B14+T$2&gt;設定!$B$5),"",IFERROR(LN(INDEX(月次集計!$I$2:$I$45,$B14+T$2)/INDEX(月次集計!$I$2:$I$45,$B14+T$2-3)),""))</f>
        <v>-0.214405019904587</v>
      </c>
      <c r="U14" s="10" t="n">
        <f aca="false">IF(OR($B14+U$2-3&lt;1,$B14+U$2&gt;設定!$B$5),"",IFERROR(LN(INDEX(月次集計!$I$2:$I$45,$B14+U$2)/INDEX(月次集計!$I$2:$I$45,$B14+U$2-3)),""))</f>
        <v>-0.200569796337364</v>
      </c>
      <c r="V14" s="10" t="n">
        <f aca="false">IF(OR($B14+V$2-3&lt;1,$B14+V$2&gt;設定!$B$5),"",IFERROR(LN(INDEX(月次集計!$I$2:$I$45,$B14+V$2)/INDEX(月次集計!$I$2:$I$45,$B14+V$2-3)),""))</f>
        <v>-0.249062733607115</v>
      </c>
      <c r="W14" s="10" t="n">
        <f aca="false">IF(OR($B14+W$2-3&lt;1,$B14+W$2&gt;設定!$B$5),"",IFERROR(LN(INDEX(月次集計!$I$2:$I$45,$B14+W$2)/INDEX(月次集計!$I$2:$I$45,$B14+W$2-3)),""))</f>
        <v>-0.198064650400071</v>
      </c>
      <c r="X14" s="10" t="n">
        <f aca="false">IF(OR($B14+X$2-3&lt;1,$B14+X$2&gt;設定!$B$5),"",IFERROR(LN(INDEX(月次集計!$I$2:$I$45,$B14+X$2)/INDEX(月次集計!$I$2:$I$45,$B14+X$2-3)),""))</f>
        <v>-0.104649139039957</v>
      </c>
      <c r="Y14" s="10" t="n">
        <f aca="false">IF(OR($B14+Y$2-3&lt;1,$B14+Y$2&gt;設定!$B$5),"",IFERROR(LN(INDEX(月次集計!$I$2:$I$45,$B14+Y$2)/INDEX(月次集計!$I$2:$I$45,$B14+Y$2-3)),""))</f>
        <v>0.151752163312259</v>
      </c>
      <c r="Z14" s="10" t="n">
        <f aca="false">IF(OR($B14+Z$2-3&lt;1,$B14+Z$2&gt;設定!$B$5),"",IFERROR(LN(INDEX(月次集計!$I$2:$I$45,$B14+Z$2)/INDEX(月次集計!$I$2:$I$45,$B14+Z$2-3)),""))</f>
        <v>0.23374331784619</v>
      </c>
      <c r="AA14" s="10" t="n">
        <f aca="false">IF(OR($B14+AA$2-3&lt;1,$B14+AA$2&gt;設定!$B$5),"",IFERROR(LN(INDEX(月次集計!$I$2:$I$45,$B14+AA$2)/INDEX(月次集計!$I$2:$I$45,$B14+AA$2-3)),""))</f>
        <v>0.00470485518256583</v>
      </c>
      <c r="AB14" s="10" t="n">
        <f aca="false">IF(OR($B14+AB$2-3&lt;1,$B14+AB$2&gt;設定!$B$5),"",IFERROR(LN(INDEX(月次集計!$I$2:$I$45,$B14+AB$2)/INDEX(月次集計!$I$2:$I$45,$B14+AB$2-3)),""))</f>
        <v>0.0407984081433238</v>
      </c>
      <c r="AC14" s="10" t="n">
        <f aca="false">IF(OR($B14+AC$2-3&lt;1,$B14+AC$2&gt;設定!$B$5),"",IFERROR(LN(INDEX(月次集計!$J$2:$J$45,$B14+AC$2)/INDEX(月次集計!$J$2:$J$45,$B14+AC$2-3)),""))</f>
        <v>-0.0139874628632832</v>
      </c>
      <c r="AD14" s="10" t="n">
        <f aca="false">IF(OR($B14+AD$2-3&lt;1,$B14+AD$2&gt;設定!$B$5),"",IFERROR(LN(INDEX(月次集計!$J$2:$J$45,$B14+AD$2)/INDEX(月次集計!$J$2:$J$45,$B14+AD$2-3)),""))</f>
        <v>-0.123573251511605</v>
      </c>
      <c r="AE14" s="10" t="n">
        <f aca="false">IF(OR($B14+AE$2-3&lt;1,$B14+AE$2&gt;設定!$B$5),"",IFERROR(LN(INDEX(月次集計!$J$2:$J$45,$B14+AE$2)/INDEX(月次集計!$J$2:$J$45,$B14+AE$2-3)),""))</f>
        <v>-0.0622297134900396</v>
      </c>
      <c r="AF14" s="10" t="n">
        <f aca="false">IF(OR($B14+AF$2-3&lt;1,$B14+AF$2&gt;設定!$B$5),"",IFERROR(LN(INDEX(月次集計!$J$2:$J$45,$B14+AF$2)/INDEX(月次集計!$J$2:$J$45,$B14+AF$2-3)),""))</f>
        <v>-0.216820013738218</v>
      </c>
      <c r="AG14" s="10" t="n">
        <f aca="false">IF(OR($B14+AG$2-3&lt;1,$B14+AG$2&gt;設定!$B$5),"",IFERROR(LN(INDEX(月次集計!$J$2:$J$45,$B14+AG$2)/INDEX(月次集計!$J$2:$J$45,$B14+AG$2-3)),""))</f>
        <v>-0.489965763725627</v>
      </c>
      <c r="AH14" s="10" t="n">
        <f aca="false">IF(OR($B14+AH$2-3&lt;1,$B14+AH$2&gt;設定!$B$5),"",IFERROR(LN(INDEX(月次集計!$J$2:$J$45,$B14+AH$2)/INDEX(月次集計!$J$2:$J$45,$B14+AH$2-3)),""))</f>
        <v>-0.54054156141551</v>
      </c>
      <c r="AI14" s="10" t="n">
        <f aca="false">IF(OR($B14+AI$2-3&lt;1,$B14+AI$2&gt;設定!$B$5),"",IFERROR(LN(INDEX(月次集計!$J$2:$J$45,$B14+AI$2)/INDEX(月次集計!$J$2:$J$45,$B14+AI$2-3)),""))</f>
        <v>-0.326769098529147</v>
      </c>
      <c r="AJ14" s="10" t="n">
        <f aca="false">IF(OR($B14+AJ$2-3&lt;1,$B14+AJ$2&gt;設定!$B$5),"",IFERROR(LN(INDEX(月次集計!$J$2:$J$45,$B14+AJ$2)/INDEX(月次集計!$J$2:$J$45,$B14+AJ$2-3)),""))</f>
        <v>0.13934226889586</v>
      </c>
      <c r="AK14" s="10" t="n">
        <f aca="false">IF(OR($B14+AK$2-3&lt;1,$B14+AK$2&gt;設定!$B$5),"",IFERROR(LN(INDEX(月次集計!$J$2:$J$45,$B14+AK$2)/INDEX(月次集計!$J$2:$J$45,$B14+AK$2-3)),""))</f>
        <v>0.360115872753099</v>
      </c>
      <c r="AL14" s="10" t="n">
        <f aca="false">IF(OR($B14+AL$2-3&lt;1,$B14+AL$2&gt;設定!$B$5),"",IFERROR(LN(INDEX(月次集計!$J$2:$J$45,$B14+AL$2)/INDEX(月次集計!$J$2:$J$45,$B14+AL$2-3)),""))</f>
        <v>0.346890654215019</v>
      </c>
      <c r="AM14" s="10" t="n">
        <f aca="false">IF(OR($B14+AM$2-3&lt;1,$B14+AM$2&gt;設定!$B$5),"",IFERROR(LN(INDEX(月次集計!$J$2:$J$45,$B14+AM$2)/INDEX(月次集計!$J$2:$J$45,$B14+AM$2-3)),""))</f>
        <v>0.163865740574918</v>
      </c>
      <c r="AN14" s="10" t="n">
        <f aca="false">IF(OR($B14+AN$2-3&lt;1,$B14+AN$2&gt;設定!$B$5),"",IFERROR(LN(INDEX(月次集計!$J$2:$J$45,$B14+AN$2)/INDEX(月次集計!$J$2:$J$45,$B14+AN$2-3)),""))</f>
        <v>0.0472387735440812</v>
      </c>
      <c r="AO14" s="10" t="n">
        <f aca="false">IF(OR($B14+AO$2-3&lt;1,$B14+AO$2&gt;設定!$B$5),"",IFERROR(LN(INDEX(月次集計!$J$2:$J$45,$B14+AO$2)/INDEX(月次集計!$J$2:$J$45,$B14+AO$2-3)),""))</f>
        <v>0.445841095404169</v>
      </c>
      <c r="AP14" s="10" t="n">
        <f aca="false">IF(OR($B14+AP$2-3&lt;1,$B14+AP$2&gt;設定!$B$5),"",IFERROR(LN(INDEX(月次集計!$K$2:$K$45,$B14+AP$2)/INDEX(月次集計!$K$2:$K$45,$B14+AP$2-3)),""))</f>
        <v>-0.418873973250833</v>
      </c>
      <c r="AQ14" s="10" t="n">
        <f aca="false">IF(OR($B14+AQ$2-3&lt;1,$B14+AQ$2&gt;設定!$B$5),"",IFERROR(LN(INDEX(月次集計!$K$2:$K$45,$B14+AQ$2)/INDEX(月次集計!$K$2:$K$45,$B14+AQ$2-3)),""))</f>
        <v>-0.0620361108573783</v>
      </c>
      <c r="AR14" s="10" t="n">
        <f aca="false">IF(OR($B14+AR$2-3&lt;1,$B14+AR$2&gt;設定!$B$5),"",IFERROR(LN(INDEX(月次集計!$K$2:$K$45,$B14+AR$2)/INDEX(月次集計!$K$2:$K$45,$B14+AR$2-3)),""))</f>
        <v>-0.114585971450545</v>
      </c>
      <c r="AS14" s="10" t="n">
        <f aca="false">IF(OR($B14+AS$2-3&lt;1,$B14+AS$2&gt;設定!$B$5),"",IFERROR(LN(INDEX(月次集計!$K$2:$K$45,$B14+AS$2)/INDEX(月次集計!$K$2:$K$45,$B14+AS$2-3)),""))</f>
        <v>-0.109254164027872</v>
      </c>
      <c r="AT14" s="10" t="n">
        <f aca="false">IF(OR($B14+AT$2-3&lt;1,$B14+AT$2&gt;設定!$B$5),"",IFERROR(LN(INDEX(月次集計!$K$2:$K$45,$B14+AT$2)/INDEX(月次集計!$K$2:$K$45,$B14+AT$2-3)),""))</f>
        <v>-0.0394876428729973</v>
      </c>
      <c r="AU14" s="10" t="n">
        <f aca="false">IF(OR($B14+AU$2-3&lt;1,$B14+AU$2&gt;設定!$B$5),"",IFERROR(LN(INDEX(月次集計!$K$2:$K$45,$B14+AU$2)/INDEX(月次集計!$K$2:$K$45,$B14+AU$2-3)),""))</f>
        <v>-0.161093623746186</v>
      </c>
      <c r="AV14" s="10" t="n">
        <f aca="false">IF(OR($B14+AV$2-3&lt;1,$B14+AV$2&gt;設定!$B$5),"",IFERROR(LN(INDEX(月次集計!$K$2:$K$45,$B14+AV$2)/INDEX(月次集計!$K$2:$K$45,$B14+AV$2-3)),""))</f>
        <v>-0.570810655309807</v>
      </c>
      <c r="AW14" s="10" t="str">
        <f aca="false">IF(OR($B14+AW$2-3&lt;1,$B14+AW$2&gt;設定!$B$5),"",IFERROR(LN(INDEX(月次集計!$K$2:$K$45,$B14+AW$2)/INDEX(月次集計!$K$2:$K$45,$B14+AW$2-3)),""))</f>
        <v/>
      </c>
      <c r="AX14" s="10" t="str">
        <f aca="false">IF(OR($B14+AX$2-3&lt;1,$B14+AX$2&gt;設定!$B$5),"",IFERROR(LN(INDEX(月次集計!$K$2:$K$45,$B14+AX$2)/INDEX(月次集計!$K$2:$K$45,$B14+AX$2-3)),""))</f>
        <v/>
      </c>
      <c r="AY14" s="10" t="str">
        <f aca="false">IF(OR($B14+AY$2-3&lt;1,$B14+AY$2&gt;設定!$B$5),"",IFERROR(LN(INDEX(月次集計!$K$2:$K$45,$B14+AY$2)/INDEX(月次集計!$K$2:$K$45,$B14+AY$2-3)),""))</f>
        <v/>
      </c>
      <c r="AZ14" s="10" t="str">
        <f aca="false">IF(OR($B14+AZ$2-3&lt;1,$B14+AZ$2&gt;設定!$B$5),"",IFERROR(LN(INDEX(月次集計!$K$2:$K$45,$B14+AZ$2)/INDEX(月次集計!$K$2:$K$45,$B14+AZ$2-3)),""))</f>
        <v/>
      </c>
      <c r="BA14" s="10" t="str">
        <f aca="false">IF(OR($B14+BA$2-3&lt;1,$B14+BA$2&gt;設定!$B$5),"",IFERROR(LN(INDEX(月次集計!$K$2:$K$45,$B14+BA$2)/INDEX(月次集計!$K$2:$K$45,$B14+BA$2-3)),""))</f>
        <v/>
      </c>
      <c r="BB14" s="10" t="str">
        <f aca="false">IF(OR($B14+BB$2-3&lt;1,$B14+BB$2&gt;設定!$B$5),"",IFERROR(LN(INDEX(月次集計!$K$2:$K$45,$B14+BB$2)/INDEX(月次集計!$K$2:$K$45,$B14+BB$2-3)),""))</f>
        <v/>
      </c>
      <c r="BC14" s="10" t="n">
        <f aca="false">IF(OR($B14+BC$2-3&lt;1,$B14+BC$2&gt;設定!$B$5),"",IFERROR(LN(INDEX(月次集計!$L$2:$L$45,$B14+BC$2)/INDEX(月次集計!$L$2:$L$45,$B14+BC$2-3)),""))</f>
        <v>0.167344064189502</v>
      </c>
      <c r="BD14" s="10" t="n">
        <f aca="false">IF(OR($B14+BD$2-3&lt;1,$B14+BD$2&gt;設定!$B$5),"",IFERROR(LN(INDEX(月次集計!$L$2:$L$45,$B14+BD$2)/INDEX(月次集計!$L$2:$L$45,$B14+BD$2-3)),""))</f>
        <v>0.289949413930706</v>
      </c>
      <c r="BE14" s="10" t="n">
        <f aca="false">IF(OR($B14+BE$2-3&lt;1,$B14+BE$2&gt;設定!$B$5),"",IFERROR(LN(INDEX(月次集計!$L$2:$L$45,$B14+BE$2)/INDEX(月次集計!$L$2:$L$45,$B14+BE$2-3)),""))</f>
        <v>0.17471828937804</v>
      </c>
      <c r="BF14" s="10" t="n">
        <f aca="false">IF(OR($B14+BF$2-3&lt;1,$B14+BF$2&gt;設定!$B$5),"",IFERROR(LN(INDEX(月次集計!$L$2:$L$45,$B14+BF$2)/INDEX(月次集計!$L$2:$L$45,$B14+BF$2-3)),""))</f>
        <v>-0.0754256837422501</v>
      </c>
      <c r="BG14" s="10" t="n">
        <f aca="false">IF(OR($B14+BG$2-3&lt;1,$B14+BG$2&gt;設定!$B$5),"",IFERROR(LN(INDEX(月次集計!$L$2:$L$45,$B14+BG$2)/INDEX(月次集計!$L$2:$L$45,$B14+BG$2-3)),""))</f>
        <v>-0.254685994348103</v>
      </c>
      <c r="BH14" s="10" t="n">
        <f aca="false">IF(OR($B14+BH$2-3&lt;1,$B14+BH$2&gt;設定!$B$5),"",IFERROR(LN(INDEX(月次集計!$L$2:$L$45,$B14+BH$2)/INDEX(月次集計!$L$2:$L$45,$B14+BH$2-3)),""))</f>
        <v>-0.245657876013775</v>
      </c>
      <c r="BI14" s="10" t="n">
        <f aca="false">IF(OR($B14+BI$2-3&lt;1,$B14+BI$2&gt;設定!$B$5),"",IFERROR(LN(INDEX(月次集計!$L$2:$L$45,$B14+BI$2)/INDEX(月次集計!$L$2:$L$45,$B14+BI$2-3)),""))</f>
        <v>-0.189150250748899</v>
      </c>
      <c r="BJ14" s="10" t="n">
        <f aca="false">IF(OR($B14+BJ$2-3&lt;1,$B14+BJ$2&gt;設定!$B$5),"",IFERROR(LN(INDEX(月次集計!$L$2:$L$45,$B14+BJ$2)/INDEX(月次集計!$L$2:$L$45,$B14+BJ$2-3)),""))</f>
        <v>-0.122971985244394</v>
      </c>
      <c r="BK14" s="10" t="n">
        <f aca="false">IF(OR($B14+BK$2-3&lt;1,$B14+BK$2&gt;設定!$B$5),"",IFERROR(LN(INDEX(月次集計!$L$2:$L$45,$B14+BK$2)/INDEX(月次集計!$L$2:$L$45,$B14+BK$2-3)),""))</f>
        <v>-0.0171124419478958</v>
      </c>
      <c r="BL14" s="10" t="n">
        <f aca="false">IF(OR($B14+BL$2-3&lt;1,$B14+BL$2&gt;設定!$B$5),"",IFERROR(LN(INDEX(月次集計!$L$2:$L$45,$B14+BL$2)/INDEX(月次集計!$L$2:$L$45,$B14+BL$2-3)),""))</f>
        <v>0.162245451164834</v>
      </c>
      <c r="BM14" s="10" t="n">
        <f aca="false">IF(OR($B14+BM$2-3&lt;1,$B14+BM$2&gt;設定!$B$5),"",IFERROR(LN(INDEX(月次集計!$L$2:$L$45,$B14+BM$2)/INDEX(月次集計!$L$2:$L$45,$B14+BM$2-3)),""))</f>
        <v>0.243844063144333</v>
      </c>
      <c r="BN14" s="10" t="n">
        <f aca="false">IF(OR($B14+BN$2-3&lt;1,$B14+BN$2&gt;設定!$B$5),"",IFERROR(LN(INDEX(月次集計!$L$2:$L$45,$B14+BN$2)/INDEX(月次集計!$L$2:$L$45,$B14+BN$2-3)),""))</f>
        <v>0.128138380828587</v>
      </c>
      <c r="BO14" s="10" t="n">
        <f aca="false">IF(OR($B14+BO$2-3&lt;1,$B14+BO$2&gt;設定!$B$5),"",IFERROR(LN(INDEX(月次集計!$L$2:$L$45,$B14+BO$2)/INDEX(月次集計!$L$2:$L$45,$B14+BO$2-3)),""))</f>
        <v>0.149148741720864</v>
      </c>
    </row>
    <row r="15" customFormat="false" ht="15" hidden="false" customHeight="false" outlineLevel="0" collapsed="false">
      <c r="A15" s="3" t="s">
        <v>85</v>
      </c>
      <c r="B15" s="3" t="n">
        <v>36</v>
      </c>
      <c r="C15" s="10" t="n">
        <f aca="false">IF(OR($B15+C$2-3&lt;1,$B15+C$2&gt;設定!$B$5),"",IFERROR(LN(INDEX(月次集計!$H$2:$H$45,$B15+C$2)/INDEX(月次集計!$H$2:$H$45,$B15+C$2-3)),""))</f>
        <v>-0.180034834838936</v>
      </c>
      <c r="D15" s="10" t="n">
        <f aca="false">IF(OR($B15+D$2-3&lt;1,$B15+D$2&gt;設定!$B$5),"",IFERROR(LN(INDEX(月次集計!$H$2:$H$45,$B15+D$2)/INDEX(月次集計!$H$2:$H$45,$B15+D$2-3)),""))</f>
        <v>-0.268428042773394</v>
      </c>
      <c r="E15" s="10" t="n">
        <f aca="false">IF(OR($B15+E$2-3&lt;1,$B15+E$2&gt;設定!$B$5),"",IFERROR(LN(INDEX(月次集計!$H$2:$H$45,$B15+E$2)/INDEX(月次集計!$H$2:$H$45,$B15+E$2-3)),""))</f>
        <v>-0.258571826594016</v>
      </c>
      <c r="F15" s="10" t="n">
        <f aca="false">IF(OR($B15+F$2-3&lt;1,$B15+F$2&gt;設定!$B$5),"",IFERROR(LN(INDEX(月次集計!$H$2:$H$45,$B15+F$2)/INDEX(月次集計!$H$2:$H$45,$B15+F$2-3)),""))</f>
        <v>-0.0939512855384088</v>
      </c>
      <c r="G15" s="10" t="n">
        <f aca="false">IF(OR($B15+G$2-3&lt;1,$B15+G$2&gt;設定!$B$5),"",IFERROR(LN(INDEX(月次集計!$H$2:$H$45,$B15+G$2)/INDEX(月次集計!$H$2:$H$45,$B15+G$2-3)),""))</f>
        <v>-0.0736588640665432</v>
      </c>
      <c r="H15" s="10" t="n">
        <f aca="false">IF(OR($B15+H$2-3&lt;1,$B15+H$2&gt;設定!$B$5),"",IFERROR(LN(INDEX(月次集計!$H$2:$H$45,$B15+H$2)/INDEX(月次集計!$H$2:$H$45,$B15+H$2-3)),""))</f>
        <v>0.0318684541675865</v>
      </c>
      <c r="I15" s="10" t="n">
        <f aca="false">IF(OR($B15+I$2-3&lt;1,$B15+I$2&gt;設定!$B$5),"",IFERROR(LN(INDEX(月次集計!$H$2:$H$45,$B15+I$2)/INDEX(月次集計!$H$2:$H$45,$B15+I$2-3)),""))</f>
        <v>0.145982393505897</v>
      </c>
      <c r="J15" s="10" t="n">
        <f aca="false">IF(OR($B15+J$2-3&lt;1,$B15+J$2&gt;設定!$B$5),"",IFERROR(LN(INDEX(月次集計!$H$2:$H$45,$B15+J$2)/INDEX(月次集計!$H$2:$H$45,$B15+J$2-3)),""))</f>
        <v>0.267615692773812</v>
      </c>
      <c r="K15" s="10" t="n">
        <f aca="false">IF(OR($B15+K$2-3&lt;1,$B15+K$2&gt;設定!$B$5),"",IFERROR(LN(INDEX(月次集計!$H$2:$H$45,$B15+K$2)/INDEX(月次集計!$H$2:$H$45,$B15+K$2-3)),""))</f>
        <v>0.265910835142332</v>
      </c>
      <c r="L15" s="10" t="n">
        <f aca="false">IF(OR($B15+L$2-3&lt;1,$B15+L$2&gt;設定!$B$5),"",IFERROR(LN(INDEX(月次集計!$H$2:$H$45,$B15+L$2)/INDEX(月次集計!$H$2:$H$45,$B15+L$2-3)),""))</f>
        <v>0.206855203041426</v>
      </c>
      <c r="M15" s="10" t="n">
        <f aca="false">IF(OR($B15+M$2-3&lt;1,$B15+M$2&gt;設定!$B$5),"",IFERROR(LN(INDEX(月次集計!$H$2:$H$45,$B15+M$2)/INDEX(月次集計!$H$2:$H$45,$B15+M$2-3)),""))</f>
        <v>0.141614347747185</v>
      </c>
      <c r="N15" s="10" t="n">
        <f aca="false">IF(OR($B15+N$2-3&lt;1,$B15+N$2&gt;設定!$B$5),"",IFERROR(LN(INDEX(月次集計!$H$2:$H$45,$B15+N$2)/INDEX(月次集計!$H$2:$H$45,$B15+N$2-3)),""))</f>
        <v>0.113135457011578</v>
      </c>
      <c r="O15" s="10" t="n">
        <f aca="false">IF(OR($B15+O$2-3&lt;1,$B15+O$2&gt;設定!$B$5),"",IFERROR(LN(INDEX(月次集計!$H$2:$H$45,$B15+O$2)/INDEX(月次集計!$H$2:$H$45,$B15+O$2-3)),""))</f>
        <v>-0.0301722065547064</v>
      </c>
      <c r="P15" s="10" t="n">
        <f aca="false">IF(OR($B15+P$2-3&lt;1,$B15+P$2&gt;設定!$B$5),"",IFERROR(LN(INDEX(月次集計!$I$2:$I$45,$B15+P$2)/INDEX(月次集計!$I$2:$I$45,$B15+P$2-3)),""))</f>
        <v>0.0329473859760162</v>
      </c>
      <c r="Q15" s="10" t="n">
        <f aca="false">IF(OR($B15+Q$2-3&lt;1,$B15+Q$2&gt;設定!$B$5),"",IFERROR(LN(INDEX(月次集計!$I$2:$I$45,$B15+Q$2)/INDEX(月次集計!$I$2:$I$45,$B15+Q$2-3)),""))</f>
        <v>-0.214405019904587</v>
      </c>
      <c r="R15" s="10" t="n">
        <f aca="false">IF(OR($B15+R$2-3&lt;1,$B15+R$2&gt;設定!$B$5),"",IFERROR(LN(INDEX(月次集計!$I$2:$I$45,$B15+R$2)/INDEX(月次集計!$I$2:$I$45,$B15+R$2-3)),""))</f>
        <v>-0.200569796337364</v>
      </c>
      <c r="S15" s="10" t="n">
        <f aca="false">IF(OR($B15+S$2-3&lt;1,$B15+S$2&gt;設定!$B$5),"",IFERROR(LN(INDEX(月次集計!$I$2:$I$45,$B15+S$2)/INDEX(月次集計!$I$2:$I$45,$B15+S$2-3)),""))</f>
        <v>-0.249062733607115</v>
      </c>
      <c r="T15" s="10" t="n">
        <f aca="false">IF(OR($B15+T$2-3&lt;1,$B15+T$2&gt;設定!$B$5),"",IFERROR(LN(INDEX(月次集計!$I$2:$I$45,$B15+T$2)/INDEX(月次集計!$I$2:$I$45,$B15+T$2-3)),""))</f>
        <v>-0.198064650400071</v>
      </c>
      <c r="U15" s="10" t="n">
        <f aca="false">IF(OR($B15+U$2-3&lt;1,$B15+U$2&gt;設定!$B$5),"",IFERROR(LN(INDEX(月次集計!$I$2:$I$45,$B15+U$2)/INDEX(月次集計!$I$2:$I$45,$B15+U$2-3)),""))</f>
        <v>-0.104649139039957</v>
      </c>
      <c r="V15" s="10" t="n">
        <f aca="false">IF(OR($B15+V$2-3&lt;1,$B15+V$2&gt;設定!$B$5),"",IFERROR(LN(INDEX(月次集計!$I$2:$I$45,$B15+V$2)/INDEX(月次集計!$I$2:$I$45,$B15+V$2-3)),""))</f>
        <v>0.151752163312259</v>
      </c>
      <c r="W15" s="10" t="n">
        <f aca="false">IF(OR($B15+W$2-3&lt;1,$B15+W$2&gt;設定!$B$5),"",IFERROR(LN(INDEX(月次集計!$I$2:$I$45,$B15+W$2)/INDEX(月次集計!$I$2:$I$45,$B15+W$2-3)),""))</f>
        <v>0.23374331784619</v>
      </c>
      <c r="X15" s="10" t="n">
        <f aca="false">IF(OR($B15+X$2-3&lt;1,$B15+X$2&gt;設定!$B$5),"",IFERROR(LN(INDEX(月次集計!$I$2:$I$45,$B15+X$2)/INDEX(月次集計!$I$2:$I$45,$B15+X$2-3)),""))</f>
        <v>0.00470485518256583</v>
      </c>
      <c r="Y15" s="10" t="n">
        <f aca="false">IF(OR($B15+Y$2-3&lt;1,$B15+Y$2&gt;設定!$B$5),"",IFERROR(LN(INDEX(月次集計!$I$2:$I$45,$B15+Y$2)/INDEX(月次集計!$I$2:$I$45,$B15+Y$2-3)),""))</f>
        <v>0.0407984081433238</v>
      </c>
      <c r="Z15" s="10" t="n">
        <f aca="false">IF(OR($B15+Z$2-3&lt;1,$B15+Z$2&gt;設定!$B$5),"",IFERROR(LN(INDEX(月次集計!$I$2:$I$45,$B15+Z$2)/INDEX(月次集計!$I$2:$I$45,$B15+Z$2-3)),""))</f>
        <v>0.127228251456676</v>
      </c>
      <c r="AA15" s="10" t="n">
        <f aca="false">IF(OR($B15+AA$2-3&lt;1,$B15+AA$2&gt;設定!$B$5),"",IFERROR(LN(INDEX(月次集計!$I$2:$I$45,$B15+AA$2)/INDEX(月次集計!$I$2:$I$45,$B15+AA$2-3)),""))</f>
        <v>0.318439072498935</v>
      </c>
      <c r="AB15" s="10" t="n">
        <f aca="false">IF(OR($B15+AB$2-3&lt;1,$B15+AB$2&gt;設定!$B$5),"",IFERROR(LN(INDEX(月次集計!$I$2:$I$45,$B15+AB$2)/INDEX(月次集計!$I$2:$I$45,$B15+AB$2-3)),""))</f>
        <v>0.217775674557904</v>
      </c>
      <c r="AC15" s="10" t="n">
        <f aca="false">IF(OR($B15+AC$2-3&lt;1,$B15+AC$2&gt;設定!$B$5),"",IFERROR(LN(INDEX(月次集計!$J$2:$J$45,$B15+AC$2)/INDEX(月次集計!$J$2:$J$45,$B15+AC$2-3)),""))</f>
        <v>-0.216820013738218</v>
      </c>
      <c r="AD15" s="10" t="n">
        <f aca="false">IF(OR($B15+AD$2-3&lt;1,$B15+AD$2&gt;設定!$B$5),"",IFERROR(LN(INDEX(月次集計!$J$2:$J$45,$B15+AD$2)/INDEX(月次集計!$J$2:$J$45,$B15+AD$2-3)),""))</f>
        <v>-0.489965763725627</v>
      </c>
      <c r="AE15" s="10" t="n">
        <f aca="false">IF(OR($B15+AE$2-3&lt;1,$B15+AE$2&gt;設定!$B$5),"",IFERROR(LN(INDEX(月次集計!$J$2:$J$45,$B15+AE$2)/INDEX(月次集計!$J$2:$J$45,$B15+AE$2-3)),""))</f>
        <v>-0.54054156141551</v>
      </c>
      <c r="AF15" s="10" t="n">
        <f aca="false">IF(OR($B15+AF$2-3&lt;1,$B15+AF$2&gt;設定!$B$5),"",IFERROR(LN(INDEX(月次集計!$J$2:$J$45,$B15+AF$2)/INDEX(月次集計!$J$2:$J$45,$B15+AF$2-3)),""))</f>
        <v>-0.326769098529147</v>
      </c>
      <c r="AG15" s="10" t="n">
        <f aca="false">IF(OR($B15+AG$2-3&lt;1,$B15+AG$2&gt;設定!$B$5),"",IFERROR(LN(INDEX(月次集計!$J$2:$J$45,$B15+AG$2)/INDEX(月次集計!$J$2:$J$45,$B15+AG$2-3)),""))</f>
        <v>0.13934226889586</v>
      </c>
      <c r="AH15" s="10" t="n">
        <f aca="false">IF(OR($B15+AH$2-3&lt;1,$B15+AH$2&gt;設定!$B$5),"",IFERROR(LN(INDEX(月次集計!$J$2:$J$45,$B15+AH$2)/INDEX(月次集計!$J$2:$J$45,$B15+AH$2-3)),""))</f>
        <v>0.360115872753099</v>
      </c>
      <c r="AI15" s="10" t="n">
        <f aca="false">IF(OR($B15+AI$2-3&lt;1,$B15+AI$2&gt;設定!$B$5),"",IFERROR(LN(INDEX(月次集計!$J$2:$J$45,$B15+AI$2)/INDEX(月次集計!$J$2:$J$45,$B15+AI$2-3)),""))</f>
        <v>0.346890654215019</v>
      </c>
      <c r="AJ15" s="10" t="n">
        <f aca="false">IF(OR($B15+AJ$2-3&lt;1,$B15+AJ$2&gt;設定!$B$5),"",IFERROR(LN(INDEX(月次集計!$J$2:$J$45,$B15+AJ$2)/INDEX(月次集計!$J$2:$J$45,$B15+AJ$2-3)),""))</f>
        <v>0.163865740574918</v>
      </c>
      <c r="AK15" s="10" t="n">
        <f aca="false">IF(OR($B15+AK$2-3&lt;1,$B15+AK$2&gt;設定!$B$5),"",IFERROR(LN(INDEX(月次集計!$J$2:$J$45,$B15+AK$2)/INDEX(月次集計!$J$2:$J$45,$B15+AK$2-3)),""))</f>
        <v>0.0472387735440812</v>
      </c>
      <c r="AL15" s="10" t="n">
        <f aca="false">IF(OR($B15+AL$2-3&lt;1,$B15+AL$2&gt;設定!$B$5),"",IFERROR(LN(INDEX(月次集計!$J$2:$J$45,$B15+AL$2)/INDEX(月次集計!$J$2:$J$45,$B15+AL$2-3)),""))</f>
        <v>0.445841095404169</v>
      </c>
      <c r="AM15" s="10" t="n">
        <f aca="false">IF(OR($B15+AM$2-3&lt;1,$B15+AM$2&gt;設定!$B$5),"",IFERROR(LN(INDEX(月次集計!$J$2:$J$45,$B15+AM$2)/INDEX(月次集計!$J$2:$J$45,$B15+AM$2-3)),""))</f>
        <v>0.996799706524949</v>
      </c>
      <c r="AN15" s="10" t="n">
        <f aca="false">IF(OR($B15+AN$2-3&lt;1,$B15+AN$2&gt;設定!$B$5),"",IFERROR(LN(INDEX(月次集計!$J$2:$J$45,$B15+AN$2)/INDEX(月次集計!$J$2:$J$45,$B15+AN$2-3)),""))</f>
        <v>1.01786486044617</v>
      </c>
      <c r="AO15" s="10" t="n">
        <f aca="false">IF(OR($B15+AO$2-3&lt;1,$B15+AO$2&gt;設定!$B$5),"",IFERROR(LN(INDEX(月次集計!$J$2:$J$45,$B15+AO$2)/INDEX(月次集計!$J$2:$J$45,$B15+AO$2-3)),""))</f>
        <v>0.489052121965813</v>
      </c>
      <c r="AP15" s="10" t="n">
        <f aca="false">IF(OR($B15+AP$2-3&lt;1,$B15+AP$2&gt;設定!$B$5),"",IFERROR(LN(INDEX(月次集計!$K$2:$K$45,$B15+AP$2)/INDEX(月次集計!$K$2:$K$45,$B15+AP$2-3)),""))</f>
        <v>-0.109254164027872</v>
      </c>
      <c r="AQ15" s="10" t="n">
        <f aca="false">IF(OR($B15+AQ$2-3&lt;1,$B15+AQ$2&gt;設定!$B$5),"",IFERROR(LN(INDEX(月次集計!$K$2:$K$45,$B15+AQ$2)/INDEX(月次集計!$K$2:$K$45,$B15+AQ$2-3)),""))</f>
        <v>-0.0394876428729973</v>
      </c>
      <c r="AR15" s="10" t="n">
        <f aca="false">IF(OR($B15+AR$2-3&lt;1,$B15+AR$2&gt;設定!$B$5),"",IFERROR(LN(INDEX(月次集計!$K$2:$K$45,$B15+AR$2)/INDEX(月次集計!$K$2:$K$45,$B15+AR$2-3)),""))</f>
        <v>-0.161093623746186</v>
      </c>
      <c r="AS15" s="10" t="n">
        <f aca="false">IF(OR($B15+AS$2-3&lt;1,$B15+AS$2&gt;設定!$B$5),"",IFERROR(LN(INDEX(月次集計!$K$2:$K$45,$B15+AS$2)/INDEX(月次集計!$K$2:$K$45,$B15+AS$2-3)),""))</f>
        <v>-0.570810655309807</v>
      </c>
      <c r="AT15" s="10" t="str">
        <f aca="false">IF(OR($B15+AT$2-3&lt;1,$B15+AT$2&gt;設定!$B$5),"",IFERROR(LN(INDEX(月次集計!$K$2:$K$45,$B15+AT$2)/INDEX(月次集計!$K$2:$K$45,$B15+AT$2-3)),""))</f>
        <v/>
      </c>
      <c r="AU15" s="10" t="str">
        <f aca="false">IF(OR($B15+AU$2-3&lt;1,$B15+AU$2&gt;設定!$B$5),"",IFERROR(LN(INDEX(月次集計!$K$2:$K$45,$B15+AU$2)/INDEX(月次集計!$K$2:$K$45,$B15+AU$2-3)),""))</f>
        <v/>
      </c>
      <c r="AV15" s="10" t="str">
        <f aca="false">IF(OR($B15+AV$2-3&lt;1,$B15+AV$2&gt;設定!$B$5),"",IFERROR(LN(INDEX(月次集計!$K$2:$K$45,$B15+AV$2)/INDEX(月次集計!$K$2:$K$45,$B15+AV$2-3)),""))</f>
        <v/>
      </c>
      <c r="AW15" s="10" t="str">
        <f aca="false">IF(OR($B15+AW$2-3&lt;1,$B15+AW$2&gt;設定!$B$5),"",IFERROR(LN(INDEX(月次集計!$K$2:$K$45,$B15+AW$2)/INDEX(月次集計!$K$2:$K$45,$B15+AW$2-3)),""))</f>
        <v/>
      </c>
      <c r="AX15" s="10" t="str">
        <f aca="false">IF(OR($B15+AX$2-3&lt;1,$B15+AX$2&gt;設定!$B$5),"",IFERROR(LN(INDEX(月次集計!$K$2:$K$45,$B15+AX$2)/INDEX(月次集計!$K$2:$K$45,$B15+AX$2-3)),""))</f>
        <v/>
      </c>
      <c r="AY15" s="10" t="str">
        <f aca="false">IF(OR($B15+AY$2-3&lt;1,$B15+AY$2&gt;設定!$B$5),"",IFERROR(LN(INDEX(月次集計!$K$2:$K$45,$B15+AY$2)/INDEX(月次集計!$K$2:$K$45,$B15+AY$2-3)),""))</f>
        <v/>
      </c>
      <c r="AZ15" s="10" t="str">
        <f aca="false">IF(OR($B15+AZ$2-3&lt;1,$B15+AZ$2&gt;設定!$B$5),"",IFERROR(LN(INDEX(月次集計!$K$2:$K$45,$B15+AZ$2)/INDEX(月次集計!$K$2:$K$45,$B15+AZ$2-3)),""))</f>
        <v/>
      </c>
      <c r="BA15" s="10" t="str">
        <f aca="false">IF(OR($B15+BA$2-3&lt;1,$B15+BA$2&gt;設定!$B$5),"",IFERROR(LN(INDEX(月次集計!$K$2:$K$45,$B15+BA$2)/INDEX(月次集計!$K$2:$K$45,$B15+BA$2-3)),""))</f>
        <v/>
      </c>
      <c r="BB15" s="10" t="str">
        <f aca="false">IF(OR($B15+BB$2-3&lt;1,$B15+BB$2&gt;設定!$B$5),"",IFERROR(LN(INDEX(月次集計!$K$2:$K$45,$B15+BB$2)/INDEX(月次集計!$K$2:$K$45,$B15+BB$2-3)),""))</f>
        <v/>
      </c>
      <c r="BC15" s="10" t="n">
        <f aca="false">IF(OR($B15+BC$2-3&lt;1,$B15+BC$2&gt;設定!$B$5),"",IFERROR(LN(INDEX(月次集計!$L$2:$L$45,$B15+BC$2)/INDEX(月次集計!$L$2:$L$45,$B15+BC$2-3)),""))</f>
        <v>-0.0754256837422501</v>
      </c>
      <c r="BD15" s="10" t="n">
        <f aca="false">IF(OR($B15+BD$2-3&lt;1,$B15+BD$2&gt;設定!$B$5),"",IFERROR(LN(INDEX(月次集計!$L$2:$L$45,$B15+BD$2)/INDEX(月次集計!$L$2:$L$45,$B15+BD$2-3)),""))</f>
        <v>-0.254685994348103</v>
      </c>
      <c r="BE15" s="10" t="n">
        <f aca="false">IF(OR($B15+BE$2-3&lt;1,$B15+BE$2&gt;設定!$B$5),"",IFERROR(LN(INDEX(月次集計!$L$2:$L$45,$B15+BE$2)/INDEX(月次集計!$L$2:$L$45,$B15+BE$2-3)),""))</f>
        <v>-0.245657876013775</v>
      </c>
      <c r="BF15" s="10" t="n">
        <f aca="false">IF(OR($B15+BF$2-3&lt;1,$B15+BF$2&gt;設定!$B$5),"",IFERROR(LN(INDEX(月次集計!$L$2:$L$45,$B15+BF$2)/INDEX(月次集計!$L$2:$L$45,$B15+BF$2-3)),""))</f>
        <v>-0.189150250748899</v>
      </c>
      <c r="BG15" s="10" t="n">
        <f aca="false">IF(OR($B15+BG$2-3&lt;1,$B15+BG$2&gt;設定!$B$5),"",IFERROR(LN(INDEX(月次集計!$L$2:$L$45,$B15+BG$2)/INDEX(月次集計!$L$2:$L$45,$B15+BG$2-3)),""))</f>
        <v>-0.122971985244394</v>
      </c>
      <c r="BH15" s="10" t="n">
        <f aca="false">IF(OR($B15+BH$2-3&lt;1,$B15+BH$2&gt;設定!$B$5),"",IFERROR(LN(INDEX(月次集計!$L$2:$L$45,$B15+BH$2)/INDEX(月次集計!$L$2:$L$45,$B15+BH$2-3)),""))</f>
        <v>-0.0171124419478958</v>
      </c>
      <c r="BI15" s="10" t="n">
        <f aca="false">IF(OR($B15+BI$2-3&lt;1,$B15+BI$2&gt;設定!$B$5),"",IFERROR(LN(INDEX(月次集計!$L$2:$L$45,$B15+BI$2)/INDEX(月次集計!$L$2:$L$45,$B15+BI$2-3)),""))</f>
        <v>0.162245451164834</v>
      </c>
      <c r="BJ15" s="10" t="n">
        <f aca="false">IF(OR($B15+BJ$2-3&lt;1,$B15+BJ$2&gt;設定!$B$5),"",IFERROR(LN(INDEX(月次集計!$L$2:$L$45,$B15+BJ$2)/INDEX(月次集計!$L$2:$L$45,$B15+BJ$2-3)),""))</f>
        <v>0.243844063144333</v>
      </c>
      <c r="BK15" s="10" t="n">
        <f aca="false">IF(OR($B15+BK$2-3&lt;1,$B15+BK$2&gt;設定!$B$5),"",IFERROR(LN(INDEX(月次集計!$L$2:$L$45,$B15+BK$2)/INDEX(月次集計!$L$2:$L$45,$B15+BK$2-3)),""))</f>
        <v>0.128138380828587</v>
      </c>
      <c r="BL15" s="10" t="n">
        <f aca="false">IF(OR($B15+BL$2-3&lt;1,$B15+BL$2&gt;設定!$B$5),"",IFERROR(LN(INDEX(月次集計!$L$2:$L$45,$B15+BL$2)/INDEX(月次集計!$L$2:$L$45,$B15+BL$2-3)),""))</f>
        <v>0.149148741720864</v>
      </c>
      <c r="BM15" s="10" t="n">
        <f aca="false">IF(OR($B15+BM$2-3&lt;1,$B15+BM$2&gt;設定!$B$5),"",IFERROR(LN(INDEX(月次集計!$L$2:$L$45,$B15+BM$2)/INDEX(月次集計!$L$2:$L$45,$B15+BM$2-3)),""))</f>
        <v>0.222987141478629</v>
      </c>
      <c r="BN15" s="10" t="n">
        <f aca="false">IF(OR($B15+BN$2-3&lt;1,$B15+BN$2&gt;設定!$B$5),"",IFERROR(LN(INDEX(月次集計!$L$2:$L$45,$B15+BN$2)/INDEX(月次集計!$L$2:$L$45,$B15+BN$2-3)),""))</f>
        <v>0.300070758580513</v>
      </c>
      <c r="BO15" s="10" t="n">
        <f aca="false">IF(OR($B15+BO$2-3&lt;1,$B15+BO$2&gt;設定!$B$5),"",IFERROR(LN(INDEX(月次集計!$L$2:$L$45,$B15+BO$2)/INDEX(月次集計!$L$2:$L$45,$B15+BO$2-3)),""))</f>
        <v>0.145361110860627</v>
      </c>
    </row>
    <row r="16" customFormat="false" ht="15" hidden="false" customHeight="false" outlineLevel="0" collapsed="false">
      <c r="A16" s="3" t="s">
        <v>86</v>
      </c>
      <c r="B16" s="3" t="n">
        <v>39</v>
      </c>
      <c r="C16" s="10" t="n">
        <f aca="false">IF(OR($B16+C$2-3&lt;1,$B16+C$2&gt;設定!$B$5),"",IFERROR(LN(INDEX(月次集計!$H$2:$H$45,$B16+C$2)/INDEX(月次集計!$H$2:$H$45,$B16+C$2-3)),""))</f>
        <v>-0.0939512855384088</v>
      </c>
      <c r="D16" s="10" t="n">
        <f aca="false">IF(OR($B16+D$2-3&lt;1,$B16+D$2&gt;設定!$B$5),"",IFERROR(LN(INDEX(月次集計!$H$2:$H$45,$B16+D$2)/INDEX(月次集計!$H$2:$H$45,$B16+D$2-3)),""))</f>
        <v>-0.0736588640665432</v>
      </c>
      <c r="E16" s="10" t="n">
        <f aca="false">IF(OR($B16+E$2-3&lt;1,$B16+E$2&gt;設定!$B$5),"",IFERROR(LN(INDEX(月次集計!$H$2:$H$45,$B16+E$2)/INDEX(月次集計!$H$2:$H$45,$B16+E$2-3)),""))</f>
        <v>0.0318684541675865</v>
      </c>
      <c r="F16" s="10" t="n">
        <f aca="false">IF(OR($B16+F$2-3&lt;1,$B16+F$2&gt;設定!$B$5),"",IFERROR(LN(INDEX(月次集計!$H$2:$H$45,$B16+F$2)/INDEX(月次集計!$H$2:$H$45,$B16+F$2-3)),""))</f>
        <v>0.145982393505897</v>
      </c>
      <c r="G16" s="10" t="n">
        <f aca="false">IF(OR($B16+G$2-3&lt;1,$B16+G$2&gt;設定!$B$5),"",IFERROR(LN(INDEX(月次集計!$H$2:$H$45,$B16+G$2)/INDEX(月次集計!$H$2:$H$45,$B16+G$2-3)),""))</f>
        <v>0.267615692773812</v>
      </c>
      <c r="H16" s="10" t="n">
        <f aca="false">IF(OR($B16+H$2-3&lt;1,$B16+H$2&gt;設定!$B$5),"",IFERROR(LN(INDEX(月次集計!$H$2:$H$45,$B16+H$2)/INDEX(月次集計!$H$2:$H$45,$B16+H$2-3)),""))</f>
        <v>0.265910835142332</v>
      </c>
      <c r="I16" s="10" t="n">
        <f aca="false">IF(OR($B16+I$2-3&lt;1,$B16+I$2&gt;設定!$B$5),"",IFERROR(LN(INDEX(月次集計!$H$2:$H$45,$B16+I$2)/INDEX(月次集計!$H$2:$H$45,$B16+I$2-3)),""))</f>
        <v>0.206855203041426</v>
      </c>
      <c r="J16" s="10" t="n">
        <f aca="false">IF(OR($B16+J$2-3&lt;1,$B16+J$2&gt;設定!$B$5),"",IFERROR(LN(INDEX(月次集計!$H$2:$H$45,$B16+J$2)/INDEX(月次集計!$H$2:$H$45,$B16+J$2-3)),""))</f>
        <v>0.141614347747185</v>
      </c>
      <c r="K16" s="10" t="n">
        <f aca="false">IF(OR($B16+K$2-3&lt;1,$B16+K$2&gt;設定!$B$5),"",IFERROR(LN(INDEX(月次集計!$H$2:$H$45,$B16+K$2)/INDEX(月次集計!$H$2:$H$45,$B16+K$2-3)),""))</f>
        <v>0.113135457011578</v>
      </c>
      <c r="L16" s="10" t="n">
        <f aca="false">IF(OR($B16+L$2-3&lt;1,$B16+L$2&gt;設定!$B$5),"",IFERROR(LN(INDEX(月次集計!$H$2:$H$45,$B16+L$2)/INDEX(月次集計!$H$2:$H$45,$B16+L$2-3)),""))</f>
        <v>-0.0301722065547064</v>
      </c>
      <c r="M16" s="10" t="n">
        <f aca="false">IF(OR($B16+M$2-3&lt;1,$B16+M$2&gt;設定!$B$5),"",IFERROR(LN(INDEX(月次集計!$H$2:$H$45,$B16+M$2)/INDEX(月次集計!$H$2:$H$45,$B16+M$2-3)),""))</f>
        <v>-0.0449731353564437</v>
      </c>
      <c r="N16" s="10" t="n">
        <f aca="false">IF(OR($B16+N$2-3&lt;1,$B16+N$2&gt;設定!$B$5),"",IFERROR(LN(INDEX(月次集計!$H$2:$H$45,$B16+N$2)/INDEX(月次集計!$H$2:$H$45,$B16+N$2-3)),""))</f>
        <v>-0.00844163068897173</v>
      </c>
      <c r="O16" s="10" t="str">
        <f aca="false">IF(OR($B16+O$2-3&lt;1,$B16+O$2&gt;設定!$B$5),"",IFERROR(LN(INDEX(月次集計!$H$2:$H$45,$B16+O$2)/INDEX(月次集計!$H$2:$H$45,$B16+O$2-3)),""))</f>
        <v/>
      </c>
      <c r="P16" s="10" t="n">
        <f aca="false">IF(OR($B16+P$2-3&lt;1,$B16+P$2&gt;設定!$B$5),"",IFERROR(LN(INDEX(月次集計!$I$2:$I$45,$B16+P$2)/INDEX(月次集計!$I$2:$I$45,$B16+P$2-3)),""))</f>
        <v>-0.249062733607115</v>
      </c>
      <c r="Q16" s="10" t="n">
        <f aca="false">IF(OR($B16+Q$2-3&lt;1,$B16+Q$2&gt;設定!$B$5),"",IFERROR(LN(INDEX(月次集計!$I$2:$I$45,$B16+Q$2)/INDEX(月次集計!$I$2:$I$45,$B16+Q$2-3)),""))</f>
        <v>-0.198064650400071</v>
      </c>
      <c r="R16" s="10" t="n">
        <f aca="false">IF(OR($B16+R$2-3&lt;1,$B16+R$2&gt;設定!$B$5),"",IFERROR(LN(INDEX(月次集計!$I$2:$I$45,$B16+R$2)/INDEX(月次集計!$I$2:$I$45,$B16+R$2-3)),""))</f>
        <v>-0.104649139039957</v>
      </c>
      <c r="S16" s="10" t="n">
        <f aca="false">IF(OR($B16+S$2-3&lt;1,$B16+S$2&gt;設定!$B$5),"",IFERROR(LN(INDEX(月次集計!$I$2:$I$45,$B16+S$2)/INDEX(月次集計!$I$2:$I$45,$B16+S$2-3)),""))</f>
        <v>0.151752163312259</v>
      </c>
      <c r="T16" s="10" t="n">
        <f aca="false">IF(OR($B16+T$2-3&lt;1,$B16+T$2&gt;設定!$B$5),"",IFERROR(LN(INDEX(月次集計!$I$2:$I$45,$B16+T$2)/INDEX(月次集計!$I$2:$I$45,$B16+T$2-3)),""))</f>
        <v>0.23374331784619</v>
      </c>
      <c r="U16" s="10" t="n">
        <f aca="false">IF(OR($B16+U$2-3&lt;1,$B16+U$2&gt;設定!$B$5),"",IFERROR(LN(INDEX(月次集計!$I$2:$I$45,$B16+U$2)/INDEX(月次集計!$I$2:$I$45,$B16+U$2-3)),""))</f>
        <v>0.00470485518256583</v>
      </c>
      <c r="V16" s="10" t="n">
        <f aca="false">IF(OR($B16+V$2-3&lt;1,$B16+V$2&gt;設定!$B$5),"",IFERROR(LN(INDEX(月次集計!$I$2:$I$45,$B16+V$2)/INDEX(月次集計!$I$2:$I$45,$B16+V$2-3)),""))</f>
        <v>0.0407984081433238</v>
      </c>
      <c r="W16" s="10" t="n">
        <f aca="false">IF(OR($B16+W$2-3&lt;1,$B16+W$2&gt;設定!$B$5),"",IFERROR(LN(INDEX(月次集計!$I$2:$I$45,$B16+W$2)/INDEX(月次集計!$I$2:$I$45,$B16+W$2-3)),""))</f>
        <v>0.127228251456676</v>
      </c>
      <c r="X16" s="10" t="n">
        <f aca="false">IF(OR($B16+X$2-3&lt;1,$B16+X$2&gt;設定!$B$5),"",IFERROR(LN(INDEX(月次集計!$I$2:$I$45,$B16+X$2)/INDEX(月次集計!$I$2:$I$45,$B16+X$2-3)),""))</f>
        <v>0.318439072498935</v>
      </c>
      <c r="Y16" s="10" t="n">
        <f aca="false">IF(OR($B16+Y$2-3&lt;1,$B16+Y$2&gt;設定!$B$5),"",IFERROR(LN(INDEX(月次集計!$I$2:$I$45,$B16+Y$2)/INDEX(月次集計!$I$2:$I$45,$B16+Y$2-3)),""))</f>
        <v>0.217775674557904</v>
      </c>
      <c r="Z16" s="10" t="n">
        <f aca="false">IF(OR($B16+Z$2-3&lt;1,$B16+Z$2&gt;設定!$B$5),"",IFERROR(LN(INDEX(月次集計!$I$2:$I$45,$B16+Z$2)/INDEX(月次集計!$I$2:$I$45,$B16+Z$2-3)),""))</f>
        <v>0.106523117114148</v>
      </c>
      <c r="AA16" s="10" t="n">
        <f aca="false">IF(OR($B16+AA$2-3&lt;1,$B16+AA$2&gt;設定!$B$5),"",IFERROR(LN(INDEX(月次集計!$I$2:$I$45,$B16+AA$2)/INDEX(月次集計!$I$2:$I$45,$B16+AA$2-3)),""))</f>
        <v>0.0947606513734282</v>
      </c>
      <c r="AB16" s="10" t="str">
        <f aca="false">IF(OR($B16+AB$2-3&lt;1,$B16+AB$2&gt;設定!$B$5),"",IFERROR(LN(INDEX(月次集計!$I$2:$I$45,$B16+AB$2)/INDEX(月次集計!$I$2:$I$45,$B16+AB$2-3)),""))</f>
        <v/>
      </c>
      <c r="AC16" s="10" t="n">
        <f aca="false">IF(OR($B16+AC$2-3&lt;1,$B16+AC$2&gt;設定!$B$5),"",IFERROR(LN(INDEX(月次集計!$J$2:$J$45,$B16+AC$2)/INDEX(月次集計!$J$2:$J$45,$B16+AC$2-3)),""))</f>
        <v>-0.326769098529147</v>
      </c>
      <c r="AD16" s="10" t="n">
        <f aca="false">IF(OR($B16+AD$2-3&lt;1,$B16+AD$2&gt;設定!$B$5),"",IFERROR(LN(INDEX(月次集計!$J$2:$J$45,$B16+AD$2)/INDEX(月次集計!$J$2:$J$45,$B16+AD$2-3)),""))</f>
        <v>0.13934226889586</v>
      </c>
      <c r="AE16" s="10" t="n">
        <f aca="false">IF(OR($B16+AE$2-3&lt;1,$B16+AE$2&gt;設定!$B$5),"",IFERROR(LN(INDEX(月次集計!$J$2:$J$45,$B16+AE$2)/INDEX(月次集計!$J$2:$J$45,$B16+AE$2-3)),""))</f>
        <v>0.360115872753099</v>
      </c>
      <c r="AF16" s="10" t="n">
        <f aca="false">IF(OR($B16+AF$2-3&lt;1,$B16+AF$2&gt;設定!$B$5),"",IFERROR(LN(INDEX(月次集計!$J$2:$J$45,$B16+AF$2)/INDEX(月次集計!$J$2:$J$45,$B16+AF$2-3)),""))</f>
        <v>0.346890654215019</v>
      </c>
      <c r="AG16" s="10" t="n">
        <f aca="false">IF(OR($B16+AG$2-3&lt;1,$B16+AG$2&gt;設定!$B$5),"",IFERROR(LN(INDEX(月次集計!$J$2:$J$45,$B16+AG$2)/INDEX(月次集計!$J$2:$J$45,$B16+AG$2-3)),""))</f>
        <v>0.163865740574918</v>
      </c>
      <c r="AH16" s="10" t="n">
        <f aca="false">IF(OR($B16+AH$2-3&lt;1,$B16+AH$2&gt;設定!$B$5),"",IFERROR(LN(INDEX(月次集計!$J$2:$J$45,$B16+AH$2)/INDEX(月次集計!$J$2:$J$45,$B16+AH$2-3)),""))</f>
        <v>0.0472387735440812</v>
      </c>
      <c r="AI16" s="10" t="n">
        <f aca="false">IF(OR($B16+AI$2-3&lt;1,$B16+AI$2&gt;設定!$B$5),"",IFERROR(LN(INDEX(月次集計!$J$2:$J$45,$B16+AI$2)/INDEX(月次集計!$J$2:$J$45,$B16+AI$2-3)),""))</f>
        <v>0.445841095404169</v>
      </c>
      <c r="AJ16" s="10" t="n">
        <f aca="false">IF(OR($B16+AJ$2-3&lt;1,$B16+AJ$2&gt;設定!$B$5),"",IFERROR(LN(INDEX(月次集計!$J$2:$J$45,$B16+AJ$2)/INDEX(月次集計!$J$2:$J$45,$B16+AJ$2-3)),""))</f>
        <v>0.996799706524949</v>
      </c>
      <c r="AK16" s="10" t="n">
        <f aca="false">IF(OR($B16+AK$2-3&lt;1,$B16+AK$2&gt;設定!$B$5),"",IFERROR(LN(INDEX(月次集計!$J$2:$J$45,$B16+AK$2)/INDEX(月次集計!$J$2:$J$45,$B16+AK$2-3)),""))</f>
        <v>1.01786486044617</v>
      </c>
      <c r="AL16" s="10" t="n">
        <f aca="false">IF(OR($B16+AL$2-3&lt;1,$B16+AL$2&gt;設定!$B$5),"",IFERROR(LN(INDEX(月次集計!$J$2:$J$45,$B16+AL$2)/INDEX(月次集計!$J$2:$J$45,$B16+AL$2-3)),""))</f>
        <v>0.489052121965813</v>
      </c>
      <c r="AM16" s="10" t="n">
        <f aca="false">IF(OR($B16+AM$2-3&lt;1,$B16+AM$2&gt;設定!$B$5),"",IFERROR(LN(INDEX(月次集計!$J$2:$J$45,$B16+AM$2)/INDEX(月次集計!$J$2:$J$45,$B16+AM$2-3)),""))</f>
        <v>0.256828549910287</v>
      </c>
      <c r="AN16" s="10" t="str">
        <f aca="false">IF(OR($B16+AN$2-3&lt;1,$B16+AN$2&gt;設定!$B$5),"",IFERROR(LN(INDEX(月次集計!$J$2:$J$45,$B16+AN$2)/INDEX(月次集計!$J$2:$J$45,$B16+AN$2-3)),""))</f>
        <v/>
      </c>
      <c r="AO16" s="10" t="str">
        <f aca="false">IF(OR($B16+AO$2-3&lt;1,$B16+AO$2&gt;設定!$B$5),"",IFERROR(LN(INDEX(月次集計!$J$2:$J$45,$B16+AO$2)/INDEX(月次集計!$J$2:$J$45,$B16+AO$2-3)),""))</f>
        <v/>
      </c>
      <c r="AP16" s="10" t="n">
        <f aca="false">IF(OR($B16+AP$2-3&lt;1,$B16+AP$2&gt;設定!$B$5),"",IFERROR(LN(INDEX(月次集計!$K$2:$K$45,$B16+AP$2)/INDEX(月次集計!$K$2:$K$45,$B16+AP$2-3)),""))</f>
        <v>-0.570810655309807</v>
      </c>
      <c r="AQ16" s="10" t="str">
        <f aca="false">IF(OR($B16+AQ$2-3&lt;1,$B16+AQ$2&gt;設定!$B$5),"",IFERROR(LN(INDEX(月次集計!$K$2:$K$45,$B16+AQ$2)/INDEX(月次集計!$K$2:$K$45,$B16+AQ$2-3)),""))</f>
        <v/>
      </c>
      <c r="AR16" s="10" t="str">
        <f aca="false">IF(OR($B16+AR$2-3&lt;1,$B16+AR$2&gt;設定!$B$5),"",IFERROR(LN(INDEX(月次集計!$K$2:$K$45,$B16+AR$2)/INDEX(月次集計!$K$2:$K$45,$B16+AR$2-3)),""))</f>
        <v/>
      </c>
      <c r="AS16" s="10" t="str">
        <f aca="false">IF(OR($B16+AS$2-3&lt;1,$B16+AS$2&gt;設定!$B$5),"",IFERROR(LN(INDEX(月次集計!$K$2:$K$45,$B16+AS$2)/INDEX(月次集計!$K$2:$K$45,$B16+AS$2-3)),""))</f>
        <v/>
      </c>
      <c r="AT16" s="10" t="str">
        <f aca="false">IF(OR($B16+AT$2-3&lt;1,$B16+AT$2&gt;設定!$B$5),"",IFERROR(LN(INDEX(月次集計!$K$2:$K$45,$B16+AT$2)/INDEX(月次集計!$K$2:$K$45,$B16+AT$2-3)),""))</f>
        <v/>
      </c>
      <c r="AU16" s="10" t="str">
        <f aca="false">IF(OR($B16+AU$2-3&lt;1,$B16+AU$2&gt;設定!$B$5),"",IFERROR(LN(INDEX(月次集計!$K$2:$K$45,$B16+AU$2)/INDEX(月次集計!$K$2:$K$45,$B16+AU$2-3)),""))</f>
        <v/>
      </c>
      <c r="AV16" s="10" t="str">
        <f aca="false">IF(OR($B16+AV$2-3&lt;1,$B16+AV$2&gt;設定!$B$5),"",IFERROR(LN(INDEX(月次集計!$K$2:$K$45,$B16+AV$2)/INDEX(月次集計!$K$2:$K$45,$B16+AV$2-3)),""))</f>
        <v/>
      </c>
      <c r="AW16" s="10" t="str">
        <f aca="false">IF(OR($B16+AW$2-3&lt;1,$B16+AW$2&gt;設定!$B$5),"",IFERROR(LN(INDEX(月次集計!$K$2:$K$45,$B16+AW$2)/INDEX(月次集計!$K$2:$K$45,$B16+AW$2-3)),""))</f>
        <v/>
      </c>
      <c r="AX16" s="10" t="str">
        <f aca="false">IF(OR($B16+AX$2-3&lt;1,$B16+AX$2&gt;設定!$B$5),"",IFERROR(LN(INDEX(月次集計!$K$2:$K$45,$B16+AX$2)/INDEX(月次集計!$K$2:$K$45,$B16+AX$2-3)),""))</f>
        <v/>
      </c>
      <c r="AY16" s="10" t="str">
        <f aca="false">IF(OR($B16+AY$2-3&lt;1,$B16+AY$2&gt;設定!$B$5),"",IFERROR(LN(INDEX(月次集計!$K$2:$K$45,$B16+AY$2)/INDEX(月次集計!$K$2:$K$45,$B16+AY$2-3)),""))</f>
        <v/>
      </c>
      <c r="AZ16" s="10" t="str">
        <f aca="false">IF(OR($B16+AZ$2-3&lt;1,$B16+AZ$2&gt;設定!$B$5),"",IFERROR(LN(INDEX(月次集計!$K$2:$K$45,$B16+AZ$2)/INDEX(月次集計!$K$2:$K$45,$B16+AZ$2-3)),""))</f>
        <v/>
      </c>
      <c r="BA16" s="10" t="str">
        <f aca="false">IF(OR($B16+BA$2-3&lt;1,$B16+BA$2&gt;設定!$B$5),"",IFERROR(LN(INDEX(月次集計!$K$2:$K$45,$B16+BA$2)/INDEX(月次集計!$K$2:$K$45,$B16+BA$2-3)),""))</f>
        <v/>
      </c>
      <c r="BB16" s="10" t="str">
        <f aca="false">IF(OR($B16+BB$2-3&lt;1,$B16+BB$2&gt;設定!$B$5),"",IFERROR(LN(INDEX(月次集計!$K$2:$K$45,$B16+BB$2)/INDEX(月次集計!$K$2:$K$45,$B16+BB$2-3)),""))</f>
        <v/>
      </c>
      <c r="BC16" s="10" t="n">
        <f aca="false">IF(OR($B16+BC$2-3&lt;1,$B16+BC$2&gt;設定!$B$5),"",IFERROR(LN(INDEX(月次集計!$L$2:$L$45,$B16+BC$2)/INDEX(月次集計!$L$2:$L$45,$B16+BC$2-3)),""))</f>
        <v>-0.189150250748899</v>
      </c>
      <c r="BD16" s="10" t="n">
        <f aca="false">IF(OR($B16+BD$2-3&lt;1,$B16+BD$2&gt;設定!$B$5),"",IFERROR(LN(INDEX(月次集計!$L$2:$L$45,$B16+BD$2)/INDEX(月次集計!$L$2:$L$45,$B16+BD$2-3)),""))</f>
        <v>-0.122971985244394</v>
      </c>
      <c r="BE16" s="10" t="n">
        <f aca="false">IF(OR($B16+BE$2-3&lt;1,$B16+BE$2&gt;設定!$B$5),"",IFERROR(LN(INDEX(月次集計!$L$2:$L$45,$B16+BE$2)/INDEX(月次集計!$L$2:$L$45,$B16+BE$2-3)),""))</f>
        <v>-0.0171124419478958</v>
      </c>
      <c r="BF16" s="10" t="n">
        <f aca="false">IF(OR($B16+BF$2-3&lt;1,$B16+BF$2&gt;設定!$B$5),"",IFERROR(LN(INDEX(月次集計!$L$2:$L$45,$B16+BF$2)/INDEX(月次集計!$L$2:$L$45,$B16+BF$2-3)),""))</f>
        <v>0.162245451164834</v>
      </c>
      <c r="BG16" s="10" t="n">
        <f aca="false">IF(OR($B16+BG$2-3&lt;1,$B16+BG$2&gt;設定!$B$5),"",IFERROR(LN(INDEX(月次集計!$L$2:$L$45,$B16+BG$2)/INDEX(月次集計!$L$2:$L$45,$B16+BG$2-3)),""))</f>
        <v>0.243844063144333</v>
      </c>
      <c r="BH16" s="10" t="n">
        <f aca="false">IF(OR($B16+BH$2-3&lt;1,$B16+BH$2&gt;設定!$B$5),"",IFERROR(LN(INDEX(月次集計!$L$2:$L$45,$B16+BH$2)/INDEX(月次集計!$L$2:$L$45,$B16+BH$2-3)),""))</f>
        <v>0.128138380828587</v>
      </c>
      <c r="BI16" s="10" t="n">
        <f aca="false">IF(OR($B16+BI$2-3&lt;1,$B16+BI$2&gt;設定!$B$5),"",IFERROR(LN(INDEX(月次集計!$L$2:$L$45,$B16+BI$2)/INDEX(月次集計!$L$2:$L$45,$B16+BI$2-3)),""))</f>
        <v>0.149148741720864</v>
      </c>
      <c r="BJ16" s="10" t="n">
        <f aca="false">IF(OR($B16+BJ$2-3&lt;1,$B16+BJ$2&gt;設定!$B$5),"",IFERROR(LN(INDEX(月次集計!$L$2:$L$45,$B16+BJ$2)/INDEX(月次集計!$L$2:$L$45,$B16+BJ$2-3)),""))</f>
        <v>0.222987141478629</v>
      </c>
      <c r="BK16" s="10" t="n">
        <f aca="false">IF(OR($B16+BK$2-3&lt;1,$B16+BK$2&gt;設定!$B$5),"",IFERROR(LN(INDEX(月次集計!$L$2:$L$45,$B16+BK$2)/INDEX(月次集計!$L$2:$L$45,$B16+BK$2-3)),""))</f>
        <v>0.300070758580513</v>
      </c>
      <c r="BL16" s="10" t="n">
        <f aca="false">IF(OR($B16+BL$2-3&lt;1,$B16+BL$2&gt;設定!$B$5),"",IFERROR(LN(INDEX(月次集計!$L$2:$L$45,$B16+BL$2)/INDEX(月次集計!$L$2:$L$45,$B16+BL$2-3)),""))</f>
        <v>0.145361110860627</v>
      </c>
      <c r="BM16" s="10" t="n">
        <f aca="false">IF(OR($B16+BM$2-3&lt;1,$B16+BM$2&gt;設定!$B$5),"",IFERROR(LN(INDEX(月次集計!$L$2:$L$45,$B16+BM$2)/INDEX(月次集計!$L$2:$L$45,$B16+BM$2-3)),""))</f>
        <v>0.0715616071476896</v>
      </c>
      <c r="BN16" s="10" t="str">
        <f aca="false">IF(OR($B16+BN$2-3&lt;1,$B16+BN$2&gt;設定!$B$5),"",IFERROR(LN(INDEX(月次集計!$L$2:$L$45,$B16+BN$2)/INDEX(月次集計!$L$2:$L$45,$B16+BN$2-3)),""))</f>
        <v/>
      </c>
      <c r="BO16" s="10" t="str">
        <f aca="false">IF(OR($B16+BO$2-3&lt;1,$B16+BO$2&gt;設定!$B$5),"",IFERROR(LN(INDEX(月次集計!$L$2:$L$45,$B16+BO$2)/INDEX(月次集計!$L$2:$L$45,$B16+BO$2-3)),""))</f>
        <v/>
      </c>
    </row>
    <row r="17" customFormat="false" ht="15" hidden="false" customHeight="false" outlineLevel="0" collapsed="false">
      <c r="A17" s="3" t="s">
        <v>87</v>
      </c>
      <c r="B17" s="3" t="n">
        <v>42</v>
      </c>
      <c r="C17" s="10" t="n">
        <f aca="false">IF(OR($B17+C$2-3&lt;1,$B17+C$2&gt;設定!$B$5),"",IFERROR(LN(INDEX(月次集計!$H$2:$H$45,$B17+C$2)/INDEX(月次集計!$H$2:$H$45,$B17+C$2-3)),""))</f>
        <v>0.145982393505897</v>
      </c>
      <c r="D17" s="10" t="n">
        <f aca="false">IF(OR($B17+D$2-3&lt;1,$B17+D$2&gt;設定!$B$5),"",IFERROR(LN(INDEX(月次集計!$H$2:$H$45,$B17+D$2)/INDEX(月次集計!$H$2:$H$45,$B17+D$2-3)),""))</f>
        <v>0.267615692773812</v>
      </c>
      <c r="E17" s="10" t="n">
        <f aca="false">IF(OR($B17+E$2-3&lt;1,$B17+E$2&gt;設定!$B$5),"",IFERROR(LN(INDEX(月次集計!$H$2:$H$45,$B17+E$2)/INDEX(月次集計!$H$2:$H$45,$B17+E$2-3)),""))</f>
        <v>0.265910835142332</v>
      </c>
      <c r="F17" s="10" t="n">
        <f aca="false">IF(OR($B17+F$2-3&lt;1,$B17+F$2&gt;設定!$B$5),"",IFERROR(LN(INDEX(月次集計!$H$2:$H$45,$B17+F$2)/INDEX(月次集計!$H$2:$H$45,$B17+F$2-3)),""))</f>
        <v>0.206855203041426</v>
      </c>
      <c r="G17" s="10" t="n">
        <f aca="false">IF(OR($B17+G$2-3&lt;1,$B17+G$2&gt;設定!$B$5),"",IFERROR(LN(INDEX(月次集計!$H$2:$H$45,$B17+G$2)/INDEX(月次集計!$H$2:$H$45,$B17+G$2-3)),""))</f>
        <v>0.141614347747185</v>
      </c>
      <c r="H17" s="10" t="n">
        <f aca="false">IF(OR($B17+H$2-3&lt;1,$B17+H$2&gt;設定!$B$5),"",IFERROR(LN(INDEX(月次集計!$H$2:$H$45,$B17+H$2)/INDEX(月次集計!$H$2:$H$45,$B17+H$2-3)),""))</f>
        <v>0.113135457011578</v>
      </c>
      <c r="I17" s="10" t="n">
        <f aca="false">IF(OR($B17+I$2-3&lt;1,$B17+I$2&gt;設定!$B$5),"",IFERROR(LN(INDEX(月次集計!$H$2:$H$45,$B17+I$2)/INDEX(月次集計!$H$2:$H$45,$B17+I$2-3)),""))</f>
        <v>-0.0301722065547064</v>
      </c>
      <c r="J17" s="10" t="n">
        <f aca="false">IF(OR($B17+J$2-3&lt;1,$B17+J$2&gt;設定!$B$5),"",IFERROR(LN(INDEX(月次集計!$H$2:$H$45,$B17+J$2)/INDEX(月次集計!$H$2:$H$45,$B17+J$2-3)),""))</f>
        <v>-0.0449731353564437</v>
      </c>
      <c r="K17" s="10" t="n">
        <f aca="false">IF(OR($B17+K$2-3&lt;1,$B17+K$2&gt;設定!$B$5),"",IFERROR(LN(INDEX(月次集計!$H$2:$H$45,$B17+K$2)/INDEX(月次集計!$H$2:$H$45,$B17+K$2-3)),""))</f>
        <v>-0.00844163068897173</v>
      </c>
      <c r="L17" s="10" t="str">
        <f aca="false">IF(OR($B17+L$2-3&lt;1,$B17+L$2&gt;設定!$B$5),"",IFERROR(LN(INDEX(月次集計!$H$2:$H$45,$B17+L$2)/INDEX(月次集計!$H$2:$H$45,$B17+L$2-3)),""))</f>
        <v/>
      </c>
      <c r="M17" s="10" t="str">
        <f aca="false">IF(OR($B17+M$2-3&lt;1,$B17+M$2&gt;設定!$B$5),"",IFERROR(LN(INDEX(月次集計!$H$2:$H$45,$B17+M$2)/INDEX(月次集計!$H$2:$H$45,$B17+M$2-3)),""))</f>
        <v/>
      </c>
      <c r="N17" s="10" t="str">
        <f aca="false">IF(OR($B17+N$2-3&lt;1,$B17+N$2&gt;設定!$B$5),"",IFERROR(LN(INDEX(月次集計!$H$2:$H$45,$B17+N$2)/INDEX(月次集計!$H$2:$H$45,$B17+N$2-3)),""))</f>
        <v/>
      </c>
      <c r="O17" s="10" t="str">
        <f aca="false">IF(OR($B17+O$2-3&lt;1,$B17+O$2&gt;設定!$B$5),"",IFERROR(LN(INDEX(月次集計!$H$2:$H$45,$B17+O$2)/INDEX(月次集計!$H$2:$H$45,$B17+O$2-3)),""))</f>
        <v/>
      </c>
      <c r="P17" s="10" t="n">
        <f aca="false">IF(OR($B17+P$2-3&lt;1,$B17+P$2&gt;設定!$B$5),"",IFERROR(LN(INDEX(月次集計!$I$2:$I$45,$B17+P$2)/INDEX(月次集計!$I$2:$I$45,$B17+P$2-3)),""))</f>
        <v>0.151752163312259</v>
      </c>
      <c r="Q17" s="10" t="n">
        <f aca="false">IF(OR($B17+Q$2-3&lt;1,$B17+Q$2&gt;設定!$B$5),"",IFERROR(LN(INDEX(月次集計!$I$2:$I$45,$B17+Q$2)/INDEX(月次集計!$I$2:$I$45,$B17+Q$2-3)),""))</f>
        <v>0.23374331784619</v>
      </c>
      <c r="R17" s="10" t="n">
        <f aca="false">IF(OR($B17+R$2-3&lt;1,$B17+R$2&gt;設定!$B$5),"",IFERROR(LN(INDEX(月次集計!$I$2:$I$45,$B17+R$2)/INDEX(月次集計!$I$2:$I$45,$B17+R$2-3)),""))</f>
        <v>0.00470485518256583</v>
      </c>
      <c r="S17" s="10" t="n">
        <f aca="false">IF(OR($B17+S$2-3&lt;1,$B17+S$2&gt;設定!$B$5),"",IFERROR(LN(INDEX(月次集計!$I$2:$I$45,$B17+S$2)/INDEX(月次集計!$I$2:$I$45,$B17+S$2-3)),""))</f>
        <v>0.0407984081433238</v>
      </c>
      <c r="T17" s="10" t="n">
        <f aca="false">IF(OR($B17+T$2-3&lt;1,$B17+T$2&gt;設定!$B$5),"",IFERROR(LN(INDEX(月次集計!$I$2:$I$45,$B17+T$2)/INDEX(月次集計!$I$2:$I$45,$B17+T$2-3)),""))</f>
        <v>0.127228251456676</v>
      </c>
      <c r="U17" s="10" t="n">
        <f aca="false">IF(OR($B17+U$2-3&lt;1,$B17+U$2&gt;設定!$B$5),"",IFERROR(LN(INDEX(月次集計!$I$2:$I$45,$B17+U$2)/INDEX(月次集計!$I$2:$I$45,$B17+U$2-3)),""))</f>
        <v>0.318439072498935</v>
      </c>
      <c r="V17" s="10" t="n">
        <f aca="false">IF(OR($B17+V$2-3&lt;1,$B17+V$2&gt;設定!$B$5),"",IFERROR(LN(INDEX(月次集計!$I$2:$I$45,$B17+V$2)/INDEX(月次集計!$I$2:$I$45,$B17+V$2-3)),""))</f>
        <v>0.217775674557904</v>
      </c>
      <c r="W17" s="10" t="n">
        <f aca="false">IF(OR($B17+W$2-3&lt;1,$B17+W$2&gt;設定!$B$5),"",IFERROR(LN(INDEX(月次集計!$I$2:$I$45,$B17+W$2)/INDEX(月次集計!$I$2:$I$45,$B17+W$2-3)),""))</f>
        <v>0.106523117114148</v>
      </c>
      <c r="X17" s="10" t="n">
        <f aca="false">IF(OR($B17+X$2-3&lt;1,$B17+X$2&gt;設定!$B$5),"",IFERROR(LN(INDEX(月次集計!$I$2:$I$45,$B17+X$2)/INDEX(月次集計!$I$2:$I$45,$B17+X$2-3)),""))</f>
        <v>0.0947606513734282</v>
      </c>
      <c r="Y17" s="10" t="str">
        <f aca="false">IF(OR($B17+Y$2-3&lt;1,$B17+Y$2&gt;設定!$B$5),"",IFERROR(LN(INDEX(月次集計!$I$2:$I$45,$B17+Y$2)/INDEX(月次集計!$I$2:$I$45,$B17+Y$2-3)),""))</f>
        <v/>
      </c>
      <c r="Z17" s="10" t="str">
        <f aca="false">IF(OR($B17+Z$2-3&lt;1,$B17+Z$2&gt;設定!$B$5),"",IFERROR(LN(INDEX(月次集計!$I$2:$I$45,$B17+Z$2)/INDEX(月次集計!$I$2:$I$45,$B17+Z$2-3)),""))</f>
        <v/>
      </c>
      <c r="AA17" s="10" t="str">
        <f aca="false">IF(OR($B17+AA$2-3&lt;1,$B17+AA$2&gt;設定!$B$5),"",IFERROR(LN(INDEX(月次集計!$I$2:$I$45,$B17+AA$2)/INDEX(月次集計!$I$2:$I$45,$B17+AA$2-3)),""))</f>
        <v/>
      </c>
      <c r="AB17" s="10" t="str">
        <f aca="false">IF(OR($B17+AB$2-3&lt;1,$B17+AB$2&gt;設定!$B$5),"",IFERROR(LN(INDEX(月次集計!$I$2:$I$45,$B17+AB$2)/INDEX(月次集計!$I$2:$I$45,$B17+AB$2-3)),""))</f>
        <v/>
      </c>
      <c r="AC17" s="10" t="n">
        <f aca="false">IF(OR($B17+AC$2-3&lt;1,$B17+AC$2&gt;設定!$B$5),"",IFERROR(LN(INDEX(月次集計!$J$2:$J$45,$B17+AC$2)/INDEX(月次集計!$J$2:$J$45,$B17+AC$2-3)),""))</f>
        <v>0.346890654215019</v>
      </c>
      <c r="AD17" s="10" t="n">
        <f aca="false">IF(OR($B17+AD$2-3&lt;1,$B17+AD$2&gt;設定!$B$5),"",IFERROR(LN(INDEX(月次集計!$J$2:$J$45,$B17+AD$2)/INDEX(月次集計!$J$2:$J$45,$B17+AD$2-3)),""))</f>
        <v>0.163865740574918</v>
      </c>
      <c r="AE17" s="10" t="n">
        <f aca="false">IF(OR($B17+AE$2-3&lt;1,$B17+AE$2&gt;設定!$B$5),"",IFERROR(LN(INDEX(月次集計!$J$2:$J$45,$B17+AE$2)/INDEX(月次集計!$J$2:$J$45,$B17+AE$2-3)),""))</f>
        <v>0.0472387735440812</v>
      </c>
      <c r="AF17" s="10" t="n">
        <f aca="false">IF(OR($B17+AF$2-3&lt;1,$B17+AF$2&gt;設定!$B$5),"",IFERROR(LN(INDEX(月次集計!$J$2:$J$45,$B17+AF$2)/INDEX(月次集計!$J$2:$J$45,$B17+AF$2-3)),""))</f>
        <v>0.445841095404169</v>
      </c>
      <c r="AG17" s="10" t="n">
        <f aca="false">IF(OR($B17+AG$2-3&lt;1,$B17+AG$2&gt;設定!$B$5),"",IFERROR(LN(INDEX(月次集計!$J$2:$J$45,$B17+AG$2)/INDEX(月次集計!$J$2:$J$45,$B17+AG$2-3)),""))</f>
        <v>0.996799706524949</v>
      </c>
      <c r="AH17" s="10" t="n">
        <f aca="false">IF(OR($B17+AH$2-3&lt;1,$B17+AH$2&gt;設定!$B$5),"",IFERROR(LN(INDEX(月次集計!$J$2:$J$45,$B17+AH$2)/INDEX(月次集計!$J$2:$J$45,$B17+AH$2-3)),""))</f>
        <v>1.01786486044617</v>
      </c>
      <c r="AI17" s="10" t="n">
        <f aca="false">IF(OR($B17+AI$2-3&lt;1,$B17+AI$2&gt;設定!$B$5),"",IFERROR(LN(INDEX(月次集計!$J$2:$J$45,$B17+AI$2)/INDEX(月次集計!$J$2:$J$45,$B17+AI$2-3)),""))</f>
        <v>0.489052121965813</v>
      </c>
      <c r="AJ17" s="10" t="n">
        <f aca="false">IF(OR($B17+AJ$2-3&lt;1,$B17+AJ$2&gt;設定!$B$5),"",IFERROR(LN(INDEX(月次集計!$J$2:$J$45,$B17+AJ$2)/INDEX(月次集計!$J$2:$J$45,$B17+AJ$2-3)),""))</f>
        <v>0.256828549910287</v>
      </c>
      <c r="AK17" s="10" t="str">
        <f aca="false">IF(OR($B17+AK$2-3&lt;1,$B17+AK$2&gt;設定!$B$5),"",IFERROR(LN(INDEX(月次集計!$J$2:$J$45,$B17+AK$2)/INDEX(月次集計!$J$2:$J$45,$B17+AK$2-3)),""))</f>
        <v/>
      </c>
      <c r="AL17" s="10" t="str">
        <f aca="false">IF(OR($B17+AL$2-3&lt;1,$B17+AL$2&gt;設定!$B$5),"",IFERROR(LN(INDEX(月次集計!$J$2:$J$45,$B17+AL$2)/INDEX(月次集計!$J$2:$J$45,$B17+AL$2-3)),""))</f>
        <v/>
      </c>
      <c r="AM17" s="10" t="str">
        <f aca="false">IF(OR($B17+AM$2-3&lt;1,$B17+AM$2&gt;設定!$B$5),"",IFERROR(LN(INDEX(月次集計!$J$2:$J$45,$B17+AM$2)/INDEX(月次集計!$J$2:$J$45,$B17+AM$2-3)),""))</f>
        <v/>
      </c>
      <c r="AN17" s="10" t="str">
        <f aca="false">IF(OR($B17+AN$2-3&lt;1,$B17+AN$2&gt;設定!$B$5),"",IFERROR(LN(INDEX(月次集計!$J$2:$J$45,$B17+AN$2)/INDEX(月次集計!$J$2:$J$45,$B17+AN$2-3)),""))</f>
        <v/>
      </c>
      <c r="AO17" s="10" t="str">
        <f aca="false">IF(OR($B17+AO$2-3&lt;1,$B17+AO$2&gt;設定!$B$5),"",IFERROR(LN(INDEX(月次集計!$J$2:$J$45,$B17+AO$2)/INDEX(月次集計!$J$2:$J$45,$B17+AO$2-3)),""))</f>
        <v/>
      </c>
      <c r="AP17" s="10" t="str">
        <f aca="false">IF(OR($B17+AP$2-3&lt;1,$B17+AP$2&gt;設定!$B$5),"",IFERROR(LN(INDEX(月次集計!$K$2:$K$45,$B17+AP$2)/INDEX(月次集計!$K$2:$K$45,$B17+AP$2-3)),""))</f>
        <v/>
      </c>
      <c r="AQ17" s="10" t="str">
        <f aca="false">IF(OR($B17+AQ$2-3&lt;1,$B17+AQ$2&gt;設定!$B$5),"",IFERROR(LN(INDEX(月次集計!$K$2:$K$45,$B17+AQ$2)/INDEX(月次集計!$K$2:$K$45,$B17+AQ$2-3)),""))</f>
        <v/>
      </c>
      <c r="AR17" s="10" t="str">
        <f aca="false">IF(OR($B17+AR$2-3&lt;1,$B17+AR$2&gt;設定!$B$5),"",IFERROR(LN(INDEX(月次集計!$K$2:$K$45,$B17+AR$2)/INDEX(月次集計!$K$2:$K$45,$B17+AR$2-3)),""))</f>
        <v/>
      </c>
      <c r="AS17" s="10" t="str">
        <f aca="false">IF(OR($B17+AS$2-3&lt;1,$B17+AS$2&gt;設定!$B$5),"",IFERROR(LN(INDEX(月次集計!$K$2:$K$45,$B17+AS$2)/INDEX(月次集計!$K$2:$K$45,$B17+AS$2-3)),""))</f>
        <v/>
      </c>
      <c r="AT17" s="10" t="str">
        <f aca="false">IF(OR($B17+AT$2-3&lt;1,$B17+AT$2&gt;設定!$B$5),"",IFERROR(LN(INDEX(月次集計!$K$2:$K$45,$B17+AT$2)/INDEX(月次集計!$K$2:$K$45,$B17+AT$2-3)),""))</f>
        <v/>
      </c>
      <c r="AU17" s="10" t="str">
        <f aca="false">IF(OR($B17+AU$2-3&lt;1,$B17+AU$2&gt;設定!$B$5),"",IFERROR(LN(INDEX(月次集計!$K$2:$K$45,$B17+AU$2)/INDEX(月次集計!$K$2:$K$45,$B17+AU$2-3)),""))</f>
        <v/>
      </c>
      <c r="AV17" s="10" t="str">
        <f aca="false">IF(OR($B17+AV$2-3&lt;1,$B17+AV$2&gt;設定!$B$5),"",IFERROR(LN(INDEX(月次集計!$K$2:$K$45,$B17+AV$2)/INDEX(月次集計!$K$2:$K$45,$B17+AV$2-3)),""))</f>
        <v/>
      </c>
      <c r="AW17" s="10" t="str">
        <f aca="false">IF(OR($B17+AW$2-3&lt;1,$B17+AW$2&gt;設定!$B$5),"",IFERROR(LN(INDEX(月次集計!$K$2:$K$45,$B17+AW$2)/INDEX(月次集計!$K$2:$K$45,$B17+AW$2-3)),""))</f>
        <v/>
      </c>
      <c r="AX17" s="10" t="str">
        <f aca="false">IF(OR($B17+AX$2-3&lt;1,$B17+AX$2&gt;設定!$B$5),"",IFERROR(LN(INDEX(月次集計!$K$2:$K$45,$B17+AX$2)/INDEX(月次集計!$K$2:$K$45,$B17+AX$2-3)),""))</f>
        <v/>
      </c>
      <c r="AY17" s="10" t="str">
        <f aca="false">IF(OR($B17+AY$2-3&lt;1,$B17+AY$2&gt;設定!$B$5),"",IFERROR(LN(INDEX(月次集計!$K$2:$K$45,$B17+AY$2)/INDEX(月次集計!$K$2:$K$45,$B17+AY$2-3)),""))</f>
        <v/>
      </c>
      <c r="AZ17" s="10" t="str">
        <f aca="false">IF(OR($B17+AZ$2-3&lt;1,$B17+AZ$2&gt;設定!$B$5),"",IFERROR(LN(INDEX(月次集計!$K$2:$K$45,$B17+AZ$2)/INDEX(月次集計!$K$2:$K$45,$B17+AZ$2-3)),""))</f>
        <v/>
      </c>
      <c r="BA17" s="10" t="str">
        <f aca="false">IF(OR($B17+BA$2-3&lt;1,$B17+BA$2&gt;設定!$B$5),"",IFERROR(LN(INDEX(月次集計!$K$2:$K$45,$B17+BA$2)/INDEX(月次集計!$K$2:$K$45,$B17+BA$2-3)),""))</f>
        <v/>
      </c>
      <c r="BB17" s="10" t="str">
        <f aca="false">IF(OR($B17+BB$2-3&lt;1,$B17+BB$2&gt;設定!$B$5),"",IFERROR(LN(INDEX(月次集計!$K$2:$K$45,$B17+BB$2)/INDEX(月次集計!$K$2:$K$45,$B17+BB$2-3)),""))</f>
        <v/>
      </c>
      <c r="BC17" s="10" t="n">
        <f aca="false">IF(OR($B17+BC$2-3&lt;1,$B17+BC$2&gt;設定!$B$5),"",IFERROR(LN(INDEX(月次集計!$L$2:$L$45,$B17+BC$2)/INDEX(月次集計!$L$2:$L$45,$B17+BC$2-3)),""))</f>
        <v>0.162245451164834</v>
      </c>
      <c r="BD17" s="10" t="n">
        <f aca="false">IF(OR($B17+BD$2-3&lt;1,$B17+BD$2&gt;設定!$B$5),"",IFERROR(LN(INDEX(月次集計!$L$2:$L$45,$B17+BD$2)/INDEX(月次集計!$L$2:$L$45,$B17+BD$2-3)),""))</f>
        <v>0.243844063144333</v>
      </c>
      <c r="BE17" s="10" t="n">
        <f aca="false">IF(OR($B17+BE$2-3&lt;1,$B17+BE$2&gt;設定!$B$5),"",IFERROR(LN(INDEX(月次集計!$L$2:$L$45,$B17+BE$2)/INDEX(月次集計!$L$2:$L$45,$B17+BE$2-3)),""))</f>
        <v>0.128138380828587</v>
      </c>
      <c r="BF17" s="10" t="n">
        <f aca="false">IF(OR($B17+BF$2-3&lt;1,$B17+BF$2&gt;設定!$B$5),"",IFERROR(LN(INDEX(月次集計!$L$2:$L$45,$B17+BF$2)/INDEX(月次集計!$L$2:$L$45,$B17+BF$2-3)),""))</f>
        <v>0.149148741720864</v>
      </c>
      <c r="BG17" s="10" t="n">
        <f aca="false">IF(OR($B17+BG$2-3&lt;1,$B17+BG$2&gt;設定!$B$5),"",IFERROR(LN(INDEX(月次集計!$L$2:$L$45,$B17+BG$2)/INDEX(月次集計!$L$2:$L$45,$B17+BG$2-3)),""))</f>
        <v>0.222987141478629</v>
      </c>
      <c r="BH17" s="10" t="n">
        <f aca="false">IF(OR($B17+BH$2-3&lt;1,$B17+BH$2&gt;設定!$B$5),"",IFERROR(LN(INDEX(月次集計!$L$2:$L$45,$B17+BH$2)/INDEX(月次集計!$L$2:$L$45,$B17+BH$2-3)),""))</f>
        <v>0.300070758580513</v>
      </c>
      <c r="BI17" s="10" t="n">
        <f aca="false">IF(OR($B17+BI$2-3&lt;1,$B17+BI$2&gt;設定!$B$5),"",IFERROR(LN(INDEX(月次集計!$L$2:$L$45,$B17+BI$2)/INDEX(月次集計!$L$2:$L$45,$B17+BI$2-3)),""))</f>
        <v>0.145361110860627</v>
      </c>
      <c r="BJ17" s="10" t="n">
        <f aca="false">IF(OR($B17+BJ$2-3&lt;1,$B17+BJ$2&gt;設定!$B$5),"",IFERROR(LN(INDEX(月次集計!$L$2:$L$45,$B17+BJ$2)/INDEX(月次集計!$L$2:$L$45,$B17+BJ$2-3)),""))</f>
        <v>0.0715616071476896</v>
      </c>
      <c r="BK17" s="10" t="str">
        <f aca="false">IF(OR($B17+BK$2-3&lt;1,$B17+BK$2&gt;設定!$B$5),"",IFERROR(LN(INDEX(月次集計!$L$2:$L$45,$B17+BK$2)/INDEX(月次集計!$L$2:$L$45,$B17+BK$2-3)),""))</f>
        <v/>
      </c>
      <c r="BL17" s="10" t="str">
        <f aca="false">IF(OR($B17+BL$2-3&lt;1,$B17+BL$2&gt;設定!$B$5),"",IFERROR(LN(INDEX(月次集計!$L$2:$L$45,$B17+BL$2)/INDEX(月次集計!$L$2:$L$45,$B17+BL$2-3)),""))</f>
        <v/>
      </c>
      <c r="BM17" s="10" t="str">
        <f aca="false">IF(OR($B17+BM$2-3&lt;1,$B17+BM$2&gt;設定!$B$5),"",IFERROR(LN(INDEX(月次集計!$L$2:$L$45,$B17+BM$2)/INDEX(月次集計!$L$2:$L$45,$B17+BM$2-3)),""))</f>
        <v/>
      </c>
      <c r="BN17" s="10" t="str">
        <f aca="false">IF(OR($B17+BN$2-3&lt;1,$B17+BN$2&gt;設定!$B$5),"",IFERROR(LN(INDEX(月次集計!$L$2:$L$45,$B17+BN$2)/INDEX(月次集計!$L$2:$L$45,$B17+BN$2-3)),""))</f>
        <v/>
      </c>
      <c r="BO17" s="10" t="str">
        <f aca="false">IF(OR($B17+BO$2-3&lt;1,$B17+BO$2&gt;設定!$B$5),"",IFERROR(LN(INDEX(月次集計!$L$2:$L$45,$B17+BO$2)/INDEX(月次集計!$L$2:$L$45,$B17+BO$2-3)),""))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3" min="2" style="0" width="14"/>
  </cols>
  <sheetData>
    <row r="1" customFormat="false" ht="15" hidden="false" customHeight="false" outlineLevel="0" collapsed="false">
      <c r="A1" s="4" t="s">
        <v>224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customFormat="false" ht="15" hidden="false" customHeight="false" outlineLevel="0" collapsed="false">
      <c r="A2" s="3"/>
      <c r="B2" s="1" t="s">
        <v>154</v>
      </c>
      <c r="C2" s="1" t="s">
        <v>154</v>
      </c>
      <c r="D2" s="1" t="s">
        <v>154</v>
      </c>
      <c r="E2" s="1" t="s">
        <v>154</v>
      </c>
      <c r="F2" s="1" t="s">
        <v>155</v>
      </c>
      <c r="G2" s="1" t="s">
        <v>155</v>
      </c>
      <c r="H2" s="1" t="s">
        <v>155</v>
      </c>
      <c r="I2" s="1" t="s">
        <v>155</v>
      </c>
      <c r="J2" s="1" t="s">
        <v>156</v>
      </c>
      <c r="K2" s="1" t="s">
        <v>156</v>
      </c>
      <c r="L2" s="1" t="s">
        <v>156</v>
      </c>
      <c r="M2" s="1" t="s">
        <v>156</v>
      </c>
      <c r="N2" s="1" t="s">
        <v>157</v>
      </c>
      <c r="O2" s="1" t="s">
        <v>157</v>
      </c>
      <c r="P2" s="1" t="s">
        <v>157</v>
      </c>
      <c r="Q2" s="1" t="s">
        <v>157</v>
      </c>
      <c r="R2" s="1" t="s">
        <v>97</v>
      </c>
      <c r="S2" s="1" t="s">
        <v>97</v>
      </c>
      <c r="T2" s="1" t="s">
        <v>97</v>
      </c>
      <c r="U2" s="1" t="s">
        <v>97</v>
      </c>
    </row>
    <row r="3" customFormat="false" ht="15" hidden="false" customHeight="false" outlineLevel="0" collapsed="false">
      <c r="A3" s="4" t="s">
        <v>225</v>
      </c>
      <c r="B3" s="1" t="s">
        <v>89</v>
      </c>
      <c r="C3" s="1" t="s">
        <v>90</v>
      </c>
      <c r="D3" s="1" t="s">
        <v>91</v>
      </c>
      <c r="E3" s="1" t="s">
        <v>92</v>
      </c>
      <c r="F3" s="1" t="s">
        <v>89</v>
      </c>
      <c r="G3" s="1" t="s">
        <v>90</v>
      </c>
      <c r="H3" s="1" t="s">
        <v>91</v>
      </c>
      <c r="I3" s="1" t="s">
        <v>92</v>
      </c>
      <c r="J3" s="1" t="s">
        <v>89</v>
      </c>
      <c r="K3" s="1" t="s">
        <v>90</v>
      </c>
      <c r="L3" s="1" t="s">
        <v>91</v>
      </c>
      <c r="M3" s="1" t="s">
        <v>92</v>
      </c>
      <c r="N3" s="1" t="s">
        <v>89</v>
      </c>
      <c r="O3" s="1" t="s">
        <v>90</v>
      </c>
      <c r="P3" s="1" t="s">
        <v>91</v>
      </c>
      <c r="Q3" s="1" t="s">
        <v>92</v>
      </c>
      <c r="R3" s="1" t="s">
        <v>89</v>
      </c>
      <c r="S3" s="1" t="s">
        <v>90</v>
      </c>
      <c r="T3" s="1" t="s">
        <v>91</v>
      </c>
      <c r="U3" s="1" t="s">
        <v>92</v>
      </c>
    </row>
    <row r="4" customFormat="false" ht="15" hidden="false" customHeight="false" outlineLevel="0" collapsed="false">
      <c r="A4" s="3" t="n">
        <v>-6</v>
      </c>
      <c r="B4" s="11" t="n">
        <f aca="false">IF(SUMPRODUCT(--ISNUMBER(ラグ走査_作業!$C$4:$C$17),--ISNUMBER(企業売上!$H$4:$H$17))&lt;6,"",IFERROR(CORREL(ラグ走査_作業!$C$4:$C$17,企業売上!$H$4:$H$17),""))</f>
        <v>-0.321746638528906</v>
      </c>
      <c r="C4" s="11" t="n">
        <f aca="false">IF(SUMPRODUCT(--ISNUMBER(ラグ走査_作業!$C$4:$C$17),--ISNUMBER(企業売上!$I$4:$I$17))&lt;6,"",IFERROR(CORREL(ラグ走査_作業!$C$4:$C$17,企業売上!$I$4:$I$17),""))</f>
        <v>-0.540337750897697</v>
      </c>
      <c r="D4" s="11" t="n">
        <f aca="false">IF(SUMPRODUCT(--ISNUMBER(ラグ走査_作業!$C$4:$C$17),--ISNUMBER(企業売上!$J$4:$J$17))&lt;6,"",IFERROR(CORREL(ラグ走査_作業!$C$4:$C$17,企業売上!$J$4:$J$17),""))</f>
        <v>-0.216561232579891</v>
      </c>
      <c r="E4" s="11" t="n">
        <f aca="false">IF(SUMPRODUCT(--ISNUMBER(ラグ走査_作業!$C$4:$C$17),--ISNUMBER(企業売上!$K$4:$K$17))&lt;6,"",IFERROR(CORREL(ラグ走査_作業!$C$4:$C$17,企業売上!$K$4:$K$17),""))</f>
        <v>-0.426688503770965</v>
      </c>
      <c r="F4" s="11" t="n">
        <f aca="false">IF(SUMPRODUCT(--ISNUMBER(ラグ走査_作業!$P$4:$P$17),--ISNUMBER(企業売上!$H$4:$H$17))&lt;6,"",IFERROR(CORREL(ラグ走査_作業!$P$4:$P$17,企業売上!$H$4:$H$17),""))</f>
        <v>-0.368321324136783</v>
      </c>
      <c r="G4" s="11" t="n">
        <f aca="false">IF(SUMPRODUCT(--ISNUMBER(ラグ走査_作業!$P$4:$P$17),--ISNUMBER(企業売上!$I$4:$I$17))&lt;6,"",IFERROR(CORREL(ラグ走査_作業!$P$4:$P$17,企業売上!$I$4:$I$17),""))</f>
        <v>-0.383700474607359</v>
      </c>
      <c r="H4" s="11" t="n">
        <f aca="false">IF(SUMPRODUCT(--ISNUMBER(ラグ走査_作業!$P$4:$P$17),--ISNUMBER(企業売上!$J$4:$J$17))&lt;6,"",IFERROR(CORREL(ラグ走査_作業!$P$4:$P$17,企業売上!$J$4:$J$17),""))</f>
        <v>0.243126022898872</v>
      </c>
      <c r="I4" s="11" t="n">
        <f aca="false">IF(SUMPRODUCT(--ISNUMBER(ラグ走査_作業!$P$4:$P$17),--ISNUMBER(企業売上!$K$4:$K$17))&lt;6,"",IFERROR(CORREL(ラグ走査_作業!$P$4:$P$17,企業売上!$K$4:$K$17),""))</f>
        <v>-0.361345454378192</v>
      </c>
      <c r="J4" s="11" t="n">
        <f aca="false">IF(SUMPRODUCT(--ISNUMBER(ラグ走査_作業!$AC$4:$AC$17),--ISNUMBER(企業売上!$H$4:$H$17))&lt;6,"",IFERROR(CORREL(ラグ走査_作業!$AC$4:$AC$17,企業売上!$H$4:$H$17),""))</f>
        <v>-0.242580740935202</v>
      </c>
      <c r="K4" s="11" t="n">
        <f aca="false">IF(SUMPRODUCT(--ISNUMBER(ラグ走査_作業!$AC$4:$AC$17),--ISNUMBER(企業売上!$I$4:$I$17))&lt;6,"",IFERROR(CORREL(ラグ走査_作業!$AC$4:$AC$17,企業売上!$I$4:$I$17),""))</f>
        <v>-0.561486277814189</v>
      </c>
      <c r="L4" s="11" t="n">
        <f aca="false">IF(SUMPRODUCT(--ISNUMBER(ラグ走査_作業!$AC$4:$AC$17),--ISNUMBER(企業売上!$J$4:$J$17))&lt;6,"",IFERROR(CORREL(ラグ走査_作業!$AC$4:$AC$17,企業売上!$J$4:$J$17),""))</f>
        <v>0.0699061338291236</v>
      </c>
      <c r="M4" s="11" t="n">
        <f aca="false">IF(SUMPRODUCT(--ISNUMBER(ラグ走査_作業!$AC$4:$AC$17),--ISNUMBER(企業売上!$K$4:$K$17))&lt;6,"",IFERROR(CORREL(ラグ走査_作業!$AC$4:$AC$17,企業売上!$K$4:$K$17),""))</f>
        <v>-0.333235372466819</v>
      </c>
      <c r="N4" s="11" t="n">
        <f aca="false">IF(SUMPRODUCT(--ISNUMBER(ラグ走査_作業!$AP$4:$AP$17),--ISNUMBER(企業売上!$H$4:$H$17))&lt;6,"",IFERROR(CORREL(ラグ走査_作業!$AP$4:$AP$17,企業売上!$H$4:$H$17),""))</f>
        <v>-0.667122273461631</v>
      </c>
      <c r="O4" s="11" t="n">
        <f aca="false">IF(SUMPRODUCT(--ISNUMBER(ラグ走査_作業!$AP$4:$AP$17),--ISNUMBER(企業売上!$I$4:$I$17))&lt;6,"",IFERROR(CORREL(ラグ走査_作業!$AP$4:$AP$17,企業売上!$I$4:$I$17),""))</f>
        <v>-0.50746352471054</v>
      </c>
      <c r="P4" s="11" t="n">
        <f aca="false">IF(SUMPRODUCT(--ISNUMBER(ラグ走査_作業!$AP$4:$AP$17),--ISNUMBER(企業売上!$J$4:$J$17))&lt;6,"",IFERROR(CORREL(ラグ走査_作業!$AP$4:$AP$17,企業売上!$J$4:$J$17),""))</f>
        <v>-0.330571592567148</v>
      </c>
      <c r="Q4" s="11" t="n">
        <f aca="false">IF(SUMPRODUCT(--ISNUMBER(ラグ走査_作業!$AP$4:$AP$17),--ISNUMBER(企業売上!$K$4:$K$17))&lt;6,"",IFERROR(CORREL(ラグ走査_作業!$AP$4:$AP$17,企業売上!$K$4:$K$17),""))</f>
        <v>-0.65571224918338</v>
      </c>
      <c r="R4" s="11" t="n">
        <f aca="false">IF(SUMPRODUCT(--ISNUMBER(ラグ走査_作業!$BC$4:$BC$17),--ISNUMBER(企業売上!$H$4:$H$17))&lt;6,"",IFERROR(CORREL(ラグ走査_作業!$BC$4:$BC$17,企業売上!$H$4:$H$17),""))</f>
        <v>-0.44201481112366</v>
      </c>
      <c r="S4" s="11" t="n">
        <f aca="false">IF(SUMPRODUCT(--ISNUMBER(ラグ走査_作業!$BC$4:$BC$17),--ISNUMBER(企業売上!$I$4:$I$17))&lt;6,"",IFERROR(CORREL(ラグ走査_作業!$BC$4:$BC$17,企業売上!$I$4:$I$17),""))</f>
        <v>-0.586903249624082</v>
      </c>
      <c r="T4" s="11" t="n">
        <f aca="false">IF(SUMPRODUCT(--ISNUMBER(ラグ走査_作業!$BC$4:$BC$17),--ISNUMBER(企業売上!$J$4:$J$17))&lt;6,"",IFERROR(CORREL(ラグ走査_作業!$BC$4:$BC$17,企業売上!$J$4:$J$17),""))</f>
        <v>0.0192178322790742</v>
      </c>
      <c r="U4" s="11" t="n">
        <f aca="false">IF(SUMPRODUCT(--ISNUMBER(ラグ走査_作業!$BC$4:$BC$17),--ISNUMBER(企業売上!$K$4:$K$17))&lt;6,"",IFERROR(CORREL(ラグ走査_作業!$BC$4:$BC$17,企業売上!$K$4:$K$17),""))</f>
        <v>-0.502595193770859</v>
      </c>
    </row>
    <row r="5" customFormat="false" ht="15" hidden="false" customHeight="false" outlineLevel="0" collapsed="false">
      <c r="A5" s="3" t="n">
        <v>-5</v>
      </c>
      <c r="B5" s="11" t="n">
        <f aca="false">IF(SUMPRODUCT(--ISNUMBER(ラグ走査_作業!$D$4:$D$17),--ISNUMBER(企業売上!$H$4:$H$17))&lt;6,"",IFERROR(CORREL(ラグ走査_作業!$D$4:$D$17,企業売上!$H$4:$H$17),""))</f>
        <v>-0.120072263504472</v>
      </c>
      <c r="C5" s="11" t="n">
        <f aca="false">IF(SUMPRODUCT(--ISNUMBER(ラグ走査_作業!$D$4:$D$17),--ISNUMBER(企業売上!$I$4:$I$17))&lt;6,"",IFERROR(CORREL(ラグ走査_作業!$D$4:$D$17,企業売上!$I$4:$I$17),""))</f>
        <v>-0.674365521948233</v>
      </c>
      <c r="D5" s="11" t="n">
        <f aca="false">IF(SUMPRODUCT(--ISNUMBER(ラグ走査_作業!$D$4:$D$17),--ISNUMBER(企業売上!$J$4:$J$17))&lt;6,"",IFERROR(CORREL(ラグ走査_作業!$D$4:$D$17,企業売上!$J$4:$J$17),""))</f>
        <v>0.363598705622677</v>
      </c>
      <c r="E5" s="11" t="n">
        <f aca="false">IF(SUMPRODUCT(--ISNUMBER(ラグ走査_作業!$D$4:$D$17),--ISNUMBER(企業売上!$K$4:$K$17))&lt;6,"",IFERROR(CORREL(ラグ走査_作業!$D$4:$D$17,企業売上!$K$4:$K$17),""))</f>
        <v>-0.239726950456576</v>
      </c>
      <c r="F5" s="11" t="n">
        <f aca="false">IF(SUMPRODUCT(--ISNUMBER(ラグ走査_作業!$Q$4:$Q$17),--ISNUMBER(企業売上!$H$4:$H$17))&lt;6,"",IFERROR(CORREL(ラグ走査_作業!$Q$4:$Q$17,企業売上!$H$4:$H$17),""))</f>
        <v>-0.299352422299688</v>
      </c>
      <c r="G5" s="11" t="n">
        <f aca="false">IF(SUMPRODUCT(--ISNUMBER(ラグ走査_作業!$Q$4:$Q$17),--ISNUMBER(企業売上!$I$4:$I$17))&lt;6,"",IFERROR(CORREL(ラグ走査_作業!$Q$4:$Q$17,企業売上!$I$4:$I$17),""))</f>
        <v>-0.540370352010014</v>
      </c>
      <c r="H5" s="11" t="n">
        <f aca="false">IF(SUMPRODUCT(--ISNUMBER(ラグ走査_作業!$Q$4:$Q$17),--ISNUMBER(企業売上!$J$4:$J$17))&lt;6,"",IFERROR(CORREL(ラグ走査_作業!$Q$4:$Q$17,企業売上!$J$4:$J$17),""))</f>
        <v>0.195243465572086</v>
      </c>
      <c r="I5" s="11" t="n">
        <f aca="false">IF(SUMPRODUCT(--ISNUMBER(ラグ走査_作業!$Q$4:$Q$17),--ISNUMBER(企業売上!$K$4:$K$17))&lt;6,"",IFERROR(CORREL(ラグ走査_作業!$Q$4:$Q$17,企業売上!$K$4:$K$17),""))</f>
        <v>-0.358524035843634</v>
      </c>
      <c r="J5" s="11" t="n">
        <f aca="false">IF(SUMPRODUCT(--ISNUMBER(ラグ走査_作業!$AD$4:$AD$17),--ISNUMBER(企業売上!$H$4:$H$17))&lt;6,"",IFERROR(CORREL(ラグ走査_作業!$AD$4:$AD$17,企業売上!$H$4:$H$17),""))</f>
        <v>-0.0370486809697882</v>
      </c>
      <c r="K5" s="11" t="n">
        <f aca="false">IF(SUMPRODUCT(--ISNUMBER(ラグ走査_作業!$AD$4:$AD$17),--ISNUMBER(企業売上!$I$4:$I$17))&lt;6,"",IFERROR(CORREL(ラグ走査_作業!$AD$4:$AD$17,企業売上!$I$4:$I$17),""))</f>
        <v>-0.460729083025896</v>
      </c>
      <c r="L5" s="11" t="n">
        <f aca="false">IF(SUMPRODUCT(--ISNUMBER(ラグ走査_作業!$AD$4:$AD$17),--ISNUMBER(企業売上!$J$4:$J$17))&lt;6,"",IFERROR(CORREL(ラグ走査_作業!$AD$4:$AD$17,企業売上!$J$4:$J$17),""))</f>
        <v>-0.129153580287352</v>
      </c>
      <c r="M5" s="11" t="n">
        <f aca="false">IF(SUMPRODUCT(--ISNUMBER(ラグ走査_作業!$AD$4:$AD$17),--ISNUMBER(企業売上!$K$4:$K$17))&lt;6,"",IFERROR(CORREL(ラグ走査_作業!$AD$4:$AD$17,企業売上!$K$4:$K$17),""))</f>
        <v>-0.1737937350597</v>
      </c>
      <c r="N5" s="11" t="n">
        <f aca="false">IF(SUMPRODUCT(--ISNUMBER(ラグ走査_作業!$AQ$4:$AQ$17),--ISNUMBER(企業売上!$H$4:$H$17))&lt;6,"",IFERROR(CORREL(ラグ走査_作業!$AQ$4:$AQ$17,企業売上!$H$4:$H$17),""))</f>
        <v>0.596026551531827</v>
      </c>
      <c r="O5" s="11" t="n">
        <f aca="false">IF(SUMPRODUCT(--ISNUMBER(ラグ走査_作業!$AQ$4:$AQ$17),--ISNUMBER(企業売上!$I$4:$I$17))&lt;6,"",IFERROR(CORREL(ラグ走査_作業!$AQ$4:$AQ$17,企業売上!$I$4:$I$17),""))</f>
        <v>0.389051731059404</v>
      </c>
      <c r="P5" s="11" t="n">
        <f aca="false">IF(SUMPRODUCT(--ISNUMBER(ラグ走査_作業!$AQ$4:$AQ$17),--ISNUMBER(企業売上!$J$4:$J$17))&lt;6,"",IFERROR(CORREL(ラグ走査_作業!$AQ$4:$AQ$17,企業売上!$J$4:$J$17),""))</f>
        <v>0.473765870238289</v>
      </c>
      <c r="Q5" s="11" t="n">
        <f aca="false">IF(SUMPRODUCT(--ISNUMBER(ラグ走査_作業!$AQ$4:$AQ$17),--ISNUMBER(企業売上!$K$4:$K$17))&lt;6,"",IFERROR(CORREL(ラグ走査_作業!$AQ$4:$AQ$17,企業売上!$K$4:$K$17),""))</f>
        <v>0.607784096691005</v>
      </c>
      <c r="R5" s="11" t="n">
        <f aca="false">IF(SUMPRODUCT(--ISNUMBER(ラグ走査_作業!$BD$4:$BD$17),--ISNUMBER(企業売上!$H$4:$H$17))&lt;6,"",IFERROR(CORREL(ラグ走査_作業!$BD$4:$BD$17,企業売上!$H$4:$H$17),""))</f>
        <v>-0.234001667804689</v>
      </c>
      <c r="S5" s="11" t="n">
        <f aca="false">IF(SUMPRODUCT(--ISNUMBER(ラグ走査_作業!$BD$4:$BD$17),--ISNUMBER(企業売上!$I$4:$I$17))&lt;6,"",IFERROR(CORREL(ラグ走査_作業!$BD$4:$BD$17,企業売上!$I$4:$I$17),""))</f>
        <v>-0.663381667681846</v>
      </c>
      <c r="T5" s="11" t="n">
        <f aca="false">IF(SUMPRODUCT(--ISNUMBER(ラグ走査_作業!$BD$4:$BD$17),--ISNUMBER(企業売上!$J$4:$J$17))&lt;6,"",IFERROR(CORREL(ラグ走査_作業!$BD$4:$BD$17,企業売上!$J$4:$J$17),""))</f>
        <v>0.22654082404611</v>
      </c>
      <c r="U5" s="11" t="n">
        <f aca="false">IF(SUMPRODUCT(--ISNUMBER(ラグ走査_作業!$BD$4:$BD$17),--ISNUMBER(企業売上!$K$4:$K$17))&lt;6,"",IFERROR(CORREL(ラグ走査_作業!$BD$4:$BD$17,企業売上!$K$4:$K$17),""))</f>
        <v>-0.339395832180734</v>
      </c>
    </row>
    <row r="6" customFormat="false" ht="15" hidden="false" customHeight="false" outlineLevel="0" collapsed="false">
      <c r="A6" s="3" t="n">
        <v>-4</v>
      </c>
      <c r="B6" s="11" t="n">
        <f aca="false">IF(SUMPRODUCT(--ISNUMBER(ラグ走査_作業!$E$4:$E$17),--ISNUMBER(企業売上!$H$4:$H$17))&lt;6,"",IFERROR(CORREL(ラグ走査_作業!$E$4:$E$17,企業売上!$H$4:$H$17),""))</f>
        <v>-0.00095715303630631</v>
      </c>
      <c r="C6" s="11" t="n">
        <f aca="false">IF(SUMPRODUCT(--ISNUMBER(ラグ走査_作業!$E$4:$E$17),--ISNUMBER(企業売上!$I$4:$I$17))&lt;6,"",IFERROR(CORREL(ラグ走査_作業!$E$4:$E$17,企業売上!$I$4:$I$17),""))</f>
        <v>-0.623899798381575</v>
      </c>
      <c r="D6" s="11" t="n">
        <f aca="false">IF(SUMPRODUCT(--ISNUMBER(ラグ走査_作業!$E$4:$E$17),--ISNUMBER(企業売上!$J$4:$J$17))&lt;6,"",IFERROR(CORREL(ラグ走査_作業!$E$4:$E$17,企業売上!$J$4:$J$17),""))</f>
        <v>0.569276734280203</v>
      </c>
      <c r="E6" s="11" t="n">
        <f aca="false">IF(SUMPRODUCT(--ISNUMBER(ラグ走査_作業!$E$4:$E$17),--ISNUMBER(企業売上!$K$4:$K$17))&lt;6,"",IFERROR(CORREL(ラグ走査_作業!$E$4:$E$17,企業売上!$K$4:$K$17),""))</f>
        <v>-0.10750061520981</v>
      </c>
      <c r="F6" s="11" t="n">
        <f aca="false">IF(SUMPRODUCT(--ISNUMBER(ラグ走査_作業!$R$4:$R$17),--ISNUMBER(企業売上!$H$4:$H$17))&lt;6,"",IFERROR(CORREL(ラグ走査_作業!$R$4:$R$17,企業売上!$H$4:$H$17),""))</f>
        <v>-0.228831584261488</v>
      </c>
      <c r="G6" s="11" t="n">
        <f aca="false">IF(SUMPRODUCT(--ISNUMBER(ラグ走査_作業!$R$4:$R$17),--ISNUMBER(企業売上!$I$4:$I$17))&lt;6,"",IFERROR(CORREL(ラグ走査_作業!$R$4:$R$17,企業売上!$I$4:$I$17),""))</f>
        <v>-0.19002725342616</v>
      </c>
      <c r="H6" s="11" t="n">
        <f aca="false">IF(SUMPRODUCT(--ISNUMBER(ラグ走査_作業!$R$4:$R$17),--ISNUMBER(企業売上!$J$4:$J$17))&lt;6,"",IFERROR(CORREL(ラグ走査_作業!$R$4:$R$17,企業売上!$J$4:$J$17),""))</f>
        <v>-0.252861875335691</v>
      </c>
      <c r="I6" s="11" t="n">
        <f aca="false">IF(SUMPRODUCT(--ISNUMBER(ラグ走査_作業!$R$4:$R$17),--ISNUMBER(企業売上!$K$4:$K$17))&lt;6,"",IFERROR(CORREL(ラグ走査_作業!$R$4:$R$17,企業売上!$K$4:$K$17),""))</f>
        <v>-0.259668863895862</v>
      </c>
      <c r="J6" s="11" t="n">
        <f aca="false">IF(SUMPRODUCT(--ISNUMBER(ラグ走査_作業!$AE$4:$AE$17),--ISNUMBER(企業売上!$H$4:$H$17))&lt;6,"",IFERROR(CORREL(ラグ走査_作業!$AE$4:$AE$17,企業売上!$H$4:$H$17),""))</f>
        <v>0.316294217600422</v>
      </c>
      <c r="K6" s="11" t="n">
        <f aca="false">IF(SUMPRODUCT(--ISNUMBER(ラグ走査_作業!$AE$4:$AE$17),--ISNUMBER(企業売上!$I$4:$I$17))&lt;6,"",IFERROR(CORREL(ラグ走査_作業!$AE$4:$AE$17,企業売上!$I$4:$I$17),""))</f>
        <v>-0.112078308607892</v>
      </c>
      <c r="L6" s="11" t="n">
        <f aca="false">IF(SUMPRODUCT(--ISNUMBER(ラグ走査_作業!$AE$4:$AE$17),--ISNUMBER(企業売上!$J$4:$J$17))&lt;6,"",IFERROR(CORREL(ラグ走査_作業!$AE$4:$AE$17,企業売上!$J$4:$J$17),""))</f>
        <v>-0.00599226093795854</v>
      </c>
      <c r="M6" s="11" t="n">
        <f aca="false">IF(SUMPRODUCT(--ISNUMBER(ラグ走査_作業!$AE$4:$AE$17),--ISNUMBER(企業売上!$K$4:$K$17))&lt;6,"",IFERROR(CORREL(ラグ走査_作業!$AE$4:$AE$17,企業売上!$K$4:$K$17),""))</f>
        <v>0.215339468975388</v>
      </c>
      <c r="N6" s="11" t="n">
        <f aca="false">IF(SUMPRODUCT(--ISNUMBER(ラグ走査_作業!$AR$4:$AR$17),--ISNUMBER(企業売上!$H$4:$H$17))&lt;6,"",IFERROR(CORREL(ラグ走査_作業!$AR$4:$AR$17,企業売上!$H$4:$H$17),""))</f>
        <v>0.574426108727137</v>
      </c>
      <c r="O6" s="11" t="n">
        <f aca="false">IF(SUMPRODUCT(--ISNUMBER(ラグ走査_作業!$AR$4:$AR$17),--ISNUMBER(企業売上!$I$4:$I$17))&lt;6,"",IFERROR(CORREL(ラグ走査_作業!$AR$4:$AR$17,企業売上!$I$4:$I$17),""))</f>
        <v>0.375194888239108</v>
      </c>
      <c r="P6" s="11" t="n">
        <f aca="false">IF(SUMPRODUCT(--ISNUMBER(ラグ走査_作業!$AR$4:$AR$17),--ISNUMBER(企業売上!$J$4:$J$17))&lt;6,"",IFERROR(CORREL(ラグ走査_作業!$AR$4:$AR$17,企業売上!$J$4:$J$17),""))</f>
        <v>0.252345500533504</v>
      </c>
      <c r="Q6" s="11" t="n">
        <f aca="false">IF(SUMPRODUCT(--ISNUMBER(ラグ走査_作業!$AR$4:$AR$17),--ISNUMBER(企業売上!$K$4:$K$17))&lt;6,"",IFERROR(CORREL(ラグ走査_作業!$AR$4:$AR$17,企業売上!$K$4:$K$17),""))</f>
        <v>0.556511668707338</v>
      </c>
      <c r="R6" s="11" t="n">
        <f aca="false">IF(SUMPRODUCT(--ISNUMBER(ラグ走査_作業!$BE$4:$BE$17),--ISNUMBER(企業売上!$H$4:$H$17))&lt;6,"",IFERROR(CORREL(ラグ走査_作業!$BE$4:$BE$17,企業売上!$H$4:$H$17),""))</f>
        <v>-0.129251682982458</v>
      </c>
      <c r="S6" s="11" t="n">
        <f aca="false">IF(SUMPRODUCT(--ISNUMBER(ラグ走査_作業!$BE$4:$BE$17),--ISNUMBER(企業売上!$I$4:$I$17))&lt;6,"",IFERROR(CORREL(ラグ走査_作業!$BE$4:$BE$17,企業売上!$I$4:$I$17),""))</f>
        <v>-0.450184691696576</v>
      </c>
      <c r="T6" s="11" t="n">
        <f aca="false">IF(SUMPRODUCT(--ISNUMBER(ラグ走査_作業!$BE$4:$BE$17),--ISNUMBER(企業売上!$J$4:$J$17))&lt;6,"",IFERROR(CORREL(ラグ走査_作業!$BE$4:$BE$17,企業売上!$J$4:$J$17),""))</f>
        <v>0.121290948725068</v>
      </c>
      <c r="U6" s="11" t="n">
        <f aca="false">IF(SUMPRODUCT(--ISNUMBER(ラグ走査_作業!$BE$4:$BE$17),--ISNUMBER(企業売上!$K$4:$K$17))&lt;6,"",IFERROR(CORREL(ラグ走査_作業!$BE$4:$BE$17,企業売上!$K$4:$K$17),""))</f>
        <v>-0.21041359231049</v>
      </c>
    </row>
    <row r="7" customFormat="false" ht="15" hidden="false" customHeight="false" outlineLevel="0" collapsed="false">
      <c r="A7" s="3" t="n">
        <v>-3</v>
      </c>
      <c r="B7" s="11" t="n">
        <f aca="false">IF(SUMPRODUCT(--ISNUMBER(ラグ走査_作業!$F$4:$F$17),--ISNUMBER(企業売上!$H$4:$H$17))&lt;6,"",IFERROR(CORREL(ラグ走査_作業!$F$4:$F$17,企業売上!$H$4:$H$17),""))</f>
        <v>-0.0514695261613354</v>
      </c>
      <c r="C7" s="11" t="n">
        <f aca="false">IF(SUMPRODUCT(--ISNUMBER(ラグ走査_作業!$F$4:$F$17),--ISNUMBER(企業売上!$I$4:$I$17))&lt;6,"",IFERROR(CORREL(ラグ走査_作業!$F$4:$F$17,企業売上!$I$4:$I$17),""))</f>
        <v>-0.325767860139042</v>
      </c>
      <c r="D7" s="11" t="n">
        <f aca="false">IF(SUMPRODUCT(--ISNUMBER(ラグ走査_作業!$F$4:$F$17),--ISNUMBER(企業売上!$J$4:$J$17))&lt;6,"",IFERROR(CORREL(ラグ走査_作業!$F$4:$F$17,企業売上!$J$4:$J$17),""))</f>
        <v>0.358039194701483</v>
      </c>
      <c r="E7" s="11" t="n">
        <f aca="false">IF(SUMPRODUCT(--ISNUMBER(ラグ走査_作業!$F$4:$F$17),--ISNUMBER(企業売上!$K$4:$K$17))&lt;6,"",IFERROR(CORREL(ラグ走査_作業!$F$4:$F$17,企業売上!$K$4:$K$17),""))</f>
        <v>-0.0863242585544385</v>
      </c>
      <c r="F7" s="11" t="n">
        <f aca="false">IF(SUMPRODUCT(--ISNUMBER(ラグ走査_作業!$S$4:$S$17),--ISNUMBER(企業売上!$H$4:$H$17))&lt;6,"",IFERROR(CORREL(ラグ走査_作業!$S$4:$S$17,企業売上!$H$4:$H$17),""))</f>
        <v>-0.0073078177960911</v>
      </c>
      <c r="G7" s="11" t="n">
        <f aca="false">IF(SUMPRODUCT(--ISNUMBER(ラグ走査_作業!$S$4:$S$17),--ISNUMBER(企業売上!$I$4:$I$17))&lt;6,"",IFERROR(CORREL(ラグ走査_作業!$S$4:$S$17,企業売上!$I$4:$I$17),""))</f>
        <v>-0.12871174667142</v>
      </c>
      <c r="H7" s="11" t="n">
        <f aca="false">IF(SUMPRODUCT(--ISNUMBER(ラグ走査_作業!$S$4:$S$17),--ISNUMBER(企業売上!$J$4:$J$17))&lt;6,"",IFERROR(CORREL(ラグ走査_作業!$S$4:$S$17,企業売上!$J$4:$J$17),""))</f>
        <v>-0.485428494648325</v>
      </c>
      <c r="I7" s="11" t="n">
        <f aca="false">IF(SUMPRODUCT(--ISNUMBER(ラグ走査_作業!$S$4:$S$17),--ISNUMBER(企業売上!$K$4:$K$17))&lt;6,"",IFERROR(CORREL(ラグ走査_作業!$S$4:$S$17,企業売上!$K$4:$K$17),""))</f>
        <v>-0.104323199263143</v>
      </c>
      <c r="J7" s="11" t="n">
        <f aca="false">IF(SUMPRODUCT(--ISNUMBER(ラグ走査_作業!$AF$4:$AF$17),--ISNUMBER(企業売上!$H$4:$H$17))&lt;6,"",IFERROR(CORREL(ラグ走査_作業!$AF$4:$AF$17,企業売上!$H$4:$H$17),""))</f>
        <v>0.185615800199042</v>
      </c>
      <c r="K7" s="11" t="n">
        <f aca="false">IF(SUMPRODUCT(--ISNUMBER(ラグ走査_作業!$AF$4:$AF$17),--ISNUMBER(企業売上!$I$4:$I$17))&lt;6,"",IFERROR(CORREL(ラグ走査_作業!$AF$4:$AF$17,企業売上!$I$4:$I$17),""))</f>
        <v>-0.200612413224334</v>
      </c>
      <c r="L7" s="11" t="n">
        <f aca="false">IF(SUMPRODUCT(--ISNUMBER(ラグ走査_作業!$AF$4:$AF$17),--ISNUMBER(企業売上!$J$4:$J$17))&lt;6,"",IFERROR(CORREL(ラグ走査_作業!$AF$4:$AF$17,企業売上!$J$4:$J$17),""))</f>
        <v>0.497412714178237</v>
      </c>
      <c r="M7" s="11" t="n">
        <f aca="false">IF(SUMPRODUCT(--ISNUMBER(ラグ走査_作業!$AF$4:$AF$17),--ISNUMBER(企業売上!$K$4:$K$17))&lt;6,"",IFERROR(CORREL(ラグ走査_作業!$AF$4:$AF$17,企業売上!$K$4:$K$17),""))</f>
        <v>0.153200048211106</v>
      </c>
      <c r="N7" s="11" t="n">
        <f aca="false">IF(SUMPRODUCT(--ISNUMBER(ラグ走査_作業!$AS$4:$AS$17),--ISNUMBER(企業売上!$H$4:$H$17))&lt;6,"",IFERROR(CORREL(ラグ走査_作業!$AS$4:$AS$17,企業売上!$H$4:$H$17),""))</f>
        <v>0.730525025914069</v>
      </c>
      <c r="O7" s="11" t="n">
        <f aca="false">IF(SUMPRODUCT(--ISNUMBER(ラグ走査_作業!$AS$4:$AS$17),--ISNUMBER(企業売上!$I$4:$I$17))&lt;6,"",IFERROR(CORREL(ラグ走査_作業!$AS$4:$AS$17,企業売上!$I$4:$I$17),""))</f>
        <v>0.247900222102668</v>
      </c>
      <c r="P7" s="11" t="n">
        <f aca="false">IF(SUMPRODUCT(--ISNUMBER(ラグ走査_作業!$AS$4:$AS$17),--ISNUMBER(企業売上!$J$4:$J$17))&lt;6,"",IFERROR(CORREL(ラグ走査_作業!$AS$4:$AS$17,企業売上!$J$4:$J$17),""))</f>
        <v>0.45319863301792</v>
      </c>
      <c r="Q7" s="11" t="n">
        <f aca="false">IF(SUMPRODUCT(--ISNUMBER(ラグ走査_作業!$AS$4:$AS$17),--ISNUMBER(企業売上!$K$4:$K$17))&lt;6,"",IFERROR(CORREL(ラグ走査_作業!$AS$4:$AS$17,企業売上!$K$4:$K$17),""))</f>
        <v>0.657632588805529</v>
      </c>
      <c r="R7" s="11" t="n">
        <f aca="false">IF(SUMPRODUCT(--ISNUMBER(ラグ走査_作業!$BF$4:$BF$17),--ISNUMBER(企業売上!$H$4:$H$17))&lt;6,"",IFERROR(CORREL(ラグ走査_作業!$BF$4:$BF$17,企業売上!$H$4:$H$17),""))</f>
        <v>-0.00901146072212426</v>
      </c>
      <c r="S7" s="11" t="n">
        <f aca="false">IF(SUMPRODUCT(--ISNUMBER(ラグ走査_作業!$BF$4:$BF$17),--ISNUMBER(企業売上!$I$4:$I$17))&lt;6,"",IFERROR(CORREL(ラグ走査_作業!$BF$4:$BF$17,企業売上!$I$4:$I$17),""))</f>
        <v>-0.279963212562003</v>
      </c>
      <c r="T7" s="11" t="n">
        <f aca="false">IF(SUMPRODUCT(--ISNUMBER(ラグ走査_作業!$BF$4:$BF$17),--ISNUMBER(企業売上!$J$4:$J$17))&lt;6,"",IFERROR(CORREL(ラグ走査_作業!$BF$4:$BF$17,企業売上!$J$4:$J$17),""))</f>
        <v>0.051946751974274</v>
      </c>
      <c r="U7" s="11" t="n">
        <f aca="false">IF(SUMPRODUCT(--ISNUMBER(ラグ走査_作業!$BF$4:$BF$17),--ISNUMBER(企業売上!$K$4:$K$17))&lt;6,"",IFERROR(CORREL(ラグ走査_作業!$BF$4:$BF$17,企業売上!$K$4:$K$17),""))</f>
        <v>-0.0795000382766617</v>
      </c>
    </row>
    <row r="8" customFormat="false" ht="15" hidden="false" customHeight="false" outlineLevel="0" collapsed="false">
      <c r="A8" s="3" t="n">
        <v>-2</v>
      </c>
      <c r="B8" s="11" t="n">
        <f aca="false">IF(SUMPRODUCT(--ISNUMBER(ラグ走査_作業!$G$4:$G$17),--ISNUMBER(企業売上!$H$4:$H$17))&lt;6,"",IFERROR(CORREL(ラグ走査_作業!$G$4:$G$17,企業売上!$H$4:$H$17),""))</f>
        <v>0.0623554821719692</v>
      </c>
      <c r="C8" s="11" t="n">
        <f aca="false">IF(SUMPRODUCT(--ISNUMBER(ラグ走査_作業!$G$4:$G$17),--ISNUMBER(企業売上!$I$4:$I$17))&lt;6,"",IFERROR(CORREL(ラグ走査_作業!$G$4:$G$17,企業売上!$I$4:$I$17),""))</f>
        <v>-0.0114294004408337</v>
      </c>
      <c r="D8" s="11" t="n">
        <f aca="false">IF(SUMPRODUCT(--ISNUMBER(ラグ走査_作業!$G$4:$G$17),--ISNUMBER(企業売上!$J$4:$J$17))&lt;6,"",IFERROR(CORREL(ラグ走査_作業!$G$4:$G$17,企業売上!$J$4:$J$17),""))</f>
        <v>-0.0988705865049069</v>
      </c>
      <c r="E8" s="11" t="n">
        <f aca="false">IF(SUMPRODUCT(--ISNUMBER(ラグ走査_作業!$G$4:$G$17),--ISNUMBER(企業売上!$K$4:$K$17))&lt;6,"",IFERROR(CORREL(ラグ走査_作業!$G$4:$G$17,企業売上!$K$4:$K$17),""))</f>
        <v>0.0358807069240621</v>
      </c>
      <c r="F8" s="11" t="n">
        <f aca="false">IF(SUMPRODUCT(--ISNUMBER(ラグ走査_作業!$T$4:$T$17),--ISNUMBER(企業売上!$H$4:$H$17))&lt;6,"",IFERROR(CORREL(ラグ走査_作業!$T$4:$T$17,企業売上!$H$4:$H$17),""))</f>
        <v>-0.136795818186006</v>
      </c>
      <c r="G8" s="11" t="n">
        <f aca="false">IF(SUMPRODUCT(--ISNUMBER(ラグ走査_作業!$T$4:$T$17),--ISNUMBER(企業売上!$I$4:$I$17))&lt;6,"",IFERROR(CORREL(ラグ走査_作業!$T$4:$T$17,企業売上!$I$4:$I$17),""))</f>
        <v>-0.280443252260101</v>
      </c>
      <c r="H8" s="11" t="n">
        <f aca="false">IF(SUMPRODUCT(--ISNUMBER(ラグ走査_作業!$T$4:$T$17),--ISNUMBER(企業売上!$J$4:$J$17))&lt;6,"",IFERROR(CORREL(ラグ走査_作業!$T$4:$T$17,企業売上!$J$4:$J$17),""))</f>
        <v>-0.388963886342522</v>
      </c>
      <c r="I8" s="11" t="n">
        <f aca="false">IF(SUMPRODUCT(--ISNUMBER(ラグ走査_作業!$T$4:$T$17),--ISNUMBER(企業売上!$K$4:$K$17))&lt;6,"",IFERROR(CORREL(ラグ走査_作業!$T$4:$T$17,企業売上!$K$4:$K$17),""))</f>
        <v>-0.234744822236544</v>
      </c>
      <c r="J8" s="11" t="n">
        <f aca="false">IF(SUMPRODUCT(--ISNUMBER(ラグ走査_作業!$AG$4:$AG$17),--ISNUMBER(企業売上!$H$4:$H$17))&lt;6,"",IFERROR(CORREL(ラグ走査_作業!$AG$4:$AG$17,企業売上!$H$4:$H$17),""))</f>
        <v>-0.104211620483549</v>
      </c>
      <c r="K8" s="11" t="n">
        <f aca="false">IF(SUMPRODUCT(--ISNUMBER(ラグ走査_作業!$AG$4:$AG$17),--ISNUMBER(企業売上!$I$4:$I$17))&lt;6,"",IFERROR(CORREL(ラグ走査_作業!$AG$4:$AG$17,企業売上!$I$4:$I$17),""))</f>
        <v>-0.482562598943766</v>
      </c>
      <c r="L8" s="11" t="n">
        <f aca="false">IF(SUMPRODUCT(--ISNUMBER(ラグ走査_作業!$AG$4:$AG$17),--ISNUMBER(企業売上!$J$4:$J$17))&lt;6,"",IFERROR(CORREL(ラグ走査_作業!$AG$4:$AG$17,企業売上!$J$4:$J$17),""))</f>
        <v>0.353886464192159</v>
      </c>
      <c r="M8" s="11" t="n">
        <f aca="false">IF(SUMPRODUCT(--ISNUMBER(ラグ走査_作業!$AG$4:$AG$17),--ISNUMBER(企業売上!$K$4:$K$17))&lt;6,"",IFERROR(CORREL(ラグ走査_作業!$AG$4:$AG$17,企業売上!$K$4:$K$17),""))</f>
        <v>-0.16179020722523</v>
      </c>
      <c r="N8" s="11" t="n">
        <f aca="false">IF(SUMPRODUCT(--ISNUMBER(ラグ走査_作業!$AT$4:$AT$17),--ISNUMBER(企業売上!$H$4:$H$17))&lt;6,"",IFERROR(CORREL(ラグ走査_作業!$AT$4:$AT$17,企業売上!$H$4:$H$17),""))</f>
        <v>0.382698266592947</v>
      </c>
      <c r="O8" s="11" t="n">
        <f aca="false">IF(SUMPRODUCT(--ISNUMBER(ラグ走査_作業!$AT$4:$AT$17),--ISNUMBER(企業売上!$I$4:$I$17))&lt;6,"",IFERROR(CORREL(ラグ走査_作業!$AT$4:$AT$17,企業売上!$I$4:$I$17),""))</f>
        <v>0.614731698869492</v>
      </c>
      <c r="P8" s="11" t="n">
        <f aca="false">IF(SUMPRODUCT(--ISNUMBER(ラグ走査_作業!$AT$4:$AT$17),--ISNUMBER(企業売上!$J$4:$J$17))&lt;6,"",IFERROR(CORREL(ラグ走査_作業!$AT$4:$AT$17,企業売上!$J$4:$J$17),""))</f>
        <v>-0.0474132298392253</v>
      </c>
      <c r="Q8" s="11" t="n">
        <f aca="false">IF(SUMPRODUCT(--ISNUMBER(ラグ走査_作業!$AT$4:$AT$17),--ISNUMBER(企業売上!$K$4:$K$17))&lt;6,"",IFERROR(CORREL(ラグ走査_作業!$AT$4:$AT$17,企業売上!$K$4:$K$17),""))</f>
        <v>0.43181164301903</v>
      </c>
      <c r="R8" s="11" t="n">
        <f aca="false">IF(SUMPRODUCT(--ISNUMBER(ラグ走査_作業!$BG$4:$BG$17),--ISNUMBER(企業売上!$H$4:$H$17))&lt;6,"",IFERROR(CORREL(ラグ走査_作業!$BG$4:$BG$17,企業売上!$H$4:$H$17),""))</f>
        <v>-0.0732160088379346</v>
      </c>
      <c r="S8" s="11" t="n">
        <f aca="false">IF(SUMPRODUCT(--ISNUMBER(ラグ走査_作業!$BG$4:$BG$17),--ISNUMBER(企業売上!$I$4:$I$17))&lt;6,"",IFERROR(CORREL(ラグ走査_作業!$BG$4:$BG$17,企業売上!$I$4:$I$17),""))</f>
        <v>-0.268230790564387</v>
      </c>
      <c r="T8" s="11" t="n">
        <f aca="false">IF(SUMPRODUCT(--ISNUMBER(ラグ走査_作業!$BG$4:$BG$17),--ISNUMBER(企業売上!$J$4:$J$17))&lt;6,"",IFERROR(CORREL(ラグ走査_作業!$BG$4:$BG$17,企業売上!$J$4:$J$17),""))</f>
        <v>-0.132848385105279</v>
      </c>
      <c r="U8" s="11" t="n">
        <f aca="false">IF(SUMPRODUCT(--ISNUMBER(ラグ走査_作業!$BG$4:$BG$17),--ISNUMBER(企業売上!$K$4:$K$17))&lt;6,"",IFERROR(CORREL(ラグ走査_作業!$BG$4:$BG$17,企業売上!$K$4:$K$17),""))</f>
        <v>-0.146272019247815</v>
      </c>
    </row>
    <row r="9" customFormat="false" ht="15" hidden="false" customHeight="false" outlineLevel="0" collapsed="false">
      <c r="A9" s="3" t="n">
        <v>-1</v>
      </c>
      <c r="B9" s="11" t="n">
        <f aca="false">IF(SUMPRODUCT(--ISNUMBER(ラグ走査_作業!$H$4:$H$17),--ISNUMBER(企業売上!$H$4:$H$17))&lt;6,"",IFERROR(CORREL(ラグ走査_作業!$H$4:$H$17,企業売上!$H$4:$H$17),""))</f>
        <v>0.114964104467916</v>
      </c>
      <c r="C9" s="11" t="n">
        <f aca="false">IF(SUMPRODUCT(--ISNUMBER(ラグ走査_作業!$H$4:$H$17),--ISNUMBER(企業売上!$I$4:$I$17))&lt;6,"",IFERROR(CORREL(ラグ走査_作業!$H$4:$H$17,企業売上!$I$4:$I$17),""))</f>
        <v>0.137978914143192</v>
      </c>
      <c r="D9" s="11" t="n">
        <f aca="false">IF(SUMPRODUCT(--ISNUMBER(ラグ走査_作業!$H$4:$H$17),--ISNUMBER(企業売上!$J$4:$J$17))&lt;6,"",IFERROR(CORREL(ラグ走査_作業!$H$4:$H$17,企業売上!$J$4:$J$17),""))</f>
        <v>-0.439093573787715</v>
      </c>
      <c r="E9" s="11" t="n">
        <f aca="false">IF(SUMPRODUCT(--ISNUMBER(ラグ走査_作業!$H$4:$H$17),--ISNUMBER(企業売上!$K$4:$K$17))&lt;6,"",IFERROR(CORREL(ラグ走査_作業!$H$4:$H$17,企業売上!$K$4:$K$17),""))</f>
        <v>0.0770194964812225</v>
      </c>
      <c r="F9" s="11" t="n">
        <f aca="false">IF(SUMPRODUCT(--ISNUMBER(ラグ走査_作業!$U$4:$U$17),--ISNUMBER(企業売上!$H$4:$H$17))&lt;6,"",IFERROR(CORREL(ラグ走査_作業!$U$4:$U$17,企業売上!$H$4:$H$17),""))</f>
        <v>-0.29703547102318</v>
      </c>
      <c r="G9" s="11" t="n">
        <f aca="false">IF(SUMPRODUCT(--ISNUMBER(ラグ走査_作業!$U$4:$U$17),--ISNUMBER(企業売上!$I$4:$I$17))&lt;6,"",IFERROR(CORREL(ラグ走査_作業!$U$4:$U$17,企業売上!$I$4:$I$17),""))</f>
        <v>-0.640753584424488</v>
      </c>
      <c r="H9" s="11" t="n">
        <f aca="false">IF(SUMPRODUCT(--ISNUMBER(ラグ走査_作業!$U$4:$U$17),--ISNUMBER(企業売上!$J$4:$J$17))&lt;6,"",IFERROR(CORREL(ラグ走査_作業!$U$4:$U$17,企業売上!$J$4:$J$17),""))</f>
        <v>-0.323422377940079</v>
      </c>
      <c r="I9" s="11" t="n">
        <f aca="false">IF(SUMPRODUCT(--ISNUMBER(ラグ走査_作業!$U$4:$U$17),--ISNUMBER(企業売上!$K$4:$K$17))&lt;6,"",IFERROR(CORREL(ラグ走査_作業!$U$4:$U$17,企業売上!$K$4:$K$17),""))</f>
        <v>-0.452382018580703</v>
      </c>
      <c r="J9" s="11" t="n">
        <f aca="false">IF(SUMPRODUCT(--ISNUMBER(ラグ走査_作業!$AH$4:$AH$17),--ISNUMBER(企業売上!$H$4:$H$17))&lt;6,"",IFERROR(CORREL(ラグ走査_作業!$AH$4:$AH$17,企業売上!$H$4:$H$17),""))</f>
        <v>-0.339874598215168</v>
      </c>
      <c r="K9" s="11" t="n">
        <f aca="false">IF(SUMPRODUCT(--ISNUMBER(ラグ走査_作業!$AH$4:$AH$17),--ISNUMBER(企業売上!$I$4:$I$17))&lt;6,"",IFERROR(CORREL(ラグ走査_作業!$AH$4:$AH$17,企業売上!$I$4:$I$17),""))</f>
        <v>-0.656256788207851</v>
      </c>
      <c r="L9" s="11" t="n">
        <f aca="false">IF(SUMPRODUCT(--ISNUMBER(ラグ走査_作業!$AH$4:$AH$17),--ISNUMBER(企業売上!$J$4:$J$17))&lt;6,"",IFERROR(CORREL(ラグ走査_作業!$AH$4:$AH$17,企業売上!$J$4:$J$17),""))</f>
        <v>-0.121093714986163</v>
      </c>
      <c r="M9" s="11" t="n">
        <f aca="false">IF(SUMPRODUCT(--ISNUMBER(ラグ走査_作業!$AH$4:$AH$17),--ISNUMBER(企業売上!$K$4:$K$17))&lt;6,"",IFERROR(CORREL(ラグ走査_作業!$AH$4:$AH$17,企業売上!$K$4:$K$17),""))</f>
        <v>-0.450754872921586</v>
      </c>
      <c r="N9" s="11" t="n">
        <f aca="false">IF(SUMPRODUCT(--ISNUMBER(ラグ走査_作業!$AU$4:$AU$17),--ISNUMBER(企業売上!$H$4:$H$17))&lt;6,"",IFERROR(CORREL(ラグ走査_作業!$AU$4:$AU$17,企業売上!$H$4:$H$17),""))</f>
        <v>0.260546082568549</v>
      </c>
      <c r="O9" s="11" t="n">
        <f aca="false">IF(SUMPRODUCT(--ISNUMBER(ラグ走査_作業!$AU$4:$AU$17),--ISNUMBER(企業売上!$I$4:$I$17))&lt;6,"",IFERROR(CORREL(ラグ走査_作業!$AU$4:$AU$17,企業売上!$I$4:$I$17),""))</f>
        <v>0.437509017668113</v>
      </c>
      <c r="P9" s="11" t="n">
        <f aca="false">IF(SUMPRODUCT(--ISNUMBER(ラグ走査_作業!$AU$4:$AU$17),--ISNUMBER(企業売上!$J$4:$J$17))&lt;6,"",IFERROR(CORREL(ラグ走査_作業!$AU$4:$AU$17,企業売上!$J$4:$J$17),""))</f>
        <v>0.106176127938348</v>
      </c>
      <c r="Q9" s="11" t="n">
        <f aca="false">IF(SUMPRODUCT(--ISNUMBER(ラグ走査_作業!$AU$4:$AU$17),--ISNUMBER(企業売上!$K$4:$K$17))&lt;6,"",IFERROR(CORREL(ラグ走査_作業!$AU$4:$AU$17,企業売上!$K$4:$K$17),""))</f>
        <v>0.316715674791402</v>
      </c>
      <c r="R9" s="11" t="n">
        <f aca="false">IF(SUMPRODUCT(--ISNUMBER(ラグ走査_作業!$BH$4:$BH$17),--ISNUMBER(企業売上!$H$4:$H$17))&lt;6,"",IFERROR(CORREL(ラグ走査_作業!$BH$4:$BH$17,企業売上!$H$4:$H$17),""))</f>
        <v>-0.190808440656236</v>
      </c>
      <c r="S9" s="11" t="n">
        <f aca="false">IF(SUMPRODUCT(--ISNUMBER(ラグ走査_作業!$BH$4:$BH$17),--ISNUMBER(企業売上!$I$4:$I$17))&lt;6,"",IFERROR(CORREL(ラグ走査_作業!$BH$4:$BH$17,企業売上!$I$4:$I$17),""))</f>
        <v>-0.464059756881173</v>
      </c>
      <c r="T9" s="11" t="n">
        <f aca="false">IF(SUMPRODUCT(--ISNUMBER(ラグ走査_作業!$BH$4:$BH$17),--ISNUMBER(企業売上!$J$4:$J$17))&lt;6,"",IFERROR(CORREL(ラグ走査_作業!$BH$4:$BH$17,企業売上!$J$4:$J$17),""))</f>
        <v>-0.392081732765055</v>
      </c>
      <c r="U9" s="11" t="n">
        <f aca="false">IF(SUMPRODUCT(--ISNUMBER(ラグ走査_作業!$BH$4:$BH$17),--ISNUMBER(企業売上!$K$4:$K$17))&lt;6,"",IFERROR(CORREL(ラグ走査_作業!$BH$4:$BH$17,企業売上!$K$4:$K$17),""))</f>
        <v>-0.323847478757155</v>
      </c>
    </row>
    <row r="10" customFormat="false" ht="15" hidden="false" customHeight="false" outlineLevel="0" collapsed="false">
      <c r="A10" s="3" t="n">
        <v>0</v>
      </c>
      <c r="B10" s="11" t="n">
        <f aca="false">IF(SUMPRODUCT(--ISNUMBER(ラグ走査_作業!$I$4:$I$17),--ISNUMBER(企業売上!$H$4:$H$17))&lt;6,"",IFERROR(CORREL(ラグ走査_作業!$I$4:$I$17,企業売上!$H$4:$H$17),""))</f>
        <v>0.193542433043959</v>
      </c>
      <c r="C10" s="11" t="n">
        <f aca="false">IF(SUMPRODUCT(--ISNUMBER(ラグ走査_作業!$I$4:$I$17),--ISNUMBER(企業売上!$I$4:$I$17))&lt;6,"",IFERROR(CORREL(ラグ走査_作業!$I$4:$I$17,企業売上!$I$4:$I$17),""))</f>
        <v>0.386158580352592</v>
      </c>
      <c r="D10" s="11" t="n">
        <f aca="false">IF(SUMPRODUCT(--ISNUMBER(ラグ走査_作業!$I$4:$I$17),--ISNUMBER(企業売上!$J$4:$J$17))&lt;6,"",IFERROR(CORREL(ラグ走査_作業!$I$4:$I$17,企業売上!$J$4:$J$17),""))</f>
        <v>-0.517732294542479</v>
      </c>
      <c r="E10" s="11" t="n">
        <f aca="false">IF(SUMPRODUCT(--ISNUMBER(ラグ走査_作業!$I$4:$I$17),--ISNUMBER(企業売上!$K$4:$K$17))&lt;6,"",IFERROR(CORREL(ラグ走査_作業!$I$4:$I$17,企業売上!$K$4:$K$17),""))</f>
        <v>0.291838014439082</v>
      </c>
      <c r="F10" s="11" t="n">
        <f aca="false">IF(SUMPRODUCT(--ISNUMBER(ラグ走査_作業!$V$4:$V$17),--ISNUMBER(企業売上!$H$4:$H$17))&lt;6,"",IFERROR(CORREL(ラグ走査_作業!$V$4:$V$17,企業売上!$H$4:$H$17),""))</f>
        <v>0.107764509504146</v>
      </c>
      <c r="G10" s="11" t="n">
        <f aca="false">IF(SUMPRODUCT(--ISNUMBER(ラグ走査_作業!$V$4:$V$17),--ISNUMBER(企業売上!$I$4:$I$17))&lt;6,"",IFERROR(CORREL(ラグ走査_作業!$V$4:$V$17,企業売上!$I$4:$I$17),""))</f>
        <v>-0.253996613956098</v>
      </c>
      <c r="H10" s="11" t="n">
        <f aca="false">IF(SUMPRODUCT(--ISNUMBER(ラグ走査_作業!$V$4:$V$17),--ISNUMBER(企業売上!$J$4:$J$17))&lt;6,"",IFERROR(CORREL(ラグ走査_作業!$V$4:$V$17,企業売上!$J$4:$J$17),""))</f>
        <v>-0.156568834200494</v>
      </c>
      <c r="I10" s="11" t="n">
        <f aca="false">IF(SUMPRODUCT(--ISNUMBER(ラグ走査_作業!$V$4:$V$17),--ISNUMBER(企業売上!$K$4:$K$17))&lt;6,"",IFERROR(CORREL(ラグ走査_作業!$V$4:$V$17,企業売上!$K$4:$K$17),""))</f>
        <v>-0.320436181782415</v>
      </c>
      <c r="J10" s="11" t="n">
        <f aca="false">IF(SUMPRODUCT(--ISNUMBER(ラグ走査_作業!$AI$4:$AI$17),--ISNUMBER(企業売上!$H$4:$H$17))&lt;6,"",IFERROR(CORREL(ラグ走査_作業!$AI$4:$AI$17,企業売上!$H$4:$H$17),""))</f>
        <v>-0.191752247027739</v>
      </c>
      <c r="K10" s="11" t="n">
        <f aca="false">IF(SUMPRODUCT(--ISNUMBER(ラグ走査_作業!$AI$4:$AI$17),--ISNUMBER(企業売上!$I$4:$I$17))&lt;6,"",IFERROR(CORREL(ラグ走査_作業!$AI$4:$AI$17,企業売上!$I$4:$I$17),""))</f>
        <v>-0.212131355196528</v>
      </c>
      <c r="L10" s="11" t="n">
        <f aca="false">IF(SUMPRODUCT(--ISNUMBER(ラグ走査_作業!$AI$4:$AI$17),--ISNUMBER(企業売上!$J$4:$J$17))&lt;6,"",IFERROR(CORREL(ラグ走査_作業!$AI$4:$AI$17,企業売上!$J$4:$J$17),""))</f>
        <v>-0.413640616386292</v>
      </c>
      <c r="M10" s="11" t="n">
        <f aca="false">IF(SUMPRODUCT(--ISNUMBER(ラグ走査_作業!$AI$4:$AI$17),--ISNUMBER(企業売上!$K$4:$K$17))&lt;6,"",IFERROR(CORREL(ラグ走査_作業!$AI$4:$AI$17,企業売上!$K$4:$K$17),""))</f>
        <v>-0.00693334629722668</v>
      </c>
      <c r="N10" s="11" t="n">
        <f aca="false">IF(SUMPRODUCT(--ISNUMBER(ラグ走査_作業!$AV$4:$AV$17),--ISNUMBER(企業売上!$H$4:$H$17))&lt;6,"",IFERROR(CORREL(ラグ走査_作業!$AV$4:$AV$17,企業売上!$H$4:$H$17),""))</f>
        <v>-0.144226614412171</v>
      </c>
      <c r="O10" s="11" t="n">
        <f aca="false">IF(SUMPRODUCT(--ISNUMBER(ラグ走査_作業!$AV$4:$AV$17),--ISNUMBER(企業売上!$I$4:$I$17))&lt;6,"",IFERROR(CORREL(ラグ走査_作業!$AV$4:$AV$17,企業売上!$I$4:$I$17),""))</f>
        <v>0.201506685263398</v>
      </c>
      <c r="P10" s="11" t="n">
        <f aca="false">IF(SUMPRODUCT(--ISNUMBER(ラグ走査_作業!$AV$4:$AV$17),--ISNUMBER(企業売上!$J$4:$J$17))&lt;6,"",IFERROR(CORREL(ラグ走査_作業!$AV$4:$AV$17,企業売上!$J$4:$J$17),""))</f>
        <v>-0.203087740460733</v>
      </c>
      <c r="Q10" s="11" t="n">
        <f aca="false">IF(SUMPRODUCT(--ISNUMBER(ラグ走査_作業!$AV$4:$AV$17),--ISNUMBER(企業売上!$K$4:$K$17))&lt;6,"",IFERROR(CORREL(ラグ走査_作業!$AV$4:$AV$17,企業売上!$K$4:$K$17),""))</f>
        <v>0.0674562393527615</v>
      </c>
      <c r="R10" s="11" t="n">
        <f aca="false">IF(SUMPRODUCT(--ISNUMBER(ラグ走査_作業!$BI$4:$BI$17),--ISNUMBER(企業売上!$H$4:$H$17))&lt;6,"",IFERROR(CORREL(ラグ走査_作業!$BI$4:$BI$17,企業売上!$H$4:$H$17),""))</f>
        <v>0.0475208253582032</v>
      </c>
      <c r="S10" s="11" t="n">
        <f aca="false">IF(SUMPRODUCT(--ISNUMBER(ラグ走査_作業!$BI$4:$BI$17),--ISNUMBER(企業売上!$I$4:$I$17))&lt;6,"",IFERROR(CORREL(ラグ走査_作業!$BI$4:$BI$17,企業売上!$I$4:$I$17),""))</f>
        <v>-0.0565367030610564</v>
      </c>
      <c r="T10" s="11" t="n">
        <f aca="false">IF(SUMPRODUCT(--ISNUMBER(ラグ走査_作業!$BI$4:$BI$17),--ISNUMBER(企業売上!$J$4:$J$17))&lt;6,"",IFERROR(CORREL(ラグ走査_作業!$BI$4:$BI$17,企業売上!$J$4:$J$17),""))</f>
        <v>-0.454489824107584</v>
      </c>
      <c r="U10" s="11" t="n">
        <f aca="false">IF(SUMPRODUCT(--ISNUMBER(ラグ走査_作業!$BI$4:$BI$17),--ISNUMBER(企業売上!$K$4:$K$17))&lt;6,"",IFERROR(CORREL(ラグ走査_作業!$BI$4:$BI$17,企業売上!$K$4:$K$17),""))</f>
        <v>-0.0634378759358102</v>
      </c>
    </row>
    <row r="11" customFormat="false" ht="15" hidden="false" customHeight="false" outlineLevel="0" collapsed="false">
      <c r="A11" s="3" t="n">
        <v>1</v>
      </c>
      <c r="B11" s="11" t="n">
        <f aca="false">IF(SUMPRODUCT(--ISNUMBER(ラグ走査_作業!$J$4:$J$17),--ISNUMBER(企業売上!$H$4:$H$17))&lt;6,"",IFERROR(CORREL(ラグ走査_作業!$J$4:$J$17,企業売上!$H$4:$H$17),""))</f>
        <v>0.151833829865429</v>
      </c>
      <c r="C11" s="11" t="n">
        <f aca="false">IF(SUMPRODUCT(--ISNUMBER(ラグ走査_作業!$J$4:$J$17),--ISNUMBER(企業売上!$I$4:$I$17))&lt;6,"",IFERROR(CORREL(ラグ走査_作業!$J$4:$J$17,企業売上!$I$4:$I$17),""))</f>
        <v>0.178292191519776</v>
      </c>
      <c r="D11" s="11" t="n">
        <f aca="false">IF(SUMPRODUCT(--ISNUMBER(ラグ走査_作業!$J$4:$J$17),--ISNUMBER(企業売上!$J$4:$J$17))&lt;6,"",IFERROR(CORREL(ラグ走査_作業!$J$4:$J$17,企業売上!$J$4:$J$17),""))</f>
        <v>-0.47186428903915</v>
      </c>
      <c r="E11" s="11" t="n">
        <f aca="false">IF(SUMPRODUCT(--ISNUMBER(ラグ走査_作業!$J$4:$J$17),--ISNUMBER(企業売上!$K$4:$K$17))&lt;6,"",IFERROR(CORREL(ラグ走査_作業!$J$4:$J$17,企業売上!$K$4:$K$17),""))</f>
        <v>0.0375793847904845</v>
      </c>
      <c r="F11" s="11" t="n">
        <f aca="false">IF(SUMPRODUCT(--ISNUMBER(ラグ走査_作業!$W$4:$W$17),--ISNUMBER(企業売上!$H$4:$H$17))&lt;6,"",IFERROR(CORREL(ラグ走査_作業!$W$4:$W$17,企業売上!$H$4:$H$17),""))</f>
        <v>0.268501510549153</v>
      </c>
      <c r="G11" s="11" t="n">
        <f aca="false">IF(SUMPRODUCT(--ISNUMBER(ラグ走査_作業!$W$4:$W$17),--ISNUMBER(企業売上!$I$4:$I$17))&lt;6,"",IFERROR(CORREL(ラグ走査_作業!$W$4:$W$17,企業売上!$I$4:$I$17),""))</f>
        <v>0.0558730841717174</v>
      </c>
      <c r="H11" s="11" t="n">
        <f aca="false">IF(SUMPRODUCT(--ISNUMBER(ラグ走査_作業!$W$4:$W$17),--ISNUMBER(企業売上!$J$4:$J$17))&lt;6,"",IFERROR(CORREL(ラグ走査_作業!$W$4:$W$17,企業売上!$J$4:$J$17),""))</f>
        <v>-0.109383170262728</v>
      </c>
      <c r="I11" s="11" t="n">
        <f aca="false">IF(SUMPRODUCT(--ISNUMBER(ラグ走査_作業!$W$4:$W$17),--ISNUMBER(企業売上!$K$4:$K$17))&lt;6,"",IFERROR(CORREL(ラグ走査_作業!$W$4:$W$17,企業売上!$K$4:$K$17),""))</f>
        <v>0.0312697788607118</v>
      </c>
      <c r="J11" s="11" t="n">
        <f aca="false">IF(SUMPRODUCT(--ISNUMBER(ラグ走査_作業!$AJ$4:$AJ$17),--ISNUMBER(企業売上!$H$4:$H$17))&lt;6,"",IFERROR(CORREL(ラグ走査_作業!$AJ$4:$AJ$17,企業売上!$H$4:$H$17),""))</f>
        <v>0.367864122744508</v>
      </c>
      <c r="K11" s="11" t="n">
        <f aca="false">IF(SUMPRODUCT(--ISNUMBER(ラグ走査_作業!$AJ$4:$AJ$17),--ISNUMBER(企業売上!$I$4:$I$17))&lt;6,"",IFERROR(CORREL(ラグ走査_作業!$AJ$4:$AJ$17,企業売上!$I$4:$I$17),""))</f>
        <v>0.253813841788797</v>
      </c>
      <c r="L11" s="11" t="n">
        <f aca="false">IF(SUMPRODUCT(--ISNUMBER(ラグ走査_作業!$AJ$4:$AJ$17),--ISNUMBER(企業売上!$J$4:$J$17))&lt;6,"",IFERROR(CORREL(ラグ走査_作業!$AJ$4:$AJ$17,企業売上!$J$4:$J$17),""))</f>
        <v>-0.168664841224328</v>
      </c>
      <c r="M11" s="11" t="n">
        <f aca="false">IF(SUMPRODUCT(--ISNUMBER(ラグ走査_作業!$AJ$4:$AJ$17),--ISNUMBER(企業売上!$K$4:$K$17))&lt;6,"",IFERROR(CORREL(ラグ走査_作業!$AJ$4:$AJ$17,企業売上!$K$4:$K$17),""))</f>
        <v>0.493367936505182</v>
      </c>
      <c r="N11" s="11" t="n">
        <f aca="false">IF(SUMPRODUCT(--ISNUMBER(ラグ走査_作業!$AW$4:$AW$17),--ISNUMBER(企業売上!$H$4:$H$17))&lt;6,"",IFERROR(CORREL(ラグ走査_作業!$AW$4:$AW$17,企業売上!$H$4:$H$17),""))</f>
        <v>-0.23452488403918</v>
      </c>
      <c r="O11" s="11" t="n">
        <f aca="false">IF(SUMPRODUCT(--ISNUMBER(ラグ走査_作業!$AW$4:$AW$17),--ISNUMBER(企業売上!$I$4:$I$17))&lt;6,"",IFERROR(CORREL(ラグ走査_作業!$AW$4:$AW$17,企業売上!$I$4:$I$17),""))</f>
        <v>-0.37385749974089</v>
      </c>
      <c r="P11" s="11" t="n">
        <f aca="false">IF(SUMPRODUCT(--ISNUMBER(ラグ走査_作業!$AW$4:$AW$17),--ISNUMBER(企業売上!$J$4:$J$17))&lt;6,"",IFERROR(CORREL(ラグ走査_作業!$AW$4:$AW$17,企業売上!$J$4:$J$17),""))</f>
        <v>-0.345453628691639</v>
      </c>
      <c r="Q11" s="11" t="n">
        <f aca="false">IF(SUMPRODUCT(--ISNUMBER(ラグ走査_作業!$AW$4:$AW$17),--ISNUMBER(企業売上!$K$4:$K$17))&lt;6,"",IFERROR(CORREL(ラグ走査_作業!$AW$4:$AW$17,企業売上!$K$4:$K$17),""))</f>
        <v>-0.316766786917798</v>
      </c>
      <c r="R11" s="11" t="n">
        <f aca="false">IF(SUMPRODUCT(--ISNUMBER(ラグ走査_作業!$BJ$4:$BJ$17),--ISNUMBER(企業売上!$H$4:$H$17))&lt;6,"",IFERROR(CORREL(ラグ走査_作業!$BJ$4:$BJ$17,企業売上!$H$4:$H$17),""))</f>
        <v>0.240773962519872</v>
      </c>
      <c r="S11" s="11" t="n">
        <f aca="false">IF(SUMPRODUCT(--ISNUMBER(ラグ走査_作業!$BJ$4:$BJ$17),--ISNUMBER(企業売上!$I$4:$I$17))&lt;6,"",IFERROR(CORREL(ラグ走査_作業!$BJ$4:$BJ$17,企業売上!$I$4:$I$17),""))</f>
        <v>0.134603325881795</v>
      </c>
      <c r="T11" s="11" t="n">
        <f aca="false">IF(SUMPRODUCT(--ISNUMBER(ラグ走査_作業!$BJ$4:$BJ$17),--ISNUMBER(企業売上!$J$4:$J$17))&lt;6,"",IFERROR(CORREL(ラグ走査_作業!$BJ$4:$BJ$17,企業売上!$J$4:$J$17),""))</f>
        <v>-0.334916716207278</v>
      </c>
      <c r="U11" s="11" t="n">
        <f aca="false">IF(SUMPRODUCT(--ISNUMBER(ラグ走査_作業!$BJ$4:$BJ$17),--ISNUMBER(企業売上!$K$4:$K$17))&lt;6,"",IFERROR(CORREL(ラグ走査_作業!$BJ$4:$BJ$17,企業売上!$K$4:$K$17),""))</f>
        <v>0.107016233525926</v>
      </c>
    </row>
    <row r="12" customFormat="false" ht="15" hidden="false" customHeight="false" outlineLevel="0" collapsed="false">
      <c r="A12" s="3" t="n">
        <v>2</v>
      </c>
      <c r="B12" s="11" t="n">
        <f aca="false">IF(SUMPRODUCT(--ISNUMBER(ラグ走査_作業!$K$4:$K$17),--ISNUMBER(企業売上!$H$4:$H$17))&lt;6,"",IFERROR(CORREL(ラグ走査_作業!$K$4:$K$17,企業売上!$H$4:$H$17),""))</f>
        <v>0.265061015069998</v>
      </c>
      <c r="C12" s="11" t="n">
        <f aca="false">IF(SUMPRODUCT(--ISNUMBER(ラグ走査_作業!$K$4:$K$17),--ISNUMBER(企業売上!$I$4:$I$17))&lt;6,"",IFERROR(CORREL(ラグ走査_作業!$K$4:$K$17,企業売上!$I$4:$I$17),""))</f>
        <v>0.134408355393331</v>
      </c>
      <c r="D12" s="11" t="n">
        <f aca="false">IF(SUMPRODUCT(--ISNUMBER(ラグ走査_作業!$K$4:$K$17),--ISNUMBER(企業売上!$J$4:$J$17))&lt;6,"",IFERROR(CORREL(ラグ走査_作業!$K$4:$K$17,企業売上!$J$4:$J$17),""))</f>
        <v>-0.182109550322049</v>
      </c>
      <c r="E12" s="11" t="n">
        <f aca="false">IF(SUMPRODUCT(--ISNUMBER(ラグ走査_作業!$K$4:$K$17),--ISNUMBER(企業売上!$K$4:$K$17))&lt;6,"",IFERROR(CORREL(ラグ走査_作業!$K$4:$K$17,企業売上!$K$4:$K$17),""))</f>
        <v>0.0174511312967141</v>
      </c>
      <c r="F12" s="11" t="n">
        <f aca="false">IF(SUMPRODUCT(--ISNUMBER(ラグ走査_作業!$X$4:$X$17),--ISNUMBER(企業売上!$H$4:$H$17))&lt;6,"",IFERROR(CORREL(ラグ走査_作業!$X$4:$X$17,企業売上!$H$4:$H$17),""))</f>
        <v>0.791902909550592</v>
      </c>
      <c r="G12" s="11" t="n">
        <f aca="false">IF(SUMPRODUCT(--ISNUMBER(ラグ走査_作業!$X$4:$X$17),--ISNUMBER(企業売上!$I$4:$I$17))&lt;6,"",IFERROR(CORREL(ラグ走査_作業!$X$4:$X$17,企業売上!$I$4:$I$17),""))</f>
        <v>0.44941464091561</v>
      </c>
      <c r="H12" s="11" t="n">
        <f aca="false">IF(SUMPRODUCT(--ISNUMBER(ラグ走査_作業!$X$4:$X$17),--ISNUMBER(企業売上!$J$4:$J$17))&lt;6,"",IFERROR(CORREL(ラグ走査_作業!$X$4:$X$17,企業売上!$J$4:$J$17),""))</f>
        <v>0.196144291406724</v>
      </c>
      <c r="I12" s="11" t="n">
        <f aca="false">IF(SUMPRODUCT(--ISNUMBER(ラグ走査_作業!$X$4:$X$17),--ISNUMBER(企業売上!$K$4:$K$17))&lt;6,"",IFERROR(CORREL(ラグ走査_作業!$X$4:$X$17,企業売上!$K$4:$K$17),""))</f>
        <v>0.563087439569279</v>
      </c>
      <c r="J12" s="11" t="n">
        <f aca="false">IF(SUMPRODUCT(--ISNUMBER(ラグ走査_作業!$AK$4:$AK$17),--ISNUMBER(企業売上!$H$4:$H$17))&lt;6,"",IFERROR(CORREL(ラグ走査_作業!$AK$4:$AK$17,企業売上!$H$4:$H$17),""))</f>
        <v>0.689537796834836</v>
      </c>
      <c r="K12" s="11" t="n">
        <f aca="false">IF(SUMPRODUCT(--ISNUMBER(ラグ走査_作業!$AK$4:$AK$17),--ISNUMBER(企業売上!$I$4:$I$17))&lt;6,"",IFERROR(CORREL(ラグ走査_作業!$AK$4:$AK$17,企業売上!$I$4:$I$17),""))</f>
        <v>0.497718294852646</v>
      </c>
      <c r="L12" s="11" t="n">
        <f aca="false">IF(SUMPRODUCT(--ISNUMBER(ラグ走査_作業!$AK$4:$AK$17),--ISNUMBER(企業売上!$J$4:$J$17))&lt;6,"",IFERROR(CORREL(ラグ走査_作業!$AK$4:$AK$17,企業売上!$J$4:$J$17),""))</f>
        <v>0.258434627575861</v>
      </c>
      <c r="M12" s="11" t="n">
        <f aca="false">IF(SUMPRODUCT(--ISNUMBER(ラグ走査_作業!$AK$4:$AK$17),--ISNUMBER(企業売上!$K$4:$K$17))&lt;6,"",IFERROR(CORREL(ラグ走査_作業!$AK$4:$AK$17,企業売上!$K$4:$K$17),""))</f>
        <v>0.673899839561144</v>
      </c>
      <c r="N12" s="11" t="n">
        <f aca="false">IF(SUMPRODUCT(--ISNUMBER(ラグ走査_作業!$AX$4:$AX$17),--ISNUMBER(企業売上!$H$4:$H$17))&lt;6,"",IFERROR(CORREL(ラグ走査_作業!$AX$4:$AX$17,企業売上!$H$4:$H$17),""))</f>
        <v>-0.00925539666215794</v>
      </c>
      <c r="O12" s="11" t="n">
        <f aca="false">IF(SUMPRODUCT(--ISNUMBER(ラグ走査_作業!$AX$4:$AX$17),--ISNUMBER(企業売上!$I$4:$I$17))&lt;6,"",IFERROR(CORREL(ラグ走査_作業!$AX$4:$AX$17,企業売上!$I$4:$I$17),""))</f>
        <v>-0.105899508098242</v>
      </c>
      <c r="P12" s="11" t="n">
        <f aca="false">IF(SUMPRODUCT(--ISNUMBER(ラグ走査_作業!$AX$4:$AX$17),--ISNUMBER(企業売上!$J$4:$J$17))&lt;6,"",IFERROR(CORREL(ラグ走査_作業!$AX$4:$AX$17,企業売上!$J$4:$J$17),""))</f>
        <v>-0.412422085061542</v>
      </c>
      <c r="Q12" s="11" t="n">
        <f aca="false">IF(SUMPRODUCT(--ISNUMBER(ラグ走査_作業!$AX$4:$AX$17),--ISNUMBER(企業売上!$K$4:$K$17))&lt;6,"",IFERROR(CORREL(ラグ走査_作業!$AX$4:$AX$17,企業売上!$K$4:$K$17),""))</f>
        <v>-0.0927834603934262</v>
      </c>
      <c r="R12" s="11" t="n">
        <f aca="false">IF(SUMPRODUCT(--ISNUMBER(ラグ走査_作業!$BK$4:$BK$17),--ISNUMBER(企業売上!$H$4:$H$17))&lt;6,"",IFERROR(CORREL(ラグ走査_作業!$BK$4:$BK$17,企業売上!$H$4:$H$17),""))</f>
        <v>0.687783423297353</v>
      </c>
      <c r="S12" s="11" t="n">
        <f aca="false">IF(SUMPRODUCT(--ISNUMBER(ラグ走査_作業!$BK$4:$BK$17),--ISNUMBER(企業売上!$I$4:$I$17))&lt;6,"",IFERROR(CORREL(ラグ走査_作業!$BK$4:$BK$17,企業売上!$I$4:$I$17),""))</f>
        <v>0.476572393161878</v>
      </c>
      <c r="T12" s="11" t="n">
        <f aca="false">IF(SUMPRODUCT(--ISNUMBER(ラグ走査_作業!$BK$4:$BK$17),--ISNUMBER(企業売上!$J$4:$J$17))&lt;6,"",IFERROR(CORREL(ラグ走査_作業!$BK$4:$BK$17,企業売上!$J$4:$J$17),""))</f>
        <v>0.0376256810048555</v>
      </c>
      <c r="U12" s="11" t="n">
        <f aca="false">IF(SUMPRODUCT(--ISNUMBER(ラグ走査_作業!$BK$4:$BK$17),--ISNUMBER(企業売上!$K$4:$K$17))&lt;6,"",IFERROR(CORREL(ラグ走査_作業!$BK$4:$BK$17,企業売上!$K$4:$K$17),""))</f>
        <v>0.423380673611729</v>
      </c>
    </row>
    <row r="13" customFormat="false" ht="15" hidden="false" customHeight="false" outlineLevel="0" collapsed="false">
      <c r="A13" s="3" t="n">
        <v>3</v>
      </c>
      <c r="B13" s="11" t="n">
        <f aca="false">IF(SUMPRODUCT(--ISNUMBER(ラグ走査_作業!$L$4:$L$17),--ISNUMBER(企業売上!$H$4:$H$17))&lt;6,"",IFERROR(CORREL(ラグ走査_作業!$L$4:$L$17,企業売上!$H$4:$H$17),""))</f>
        <v>0.25736001408235</v>
      </c>
      <c r="C13" s="11" t="n">
        <f aca="false">IF(SUMPRODUCT(--ISNUMBER(ラグ走査_作業!$L$4:$L$17),--ISNUMBER(企業売上!$I$4:$I$17))&lt;6,"",IFERROR(CORREL(ラグ走査_作業!$L$4:$L$17,企業売上!$I$4:$I$17),""))</f>
        <v>0.0928592215168335</v>
      </c>
      <c r="D13" s="11" t="n">
        <f aca="false">IF(SUMPRODUCT(--ISNUMBER(ラグ走査_作業!$L$4:$L$17),--ISNUMBER(企業売上!$J$4:$J$17))&lt;6,"",IFERROR(CORREL(ラグ走査_作業!$L$4:$L$17,企業売上!$J$4:$J$17),""))</f>
        <v>0.126178295291415</v>
      </c>
      <c r="E13" s="11" t="n">
        <f aca="false">IF(SUMPRODUCT(--ISNUMBER(ラグ走査_作業!$L$4:$L$17),--ISNUMBER(企業売上!$K$4:$K$17))&lt;6,"",IFERROR(CORREL(ラグ走査_作業!$L$4:$L$17,企業売上!$K$4:$K$17),""))</f>
        <v>-0.101166717983567</v>
      </c>
      <c r="F13" s="11" t="n">
        <f aca="false">IF(SUMPRODUCT(--ISNUMBER(ラグ走査_作業!$Y$4:$Y$17),--ISNUMBER(企業売上!$H$4:$H$17))&lt;6,"",IFERROR(CORREL(ラグ走査_作業!$Y$4:$Y$17,企業売上!$H$4:$H$17),""))</f>
        <v>0.902357863772355</v>
      </c>
      <c r="G13" s="11" t="n">
        <f aca="false">IF(SUMPRODUCT(--ISNUMBER(ラグ走査_作業!$Y$4:$Y$17),--ISNUMBER(企業売上!$I$4:$I$17))&lt;6,"",IFERROR(CORREL(ラグ走査_作業!$Y$4:$Y$17,企業売上!$I$4:$I$17),""))</f>
        <v>0.842991158590962</v>
      </c>
      <c r="H13" s="11" t="n">
        <f aca="false">IF(SUMPRODUCT(--ISNUMBER(ラグ走査_作業!$Y$4:$Y$17),--ISNUMBER(企業売上!$J$4:$J$17))&lt;6,"",IFERROR(CORREL(ラグ走査_作業!$Y$4:$Y$17,企業売上!$J$4:$J$17),""))</f>
        <v>0.204842788084166</v>
      </c>
      <c r="I13" s="11" t="n">
        <f aca="false">IF(SUMPRODUCT(--ISNUMBER(ラグ走査_作業!$Y$4:$Y$17),--ISNUMBER(企業売上!$K$4:$K$17))&lt;6,"",IFERROR(CORREL(ラグ走査_作業!$Y$4:$Y$17,企業売上!$K$4:$K$17),""))</f>
        <v>0.839111596998112</v>
      </c>
      <c r="J13" s="11" t="n">
        <f aca="false">IF(SUMPRODUCT(--ISNUMBER(ラグ走査_作業!$AL$4:$AL$17),--ISNUMBER(企業売上!$H$4:$H$17))&lt;6,"",IFERROR(CORREL(ラグ走査_作業!$AL$4:$AL$17,企業売上!$H$4:$H$17),""))</f>
        <v>0.496135633291226</v>
      </c>
      <c r="K13" s="11" t="n">
        <f aca="false">IF(SUMPRODUCT(--ISNUMBER(ラグ走査_作業!$AL$4:$AL$17),--ISNUMBER(企業売上!$I$4:$I$17))&lt;6,"",IFERROR(CORREL(ラグ走査_作業!$AL$4:$AL$17,企業売上!$I$4:$I$17),""))</f>
        <v>0.317886644956669</v>
      </c>
      <c r="L13" s="11" t="n">
        <f aca="false">IF(SUMPRODUCT(--ISNUMBER(ラグ走査_作業!$AL$4:$AL$17),--ISNUMBER(企業売上!$J$4:$J$17))&lt;6,"",IFERROR(CORREL(ラグ走査_作業!$AL$4:$AL$17,企業売上!$J$4:$J$17),""))</f>
        <v>0.217717031521902</v>
      </c>
      <c r="M13" s="11" t="n">
        <f aca="false">IF(SUMPRODUCT(--ISNUMBER(ラグ走査_作業!$AL$4:$AL$17),--ISNUMBER(企業売上!$K$4:$K$17))&lt;6,"",IFERROR(CORREL(ラグ走査_作業!$AL$4:$AL$17,企業売上!$K$4:$K$17),""))</f>
        <v>0.21797564851739</v>
      </c>
      <c r="N13" s="11" t="n">
        <f aca="false">IF(SUMPRODUCT(--ISNUMBER(ラグ走査_作業!$AY$4:$AY$17),--ISNUMBER(企業売上!$H$4:$H$17))&lt;6,"",IFERROR(CORREL(ラグ走査_作業!$AY$4:$AY$17,企業売上!$H$4:$H$17),""))</f>
        <v>0.394497567942845</v>
      </c>
      <c r="O13" s="11" t="n">
        <f aca="false">IF(SUMPRODUCT(--ISNUMBER(ラグ走査_作業!$AY$4:$AY$17),--ISNUMBER(企業売上!$I$4:$I$17))&lt;6,"",IFERROR(CORREL(ラグ走査_作業!$AY$4:$AY$17,企業売上!$I$4:$I$17),""))</f>
        <v>0.133136422114439</v>
      </c>
      <c r="P13" s="11" t="n">
        <f aca="false">IF(SUMPRODUCT(--ISNUMBER(ラグ走査_作業!$AY$4:$AY$17),--ISNUMBER(企業売上!$J$4:$J$17))&lt;6,"",IFERROR(CORREL(ラグ走査_作業!$AY$4:$AY$17,企業売上!$J$4:$J$17),""))</f>
        <v>0.0020247767905013</v>
      </c>
      <c r="Q13" s="11" t="n">
        <f aca="false">IF(SUMPRODUCT(--ISNUMBER(ラグ走査_作業!$AY$4:$AY$17),--ISNUMBER(企業売上!$K$4:$K$17))&lt;6,"",IFERROR(CORREL(ラグ走査_作業!$AY$4:$AY$17,企業売上!$K$4:$K$17),""))</f>
        <v>0.311587048635027</v>
      </c>
      <c r="R13" s="11" t="n">
        <f aca="false">IF(SUMPRODUCT(--ISNUMBER(ラグ走査_作業!$BL$4:$BL$17),--ISNUMBER(企業売上!$H$4:$H$17))&lt;6,"",IFERROR(CORREL(ラグ走査_作業!$BL$4:$BL$17,企業売上!$H$4:$H$17),""))</f>
        <v>0.736966993100709</v>
      </c>
      <c r="S13" s="11" t="n">
        <f aca="false">IF(SUMPRODUCT(--ISNUMBER(ラグ走査_作業!$BL$4:$BL$17),--ISNUMBER(企業売上!$I$4:$I$17))&lt;6,"",IFERROR(CORREL(ラグ走査_作業!$BL$4:$BL$17,企業売上!$I$4:$I$17),""))</f>
        <v>0.556872944031354</v>
      </c>
      <c r="T13" s="11" t="n">
        <f aca="false">IF(SUMPRODUCT(--ISNUMBER(ラグ走査_作業!$BL$4:$BL$17),--ISNUMBER(企業売上!$J$4:$J$17))&lt;6,"",IFERROR(CORREL(ラグ走査_作業!$BL$4:$BL$17,企業売上!$J$4:$J$17),""))</f>
        <v>0.250581354151803</v>
      </c>
      <c r="U13" s="11" t="n">
        <f aca="false">IF(SUMPRODUCT(--ISNUMBER(ラグ走査_作業!$BL$4:$BL$17),--ISNUMBER(企業売上!$K$4:$K$17))&lt;6,"",IFERROR(CORREL(ラグ走査_作業!$BL$4:$BL$17,企業売上!$K$4:$K$17),""))</f>
        <v>0.441887326129305</v>
      </c>
    </row>
    <row r="14" customFormat="false" ht="15" hidden="false" customHeight="false" outlineLevel="0" collapsed="false">
      <c r="A14" s="3" t="n">
        <v>4</v>
      </c>
      <c r="B14" s="11" t="n">
        <f aca="false">IF(SUMPRODUCT(--ISNUMBER(ラグ走査_作業!$M$4:$M$17),--ISNUMBER(企業売上!$H$4:$H$17))&lt;6,"",IFERROR(CORREL(ラグ走査_作業!$M$4:$M$17,企業売上!$H$4:$H$17),""))</f>
        <v>0.484654050900439</v>
      </c>
      <c r="C14" s="11" t="n">
        <f aca="false">IF(SUMPRODUCT(--ISNUMBER(ラグ走査_作業!$M$4:$M$17),--ISNUMBER(企業売上!$I$4:$I$17))&lt;6,"",IFERROR(CORREL(ラグ走査_作業!$M$4:$M$17,企業売上!$I$4:$I$17),""))</f>
        <v>0.374746158731941</v>
      </c>
      <c r="D14" s="11" t="n">
        <f aca="false">IF(SUMPRODUCT(--ISNUMBER(ラグ走査_作業!$M$4:$M$17),--ISNUMBER(企業売上!$J$4:$J$17))&lt;6,"",IFERROR(CORREL(ラグ走査_作業!$M$4:$M$17,企業売上!$J$4:$J$17),""))</f>
        <v>0.59352719688794</v>
      </c>
      <c r="E14" s="11" t="n">
        <f aca="false">IF(SUMPRODUCT(--ISNUMBER(ラグ走査_作業!$M$4:$M$17),--ISNUMBER(企業売上!$K$4:$K$17))&lt;6,"",IFERROR(CORREL(ラグ走査_作業!$M$4:$M$17,企業売上!$K$4:$K$17),""))</f>
        <v>0.178474651619517</v>
      </c>
      <c r="F14" s="11" t="n">
        <f aca="false">IF(SUMPRODUCT(--ISNUMBER(ラグ走査_作業!$Z$4:$Z$17),--ISNUMBER(企業売上!$H$4:$H$17))&lt;6,"",IFERROR(CORREL(ラグ走査_作業!$Z$4:$Z$17,企業売上!$H$4:$H$17),""))</f>
        <v>0.758192790445411</v>
      </c>
      <c r="G14" s="11" t="n">
        <f aca="false">IF(SUMPRODUCT(--ISNUMBER(ラグ走査_作業!$Z$4:$Z$17),--ISNUMBER(企業売上!$I$4:$I$17))&lt;6,"",IFERROR(CORREL(ラグ走査_作業!$Z$4:$Z$17,企業売上!$I$4:$I$17),""))</f>
        <v>0.812638113746858</v>
      </c>
      <c r="H14" s="11" t="n">
        <f aca="false">IF(SUMPRODUCT(--ISNUMBER(ラグ走査_作業!$Z$4:$Z$17),--ISNUMBER(企業売上!$J$4:$J$17))&lt;6,"",IFERROR(CORREL(ラグ走査_作業!$Z$4:$Z$17,企業売上!$J$4:$J$17),""))</f>
        <v>0.224160703942159</v>
      </c>
      <c r="I14" s="11" t="n">
        <f aca="false">IF(SUMPRODUCT(--ISNUMBER(ラグ走査_作業!$Z$4:$Z$17),--ISNUMBER(企業売上!$K$4:$K$17))&lt;6,"",IFERROR(CORREL(ラグ走査_作業!$Z$4:$Z$17,企業売上!$K$4:$K$17),""))</f>
        <v>0.601008882409786</v>
      </c>
      <c r="J14" s="11" t="n">
        <f aca="false">IF(SUMPRODUCT(--ISNUMBER(ラグ走査_作業!$AM$4:$AM$17),--ISNUMBER(企業売上!$H$4:$H$17))&lt;6,"",IFERROR(CORREL(ラグ走査_作業!$AM$4:$AM$17,企業売上!$H$4:$H$17),""))</f>
        <v>-0.00741657155131192</v>
      </c>
      <c r="K14" s="11" t="n">
        <f aca="false">IF(SUMPRODUCT(--ISNUMBER(ラグ走査_作業!$AM$4:$AM$17),--ISNUMBER(企業売上!$I$4:$I$17))&lt;6,"",IFERROR(CORREL(ラグ走査_作業!$AM$4:$AM$17,企業売上!$I$4:$I$17),""))</f>
        <v>0.0370161901215259</v>
      </c>
      <c r="L14" s="11" t="n">
        <f aca="false">IF(SUMPRODUCT(--ISNUMBER(ラグ走査_作業!$AM$4:$AM$17),--ISNUMBER(企業売上!$J$4:$J$17))&lt;6,"",IFERROR(CORREL(ラグ走査_作業!$AM$4:$AM$17,企業売上!$J$4:$J$17),""))</f>
        <v>-0.197248131392111</v>
      </c>
      <c r="M14" s="11" t="n">
        <f aca="false">IF(SUMPRODUCT(--ISNUMBER(ラグ走査_作業!$AM$4:$AM$17),--ISNUMBER(企業売上!$K$4:$K$17))&lt;6,"",IFERROR(CORREL(ラグ走査_作業!$AM$4:$AM$17,企業売上!$K$4:$K$17),""))</f>
        <v>-0.352304296205402</v>
      </c>
      <c r="N14" s="11" t="n">
        <f aca="false">IF(SUMPRODUCT(--ISNUMBER(ラグ走査_作業!$AZ$4:$AZ$17),--ISNUMBER(企業売上!$H$4:$H$17))&lt;6,"",IFERROR(CORREL(ラグ走査_作業!$AZ$4:$AZ$17,企業売上!$H$4:$H$17),""))</f>
        <v>0.235316900849674</v>
      </c>
      <c r="O14" s="11" t="n">
        <f aca="false">IF(SUMPRODUCT(--ISNUMBER(ラグ走査_作業!$AZ$4:$AZ$17),--ISNUMBER(企業売上!$I$4:$I$17))&lt;6,"",IFERROR(CORREL(ラグ走査_作業!$AZ$4:$AZ$17,企業売上!$I$4:$I$17),""))</f>
        <v>-0.139515692925336</v>
      </c>
      <c r="P14" s="11" t="n">
        <f aca="false">IF(SUMPRODUCT(--ISNUMBER(ラグ走査_作業!$AZ$4:$AZ$17),--ISNUMBER(企業売上!$J$4:$J$17))&lt;6,"",IFERROR(CORREL(ラグ走査_作業!$AZ$4:$AZ$17,企業売上!$J$4:$J$17),""))</f>
        <v>0.666229129287367</v>
      </c>
      <c r="Q14" s="11" t="n">
        <f aca="false">IF(SUMPRODUCT(--ISNUMBER(ラグ走査_作業!$AZ$4:$AZ$17),--ISNUMBER(企業売上!$K$4:$K$17))&lt;6,"",IFERROR(CORREL(ラグ走査_作業!$AZ$4:$AZ$17,企業売上!$K$4:$K$17),""))</f>
        <v>0.227975796770892</v>
      </c>
      <c r="R14" s="11" t="n">
        <f aca="false">IF(SUMPRODUCT(--ISNUMBER(ラグ走査_作業!$BM$4:$BM$17),--ISNUMBER(企業売上!$H$4:$H$17))&lt;6,"",IFERROR(CORREL(ラグ走査_作業!$BM$4:$BM$17,企業売上!$H$4:$H$17),""))</f>
        <v>0.615414932117572</v>
      </c>
      <c r="S14" s="11" t="n">
        <f aca="false">IF(SUMPRODUCT(--ISNUMBER(ラグ走査_作業!$BM$4:$BM$17),--ISNUMBER(企業売上!$I$4:$I$17))&lt;6,"",IFERROR(CORREL(ラグ走査_作業!$BM$4:$BM$17,企業売上!$I$4:$I$17),""))</f>
        <v>0.579511105794383</v>
      </c>
      <c r="T14" s="11" t="n">
        <f aca="false">IF(SUMPRODUCT(--ISNUMBER(ラグ走査_作業!$BM$4:$BM$17),--ISNUMBER(企業売上!$J$4:$J$17))&lt;6,"",IFERROR(CORREL(ラグ走査_作業!$BM$4:$BM$17,企業売上!$J$4:$J$17),""))</f>
        <v>0.364902019771731</v>
      </c>
      <c r="U14" s="11" t="n">
        <f aca="false">IF(SUMPRODUCT(--ISNUMBER(ラグ走査_作業!$BM$4:$BM$17),--ISNUMBER(企業売上!$K$4:$K$17))&lt;6,"",IFERROR(CORREL(ラグ走査_作業!$BM$4:$BM$17,企業売上!$K$4:$K$17),""))</f>
        <v>0.318256741860715</v>
      </c>
    </row>
    <row r="15" customFormat="false" ht="15" hidden="false" customHeight="false" outlineLevel="0" collapsed="false">
      <c r="A15" s="3" t="n">
        <v>5</v>
      </c>
      <c r="B15" s="11" t="n">
        <f aca="false">IF(SUMPRODUCT(--ISNUMBER(ラグ走査_作業!$N$4:$N$17),--ISNUMBER(企業売上!$H$4:$H$17))&lt;6,"",IFERROR(CORREL(ラグ走査_作業!$N$4:$N$17,企業売上!$H$4:$H$17),""))</f>
        <v>0.476960840901786</v>
      </c>
      <c r="C15" s="11" t="n">
        <f aca="false">IF(SUMPRODUCT(--ISNUMBER(ラグ走査_作業!$N$4:$N$17),--ISNUMBER(企業売上!$I$4:$I$17))&lt;6,"",IFERROR(CORREL(ラグ走査_作業!$N$4:$N$17,企業売上!$I$4:$I$17),""))</f>
        <v>0.472260552828494</v>
      </c>
      <c r="D15" s="11" t="n">
        <f aca="false">IF(SUMPRODUCT(--ISNUMBER(ラグ走査_作業!$N$4:$N$17),--ISNUMBER(企業売上!$J$4:$J$17))&lt;6,"",IFERROR(CORREL(ラグ走査_作業!$N$4:$N$17,企業売上!$J$4:$J$17),""))</f>
        <v>0.418513157140607</v>
      </c>
      <c r="E15" s="11" t="n">
        <f aca="false">IF(SUMPRODUCT(--ISNUMBER(ラグ走査_作業!$N$4:$N$17),--ISNUMBER(企業売上!$K$4:$K$17))&lt;6,"",IFERROR(CORREL(ラグ走査_作業!$N$4:$N$17,企業売上!$K$4:$K$17),""))</f>
        <v>0.207462957599776</v>
      </c>
      <c r="F15" s="11" t="n">
        <f aca="false">IF(SUMPRODUCT(--ISNUMBER(ラグ走査_作業!$AA$4:$AA$17),--ISNUMBER(企業売上!$H$4:$H$17))&lt;6,"",IFERROR(CORREL(ラグ走査_作業!$AA$4:$AA$17,企業売上!$H$4:$H$17),""))</f>
        <v>0.345550929265011</v>
      </c>
      <c r="G15" s="11" t="n">
        <f aca="false">IF(SUMPRODUCT(--ISNUMBER(ラグ走査_作業!$AA$4:$AA$17),--ISNUMBER(企業売上!$I$4:$I$17))&lt;6,"",IFERROR(CORREL(ラグ走査_作業!$AA$4:$AA$17,企業売上!$I$4:$I$17),""))</f>
        <v>0.642064478848708</v>
      </c>
      <c r="H15" s="11" t="n">
        <f aca="false">IF(SUMPRODUCT(--ISNUMBER(ラグ走査_作業!$AA$4:$AA$17),--ISNUMBER(企業売上!$J$4:$J$17))&lt;6,"",IFERROR(CORREL(ラグ走査_作業!$AA$4:$AA$17,企業売上!$J$4:$J$17),""))</f>
        <v>-0.205210722729325</v>
      </c>
      <c r="I15" s="11" t="n">
        <f aca="false">IF(SUMPRODUCT(--ISNUMBER(ラグ走査_作業!$AA$4:$AA$17),--ISNUMBER(企業売上!$K$4:$K$17))&lt;6,"",IFERROR(CORREL(ラグ走査_作業!$AA$4:$AA$17,企業売上!$K$4:$K$17),""))</f>
        <v>0.216795721252832</v>
      </c>
      <c r="J15" s="11" t="n">
        <f aca="false">IF(SUMPRODUCT(--ISNUMBER(ラグ走査_作業!$AN$4:$AN$17),--ISNUMBER(企業売上!$H$4:$H$17))&lt;6,"",IFERROR(CORREL(ラグ走査_作業!$AN$4:$AN$17,企業売上!$H$4:$H$17),""))</f>
        <v>-0.186244385066272</v>
      </c>
      <c r="K15" s="11" t="n">
        <f aca="false">IF(SUMPRODUCT(--ISNUMBER(ラグ走査_作業!$AN$4:$AN$17),--ISNUMBER(企業売上!$I$4:$I$17))&lt;6,"",IFERROR(CORREL(ラグ走査_作業!$AN$4:$AN$17,企業売上!$I$4:$I$17),""))</f>
        <v>0.161619083779652</v>
      </c>
      <c r="L15" s="11" t="n">
        <f aca="false">IF(SUMPRODUCT(--ISNUMBER(ラグ走査_作業!$AN$4:$AN$17),--ISNUMBER(企業売上!$J$4:$J$17))&lt;6,"",IFERROR(CORREL(ラグ走査_作業!$AN$4:$AN$17,企業売上!$J$4:$J$17),""))</f>
        <v>-0.524379059281119</v>
      </c>
      <c r="M15" s="11" t="n">
        <f aca="false">IF(SUMPRODUCT(--ISNUMBER(ラグ走査_作業!$AN$4:$AN$17),--ISNUMBER(企業売上!$K$4:$K$17))&lt;6,"",IFERROR(CORREL(ラグ走査_作業!$AN$4:$AN$17,企業売上!$K$4:$K$17),""))</f>
        <v>-0.474725838102609</v>
      </c>
      <c r="N15" s="11" t="n">
        <f aca="false">IF(SUMPRODUCT(--ISNUMBER(ラグ走査_作業!$BA$4:$BA$17),--ISNUMBER(企業売上!$H$4:$H$17))&lt;6,"",IFERROR(CORREL(ラグ走査_作業!$BA$4:$BA$17,企業売上!$H$4:$H$17),""))</f>
        <v>0.200681703662002</v>
      </c>
      <c r="O15" s="11" t="n">
        <f aca="false">IF(SUMPRODUCT(--ISNUMBER(ラグ走査_作業!$BA$4:$BA$17),--ISNUMBER(企業売上!$I$4:$I$17))&lt;6,"",IFERROR(CORREL(ラグ走査_作業!$BA$4:$BA$17,企業売上!$I$4:$I$17),""))</f>
        <v>-0.244963502958976</v>
      </c>
      <c r="P15" s="11" t="n">
        <f aca="false">IF(SUMPRODUCT(--ISNUMBER(ラグ走査_作業!$BA$4:$BA$17),--ISNUMBER(企業売上!$J$4:$J$17))&lt;6,"",IFERROR(CORREL(ラグ走査_作業!$BA$4:$BA$17,企業売上!$J$4:$J$17),""))</f>
        <v>0.594195279373656</v>
      </c>
      <c r="Q15" s="11" t="n">
        <f aca="false">IF(SUMPRODUCT(--ISNUMBER(ラグ走査_作業!$BA$4:$BA$17),--ISNUMBER(企業売上!$K$4:$K$17))&lt;6,"",IFERROR(CORREL(ラグ走査_作業!$BA$4:$BA$17,企業売上!$K$4:$K$17),""))</f>
        <v>0.150027309520656</v>
      </c>
      <c r="R15" s="11" t="n">
        <f aca="false">IF(SUMPRODUCT(--ISNUMBER(ラグ走査_作業!$BN$4:$BN$17),--ISNUMBER(企業売上!$H$4:$H$17))&lt;6,"",IFERROR(CORREL(ラグ走査_作業!$BN$4:$BN$17,企業売上!$H$4:$H$17),""))</f>
        <v>0.482165170456497</v>
      </c>
      <c r="S15" s="11" t="n">
        <f aca="false">IF(SUMPRODUCT(--ISNUMBER(ラグ走査_作業!$BN$4:$BN$17),--ISNUMBER(企業売上!$I$4:$I$17))&lt;6,"",IFERROR(CORREL(ラグ走査_作業!$BN$4:$BN$17,企業売上!$I$4:$I$17),""))</f>
        <v>0.674166592863325</v>
      </c>
      <c r="T15" s="11" t="n">
        <f aca="false">IF(SUMPRODUCT(--ISNUMBER(ラグ走査_作業!$BN$4:$BN$17),--ISNUMBER(企業売上!$J$4:$J$17))&lt;6,"",IFERROR(CORREL(ラグ走査_作業!$BN$4:$BN$17,企業売上!$J$4:$J$17),""))</f>
        <v>-0.0531676282051531</v>
      </c>
      <c r="U15" s="11" t="n">
        <f aca="false">IF(SUMPRODUCT(--ISNUMBER(ラグ走査_作業!$BN$4:$BN$17),--ISNUMBER(企業売上!$K$4:$K$17))&lt;6,"",IFERROR(CORREL(ラグ走査_作業!$BN$4:$BN$17,企業売上!$K$4:$K$17),""))</f>
        <v>0.200991566898764</v>
      </c>
    </row>
    <row r="16" customFormat="false" ht="15" hidden="false" customHeight="false" outlineLevel="0" collapsed="false">
      <c r="A16" s="3" t="n">
        <v>6</v>
      </c>
      <c r="B16" s="11" t="n">
        <f aca="false">IF(SUMPRODUCT(--ISNUMBER(ラグ走査_作業!$O$4:$O$17),--ISNUMBER(企業売上!$H$4:$H$17))&lt;6,"",IFERROR(CORREL(ラグ走査_作業!$O$4:$O$17,企業売上!$H$4:$H$17),""))</f>
        <v>0.302986532941563</v>
      </c>
      <c r="C16" s="11" t="n">
        <f aca="false">IF(SUMPRODUCT(--ISNUMBER(ラグ走査_作業!$O$4:$O$17),--ISNUMBER(企業売上!$I$4:$I$17))&lt;6,"",IFERROR(CORREL(ラグ走査_作業!$O$4:$O$17,企業売上!$I$4:$I$17),""))</f>
        <v>0.205389214544147</v>
      </c>
      <c r="D16" s="11" t="n">
        <f aca="false">IF(SUMPRODUCT(--ISNUMBER(ラグ走査_作業!$O$4:$O$17),--ISNUMBER(企業売上!$J$4:$J$17))&lt;6,"",IFERROR(CORREL(ラグ走査_作業!$O$4:$O$17,企業売上!$J$4:$J$17),""))</f>
        <v>0.00251636020189694</v>
      </c>
      <c r="E16" s="11" t="n">
        <f aca="false">IF(SUMPRODUCT(--ISNUMBER(ラグ走査_作業!$O$4:$O$17),--ISNUMBER(企業売上!$K$4:$K$17))&lt;6,"",IFERROR(CORREL(ラグ走査_作業!$O$4:$O$17,企業売上!$K$4:$K$17),""))</f>
        <v>0.0746315755185159</v>
      </c>
      <c r="F16" s="11" t="n">
        <f aca="false">IF(SUMPRODUCT(--ISNUMBER(ラグ走査_作業!$AB$4:$AB$17),--ISNUMBER(企業売上!$H$4:$H$17))&lt;6,"",IFERROR(CORREL(ラグ走査_作業!$AB$4:$AB$17,企業売上!$H$4:$H$17),""))</f>
        <v>-0.25436587138487</v>
      </c>
      <c r="G16" s="11" t="n">
        <f aca="false">IF(SUMPRODUCT(--ISNUMBER(ラグ走査_作業!$AB$4:$AB$17),--ISNUMBER(企業売上!$I$4:$I$17))&lt;6,"",IFERROR(CORREL(ラグ走査_作業!$AB$4:$AB$17,企業売上!$I$4:$I$17),""))</f>
        <v>-0.147585581268069</v>
      </c>
      <c r="H16" s="11" t="n">
        <f aca="false">IF(SUMPRODUCT(--ISNUMBER(ラグ走査_作業!$AB$4:$AB$17),--ISNUMBER(企業売上!$J$4:$J$17))&lt;6,"",IFERROR(CORREL(ラグ走査_作業!$AB$4:$AB$17,企業売上!$J$4:$J$17),""))</f>
        <v>-0.20219975526315</v>
      </c>
      <c r="I16" s="11" t="n">
        <f aca="false">IF(SUMPRODUCT(--ISNUMBER(ラグ走査_作業!$AB$4:$AB$17),--ISNUMBER(企業売上!$K$4:$K$17))&lt;6,"",IFERROR(CORREL(ラグ走査_作業!$AB$4:$AB$17,企業売上!$K$4:$K$17),""))</f>
        <v>-0.201482554659526</v>
      </c>
      <c r="J16" s="11" t="n">
        <f aca="false">IF(SUMPRODUCT(--ISNUMBER(ラグ走査_作業!$AO$4:$AO$17),--ISNUMBER(企業売上!$H$4:$H$17))&lt;6,"",IFERROR(CORREL(ラグ走査_作業!$AO$4:$AO$17,企業売上!$H$4:$H$17),""))</f>
        <v>-0.000210514225782783</v>
      </c>
      <c r="K16" s="11" t="n">
        <f aca="false">IF(SUMPRODUCT(--ISNUMBER(ラグ走査_作業!$AO$4:$AO$17),--ISNUMBER(企業売上!$I$4:$I$17))&lt;6,"",IFERROR(CORREL(ラグ走査_作業!$AO$4:$AO$17,企業売上!$I$4:$I$17),""))</f>
        <v>0.1943215086457</v>
      </c>
      <c r="L16" s="11" t="n">
        <f aca="false">IF(SUMPRODUCT(--ISNUMBER(ラグ走査_作業!$AO$4:$AO$17),--ISNUMBER(企業売上!$J$4:$J$17))&lt;6,"",IFERROR(CORREL(ラグ走査_作業!$AO$4:$AO$17,企業売上!$J$4:$J$17),""))</f>
        <v>-0.246322232016042</v>
      </c>
      <c r="M16" s="11" t="n">
        <f aca="false">IF(SUMPRODUCT(--ISNUMBER(ラグ走査_作業!$AO$4:$AO$17),--ISNUMBER(企業売上!$K$4:$K$17))&lt;6,"",IFERROR(CORREL(ラグ走査_作業!$AO$4:$AO$17,企業売上!$K$4:$K$17),""))</f>
        <v>-0.27383266397339</v>
      </c>
      <c r="N16" s="11" t="n">
        <f aca="false">IF(SUMPRODUCT(--ISNUMBER(ラグ走査_作業!$BB$4:$BB$17),--ISNUMBER(企業売上!$H$4:$H$17))&lt;6,"",IFERROR(CORREL(ラグ走査_作業!$BB$4:$BB$17,企業売上!$H$4:$H$17),""))</f>
        <v>0.461209621785962</v>
      </c>
      <c r="O16" s="11" t="n">
        <f aca="false">IF(SUMPRODUCT(--ISNUMBER(ラグ走査_作業!$BB$4:$BB$17),--ISNUMBER(企業売上!$I$4:$I$17))&lt;6,"",IFERROR(CORREL(ラグ走査_作業!$BB$4:$BB$17,企業売上!$I$4:$I$17),""))</f>
        <v>0.122077478035913</v>
      </c>
      <c r="P16" s="11" t="n">
        <f aca="false">IF(SUMPRODUCT(--ISNUMBER(ラグ走査_作業!$BB$4:$BB$17),--ISNUMBER(企業売上!$J$4:$J$17))&lt;6,"",IFERROR(CORREL(ラグ走査_作業!$BB$4:$BB$17,企業売上!$J$4:$J$17),""))</f>
        <v>0.457109535595697</v>
      </c>
      <c r="Q16" s="11" t="n">
        <f aca="false">IF(SUMPRODUCT(--ISNUMBER(ラグ走査_作業!$BB$4:$BB$17),--ISNUMBER(企業売上!$K$4:$K$17))&lt;6,"",IFERROR(CORREL(ラグ走査_作業!$BB$4:$BB$17,企業売上!$K$4:$K$17),""))</f>
        <v>0.428724627200206</v>
      </c>
      <c r="R16" s="11" t="n">
        <f aca="false">IF(SUMPRODUCT(--ISNUMBER(ラグ走査_作業!$BO$4:$BO$17),--ISNUMBER(企業売上!$H$4:$H$17))&lt;6,"",IFERROR(CORREL(ラグ走査_作業!$BO$4:$BO$17,企業売上!$H$4:$H$17),""))</f>
        <v>0.123266143454908</v>
      </c>
      <c r="S16" s="11" t="n">
        <f aca="false">IF(SUMPRODUCT(--ISNUMBER(ラグ走査_作業!$BO$4:$BO$17),--ISNUMBER(企業売上!$I$4:$I$17))&lt;6,"",IFERROR(CORREL(ラグ走査_作業!$BO$4:$BO$17,企業売上!$I$4:$I$17),""))</f>
        <v>0.197320908878237</v>
      </c>
      <c r="T16" s="11" t="n">
        <f aca="false">IF(SUMPRODUCT(--ISNUMBER(ラグ走査_作業!$BO$4:$BO$17),--ISNUMBER(企業売上!$J$4:$J$17))&lt;6,"",IFERROR(CORREL(ラグ走査_作業!$BO$4:$BO$17,企業売上!$J$4:$J$17),""))</f>
        <v>-0.181586851423281</v>
      </c>
      <c r="U16" s="11" t="n">
        <f aca="false">IF(SUMPRODUCT(--ISNUMBER(ラグ走査_作業!$BO$4:$BO$17),--ISNUMBER(企業売上!$K$4:$K$17))&lt;6,"",IFERROR(CORREL(ラグ走査_作業!$BO$4:$BO$17,企業売上!$K$4:$K$17),""))</f>
        <v>-0.131909968455986</v>
      </c>
    </row>
    <row r="17" customFormat="false" ht="15" hidden="false" customHeight="false" outlineLevel="0" collapsed="false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customFormat="false" ht="15" hidden="false" customHeight="fals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customFormat="false" ht="15" hidden="false" customHeight="false" outlineLevel="0" collapsed="false">
      <c r="A19" s="4" t="s">
        <v>226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customFormat="false" ht="15" hidden="false" customHeight="false" outlineLevel="0" collapsed="false">
      <c r="A20" s="3" t="n">
        <v>-6</v>
      </c>
      <c r="B20" s="3" t="n">
        <f aca="false">SUMPRODUCT(--ISNUMBER(ラグ走査_作業!$C$4:$C$17),--ISNUMBER(企業売上!$H$4:$H$17))</f>
        <v>11</v>
      </c>
      <c r="C20" s="3" t="n">
        <f aca="false">SUMPRODUCT(--ISNUMBER(ラグ走査_作業!$C$4:$C$17),--ISNUMBER(企業売上!$I$4:$I$17))</f>
        <v>11</v>
      </c>
      <c r="D20" s="3" t="n">
        <f aca="false">SUMPRODUCT(--ISNUMBER(ラグ走査_作業!$C$4:$C$17),--ISNUMBER(企業売上!$J$4:$J$17))</f>
        <v>11</v>
      </c>
      <c r="E20" s="3" t="n">
        <f aca="false">SUMPRODUCT(--ISNUMBER(ラグ走査_作業!$C$4:$C$17),--ISNUMBER(企業売上!$K$4:$K$17))</f>
        <v>11</v>
      </c>
      <c r="F20" s="3" t="n">
        <f aca="false">SUMPRODUCT(--ISNUMBER(ラグ走査_作業!$P$4:$P$17),--ISNUMBER(企業売上!$H$4:$H$17))</f>
        <v>11</v>
      </c>
      <c r="G20" s="3" t="n">
        <f aca="false">SUMPRODUCT(--ISNUMBER(ラグ走査_作業!$P$4:$P$17),--ISNUMBER(企業売上!$I$4:$I$17))</f>
        <v>11</v>
      </c>
      <c r="H20" s="3" t="n">
        <f aca="false">SUMPRODUCT(--ISNUMBER(ラグ走査_作業!$P$4:$P$17),--ISNUMBER(企業売上!$J$4:$J$17))</f>
        <v>11</v>
      </c>
      <c r="I20" s="3" t="n">
        <f aca="false">SUMPRODUCT(--ISNUMBER(ラグ走査_作業!$P$4:$P$17),--ISNUMBER(企業売上!$K$4:$K$17))</f>
        <v>11</v>
      </c>
      <c r="J20" s="3" t="n">
        <f aca="false">SUMPRODUCT(--ISNUMBER(ラグ走査_作業!$AC$4:$AC$17),--ISNUMBER(企業売上!$H$4:$H$17))</f>
        <v>11</v>
      </c>
      <c r="K20" s="3" t="n">
        <f aca="false">SUMPRODUCT(--ISNUMBER(ラグ走査_作業!$AC$4:$AC$17),--ISNUMBER(企業売上!$I$4:$I$17))</f>
        <v>11</v>
      </c>
      <c r="L20" s="3" t="n">
        <f aca="false">SUMPRODUCT(--ISNUMBER(ラグ走査_作業!$AC$4:$AC$17),--ISNUMBER(企業売上!$J$4:$J$17))</f>
        <v>11</v>
      </c>
      <c r="M20" s="3" t="n">
        <f aca="false">SUMPRODUCT(--ISNUMBER(ラグ走査_作業!$AC$4:$AC$17),--ISNUMBER(企業売上!$K$4:$K$17))</f>
        <v>11</v>
      </c>
      <c r="N20" s="3" t="n">
        <f aca="false">SUMPRODUCT(--ISNUMBER(ラグ走査_作業!$AP$4:$AP$17),--ISNUMBER(企業売上!$H$4:$H$17))</f>
        <v>8</v>
      </c>
      <c r="O20" s="3" t="n">
        <f aca="false">SUMPRODUCT(--ISNUMBER(ラグ走査_作業!$AP$4:$AP$17),--ISNUMBER(企業売上!$I$4:$I$17))</f>
        <v>8</v>
      </c>
      <c r="P20" s="3" t="n">
        <f aca="false">SUMPRODUCT(--ISNUMBER(ラグ走査_作業!$AP$4:$AP$17),--ISNUMBER(企業売上!$J$4:$J$17))</f>
        <v>8</v>
      </c>
      <c r="Q20" s="3" t="n">
        <f aca="false">SUMPRODUCT(--ISNUMBER(ラグ走査_作業!$AP$4:$AP$17),--ISNUMBER(企業売上!$K$4:$K$17))</f>
        <v>8</v>
      </c>
      <c r="R20" s="3" t="n">
        <f aca="false">SUMPRODUCT(--ISNUMBER(ラグ走査_作業!$BC$4:$BC$17),--ISNUMBER(企業売上!$H$4:$H$17))</f>
        <v>11</v>
      </c>
      <c r="S20" s="3" t="n">
        <f aca="false">SUMPRODUCT(--ISNUMBER(ラグ走査_作業!$BC$4:$BC$17),--ISNUMBER(企業売上!$I$4:$I$17))</f>
        <v>11</v>
      </c>
      <c r="T20" s="3" t="n">
        <f aca="false">SUMPRODUCT(--ISNUMBER(ラグ走査_作業!$BC$4:$BC$17),--ISNUMBER(企業売上!$J$4:$J$17))</f>
        <v>11</v>
      </c>
      <c r="U20" s="3" t="n">
        <f aca="false">SUMPRODUCT(--ISNUMBER(ラグ走査_作業!$BC$4:$BC$17),--ISNUMBER(企業売上!$K$4:$K$17))</f>
        <v>11</v>
      </c>
    </row>
    <row r="21" customFormat="false" ht="15" hidden="false" customHeight="false" outlineLevel="0" collapsed="false">
      <c r="A21" s="3" t="n">
        <v>-5</v>
      </c>
      <c r="B21" s="3" t="n">
        <f aca="false">SUMPRODUCT(--ISNUMBER(ラグ走査_作業!$D$4:$D$17),--ISNUMBER(企業売上!$H$4:$H$17))</f>
        <v>11</v>
      </c>
      <c r="C21" s="3" t="n">
        <f aca="false">SUMPRODUCT(--ISNUMBER(ラグ走査_作業!$D$4:$D$17),--ISNUMBER(企業売上!$I$4:$I$17))</f>
        <v>11</v>
      </c>
      <c r="D21" s="3" t="n">
        <f aca="false">SUMPRODUCT(--ISNUMBER(ラグ走査_作業!$D$4:$D$17),--ISNUMBER(企業売上!$J$4:$J$17))</f>
        <v>11</v>
      </c>
      <c r="E21" s="3" t="n">
        <f aca="false">SUMPRODUCT(--ISNUMBER(ラグ走査_作業!$D$4:$D$17),--ISNUMBER(企業売上!$K$4:$K$17))</f>
        <v>11</v>
      </c>
      <c r="F21" s="3" t="n">
        <f aca="false">SUMPRODUCT(--ISNUMBER(ラグ走査_作業!$Q$4:$Q$17),--ISNUMBER(企業売上!$H$4:$H$17))</f>
        <v>11</v>
      </c>
      <c r="G21" s="3" t="n">
        <f aca="false">SUMPRODUCT(--ISNUMBER(ラグ走査_作業!$Q$4:$Q$17),--ISNUMBER(企業売上!$I$4:$I$17))</f>
        <v>11</v>
      </c>
      <c r="H21" s="3" t="n">
        <f aca="false">SUMPRODUCT(--ISNUMBER(ラグ走査_作業!$Q$4:$Q$17),--ISNUMBER(企業売上!$J$4:$J$17))</f>
        <v>11</v>
      </c>
      <c r="I21" s="3" t="n">
        <f aca="false">SUMPRODUCT(--ISNUMBER(ラグ走査_作業!$Q$4:$Q$17),--ISNUMBER(企業売上!$K$4:$K$17))</f>
        <v>11</v>
      </c>
      <c r="J21" s="3" t="n">
        <f aca="false">SUMPRODUCT(--ISNUMBER(ラグ走査_作業!$AD$4:$AD$17),--ISNUMBER(企業売上!$H$4:$H$17))</f>
        <v>11</v>
      </c>
      <c r="K21" s="3" t="n">
        <f aca="false">SUMPRODUCT(--ISNUMBER(ラグ走査_作業!$AD$4:$AD$17),--ISNUMBER(企業売上!$I$4:$I$17))</f>
        <v>11</v>
      </c>
      <c r="L21" s="3" t="n">
        <f aca="false">SUMPRODUCT(--ISNUMBER(ラグ走査_作業!$AD$4:$AD$17),--ISNUMBER(企業売上!$J$4:$J$17))</f>
        <v>11</v>
      </c>
      <c r="M21" s="3" t="n">
        <f aca="false">SUMPRODUCT(--ISNUMBER(ラグ走査_作業!$AD$4:$AD$17),--ISNUMBER(企業売上!$K$4:$K$17))</f>
        <v>11</v>
      </c>
      <c r="N21" s="3" t="n">
        <f aca="false">SUMPRODUCT(--ISNUMBER(ラグ走査_作業!$AQ$4:$AQ$17),--ISNUMBER(企業売上!$H$4:$H$17))</f>
        <v>7</v>
      </c>
      <c r="O21" s="3" t="n">
        <f aca="false">SUMPRODUCT(--ISNUMBER(ラグ走査_作業!$AQ$4:$AQ$17),--ISNUMBER(企業売上!$I$4:$I$17))</f>
        <v>7</v>
      </c>
      <c r="P21" s="3" t="n">
        <f aca="false">SUMPRODUCT(--ISNUMBER(ラグ走査_作業!$AQ$4:$AQ$17),--ISNUMBER(企業売上!$J$4:$J$17))</f>
        <v>7</v>
      </c>
      <c r="Q21" s="3" t="n">
        <f aca="false">SUMPRODUCT(--ISNUMBER(ラグ走査_作業!$AQ$4:$AQ$17),--ISNUMBER(企業売上!$K$4:$K$17))</f>
        <v>7</v>
      </c>
      <c r="R21" s="3" t="n">
        <f aca="false">SUMPRODUCT(--ISNUMBER(ラグ走査_作業!$BD$4:$BD$17),--ISNUMBER(企業売上!$H$4:$H$17))</f>
        <v>11</v>
      </c>
      <c r="S21" s="3" t="n">
        <f aca="false">SUMPRODUCT(--ISNUMBER(ラグ走査_作業!$BD$4:$BD$17),--ISNUMBER(企業売上!$I$4:$I$17))</f>
        <v>11</v>
      </c>
      <c r="T21" s="3" t="n">
        <f aca="false">SUMPRODUCT(--ISNUMBER(ラグ走査_作業!$BD$4:$BD$17),--ISNUMBER(企業売上!$J$4:$J$17))</f>
        <v>11</v>
      </c>
      <c r="U21" s="3" t="n">
        <f aca="false">SUMPRODUCT(--ISNUMBER(ラグ走査_作業!$BD$4:$BD$17),--ISNUMBER(企業売上!$K$4:$K$17))</f>
        <v>11</v>
      </c>
    </row>
    <row r="22" customFormat="false" ht="15" hidden="false" customHeight="false" outlineLevel="0" collapsed="false">
      <c r="A22" s="3" t="n">
        <v>-4</v>
      </c>
      <c r="B22" s="3" t="n">
        <f aca="false">SUMPRODUCT(--ISNUMBER(ラグ走査_作業!$E$4:$E$17),--ISNUMBER(企業売上!$H$4:$H$17))</f>
        <v>11</v>
      </c>
      <c r="C22" s="3" t="n">
        <f aca="false">SUMPRODUCT(--ISNUMBER(ラグ走査_作業!$E$4:$E$17),--ISNUMBER(企業売上!$I$4:$I$17))</f>
        <v>11</v>
      </c>
      <c r="D22" s="3" t="n">
        <f aca="false">SUMPRODUCT(--ISNUMBER(ラグ走査_作業!$E$4:$E$17),--ISNUMBER(企業売上!$J$4:$J$17))</f>
        <v>11</v>
      </c>
      <c r="E22" s="3" t="n">
        <f aca="false">SUMPRODUCT(--ISNUMBER(ラグ走査_作業!$E$4:$E$17),--ISNUMBER(企業売上!$K$4:$K$17))</f>
        <v>11</v>
      </c>
      <c r="F22" s="3" t="n">
        <f aca="false">SUMPRODUCT(--ISNUMBER(ラグ走査_作業!$R$4:$R$17),--ISNUMBER(企業売上!$H$4:$H$17))</f>
        <v>11</v>
      </c>
      <c r="G22" s="3" t="n">
        <f aca="false">SUMPRODUCT(--ISNUMBER(ラグ走査_作業!$R$4:$R$17),--ISNUMBER(企業売上!$I$4:$I$17))</f>
        <v>11</v>
      </c>
      <c r="H22" s="3" t="n">
        <f aca="false">SUMPRODUCT(--ISNUMBER(ラグ走査_作業!$R$4:$R$17),--ISNUMBER(企業売上!$J$4:$J$17))</f>
        <v>11</v>
      </c>
      <c r="I22" s="3" t="n">
        <f aca="false">SUMPRODUCT(--ISNUMBER(ラグ走査_作業!$R$4:$R$17),--ISNUMBER(企業売上!$K$4:$K$17))</f>
        <v>11</v>
      </c>
      <c r="J22" s="3" t="n">
        <f aca="false">SUMPRODUCT(--ISNUMBER(ラグ走査_作業!$AE$4:$AE$17),--ISNUMBER(企業売上!$H$4:$H$17))</f>
        <v>11</v>
      </c>
      <c r="K22" s="3" t="n">
        <f aca="false">SUMPRODUCT(--ISNUMBER(ラグ走査_作業!$AE$4:$AE$17),--ISNUMBER(企業売上!$I$4:$I$17))</f>
        <v>11</v>
      </c>
      <c r="L22" s="3" t="n">
        <f aca="false">SUMPRODUCT(--ISNUMBER(ラグ走査_作業!$AE$4:$AE$17),--ISNUMBER(企業売上!$J$4:$J$17))</f>
        <v>11</v>
      </c>
      <c r="M22" s="3" t="n">
        <f aca="false">SUMPRODUCT(--ISNUMBER(ラグ走査_作業!$AE$4:$AE$17),--ISNUMBER(企業売上!$K$4:$K$17))</f>
        <v>11</v>
      </c>
      <c r="N22" s="3" t="n">
        <f aca="false">SUMPRODUCT(--ISNUMBER(ラグ走査_作業!$AR$4:$AR$17),--ISNUMBER(企業売上!$H$4:$H$17))</f>
        <v>7</v>
      </c>
      <c r="O22" s="3" t="n">
        <f aca="false">SUMPRODUCT(--ISNUMBER(ラグ走査_作業!$AR$4:$AR$17),--ISNUMBER(企業売上!$I$4:$I$17))</f>
        <v>7</v>
      </c>
      <c r="P22" s="3" t="n">
        <f aca="false">SUMPRODUCT(--ISNUMBER(ラグ走査_作業!$AR$4:$AR$17),--ISNUMBER(企業売上!$J$4:$J$17))</f>
        <v>7</v>
      </c>
      <c r="Q22" s="3" t="n">
        <f aca="false">SUMPRODUCT(--ISNUMBER(ラグ走査_作業!$AR$4:$AR$17),--ISNUMBER(企業売上!$K$4:$K$17))</f>
        <v>7</v>
      </c>
      <c r="R22" s="3" t="n">
        <f aca="false">SUMPRODUCT(--ISNUMBER(ラグ走査_作業!$BE$4:$BE$17),--ISNUMBER(企業売上!$H$4:$H$17))</f>
        <v>11</v>
      </c>
      <c r="S22" s="3" t="n">
        <f aca="false">SUMPRODUCT(--ISNUMBER(ラグ走査_作業!$BE$4:$BE$17),--ISNUMBER(企業売上!$I$4:$I$17))</f>
        <v>11</v>
      </c>
      <c r="T22" s="3" t="n">
        <f aca="false">SUMPRODUCT(--ISNUMBER(ラグ走査_作業!$BE$4:$BE$17),--ISNUMBER(企業売上!$J$4:$J$17))</f>
        <v>11</v>
      </c>
      <c r="U22" s="3" t="n">
        <f aca="false">SUMPRODUCT(--ISNUMBER(ラグ走査_作業!$BE$4:$BE$17),--ISNUMBER(企業売上!$K$4:$K$17))</f>
        <v>11</v>
      </c>
    </row>
    <row r="23" customFormat="false" ht="15" hidden="false" customHeight="false" outlineLevel="0" collapsed="false">
      <c r="A23" s="3" t="n">
        <v>-3</v>
      </c>
      <c r="B23" s="3" t="n">
        <f aca="false">SUMPRODUCT(--ISNUMBER(ラグ走査_作業!$F$4:$F$17),--ISNUMBER(企業売上!$H$4:$H$17))</f>
        <v>12</v>
      </c>
      <c r="C23" s="3" t="n">
        <f aca="false">SUMPRODUCT(--ISNUMBER(ラグ走査_作業!$F$4:$F$17),--ISNUMBER(企業売上!$I$4:$I$17))</f>
        <v>12</v>
      </c>
      <c r="D23" s="3" t="n">
        <f aca="false">SUMPRODUCT(--ISNUMBER(ラグ走査_作業!$F$4:$F$17),--ISNUMBER(企業売上!$J$4:$J$17))</f>
        <v>12</v>
      </c>
      <c r="E23" s="3" t="n">
        <f aca="false">SUMPRODUCT(--ISNUMBER(ラグ走査_作業!$F$4:$F$17),--ISNUMBER(企業売上!$K$4:$K$17))</f>
        <v>12</v>
      </c>
      <c r="F23" s="3" t="n">
        <f aca="false">SUMPRODUCT(--ISNUMBER(ラグ走査_作業!$S$4:$S$17),--ISNUMBER(企業売上!$H$4:$H$17))</f>
        <v>12</v>
      </c>
      <c r="G23" s="3" t="n">
        <f aca="false">SUMPRODUCT(--ISNUMBER(ラグ走査_作業!$S$4:$S$17),--ISNUMBER(企業売上!$I$4:$I$17))</f>
        <v>12</v>
      </c>
      <c r="H23" s="3" t="n">
        <f aca="false">SUMPRODUCT(--ISNUMBER(ラグ走査_作業!$S$4:$S$17),--ISNUMBER(企業売上!$J$4:$J$17))</f>
        <v>12</v>
      </c>
      <c r="I23" s="3" t="n">
        <f aca="false">SUMPRODUCT(--ISNUMBER(ラグ走査_作業!$S$4:$S$17),--ISNUMBER(企業売上!$K$4:$K$17))</f>
        <v>12</v>
      </c>
      <c r="J23" s="3" t="n">
        <f aca="false">SUMPRODUCT(--ISNUMBER(ラグ走査_作業!$AF$4:$AF$17),--ISNUMBER(企業売上!$H$4:$H$17))</f>
        <v>12</v>
      </c>
      <c r="K23" s="3" t="n">
        <f aca="false">SUMPRODUCT(--ISNUMBER(ラグ走査_作業!$AF$4:$AF$17),--ISNUMBER(企業売上!$I$4:$I$17))</f>
        <v>12</v>
      </c>
      <c r="L23" s="3" t="n">
        <f aca="false">SUMPRODUCT(--ISNUMBER(ラグ走査_作業!$AF$4:$AF$17),--ISNUMBER(企業売上!$J$4:$J$17))</f>
        <v>12</v>
      </c>
      <c r="M23" s="3" t="n">
        <f aca="false">SUMPRODUCT(--ISNUMBER(ラグ走査_作業!$AF$4:$AF$17),--ISNUMBER(企業売上!$K$4:$K$17))</f>
        <v>12</v>
      </c>
      <c r="N23" s="3" t="n">
        <f aca="false">SUMPRODUCT(--ISNUMBER(ラグ走査_作業!$AS$4:$AS$17),--ISNUMBER(企業売上!$H$4:$H$17))</f>
        <v>8</v>
      </c>
      <c r="O23" s="3" t="n">
        <f aca="false">SUMPRODUCT(--ISNUMBER(ラグ走査_作業!$AS$4:$AS$17),--ISNUMBER(企業売上!$I$4:$I$17))</f>
        <v>8</v>
      </c>
      <c r="P23" s="3" t="n">
        <f aca="false">SUMPRODUCT(--ISNUMBER(ラグ走査_作業!$AS$4:$AS$17),--ISNUMBER(企業売上!$J$4:$J$17))</f>
        <v>8</v>
      </c>
      <c r="Q23" s="3" t="n">
        <f aca="false">SUMPRODUCT(--ISNUMBER(ラグ走査_作業!$AS$4:$AS$17),--ISNUMBER(企業売上!$K$4:$K$17))</f>
        <v>8</v>
      </c>
      <c r="R23" s="3" t="n">
        <f aca="false">SUMPRODUCT(--ISNUMBER(ラグ走査_作業!$BF$4:$BF$17),--ISNUMBER(企業売上!$H$4:$H$17))</f>
        <v>12</v>
      </c>
      <c r="S23" s="3" t="n">
        <f aca="false">SUMPRODUCT(--ISNUMBER(ラグ走査_作業!$BF$4:$BF$17),--ISNUMBER(企業売上!$I$4:$I$17))</f>
        <v>12</v>
      </c>
      <c r="T23" s="3" t="n">
        <f aca="false">SUMPRODUCT(--ISNUMBER(ラグ走査_作業!$BF$4:$BF$17),--ISNUMBER(企業売上!$J$4:$J$17))</f>
        <v>12</v>
      </c>
      <c r="U23" s="3" t="n">
        <f aca="false">SUMPRODUCT(--ISNUMBER(ラグ走査_作業!$BF$4:$BF$17),--ISNUMBER(企業売上!$K$4:$K$17))</f>
        <v>12</v>
      </c>
    </row>
    <row r="24" customFormat="false" ht="15" hidden="false" customHeight="false" outlineLevel="0" collapsed="false">
      <c r="A24" s="3" t="n">
        <v>-2</v>
      </c>
      <c r="B24" s="3" t="n">
        <f aca="false">SUMPRODUCT(--ISNUMBER(ラグ走査_作業!$G$4:$G$17),--ISNUMBER(企業売上!$H$4:$H$17))</f>
        <v>12</v>
      </c>
      <c r="C24" s="3" t="n">
        <f aca="false">SUMPRODUCT(--ISNUMBER(ラグ走査_作業!$G$4:$G$17),--ISNUMBER(企業売上!$I$4:$I$17))</f>
        <v>12</v>
      </c>
      <c r="D24" s="3" t="n">
        <f aca="false">SUMPRODUCT(--ISNUMBER(ラグ走査_作業!$G$4:$G$17),--ISNUMBER(企業売上!$J$4:$J$17))</f>
        <v>12</v>
      </c>
      <c r="E24" s="3" t="n">
        <f aca="false">SUMPRODUCT(--ISNUMBER(ラグ走査_作業!$G$4:$G$17),--ISNUMBER(企業売上!$K$4:$K$17))</f>
        <v>12</v>
      </c>
      <c r="F24" s="3" t="n">
        <f aca="false">SUMPRODUCT(--ISNUMBER(ラグ走査_作業!$T$4:$T$17),--ISNUMBER(企業売上!$H$4:$H$17))</f>
        <v>12</v>
      </c>
      <c r="G24" s="3" t="n">
        <f aca="false">SUMPRODUCT(--ISNUMBER(ラグ走査_作業!$T$4:$T$17),--ISNUMBER(企業売上!$I$4:$I$17))</f>
        <v>12</v>
      </c>
      <c r="H24" s="3" t="n">
        <f aca="false">SUMPRODUCT(--ISNUMBER(ラグ走査_作業!$T$4:$T$17),--ISNUMBER(企業売上!$J$4:$J$17))</f>
        <v>12</v>
      </c>
      <c r="I24" s="3" t="n">
        <f aca="false">SUMPRODUCT(--ISNUMBER(ラグ走査_作業!$T$4:$T$17),--ISNUMBER(企業売上!$K$4:$K$17))</f>
        <v>12</v>
      </c>
      <c r="J24" s="3" t="n">
        <f aca="false">SUMPRODUCT(--ISNUMBER(ラグ走査_作業!$AG$4:$AG$17),--ISNUMBER(企業売上!$H$4:$H$17))</f>
        <v>12</v>
      </c>
      <c r="K24" s="3" t="n">
        <f aca="false">SUMPRODUCT(--ISNUMBER(ラグ走査_作業!$AG$4:$AG$17),--ISNUMBER(企業売上!$I$4:$I$17))</f>
        <v>12</v>
      </c>
      <c r="L24" s="3" t="n">
        <f aca="false">SUMPRODUCT(--ISNUMBER(ラグ走査_作業!$AG$4:$AG$17),--ISNUMBER(企業売上!$J$4:$J$17))</f>
        <v>12</v>
      </c>
      <c r="M24" s="3" t="n">
        <f aca="false">SUMPRODUCT(--ISNUMBER(ラグ走査_作業!$AG$4:$AG$17),--ISNUMBER(企業売上!$K$4:$K$17))</f>
        <v>12</v>
      </c>
      <c r="N24" s="3" t="n">
        <f aca="false">SUMPRODUCT(--ISNUMBER(ラグ走査_作業!$AT$4:$AT$17),--ISNUMBER(企業売上!$H$4:$H$17))</f>
        <v>7</v>
      </c>
      <c r="O24" s="3" t="n">
        <f aca="false">SUMPRODUCT(--ISNUMBER(ラグ走査_作業!$AT$4:$AT$17),--ISNUMBER(企業売上!$I$4:$I$17))</f>
        <v>7</v>
      </c>
      <c r="P24" s="3" t="n">
        <f aca="false">SUMPRODUCT(--ISNUMBER(ラグ走査_作業!$AT$4:$AT$17),--ISNUMBER(企業売上!$J$4:$J$17))</f>
        <v>7</v>
      </c>
      <c r="Q24" s="3" t="n">
        <f aca="false">SUMPRODUCT(--ISNUMBER(ラグ走査_作業!$AT$4:$AT$17),--ISNUMBER(企業売上!$K$4:$K$17))</f>
        <v>7</v>
      </c>
      <c r="R24" s="3" t="n">
        <f aca="false">SUMPRODUCT(--ISNUMBER(ラグ走査_作業!$BG$4:$BG$17),--ISNUMBER(企業売上!$H$4:$H$17))</f>
        <v>12</v>
      </c>
      <c r="S24" s="3" t="n">
        <f aca="false">SUMPRODUCT(--ISNUMBER(ラグ走査_作業!$BG$4:$BG$17),--ISNUMBER(企業売上!$I$4:$I$17))</f>
        <v>12</v>
      </c>
      <c r="T24" s="3" t="n">
        <f aca="false">SUMPRODUCT(--ISNUMBER(ラグ走査_作業!$BG$4:$BG$17),--ISNUMBER(企業売上!$J$4:$J$17))</f>
        <v>12</v>
      </c>
      <c r="U24" s="3" t="n">
        <f aca="false">SUMPRODUCT(--ISNUMBER(ラグ走査_作業!$BG$4:$BG$17),--ISNUMBER(企業売上!$K$4:$K$17))</f>
        <v>12</v>
      </c>
    </row>
    <row r="25" customFormat="false" ht="15" hidden="false" customHeight="false" outlineLevel="0" collapsed="false">
      <c r="A25" s="3" t="n">
        <v>-1</v>
      </c>
      <c r="B25" s="3" t="n">
        <f aca="false">SUMPRODUCT(--ISNUMBER(ラグ走査_作業!$H$4:$H$17),--ISNUMBER(企業売上!$H$4:$H$17))</f>
        <v>12</v>
      </c>
      <c r="C25" s="3" t="n">
        <f aca="false">SUMPRODUCT(--ISNUMBER(ラグ走査_作業!$H$4:$H$17),--ISNUMBER(企業売上!$I$4:$I$17))</f>
        <v>12</v>
      </c>
      <c r="D25" s="3" t="n">
        <f aca="false">SUMPRODUCT(--ISNUMBER(ラグ走査_作業!$H$4:$H$17),--ISNUMBER(企業売上!$J$4:$J$17))</f>
        <v>12</v>
      </c>
      <c r="E25" s="3" t="n">
        <f aca="false">SUMPRODUCT(--ISNUMBER(ラグ走査_作業!$H$4:$H$17),--ISNUMBER(企業売上!$K$4:$K$17))</f>
        <v>12</v>
      </c>
      <c r="F25" s="3" t="n">
        <f aca="false">SUMPRODUCT(--ISNUMBER(ラグ走査_作業!$U$4:$U$17),--ISNUMBER(企業売上!$H$4:$H$17))</f>
        <v>12</v>
      </c>
      <c r="G25" s="3" t="n">
        <f aca="false">SUMPRODUCT(--ISNUMBER(ラグ走査_作業!$U$4:$U$17),--ISNUMBER(企業売上!$I$4:$I$17))</f>
        <v>12</v>
      </c>
      <c r="H25" s="3" t="n">
        <f aca="false">SUMPRODUCT(--ISNUMBER(ラグ走査_作業!$U$4:$U$17),--ISNUMBER(企業売上!$J$4:$J$17))</f>
        <v>12</v>
      </c>
      <c r="I25" s="3" t="n">
        <f aca="false">SUMPRODUCT(--ISNUMBER(ラグ走査_作業!$U$4:$U$17),--ISNUMBER(企業売上!$K$4:$K$17))</f>
        <v>12</v>
      </c>
      <c r="J25" s="3" t="n">
        <f aca="false">SUMPRODUCT(--ISNUMBER(ラグ走査_作業!$AH$4:$AH$17),--ISNUMBER(企業売上!$H$4:$H$17))</f>
        <v>12</v>
      </c>
      <c r="K25" s="3" t="n">
        <f aca="false">SUMPRODUCT(--ISNUMBER(ラグ走査_作業!$AH$4:$AH$17),--ISNUMBER(企業売上!$I$4:$I$17))</f>
        <v>12</v>
      </c>
      <c r="L25" s="3" t="n">
        <f aca="false">SUMPRODUCT(--ISNUMBER(ラグ走査_作業!$AH$4:$AH$17),--ISNUMBER(企業売上!$J$4:$J$17))</f>
        <v>12</v>
      </c>
      <c r="M25" s="3" t="n">
        <f aca="false">SUMPRODUCT(--ISNUMBER(ラグ走査_作業!$AH$4:$AH$17),--ISNUMBER(企業売上!$K$4:$K$17))</f>
        <v>12</v>
      </c>
      <c r="N25" s="3" t="n">
        <f aca="false">SUMPRODUCT(--ISNUMBER(ラグ走査_作業!$AU$4:$AU$17),--ISNUMBER(企業売上!$H$4:$H$17))</f>
        <v>7</v>
      </c>
      <c r="O25" s="3" t="n">
        <f aca="false">SUMPRODUCT(--ISNUMBER(ラグ走査_作業!$AU$4:$AU$17),--ISNUMBER(企業売上!$I$4:$I$17))</f>
        <v>7</v>
      </c>
      <c r="P25" s="3" t="n">
        <f aca="false">SUMPRODUCT(--ISNUMBER(ラグ走査_作業!$AU$4:$AU$17),--ISNUMBER(企業売上!$J$4:$J$17))</f>
        <v>7</v>
      </c>
      <c r="Q25" s="3" t="n">
        <f aca="false">SUMPRODUCT(--ISNUMBER(ラグ走査_作業!$AU$4:$AU$17),--ISNUMBER(企業売上!$K$4:$K$17))</f>
        <v>7</v>
      </c>
      <c r="R25" s="3" t="n">
        <f aca="false">SUMPRODUCT(--ISNUMBER(ラグ走査_作業!$BH$4:$BH$17),--ISNUMBER(企業売上!$H$4:$H$17))</f>
        <v>12</v>
      </c>
      <c r="S25" s="3" t="n">
        <f aca="false">SUMPRODUCT(--ISNUMBER(ラグ走査_作業!$BH$4:$BH$17),--ISNUMBER(企業売上!$I$4:$I$17))</f>
        <v>12</v>
      </c>
      <c r="T25" s="3" t="n">
        <f aca="false">SUMPRODUCT(--ISNUMBER(ラグ走査_作業!$BH$4:$BH$17),--ISNUMBER(企業売上!$J$4:$J$17))</f>
        <v>12</v>
      </c>
      <c r="U25" s="3" t="n">
        <f aca="false">SUMPRODUCT(--ISNUMBER(ラグ走査_作業!$BH$4:$BH$17),--ISNUMBER(企業売上!$K$4:$K$17))</f>
        <v>12</v>
      </c>
    </row>
    <row r="26" customFormat="false" ht="15" hidden="false" customHeight="false" outlineLevel="0" collapsed="false">
      <c r="A26" s="3" t="n">
        <v>0</v>
      </c>
      <c r="B26" s="3" t="n">
        <f aca="false">SUMPRODUCT(--ISNUMBER(ラグ走査_作業!$I$4:$I$17),--ISNUMBER(企業売上!$H$4:$H$17))</f>
        <v>13</v>
      </c>
      <c r="C26" s="3" t="n">
        <f aca="false">SUMPRODUCT(--ISNUMBER(ラグ走査_作業!$I$4:$I$17),--ISNUMBER(企業売上!$I$4:$I$17))</f>
        <v>13</v>
      </c>
      <c r="D26" s="3" t="n">
        <f aca="false">SUMPRODUCT(--ISNUMBER(ラグ走査_作業!$I$4:$I$17),--ISNUMBER(企業売上!$J$4:$J$17))</f>
        <v>12</v>
      </c>
      <c r="E26" s="3" t="n">
        <f aca="false">SUMPRODUCT(--ISNUMBER(ラグ走査_作業!$I$4:$I$17),--ISNUMBER(企業売上!$K$4:$K$17))</f>
        <v>12</v>
      </c>
      <c r="F26" s="3" t="n">
        <f aca="false">SUMPRODUCT(--ISNUMBER(ラグ走査_作業!$V$4:$V$17),--ISNUMBER(企業売上!$H$4:$H$17))</f>
        <v>13</v>
      </c>
      <c r="G26" s="3" t="n">
        <f aca="false">SUMPRODUCT(--ISNUMBER(ラグ走査_作業!$V$4:$V$17),--ISNUMBER(企業売上!$I$4:$I$17))</f>
        <v>13</v>
      </c>
      <c r="H26" s="3" t="n">
        <f aca="false">SUMPRODUCT(--ISNUMBER(ラグ走査_作業!$V$4:$V$17),--ISNUMBER(企業売上!$J$4:$J$17))</f>
        <v>12</v>
      </c>
      <c r="I26" s="3" t="n">
        <f aca="false">SUMPRODUCT(--ISNUMBER(ラグ走査_作業!$V$4:$V$17),--ISNUMBER(企業売上!$K$4:$K$17))</f>
        <v>12</v>
      </c>
      <c r="J26" s="3" t="n">
        <f aca="false">SUMPRODUCT(--ISNUMBER(ラグ走査_作業!$AI$4:$AI$17),--ISNUMBER(企業売上!$H$4:$H$17))</f>
        <v>13</v>
      </c>
      <c r="K26" s="3" t="n">
        <f aca="false">SUMPRODUCT(--ISNUMBER(ラグ走査_作業!$AI$4:$AI$17),--ISNUMBER(企業売上!$I$4:$I$17))</f>
        <v>13</v>
      </c>
      <c r="L26" s="3" t="n">
        <f aca="false">SUMPRODUCT(--ISNUMBER(ラグ走査_作業!$AI$4:$AI$17),--ISNUMBER(企業売上!$J$4:$J$17))</f>
        <v>12</v>
      </c>
      <c r="M26" s="3" t="n">
        <f aca="false">SUMPRODUCT(--ISNUMBER(ラグ走査_作業!$AI$4:$AI$17),--ISNUMBER(企業売上!$K$4:$K$17))</f>
        <v>12</v>
      </c>
      <c r="N26" s="3" t="n">
        <f aca="false">SUMPRODUCT(--ISNUMBER(ラグ走査_作業!$AV$4:$AV$17),--ISNUMBER(企業売上!$H$4:$H$17))</f>
        <v>8</v>
      </c>
      <c r="O26" s="3" t="n">
        <f aca="false">SUMPRODUCT(--ISNUMBER(ラグ走査_作業!$AV$4:$AV$17),--ISNUMBER(企業売上!$I$4:$I$17))</f>
        <v>8</v>
      </c>
      <c r="P26" s="3" t="n">
        <f aca="false">SUMPRODUCT(--ISNUMBER(ラグ走査_作業!$AV$4:$AV$17),--ISNUMBER(企業売上!$J$4:$J$17))</f>
        <v>7</v>
      </c>
      <c r="Q26" s="3" t="n">
        <f aca="false">SUMPRODUCT(--ISNUMBER(ラグ走査_作業!$AV$4:$AV$17),--ISNUMBER(企業売上!$K$4:$K$17))</f>
        <v>7</v>
      </c>
      <c r="R26" s="3" t="n">
        <f aca="false">SUMPRODUCT(--ISNUMBER(ラグ走査_作業!$BI$4:$BI$17),--ISNUMBER(企業売上!$H$4:$H$17))</f>
        <v>13</v>
      </c>
      <c r="S26" s="3" t="n">
        <f aca="false">SUMPRODUCT(--ISNUMBER(ラグ走査_作業!$BI$4:$BI$17),--ISNUMBER(企業売上!$I$4:$I$17))</f>
        <v>13</v>
      </c>
      <c r="T26" s="3" t="n">
        <f aca="false">SUMPRODUCT(--ISNUMBER(ラグ走査_作業!$BI$4:$BI$17),--ISNUMBER(企業売上!$J$4:$J$17))</f>
        <v>12</v>
      </c>
      <c r="U26" s="3" t="n">
        <f aca="false">SUMPRODUCT(--ISNUMBER(ラグ走査_作業!$BI$4:$BI$17),--ISNUMBER(企業売上!$K$4:$K$17))</f>
        <v>12</v>
      </c>
    </row>
    <row r="27" customFormat="false" ht="15" hidden="false" customHeight="false" outlineLevel="0" collapsed="false">
      <c r="A27" s="3" t="n">
        <v>1</v>
      </c>
      <c r="B27" s="3" t="n">
        <f aca="false">SUMPRODUCT(--ISNUMBER(ラグ走査_作業!$J$4:$J$17),--ISNUMBER(企業売上!$H$4:$H$17))</f>
        <v>13</v>
      </c>
      <c r="C27" s="3" t="n">
        <f aca="false">SUMPRODUCT(--ISNUMBER(ラグ走査_作業!$J$4:$J$17),--ISNUMBER(企業売上!$I$4:$I$17))</f>
        <v>13</v>
      </c>
      <c r="D27" s="3" t="n">
        <f aca="false">SUMPRODUCT(--ISNUMBER(ラグ走査_作業!$J$4:$J$17),--ISNUMBER(企業売上!$J$4:$J$17))</f>
        <v>12</v>
      </c>
      <c r="E27" s="3" t="n">
        <f aca="false">SUMPRODUCT(--ISNUMBER(ラグ走査_作業!$J$4:$J$17),--ISNUMBER(企業売上!$K$4:$K$17))</f>
        <v>12</v>
      </c>
      <c r="F27" s="3" t="n">
        <f aca="false">SUMPRODUCT(--ISNUMBER(ラグ走査_作業!$W$4:$W$17),--ISNUMBER(企業売上!$H$4:$H$17))</f>
        <v>13</v>
      </c>
      <c r="G27" s="3" t="n">
        <f aca="false">SUMPRODUCT(--ISNUMBER(ラグ走査_作業!$W$4:$W$17),--ISNUMBER(企業売上!$I$4:$I$17))</f>
        <v>13</v>
      </c>
      <c r="H27" s="3" t="n">
        <f aca="false">SUMPRODUCT(--ISNUMBER(ラグ走査_作業!$W$4:$W$17),--ISNUMBER(企業売上!$J$4:$J$17))</f>
        <v>12</v>
      </c>
      <c r="I27" s="3" t="n">
        <f aca="false">SUMPRODUCT(--ISNUMBER(ラグ走査_作業!$W$4:$W$17),--ISNUMBER(企業売上!$K$4:$K$17))</f>
        <v>12</v>
      </c>
      <c r="J27" s="3" t="n">
        <f aca="false">SUMPRODUCT(--ISNUMBER(ラグ走査_作業!$AJ$4:$AJ$17),--ISNUMBER(企業売上!$H$4:$H$17))</f>
        <v>13</v>
      </c>
      <c r="K27" s="3" t="n">
        <f aca="false">SUMPRODUCT(--ISNUMBER(ラグ走査_作業!$AJ$4:$AJ$17),--ISNUMBER(企業売上!$I$4:$I$17))</f>
        <v>13</v>
      </c>
      <c r="L27" s="3" t="n">
        <f aca="false">SUMPRODUCT(--ISNUMBER(ラグ走査_作業!$AJ$4:$AJ$17),--ISNUMBER(企業売上!$J$4:$J$17))</f>
        <v>12</v>
      </c>
      <c r="M27" s="3" t="n">
        <f aca="false">SUMPRODUCT(--ISNUMBER(ラグ走査_作業!$AJ$4:$AJ$17),--ISNUMBER(企業売上!$K$4:$K$17))</f>
        <v>12</v>
      </c>
      <c r="N27" s="3" t="n">
        <f aca="false">SUMPRODUCT(--ISNUMBER(ラグ走査_作業!$AW$4:$AW$17),--ISNUMBER(企業売上!$H$4:$H$17))</f>
        <v>7</v>
      </c>
      <c r="O27" s="3" t="n">
        <f aca="false">SUMPRODUCT(--ISNUMBER(ラグ走査_作業!$AW$4:$AW$17),--ISNUMBER(企業売上!$I$4:$I$17))</f>
        <v>7</v>
      </c>
      <c r="P27" s="3" t="n">
        <f aca="false">SUMPRODUCT(--ISNUMBER(ラグ走査_作業!$AW$4:$AW$17),--ISNUMBER(企業売上!$J$4:$J$17))</f>
        <v>7</v>
      </c>
      <c r="Q27" s="3" t="n">
        <f aca="false">SUMPRODUCT(--ISNUMBER(ラグ走査_作業!$AW$4:$AW$17),--ISNUMBER(企業売上!$K$4:$K$17))</f>
        <v>7</v>
      </c>
      <c r="R27" s="3" t="n">
        <f aca="false">SUMPRODUCT(--ISNUMBER(ラグ走査_作業!$BJ$4:$BJ$17),--ISNUMBER(企業売上!$H$4:$H$17))</f>
        <v>13</v>
      </c>
      <c r="S27" s="3" t="n">
        <f aca="false">SUMPRODUCT(--ISNUMBER(ラグ走査_作業!$BJ$4:$BJ$17),--ISNUMBER(企業売上!$I$4:$I$17))</f>
        <v>13</v>
      </c>
      <c r="T27" s="3" t="n">
        <f aca="false">SUMPRODUCT(--ISNUMBER(ラグ走査_作業!$BJ$4:$BJ$17),--ISNUMBER(企業売上!$J$4:$J$17))</f>
        <v>12</v>
      </c>
      <c r="U27" s="3" t="n">
        <f aca="false">SUMPRODUCT(--ISNUMBER(ラグ走査_作業!$BJ$4:$BJ$17),--ISNUMBER(企業売上!$K$4:$K$17))</f>
        <v>12</v>
      </c>
    </row>
    <row r="28" customFormat="false" ht="15" hidden="false" customHeight="false" outlineLevel="0" collapsed="false">
      <c r="A28" s="3" t="n">
        <v>2</v>
      </c>
      <c r="B28" s="3" t="n">
        <f aca="false">SUMPRODUCT(--ISNUMBER(ラグ走査_作業!$K$4:$K$17),--ISNUMBER(企業売上!$H$4:$H$17))</f>
        <v>13</v>
      </c>
      <c r="C28" s="3" t="n">
        <f aca="false">SUMPRODUCT(--ISNUMBER(ラグ走査_作業!$K$4:$K$17),--ISNUMBER(企業売上!$I$4:$I$17))</f>
        <v>13</v>
      </c>
      <c r="D28" s="3" t="n">
        <f aca="false">SUMPRODUCT(--ISNUMBER(ラグ走査_作業!$K$4:$K$17),--ISNUMBER(企業売上!$J$4:$J$17))</f>
        <v>12</v>
      </c>
      <c r="E28" s="3" t="n">
        <f aca="false">SUMPRODUCT(--ISNUMBER(ラグ走査_作業!$K$4:$K$17),--ISNUMBER(企業売上!$K$4:$K$17))</f>
        <v>12</v>
      </c>
      <c r="F28" s="3" t="n">
        <f aca="false">SUMPRODUCT(--ISNUMBER(ラグ走査_作業!$X$4:$X$17),--ISNUMBER(企業売上!$H$4:$H$17))</f>
        <v>13</v>
      </c>
      <c r="G28" s="3" t="n">
        <f aca="false">SUMPRODUCT(--ISNUMBER(ラグ走査_作業!$X$4:$X$17),--ISNUMBER(企業売上!$I$4:$I$17))</f>
        <v>13</v>
      </c>
      <c r="H28" s="3" t="n">
        <f aca="false">SUMPRODUCT(--ISNUMBER(ラグ走査_作業!$X$4:$X$17),--ISNUMBER(企業売上!$J$4:$J$17))</f>
        <v>12</v>
      </c>
      <c r="I28" s="3" t="n">
        <f aca="false">SUMPRODUCT(--ISNUMBER(ラグ走査_作業!$X$4:$X$17),--ISNUMBER(企業売上!$K$4:$K$17))</f>
        <v>12</v>
      </c>
      <c r="J28" s="3" t="n">
        <f aca="false">SUMPRODUCT(--ISNUMBER(ラグ走査_作業!$AK$4:$AK$17),--ISNUMBER(企業売上!$H$4:$H$17))</f>
        <v>12</v>
      </c>
      <c r="K28" s="3" t="n">
        <f aca="false">SUMPRODUCT(--ISNUMBER(ラグ走査_作業!$AK$4:$AK$17),--ISNUMBER(企業売上!$I$4:$I$17))</f>
        <v>12</v>
      </c>
      <c r="L28" s="3" t="n">
        <f aca="false">SUMPRODUCT(--ISNUMBER(ラグ走査_作業!$AK$4:$AK$17),--ISNUMBER(企業売上!$J$4:$J$17))</f>
        <v>11</v>
      </c>
      <c r="M28" s="3" t="n">
        <f aca="false">SUMPRODUCT(--ISNUMBER(ラグ走査_作業!$AK$4:$AK$17),--ISNUMBER(企業売上!$K$4:$K$17))</f>
        <v>11</v>
      </c>
      <c r="N28" s="3" t="n">
        <f aca="false">SUMPRODUCT(--ISNUMBER(ラグ走査_作業!$AX$4:$AX$17),--ISNUMBER(企業売上!$H$4:$H$17))</f>
        <v>7</v>
      </c>
      <c r="O28" s="3" t="n">
        <f aca="false">SUMPRODUCT(--ISNUMBER(ラグ走査_作業!$AX$4:$AX$17),--ISNUMBER(企業売上!$I$4:$I$17))</f>
        <v>7</v>
      </c>
      <c r="P28" s="3" t="n">
        <f aca="false">SUMPRODUCT(--ISNUMBER(ラグ走査_作業!$AX$4:$AX$17),--ISNUMBER(企業売上!$J$4:$J$17))</f>
        <v>7</v>
      </c>
      <c r="Q28" s="3" t="n">
        <f aca="false">SUMPRODUCT(--ISNUMBER(ラグ走査_作業!$AX$4:$AX$17),--ISNUMBER(企業売上!$K$4:$K$17))</f>
        <v>7</v>
      </c>
      <c r="R28" s="3" t="n">
        <f aca="false">SUMPRODUCT(--ISNUMBER(ラグ走査_作業!$BK$4:$BK$17),--ISNUMBER(企業売上!$H$4:$H$17))</f>
        <v>12</v>
      </c>
      <c r="S28" s="3" t="n">
        <f aca="false">SUMPRODUCT(--ISNUMBER(ラグ走査_作業!$BK$4:$BK$17),--ISNUMBER(企業売上!$I$4:$I$17))</f>
        <v>12</v>
      </c>
      <c r="T28" s="3" t="n">
        <f aca="false">SUMPRODUCT(--ISNUMBER(ラグ走査_作業!$BK$4:$BK$17),--ISNUMBER(企業売上!$J$4:$J$17))</f>
        <v>11</v>
      </c>
      <c r="U28" s="3" t="n">
        <f aca="false">SUMPRODUCT(--ISNUMBER(ラグ走査_作業!$BK$4:$BK$17),--ISNUMBER(企業売上!$K$4:$K$17))</f>
        <v>11</v>
      </c>
    </row>
    <row r="29" customFormat="false" ht="15" hidden="false" customHeight="false" outlineLevel="0" collapsed="false">
      <c r="A29" s="3" t="n">
        <v>3</v>
      </c>
      <c r="B29" s="3" t="n">
        <f aca="false">SUMPRODUCT(--ISNUMBER(ラグ走査_作業!$L$4:$L$17),--ISNUMBER(企業売上!$H$4:$H$17))</f>
        <v>12</v>
      </c>
      <c r="C29" s="3" t="n">
        <f aca="false">SUMPRODUCT(--ISNUMBER(ラグ走査_作業!$L$4:$L$17),--ISNUMBER(企業売上!$I$4:$I$17))</f>
        <v>12</v>
      </c>
      <c r="D29" s="3" t="n">
        <f aca="false">SUMPRODUCT(--ISNUMBER(ラグ走査_作業!$L$4:$L$17),--ISNUMBER(企業売上!$J$4:$J$17))</f>
        <v>11</v>
      </c>
      <c r="E29" s="3" t="n">
        <f aca="false">SUMPRODUCT(--ISNUMBER(ラグ走査_作業!$L$4:$L$17),--ISNUMBER(企業売上!$K$4:$K$17))</f>
        <v>11</v>
      </c>
      <c r="F29" s="3" t="n">
        <f aca="false">SUMPRODUCT(--ISNUMBER(ラグ走査_作業!$Y$4:$Y$17),--ISNUMBER(企業売上!$H$4:$H$17))</f>
        <v>12</v>
      </c>
      <c r="G29" s="3" t="n">
        <f aca="false">SUMPRODUCT(--ISNUMBER(ラグ走査_作業!$Y$4:$Y$17),--ISNUMBER(企業売上!$I$4:$I$17))</f>
        <v>12</v>
      </c>
      <c r="H29" s="3" t="n">
        <f aca="false">SUMPRODUCT(--ISNUMBER(ラグ走査_作業!$Y$4:$Y$17),--ISNUMBER(企業売上!$J$4:$J$17))</f>
        <v>11</v>
      </c>
      <c r="I29" s="3" t="n">
        <f aca="false">SUMPRODUCT(--ISNUMBER(ラグ走査_作業!$Y$4:$Y$17),--ISNUMBER(企業売上!$K$4:$K$17))</f>
        <v>11</v>
      </c>
      <c r="J29" s="3" t="n">
        <f aca="false">SUMPRODUCT(--ISNUMBER(ラグ走査_作業!$AL$4:$AL$17),--ISNUMBER(企業売上!$H$4:$H$17))</f>
        <v>12</v>
      </c>
      <c r="K29" s="3" t="n">
        <f aca="false">SUMPRODUCT(--ISNUMBER(ラグ走査_作業!$AL$4:$AL$17),--ISNUMBER(企業売上!$I$4:$I$17))</f>
        <v>12</v>
      </c>
      <c r="L29" s="3" t="n">
        <f aca="false">SUMPRODUCT(--ISNUMBER(ラグ走査_作業!$AL$4:$AL$17),--ISNUMBER(企業売上!$J$4:$J$17))</f>
        <v>11</v>
      </c>
      <c r="M29" s="3" t="n">
        <f aca="false">SUMPRODUCT(--ISNUMBER(ラグ走査_作業!$AL$4:$AL$17),--ISNUMBER(企業売上!$K$4:$K$17))</f>
        <v>11</v>
      </c>
      <c r="N29" s="3" t="n">
        <f aca="false">SUMPRODUCT(--ISNUMBER(ラグ走査_作業!$AY$4:$AY$17),--ISNUMBER(企業売上!$H$4:$H$17))</f>
        <v>7</v>
      </c>
      <c r="O29" s="3" t="n">
        <f aca="false">SUMPRODUCT(--ISNUMBER(ラグ走査_作業!$AY$4:$AY$17),--ISNUMBER(企業売上!$I$4:$I$17))</f>
        <v>7</v>
      </c>
      <c r="P29" s="3" t="n">
        <f aca="false">SUMPRODUCT(--ISNUMBER(ラグ走査_作業!$AY$4:$AY$17),--ISNUMBER(企業売上!$J$4:$J$17))</f>
        <v>7</v>
      </c>
      <c r="Q29" s="3" t="n">
        <f aca="false">SUMPRODUCT(--ISNUMBER(ラグ走査_作業!$AY$4:$AY$17),--ISNUMBER(企業売上!$K$4:$K$17))</f>
        <v>7</v>
      </c>
      <c r="R29" s="3" t="n">
        <f aca="false">SUMPRODUCT(--ISNUMBER(ラグ走査_作業!$BL$4:$BL$17),--ISNUMBER(企業売上!$H$4:$H$17))</f>
        <v>12</v>
      </c>
      <c r="S29" s="3" t="n">
        <f aca="false">SUMPRODUCT(--ISNUMBER(ラグ走査_作業!$BL$4:$BL$17),--ISNUMBER(企業売上!$I$4:$I$17))</f>
        <v>12</v>
      </c>
      <c r="T29" s="3" t="n">
        <f aca="false">SUMPRODUCT(--ISNUMBER(ラグ走査_作業!$BL$4:$BL$17),--ISNUMBER(企業売上!$J$4:$J$17))</f>
        <v>11</v>
      </c>
      <c r="U29" s="3" t="n">
        <f aca="false">SUMPRODUCT(--ISNUMBER(ラグ走査_作業!$BL$4:$BL$17),--ISNUMBER(企業売上!$K$4:$K$17))</f>
        <v>11</v>
      </c>
    </row>
    <row r="30" customFormat="false" ht="15" hidden="false" customHeight="false" outlineLevel="0" collapsed="false">
      <c r="A30" s="3" t="n">
        <v>4</v>
      </c>
      <c r="B30" s="3" t="n">
        <f aca="false">SUMPRODUCT(--ISNUMBER(ラグ走査_作業!$M$4:$M$17),--ISNUMBER(企業売上!$H$4:$H$17))</f>
        <v>12</v>
      </c>
      <c r="C30" s="3" t="n">
        <f aca="false">SUMPRODUCT(--ISNUMBER(ラグ走査_作業!$M$4:$M$17),--ISNUMBER(企業売上!$I$4:$I$17))</f>
        <v>12</v>
      </c>
      <c r="D30" s="3" t="n">
        <f aca="false">SUMPRODUCT(--ISNUMBER(ラグ走査_作業!$M$4:$M$17),--ISNUMBER(企業売上!$J$4:$J$17))</f>
        <v>11</v>
      </c>
      <c r="E30" s="3" t="n">
        <f aca="false">SUMPRODUCT(--ISNUMBER(ラグ走査_作業!$M$4:$M$17),--ISNUMBER(企業売上!$K$4:$K$17))</f>
        <v>11</v>
      </c>
      <c r="F30" s="3" t="n">
        <f aca="false">SUMPRODUCT(--ISNUMBER(ラグ走査_作業!$Z$4:$Z$17),--ISNUMBER(企業売上!$H$4:$H$17))</f>
        <v>12</v>
      </c>
      <c r="G30" s="3" t="n">
        <f aca="false">SUMPRODUCT(--ISNUMBER(ラグ走査_作業!$Z$4:$Z$17),--ISNUMBER(企業売上!$I$4:$I$17))</f>
        <v>12</v>
      </c>
      <c r="H30" s="3" t="n">
        <f aca="false">SUMPRODUCT(--ISNUMBER(ラグ走査_作業!$Z$4:$Z$17),--ISNUMBER(企業売上!$J$4:$J$17))</f>
        <v>11</v>
      </c>
      <c r="I30" s="3" t="n">
        <f aca="false">SUMPRODUCT(--ISNUMBER(ラグ走査_作業!$Z$4:$Z$17),--ISNUMBER(企業売上!$K$4:$K$17))</f>
        <v>11</v>
      </c>
      <c r="J30" s="3" t="n">
        <f aca="false">SUMPRODUCT(--ISNUMBER(ラグ走査_作業!$AM$4:$AM$17),--ISNUMBER(企業売上!$H$4:$H$17))</f>
        <v>12</v>
      </c>
      <c r="K30" s="3" t="n">
        <f aca="false">SUMPRODUCT(--ISNUMBER(ラグ走査_作業!$AM$4:$AM$17),--ISNUMBER(企業売上!$I$4:$I$17))</f>
        <v>12</v>
      </c>
      <c r="L30" s="3" t="n">
        <f aca="false">SUMPRODUCT(--ISNUMBER(ラグ走査_作業!$AM$4:$AM$17),--ISNUMBER(企業売上!$J$4:$J$17))</f>
        <v>11</v>
      </c>
      <c r="M30" s="3" t="n">
        <f aca="false">SUMPRODUCT(--ISNUMBER(ラグ走査_作業!$AM$4:$AM$17),--ISNUMBER(企業売上!$K$4:$K$17))</f>
        <v>11</v>
      </c>
      <c r="N30" s="3" t="n">
        <f aca="false">SUMPRODUCT(--ISNUMBER(ラグ走査_作業!$AZ$4:$AZ$17),--ISNUMBER(企業売上!$H$4:$H$17))</f>
        <v>7</v>
      </c>
      <c r="O30" s="3" t="n">
        <f aca="false">SUMPRODUCT(--ISNUMBER(ラグ走査_作業!$AZ$4:$AZ$17),--ISNUMBER(企業売上!$I$4:$I$17))</f>
        <v>7</v>
      </c>
      <c r="P30" s="3" t="n">
        <f aca="false">SUMPRODUCT(--ISNUMBER(ラグ走査_作業!$AZ$4:$AZ$17),--ISNUMBER(企業売上!$J$4:$J$17))</f>
        <v>7</v>
      </c>
      <c r="Q30" s="3" t="n">
        <f aca="false">SUMPRODUCT(--ISNUMBER(ラグ走査_作業!$AZ$4:$AZ$17),--ISNUMBER(企業売上!$K$4:$K$17))</f>
        <v>7</v>
      </c>
      <c r="R30" s="3" t="n">
        <f aca="false">SUMPRODUCT(--ISNUMBER(ラグ走査_作業!$BM$4:$BM$17),--ISNUMBER(企業売上!$H$4:$H$17))</f>
        <v>12</v>
      </c>
      <c r="S30" s="3" t="n">
        <f aca="false">SUMPRODUCT(--ISNUMBER(ラグ走査_作業!$BM$4:$BM$17),--ISNUMBER(企業売上!$I$4:$I$17))</f>
        <v>12</v>
      </c>
      <c r="T30" s="3" t="n">
        <f aca="false">SUMPRODUCT(--ISNUMBER(ラグ走査_作業!$BM$4:$BM$17),--ISNUMBER(企業売上!$J$4:$J$17))</f>
        <v>11</v>
      </c>
      <c r="U30" s="3" t="n">
        <f aca="false">SUMPRODUCT(--ISNUMBER(ラグ走査_作業!$BM$4:$BM$17),--ISNUMBER(企業売上!$K$4:$K$17))</f>
        <v>11</v>
      </c>
    </row>
    <row r="31" customFormat="false" ht="15" hidden="false" customHeight="false" outlineLevel="0" collapsed="false">
      <c r="A31" s="3" t="n">
        <v>5</v>
      </c>
      <c r="B31" s="3" t="n">
        <f aca="false">SUMPRODUCT(--ISNUMBER(ラグ走査_作業!$N$4:$N$17),--ISNUMBER(企業売上!$H$4:$H$17))</f>
        <v>12</v>
      </c>
      <c r="C31" s="3" t="n">
        <f aca="false">SUMPRODUCT(--ISNUMBER(ラグ走査_作業!$N$4:$N$17),--ISNUMBER(企業売上!$I$4:$I$17))</f>
        <v>12</v>
      </c>
      <c r="D31" s="3" t="n">
        <f aca="false">SUMPRODUCT(--ISNUMBER(ラグ走査_作業!$N$4:$N$17),--ISNUMBER(企業売上!$J$4:$J$17))</f>
        <v>11</v>
      </c>
      <c r="E31" s="3" t="n">
        <f aca="false">SUMPRODUCT(--ISNUMBER(ラグ走査_作業!$N$4:$N$17),--ISNUMBER(企業売上!$K$4:$K$17))</f>
        <v>11</v>
      </c>
      <c r="F31" s="3" t="n">
        <f aca="false">SUMPRODUCT(--ISNUMBER(ラグ走査_作業!$AA$4:$AA$17),--ISNUMBER(企業売上!$H$4:$H$17))</f>
        <v>12</v>
      </c>
      <c r="G31" s="3" t="n">
        <f aca="false">SUMPRODUCT(--ISNUMBER(ラグ走査_作業!$AA$4:$AA$17),--ISNUMBER(企業売上!$I$4:$I$17))</f>
        <v>12</v>
      </c>
      <c r="H31" s="3" t="n">
        <f aca="false">SUMPRODUCT(--ISNUMBER(ラグ走査_作業!$AA$4:$AA$17),--ISNUMBER(企業売上!$J$4:$J$17))</f>
        <v>11</v>
      </c>
      <c r="I31" s="3" t="n">
        <f aca="false">SUMPRODUCT(--ISNUMBER(ラグ走査_作業!$AA$4:$AA$17),--ISNUMBER(企業売上!$K$4:$K$17))</f>
        <v>11</v>
      </c>
      <c r="J31" s="3" t="n">
        <f aca="false">SUMPRODUCT(--ISNUMBER(ラグ走査_作業!$AN$4:$AN$17),--ISNUMBER(企業売上!$H$4:$H$17))</f>
        <v>11</v>
      </c>
      <c r="K31" s="3" t="n">
        <f aca="false">SUMPRODUCT(--ISNUMBER(ラグ走査_作業!$AN$4:$AN$17),--ISNUMBER(企業売上!$I$4:$I$17))</f>
        <v>11</v>
      </c>
      <c r="L31" s="3" t="n">
        <f aca="false">SUMPRODUCT(--ISNUMBER(ラグ走査_作業!$AN$4:$AN$17),--ISNUMBER(企業売上!$J$4:$J$17))</f>
        <v>10</v>
      </c>
      <c r="M31" s="3" t="n">
        <f aca="false">SUMPRODUCT(--ISNUMBER(ラグ走査_作業!$AN$4:$AN$17),--ISNUMBER(企業売上!$K$4:$K$17))</f>
        <v>10</v>
      </c>
      <c r="N31" s="3" t="n">
        <f aca="false">SUMPRODUCT(--ISNUMBER(ラグ走査_作業!$BA$4:$BA$17),--ISNUMBER(企業売上!$H$4:$H$17))</f>
        <v>7</v>
      </c>
      <c r="O31" s="3" t="n">
        <f aca="false">SUMPRODUCT(--ISNUMBER(ラグ走査_作業!$BA$4:$BA$17),--ISNUMBER(企業売上!$I$4:$I$17))</f>
        <v>7</v>
      </c>
      <c r="P31" s="3" t="n">
        <f aca="false">SUMPRODUCT(--ISNUMBER(ラグ走査_作業!$BA$4:$BA$17),--ISNUMBER(企業売上!$J$4:$J$17))</f>
        <v>7</v>
      </c>
      <c r="Q31" s="3" t="n">
        <f aca="false">SUMPRODUCT(--ISNUMBER(ラグ走査_作業!$BA$4:$BA$17),--ISNUMBER(企業売上!$K$4:$K$17))</f>
        <v>7</v>
      </c>
      <c r="R31" s="3" t="n">
        <f aca="false">SUMPRODUCT(--ISNUMBER(ラグ走査_作業!$BN$4:$BN$17),--ISNUMBER(企業売上!$H$4:$H$17))</f>
        <v>11</v>
      </c>
      <c r="S31" s="3" t="n">
        <f aca="false">SUMPRODUCT(--ISNUMBER(ラグ走査_作業!$BN$4:$BN$17),--ISNUMBER(企業売上!$I$4:$I$17))</f>
        <v>11</v>
      </c>
      <c r="T31" s="3" t="n">
        <f aca="false">SUMPRODUCT(--ISNUMBER(ラグ走査_作業!$BN$4:$BN$17),--ISNUMBER(企業売上!$J$4:$J$17))</f>
        <v>10</v>
      </c>
      <c r="U31" s="3" t="n">
        <f aca="false">SUMPRODUCT(--ISNUMBER(ラグ走査_作業!$BN$4:$BN$17),--ISNUMBER(企業売上!$K$4:$K$17))</f>
        <v>10</v>
      </c>
    </row>
    <row r="32" customFormat="false" ht="15" hidden="false" customHeight="false" outlineLevel="0" collapsed="false">
      <c r="A32" s="3" t="n">
        <v>6</v>
      </c>
      <c r="B32" s="3" t="n">
        <f aca="false">SUMPRODUCT(--ISNUMBER(ラグ走査_作業!$O$4:$O$17),--ISNUMBER(企業売上!$H$4:$H$17))</f>
        <v>11</v>
      </c>
      <c r="C32" s="3" t="n">
        <f aca="false">SUMPRODUCT(--ISNUMBER(ラグ走査_作業!$O$4:$O$17),--ISNUMBER(企業売上!$I$4:$I$17))</f>
        <v>11</v>
      </c>
      <c r="D32" s="3" t="n">
        <f aca="false">SUMPRODUCT(--ISNUMBER(ラグ走査_作業!$O$4:$O$17),--ISNUMBER(企業売上!$J$4:$J$17))</f>
        <v>10</v>
      </c>
      <c r="E32" s="3" t="n">
        <f aca="false">SUMPRODUCT(--ISNUMBER(ラグ走査_作業!$O$4:$O$17),--ISNUMBER(企業売上!$K$4:$K$17))</f>
        <v>10</v>
      </c>
      <c r="F32" s="3" t="n">
        <f aca="false">SUMPRODUCT(--ISNUMBER(ラグ走査_作業!$AB$4:$AB$17),--ISNUMBER(企業売上!$H$4:$H$17))</f>
        <v>11</v>
      </c>
      <c r="G32" s="3" t="n">
        <f aca="false">SUMPRODUCT(--ISNUMBER(ラグ走査_作業!$AB$4:$AB$17),--ISNUMBER(企業売上!$I$4:$I$17))</f>
        <v>11</v>
      </c>
      <c r="H32" s="3" t="n">
        <f aca="false">SUMPRODUCT(--ISNUMBER(ラグ走査_作業!$AB$4:$AB$17),--ISNUMBER(企業売上!$J$4:$J$17))</f>
        <v>10</v>
      </c>
      <c r="I32" s="3" t="n">
        <f aca="false">SUMPRODUCT(--ISNUMBER(ラグ走査_作業!$AB$4:$AB$17),--ISNUMBER(企業売上!$K$4:$K$17))</f>
        <v>10</v>
      </c>
      <c r="J32" s="3" t="n">
        <f aca="false">SUMPRODUCT(--ISNUMBER(ラグ走査_作業!$AO$4:$AO$17),--ISNUMBER(企業売上!$H$4:$H$17))</f>
        <v>11</v>
      </c>
      <c r="K32" s="3" t="n">
        <f aca="false">SUMPRODUCT(--ISNUMBER(ラグ走査_作業!$AO$4:$AO$17),--ISNUMBER(企業売上!$I$4:$I$17))</f>
        <v>11</v>
      </c>
      <c r="L32" s="3" t="n">
        <f aca="false">SUMPRODUCT(--ISNUMBER(ラグ走査_作業!$AO$4:$AO$17),--ISNUMBER(企業売上!$J$4:$J$17))</f>
        <v>10</v>
      </c>
      <c r="M32" s="3" t="n">
        <f aca="false">SUMPRODUCT(--ISNUMBER(ラグ走査_作業!$AO$4:$AO$17),--ISNUMBER(企業売上!$K$4:$K$17))</f>
        <v>10</v>
      </c>
      <c r="N32" s="3" t="n">
        <f aca="false">SUMPRODUCT(--ISNUMBER(ラグ走査_作業!$BB$4:$BB$17),--ISNUMBER(企業売上!$H$4:$H$17))</f>
        <v>7</v>
      </c>
      <c r="O32" s="3" t="n">
        <f aca="false">SUMPRODUCT(--ISNUMBER(ラグ走査_作業!$BB$4:$BB$17),--ISNUMBER(企業売上!$I$4:$I$17))</f>
        <v>7</v>
      </c>
      <c r="P32" s="3" t="n">
        <f aca="false">SUMPRODUCT(--ISNUMBER(ラグ走査_作業!$BB$4:$BB$17),--ISNUMBER(企業売上!$J$4:$J$17))</f>
        <v>7</v>
      </c>
      <c r="Q32" s="3" t="n">
        <f aca="false">SUMPRODUCT(--ISNUMBER(ラグ走査_作業!$BB$4:$BB$17),--ISNUMBER(企業売上!$K$4:$K$17))</f>
        <v>7</v>
      </c>
      <c r="R32" s="3" t="n">
        <f aca="false">SUMPRODUCT(--ISNUMBER(ラグ走査_作業!$BO$4:$BO$17),--ISNUMBER(企業売上!$H$4:$H$17))</f>
        <v>11</v>
      </c>
      <c r="S32" s="3" t="n">
        <f aca="false">SUMPRODUCT(--ISNUMBER(ラグ走査_作業!$BO$4:$BO$17),--ISNUMBER(企業売上!$I$4:$I$17))</f>
        <v>11</v>
      </c>
      <c r="T32" s="3" t="n">
        <f aca="false">SUMPRODUCT(--ISNUMBER(ラグ走査_作業!$BO$4:$BO$17),--ISNUMBER(企業売上!$J$4:$J$17))</f>
        <v>10</v>
      </c>
      <c r="U32" s="3" t="n">
        <f aca="false">SUMPRODUCT(--ISNUMBER(ラグ走査_作業!$BO$4:$BO$17),--ISNUMBER(企業売上!$K$4:$K$17))</f>
        <v>10</v>
      </c>
    </row>
    <row r="33" customFormat="false" ht="15" hidden="false" customHeight="fals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</row>
    <row r="34" customFormat="false" ht="15" hidden="false" customHeight="false" outlineLevel="0" collapsed="false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</row>
    <row r="35" customFormat="false" ht="15" hidden="false" customHeight="false" outlineLevel="0" collapsed="false">
      <c r="A35" s="4" t="s">
        <v>227</v>
      </c>
      <c r="B35" s="3" t="n">
        <f aca="false">INDEX($A$4:$A$16,MATCH(MAX(B4:B16),B4:B16,0))</f>
        <v>4</v>
      </c>
      <c r="C35" s="3" t="n">
        <f aca="false">INDEX($A$4:$A$16,MATCH(MAX(C4:C16),C4:C16,0))</f>
        <v>5</v>
      </c>
      <c r="D35" s="3" t="n">
        <f aca="false">INDEX($A$4:$A$16,MATCH(MAX(D4:D16),D4:D16,0))</f>
        <v>4</v>
      </c>
      <c r="E35" s="3" t="n">
        <f aca="false">INDEX($A$4:$A$16,MATCH(MAX(E4:E16),E4:E16,0))</f>
        <v>0</v>
      </c>
      <c r="F35" s="3" t="n">
        <f aca="false">INDEX($A$4:$A$16,MATCH(MAX(F4:F16),F4:F16,0))</f>
        <v>3</v>
      </c>
      <c r="G35" s="3" t="n">
        <f aca="false">INDEX($A$4:$A$16,MATCH(MAX(G4:G16),G4:G16,0))</f>
        <v>3</v>
      </c>
      <c r="H35" s="3" t="n">
        <f aca="false">INDEX($A$4:$A$16,MATCH(MAX(H4:H16),H4:H16,0))</f>
        <v>-6</v>
      </c>
      <c r="I35" s="3" t="n">
        <f aca="false">INDEX($A$4:$A$16,MATCH(MAX(I4:I16),I4:I16,0))</f>
        <v>3</v>
      </c>
      <c r="J35" s="3" t="n">
        <f aca="false">INDEX($A$4:$A$16,MATCH(MAX(J4:J16),J4:J16,0))</f>
        <v>2</v>
      </c>
      <c r="K35" s="3" t="n">
        <f aca="false">INDEX($A$4:$A$16,MATCH(MAX(K4:K16),K4:K16,0))</f>
        <v>2</v>
      </c>
      <c r="L35" s="3" t="n">
        <f aca="false">INDEX($A$4:$A$16,MATCH(MAX(L4:L16),L4:L16,0))</f>
        <v>-3</v>
      </c>
      <c r="M35" s="3" t="n">
        <f aca="false">INDEX($A$4:$A$16,MATCH(MAX(M4:M16),M4:M16,0))</f>
        <v>2</v>
      </c>
      <c r="N35" s="3" t="n">
        <f aca="false">INDEX($A$4:$A$16,MATCH(MAX(N4:N16),N4:N16,0))</f>
        <v>-3</v>
      </c>
      <c r="O35" s="3" t="n">
        <f aca="false">INDEX($A$4:$A$16,MATCH(MAX(O4:O16),O4:O16,0))</f>
        <v>-2</v>
      </c>
      <c r="P35" s="3" t="n">
        <f aca="false">INDEX($A$4:$A$16,MATCH(MAX(P4:P16),P4:P16,0))</f>
        <v>4</v>
      </c>
      <c r="Q35" s="3" t="n">
        <f aca="false">INDEX($A$4:$A$16,MATCH(MAX(Q4:Q16),Q4:Q16,0))</f>
        <v>-3</v>
      </c>
      <c r="R35" s="3" t="n">
        <f aca="false">INDEX($A$4:$A$16,MATCH(MAX(R4:R16),R4:R16,0))</f>
        <v>3</v>
      </c>
      <c r="S35" s="3" t="n">
        <f aca="false">INDEX($A$4:$A$16,MATCH(MAX(S4:S16),S4:S16,0))</f>
        <v>5</v>
      </c>
      <c r="T35" s="3" t="n">
        <f aca="false">INDEX($A$4:$A$16,MATCH(MAX(T4:T16),T4:T16,0))</f>
        <v>4</v>
      </c>
      <c r="U35" s="3" t="n">
        <f aca="false">INDEX($A$4:$A$16,MATCH(MAX(U4:U16),U4:U16,0))</f>
        <v>3</v>
      </c>
    </row>
    <row r="36" customFormat="false" ht="15" hidden="false" customHeight="false" outlineLevel="0" collapsed="false">
      <c r="A36" s="9" t="s">
        <v>228</v>
      </c>
      <c r="B36" s="11" t="n">
        <f aca="false">MAX(B4:B16)</f>
        <v>0.484654050900439</v>
      </c>
      <c r="C36" s="11" t="n">
        <f aca="false">MAX(C4:C16)</f>
        <v>0.472260552828494</v>
      </c>
      <c r="D36" s="11" t="n">
        <f aca="false">MAX(D4:D16)</f>
        <v>0.59352719688794</v>
      </c>
      <c r="E36" s="11" t="n">
        <f aca="false">MAX(E4:E16)</f>
        <v>0.291838014439082</v>
      </c>
      <c r="F36" s="11" t="n">
        <f aca="false">MAX(F4:F16)</f>
        <v>0.902357863772355</v>
      </c>
      <c r="G36" s="11" t="n">
        <f aca="false">MAX(G4:G16)</f>
        <v>0.842991158590962</v>
      </c>
      <c r="H36" s="11" t="n">
        <f aca="false">MAX(H4:H16)</f>
        <v>0.243126022898872</v>
      </c>
      <c r="I36" s="11" t="n">
        <f aca="false">MAX(I4:I16)</f>
        <v>0.839111596998112</v>
      </c>
      <c r="J36" s="11" t="n">
        <f aca="false">MAX(J4:J16)</f>
        <v>0.689537796834836</v>
      </c>
      <c r="K36" s="11" t="n">
        <f aca="false">MAX(K4:K16)</f>
        <v>0.497718294852646</v>
      </c>
      <c r="L36" s="11" t="n">
        <f aca="false">MAX(L4:L16)</f>
        <v>0.497412714178237</v>
      </c>
      <c r="M36" s="11" t="n">
        <f aca="false">MAX(M4:M16)</f>
        <v>0.673899839561144</v>
      </c>
      <c r="N36" s="11" t="n">
        <f aca="false">MAX(N4:N16)</f>
        <v>0.730525025914069</v>
      </c>
      <c r="O36" s="11" t="n">
        <f aca="false">MAX(O4:O16)</f>
        <v>0.614731698869492</v>
      </c>
      <c r="P36" s="11" t="n">
        <f aca="false">MAX(P4:P16)</f>
        <v>0.666229129287367</v>
      </c>
      <c r="Q36" s="11" t="n">
        <f aca="false">MAX(Q4:Q16)</f>
        <v>0.657632588805529</v>
      </c>
      <c r="R36" s="11" t="n">
        <f aca="false">MAX(R4:R16)</f>
        <v>0.736966993100709</v>
      </c>
      <c r="S36" s="11" t="n">
        <f aca="false">MAX(S4:S16)</f>
        <v>0.674166592863325</v>
      </c>
      <c r="T36" s="11" t="n">
        <f aca="false">MAX(T4:T16)</f>
        <v>0.364902019771731</v>
      </c>
      <c r="U36" s="11" t="n">
        <f aca="false">MAX(U4:U16)</f>
        <v>0.441887326129305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2026-09-29T23:42:19Z</dcterms:created>
  <dc:creator>openpyxl</dc:creator>
  <dc:description/>
  <dc:language>en-US</dc:language>
  <cp:lastModifiedBy/>
  <dcterms:modified xsi:type="dcterms:W3CDTF">2026-09-30T08:42:24Z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