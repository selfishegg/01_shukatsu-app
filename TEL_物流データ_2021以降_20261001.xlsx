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34b3816dc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e79b24d81ef74696"/>
    <x:sheet xmlns:r="http://schemas.openxmlformats.org/officeDocument/2006/relationships" name="港湾月次" sheetId="2" r:id="R3c5198846e5e4e6f"/>
    <x:sheet xmlns:r="http://schemas.openxmlformats.org/officeDocument/2006/relationships" name="道路月次_熊本" sheetId="3" r:id="R1935b4b7a29b4fc9"/>
    <x:sheet xmlns:r="http://schemas.openxmlformats.org/officeDocument/2006/relationships" name="全国貨物月次" sheetId="4" r:id="R2f0fc69a15da42d7"/>
    <x:sheet xmlns:r="http://schemas.openxmlformats.org/officeDocument/2006/relationships" name="道路交通量_2021" sheetId="5" r:id="R7685524198aa443a"/>
    <x:sheet xmlns:r="http://schemas.openxmlformats.org/officeDocument/2006/relationships" name="拠点と更新" sheetId="6" r:id="R0d18ef7b9fb7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"/>
    <x:numFmt numFmtId="202" formatCode="0.0%"/>
    <x:numFmt numFmtId="203" formatCode="#,##0.0"/>
    <x:numFmt numFmtId="204" formatCode="0.0"/>
  </x:numFmts>
  <x:fonts count="7">
    <x:font>
      <x:sz val="11"/>
      <x:name val="Carlito"/>
    </x:font>
    <x:font>
      <x:sz val="10"/>
      <x:color rgb="FF172B3A"/>
      <x:name val="Noto Sans CJK JP"/>
    </x:font>
    <x:font>
      <x:b/>
      <x:sz val="10"/>
      <x:color rgb="FFFFFFFF"/>
      <x:name val="Noto Sans CJK JP"/>
    </x:font>
    <x:font>
      <x:b/>
      <x:sz val="15"/>
      <x:color rgb="FF172B3A"/>
      <x:name val="Noto Sans CJK JP"/>
    </x:font>
    <x:font>
      <x:b/>
      <x:sz val="16"/>
      <x:color rgb="FF172B3A"/>
      <x:name val="Noto Sans CJK JP"/>
    </x:font>
    <x:font>
      <x:sz val="10"/>
      <x:color rgb="FF576779"/>
      <x:name val="Noto Sans CJK JP"/>
    </x:font>
    <x:font>
      <x:b/>
      <x:sz val="10"/>
      <x:color rgb="FF172B3A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0D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A5C16"/>
      </x:font>
      <x:fill>
        <x:patternFill patternType="solid">
          <x:bgColor rgb="FFFFF0D8"/>
        </x:patternFill>
      </x:fill>
    </x:dxf>
    <x:dxf>
      <x:font>
        <x:b/>
        <x:color rgb="FF8A5C16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98c21eeac46d9" /><Relationship Type="http://schemas.openxmlformats.org/officeDocument/2006/relationships/theme" Target="/xl/theme/theme1.xml" Id="Rafaccb7d0fcc4a37" /><Relationship Type="http://schemas.openxmlformats.org/officeDocument/2006/relationships/sharedStrings" Target="/xl/sharedStrings.xml" Id="R556243c6667f4538" /><Relationship Type="http://schemas.openxmlformats.org/officeDocument/2006/relationships/worksheet" Target="/xl/worksheets/sheet1.xml" Id="Re79b24d81ef74696" /><Relationship Type="http://schemas.openxmlformats.org/officeDocument/2006/relationships/worksheet" Target="/xl/worksheets/sheet2.xml" Id="R3c5198846e5e4e6f" /><Relationship Type="http://schemas.openxmlformats.org/officeDocument/2006/relationships/worksheet" Target="/xl/worksheets/sheet3.xml" Id="R1935b4b7a29b4fc9" /><Relationship Type="http://schemas.openxmlformats.org/officeDocument/2006/relationships/worksheet" Target="/xl/worksheets/sheet4.xml" Id="R2f0fc69a15da42d7" /><Relationship Type="http://schemas.openxmlformats.org/officeDocument/2006/relationships/worksheet" Target="/xl/worksheets/sheet5.xml" Id="R7685524198aa443a" /><Relationship Type="http://schemas.openxmlformats.org/officeDocument/2006/relationships/worksheet" Target="/xl/worksheets/sheet6.xml" Id="R0d18ef7b9fb74d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e2408bc68e45f6" /><Relationship Type="http://schemas.openxmlformats.org/officeDocument/2006/relationships/chart" Target="/xl/drawings/charts/chart2.xml" Id="R328bcbfc916f4db7" /><Relationship Type="http://schemas.openxmlformats.org/officeDocument/2006/relationships/chart" Target="/xl/drawings/charts/chart3.xml" Id="Re47b70795d144c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選択港湾の輸出貨物量（FT）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港湾輸出 FT</c:v>
          </c:tx>
          <c:spPr>
            <a:ln xmlns:a="http://schemas.openxmlformats.org/drawingml/2006/main" w="19050">
              <a:solidFill>
                <a:srgbClr val="183B56"/>
              </a:solidFill>
              <a:prstDash val="solid"/>
            </a:ln>
          </c:spPr>
          <c:marker>
            <c:symbol val="none"/>
          </c:marker>
          <c:cat>
            <c:strRef>
              <c:f>'サマリー'!$B$59:$B$126</c:f>
              <c:strCache>
                <c:ptCount val="0"/>
              </c:strCache>
            </c:strRef>
          </c:cat>
          <c:val>
            <c:numRef>
              <c:f>'サマリー'!$C$59:$C$126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選択道路地点の大型車交通量（台/日）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大型車 台/日</c:v>
          </c:tx>
          <c:spPr>
            <a:ln xmlns:a="http://schemas.openxmlformats.org/drawingml/2006/main" w="19050">
              <a:solidFill>
                <a:srgbClr val="287A83"/>
              </a:solidFill>
              <a:prstDash val="solid"/>
            </a:ln>
          </c:spPr>
          <c:marker>
            <c:symbol val="none"/>
          </c:marker>
          <c:cat>
            <c:strRef>
              <c:f>'サマリー'!$J$59:$J$84</c:f>
              <c:strCache>
                <c:ptCount val="0"/>
              </c:strCache>
            </c:strRef>
          </c:cat>
          <c:val>
            <c:numRef>
              <c:f>'サマリー'!$K$59:$K$84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oto Sans CJK JP"/>
                <a:ea typeface="Noto Sans CJK JP"/>
                <a:cs typeface="Noto Sans CJK JP"/>
              </a:rPr>
              <a:t>全国の営業用貨物自動車輸送量（千トン）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oto Sans CJK JP"/>
              <a:ea typeface="Noto Sans CJK JP"/>
              <a:cs typeface="Noto Sans CJK JP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営業用貨物 千トン</c:v>
          </c:tx>
          <c:spPr>
            <a:ln xmlns:a="http://schemas.openxmlformats.org/drawingml/2006/main" w="19050">
              <a:solidFill>
                <a:srgbClr val="C68131"/>
              </a:solidFill>
              <a:prstDash val="solid"/>
            </a:ln>
          </c:spPr>
          <c:marker>
            <c:symbol val="none"/>
          </c:marker>
          <c:cat>
            <c:strRef>
              <c:f>'サマリー'!$M$59:$M$121</c:f>
              <c:strCache>
                <c:ptCount val="0"/>
              </c:strCache>
            </c:strRef>
          </c:cat>
          <c:val>
            <c:numRef>
              <c:f>'サマリー'!$N$59:$N$121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CJK JP"/>
                <a:ea typeface="Noto Sans CJK JP"/>
                <a:cs typeface="Noto Sans CJK JP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CJK JP"/>
                <a:ea typeface="Noto Sans CJK JP"/>
                <a:cs typeface="Noto Sans CJK JP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e2408bc68e45f6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8bcbfc916f4db7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9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7b70795d144c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Monthly" displayName="PortMonthly" ref="A1:AB477" headerRowCount="1" totalsRowCount="0" totalsRowShown="0">
  <x:autoFilter ref="A1:AB477"/>
  <x:tableColumns count="28">
    <x:tableColumn id="1" name="年月"/>
    <x:tableColumn id="2" name="港湾"/>
    <x:tableColumn id="3" name="都道府県"/>
    <x:tableColumn id="4" name="貨物合計&#10;FT"/>
    <x:tableColumn id="5" name="貨物輸出&#10;FT"/>
    <x:tableColumn id="6" name="貨物輸入&#10;FT"/>
    <x:tableColumn id="7" name="貨物移出&#10;FT"/>
    <x:tableColumn id="8" name="貨物移入&#10;FT"/>
    <x:tableColumn id="9" name="コンテナ合計&#10;TEU"/>
    <x:tableColumn id="10" name="コンテナ輸出&#10;TEU"/>
    <x:tableColumn id="11" name="コンテナ輸入&#10;TEU"/>
    <x:tableColumn id="12" name="コンテナ移出&#10;TEU"/>
    <x:tableColumn id="13" name="コンテナ移入&#10;TEU"/>
    <x:tableColumn id="14" name="航送トラック等&#10;輸出 台"/>
    <x:tableColumn id="15" name="航送トラック等&#10;輸入 台"/>
    <x:tableColumn id="16" name="航送トラック等&#10;移出 台"/>
    <x:tableColumn id="17" name="航送トラック等&#10;移入 台"/>
    <x:tableColumn id="18" name="航送トラック等&#10;合計 台"/>
    <x:tableColumn id="19" name="商船入港&#10;合計 隻"/>
    <x:tableColumn id="20" name="商船入港&#10;外航 隻"/>
    <x:tableColumn id="21" name="原表集計時点"/>
    <x:tableColumn id="22" name="公開・更新日"/>
    <x:tableColumn id="23" name="出典URL"/>
    <x:tableColumn id="24" name="原表位置"/>
    <x:tableColumn id="25" name="貨物集計状況"/>
    <x:tableColumn id="26" name="貨物輸出&#10;前年比"/>
    <x:tableColumn id="27" name="貨物輸出&#10;3か月平均 FT"/>
    <x:tableColumn id="28" name="コンテナ輸出&#10;前年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onthly" displayName="RoadMonthly" ref="A1:N313" headerRowCount="1" totalsRowCount="0" totalsRowShown="0">
  <x:autoFilter ref="A1:N313"/>
  <x:tableColumns count="14">
    <x:tableColumn id="1" name="年月"/>
    <x:tableColumn id="2" name="観測地点ID"/>
    <x:tableColumn id="3" name="地点名"/>
    <x:tableColumn id="4" name="路線"/>
    <x:tableColumn id="5" name="所在地"/>
    <x:tableColumn id="6" name="日区分"/>
    <x:tableColumn id="7" name="全車平均&#10;台/日"/>
    <x:tableColumn id="8" name="小型車平均&#10;台/日"/>
    <x:tableColumn id="9" name="大型車平均&#10;台/日"/>
    <x:tableColumn id="10" name="大型車比率"/>
    <x:tableColumn id="11" name="大型車&#10;前年比"/>
    <x:tableColumn id="12" name="取得状況"/>
    <x:tableColumn id="13" name="交通量データURL"/>
    <x:tableColumn id="14" name="地点情報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uckMonthly" displayName="TruckMonthly" ref="A1:Q64" headerRowCount="1" totalsRowCount="0" totalsRowShown="0">
  <x:autoFilter ref="A1:Q64"/>
  <x:tableColumns count="17">
    <x:tableColumn id="1" name="年月"/>
    <x:tableColumn id="2" name="貨物合計&#10;千トン"/>
    <x:tableColumn id="3" name="営業用計&#10;千トン"/>
    <x:tableColumn id="4" name="自家用計&#10;千トン"/>
    <x:tableColumn id="5" name="営業用普通車&#10;千トン"/>
    <x:tableColumn id="6" name="普通車3t未満&#10;千トン"/>
    <x:tableColumn id="7" name="普通車3～6.5t&#10;千トン"/>
    <x:tableColumn id="8" name="普通車6.5～11t&#10;千トン"/>
    <x:tableColumn id="9" name="普通車11～16t&#10;千トン"/>
    <x:tableColumn id="10" name="普通車16t以上&#10;千トン"/>
    <x:tableColumn id="11" name="貨物合計&#10;前年比"/>
    <x:tableColumn id="12" name="営業用計&#10;前年比"/>
    <x:tableColumn id="13" name="営業用3か月平均&#10;千トン"/>
    <x:tableColumn id="14" name="公開・更新日"/>
    <x:tableColumn id="15" name="出典URL"/>
    <x:tableColumn id="16" name="原表位置"/>
    <x:tableColumn id="17" name="原表合計との差&#10;千トン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adCensus2021" displayName="RoadCensus2021" ref="A1:W368" headerRowCount="1" totalsRowCount="0" totalsRowShown="0">
  <x:autoFilter ref="A1:W368"/>
  <x:tableColumns count="23">
    <x:tableColumn id="1" name="対象地域"/>
    <x:tableColumn id="2" name="基本区間番号"/>
    <x:tableColumn id="3" name="交通量調査単位ID"/>
    <x:tableColumn id="4" name="市区町村コード"/>
    <x:tableColumn id="5" name="路線名"/>
    <x:tableColumn id="6" name="上り観測地点"/>
    <x:tableColumn id="7" name="下り観測地点"/>
    <x:tableColumn id="8" name="上り&#10;観測・推定"/>
    <x:tableColumn id="9" name="下り&#10;観測・推定"/>
    <x:tableColumn id="10" name="上り&#10;観測時間"/>
    <x:tableColumn id="11" name="下り&#10;観測時間"/>
    <x:tableColumn id="12" name="上り観測日&#10;原表コード"/>
    <x:tableColumn id="13" name="下り観測日&#10;原表コード"/>
    <x:tableColumn id="14" name="12時間小型車&#10;上下合計 台"/>
    <x:tableColumn id="15" name="12時間大型車&#10;上下合計 台"/>
    <x:tableColumn id="16" name="12時間全車&#10;上下合計 台"/>
    <x:tableColumn id="17" name="24時間小型車&#10;上下合計 台"/>
    <x:tableColumn id="18" name="24時間大型車&#10;上下合計 台"/>
    <x:tableColumn id="19" name="24時間全車&#10;上下合計 台"/>
    <x:tableColumn id="20" name="12時間大型車&#10;混入率 %"/>
    <x:tableColumn id="21" name="調査年度"/>
    <x:tableColumn id="22" name="出典URL"/>
    <x:tableColumn id="23" name="原表CSV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540849d1ed4b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1b3b9de89e44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38e7d1c56e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baf4287fe1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74f89e6dbf4253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14" t="str">
        <x:v>TEL関連地域の物流データ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15" t="str">
        <x:v>取得日：2026年10月1日。地域物流の実績データ。TEL専用の出荷データではありません。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1" customHeight="1">
      <x:c r="A5" s="2" t="str">
        <x:v>表示する港湾</x:v>
      </x:c>
      <x:c r="B5" s="16" t="str">
        <x:v>仙台塩釜</x:v>
      </x:c>
      <x:c r="C5" s="2"/>
      <x:c r="D5" s="15" t="str">
        <x:v>港湾：2021年1月～2026年8月の枠。数値のある最新月は港ごとに異なります。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1" customHeight="1">
      <x:c r="A6" s="2" t="str">
        <x:v>道路の地点</x:v>
      </x:c>
      <x:c r="B6" s="16" t="str">
        <x:v>大津</x:v>
      </x:c>
      <x:c r="C6" s="2"/>
      <x:c r="D6" s="15" t="str">
        <x:v>道路月次：熊本4地点、2024年4月～2026年5月。2021～2023年は未取得。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1" customHeight="1">
      <x:c r="A7" s="2" t="str">
        <x:v>道路の日区分</x:v>
      </x:c>
      <x:c r="B7" s="16" t="str">
        <x:v>全日</x:v>
      </x:c>
      <x:c r="C7" s="2"/>
      <x:c r="D7" s="15" t="str">
        <x:v>全国貨物：2021年1月～2026年3月。道路2021：4地域367区間。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43" customHeight="1">
      <x:c r="A10" s="6" t="str">
        <x:v>港湾</x:v>
      </x:c>
      <x:c r="B10" s="6" t="str">
        <x:v>最新数値月</x:v>
      </x:c>
      <x:c r="C10" s="6" t="str">
        <x:v>最新輸出 FT</x:v>
      </x:c>
      <x:c r="D10" s="6" t="str">
        <x:v>2025輸出 FT</x:v>
      </x:c>
      <x:c r="E10" s="6" t="str">
        <x:v>輸出前年比</x:v>
      </x:c>
      <x:c r="F10" s="6" t="str">
        <x:v>2025輸出 TEU</x:v>
      </x:c>
      <x:c r="G10" s="6" t="str">
        <x:v>2025月数</x:v>
      </x:c>
      <x:c r="H10" s="6" t="str">
        <x:v>2021以降月数</x:v>
      </x:c>
      <x:c r="I10" s="2"/>
      <x:c r="J10" s="17" t="str">
        <x:v>収録内容</x:v>
      </x:c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1" customHeight="1">
      <x:c r="A11" s="2" t="str">
        <x:v>仙台塩釜</x:v>
      </x:c>
      <x:c r="B11" s="7" t="n">
        <x:v>46113</x:v>
      </x:c>
      <x:c r="C11" s="8" t="n">
        <x:f>SUMIFS('港湾月次'!$E$2:$E$477,'港湾月次'!$A$2:$A$477,B11,'港湾月次'!$B$2:$B$477,A11)</x:f>
        <x:v>71540</x:v>
      </x:c>
      <x:c r="D11" s="8" t="n">
        <x:f>IF(COUNTIFS('港湾月次'!$B$2:$B$477,A11,'港湾月次'!$A$2:$A$477,"&gt;="&amp;DATE(2025,1,1),'港湾月次'!$A$2:$A$477,"&lt;"&amp;DATE(2026,1,1),'港湾月次'!$E$2:$E$477,"&gt;=0")=12,SUMIFS('港湾月次'!$E$2:$E$477,'港湾月次'!$B$2:$B$477,A11,'港湾月次'!$A$2:$A$477,"&gt;="&amp;DATE(2025,1,1),'港湾月次'!$A$2:$A$477,"&lt;"&amp;DATE(2026,1,1)),"")</x:f>
        <x:v>1607435</x:v>
      </x:c>
      <x:c r="E11" s="9" t="n">
        <x:f>IF(AND(ISNUMBER(D11),COUNTIFS('港湾月次'!$B$2:$B$477,A11,'港湾月次'!$A$2:$A$477,"&gt;="&amp;DATE(2024,1,1),'港湾月次'!$A$2:$A$477,"&lt;"&amp;DATE(2025,1,1),'港湾月次'!$E$2:$E$477,"&gt;=0")=12),D11/SUMIFS('港湾月次'!$E$2:$E$477,'港湾月次'!$B$2:$B$477,A11,'港湾月次'!$A$2:$A$477,"&gt;="&amp;DATE(2024,1,1),'港湾月次'!$A$2:$A$477,"&lt;"&amp;DATE(2025,1,1))-1,"")</x:f>
        <x:v>0.037985677478513</x:v>
      </x:c>
      <x:c r="F11" s="8" t="n">
        <x:f>IF(COUNTIFS('港湾月次'!$B$2:$B$477,A11,'港湾月次'!$A$2:$A$477,"&gt;="&amp;DATE(2025,1,1),'港湾月次'!$A$2:$A$477,"&lt;"&amp;DATE(2026,1,1),'港湾月次'!$J$2:$J$477,"&gt;=0")=12,SUMIFS('港湾月次'!$J$2:$J$477,'港湾月次'!$B$2:$B$477,A11,'港湾月次'!$A$2:$A$477,"&gt;="&amp;DATE(2025,1,1),'港湾月次'!$A$2:$A$477,"&lt;"&amp;DATE(2026,1,1)),"")</x:f>
        <x:v>68438</x:v>
      </x:c>
      <x:c r="G11" s="8" t="n">
        <x:f>COUNTIFS('港湾月次'!$B$2:$B$477,A11,'港湾月次'!$A$2:$A$477,"&gt;="&amp;DATE(2025,1,1),'港湾月次'!$A$2:$A$477,"&lt;"&amp;DATE(2026,1,1),'港湾月次'!$D$2:$D$477,"&gt;=0")</x:f>
        <x:v>12</x:v>
      </x:c>
      <x:c r="H11" s="8" t="n">
        <x:f>COUNTIFS('港湾月次'!$B$2:$B$477,A11,'港湾月次'!$D$2:$D$477,"&gt;=0")</x:f>
        <x:v>64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1" customHeight="1">
      <x:c r="A12" s="2" t="str">
        <x:v>東京</x:v>
      </x:c>
      <x:c r="B12" s="7" t="n">
        <x:v>46143</x:v>
      </x:c>
      <x:c r="C12" s="8" t="n">
        <x:f>SUMIFS('港湾月次'!$E$2:$E$477,'港湾月次'!$A$2:$A$477,B12,'港湾月次'!$B$2:$B$477,A12)</x:f>
        <x:v>766935</x:v>
      </x:c>
      <x:c r="D12" s="8" t="n">
        <x:f>IF(COUNTIFS('港湾月次'!$B$2:$B$477,A12,'港湾月次'!$A$2:$A$477,"&gt;="&amp;DATE(2025,1,1),'港湾月次'!$A$2:$A$477,"&lt;"&amp;DATE(2026,1,1),'港湾月次'!$E$2:$E$477,"&gt;=0")=12,SUMIFS('港湾月次'!$E$2:$E$477,'港湾月次'!$B$2:$B$477,A12,'港湾月次'!$A$2:$A$477,"&gt;="&amp;DATE(2025,1,1),'港湾月次'!$A$2:$A$477,"&lt;"&amp;DATE(2026,1,1)),"")</x:f>
        <x:v>10615254</x:v>
      </x:c>
      <x:c r="E12" s="9" t="n">
        <x:f>IF(AND(ISNUMBER(D12),COUNTIFS('港湾月次'!$B$2:$B$477,A12,'港湾月次'!$A$2:$A$477,"&gt;="&amp;DATE(2024,1,1),'港湾月次'!$A$2:$A$477,"&lt;"&amp;DATE(2025,1,1),'港湾月次'!$E$2:$E$477,"&gt;=0")=12),D12/SUMIFS('港湾月次'!$E$2:$E$477,'港湾月次'!$B$2:$B$477,A12,'港湾月次'!$A$2:$A$477,"&gt;="&amp;DATE(2024,1,1),'港湾月次'!$A$2:$A$477,"&lt;"&amp;DATE(2025,1,1))-1,"")</x:f>
        <x:v>-0.046206612312077344</x:v>
      </x:c>
      <x:c r="F12" s="8" t="n">
        <x:f>IF(COUNTIFS('港湾月次'!$B$2:$B$477,A12,'港湾月次'!$A$2:$A$477,"&gt;="&amp;DATE(2025,1,1),'港湾月次'!$A$2:$A$477,"&lt;"&amp;DATE(2026,1,1),'港湾月次'!$J$2:$J$477,"&gt;=0")=12,SUMIFS('港湾月次'!$J$2:$J$477,'港湾月次'!$B$2:$B$477,A12,'港湾月次'!$A$2:$A$477,"&gt;="&amp;DATE(2025,1,1),'港湾月次'!$A$2:$A$477,"&lt;"&amp;DATE(2026,1,1)),"")</x:f>
        <x:v>1903547</x:v>
      </x:c>
      <x:c r="G12" s="8" t="n">
        <x:f>COUNTIFS('港湾月次'!$B$2:$B$477,A12,'港湾月次'!$A$2:$A$477,"&gt;="&amp;DATE(2025,1,1),'港湾月次'!$A$2:$A$477,"&lt;"&amp;DATE(2026,1,1),'港湾月次'!$D$2:$D$477,"&gt;=0")</x:f>
        <x:v>12</x:v>
      </x:c>
      <x:c r="H12" s="8" t="n">
        <x:f>COUNTIFS('港湾月次'!$B$2:$B$477,A12,'港湾月次'!$D$2:$D$477,"&gt;=0")</x:f>
        <x:v>65</x:v>
      </x:c>
      <x:c r="I12" s="2"/>
      <x:c r="J12" s="2" t="str">
        <x:v>港湾月次 476行／7港</x:v>
      </x:c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1" customHeight="1">
      <x:c r="A13" s="2" t="str">
        <x:v>横浜</x:v>
      </x:c>
      <x:c r="B13" s="7" t="n">
        <x:v>46143</x:v>
      </x:c>
      <x:c r="C13" s="8" t="n">
        <x:f>SUMIFS('港湾月次'!$E$2:$E$477,'港湾月次'!$A$2:$A$477,B13,'港湾月次'!$B$2:$B$477,A13)</x:f>
        <x:v>2285691</x:v>
      </x:c>
      <x:c r="D13" s="8" t="n">
        <x:f>IF(COUNTIFS('港湾月次'!$B$2:$B$477,A13,'港湾月次'!$A$2:$A$477,"&gt;="&amp;DATE(2025,1,1),'港湾月次'!$A$2:$A$477,"&lt;"&amp;DATE(2026,1,1),'港湾月次'!$E$2:$E$477,"&gt;=0")=12,SUMIFS('港湾月次'!$E$2:$E$477,'港湾月次'!$B$2:$B$477,A13,'港湾月次'!$A$2:$A$477,"&gt;="&amp;DATE(2025,1,1),'港湾月次'!$A$2:$A$477,"&lt;"&amp;DATE(2026,1,1)),"")</x:f>
        <x:v>30768004</x:v>
      </x:c>
      <x:c r="E13" s="9" t="n">
        <x:f>IF(AND(ISNUMBER(D13),COUNTIFS('港湾月次'!$B$2:$B$477,A13,'港湾月次'!$A$2:$A$477,"&gt;="&amp;DATE(2024,1,1),'港湾月次'!$A$2:$A$477,"&lt;"&amp;DATE(2025,1,1),'港湾月次'!$E$2:$E$477,"&gt;=0")=12),D13/SUMIFS('港湾月次'!$E$2:$E$477,'港湾月次'!$B$2:$B$477,A13,'港湾月次'!$A$2:$A$477,"&gt;="&amp;DATE(2024,1,1),'港湾月次'!$A$2:$A$477,"&lt;"&amp;DATE(2025,1,1))-1,"")</x:f>
        <x:v>0.06043499887228854</x:v>
      </x:c>
      <x:c r="F13" s="8" t="n">
        <x:f>IF(COUNTIFS('港湾月次'!$B$2:$B$477,A13,'港湾月次'!$A$2:$A$477,"&gt;="&amp;DATE(2025,1,1),'港湾月次'!$A$2:$A$477,"&lt;"&amp;DATE(2026,1,1),'港湾月次'!$J$2:$J$477,"&gt;=0")=12,SUMIFS('港湾月次'!$J$2:$J$477,'港湾月次'!$B$2:$B$477,A13,'港湾月次'!$A$2:$A$477,"&gt;="&amp;DATE(2025,1,1),'港湾月次'!$A$2:$A$477,"&lt;"&amp;DATE(2026,1,1)),"")</x:f>
        <x:v>1528316</x:v>
      </x:c>
      <x:c r="G13" s="8" t="n">
        <x:f>COUNTIFS('港湾月次'!$B$2:$B$477,A13,'港湾月次'!$A$2:$A$477,"&gt;="&amp;DATE(2025,1,1),'港湾月次'!$A$2:$A$477,"&lt;"&amp;DATE(2026,1,1),'港湾月次'!$D$2:$D$477,"&gt;=0")</x:f>
        <x:v>12</x:v>
      </x:c>
      <x:c r="H13" s="8" t="n">
        <x:f>COUNTIFS('港湾月次'!$B$2:$B$477,A13,'港湾月次'!$D$2:$D$477,"&gt;=0")</x:f>
        <x:v>65</x:v>
      </x:c>
      <x:c r="I13" s="2"/>
      <x:c r="J13" s="2" t="str">
        <x:v>道路月次 312行／4地点・3日区分</x:v>
      </x:c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1" customHeight="1">
      <x:c r="A14" s="2" t="str">
        <x:v>清水</x:v>
      </x:c>
      <x:c r="B14" s="7" t="n">
        <x:v>46204</x:v>
      </x:c>
      <x:c r="C14" s="8" t="n">
        <x:f>SUMIFS('港湾月次'!$E$2:$E$477,'港湾月次'!$A$2:$A$477,B14,'港湾月次'!$B$2:$B$477,A14)</x:f>
        <x:v>281156</x:v>
      </x:c>
      <x:c r="D14" s="8" t="n">
        <x:f>IF(COUNTIFS('港湾月次'!$B$2:$B$477,A14,'港湾月次'!$A$2:$A$477,"&gt;="&amp;DATE(2025,1,1),'港湾月次'!$A$2:$A$477,"&lt;"&amp;DATE(2026,1,1),'港湾月次'!$E$2:$E$477,"&gt;=0")=12,SUMIFS('港湾月次'!$E$2:$E$477,'港湾月次'!$B$2:$B$477,A14,'港湾月次'!$A$2:$A$477,"&gt;="&amp;DATE(2025,1,1),'港湾月次'!$A$2:$A$477,"&lt;"&amp;DATE(2026,1,1)),"")</x:f>
        <x:v>3163062</x:v>
      </x:c>
      <x:c r="E14" s="9" t="n">
        <x:f>IF(AND(ISNUMBER(D14),COUNTIFS('港湾月次'!$B$2:$B$477,A14,'港湾月次'!$A$2:$A$477,"&gt;="&amp;DATE(2024,1,1),'港湾月次'!$A$2:$A$477,"&lt;"&amp;DATE(2025,1,1),'港湾月次'!$E$2:$E$477,"&gt;=0")=12),D14/SUMIFS('港湾月次'!$E$2:$E$477,'港湾月次'!$B$2:$B$477,A14,'港湾月次'!$A$2:$A$477,"&gt;="&amp;DATE(2024,1,1),'港湾月次'!$A$2:$A$477,"&lt;"&amp;DATE(2025,1,1))-1,"")</x:f>
        <x:v>-0.002941941340848131</x:v>
      </x:c>
      <x:c r="F14" s="8" t="n">
        <x:f>IF(COUNTIFS('港湾月次'!$B$2:$B$477,A14,'港湾月次'!$A$2:$A$477,"&gt;="&amp;DATE(2025,1,1),'港湾月次'!$A$2:$A$477,"&lt;"&amp;DATE(2026,1,1),'港湾月次'!$J$2:$J$477,"&gt;=0")=12,SUMIFS('港湾月次'!$J$2:$J$477,'港湾月次'!$B$2:$B$477,A14,'港湾月次'!$A$2:$A$477,"&gt;="&amp;DATE(2025,1,1),'港湾月次'!$A$2:$A$477,"&lt;"&amp;DATE(2026,1,1)),"")</x:f>
        <x:v>201581</x:v>
      </x:c>
      <x:c r="G14" s="8" t="n">
        <x:f>COUNTIFS('港湾月次'!$B$2:$B$477,A14,'港湾月次'!$A$2:$A$477,"&gt;="&amp;DATE(2025,1,1),'港湾月次'!$A$2:$A$477,"&lt;"&amp;DATE(2026,1,1),'港湾月次'!$D$2:$D$477,"&gt;=0")</x:f>
        <x:v>12</x:v>
      </x:c>
      <x:c r="H14" s="8" t="n">
        <x:f>COUNTIFS('港湾月次'!$B$2:$B$477,A14,'港湾月次'!$D$2:$D$477,"&gt;=0")</x:f>
        <x:v>67</x:v>
      </x:c>
      <x:c r="I14" s="2"/>
      <x:c r="J14" s="2" t="str">
        <x:v>全国貨物月次 63行</x:v>
      </x:c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1" customHeight="1">
      <x:c r="A15" s="2" t="str">
        <x:v>博多</x:v>
      </x:c>
      <x:c r="B15" s="7" t="n">
        <x:v>46143</x:v>
      </x:c>
      <x:c r="C15" s="8" t="n">
        <x:f>SUMIFS('港湾月次'!$E$2:$E$477,'港湾月次'!$A$2:$A$477,B15,'港湾月次'!$B$2:$B$477,A15)</x:f>
        <x:v>756028</x:v>
      </x:c>
      <x:c r="D15" s="8" t="n">
        <x:f>IF(COUNTIFS('港湾月次'!$B$2:$B$477,A15,'港湾月次'!$A$2:$A$477,"&gt;="&amp;DATE(2025,1,1),'港湾月次'!$A$2:$A$477,"&lt;"&amp;DATE(2026,1,1),'港湾月次'!$E$2:$E$477,"&gt;=0")=12,SUMIFS('港湾月次'!$E$2:$E$477,'港湾月次'!$B$2:$B$477,A15,'港湾月次'!$A$2:$A$477,"&gt;="&amp;DATE(2025,1,1),'港湾月次'!$A$2:$A$477,"&lt;"&amp;DATE(2026,1,1)),"")</x:f>
        <x:v>8817436</x:v>
      </x:c>
      <x:c r="E15" s="9" t="n">
        <x:f>IF(AND(ISNUMBER(D15),COUNTIFS('港湾月次'!$B$2:$B$477,A15,'港湾月次'!$A$2:$A$477,"&gt;="&amp;DATE(2024,1,1),'港湾月次'!$A$2:$A$477,"&lt;"&amp;DATE(2025,1,1),'港湾月次'!$E$2:$E$477,"&gt;=0")=12),D15/SUMIFS('港湾月次'!$E$2:$E$477,'港湾月次'!$B$2:$B$477,A15,'港湾月次'!$A$2:$A$477,"&gt;="&amp;DATE(2024,1,1),'港湾月次'!$A$2:$A$477,"&lt;"&amp;DATE(2025,1,1))-1,"")</x:f>
        <x:v>0.05033947027484964</x:v>
      </x:c>
      <x:c r="F15" s="8" t="n">
        <x:f>IF(COUNTIFS('港湾月次'!$B$2:$B$477,A15,'港湾月次'!$A$2:$A$477,"&gt;="&amp;DATE(2025,1,1),'港湾月次'!$A$2:$A$477,"&lt;"&amp;DATE(2026,1,1),'港湾月次'!$J$2:$J$477,"&gt;=0")=12,SUMIFS('港湾月次'!$J$2:$J$477,'港湾月次'!$B$2:$B$477,A15,'港湾月次'!$A$2:$A$477,"&gt;="&amp;DATE(2025,1,1),'港湾月次'!$A$2:$A$477,"&lt;"&amp;DATE(2026,1,1)),"")</x:f>
        <x:v>426232</x:v>
      </x:c>
      <x:c r="G15" s="8" t="n">
        <x:f>COUNTIFS('港湾月次'!$B$2:$B$477,A15,'港湾月次'!$A$2:$A$477,"&gt;="&amp;DATE(2025,1,1),'港湾月次'!$A$2:$A$477,"&lt;"&amp;DATE(2026,1,1),'港湾月次'!$D$2:$D$477,"&gt;=0")</x:f>
        <x:v>12</x:v>
      </x:c>
      <x:c r="H15" s="8" t="n">
        <x:f>COUNTIFS('港湾月次'!$B$2:$B$477,A15,'港湾月次'!$D$2:$D$477,"&gt;=0")</x:f>
        <x:v>65</x:v>
      </x:c>
      <x:c r="I15" s="2"/>
      <x:c r="J15" s="2" t="str">
        <x:v>道路2021 367行／4地域</x:v>
      </x:c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1" customHeight="1">
      <x:c r="A16" s="2" t="str">
        <x:v>熊本</x:v>
      </x:c>
      <x:c r="B16" s="7" t="n">
        <x:v>45992</x:v>
      </x:c>
      <x:c r="C16" s="8" t="n">
        <x:f>SUMIFS('港湾月次'!$E$2:$E$477,'港湾月次'!$A$2:$A$477,B16,'港湾月次'!$B$2:$B$477,A16)</x:f>
        <x:v>1626</x:v>
      </x:c>
      <x:c r="D16" s="8" t="n">
        <x:f>IF(COUNTIFS('港湾月次'!$B$2:$B$477,A16,'港湾月次'!$A$2:$A$477,"&gt;="&amp;DATE(2025,1,1),'港湾月次'!$A$2:$A$477,"&lt;"&amp;DATE(2026,1,1),'港湾月次'!$E$2:$E$477,"&gt;=0")=12,SUMIFS('港湾月次'!$E$2:$E$477,'港湾月次'!$B$2:$B$477,A16,'港湾月次'!$A$2:$A$477,"&gt;="&amp;DATE(2025,1,1),'港湾月次'!$A$2:$A$477,"&lt;"&amp;DATE(2026,1,1)),"")</x:f>
        <x:v>23723</x:v>
      </x:c>
      <x:c r="E16" s="9" t="n">
        <x:f>IF(AND(ISNUMBER(D16),COUNTIFS('港湾月次'!$B$2:$B$477,A16,'港湾月次'!$A$2:$A$477,"&gt;="&amp;DATE(2024,1,1),'港湾月次'!$A$2:$A$477,"&lt;"&amp;DATE(2025,1,1),'港湾月次'!$E$2:$E$477,"&gt;=0")=12),D16/SUMIFS('港湾月次'!$E$2:$E$477,'港湾月次'!$B$2:$B$477,A16,'港湾月次'!$A$2:$A$477,"&gt;="&amp;DATE(2024,1,1),'港湾月次'!$A$2:$A$477,"&lt;"&amp;DATE(2025,1,1))-1,"")</x:f>
        <x:v>-0.41646578442465687</x:v>
      </x:c>
      <x:c r="F16" s="8" t="n">
        <x:f>IF(COUNTIFS('港湾月次'!$B$2:$B$477,A16,'港湾月次'!$A$2:$A$477,"&gt;="&amp;DATE(2025,1,1),'港湾月次'!$A$2:$A$477,"&lt;"&amp;DATE(2026,1,1),'港湾月次'!$J$2:$J$477,"&gt;=0")=12,SUMIFS('港湾月次'!$J$2:$J$477,'港湾月次'!$B$2:$B$477,A16,'港湾月次'!$A$2:$A$477,"&gt;="&amp;DATE(2025,1,1),'港湾月次'!$A$2:$A$477,"&lt;"&amp;DATE(2026,1,1)),"")</x:f>
        <x:v>2253</x:v>
      </x:c>
      <x:c r="G16" s="8" t="n">
        <x:f>COUNTIFS('港湾月次'!$B$2:$B$477,A16,'港湾月次'!$A$2:$A$477,"&gt;="&amp;DATE(2025,1,1),'港湾月次'!$A$2:$A$477,"&lt;"&amp;DATE(2026,1,1),'港湾月次'!$D$2:$D$477,"&gt;=0")</x:f>
        <x:v>12</x:v>
      </x:c>
      <x:c r="H16" s="8" t="n">
        <x:f>COUNTIFS('港湾月次'!$B$2:$B$477,A16,'港湾月次'!$D$2:$D$477,"&gt;=0")</x:f>
        <x:v>60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1" customHeight="1">
      <x:c r="A17" s="2" t="str">
        <x:v>八代</x:v>
      </x:c>
      <x:c r="B17" s="7" t="n">
        <x:v>45992</x:v>
      </x:c>
      <x:c r="C17" s="8" t="n">
        <x:f>SUMIFS('港湾月次'!$E$2:$E$477,'港湾月次'!$A$2:$A$477,B17,'港湾月次'!$B$2:$B$477,A17)</x:f>
        <x:v>19099</x:v>
      </x:c>
      <x:c r="D17" s="8" t="n">
        <x:f>IF(COUNTIFS('港湾月次'!$B$2:$B$477,A17,'港湾月次'!$A$2:$A$477,"&gt;="&amp;DATE(2025,1,1),'港湾月次'!$A$2:$A$477,"&lt;"&amp;DATE(2026,1,1),'港湾月次'!$E$2:$E$477,"&gt;=0")=12,SUMIFS('港湾月次'!$E$2:$E$477,'港湾月次'!$B$2:$B$477,A17,'港湾月次'!$A$2:$A$477,"&gt;="&amp;DATE(2025,1,1),'港湾月次'!$A$2:$A$477,"&lt;"&amp;DATE(2026,1,1)),"")</x:f>
        <x:v>326872</x:v>
      </x:c>
      <x:c r="E17" s="9" t="n">
        <x:f>IF(AND(ISNUMBER(D17),COUNTIFS('港湾月次'!$B$2:$B$477,A17,'港湾月次'!$A$2:$A$477,"&gt;="&amp;DATE(2024,1,1),'港湾月次'!$A$2:$A$477,"&lt;"&amp;DATE(2025,1,1),'港湾月次'!$E$2:$E$477,"&gt;=0")=12),D17/SUMIFS('港湾月次'!$E$2:$E$477,'港湾月次'!$B$2:$B$477,A17,'港湾月次'!$A$2:$A$477,"&gt;="&amp;DATE(2024,1,1),'港湾月次'!$A$2:$A$477,"&lt;"&amp;DATE(2025,1,1))-1,"")</x:f>
        <x:v>0.2538147003091653</x:v>
      </x:c>
      <x:c r="F17" s="8" t="n">
        <x:f>IF(COUNTIFS('港湾月次'!$B$2:$B$477,A17,'港湾月次'!$A$2:$A$477,"&gt;="&amp;DATE(2025,1,1),'港湾月次'!$A$2:$A$477,"&lt;"&amp;DATE(2026,1,1),'港湾月次'!$J$2:$J$477,"&gt;=0")=12,SUMIFS('港湾月次'!$J$2:$J$477,'港湾月次'!$B$2:$B$477,A17,'港湾月次'!$A$2:$A$477,"&gt;="&amp;DATE(2025,1,1),'港湾月次'!$A$2:$A$477,"&lt;"&amp;DATE(2026,1,1)),"")</x:f>
        <x:v>8398</x:v>
      </x:c>
      <x:c r="G17" s="8" t="n">
        <x:f>COUNTIFS('港湾月次'!$B$2:$B$477,A17,'港湾月次'!$A$2:$A$477,"&gt;="&amp;DATE(2025,1,1),'港湾月次'!$A$2:$A$477,"&lt;"&amp;DATE(2026,1,1),'港湾月次'!$D$2:$D$477,"&gt;=0")</x:f>
        <x:v>12</x:v>
      </x:c>
      <x:c r="H17" s="8" t="n">
        <x:f>COUNTIFS('港湾月次'!$B$2:$B$477,A17,'港湾月次'!$D$2:$D$477,"&gt;=0")</x:f>
        <x:v>60</x:v>
      </x:c>
      <x:c r="I17" s="2"/>
      <x:c r="J17" s="2" t="str">
        <x:v>1行目固定・フィルター付き。出典URLは各データ行に掲載。</x:v>
      </x:c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1" customHeight="1">
      <x:c r="A19" s="15" t="str">
        <x:v>港湾は全品目を含みます。航空輸送・TEL以外の貨物も考慮して検証してください。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1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17" t="str">
        <x:v>更新時のポイント</x:v>
      </x:c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 t="str">
        <x:v>港湾：年月・港湾で値を置換し、過去月の改訂も確認。</x:v>
      </x:c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 t="str">
        <x:v>道路：年月・地点ID・日区分で置換。原表0は欠測。</x:v>
      </x:c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 t="str">
        <x:v>全国貨物：月報の「輸送トン数の推移」を月キーで置換。</x:v>
      </x:c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 t="str">
        <x:v>新しい月は下の一覧とグラフ範囲を延長。自動取得は未実装。</x:v>
      </x:c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 t="str">
        <x:v>単位・地点候補・更新先は「拠点と更新」で確認。</x:v>
      </x:c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 t="str">
        <x:v>当時の公表日・公表値は未収録。先行性の検証には別途必要。</x:v>
      </x:c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43" customHeight="1">
      <x:c r="A58" s="6" t="str">
        <x:v>年月</x:v>
      </x:c>
      <x:c r="B58" s="6" t="str">
        <x:v>グラフ年月</x:v>
      </x:c>
      <x:c r="C58" s="6" t="str">
        <x:v>港湾輸出 FT</x:v>
      </x:c>
      <x:c r="D58" s="6" t="str">
        <x:v>港湾輸出 TEU</x:v>
      </x:c>
      <x:c r="E58" s="6" t="str">
        <x:v>港湾航送トラック等 移出 台</x:v>
      </x:c>
      <x:c r="F58" s="6" t="str">
        <x:v>道路大型車 台/日</x:v>
      </x:c>
      <x:c r="G58" s="6" t="str">
        <x:v>全国営業用貨物 千トン</x:v>
      </x:c>
      <x:c r="H58" s="2"/>
      <x:c r="I58" s="2"/>
      <x:c r="J58" s="2" t="str">
        <x:v>年月</x:v>
      </x:c>
      <x:c r="K58" s="2" t="str">
        <x:v>大型車 台/日</x:v>
      </x:c>
      <x:c r="L58" s="2"/>
      <x:c r="M58" s="2" t="str">
        <x:v>年月</x:v>
      </x:c>
      <x:c r="N58" s="2" t="str">
        <x:v>営業用貨物 千トン</x:v>
      </x:c>
      <x:c r="O58" s="2"/>
      <x:c r="P58" s="2"/>
      <x:c r="Q58" s="2"/>
      <x:c r="R58" s="2"/>
      <x:c r="S58" s="2"/>
    </x:row>
    <x:row r="59" ht="21" customHeight="1">
      <x:c r="A59" s="7" t="n">
        <x:v>44197</x:v>
      </x:c>
      <x:c r="B59" s="2" t="str">
        <x:f>TEXT(A59,"yyyy-mm")</x:f>
        <x:v>2021-01</x:v>
      </x:c>
      <x:c r="C59" s="8" t="n">
        <x:f>IF(COUNTIFS('港湾月次'!$A$2:$A$477,A59,'港湾月次'!$B$2:$B$477,$B$5,'港湾月次'!$E$2:$E$477,"&gt;=0")=1,SUMIFS('港湾月次'!$E$2:$E$477,'港湾月次'!$A$2:$A$477,A59,'港湾月次'!$B$2:$B$477,$B$5),"")</x:f>
        <x:v>74591</x:v>
      </x:c>
      <x:c r="D59" s="8" t="n">
        <x:f>IF(COUNTIFS('港湾月次'!$A$2:$A$477,A59,'港湾月次'!$B$2:$B$477,$B$5,'港湾月次'!$J$2:$J$477,"&gt;=0")=1,SUMIFS('港湾月次'!$J$2:$J$477,'港湾月次'!$A$2:$A$477,A59,'港湾月次'!$B$2:$B$477,$B$5),"")</x:f>
        <x:v>5723</x:v>
      </x:c>
      <x:c r="E59" s="8" t="n">
        <x:f>IF(COUNTIFS('港湾月次'!$A$2:$A$477,A59,'港湾月次'!$B$2:$B$477,$B$5,'港湾月次'!$P$2:$P$477,"&gt;=0")=1,SUMIFS('港湾月次'!$P$2:$P$477,'港湾月次'!$A$2:$A$477,A59,'港湾月次'!$B$2:$B$477,$B$5),"")</x:f>
        <x:v>505</x:v>
      </x:c>
      <x:c r="F59" s="8" t="str">
        <x:f>IF(COUNTIFS('道路月次_熊本'!$A$2:$A$313,A59,'道路月次_熊本'!$C$2:$C$313,$B$6,'道路月次_熊本'!$F$2:$F$313,$B$7,'道路月次_熊本'!$I$2:$I$313,"&gt;=0")=1,SUMIFS('道路月次_熊本'!$I$2:$I$313,'道路月次_熊本'!$A$2:$A$313,A59,'道路月次_熊本'!$C$2:$C$313,$B$6,'道路月次_熊本'!$F$2:$F$313,$B$7),"")</x:f>
      </x:c>
      <x:c r="G59" s="8" t="n">
        <x:f>IF(COUNTIFS('全国貨物月次'!$A$2:$A$64,A59,'全国貨物月次'!$C$2:$C$64,"&gt;=0")=1,SUMIFS('全国貨物月次'!$C$2:$C$64,'全国貨物月次'!$A$2:$A$64,A59),"")</x:f>
        <x:v>206373</x:v>
      </x:c>
      <x:c r="H59" s="2"/>
      <x:c r="I59" s="2"/>
      <x:c r="J59" s="2" t="str">
        <x:f>B98</x:f>
        <x:v>2024-04</x:v>
      </x:c>
      <x:c r="K59" s="2" t="n">
        <x:f>IF(ISNUMBER(F98),F98,"")</x:f>
        <x:v>2300</x:v>
      </x:c>
      <x:c r="L59" s="2"/>
      <x:c r="M59" s="2" t="str">
        <x:f>B59</x:f>
        <x:v>2021-01</x:v>
      </x:c>
      <x:c r="N59" s="2" t="n">
        <x:f>G59</x:f>
        <x:v>206373</x:v>
      </x:c>
      <x:c r="O59" s="2"/>
      <x:c r="P59" s="2"/>
      <x:c r="Q59" s="2"/>
      <x:c r="R59" s="2"/>
      <x:c r="S59" s="2"/>
    </x:row>
    <x:row r="60" ht="21" customHeight="1">
      <x:c r="A60" s="7" t="n">
        <x:v>44228</x:v>
      </x:c>
      <x:c r="B60" s="2" t="str">
        <x:f>TEXT(A60,"yyyy-mm")</x:f>
        <x:v>2021-02</x:v>
      </x:c>
      <x:c r="C60" s="8" t="n">
        <x:f>IF(COUNTIFS('港湾月次'!$A$2:$A$477,A60,'港湾月次'!$B$2:$B$477,$B$5,'港湾月次'!$E$2:$E$477,"&gt;=0")=1,SUMIFS('港湾月次'!$E$2:$E$477,'港湾月次'!$A$2:$A$477,A60,'港湾月次'!$B$2:$B$477,$B$5),"")</x:f>
        <x:v>107190</x:v>
      </x:c>
      <x:c r="D60" s="8" t="n">
        <x:f>IF(COUNTIFS('港湾月次'!$A$2:$A$477,A60,'港湾月次'!$B$2:$B$477,$B$5,'港湾月次'!$J$2:$J$477,"&gt;=0")=1,SUMIFS('港湾月次'!$J$2:$J$477,'港湾月次'!$A$2:$A$477,A60,'港湾月次'!$B$2:$B$477,$B$5),"")</x:f>
        <x:v>6248</x:v>
      </x:c>
      <x:c r="E60" s="8" t="n">
        <x:f>IF(COUNTIFS('港湾月次'!$A$2:$A$477,A60,'港湾月次'!$B$2:$B$477,$B$5,'港湾月次'!$P$2:$P$477,"&gt;=0")=1,SUMIFS('港湾月次'!$P$2:$P$477,'港湾月次'!$A$2:$A$477,A60,'港湾月次'!$B$2:$B$477,$B$5),"")</x:f>
        <x:v>438</x:v>
      </x:c>
      <x:c r="F60" s="8" t="str">
        <x:f>IF(COUNTIFS('道路月次_熊本'!$A$2:$A$313,A60,'道路月次_熊本'!$C$2:$C$313,$B$6,'道路月次_熊本'!$F$2:$F$313,$B$7,'道路月次_熊本'!$I$2:$I$313,"&gt;=0")=1,SUMIFS('道路月次_熊本'!$I$2:$I$313,'道路月次_熊本'!$A$2:$A$313,A60,'道路月次_熊本'!$C$2:$C$313,$B$6,'道路月次_熊本'!$F$2:$F$313,$B$7),"")</x:f>
      </x:c>
      <x:c r="G60" s="8" t="n">
        <x:f>IF(COUNTIFS('全国貨物月次'!$A$2:$A$64,A60,'全国貨物月次'!$C$2:$C$64,"&gt;=0")=1,SUMIFS('全国貨物月次'!$C$2:$C$64,'全国貨物月次'!$A$2:$A$64,A60),"")</x:f>
        <x:v>209290</x:v>
      </x:c>
      <x:c r="H60" s="2"/>
      <x:c r="I60" s="2"/>
      <x:c r="J60" s="2" t="str">
        <x:f>B99</x:f>
        <x:v>2024-05</x:v>
      </x:c>
      <x:c r="K60" s="2" t="n">
        <x:f>IF(ISNUMBER(F99),F99,"")</x:f>
        <x:v>2200</x:v>
      </x:c>
      <x:c r="L60" s="2"/>
      <x:c r="M60" s="2" t="str">
        <x:f>B60</x:f>
        <x:v>2021-02</x:v>
      </x:c>
      <x:c r="N60" s="2" t="n">
        <x:f>G60</x:f>
        <x:v>209290</x:v>
      </x:c>
      <x:c r="O60" s="2"/>
      <x:c r="P60" s="2"/>
      <x:c r="Q60" s="2"/>
      <x:c r="R60" s="2"/>
      <x:c r="S60" s="2"/>
    </x:row>
    <x:row r="61" ht="21" customHeight="1">
      <x:c r="A61" s="7" t="n">
        <x:v>44256</x:v>
      </x:c>
      <x:c r="B61" s="2" t="str">
        <x:f>TEXT(A61,"yyyy-mm")</x:f>
        <x:v>2021-03</x:v>
      </x:c>
      <x:c r="C61" s="8" t="n">
        <x:f>IF(COUNTIFS('港湾月次'!$A$2:$A$477,A61,'港湾月次'!$B$2:$B$477,$B$5,'港湾月次'!$E$2:$E$477,"&gt;=0")=1,SUMIFS('港湾月次'!$E$2:$E$477,'港湾月次'!$A$2:$A$477,A61,'港湾月次'!$B$2:$B$477,$B$5),"")</x:f>
        <x:v>120643</x:v>
      </x:c>
      <x:c r="D61" s="8" t="n">
        <x:f>IF(COUNTIFS('港湾月次'!$A$2:$A$477,A61,'港湾月次'!$B$2:$B$477,$B$5,'港湾月次'!$J$2:$J$477,"&gt;=0")=1,SUMIFS('港湾月次'!$J$2:$J$477,'港湾月次'!$A$2:$A$477,A61,'港湾月次'!$B$2:$B$477,$B$5),"")</x:f>
        <x:v>7488</x:v>
      </x:c>
      <x:c r="E61" s="8" t="n">
        <x:f>IF(COUNTIFS('港湾月次'!$A$2:$A$477,A61,'港湾月次'!$B$2:$B$477,$B$5,'港湾月次'!$P$2:$P$477,"&gt;=0")=1,SUMIFS('港湾月次'!$P$2:$P$477,'港湾月次'!$A$2:$A$477,A61,'港湾月次'!$B$2:$B$477,$B$5),"")</x:f>
        <x:v>561</x:v>
      </x:c>
      <x:c r="F61" s="8" t="str">
        <x:f>IF(COUNTIFS('道路月次_熊本'!$A$2:$A$313,A61,'道路月次_熊本'!$C$2:$C$313,$B$6,'道路月次_熊本'!$F$2:$F$313,$B$7,'道路月次_熊本'!$I$2:$I$313,"&gt;=0")=1,SUMIFS('道路月次_熊本'!$I$2:$I$313,'道路月次_熊本'!$A$2:$A$313,A61,'道路月次_熊本'!$C$2:$C$313,$B$6,'道路月次_熊本'!$F$2:$F$313,$B$7),"")</x:f>
      </x:c>
      <x:c r="G61" s="8" t="n">
        <x:f>IF(COUNTIFS('全国貨物月次'!$A$2:$A$64,A61,'全国貨物月次'!$C$2:$C$64,"&gt;=0")=1,SUMIFS('全国貨物月次'!$C$2:$C$64,'全国貨物月次'!$A$2:$A$64,A61),"")</x:f>
        <x:v>232733</x:v>
      </x:c>
      <x:c r="H61" s="2"/>
      <x:c r="I61" s="2"/>
      <x:c r="J61" s="2" t="str">
        <x:f>B100</x:f>
        <x:v>2024-06</x:v>
      </x:c>
      <x:c r="K61" s="2" t="n">
        <x:f>IF(ISNUMBER(F100),F100,"")</x:f>
        <x:v>2100</x:v>
      </x:c>
      <x:c r="L61" s="2"/>
      <x:c r="M61" s="2" t="str">
        <x:f>B61</x:f>
        <x:v>2021-03</x:v>
      </x:c>
      <x:c r="N61" s="2" t="n">
        <x:f>G61</x:f>
        <x:v>232733</x:v>
      </x:c>
      <x:c r="O61" s="2"/>
      <x:c r="P61" s="2"/>
      <x:c r="Q61" s="2"/>
      <x:c r="R61" s="2"/>
      <x:c r="S61" s="2"/>
    </x:row>
    <x:row r="62" ht="21" customHeight="1">
      <x:c r="A62" s="7" t="n">
        <x:v>44287</x:v>
      </x:c>
      <x:c r="B62" s="2" t="str">
        <x:f>TEXT(A62,"yyyy-mm")</x:f>
        <x:v>2021-04</x:v>
      </x:c>
      <x:c r="C62" s="8" t="n">
        <x:f>IF(COUNTIFS('港湾月次'!$A$2:$A$477,A62,'港湾月次'!$B$2:$B$477,$B$5,'港湾月次'!$E$2:$E$477,"&gt;=0")=1,SUMIFS('港湾月次'!$E$2:$E$477,'港湾月次'!$A$2:$A$477,A62,'港湾月次'!$B$2:$B$477,$B$5),"")</x:f>
        <x:v>92088</x:v>
      </x:c>
      <x:c r="D62" s="8" t="n">
        <x:f>IF(COUNTIFS('港湾月次'!$A$2:$A$477,A62,'港湾月次'!$B$2:$B$477,$B$5,'港湾月次'!$J$2:$J$477,"&gt;=0")=1,SUMIFS('港湾月次'!$J$2:$J$477,'港湾月次'!$A$2:$A$477,A62,'港湾月次'!$B$2:$B$477,$B$5),"")</x:f>
        <x:v>7126</x:v>
      </x:c>
      <x:c r="E62" s="8" t="n">
        <x:f>IF(COUNTIFS('港湾月次'!$A$2:$A$477,A62,'港湾月次'!$B$2:$B$477,$B$5,'港湾月次'!$P$2:$P$477,"&gt;=0")=1,SUMIFS('港湾月次'!$P$2:$P$477,'港湾月次'!$A$2:$A$477,A62,'港湾月次'!$B$2:$B$477,$B$5),"")</x:f>
        <x:v>574</x:v>
      </x:c>
      <x:c r="F62" s="8" t="str">
        <x:f>IF(COUNTIFS('道路月次_熊本'!$A$2:$A$313,A62,'道路月次_熊本'!$C$2:$C$313,$B$6,'道路月次_熊本'!$F$2:$F$313,$B$7,'道路月次_熊本'!$I$2:$I$313,"&gt;=0")=1,SUMIFS('道路月次_熊本'!$I$2:$I$313,'道路月次_熊本'!$A$2:$A$313,A62,'道路月次_熊本'!$C$2:$C$313,$B$6,'道路月次_熊本'!$F$2:$F$313,$B$7),"")</x:f>
      </x:c>
      <x:c r="G62" s="8" t="n">
        <x:f>IF(COUNTIFS('全国貨物月次'!$A$2:$A$64,A62,'全国貨物月次'!$C$2:$C$64,"&gt;=0")=1,SUMIFS('全国貨物月次'!$C$2:$C$64,'全国貨物月次'!$A$2:$A$64,A62),"")</x:f>
        <x:v>212105</x:v>
      </x:c>
      <x:c r="H62" s="2"/>
      <x:c r="I62" s="2"/>
      <x:c r="J62" s="2" t="str">
        <x:f>B101</x:f>
        <x:v>2024-07</x:v>
      </x:c>
      <x:c r="K62" s="2" t="n">
        <x:f>IF(ISNUMBER(F101),F101,"")</x:f>
        <x:v>2100</x:v>
      </x:c>
      <x:c r="L62" s="2"/>
      <x:c r="M62" s="2" t="str">
        <x:f>B62</x:f>
        <x:v>2021-04</x:v>
      </x:c>
      <x:c r="N62" s="2" t="n">
        <x:f>G62</x:f>
        <x:v>212105</x:v>
      </x:c>
      <x:c r="O62" s="2"/>
      <x:c r="P62" s="2"/>
      <x:c r="Q62" s="2"/>
      <x:c r="R62" s="2"/>
      <x:c r="S62" s="2"/>
    </x:row>
    <x:row r="63" ht="21" customHeight="1">
      <x:c r="A63" s="7" t="n">
        <x:v>44317</x:v>
      </x:c>
      <x:c r="B63" s="2" t="str">
        <x:f>TEXT(A63,"yyyy-mm")</x:f>
        <x:v>2021-05</x:v>
      </x:c>
      <x:c r="C63" s="8" t="n">
        <x:f>IF(COUNTIFS('港湾月次'!$A$2:$A$477,A63,'港湾月次'!$B$2:$B$477,$B$5,'港湾月次'!$E$2:$E$477,"&gt;=0")=1,SUMIFS('港湾月次'!$E$2:$E$477,'港湾月次'!$A$2:$A$477,A63,'港湾月次'!$B$2:$B$477,$B$5),"")</x:f>
        <x:v>111591</x:v>
      </x:c>
      <x:c r="D63" s="8" t="n">
        <x:f>IF(COUNTIFS('港湾月次'!$A$2:$A$477,A63,'港湾月次'!$B$2:$B$477,$B$5,'港湾月次'!$J$2:$J$477,"&gt;=0")=1,SUMIFS('港湾月次'!$J$2:$J$477,'港湾月次'!$A$2:$A$477,A63,'港湾月次'!$B$2:$B$477,$B$5),"")</x:f>
        <x:v>7275</x:v>
      </x:c>
      <x:c r="E63" s="8" t="n">
        <x:f>IF(COUNTIFS('港湾月次'!$A$2:$A$477,A63,'港湾月次'!$B$2:$B$477,$B$5,'港湾月次'!$P$2:$P$477,"&gt;=0")=1,SUMIFS('港湾月次'!$P$2:$P$477,'港湾月次'!$A$2:$A$477,A63,'港湾月次'!$B$2:$B$477,$B$5),"")</x:f>
        <x:v>533</x:v>
      </x:c>
      <x:c r="F63" s="8" t="str">
        <x:f>IF(COUNTIFS('道路月次_熊本'!$A$2:$A$313,A63,'道路月次_熊本'!$C$2:$C$313,$B$6,'道路月次_熊本'!$F$2:$F$313,$B$7,'道路月次_熊本'!$I$2:$I$313,"&gt;=0")=1,SUMIFS('道路月次_熊本'!$I$2:$I$313,'道路月次_熊本'!$A$2:$A$313,A63,'道路月次_熊本'!$C$2:$C$313,$B$6,'道路月次_熊本'!$F$2:$F$313,$B$7),"")</x:f>
      </x:c>
      <x:c r="G63" s="8" t="n">
        <x:f>IF(COUNTIFS('全国貨物月次'!$A$2:$A$64,A63,'全国貨物月次'!$C$2:$C$64,"&gt;=0")=1,SUMIFS('全国貨物月次'!$C$2:$C$64,'全国貨物月次'!$A$2:$A$64,A63),"")</x:f>
        <x:v>208124</x:v>
      </x:c>
      <x:c r="H63" s="2"/>
      <x:c r="I63" s="2"/>
      <x:c r="J63" s="2" t="str">
        <x:f>B102</x:f>
        <x:v>2024-08</x:v>
      </x:c>
      <x:c r="K63" s="2" t="n">
        <x:f>IF(ISNUMBER(F102),F102,"")</x:f>
        <x:v>1900</x:v>
      </x:c>
      <x:c r="L63" s="2"/>
      <x:c r="M63" s="2" t="str">
        <x:f>B63</x:f>
        <x:v>2021-05</x:v>
      </x:c>
      <x:c r="N63" s="2" t="n">
        <x:f>G63</x:f>
        <x:v>208124</x:v>
      </x:c>
      <x:c r="O63" s="2"/>
      <x:c r="P63" s="2"/>
      <x:c r="Q63" s="2"/>
      <x:c r="R63" s="2"/>
      <x:c r="S63" s="2"/>
    </x:row>
    <x:row r="64" ht="21" customHeight="1">
      <x:c r="A64" s="7" t="n">
        <x:v>44348</x:v>
      </x:c>
      <x:c r="B64" s="2" t="str">
        <x:f>TEXT(A64,"yyyy-mm")</x:f>
        <x:v>2021-06</x:v>
      </x:c>
      <x:c r="C64" s="8" t="n">
        <x:f>IF(COUNTIFS('港湾月次'!$A$2:$A$477,A64,'港湾月次'!$B$2:$B$477,$B$5,'港湾月次'!$E$2:$E$477,"&gt;=0")=1,SUMIFS('港湾月次'!$E$2:$E$477,'港湾月次'!$A$2:$A$477,A64,'港湾月次'!$B$2:$B$477,$B$5),"")</x:f>
        <x:v>92667</x:v>
      </x:c>
      <x:c r="D64" s="8" t="n">
        <x:f>IF(COUNTIFS('港湾月次'!$A$2:$A$477,A64,'港湾月次'!$B$2:$B$477,$B$5,'港湾月次'!$J$2:$J$477,"&gt;=0")=1,SUMIFS('港湾月次'!$J$2:$J$477,'港湾月次'!$A$2:$A$477,A64,'港湾月次'!$B$2:$B$477,$B$5),"")</x:f>
        <x:v>7193</x:v>
      </x:c>
      <x:c r="E64" s="8" t="n">
        <x:f>IF(COUNTIFS('港湾月次'!$A$2:$A$477,A64,'港湾月次'!$B$2:$B$477,$B$5,'港湾月次'!$P$2:$P$477,"&gt;=0")=1,SUMIFS('港湾月次'!$P$2:$P$477,'港湾月次'!$A$2:$A$477,A64,'港湾月次'!$B$2:$B$477,$B$5),"")</x:f>
        <x:v>582</x:v>
      </x:c>
      <x:c r="F64" s="8" t="str">
        <x:f>IF(COUNTIFS('道路月次_熊本'!$A$2:$A$313,A64,'道路月次_熊本'!$C$2:$C$313,$B$6,'道路月次_熊本'!$F$2:$F$313,$B$7,'道路月次_熊本'!$I$2:$I$313,"&gt;=0")=1,SUMIFS('道路月次_熊本'!$I$2:$I$313,'道路月次_熊本'!$A$2:$A$313,A64,'道路月次_熊本'!$C$2:$C$313,$B$6,'道路月次_熊本'!$F$2:$F$313,$B$7),"")</x:f>
      </x:c>
      <x:c r="G64" s="8" t="n">
        <x:f>IF(COUNTIFS('全国貨物月次'!$A$2:$A$64,A64,'全国貨物月次'!$C$2:$C$64,"&gt;=0")=1,SUMIFS('全国貨物月次'!$C$2:$C$64,'全国貨物月次'!$A$2:$A$64,A64),"")</x:f>
        <x:v>211836</x:v>
      </x:c>
      <x:c r="H64" s="2"/>
      <x:c r="I64" s="2"/>
      <x:c r="J64" s="2" t="str">
        <x:f>B103</x:f>
        <x:v>2024-09</x:v>
      </x:c>
      <x:c r="K64" s="2" t="n">
        <x:f>IF(ISNUMBER(F103),F103,"")</x:f>
        <x:v>2000</x:v>
      </x:c>
      <x:c r="L64" s="2"/>
      <x:c r="M64" s="2" t="str">
        <x:f>B64</x:f>
        <x:v>2021-06</x:v>
      </x:c>
      <x:c r="N64" s="2" t="n">
        <x:f>G64</x:f>
        <x:v>211836</x:v>
      </x:c>
      <x:c r="O64" s="2"/>
      <x:c r="P64" s="2"/>
      <x:c r="Q64" s="2"/>
      <x:c r="R64" s="2"/>
      <x:c r="S64" s="2"/>
    </x:row>
    <x:row r="65" ht="21" customHeight="1">
      <x:c r="A65" s="7" t="n">
        <x:v>44378</x:v>
      </x:c>
      <x:c r="B65" s="2" t="str">
        <x:f>TEXT(A65,"yyyy-mm")</x:f>
        <x:v>2021-07</x:v>
      </x:c>
      <x:c r="C65" s="8" t="n">
        <x:f>IF(COUNTIFS('港湾月次'!$A$2:$A$477,A65,'港湾月次'!$B$2:$B$477,$B$5,'港湾月次'!$E$2:$E$477,"&gt;=0")=1,SUMIFS('港湾月次'!$E$2:$E$477,'港湾月次'!$A$2:$A$477,A65,'港湾月次'!$B$2:$B$477,$B$5),"")</x:f>
        <x:v>68620</x:v>
      </x:c>
      <x:c r="D65" s="8" t="n">
        <x:f>IF(COUNTIFS('港湾月次'!$A$2:$A$477,A65,'港湾月次'!$B$2:$B$477,$B$5,'港湾月次'!$J$2:$J$477,"&gt;=0")=1,SUMIFS('港湾月次'!$J$2:$J$477,'港湾月次'!$A$2:$A$477,A65,'港湾月次'!$B$2:$B$477,$B$5),"")</x:f>
        <x:v>6339</x:v>
      </x:c>
      <x:c r="E65" s="8" t="n">
        <x:f>IF(COUNTIFS('港湾月次'!$A$2:$A$477,A65,'港湾月次'!$B$2:$B$477,$B$5,'港湾月次'!$P$2:$P$477,"&gt;=0")=1,SUMIFS('港湾月次'!$P$2:$P$477,'港湾月次'!$A$2:$A$477,A65,'港湾月次'!$B$2:$B$477,$B$5),"")</x:f>
        <x:v>600</x:v>
      </x:c>
      <x:c r="F65" s="8" t="str">
        <x:f>IF(COUNTIFS('道路月次_熊本'!$A$2:$A$313,A65,'道路月次_熊本'!$C$2:$C$313,$B$6,'道路月次_熊本'!$F$2:$F$313,$B$7,'道路月次_熊本'!$I$2:$I$313,"&gt;=0")=1,SUMIFS('道路月次_熊本'!$I$2:$I$313,'道路月次_熊本'!$A$2:$A$313,A65,'道路月次_熊本'!$C$2:$C$313,$B$6,'道路月次_熊本'!$F$2:$F$313,$B$7),"")</x:f>
      </x:c>
      <x:c r="G65" s="8" t="n">
        <x:f>IF(COUNTIFS('全国貨物月次'!$A$2:$A$64,A65,'全国貨物月次'!$C$2:$C$64,"&gt;=0")=1,SUMIFS('全国貨物月次'!$C$2:$C$64,'全国貨物月次'!$A$2:$A$64,A65),"")</x:f>
        <x:v>226338</x:v>
      </x:c>
      <x:c r="H65" s="2"/>
      <x:c r="I65" s="2"/>
      <x:c r="J65" s="2" t="str">
        <x:f>B104</x:f>
        <x:v>2024-10</x:v>
      </x:c>
      <x:c r="K65" s="2" t="n">
        <x:f>IF(ISNUMBER(F104),F104,"")</x:f>
        <x:v>2100</x:v>
      </x:c>
      <x:c r="L65" s="2"/>
      <x:c r="M65" s="2" t="str">
        <x:f>B65</x:f>
        <x:v>2021-07</x:v>
      </x:c>
      <x:c r="N65" s="2" t="n">
        <x:f>G65</x:f>
        <x:v>226338</x:v>
      </x:c>
      <x:c r="O65" s="2"/>
      <x:c r="P65" s="2"/>
      <x:c r="Q65" s="2"/>
      <x:c r="R65" s="2"/>
      <x:c r="S65" s="2"/>
    </x:row>
    <x:row r="66" ht="21" customHeight="1">
      <x:c r="A66" s="7" t="n">
        <x:v>44409</x:v>
      </x:c>
      <x:c r="B66" s="2" t="str">
        <x:f>TEXT(A66,"yyyy-mm")</x:f>
        <x:v>2021-08</x:v>
      </x:c>
      <x:c r="C66" s="8" t="n">
        <x:f>IF(COUNTIFS('港湾月次'!$A$2:$A$477,A66,'港湾月次'!$B$2:$B$477,$B$5,'港湾月次'!$E$2:$E$477,"&gt;=0")=1,SUMIFS('港湾月次'!$E$2:$E$477,'港湾月次'!$A$2:$A$477,A66,'港湾月次'!$B$2:$B$477,$B$5),"")</x:f>
        <x:v>97724</x:v>
      </x:c>
      <x:c r="D66" s="8" t="n">
        <x:f>IF(COUNTIFS('港湾月次'!$A$2:$A$477,A66,'港湾月次'!$B$2:$B$477,$B$5,'港湾月次'!$J$2:$J$477,"&gt;=0")=1,SUMIFS('港湾月次'!$J$2:$J$477,'港湾月次'!$A$2:$A$477,A66,'港湾月次'!$B$2:$B$477,$B$5),"")</x:f>
        <x:v>5683</x:v>
      </x:c>
      <x:c r="E66" s="8" t="n">
        <x:f>IF(COUNTIFS('港湾月次'!$A$2:$A$477,A66,'港湾月次'!$B$2:$B$477,$B$5,'港湾月次'!$P$2:$P$477,"&gt;=0")=1,SUMIFS('港湾月次'!$P$2:$P$477,'港湾月次'!$A$2:$A$477,A66,'港湾月次'!$B$2:$B$477,$B$5),"")</x:f>
        <x:v>583</x:v>
      </x:c>
      <x:c r="F66" s="8" t="str">
        <x:f>IF(COUNTIFS('道路月次_熊本'!$A$2:$A$313,A66,'道路月次_熊本'!$C$2:$C$313,$B$6,'道路月次_熊本'!$F$2:$F$313,$B$7,'道路月次_熊本'!$I$2:$I$313,"&gt;=0")=1,SUMIFS('道路月次_熊本'!$I$2:$I$313,'道路月次_熊本'!$A$2:$A$313,A66,'道路月次_熊本'!$C$2:$C$313,$B$6,'道路月次_熊本'!$F$2:$F$313,$B$7),"")</x:f>
      </x:c>
      <x:c r="G66" s="8" t="n">
        <x:f>IF(COUNTIFS('全国貨物月次'!$A$2:$A$64,A66,'全国貨物月次'!$C$2:$C$64,"&gt;=0")=1,SUMIFS('全国貨物月次'!$C$2:$C$64,'全国貨物月次'!$A$2:$A$64,A66),"")</x:f>
        <x:v>196876</x:v>
      </x:c>
      <x:c r="H66" s="2"/>
      <x:c r="I66" s="2"/>
      <x:c r="J66" s="2" t="str">
        <x:f>B105</x:f>
        <x:v>2024-11</x:v>
      </x:c>
      <x:c r="K66" s="2" t="n">
        <x:f>IF(ISNUMBER(F105),F105,"")</x:f>
        <x:v>2200</x:v>
      </x:c>
      <x:c r="L66" s="2"/>
      <x:c r="M66" s="2" t="str">
        <x:f>B66</x:f>
        <x:v>2021-08</x:v>
      </x:c>
      <x:c r="N66" s="2" t="n">
        <x:f>G66</x:f>
        <x:v>196876</x:v>
      </x:c>
      <x:c r="O66" s="2"/>
      <x:c r="P66" s="2"/>
      <x:c r="Q66" s="2"/>
      <x:c r="R66" s="2"/>
      <x:c r="S66" s="2"/>
    </x:row>
    <x:row r="67" ht="21" customHeight="1">
      <x:c r="A67" s="7" t="n">
        <x:v>44440</x:v>
      </x:c>
      <x:c r="B67" s="2" t="str">
        <x:f>TEXT(A67,"yyyy-mm")</x:f>
        <x:v>2021-09</x:v>
      </x:c>
      <x:c r="C67" s="8" t="n">
        <x:f>IF(COUNTIFS('港湾月次'!$A$2:$A$477,A67,'港湾月次'!$B$2:$B$477,$B$5,'港湾月次'!$E$2:$E$477,"&gt;=0")=1,SUMIFS('港湾月次'!$E$2:$E$477,'港湾月次'!$A$2:$A$477,A67,'港湾月次'!$B$2:$B$477,$B$5),"")</x:f>
        <x:v>170090</x:v>
      </x:c>
      <x:c r="D67" s="8" t="n">
        <x:f>IF(COUNTIFS('港湾月次'!$A$2:$A$477,A67,'港湾月次'!$B$2:$B$477,$B$5,'港湾月次'!$J$2:$J$477,"&gt;=0")=1,SUMIFS('港湾月次'!$J$2:$J$477,'港湾月次'!$A$2:$A$477,A67,'港湾月次'!$B$2:$B$477,$B$5),"")</x:f>
        <x:v>7606</x:v>
      </x:c>
      <x:c r="E67" s="8" t="n">
        <x:f>IF(COUNTIFS('港湾月次'!$A$2:$A$477,A67,'港湾月次'!$B$2:$B$477,$B$5,'港湾月次'!$P$2:$P$477,"&gt;=0")=1,SUMIFS('港湾月次'!$P$2:$P$477,'港湾月次'!$A$2:$A$477,A67,'港湾月次'!$B$2:$B$477,$B$5),"")</x:f>
        <x:v>615</x:v>
      </x:c>
      <x:c r="F67" s="8" t="str">
        <x:f>IF(COUNTIFS('道路月次_熊本'!$A$2:$A$313,A67,'道路月次_熊本'!$C$2:$C$313,$B$6,'道路月次_熊本'!$F$2:$F$313,$B$7,'道路月次_熊本'!$I$2:$I$313,"&gt;=0")=1,SUMIFS('道路月次_熊本'!$I$2:$I$313,'道路月次_熊本'!$A$2:$A$313,A67,'道路月次_熊本'!$C$2:$C$313,$B$6,'道路月次_熊本'!$F$2:$F$313,$B$7),"")</x:f>
      </x:c>
      <x:c r="G67" s="8" t="n">
        <x:f>IF(COUNTIFS('全国貨物月次'!$A$2:$A$64,A67,'全国貨物月次'!$C$2:$C$64,"&gt;=0")=1,SUMIFS('全国貨物月次'!$C$2:$C$64,'全国貨物月次'!$A$2:$A$64,A67),"")</x:f>
        <x:v>212091</x:v>
      </x:c>
      <x:c r="H67" s="2"/>
      <x:c r="I67" s="2"/>
      <x:c r="J67" s="2" t="str">
        <x:f>B106</x:f>
        <x:v>2024-12</x:v>
      </x:c>
      <x:c r="K67" s="2" t="n">
        <x:f>IF(ISNUMBER(F106),F106,"")</x:f>
        <x:v>2000</x:v>
      </x:c>
      <x:c r="L67" s="2"/>
      <x:c r="M67" s="2" t="str">
        <x:f>B67</x:f>
        <x:v>2021-09</x:v>
      </x:c>
      <x:c r="N67" s="2" t="n">
        <x:f>G67</x:f>
        <x:v>212091</x:v>
      </x:c>
      <x:c r="O67" s="2"/>
      <x:c r="P67" s="2"/>
      <x:c r="Q67" s="2"/>
      <x:c r="R67" s="2"/>
      <x:c r="S67" s="2"/>
    </x:row>
    <x:row r="68" ht="21" customHeight="1">
      <x:c r="A68" s="7" t="n">
        <x:v>44470</x:v>
      </x:c>
      <x:c r="B68" s="2" t="str">
        <x:f>TEXT(A68,"yyyy-mm")</x:f>
        <x:v>2021-10</x:v>
      </x:c>
      <x:c r="C68" s="8" t="n">
        <x:f>IF(COUNTIFS('港湾月次'!$A$2:$A$477,A68,'港湾月次'!$B$2:$B$477,$B$5,'港湾月次'!$E$2:$E$477,"&gt;=0")=1,SUMIFS('港湾月次'!$E$2:$E$477,'港湾月次'!$A$2:$A$477,A68,'港湾月次'!$B$2:$B$477,$B$5),"")</x:f>
        <x:v>118384</x:v>
      </x:c>
      <x:c r="D68" s="8" t="n">
        <x:f>IF(COUNTIFS('港湾月次'!$A$2:$A$477,A68,'港湾月次'!$B$2:$B$477,$B$5,'港湾月次'!$J$2:$J$477,"&gt;=0")=1,SUMIFS('港湾月次'!$J$2:$J$477,'港湾月次'!$A$2:$A$477,A68,'港湾月次'!$B$2:$B$477,$B$5),"")</x:f>
        <x:v>6823</x:v>
      </x:c>
      <x:c r="E68" s="8" t="n">
        <x:f>IF(COUNTIFS('港湾月次'!$A$2:$A$477,A68,'港湾月次'!$B$2:$B$477,$B$5,'港湾月次'!$P$2:$P$477,"&gt;=0")=1,SUMIFS('港湾月次'!$P$2:$P$477,'港湾月次'!$A$2:$A$477,A68,'港湾月次'!$B$2:$B$477,$B$5),"")</x:f>
        <x:v>645</x:v>
      </x:c>
      <x:c r="F68" s="8" t="str">
        <x:f>IF(COUNTIFS('道路月次_熊本'!$A$2:$A$313,A68,'道路月次_熊本'!$C$2:$C$313,$B$6,'道路月次_熊本'!$F$2:$F$313,$B$7,'道路月次_熊本'!$I$2:$I$313,"&gt;=0")=1,SUMIFS('道路月次_熊本'!$I$2:$I$313,'道路月次_熊本'!$A$2:$A$313,A68,'道路月次_熊本'!$C$2:$C$313,$B$6,'道路月次_熊本'!$F$2:$F$313,$B$7),"")</x:f>
      </x:c>
      <x:c r="G68" s="8" t="n">
        <x:f>IF(COUNTIFS('全国貨物月次'!$A$2:$A$64,A68,'全国貨物月次'!$C$2:$C$64,"&gt;=0")=1,SUMIFS('全国貨物月次'!$C$2:$C$64,'全国貨物月次'!$A$2:$A$64,A68),"")</x:f>
        <x:v>237849</x:v>
      </x:c>
      <x:c r="H68" s="2"/>
      <x:c r="I68" s="2"/>
      <x:c r="J68" s="2" t="str">
        <x:f>B107</x:f>
        <x:v>2025-01</x:v>
      </x:c>
      <x:c r="K68" s="2" t="n">
        <x:f>IF(ISNUMBER(F107),F107,"")</x:f>
        <x:v>1700</x:v>
      </x:c>
      <x:c r="L68" s="2"/>
      <x:c r="M68" s="2" t="str">
        <x:f>B68</x:f>
        <x:v>2021-10</x:v>
      </x:c>
      <x:c r="N68" s="2" t="n">
        <x:f>G68</x:f>
        <x:v>237849</x:v>
      </x:c>
      <x:c r="O68" s="2"/>
      <x:c r="P68" s="2"/>
      <x:c r="Q68" s="2"/>
      <x:c r="R68" s="2"/>
      <x:c r="S68" s="2"/>
    </x:row>
    <x:row r="69" ht="21" customHeight="1">
      <x:c r="A69" s="7" t="n">
        <x:v>44501</x:v>
      </x:c>
      <x:c r="B69" s="2" t="str">
        <x:f>TEXT(A69,"yyyy-mm")</x:f>
        <x:v>2021-11</x:v>
      </x:c>
      <x:c r="C69" s="8" t="n">
        <x:f>IF(COUNTIFS('港湾月次'!$A$2:$A$477,A69,'港湾月次'!$B$2:$B$477,$B$5,'港湾月次'!$E$2:$E$477,"&gt;=0")=1,SUMIFS('港湾月次'!$E$2:$E$477,'港湾月次'!$A$2:$A$477,A69,'港湾月次'!$B$2:$B$477,$B$5),"")</x:f>
        <x:v>132709</x:v>
      </x:c>
      <x:c r="D69" s="8" t="n">
        <x:f>IF(COUNTIFS('港湾月次'!$A$2:$A$477,A69,'港湾月次'!$B$2:$B$477,$B$5,'港湾月次'!$J$2:$J$477,"&gt;=0")=1,SUMIFS('港湾月次'!$J$2:$J$477,'港湾月次'!$A$2:$A$477,A69,'港湾月次'!$B$2:$B$477,$B$5),"")</x:f>
        <x:v>6222</x:v>
      </x:c>
      <x:c r="E69" s="8" t="n">
        <x:f>IF(COUNTIFS('港湾月次'!$A$2:$A$477,A69,'港湾月次'!$B$2:$B$477,$B$5,'港湾月次'!$P$2:$P$477,"&gt;=0")=1,SUMIFS('港湾月次'!$P$2:$P$477,'港湾月次'!$A$2:$A$477,A69,'港湾月次'!$B$2:$B$477,$B$5),"")</x:f>
        <x:v>583</x:v>
      </x:c>
      <x:c r="F69" s="8" t="str">
        <x:f>IF(COUNTIFS('道路月次_熊本'!$A$2:$A$313,A69,'道路月次_熊本'!$C$2:$C$313,$B$6,'道路月次_熊本'!$F$2:$F$313,$B$7,'道路月次_熊本'!$I$2:$I$313,"&gt;=0")=1,SUMIFS('道路月次_熊本'!$I$2:$I$313,'道路月次_熊本'!$A$2:$A$313,A69,'道路月次_熊本'!$C$2:$C$313,$B$6,'道路月次_熊本'!$F$2:$F$313,$B$7),"")</x:f>
      </x:c>
      <x:c r="G69" s="8" t="n">
        <x:f>IF(COUNTIFS('全国貨物月次'!$A$2:$A$64,A69,'全国貨物月次'!$C$2:$C$64,"&gt;=0")=1,SUMIFS('全国貨物月次'!$C$2:$C$64,'全国貨物月次'!$A$2:$A$64,A69),"")</x:f>
        <x:v>231896</x:v>
      </x:c>
      <x:c r="H69" s="2"/>
      <x:c r="I69" s="2"/>
      <x:c r="J69" s="2" t="str">
        <x:f>B108</x:f>
        <x:v>2025-02</x:v>
      </x:c>
      <x:c r="K69" s="2" t="n">
        <x:f>IF(ISNUMBER(F108),F108,"")</x:f>
        <x:v>2000</x:v>
      </x:c>
      <x:c r="L69" s="2"/>
      <x:c r="M69" s="2" t="str">
        <x:f>B69</x:f>
        <x:v>2021-11</x:v>
      </x:c>
      <x:c r="N69" s="2" t="n">
        <x:f>G69</x:f>
        <x:v>231896</x:v>
      </x:c>
      <x:c r="O69" s="2"/>
      <x:c r="P69" s="2"/>
      <x:c r="Q69" s="2"/>
      <x:c r="R69" s="2"/>
      <x:c r="S69" s="2"/>
    </x:row>
    <x:row r="70" ht="21" customHeight="1">
      <x:c r="A70" s="7" t="n">
        <x:v>44531</x:v>
      </x:c>
      <x:c r="B70" s="2" t="str">
        <x:f>TEXT(A70,"yyyy-mm")</x:f>
        <x:v>2021-12</x:v>
      </x:c>
      <x:c r="C70" s="8" t="n">
        <x:f>IF(COUNTIFS('港湾月次'!$A$2:$A$477,A70,'港湾月次'!$B$2:$B$477,$B$5,'港湾月次'!$E$2:$E$477,"&gt;=0")=1,SUMIFS('港湾月次'!$E$2:$E$477,'港湾月次'!$A$2:$A$477,A70,'港湾月次'!$B$2:$B$477,$B$5),"")</x:f>
        <x:v>125029</x:v>
      </x:c>
      <x:c r="D70" s="8" t="n">
        <x:f>IF(COUNTIFS('港湾月次'!$A$2:$A$477,A70,'港湾月次'!$B$2:$B$477,$B$5,'港湾月次'!$J$2:$J$477,"&gt;=0")=1,SUMIFS('港湾月次'!$J$2:$J$477,'港湾月次'!$A$2:$A$477,A70,'港湾月次'!$B$2:$B$477,$B$5),"")</x:f>
        <x:v>7523</x:v>
      </x:c>
      <x:c r="E70" s="8" t="n">
        <x:f>IF(COUNTIFS('港湾月次'!$A$2:$A$477,A70,'港湾月次'!$B$2:$B$477,$B$5,'港湾月次'!$P$2:$P$477,"&gt;=0")=1,SUMIFS('港湾月次'!$P$2:$P$477,'港湾月次'!$A$2:$A$477,A70,'港湾月次'!$B$2:$B$477,$B$5),"")</x:f>
        <x:v>640</x:v>
      </x:c>
      <x:c r="F70" s="8" t="str">
        <x:f>IF(COUNTIFS('道路月次_熊本'!$A$2:$A$313,A70,'道路月次_熊本'!$C$2:$C$313,$B$6,'道路月次_熊本'!$F$2:$F$313,$B$7,'道路月次_熊本'!$I$2:$I$313,"&gt;=0")=1,SUMIFS('道路月次_熊本'!$I$2:$I$313,'道路月次_熊本'!$A$2:$A$313,A70,'道路月次_熊本'!$C$2:$C$313,$B$6,'道路月次_熊本'!$F$2:$F$313,$B$7),"")</x:f>
      </x:c>
      <x:c r="G70" s="8" t="n">
        <x:f>IF(COUNTIFS('全国貨物月次'!$A$2:$A$64,A70,'全国貨物月次'!$C$2:$C$64,"&gt;=0")=1,SUMIFS('全国貨物月次'!$C$2:$C$64,'全国貨物月次'!$A$2:$A$64,A70),"")</x:f>
        <x:v>232281</x:v>
      </x:c>
      <x:c r="H70" s="2"/>
      <x:c r="I70" s="2"/>
      <x:c r="J70" s="2" t="str">
        <x:f>B109</x:f>
        <x:v>2025-03</x:v>
      </x:c>
      <x:c r="K70" s="2" t="n">
        <x:f>IF(ISNUMBER(F109),F109,"")</x:f>
        <x:v>2000</x:v>
      </x:c>
      <x:c r="L70" s="2"/>
      <x:c r="M70" s="2" t="str">
        <x:f>B70</x:f>
        <x:v>2021-12</x:v>
      </x:c>
      <x:c r="N70" s="2" t="n">
        <x:f>G70</x:f>
        <x:v>232281</x:v>
      </x:c>
      <x:c r="O70" s="2"/>
      <x:c r="P70" s="2"/>
      <x:c r="Q70" s="2"/>
      <x:c r="R70" s="2"/>
      <x:c r="S70" s="2"/>
    </x:row>
    <x:row r="71" ht="21" customHeight="1">
      <x:c r="A71" s="7" t="n">
        <x:v>44562</x:v>
      </x:c>
      <x:c r="B71" s="2" t="str">
        <x:f>TEXT(A71,"yyyy-mm")</x:f>
        <x:v>2022-01</x:v>
      </x:c>
      <x:c r="C71" s="8" t="n">
        <x:f>IF(COUNTIFS('港湾月次'!$A$2:$A$477,A71,'港湾月次'!$B$2:$B$477,$B$5,'港湾月次'!$E$2:$E$477,"&gt;=0")=1,SUMIFS('港湾月次'!$E$2:$E$477,'港湾月次'!$A$2:$A$477,A71,'港湾月次'!$B$2:$B$477,$B$5),"")</x:f>
        <x:v>144309</x:v>
      </x:c>
      <x:c r="D71" s="8" t="n">
        <x:f>IF(COUNTIFS('港湾月次'!$A$2:$A$477,A71,'港湾月次'!$B$2:$B$477,$B$5,'港湾月次'!$J$2:$J$477,"&gt;=0")=1,SUMIFS('港湾月次'!$J$2:$J$477,'港湾月次'!$A$2:$A$477,A71,'港湾月次'!$B$2:$B$477,$B$5),"")</x:f>
        <x:v>5266</x:v>
      </x:c>
      <x:c r="E71" s="8" t="n">
        <x:f>IF(COUNTIFS('港湾月次'!$A$2:$A$477,A71,'港湾月次'!$B$2:$B$477,$B$5,'港湾月次'!$P$2:$P$477,"&gt;=0")=1,SUMIFS('港湾月次'!$P$2:$P$477,'港湾月次'!$A$2:$A$477,A71,'港湾月次'!$B$2:$B$477,$B$5),"")</x:f>
        <x:v>456</x:v>
      </x:c>
      <x:c r="F71" s="8" t="str">
        <x:f>IF(COUNTIFS('道路月次_熊本'!$A$2:$A$313,A71,'道路月次_熊本'!$C$2:$C$313,$B$6,'道路月次_熊本'!$F$2:$F$313,$B$7,'道路月次_熊本'!$I$2:$I$313,"&gt;=0")=1,SUMIFS('道路月次_熊本'!$I$2:$I$313,'道路月次_熊本'!$A$2:$A$313,A71,'道路月次_熊本'!$C$2:$C$313,$B$6,'道路月次_熊本'!$F$2:$F$313,$B$7),"")</x:f>
      </x:c>
      <x:c r="G71" s="8" t="n">
        <x:f>IF(COUNTIFS('全国貨物月次'!$A$2:$A$64,A71,'全国貨物月次'!$C$2:$C$64,"&gt;=0")=1,SUMIFS('全国貨物月次'!$C$2:$C$64,'全国貨物月次'!$A$2:$A$64,A71),"")</x:f>
        <x:v>206963</x:v>
      </x:c>
      <x:c r="H71" s="2"/>
      <x:c r="I71" s="2"/>
      <x:c r="J71" s="2" t="str">
        <x:f>B110</x:f>
        <x:v>2025-04</x:v>
      </x:c>
      <x:c r="K71" s="2" t="n">
        <x:f>IF(ISNUMBER(F110),F110,"")</x:f>
        <x:v>1900</x:v>
      </x:c>
      <x:c r="L71" s="2"/>
      <x:c r="M71" s="2" t="str">
        <x:f>B71</x:f>
        <x:v>2022-01</x:v>
      </x:c>
      <x:c r="N71" s="2" t="n">
        <x:f>G71</x:f>
        <x:v>206963</x:v>
      </x:c>
      <x:c r="O71" s="2"/>
      <x:c r="P71" s="2"/>
      <x:c r="Q71" s="2"/>
      <x:c r="R71" s="2"/>
      <x:c r="S71" s="2"/>
    </x:row>
    <x:row r="72" ht="21" customHeight="1">
      <x:c r="A72" s="7" t="n">
        <x:v>44593</x:v>
      </x:c>
      <x:c r="B72" s="2" t="str">
        <x:f>TEXT(A72,"yyyy-mm")</x:f>
        <x:v>2022-02</x:v>
      </x:c>
      <x:c r="C72" s="8" t="n">
        <x:f>IF(COUNTIFS('港湾月次'!$A$2:$A$477,A72,'港湾月次'!$B$2:$B$477,$B$5,'港湾月次'!$E$2:$E$477,"&gt;=0")=1,SUMIFS('港湾月次'!$E$2:$E$477,'港湾月次'!$A$2:$A$477,A72,'港湾月次'!$B$2:$B$477,$B$5),"")</x:f>
        <x:v>208904</x:v>
      </x:c>
      <x:c r="D72" s="8" t="n">
        <x:f>IF(COUNTIFS('港湾月次'!$A$2:$A$477,A72,'港湾月次'!$B$2:$B$477,$B$5,'港湾月次'!$J$2:$J$477,"&gt;=0")=1,SUMIFS('港湾月次'!$J$2:$J$477,'港湾月次'!$A$2:$A$477,A72,'港湾月次'!$B$2:$B$477,$B$5),"")</x:f>
        <x:v>5656</x:v>
      </x:c>
      <x:c r="E72" s="8" t="n">
        <x:f>IF(COUNTIFS('港湾月次'!$A$2:$A$477,A72,'港湾月次'!$B$2:$B$477,$B$5,'港湾月次'!$P$2:$P$477,"&gt;=0")=1,SUMIFS('港湾月次'!$P$2:$P$477,'港湾月次'!$A$2:$A$477,A72,'港湾月次'!$B$2:$B$477,$B$5),"")</x:f>
        <x:v>454</x:v>
      </x:c>
      <x:c r="F72" s="8" t="str">
        <x:f>IF(COUNTIFS('道路月次_熊本'!$A$2:$A$313,A72,'道路月次_熊本'!$C$2:$C$313,$B$6,'道路月次_熊本'!$F$2:$F$313,$B$7,'道路月次_熊本'!$I$2:$I$313,"&gt;=0")=1,SUMIFS('道路月次_熊本'!$I$2:$I$313,'道路月次_熊本'!$A$2:$A$313,A72,'道路月次_熊本'!$C$2:$C$313,$B$6,'道路月次_熊本'!$F$2:$F$313,$B$7),"")</x:f>
      </x:c>
      <x:c r="G72" s="8" t="n">
        <x:f>IF(COUNTIFS('全国貨物月次'!$A$2:$A$64,A72,'全国貨物月次'!$C$2:$C$64,"&gt;=0")=1,SUMIFS('全国貨物月次'!$C$2:$C$64,'全国貨物月次'!$A$2:$A$64,A72),"")</x:f>
        <x:v>203574</x:v>
      </x:c>
      <x:c r="H72" s="2"/>
      <x:c r="I72" s="2"/>
      <x:c r="J72" s="2" t="str">
        <x:f>B111</x:f>
        <x:v>2025-05</x:v>
      </x:c>
      <x:c r="K72" s="2" t="n">
        <x:f>IF(ISNUMBER(F111),F111,"")</x:f>
        <x:v>1800</x:v>
      </x:c>
      <x:c r="L72" s="2"/>
      <x:c r="M72" s="2" t="str">
        <x:f>B72</x:f>
        <x:v>2022-02</x:v>
      </x:c>
      <x:c r="N72" s="2" t="n">
        <x:f>G72</x:f>
        <x:v>203574</x:v>
      </x:c>
      <x:c r="O72" s="2"/>
      <x:c r="P72" s="2"/>
      <x:c r="Q72" s="2"/>
      <x:c r="R72" s="2"/>
      <x:c r="S72" s="2"/>
    </x:row>
    <x:row r="73" ht="21" customHeight="1">
      <x:c r="A73" s="7" t="n">
        <x:v>44621</x:v>
      </x:c>
      <x:c r="B73" s="2" t="str">
        <x:f>TEXT(A73,"yyyy-mm")</x:f>
        <x:v>2022-03</x:v>
      </x:c>
      <x:c r="C73" s="8" t="n">
        <x:f>IF(COUNTIFS('港湾月次'!$A$2:$A$477,A73,'港湾月次'!$B$2:$B$477,$B$5,'港湾月次'!$E$2:$E$477,"&gt;=0")=1,SUMIFS('港湾月次'!$E$2:$E$477,'港湾月次'!$A$2:$A$477,A73,'港湾月次'!$B$2:$B$477,$B$5),"")</x:f>
        <x:v>128361</x:v>
      </x:c>
      <x:c r="D73" s="8" t="n">
        <x:f>IF(COUNTIFS('港湾月次'!$A$2:$A$477,A73,'港湾月次'!$B$2:$B$477,$B$5,'港湾月次'!$J$2:$J$477,"&gt;=0")=1,SUMIFS('港湾月次'!$J$2:$J$477,'港湾月次'!$A$2:$A$477,A73,'港湾月次'!$B$2:$B$477,$B$5),"")</x:f>
        <x:v>6338</x:v>
      </x:c>
      <x:c r="E73" s="8" t="n">
        <x:f>IF(COUNTIFS('港湾月次'!$A$2:$A$477,A73,'港湾月次'!$B$2:$B$477,$B$5,'港湾月次'!$P$2:$P$477,"&gt;=0")=1,SUMIFS('港湾月次'!$P$2:$P$477,'港湾月次'!$A$2:$A$477,A73,'港湾月次'!$B$2:$B$477,$B$5),"")</x:f>
        <x:v>616</x:v>
      </x:c>
      <x:c r="F73" s="8" t="str">
        <x:f>IF(COUNTIFS('道路月次_熊本'!$A$2:$A$313,A73,'道路月次_熊本'!$C$2:$C$313,$B$6,'道路月次_熊本'!$F$2:$F$313,$B$7,'道路月次_熊本'!$I$2:$I$313,"&gt;=0")=1,SUMIFS('道路月次_熊本'!$I$2:$I$313,'道路月次_熊本'!$A$2:$A$313,A73,'道路月次_熊本'!$C$2:$C$313,$B$6,'道路月次_熊本'!$F$2:$F$313,$B$7),"")</x:f>
      </x:c>
      <x:c r="G73" s="8" t="n">
        <x:f>IF(COUNTIFS('全国貨物月次'!$A$2:$A$64,A73,'全国貨物月次'!$C$2:$C$64,"&gt;=0")=1,SUMIFS('全国貨物月次'!$C$2:$C$64,'全国貨物月次'!$A$2:$A$64,A73),"")</x:f>
        <x:v>222119</x:v>
      </x:c>
      <x:c r="H73" s="2"/>
      <x:c r="I73" s="2"/>
      <x:c r="J73" s="2" t="str">
        <x:f>B112</x:f>
        <x:v>2025-06</x:v>
      </x:c>
      <x:c r="K73" s="2" t="n">
        <x:f>IF(ISNUMBER(F112),F112,"")</x:f>
        <x:v>1800</x:v>
      </x:c>
      <x:c r="L73" s="2"/>
      <x:c r="M73" s="2" t="str">
        <x:f>B73</x:f>
        <x:v>2022-03</x:v>
      </x:c>
      <x:c r="N73" s="2" t="n">
        <x:f>G73</x:f>
        <x:v>222119</x:v>
      </x:c>
      <x:c r="O73" s="2"/>
      <x:c r="P73" s="2"/>
      <x:c r="Q73" s="2"/>
      <x:c r="R73" s="2"/>
      <x:c r="S73" s="2"/>
    </x:row>
    <x:row r="74" ht="21" customHeight="1">
      <x:c r="A74" s="7" t="n">
        <x:v>44652</x:v>
      </x:c>
      <x:c r="B74" s="2" t="str">
        <x:f>TEXT(A74,"yyyy-mm")</x:f>
        <x:v>2022-04</x:v>
      </x:c>
      <x:c r="C74" s="8" t="n">
        <x:f>IF(COUNTIFS('港湾月次'!$A$2:$A$477,A74,'港湾月次'!$B$2:$B$477,$B$5,'港湾月次'!$E$2:$E$477,"&gt;=0")=1,SUMIFS('港湾月次'!$E$2:$E$477,'港湾月次'!$A$2:$A$477,A74,'港湾月次'!$B$2:$B$477,$B$5),"")</x:f>
        <x:v>83552</x:v>
      </x:c>
      <x:c r="D74" s="8" t="n">
        <x:f>IF(COUNTIFS('港湾月次'!$A$2:$A$477,A74,'港湾月次'!$B$2:$B$477,$B$5,'港湾月次'!$J$2:$J$477,"&gt;=0")=1,SUMIFS('港湾月次'!$J$2:$J$477,'港湾月次'!$A$2:$A$477,A74,'港湾月次'!$B$2:$B$477,$B$5),"")</x:f>
        <x:v>5254</x:v>
      </x:c>
      <x:c r="E74" s="8" t="n">
        <x:f>IF(COUNTIFS('港湾月次'!$A$2:$A$477,A74,'港湾月次'!$B$2:$B$477,$B$5,'港湾月次'!$P$2:$P$477,"&gt;=0")=1,SUMIFS('港湾月次'!$P$2:$P$477,'港湾月次'!$A$2:$A$477,A74,'港湾月次'!$B$2:$B$477,$B$5),"")</x:f>
        <x:v>596</x:v>
      </x:c>
      <x:c r="F74" s="8" t="str">
        <x:f>IF(COUNTIFS('道路月次_熊本'!$A$2:$A$313,A74,'道路月次_熊本'!$C$2:$C$313,$B$6,'道路月次_熊本'!$F$2:$F$313,$B$7,'道路月次_熊本'!$I$2:$I$313,"&gt;=0")=1,SUMIFS('道路月次_熊本'!$I$2:$I$313,'道路月次_熊本'!$A$2:$A$313,A74,'道路月次_熊本'!$C$2:$C$313,$B$6,'道路月次_熊本'!$F$2:$F$313,$B$7),"")</x:f>
      </x:c>
      <x:c r="G74" s="8" t="n">
        <x:f>IF(COUNTIFS('全国貨物月次'!$A$2:$A$64,A74,'全国貨物月次'!$C$2:$C$64,"&gt;=0")=1,SUMIFS('全国貨物月次'!$C$2:$C$64,'全国貨物月次'!$A$2:$A$64,A74),"")</x:f>
        <x:v>215404</x:v>
      </x:c>
      <x:c r="H74" s="2"/>
      <x:c r="I74" s="2"/>
      <x:c r="J74" s="2" t="str">
        <x:f>B113</x:f>
        <x:v>2025-07</x:v>
      </x:c>
      <x:c r="K74" s="2" t="n">
        <x:f>IF(ISNUMBER(F113),F113,"")</x:f>
        <x:v>2000</x:v>
      </x:c>
      <x:c r="L74" s="2"/>
      <x:c r="M74" s="2" t="str">
        <x:f>B74</x:f>
        <x:v>2022-04</x:v>
      </x:c>
      <x:c r="N74" s="2" t="n">
        <x:f>G74</x:f>
        <x:v>215404</x:v>
      </x:c>
      <x:c r="O74" s="2"/>
      <x:c r="P74" s="2"/>
      <x:c r="Q74" s="2"/>
      <x:c r="R74" s="2"/>
      <x:c r="S74" s="2"/>
    </x:row>
    <x:row r="75" ht="21" customHeight="1">
      <x:c r="A75" s="7" t="n">
        <x:v>44682</x:v>
      </x:c>
      <x:c r="B75" s="2" t="str">
        <x:f>TEXT(A75,"yyyy-mm")</x:f>
        <x:v>2022-05</x:v>
      </x:c>
      <x:c r="C75" s="8" t="n">
        <x:f>IF(COUNTIFS('港湾月次'!$A$2:$A$477,A75,'港湾月次'!$B$2:$B$477,$B$5,'港湾月次'!$E$2:$E$477,"&gt;=0")=1,SUMIFS('港湾月次'!$E$2:$E$477,'港湾月次'!$A$2:$A$477,A75,'港湾月次'!$B$2:$B$477,$B$5),"")</x:f>
        <x:v>97358</x:v>
      </x:c>
      <x:c r="D75" s="8" t="n">
        <x:f>IF(COUNTIFS('港湾月次'!$A$2:$A$477,A75,'港湾月次'!$B$2:$B$477,$B$5,'港湾月次'!$J$2:$J$477,"&gt;=0")=1,SUMIFS('港湾月次'!$J$2:$J$477,'港湾月次'!$A$2:$A$477,A75,'港湾月次'!$B$2:$B$477,$B$5),"")</x:f>
        <x:v>5585</x:v>
      </x:c>
      <x:c r="E75" s="8" t="n">
        <x:f>IF(COUNTIFS('港湾月次'!$A$2:$A$477,A75,'港湾月次'!$B$2:$B$477,$B$5,'港湾月次'!$P$2:$P$477,"&gt;=0")=1,SUMIFS('港湾月次'!$P$2:$P$477,'港湾月次'!$A$2:$A$477,A75,'港湾月次'!$B$2:$B$477,$B$5),"")</x:f>
        <x:v>543</x:v>
      </x:c>
      <x:c r="F75" s="8" t="str">
        <x:f>IF(COUNTIFS('道路月次_熊本'!$A$2:$A$313,A75,'道路月次_熊本'!$C$2:$C$313,$B$6,'道路月次_熊本'!$F$2:$F$313,$B$7,'道路月次_熊本'!$I$2:$I$313,"&gt;=0")=1,SUMIFS('道路月次_熊本'!$I$2:$I$313,'道路月次_熊本'!$A$2:$A$313,A75,'道路月次_熊本'!$C$2:$C$313,$B$6,'道路月次_熊本'!$F$2:$F$313,$B$7),"")</x:f>
      </x:c>
      <x:c r="G75" s="8" t="n">
        <x:f>IF(COUNTIFS('全国貨物月次'!$A$2:$A$64,A75,'全国貨物月次'!$C$2:$C$64,"&gt;=0")=1,SUMIFS('全国貨物月次'!$C$2:$C$64,'全国貨物月次'!$A$2:$A$64,A75),"")</x:f>
        <x:v>185335</x:v>
      </x:c>
      <x:c r="H75" s="2"/>
      <x:c r="I75" s="2"/>
      <x:c r="J75" s="2" t="str">
        <x:f>B114</x:f>
        <x:v>2025-08</x:v>
      </x:c>
      <x:c r="K75" s="2" t="n">
        <x:f>IF(ISNUMBER(F114),F114,"")</x:f>
        <x:v>1700</x:v>
      </x:c>
      <x:c r="L75" s="2"/>
      <x:c r="M75" s="2" t="str">
        <x:f>B75</x:f>
        <x:v>2022-05</x:v>
      </x:c>
      <x:c r="N75" s="2" t="n">
        <x:f>G75</x:f>
        <x:v>185335</x:v>
      </x:c>
      <x:c r="O75" s="2"/>
      <x:c r="P75" s="2"/>
      <x:c r="Q75" s="2"/>
      <x:c r="R75" s="2"/>
      <x:c r="S75" s="2"/>
    </x:row>
    <x:row r="76" ht="21" customHeight="1">
      <x:c r="A76" s="7" t="n">
        <x:v>44713</x:v>
      </x:c>
      <x:c r="B76" s="2" t="str">
        <x:f>TEXT(A76,"yyyy-mm")</x:f>
        <x:v>2022-06</x:v>
      </x:c>
      <x:c r="C76" s="8" t="n">
        <x:f>IF(COUNTIFS('港湾月次'!$A$2:$A$477,A76,'港湾月次'!$B$2:$B$477,$B$5,'港湾月次'!$E$2:$E$477,"&gt;=0")=1,SUMIFS('港湾月次'!$E$2:$E$477,'港湾月次'!$A$2:$A$477,A76,'港湾月次'!$B$2:$B$477,$B$5),"")</x:f>
        <x:v>83747</x:v>
      </x:c>
      <x:c r="D76" s="8" t="n">
        <x:f>IF(COUNTIFS('港湾月次'!$A$2:$A$477,A76,'港湾月次'!$B$2:$B$477,$B$5,'港湾月次'!$J$2:$J$477,"&gt;=0")=1,SUMIFS('港湾月次'!$J$2:$J$477,'港湾月次'!$A$2:$A$477,A76,'港湾月次'!$B$2:$B$477,$B$5),"")</x:f>
        <x:v>5725</x:v>
      </x:c>
      <x:c r="E76" s="8" t="n">
        <x:f>IF(COUNTIFS('港湾月次'!$A$2:$A$477,A76,'港湾月次'!$B$2:$B$477,$B$5,'港湾月次'!$P$2:$P$477,"&gt;=0")=1,SUMIFS('港湾月次'!$P$2:$P$477,'港湾月次'!$A$2:$A$477,A76,'港湾月次'!$B$2:$B$477,$B$5),"")</x:f>
        <x:v>535</x:v>
      </x:c>
      <x:c r="F76" s="8" t="str">
        <x:f>IF(COUNTIFS('道路月次_熊本'!$A$2:$A$313,A76,'道路月次_熊本'!$C$2:$C$313,$B$6,'道路月次_熊本'!$F$2:$F$313,$B$7,'道路月次_熊本'!$I$2:$I$313,"&gt;=0")=1,SUMIFS('道路月次_熊本'!$I$2:$I$313,'道路月次_熊本'!$A$2:$A$313,A76,'道路月次_熊本'!$C$2:$C$313,$B$6,'道路月次_熊本'!$F$2:$F$313,$B$7),"")</x:f>
      </x:c>
      <x:c r="G76" s="8" t="n">
        <x:f>IF(COUNTIFS('全国貨物月次'!$A$2:$A$64,A76,'全国貨物月次'!$C$2:$C$64,"&gt;=0")=1,SUMIFS('全国貨物月次'!$C$2:$C$64,'全国貨物月次'!$A$2:$A$64,A76),"")</x:f>
        <x:v>225829</x:v>
      </x:c>
      <x:c r="H76" s="2"/>
      <x:c r="I76" s="2"/>
      <x:c r="J76" s="2" t="str">
        <x:f>B115</x:f>
        <x:v>2025-09</x:v>
      </x:c>
      <x:c r="K76" s="2" t="n">
        <x:f>IF(ISNUMBER(F115),F115,"")</x:f>
        <x:v>2000</x:v>
      </x:c>
      <x:c r="L76" s="2"/>
      <x:c r="M76" s="2" t="str">
        <x:f>B76</x:f>
        <x:v>2022-06</x:v>
      </x:c>
      <x:c r="N76" s="2" t="n">
        <x:f>G76</x:f>
        <x:v>225829</x:v>
      </x:c>
      <x:c r="O76" s="2"/>
      <x:c r="P76" s="2"/>
      <x:c r="Q76" s="2"/>
      <x:c r="R76" s="2"/>
      <x:c r="S76" s="2"/>
    </x:row>
    <x:row r="77" ht="21" customHeight="1">
      <x:c r="A77" s="7" t="n">
        <x:v>44743</x:v>
      </x:c>
      <x:c r="B77" s="2" t="str">
        <x:f>TEXT(A77,"yyyy-mm")</x:f>
        <x:v>2022-07</x:v>
      </x:c>
      <x:c r="C77" s="8" t="n">
        <x:f>IF(COUNTIFS('港湾月次'!$A$2:$A$477,A77,'港湾月次'!$B$2:$B$477,$B$5,'港湾月次'!$E$2:$E$477,"&gt;=0")=1,SUMIFS('港湾月次'!$E$2:$E$477,'港湾月次'!$A$2:$A$477,A77,'港湾月次'!$B$2:$B$477,$B$5),"")</x:f>
        <x:v>155580</x:v>
      </x:c>
      <x:c r="D77" s="8" t="n">
        <x:f>IF(COUNTIFS('港湾月次'!$A$2:$A$477,A77,'港湾月次'!$B$2:$B$477,$B$5,'港湾月次'!$J$2:$J$477,"&gt;=0")=1,SUMIFS('港湾月次'!$J$2:$J$477,'港湾月次'!$A$2:$A$477,A77,'港湾月次'!$B$2:$B$477,$B$5),"")</x:f>
        <x:v>5867</x:v>
      </x:c>
      <x:c r="E77" s="8" t="n">
        <x:f>IF(COUNTIFS('港湾月次'!$A$2:$A$477,A77,'港湾月次'!$B$2:$B$477,$B$5,'港湾月次'!$P$2:$P$477,"&gt;=0")=1,SUMIFS('港湾月次'!$P$2:$P$477,'港湾月次'!$A$2:$A$477,A77,'港湾月次'!$B$2:$B$477,$B$5),"")</x:f>
        <x:v>603</x:v>
      </x:c>
      <x:c r="F77" s="8" t="str">
        <x:f>IF(COUNTIFS('道路月次_熊本'!$A$2:$A$313,A77,'道路月次_熊本'!$C$2:$C$313,$B$6,'道路月次_熊本'!$F$2:$F$313,$B$7,'道路月次_熊本'!$I$2:$I$313,"&gt;=0")=1,SUMIFS('道路月次_熊本'!$I$2:$I$313,'道路月次_熊本'!$A$2:$A$313,A77,'道路月次_熊本'!$C$2:$C$313,$B$6,'道路月次_熊本'!$F$2:$F$313,$B$7),"")</x:f>
      </x:c>
      <x:c r="G77" s="8" t="n">
        <x:f>IF(COUNTIFS('全国貨物月次'!$A$2:$A$64,A77,'全国貨物月次'!$C$2:$C$64,"&gt;=0")=1,SUMIFS('全国貨物月次'!$C$2:$C$64,'全国貨物月次'!$A$2:$A$64,A77),"")</x:f>
        <x:v>219871</x:v>
      </x:c>
      <x:c r="H77" s="2"/>
      <x:c r="I77" s="2"/>
      <x:c r="J77" s="2" t="str">
        <x:f>B116</x:f>
        <x:v>2025-10</x:v>
      </x:c>
      <x:c r="K77" s="2" t="n">
        <x:f>IF(ISNUMBER(F116),F116,"")</x:f>
        <x:v>2100</x:v>
      </x:c>
      <x:c r="L77" s="2"/>
      <x:c r="M77" s="2" t="str">
        <x:f>B77</x:f>
        <x:v>2022-07</x:v>
      </x:c>
      <x:c r="N77" s="2" t="n">
        <x:f>G77</x:f>
        <x:v>219871</x:v>
      </x:c>
      <x:c r="O77" s="2"/>
      <x:c r="P77" s="2"/>
      <x:c r="Q77" s="2"/>
      <x:c r="R77" s="2"/>
      <x:c r="S77" s="2"/>
    </x:row>
    <x:row r="78" ht="21" customHeight="1">
      <x:c r="A78" s="7" t="n">
        <x:v>44774</x:v>
      </x:c>
      <x:c r="B78" s="2" t="str">
        <x:f>TEXT(A78,"yyyy-mm")</x:f>
        <x:v>2022-08</x:v>
      </x:c>
      <x:c r="C78" s="8" t="n">
        <x:f>IF(COUNTIFS('港湾月次'!$A$2:$A$477,A78,'港湾月次'!$B$2:$B$477,$B$5,'港湾月次'!$E$2:$E$477,"&gt;=0")=1,SUMIFS('港湾月次'!$E$2:$E$477,'港湾月次'!$A$2:$A$477,A78,'港湾月次'!$B$2:$B$477,$B$5),"")</x:f>
        <x:v>106296</x:v>
      </x:c>
      <x:c r="D78" s="8" t="n">
        <x:f>IF(COUNTIFS('港湾月次'!$A$2:$A$477,A78,'港湾月次'!$B$2:$B$477,$B$5,'港湾月次'!$J$2:$J$477,"&gt;=0")=1,SUMIFS('港湾月次'!$J$2:$J$477,'港湾月次'!$A$2:$A$477,A78,'港湾月次'!$B$2:$B$477,$B$5),"")</x:f>
        <x:v>5536</x:v>
      </x:c>
      <x:c r="E78" s="8" t="n">
        <x:f>IF(COUNTIFS('港湾月次'!$A$2:$A$477,A78,'港湾月次'!$B$2:$B$477,$B$5,'港湾月次'!$P$2:$P$477,"&gt;=0")=1,SUMIFS('港湾月次'!$P$2:$P$477,'港湾月次'!$A$2:$A$477,A78,'港湾月次'!$B$2:$B$477,$B$5),"")</x:f>
        <x:v>625</x:v>
      </x:c>
      <x:c r="F78" s="8" t="str">
        <x:f>IF(COUNTIFS('道路月次_熊本'!$A$2:$A$313,A78,'道路月次_熊本'!$C$2:$C$313,$B$6,'道路月次_熊本'!$F$2:$F$313,$B$7,'道路月次_熊本'!$I$2:$I$313,"&gt;=0")=1,SUMIFS('道路月次_熊本'!$I$2:$I$313,'道路月次_熊本'!$A$2:$A$313,A78,'道路月次_熊本'!$C$2:$C$313,$B$6,'道路月次_熊本'!$F$2:$F$313,$B$7),"")</x:f>
      </x:c>
      <x:c r="G78" s="8" t="n">
        <x:f>IF(COUNTIFS('全国貨物月次'!$A$2:$A$64,A78,'全国貨物月次'!$C$2:$C$64,"&gt;=0")=1,SUMIFS('全国貨物月次'!$C$2:$C$64,'全国貨物月次'!$A$2:$A$64,A78),"")</x:f>
        <x:v>205879</x:v>
      </x:c>
      <x:c r="H78" s="2"/>
      <x:c r="I78" s="2"/>
      <x:c r="J78" s="2" t="str">
        <x:f>B117</x:f>
        <x:v>2025-11</x:v>
      </x:c>
      <x:c r="K78" s="2" t="n">
        <x:f>IF(ISNUMBER(F117),F117,"")</x:f>
        <x:v>2100</x:v>
      </x:c>
      <x:c r="L78" s="2"/>
      <x:c r="M78" s="2" t="str">
        <x:f>B78</x:f>
        <x:v>2022-08</x:v>
      </x:c>
      <x:c r="N78" s="2" t="n">
        <x:f>G78</x:f>
        <x:v>205879</x:v>
      </x:c>
      <x:c r="O78" s="2"/>
      <x:c r="P78" s="2"/>
      <x:c r="Q78" s="2"/>
      <x:c r="R78" s="2"/>
      <x:c r="S78" s="2"/>
    </x:row>
    <x:row r="79" ht="21" customHeight="1">
      <x:c r="A79" s="7" t="n">
        <x:v>44805</x:v>
      </x:c>
      <x:c r="B79" s="2" t="str">
        <x:f>TEXT(A79,"yyyy-mm")</x:f>
        <x:v>2022-09</x:v>
      </x:c>
      <x:c r="C79" s="8" t="n">
        <x:f>IF(COUNTIFS('港湾月次'!$A$2:$A$477,A79,'港湾月次'!$B$2:$B$477,$B$5,'港湾月次'!$E$2:$E$477,"&gt;=0")=1,SUMIFS('港湾月次'!$E$2:$E$477,'港湾月次'!$A$2:$A$477,A79,'港湾月次'!$B$2:$B$477,$B$5),"")</x:f>
        <x:v>87214</x:v>
      </x:c>
      <x:c r="D79" s="8" t="n">
        <x:f>IF(COUNTIFS('港湾月次'!$A$2:$A$477,A79,'港湾月次'!$B$2:$B$477,$B$5,'港湾月次'!$J$2:$J$477,"&gt;=0")=1,SUMIFS('港湾月次'!$J$2:$J$477,'港湾月次'!$A$2:$A$477,A79,'港湾月次'!$B$2:$B$477,$B$5),"")</x:f>
        <x:v>5664</x:v>
      </x:c>
      <x:c r="E79" s="8" t="n">
        <x:f>IF(COUNTIFS('港湾月次'!$A$2:$A$477,A79,'港湾月次'!$B$2:$B$477,$B$5,'港湾月次'!$P$2:$P$477,"&gt;=0")=1,SUMIFS('港湾月次'!$P$2:$P$477,'港湾月次'!$A$2:$A$477,A79,'港湾月次'!$B$2:$B$477,$B$5),"")</x:f>
        <x:v>597</x:v>
      </x:c>
      <x:c r="F79" s="8" t="str">
        <x:f>IF(COUNTIFS('道路月次_熊本'!$A$2:$A$313,A79,'道路月次_熊本'!$C$2:$C$313,$B$6,'道路月次_熊本'!$F$2:$F$313,$B$7,'道路月次_熊本'!$I$2:$I$313,"&gt;=0")=1,SUMIFS('道路月次_熊本'!$I$2:$I$313,'道路月次_熊本'!$A$2:$A$313,A79,'道路月次_熊本'!$C$2:$C$313,$B$6,'道路月次_熊本'!$F$2:$F$313,$B$7),"")</x:f>
      </x:c>
      <x:c r="G79" s="8" t="n">
        <x:f>IF(COUNTIFS('全国貨物月次'!$A$2:$A$64,A79,'全国貨物月次'!$C$2:$C$64,"&gt;=0")=1,SUMIFS('全国貨物月次'!$C$2:$C$64,'全国貨物月次'!$A$2:$A$64,A79),"")</x:f>
        <x:v>219767</x:v>
      </x:c>
      <x:c r="H79" s="2"/>
      <x:c r="I79" s="2"/>
      <x:c r="J79" s="2" t="str">
        <x:f>B118</x:f>
        <x:v>2025-12</x:v>
      </x:c>
      <x:c r="K79" s="2" t="n">
        <x:f>IF(ISNUMBER(F118),F118,"")</x:f>
        <x:v>1800</x:v>
      </x:c>
      <x:c r="L79" s="2"/>
      <x:c r="M79" s="2" t="str">
        <x:f>B79</x:f>
        <x:v>2022-09</x:v>
      </x:c>
      <x:c r="N79" s="2" t="n">
        <x:f>G79</x:f>
        <x:v>219767</x:v>
      </x:c>
      <x:c r="O79" s="2"/>
      <x:c r="P79" s="2"/>
      <x:c r="Q79" s="2"/>
      <x:c r="R79" s="2"/>
      <x:c r="S79" s="2"/>
    </x:row>
    <x:row r="80" ht="21" customHeight="1">
      <x:c r="A80" s="7" t="n">
        <x:v>44835</x:v>
      </x:c>
      <x:c r="B80" s="2" t="str">
        <x:f>TEXT(A80,"yyyy-mm")</x:f>
        <x:v>2022-10</x:v>
      </x:c>
      <x:c r="C80" s="8" t="n">
        <x:f>IF(COUNTIFS('港湾月次'!$A$2:$A$477,A80,'港湾月次'!$B$2:$B$477,$B$5,'港湾月次'!$E$2:$E$477,"&gt;=0")=1,SUMIFS('港湾月次'!$E$2:$E$477,'港湾月次'!$A$2:$A$477,A80,'港湾月次'!$B$2:$B$477,$B$5),"")</x:f>
        <x:v>144029</x:v>
      </x:c>
      <x:c r="D80" s="8" t="n">
        <x:f>IF(COUNTIFS('港湾月次'!$A$2:$A$477,A80,'港湾月次'!$B$2:$B$477,$B$5,'港湾月次'!$J$2:$J$477,"&gt;=0")=1,SUMIFS('港湾月次'!$J$2:$J$477,'港湾月次'!$A$2:$A$477,A80,'港湾月次'!$B$2:$B$477,$B$5),"")</x:f>
        <x:v>6590</x:v>
      </x:c>
      <x:c r="E80" s="8" t="n">
        <x:f>IF(COUNTIFS('港湾月次'!$A$2:$A$477,A80,'港湾月次'!$B$2:$B$477,$B$5,'港湾月次'!$P$2:$P$477,"&gt;=0")=1,SUMIFS('港湾月次'!$P$2:$P$477,'港湾月次'!$A$2:$A$477,A80,'港湾月次'!$B$2:$B$477,$B$5),"")</x:f>
        <x:v>653</x:v>
      </x:c>
      <x:c r="F80" s="8" t="str">
        <x:f>IF(COUNTIFS('道路月次_熊本'!$A$2:$A$313,A80,'道路月次_熊本'!$C$2:$C$313,$B$6,'道路月次_熊本'!$F$2:$F$313,$B$7,'道路月次_熊本'!$I$2:$I$313,"&gt;=0")=1,SUMIFS('道路月次_熊本'!$I$2:$I$313,'道路月次_熊本'!$A$2:$A$313,A80,'道路月次_熊本'!$C$2:$C$313,$B$6,'道路月次_熊本'!$F$2:$F$313,$B$7),"")</x:f>
      </x:c>
      <x:c r="G80" s="8" t="n">
        <x:f>IF(COUNTIFS('全国貨物月次'!$A$2:$A$64,A80,'全国貨物月次'!$C$2:$C$64,"&gt;=0")=1,SUMIFS('全国貨物月次'!$C$2:$C$64,'全国貨物月次'!$A$2:$A$64,A80),"")</x:f>
        <x:v>225008</x:v>
      </x:c>
      <x:c r="H80" s="2"/>
      <x:c r="I80" s="2"/>
      <x:c r="J80" s="2" t="str">
        <x:f>B119</x:f>
        <x:v>2026-01</x:v>
      </x:c>
      <x:c r="K80" s="2" t="n">
        <x:f>IF(ISNUMBER(F119),F119,"")</x:f>
        <x:v>1700</x:v>
      </x:c>
      <x:c r="L80" s="2"/>
      <x:c r="M80" s="2" t="str">
        <x:f>B80</x:f>
        <x:v>2022-10</x:v>
      </x:c>
      <x:c r="N80" s="2" t="n">
        <x:f>G80</x:f>
        <x:v>225008</x:v>
      </x:c>
      <x:c r="O80" s="2"/>
      <x:c r="P80" s="2"/>
      <x:c r="Q80" s="2"/>
      <x:c r="R80" s="2"/>
      <x:c r="S80" s="2"/>
    </x:row>
    <x:row r="81" ht="21" customHeight="1">
      <x:c r="A81" s="7" t="n">
        <x:v>44866</x:v>
      </x:c>
      <x:c r="B81" s="2" t="str">
        <x:f>TEXT(A81,"yyyy-mm")</x:f>
        <x:v>2022-11</x:v>
      </x:c>
      <x:c r="C81" s="8" t="n">
        <x:f>IF(COUNTIFS('港湾月次'!$A$2:$A$477,A81,'港湾月次'!$B$2:$B$477,$B$5,'港湾月次'!$E$2:$E$477,"&gt;=0")=1,SUMIFS('港湾月次'!$E$2:$E$477,'港湾月次'!$A$2:$A$477,A81,'港湾月次'!$B$2:$B$477,$B$5),"")</x:f>
        <x:v>114015</x:v>
      </x:c>
      <x:c r="D81" s="8" t="n">
        <x:f>IF(COUNTIFS('港湾月次'!$A$2:$A$477,A81,'港湾月次'!$B$2:$B$477,$B$5,'港湾月次'!$J$2:$J$477,"&gt;=0")=1,SUMIFS('港湾月次'!$J$2:$J$477,'港湾月次'!$A$2:$A$477,A81,'港湾月次'!$B$2:$B$477,$B$5),"")</x:f>
        <x:v>6341</x:v>
      </x:c>
      <x:c r="E81" s="8" t="n">
        <x:f>IF(COUNTIFS('港湾月次'!$A$2:$A$477,A81,'港湾月次'!$B$2:$B$477,$B$5,'港湾月次'!$P$2:$P$477,"&gt;=0")=1,SUMIFS('港湾月次'!$P$2:$P$477,'港湾月次'!$A$2:$A$477,A81,'港湾月次'!$B$2:$B$477,$B$5),"")</x:f>
        <x:v>627</x:v>
      </x:c>
      <x:c r="F81" s="8" t="str">
        <x:f>IF(COUNTIFS('道路月次_熊本'!$A$2:$A$313,A81,'道路月次_熊本'!$C$2:$C$313,$B$6,'道路月次_熊本'!$F$2:$F$313,$B$7,'道路月次_熊本'!$I$2:$I$313,"&gt;=0")=1,SUMIFS('道路月次_熊本'!$I$2:$I$313,'道路月次_熊本'!$A$2:$A$313,A81,'道路月次_熊本'!$C$2:$C$313,$B$6,'道路月次_熊本'!$F$2:$F$313,$B$7),"")</x:f>
      </x:c>
      <x:c r="G81" s="8" t="n">
        <x:f>IF(COUNTIFS('全国貨物月次'!$A$2:$A$64,A81,'全国貨物月次'!$C$2:$C$64,"&gt;=0")=1,SUMIFS('全国貨物月次'!$C$2:$C$64,'全国貨物月次'!$A$2:$A$64,A81),"")</x:f>
        <x:v>221691</x:v>
      </x:c>
      <x:c r="H81" s="2"/>
      <x:c r="I81" s="2"/>
      <x:c r="J81" s="2" t="str">
        <x:f>B120</x:f>
        <x:v>2026-02</x:v>
      </x:c>
      <x:c r="K81" s="2" t="n">
        <x:f>IF(ISNUMBER(F120),F120,"")</x:f>
        <x:v>1900</x:v>
      </x:c>
      <x:c r="L81" s="2"/>
      <x:c r="M81" s="2" t="str">
        <x:f>B81</x:f>
        <x:v>2022-11</x:v>
      </x:c>
      <x:c r="N81" s="2" t="n">
        <x:f>G81</x:f>
        <x:v>221691</x:v>
      </x:c>
      <x:c r="O81" s="2"/>
      <x:c r="P81" s="2"/>
      <x:c r="Q81" s="2"/>
      <x:c r="R81" s="2"/>
      <x:c r="S81" s="2"/>
    </x:row>
    <x:row r="82" ht="21" customHeight="1">
      <x:c r="A82" s="7" t="n">
        <x:v>44896</x:v>
      </x:c>
      <x:c r="B82" s="2" t="str">
        <x:f>TEXT(A82,"yyyy-mm")</x:f>
        <x:v>2022-12</x:v>
      </x:c>
      <x:c r="C82" s="8" t="n">
        <x:f>IF(COUNTIFS('港湾月次'!$A$2:$A$477,A82,'港湾月次'!$B$2:$B$477,$B$5,'港湾月次'!$E$2:$E$477,"&gt;=0")=1,SUMIFS('港湾月次'!$E$2:$E$477,'港湾月次'!$A$2:$A$477,A82,'港湾月次'!$B$2:$B$477,$B$5),"")</x:f>
        <x:v>106653</x:v>
      </x:c>
      <x:c r="D82" s="8" t="n">
        <x:f>IF(COUNTIFS('港湾月次'!$A$2:$A$477,A82,'港湾月次'!$B$2:$B$477,$B$5,'港湾月次'!$J$2:$J$477,"&gt;=0")=1,SUMIFS('港湾月次'!$J$2:$J$477,'港湾月次'!$A$2:$A$477,A82,'港湾月次'!$B$2:$B$477,$B$5),"")</x:f>
        <x:v>6009</x:v>
      </x:c>
      <x:c r="E82" s="8" t="n">
        <x:f>IF(COUNTIFS('港湾月次'!$A$2:$A$477,A82,'港湾月次'!$B$2:$B$477,$B$5,'港湾月次'!$P$2:$P$477,"&gt;=0")=1,SUMIFS('港湾月次'!$P$2:$P$477,'港湾月次'!$A$2:$A$477,A82,'港湾月次'!$B$2:$B$477,$B$5),"")</x:f>
        <x:v>635</x:v>
      </x:c>
      <x:c r="F82" s="8" t="str">
        <x:f>IF(COUNTIFS('道路月次_熊本'!$A$2:$A$313,A82,'道路月次_熊本'!$C$2:$C$313,$B$6,'道路月次_熊本'!$F$2:$F$313,$B$7,'道路月次_熊本'!$I$2:$I$313,"&gt;=0")=1,SUMIFS('道路月次_熊本'!$I$2:$I$313,'道路月次_熊本'!$A$2:$A$313,A82,'道路月次_熊本'!$C$2:$C$313,$B$6,'道路月次_熊本'!$F$2:$F$313,$B$7),"")</x:f>
      </x:c>
      <x:c r="G82" s="8" t="n">
        <x:f>IF(COUNTIFS('全国貨物月次'!$A$2:$A$64,A82,'全国貨物月次'!$C$2:$C$64,"&gt;=0")=1,SUMIFS('全国貨物月次'!$C$2:$C$64,'全国貨物月次'!$A$2:$A$64,A82),"")</x:f>
        <x:v>215771</x:v>
      </x:c>
      <x:c r="H82" s="2"/>
      <x:c r="I82" s="2"/>
      <x:c r="J82" s="2" t="str">
        <x:f>B121</x:f>
        <x:v>2026-03</x:v>
      </x:c>
      <x:c r="K82" s="2" t="n">
        <x:f>IF(ISNUMBER(F121),F121,"")</x:f>
        <x:v>2000</x:v>
      </x:c>
      <x:c r="L82" s="2"/>
      <x:c r="M82" s="2" t="str">
        <x:f>B82</x:f>
        <x:v>2022-12</x:v>
      </x:c>
      <x:c r="N82" s="2" t="n">
        <x:f>G82</x:f>
        <x:v>215771</x:v>
      </x:c>
      <x:c r="O82" s="2"/>
      <x:c r="P82" s="2"/>
      <x:c r="Q82" s="2"/>
      <x:c r="R82" s="2"/>
      <x:c r="S82" s="2"/>
    </x:row>
    <x:row r="83" ht="21" customHeight="1">
      <x:c r="A83" s="7" t="n">
        <x:v>44927</x:v>
      </x:c>
      <x:c r="B83" s="2" t="str">
        <x:f>TEXT(A83,"yyyy-mm")</x:f>
        <x:v>2023-01</x:v>
      </x:c>
      <x:c r="C83" s="8" t="n">
        <x:f>IF(COUNTIFS('港湾月次'!$A$2:$A$477,A83,'港湾月次'!$B$2:$B$477,$B$5,'港湾月次'!$E$2:$E$477,"&gt;=0")=1,SUMIFS('港湾月次'!$E$2:$E$477,'港湾月次'!$A$2:$A$477,A83,'港湾月次'!$B$2:$B$477,$B$5),"")</x:f>
        <x:v>139289</x:v>
      </x:c>
      <x:c r="D83" s="8" t="n">
        <x:f>IF(COUNTIFS('港湾月次'!$A$2:$A$477,A83,'港湾月次'!$B$2:$B$477,$B$5,'港湾月次'!$J$2:$J$477,"&gt;=0")=1,SUMIFS('港湾月次'!$J$2:$J$477,'港湾月次'!$A$2:$A$477,A83,'港湾月次'!$B$2:$B$477,$B$5),"")</x:f>
        <x:v>3952</x:v>
      </x:c>
      <x:c r="E83" s="8" t="n">
        <x:f>IF(COUNTIFS('港湾月次'!$A$2:$A$477,A83,'港湾月次'!$B$2:$B$477,$B$5,'港湾月次'!$P$2:$P$477,"&gt;=0")=1,SUMIFS('港湾月次'!$P$2:$P$477,'港湾月次'!$A$2:$A$477,A83,'港湾月次'!$B$2:$B$477,$B$5),"")</x:f>
        <x:v>434</x:v>
      </x:c>
      <x:c r="F83" s="8" t="str">
        <x:f>IF(COUNTIFS('道路月次_熊本'!$A$2:$A$313,A83,'道路月次_熊本'!$C$2:$C$313,$B$6,'道路月次_熊本'!$F$2:$F$313,$B$7,'道路月次_熊本'!$I$2:$I$313,"&gt;=0")=1,SUMIFS('道路月次_熊本'!$I$2:$I$313,'道路月次_熊本'!$A$2:$A$313,A83,'道路月次_熊本'!$C$2:$C$313,$B$6,'道路月次_熊本'!$F$2:$F$313,$B$7),"")</x:f>
      </x:c>
      <x:c r="G83" s="8" t="n">
        <x:f>IF(COUNTIFS('全国貨物月次'!$A$2:$A$64,A83,'全国貨物月次'!$C$2:$C$64,"&gt;=0")=1,SUMIFS('全国貨物月次'!$C$2:$C$64,'全国貨物月次'!$A$2:$A$64,A83),"")</x:f>
        <x:v>198164</x:v>
      </x:c>
      <x:c r="H83" s="2"/>
      <x:c r="I83" s="2"/>
      <x:c r="J83" s="2" t="str">
        <x:f>B122</x:f>
        <x:v>2026-04</x:v>
      </x:c>
      <x:c r="K83" s="2" t="n">
        <x:f>IF(ISNUMBER(F122),F122,"")</x:f>
        <x:v>2000</x:v>
      </x:c>
      <x:c r="L83" s="2"/>
      <x:c r="M83" s="2" t="str">
        <x:f>B83</x:f>
        <x:v>2023-01</x:v>
      </x:c>
      <x:c r="N83" s="2" t="n">
        <x:f>G83</x:f>
        <x:v>198164</x:v>
      </x:c>
      <x:c r="O83" s="2"/>
      <x:c r="P83" s="2"/>
      <x:c r="Q83" s="2"/>
      <x:c r="R83" s="2"/>
      <x:c r="S83" s="2"/>
    </x:row>
    <x:row r="84" ht="21" customHeight="1">
      <x:c r="A84" s="7" t="n">
        <x:v>44958</x:v>
      </x:c>
      <x:c r="B84" s="2" t="str">
        <x:f>TEXT(A84,"yyyy-mm")</x:f>
        <x:v>2023-02</x:v>
      </x:c>
      <x:c r="C84" s="8" t="n">
        <x:f>IF(COUNTIFS('港湾月次'!$A$2:$A$477,A84,'港湾月次'!$B$2:$B$477,$B$5,'港湾月次'!$E$2:$E$477,"&gt;=0")=1,SUMIFS('港湾月次'!$E$2:$E$477,'港湾月次'!$A$2:$A$477,A84,'港湾月次'!$B$2:$B$477,$B$5),"")</x:f>
        <x:v>191923</x:v>
      </x:c>
      <x:c r="D84" s="8" t="n">
        <x:f>IF(COUNTIFS('港湾月次'!$A$2:$A$477,A84,'港湾月次'!$B$2:$B$477,$B$5,'港湾月次'!$J$2:$J$477,"&gt;=0")=1,SUMIFS('港湾月次'!$J$2:$J$477,'港湾月次'!$A$2:$A$477,A84,'港湾月次'!$B$2:$B$477,$B$5),"")</x:f>
        <x:v>5568</x:v>
      </x:c>
      <x:c r="E84" s="8" t="n">
        <x:f>IF(COUNTIFS('港湾月次'!$A$2:$A$477,A84,'港湾月次'!$B$2:$B$477,$B$5,'港湾月次'!$P$2:$P$477,"&gt;=0")=1,SUMIFS('港湾月次'!$P$2:$P$477,'港湾月次'!$A$2:$A$477,A84,'港湾月次'!$B$2:$B$477,$B$5),"")</x:f>
        <x:v>443</x:v>
      </x:c>
      <x:c r="F84" s="8" t="str">
        <x:f>IF(COUNTIFS('道路月次_熊本'!$A$2:$A$313,A84,'道路月次_熊本'!$C$2:$C$313,$B$6,'道路月次_熊本'!$F$2:$F$313,$B$7,'道路月次_熊本'!$I$2:$I$313,"&gt;=0")=1,SUMIFS('道路月次_熊本'!$I$2:$I$313,'道路月次_熊本'!$A$2:$A$313,A84,'道路月次_熊本'!$C$2:$C$313,$B$6,'道路月次_熊本'!$F$2:$F$313,$B$7),"")</x:f>
      </x:c>
      <x:c r="G84" s="8" t="n">
        <x:f>IF(COUNTIFS('全国貨物月次'!$A$2:$A$64,A84,'全国貨物月次'!$C$2:$C$64,"&gt;=0")=1,SUMIFS('全国貨物月次'!$C$2:$C$64,'全国貨物月次'!$A$2:$A$64,A84),"")</x:f>
        <x:v>207690</x:v>
      </x:c>
      <x:c r="H84" s="2"/>
      <x:c r="I84" s="2"/>
      <x:c r="J84" s="2" t="str">
        <x:f>B123</x:f>
        <x:v>2026-05</x:v>
      </x:c>
      <x:c r="K84" s="2" t="n">
        <x:f>IF(ISNUMBER(F123),F123,"")</x:f>
        <x:v>1800</x:v>
      </x:c>
      <x:c r="L84" s="2"/>
      <x:c r="M84" s="2" t="str">
        <x:f>B84</x:f>
        <x:v>2023-02</x:v>
      </x:c>
      <x:c r="N84" s="2" t="n">
        <x:f>G84</x:f>
        <x:v>207690</x:v>
      </x:c>
      <x:c r="O84" s="2"/>
      <x:c r="P84" s="2"/>
      <x:c r="Q84" s="2"/>
      <x:c r="R84" s="2"/>
      <x:c r="S84" s="2"/>
    </x:row>
    <x:row r="85" ht="21" customHeight="1">
      <x:c r="A85" s="7" t="n">
        <x:v>44986</x:v>
      </x:c>
      <x:c r="B85" s="2" t="str">
        <x:f>TEXT(A85,"yyyy-mm")</x:f>
        <x:v>2023-03</x:v>
      </x:c>
      <x:c r="C85" s="8" t="n">
        <x:f>IF(COUNTIFS('港湾月次'!$A$2:$A$477,A85,'港湾月次'!$B$2:$B$477,$B$5,'港湾月次'!$E$2:$E$477,"&gt;=0")=1,SUMIFS('港湾月次'!$E$2:$E$477,'港湾月次'!$A$2:$A$477,A85,'港湾月次'!$B$2:$B$477,$B$5),"")</x:f>
        <x:v>170451</x:v>
      </x:c>
      <x:c r="D85" s="8" t="n">
        <x:f>IF(COUNTIFS('港湾月次'!$A$2:$A$477,A85,'港湾月次'!$B$2:$B$477,$B$5,'港湾月次'!$J$2:$J$477,"&gt;=0")=1,SUMIFS('港湾月次'!$J$2:$J$477,'港湾月次'!$A$2:$A$477,A85,'港湾月次'!$B$2:$B$477,$B$5),"")</x:f>
        <x:v>5285</x:v>
      </x:c>
      <x:c r="E85" s="8" t="n">
        <x:f>IF(COUNTIFS('港湾月次'!$A$2:$A$477,A85,'港湾月次'!$B$2:$B$477,$B$5,'港湾月次'!$P$2:$P$477,"&gt;=0")=1,SUMIFS('港湾月次'!$P$2:$P$477,'港湾月次'!$A$2:$A$477,A85,'港湾月次'!$B$2:$B$477,$B$5),"")</x:f>
        <x:v>621</x:v>
      </x:c>
      <x:c r="F85" s="8" t="str">
        <x:f>IF(COUNTIFS('道路月次_熊本'!$A$2:$A$313,A85,'道路月次_熊本'!$C$2:$C$313,$B$6,'道路月次_熊本'!$F$2:$F$313,$B$7,'道路月次_熊本'!$I$2:$I$313,"&gt;=0")=1,SUMIFS('道路月次_熊本'!$I$2:$I$313,'道路月次_熊本'!$A$2:$A$313,A85,'道路月次_熊本'!$C$2:$C$313,$B$6,'道路月次_熊本'!$F$2:$F$313,$B$7),"")</x:f>
      </x:c>
      <x:c r="G85" s="8" t="n">
        <x:f>IF(COUNTIFS('全国貨物月次'!$A$2:$A$64,A85,'全国貨物月次'!$C$2:$C$64,"&gt;=0")=1,SUMIFS('全国貨物月次'!$C$2:$C$64,'全国貨物月次'!$A$2:$A$64,A85),"")</x:f>
        <x:v>217138</x:v>
      </x:c>
      <x:c r="H85" s="2"/>
      <x:c r="I85" s="2"/>
      <x:c r="J85" s="2"/>
      <x:c r="K85" s="2"/>
      <x:c r="L85" s="2"/>
      <x:c r="M85" s="2" t="str">
        <x:f>B85</x:f>
        <x:v>2023-03</x:v>
      </x:c>
      <x:c r="N85" s="2" t="n">
        <x:f>G85</x:f>
        <x:v>217138</x:v>
      </x:c>
      <x:c r="O85" s="2"/>
      <x:c r="P85" s="2"/>
      <x:c r="Q85" s="2"/>
      <x:c r="R85" s="2"/>
      <x:c r="S85" s="2"/>
    </x:row>
    <x:row r="86" ht="21" customHeight="1">
      <x:c r="A86" s="7" t="n">
        <x:v>45017</x:v>
      </x:c>
      <x:c r="B86" s="2" t="str">
        <x:f>TEXT(A86,"yyyy-mm")</x:f>
        <x:v>2023-04</x:v>
      </x:c>
      <x:c r="C86" s="8" t="n">
        <x:f>IF(COUNTIFS('港湾月次'!$A$2:$A$477,A86,'港湾月次'!$B$2:$B$477,$B$5,'港湾月次'!$E$2:$E$477,"&gt;=0")=1,SUMIFS('港湾月次'!$E$2:$E$477,'港湾月次'!$A$2:$A$477,A86,'港湾月次'!$B$2:$B$477,$B$5),"")</x:f>
        <x:v>91958</x:v>
      </x:c>
      <x:c r="D86" s="8" t="n">
        <x:f>IF(COUNTIFS('港湾月次'!$A$2:$A$477,A86,'港湾月次'!$B$2:$B$477,$B$5,'港湾月次'!$J$2:$J$477,"&gt;=0")=1,SUMIFS('港湾月次'!$J$2:$J$477,'港湾月次'!$A$2:$A$477,A86,'港湾月次'!$B$2:$B$477,$B$5),"")</x:f>
        <x:v>4824</x:v>
      </x:c>
      <x:c r="E86" s="8" t="n">
        <x:f>IF(COUNTIFS('港湾月次'!$A$2:$A$477,A86,'港湾月次'!$B$2:$B$477,$B$5,'港湾月次'!$P$2:$P$477,"&gt;=0")=1,SUMIFS('港湾月次'!$P$2:$P$477,'港湾月次'!$A$2:$A$477,A86,'港湾月次'!$B$2:$B$477,$B$5),"")</x:f>
        <x:v>612</x:v>
      </x:c>
      <x:c r="F86" s="8" t="str">
        <x:f>IF(COUNTIFS('道路月次_熊本'!$A$2:$A$313,A86,'道路月次_熊本'!$C$2:$C$313,$B$6,'道路月次_熊本'!$F$2:$F$313,$B$7,'道路月次_熊本'!$I$2:$I$313,"&gt;=0")=1,SUMIFS('道路月次_熊本'!$I$2:$I$313,'道路月次_熊本'!$A$2:$A$313,A86,'道路月次_熊本'!$C$2:$C$313,$B$6,'道路月次_熊本'!$F$2:$F$313,$B$7),"")</x:f>
      </x:c>
      <x:c r="G86" s="8" t="n">
        <x:f>IF(COUNTIFS('全国貨物月次'!$A$2:$A$64,A86,'全国貨物月次'!$C$2:$C$64,"&gt;=0")=1,SUMIFS('全国貨物月次'!$C$2:$C$64,'全国貨物月次'!$A$2:$A$64,A86),"")</x:f>
        <x:v>208474</x:v>
      </x:c>
      <x:c r="H86" s="2"/>
      <x:c r="I86" s="2"/>
      <x:c r="J86" s="2"/>
      <x:c r="K86" s="2"/>
      <x:c r="L86" s="2"/>
      <x:c r="M86" s="2" t="str">
        <x:f>B86</x:f>
        <x:v>2023-04</x:v>
      </x:c>
      <x:c r="N86" s="2" t="n">
        <x:f>G86</x:f>
        <x:v>208474</x:v>
      </x:c>
      <x:c r="O86" s="2"/>
      <x:c r="P86" s="2"/>
      <x:c r="Q86" s="2"/>
      <x:c r="R86" s="2"/>
      <x:c r="S86" s="2"/>
    </x:row>
    <x:row r="87" ht="21" customHeight="1">
      <x:c r="A87" s="7" t="n">
        <x:v>45047</x:v>
      </x:c>
      <x:c r="B87" s="2" t="str">
        <x:f>TEXT(A87,"yyyy-mm")</x:f>
        <x:v>2023-05</x:v>
      </x:c>
      <x:c r="C87" s="8" t="n">
        <x:f>IF(COUNTIFS('港湾月次'!$A$2:$A$477,A87,'港湾月次'!$B$2:$B$477,$B$5,'港湾月次'!$E$2:$E$477,"&gt;=0")=1,SUMIFS('港湾月次'!$E$2:$E$477,'港湾月次'!$A$2:$A$477,A87,'港湾月次'!$B$2:$B$477,$B$5),"")</x:f>
        <x:v>122347</x:v>
      </x:c>
      <x:c r="D87" s="8" t="n">
        <x:f>IF(COUNTIFS('港湾月次'!$A$2:$A$477,A87,'港湾月次'!$B$2:$B$477,$B$5,'港湾月次'!$J$2:$J$477,"&gt;=0")=1,SUMIFS('港湾月次'!$J$2:$J$477,'港湾月次'!$A$2:$A$477,A87,'港湾月次'!$B$2:$B$477,$B$5),"")</x:f>
        <x:v>4935</x:v>
      </x:c>
      <x:c r="E87" s="8" t="n">
        <x:f>IF(COUNTIFS('港湾月次'!$A$2:$A$477,A87,'港湾月次'!$B$2:$B$477,$B$5,'港湾月次'!$P$2:$P$477,"&gt;=0")=1,SUMIFS('港湾月次'!$P$2:$P$477,'港湾月次'!$A$2:$A$477,A87,'港湾月次'!$B$2:$B$477,$B$5),"")</x:f>
        <x:v>629</x:v>
      </x:c>
      <x:c r="F87" s="8" t="str">
        <x:f>IF(COUNTIFS('道路月次_熊本'!$A$2:$A$313,A87,'道路月次_熊本'!$C$2:$C$313,$B$6,'道路月次_熊本'!$F$2:$F$313,$B$7,'道路月次_熊本'!$I$2:$I$313,"&gt;=0")=1,SUMIFS('道路月次_熊本'!$I$2:$I$313,'道路月次_熊本'!$A$2:$A$313,A87,'道路月次_熊本'!$C$2:$C$313,$B$6,'道路月次_熊本'!$F$2:$F$313,$B$7),"")</x:f>
      </x:c>
      <x:c r="G87" s="8" t="n">
        <x:f>IF(COUNTIFS('全国貨物月次'!$A$2:$A$64,A87,'全国貨物月次'!$C$2:$C$64,"&gt;=0")=1,SUMIFS('全国貨物月次'!$C$2:$C$64,'全国貨物月次'!$A$2:$A$64,A87),"")</x:f>
        <x:v>191690</x:v>
      </x:c>
      <x:c r="H87" s="2"/>
      <x:c r="I87" s="2"/>
      <x:c r="J87" s="2"/>
      <x:c r="K87" s="2"/>
      <x:c r="L87" s="2"/>
      <x:c r="M87" s="2" t="str">
        <x:f>B87</x:f>
        <x:v>2023-05</x:v>
      </x:c>
      <x:c r="N87" s="2" t="n">
        <x:f>G87</x:f>
        <x:v>191690</x:v>
      </x:c>
      <x:c r="O87" s="2"/>
      <x:c r="P87" s="2"/>
      <x:c r="Q87" s="2"/>
      <x:c r="R87" s="2"/>
      <x:c r="S87" s="2"/>
    </x:row>
    <x:row r="88" ht="21" customHeight="1">
      <x:c r="A88" s="7" t="n">
        <x:v>45078</x:v>
      </x:c>
      <x:c r="B88" s="2" t="str">
        <x:f>TEXT(A88,"yyyy-mm")</x:f>
        <x:v>2023-06</x:v>
      </x:c>
      <x:c r="C88" s="8" t="n">
        <x:f>IF(COUNTIFS('港湾月次'!$A$2:$A$477,A88,'港湾月次'!$B$2:$B$477,$B$5,'港湾月次'!$E$2:$E$477,"&gt;=0")=1,SUMIFS('港湾月次'!$E$2:$E$477,'港湾月次'!$A$2:$A$477,A88,'港湾月次'!$B$2:$B$477,$B$5),"")</x:f>
        <x:v>55251</x:v>
      </x:c>
      <x:c r="D88" s="8" t="n">
        <x:f>IF(COUNTIFS('港湾月次'!$A$2:$A$477,A88,'港湾月次'!$B$2:$B$477,$B$5,'港湾月次'!$J$2:$J$477,"&gt;=0")=1,SUMIFS('港湾月次'!$J$2:$J$477,'港湾月次'!$A$2:$A$477,A88,'港湾月次'!$B$2:$B$477,$B$5),"")</x:f>
        <x:v>5687</x:v>
      </x:c>
      <x:c r="E88" s="8" t="n">
        <x:f>IF(COUNTIFS('港湾月次'!$A$2:$A$477,A88,'港湾月次'!$B$2:$B$477,$B$5,'港湾月次'!$P$2:$P$477,"&gt;=0")=1,SUMIFS('港湾月次'!$P$2:$P$477,'港湾月次'!$A$2:$A$477,A88,'港湾月次'!$B$2:$B$477,$B$5),"")</x:f>
        <x:v>583</x:v>
      </x:c>
      <x:c r="F88" s="8" t="str">
        <x:f>IF(COUNTIFS('道路月次_熊本'!$A$2:$A$313,A88,'道路月次_熊本'!$C$2:$C$313,$B$6,'道路月次_熊本'!$F$2:$F$313,$B$7,'道路月次_熊本'!$I$2:$I$313,"&gt;=0")=1,SUMIFS('道路月次_熊本'!$I$2:$I$313,'道路月次_熊本'!$A$2:$A$313,A88,'道路月次_熊本'!$C$2:$C$313,$B$6,'道路月次_熊本'!$F$2:$F$313,$B$7),"")</x:f>
      </x:c>
      <x:c r="G88" s="8" t="n">
        <x:f>IF(COUNTIFS('全国貨物月次'!$A$2:$A$64,A88,'全国貨物月次'!$C$2:$C$64,"&gt;=0")=1,SUMIFS('全国貨物月次'!$C$2:$C$64,'全国貨物月次'!$A$2:$A$64,A88),"")</x:f>
        <x:v>207666</x:v>
      </x:c>
      <x:c r="H88" s="2"/>
      <x:c r="I88" s="2"/>
      <x:c r="J88" s="2"/>
      <x:c r="K88" s="2"/>
      <x:c r="L88" s="2"/>
      <x:c r="M88" s="2" t="str">
        <x:f>B88</x:f>
        <x:v>2023-06</x:v>
      </x:c>
      <x:c r="N88" s="2" t="n">
        <x:f>G88</x:f>
        <x:v>207666</x:v>
      </x:c>
      <x:c r="O88" s="2"/>
      <x:c r="P88" s="2"/>
      <x:c r="Q88" s="2"/>
      <x:c r="R88" s="2"/>
      <x:c r="S88" s="2"/>
    </x:row>
    <x:row r="89" ht="21" customHeight="1">
      <x:c r="A89" s="7" t="n">
        <x:v>45108</x:v>
      </x:c>
      <x:c r="B89" s="2" t="str">
        <x:f>TEXT(A89,"yyyy-mm")</x:f>
        <x:v>2023-07</x:v>
      </x:c>
      <x:c r="C89" s="8" t="n">
        <x:f>IF(COUNTIFS('港湾月次'!$A$2:$A$477,A89,'港湾月次'!$B$2:$B$477,$B$5,'港湾月次'!$E$2:$E$477,"&gt;=0")=1,SUMIFS('港湾月次'!$E$2:$E$477,'港湾月次'!$A$2:$A$477,A89,'港湾月次'!$B$2:$B$477,$B$5),"")</x:f>
        <x:v>61888</x:v>
      </x:c>
      <x:c r="D89" s="8" t="n">
        <x:f>IF(COUNTIFS('港湾月次'!$A$2:$A$477,A89,'港湾月次'!$B$2:$B$477,$B$5,'港湾月次'!$J$2:$J$477,"&gt;=0")=1,SUMIFS('港湾月次'!$J$2:$J$477,'港湾月次'!$A$2:$A$477,A89,'港湾月次'!$B$2:$B$477,$B$5),"")</x:f>
        <x:v>4837</x:v>
      </x:c>
      <x:c r="E89" s="8" t="n">
        <x:f>IF(COUNTIFS('港湾月次'!$A$2:$A$477,A89,'港湾月次'!$B$2:$B$477,$B$5,'港湾月次'!$P$2:$P$477,"&gt;=0")=1,SUMIFS('港湾月次'!$P$2:$P$477,'港湾月次'!$A$2:$A$477,A89,'港湾月次'!$B$2:$B$477,$B$5),"")</x:f>
        <x:v>549</x:v>
      </x:c>
      <x:c r="F89" s="8" t="str">
        <x:f>IF(COUNTIFS('道路月次_熊本'!$A$2:$A$313,A89,'道路月次_熊本'!$C$2:$C$313,$B$6,'道路月次_熊本'!$F$2:$F$313,$B$7,'道路月次_熊本'!$I$2:$I$313,"&gt;=0")=1,SUMIFS('道路月次_熊本'!$I$2:$I$313,'道路月次_熊本'!$A$2:$A$313,A89,'道路月次_熊本'!$C$2:$C$313,$B$6,'道路月次_熊本'!$F$2:$F$313,$B$7),"")</x:f>
      </x:c>
      <x:c r="G89" s="8" t="n">
        <x:f>IF(COUNTIFS('全国貨物月次'!$A$2:$A$64,A89,'全国貨物月次'!$C$2:$C$64,"&gt;=0")=1,SUMIFS('全国貨物月次'!$C$2:$C$64,'全国貨物月次'!$A$2:$A$64,A89),"")</x:f>
        <x:v>222870</x:v>
      </x:c>
      <x:c r="H89" s="2"/>
      <x:c r="I89" s="2"/>
      <x:c r="J89" s="2"/>
      <x:c r="K89" s="2"/>
      <x:c r="L89" s="2"/>
      <x:c r="M89" s="2" t="str">
        <x:f>B89</x:f>
        <x:v>2023-07</x:v>
      </x:c>
      <x:c r="N89" s="2" t="n">
        <x:f>G89</x:f>
        <x:v>222870</x:v>
      </x:c>
      <x:c r="O89" s="2"/>
      <x:c r="P89" s="2"/>
      <x:c r="Q89" s="2"/>
      <x:c r="R89" s="2"/>
      <x:c r="S89" s="2"/>
    </x:row>
    <x:row r="90" ht="21" customHeight="1">
      <x:c r="A90" s="7" t="n">
        <x:v>45139</x:v>
      </x:c>
      <x:c r="B90" s="2" t="str">
        <x:f>TEXT(A90,"yyyy-mm")</x:f>
        <x:v>2023-08</x:v>
      </x:c>
      <x:c r="C90" s="8" t="n">
        <x:f>IF(COUNTIFS('港湾月次'!$A$2:$A$477,A90,'港湾月次'!$B$2:$B$477,$B$5,'港湾月次'!$E$2:$E$477,"&gt;=0")=1,SUMIFS('港湾月次'!$E$2:$E$477,'港湾月次'!$A$2:$A$477,A90,'港湾月次'!$B$2:$B$477,$B$5),"")</x:f>
        <x:v>59485</x:v>
      </x:c>
      <x:c r="D90" s="8" t="n">
        <x:f>IF(COUNTIFS('港湾月次'!$A$2:$A$477,A90,'港湾月次'!$B$2:$B$477,$B$5,'港湾月次'!$J$2:$J$477,"&gt;=0")=1,SUMIFS('港湾月次'!$J$2:$J$477,'港湾月次'!$A$2:$A$477,A90,'港湾月次'!$B$2:$B$477,$B$5),"")</x:f>
        <x:v>3893</x:v>
      </x:c>
      <x:c r="E90" s="8" t="n">
        <x:f>IF(COUNTIFS('港湾月次'!$A$2:$A$477,A90,'港湾月次'!$B$2:$B$477,$B$5,'港湾月次'!$P$2:$P$477,"&gt;=0")=1,SUMIFS('港湾月次'!$P$2:$P$477,'港湾月次'!$A$2:$A$477,A90,'港湾月次'!$B$2:$B$477,$B$5),"")</x:f>
        <x:v>565</x:v>
      </x:c>
      <x:c r="F90" s="8" t="str">
        <x:f>IF(COUNTIFS('道路月次_熊本'!$A$2:$A$313,A90,'道路月次_熊本'!$C$2:$C$313,$B$6,'道路月次_熊本'!$F$2:$F$313,$B$7,'道路月次_熊本'!$I$2:$I$313,"&gt;=0")=1,SUMIFS('道路月次_熊本'!$I$2:$I$313,'道路月次_熊本'!$A$2:$A$313,A90,'道路月次_熊本'!$C$2:$C$313,$B$6,'道路月次_熊本'!$F$2:$F$313,$B$7),"")</x:f>
      </x:c>
      <x:c r="G90" s="8" t="n">
        <x:f>IF(COUNTIFS('全国貨物月次'!$A$2:$A$64,A90,'全国貨物月次'!$C$2:$C$64,"&gt;=0")=1,SUMIFS('全国貨物月次'!$C$2:$C$64,'全国貨物月次'!$A$2:$A$64,A90),"")</x:f>
        <x:v>196140</x:v>
      </x:c>
      <x:c r="H90" s="2"/>
      <x:c r="I90" s="2"/>
      <x:c r="J90" s="2"/>
      <x:c r="K90" s="2"/>
      <x:c r="L90" s="2"/>
      <x:c r="M90" s="2" t="str">
        <x:f>B90</x:f>
        <x:v>2023-08</x:v>
      </x:c>
      <x:c r="N90" s="2" t="n">
        <x:f>G90</x:f>
        <x:v>196140</x:v>
      </x:c>
      <x:c r="O90" s="2"/>
      <x:c r="P90" s="2"/>
      <x:c r="Q90" s="2"/>
      <x:c r="R90" s="2"/>
      <x:c r="S90" s="2"/>
    </x:row>
    <x:row r="91" ht="21" customHeight="1">
      <x:c r="A91" s="7" t="n">
        <x:v>45170</x:v>
      </x:c>
      <x:c r="B91" s="2" t="str">
        <x:f>TEXT(A91,"yyyy-mm")</x:f>
        <x:v>2023-09</x:v>
      </x:c>
      <x:c r="C91" s="8" t="n">
        <x:f>IF(COUNTIFS('港湾月次'!$A$2:$A$477,A91,'港湾月次'!$B$2:$B$477,$B$5,'港湾月次'!$E$2:$E$477,"&gt;=0")=1,SUMIFS('港湾月次'!$E$2:$E$477,'港湾月次'!$A$2:$A$477,A91,'港湾月次'!$B$2:$B$477,$B$5),"")</x:f>
        <x:v>110489</x:v>
      </x:c>
      <x:c r="D91" s="8" t="n">
        <x:f>IF(COUNTIFS('港湾月次'!$A$2:$A$477,A91,'港湾月次'!$B$2:$B$477,$B$5,'港湾月次'!$J$2:$J$477,"&gt;=0")=1,SUMIFS('港湾月次'!$J$2:$J$477,'港湾月次'!$A$2:$A$477,A91,'港湾月次'!$B$2:$B$477,$B$5),"")</x:f>
        <x:v>5089</x:v>
      </x:c>
      <x:c r="E91" s="8" t="n">
        <x:f>IF(COUNTIFS('港湾月次'!$A$2:$A$477,A91,'港湾月次'!$B$2:$B$477,$B$5,'港湾月次'!$P$2:$P$477,"&gt;=0")=1,SUMIFS('港湾月次'!$P$2:$P$477,'港湾月次'!$A$2:$A$477,A91,'港湾月次'!$B$2:$B$477,$B$5),"")</x:f>
        <x:v>614</x:v>
      </x:c>
      <x:c r="F91" s="8" t="str">
        <x:f>IF(COUNTIFS('道路月次_熊本'!$A$2:$A$313,A91,'道路月次_熊本'!$C$2:$C$313,$B$6,'道路月次_熊本'!$F$2:$F$313,$B$7,'道路月次_熊本'!$I$2:$I$313,"&gt;=0")=1,SUMIFS('道路月次_熊本'!$I$2:$I$313,'道路月次_熊本'!$A$2:$A$313,A91,'道路月次_熊本'!$C$2:$C$313,$B$6,'道路月次_熊本'!$F$2:$F$313,$B$7),"")</x:f>
      </x:c>
      <x:c r="G91" s="8" t="n">
        <x:f>IF(COUNTIFS('全国貨物月次'!$A$2:$A$64,A91,'全国貨物月次'!$C$2:$C$64,"&gt;=0")=1,SUMIFS('全国貨物月次'!$C$2:$C$64,'全国貨物月次'!$A$2:$A$64,A91),"")</x:f>
        <x:v>210784</x:v>
      </x:c>
      <x:c r="H91" s="2"/>
      <x:c r="I91" s="2"/>
      <x:c r="J91" s="2"/>
      <x:c r="K91" s="2"/>
      <x:c r="L91" s="2"/>
      <x:c r="M91" s="2" t="str">
        <x:f>B91</x:f>
        <x:v>2023-09</x:v>
      </x:c>
      <x:c r="N91" s="2" t="n">
        <x:f>G91</x:f>
        <x:v>210784</x:v>
      </x:c>
      <x:c r="O91" s="2"/>
      <x:c r="P91" s="2"/>
      <x:c r="Q91" s="2"/>
      <x:c r="R91" s="2"/>
      <x:c r="S91" s="2"/>
    </x:row>
    <x:row r="92" ht="21" customHeight="1">
      <x:c r="A92" s="7" t="n">
        <x:v>45200</x:v>
      </x:c>
      <x:c r="B92" s="2" t="str">
        <x:f>TEXT(A92,"yyyy-mm")</x:f>
        <x:v>2023-10</x:v>
      </x:c>
      <x:c r="C92" s="8" t="n">
        <x:f>IF(COUNTIFS('港湾月次'!$A$2:$A$477,A92,'港湾月次'!$B$2:$B$477,$B$5,'港湾月次'!$E$2:$E$477,"&gt;=0")=1,SUMIFS('港湾月次'!$E$2:$E$477,'港湾月次'!$A$2:$A$477,A92,'港湾月次'!$B$2:$B$477,$B$5),"")</x:f>
        <x:v>108610</x:v>
      </x:c>
      <x:c r="D92" s="8" t="n">
        <x:f>IF(COUNTIFS('港湾月次'!$A$2:$A$477,A92,'港湾月次'!$B$2:$B$477,$B$5,'港湾月次'!$J$2:$J$477,"&gt;=0")=1,SUMIFS('港湾月次'!$J$2:$J$477,'港湾月次'!$A$2:$A$477,A92,'港湾月次'!$B$2:$B$477,$B$5),"")</x:f>
        <x:v>5126</x:v>
      </x:c>
      <x:c r="E92" s="8" t="n">
        <x:f>IF(COUNTIFS('港湾月次'!$A$2:$A$477,A92,'港湾月次'!$B$2:$B$477,$B$5,'港湾月次'!$P$2:$P$477,"&gt;=0")=1,SUMIFS('港湾月次'!$P$2:$P$477,'港湾月次'!$A$2:$A$477,A92,'港湾月次'!$B$2:$B$477,$B$5),"")</x:f>
        <x:v>618</x:v>
      </x:c>
      <x:c r="F92" s="8" t="str">
        <x:f>IF(COUNTIFS('道路月次_熊本'!$A$2:$A$313,A92,'道路月次_熊本'!$C$2:$C$313,$B$6,'道路月次_熊本'!$F$2:$F$313,$B$7,'道路月次_熊本'!$I$2:$I$313,"&gt;=0")=1,SUMIFS('道路月次_熊本'!$I$2:$I$313,'道路月次_熊本'!$A$2:$A$313,A92,'道路月次_熊本'!$C$2:$C$313,$B$6,'道路月次_熊本'!$F$2:$F$313,$B$7),"")</x:f>
      </x:c>
      <x:c r="G92" s="8" t="n">
        <x:f>IF(COUNTIFS('全国貨物月次'!$A$2:$A$64,A92,'全国貨物月次'!$C$2:$C$64,"&gt;=0")=1,SUMIFS('全国貨物月次'!$C$2:$C$64,'全国貨物月次'!$A$2:$A$64,A92),"")</x:f>
        <x:v>222972</x:v>
      </x:c>
      <x:c r="H92" s="2"/>
      <x:c r="I92" s="2"/>
      <x:c r="J92" s="2"/>
      <x:c r="K92" s="2"/>
      <x:c r="L92" s="2"/>
      <x:c r="M92" s="2" t="str">
        <x:f>B92</x:f>
        <x:v>2023-10</x:v>
      </x:c>
      <x:c r="N92" s="2" t="n">
        <x:f>G92</x:f>
        <x:v>222972</x:v>
      </x:c>
      <x:c r="O92" s="2"/>
      <x:c r="P92" s="2"/>
      <x:c r="Q92" s="2"/>
      <x:c r="R92" s="2"/>
      <x:c r="S92" s="2"/>
    </x:row>
    <x:row r="93" ht="21" customHeight="1">
      <x:c r="A93" s="7" t="n">
        <x:v>45231</x:v>
      </x:c>
      <x:c r="B93" s="2" t="str">
        <x:f>TEXT(A93,"yyyy-mm")</x:f>
        <x:v>2023-11</x:v>
      </x:c>
      <x:c r="C93" s="8" t="n">
        <x:f>IF(COUNTIFS('港湾月次'!$A$2:$A$477,A93,'港湾月次'!$B$2:$B$477,$B$5,'港湾月次'!$E$2:$E$477,"&gt;=0")=1,SUMIFS('港湾月次'!$E$2:$E$477,'港湾月次'!$A$2:$A$477,A93,'港湾月次'!$B$2:$B$477,$B$5),"")</x:f>
        <x:v>133902</x:v>
      </x:c>
      <x:c r="D93" s="8" t="n">
        <x:f>IF(COUNTIFS('港湾月次'!$A$2:$A$477,A93,'港湾月次'!$B$2:$B$477,$B$5,'港湾月次'!$J$2:$J$477,"&gt;=0")=1,SUMIFS('港湾月次'!$J$2:$J$477,'港湾月次'!$A$2:$A$477,A93,'港湾月次'!$B$2:$B$477,$B$5),"")</x:f>
        <x:v>4530</x:v>
      </x:c>
      <x:c r="E93" s="8" t="n">
        <x:f>IF(COUNTIFS('港湾月次'!$A$2:$A$477,A93,'港湾月次'!$B$2:$B$477,$B$5,'港湾月次'!$P$2:$P$477,"&gt;=0")=1,SUMIFS('港湾月次'!$P$2:$P$477,'港湾月次'!$A$2:$A$477,A93,'港湾月次'!$B$2:$B$477,$B$5),"")</x:f>
        <x:v>594</x:v>
      </x:c>
      <x:c r="F93" s="8" t="str">
        <x:f>IF(COUNTIFS('道路月次_熊本'!$A$2:$A$313,A93,'道路月次_熊本'!$C$2:$C$313,$B$6,'道路月次_熊本'!$F$2:$F$313,$B$7,'道路月次_熊本'!$I$2:$I$313,"&gt;=0")=1,SUMIFS('道路月次_熊本'!$I$2:$I$313,'道路月次_熊本'!$A$2:$A$313,A93,'道路月次_熊本'!$C$2:$C$313,$B$6,'道路月次_熊本'!$F$2:$F$313,$B$7),"")</x:f>
      </x:c>
      <x:c r="G93" s="8" t="n">
        <x:f>IF(COUNTIFS('全国貨物月次'!$A$2:$A$64,A93,'全国貨物月次'!$C$2:$C$64,"&gt;=0")=1,SUMIFS('全国貨物月次'!$C$2:$C$64,'全国貨物月次'!$A$2:$A$64,A93),"")</x:f>
        <x:v>216823</x:v>
      </x:c>
      <x:c r="H93" s="2"/>
      <x:c r="I93" s="2"/>
      <x:c r="J93" s="2"/>
      <x:c r="K93" s="2"/>
      <x:c r="L93" s="2"/>
      <x:c r="M93" s="2" t="str">
        <x:f>B93</x:f>
        <x:v>2023-11</x:v>
      </x:c>
      <x:c r="N93" s="2" t="n">
        <x:f>G93</x:f>
        <x:v>216823</x:v>
      </x:c>
      <x:c r="O93" s="2"/>
      <x:c r="P93" s="2"/>
      <x:c r="Q93" s="2"/>
      <x:c r="R93" s="2"/>
      <x:c r="S93" s="2"/>
    </x:row>
    <x:row r="94" ht="21" customHeight="1">
      <x:c r="A94" s="7" t="n">
        <x:v>45261</x:v>
      </x:c>
      <x:c r="B94" s="2" t="str">
        <x:f>TEXT(A94,"yyyy-mm")</x:f>
        <x:v>2023-12</x:v>
      </x:c>
      <x:c r="C94" s="8" t="n">
        <x:f>IF(COUNTIFS('港湾月次'!$A$2:$A$477,A94,'港湾月次'!$B$2:$B$477,$B$5,'港湾月次'!$E$2:$E$477,"&gt;=0")=1,SUMIFS('港湾月次'!$E$2:$E$477,'港湾月次'!$A$2:$A$477,A94,'港湾月次'!$B$2:$B$477,$B$5),"")</x:f>
        <x:v>153388</x:v>
      </x:c>
      <x:c r="D94" s="8" t="n">
        <x:f>IF(COUNTIFS('港湾月次'!$A$2:$A$477,A94,'港湾月次'!$B$2:$B$477,$B$5,'港湾月次'!$J$2:$J$477,"&gt;=0")=1,SUMIFS('港湾月次'!$J$2:$J$477,'港湾月次'!$A$2:$A$477,A94,'港湾月次'!$B$2:$B$477,$B$5),"")</x:f>
        <x:v>5493</x:v>
      </x:c>
      <x:c r="E94" s="8" t="n">
        <x:f>IF(COUNTIFS('港湾月次'!$A$2:$A$477,A94,'港湾月次'!$B$2:$B$477,$B$5,'港湾月次'!$P$2:$P$477,"&gt;=0")=1,SUMIFS('港湾月次'!$P$2:$P$477,'港湾月次'!$A$2:$A$477,A94,'港湾月次'!$B$2:$B$477,$B$5),"")</x:f>
        <x:v>615</x:v>
      </x:c>
      <x:c r="F94" s="8" t="str">
        <x:f>IF(COUNTIFS('道路月次_熊本'!$A$2:$A$313,A94,'道路月次_熊本'!$C$2:$C$313,$B$6,'道路月次_熊本'!$F$2:$F$313,$B$7,'道路月次_熊本'!$I$2:$I$313,"&gt;=0")=1,SUMIFS('道路月次_熊本'!$I$2:$I$313,'道路月次_熊本'!$A$2:$A$313,A94,'道路月次_熊本'!$C$2:$C$313,$B$6,'道路月次_熊本'!$F$2:$F$313,$B$7),"")</x:f>
      </x:c>
      <x:c r="G94" s="8" t="n">
        <x:f>IF(COUNTIFS('全国貨物月次'!$A$2:$A$64,A94,'全国貨物月次'!$C$2:$C$64,"&gt;=0")=1,SUMIFS('全国貨物月次'!$C$2:$C$64,'全国貨物月次'!$A$2:$A$64,A94),"")</x:f>
        <x:v>221529</x:v>
      </x:c>
      <x:c r="H94" s="2"/>
      <x:c r="I94" s="2"/>
      <x:c r="J94" s="2"/>
      <x:c r="K94" s="2"/>
      <x:c r="L94" s="2"/>
      <x:c r="M94" s="2" t="str">
        <x:f>B94</x:f>
        <x:v>2023-12</x:v>
      </x:c>
      <x:c r="N94" s="2" t="n">
        <x:f>G94</x:f>
        <x:v>221529</x:v>
      </x:c>
      <x:c r="O94" s="2"/>
      <x:c r="P94" s="2"/>
      <x:c r="Q94" s="2"/>
      <x:c r="R94" s="2"/>
      <x:c r="S94" s="2"/>
    </x:row>
    <x:row r="95" ht="21" customHeight="1">
      <x:c r="A95" s="7" t="n">
        <x:v>45292</x:v>
      </x:c>
      <x:c r="B95" s="2" t="str">
        <x:f>TEXT(A95,"yyyy-mm")</x:f>
        <x:v>2024-01</x:v>
      </x:c>
      <x:c r="C95" s="8" t="n">
        <x:f>IF(COUNTIFS('港湾月次'!$A$2:$A$477,A95,'港湾月次'!$B$2:$B$477,$B$5,'港湾月次'!$E$2:$E$477,"&gt;=0")=1,SUMIFS('港湾月次'!$E$2:$E$477,'港湾月次'!$A$2:$A$477,A95,'港湾月次'!$B$2:$B$477,$B$5),"")</x:f>
        <x:v>163740</x:v>
      </x:c>
      <x:c r="D95" s="8" t="n">
        <x:f>IF(COUNTIFS('港湾月次'!$A$2:$A$477,A95,'港湾月次'!$B$2:$B$477,$B$5,'港湾月次'!$J$2:$J$477,"&gt;=0")=1,SUMIFS('港湾月次'!$J$2:$J$477,'港湾月次'!$A$2:$A$477,A95,'港湾月次'!$B$2:$B$477,$B$5),"")</x:f>
        <x:v>4512</x:v>
      </x:c>
      <x:c r="E95" s="8" t="n">
        <x:f>IF(COUNTIFS('港湾月次'!$A$2:$A$477,A95,'港湾月次'!$B$2:$B$477,$B$5,'港湾月次'!$P$2:$P$477,"&gt;=0")=1,SUMIFS('港湾月次'!$P$2:$P$477,'港湾月次'!$A$2:$A$477,A95,'港湾月次'!$B$2:$B$477,$B$5),"")</x:f>
        <x:v>365</x:v>
      </x:c>
      <x:c r="F95" s="8" t="str">
        <x:f>IF(COUNTIFS('道路月次_熊本'!$A$2:$A$313,A95,'道路月次_熊本'!$C$2:$C$313,$B$6,'道路月次_熊本'!$F$2:$F$313,$B$7,'道路月次_熊本'!$I$2:$I$313,"&gt;=0")=1,SUMIFS('道路月次_熊本'!$I$2:$I$313,'道路月次_熊本'!$A$2:$A$313,A95,'道路月次_熊本'!$C$2:$C$313,$B$6,'道路月次_熊本'!$F$2:$F$313,$B$7),"")</x:f>
      </x:c>
      <x:c r="G95" s="8" t="n">
        <x:f>IF(COUNTIFS('全国貨物月次'!$A$2:$A$64,A95,'全国貨物月次'!$C$2:$C$64,"&gt;=0")=1,SUMIFS('全国貨物月次'!$C$2:$C$64,'全国貨物月次'!$A$2:$A$64,A95),"")</x:f>
        <x:v>193400</x:v>
      </x:c>
      <x:c r="H95" s="2"/>
      <x:c r="I95" s="2"/>
      <x:c r="J95" s="2"/>
      <x:c r="K95" s="2"/>
      <x:c r="L95" s="2"/>
      <x:c r="M95" s="2" t="str">
        <x:f>B95</x:f>
        <x:v>2024-01</x:v>
      </x:c>
      <x:c r="N95" s="2" t="n">
        <x:f>G95</x:f>
        <x:v>193400</x:v>
      </x:c>
      <x:c r="O95" s="2"/>
      <x:c r="P95" s="2"/>
      <x:c r="Q95" s="2"/>
      <x:c r="R95" s="2"/>
      <x:c r="S95" s="2"/>
    </x:row>
    <x:row r="96" ht="21" customHeight="1">
      <x:c r="A96" s="7" t="n">
        <x:v>45323</x:v>
      </x:c>
      <x:c r="B96" s="2" t="str">
        <x:f>TEXT(A96,"yyyy-mm")</x:f>
        <x:v>2024-02</x:v>
      </x:c>
      <x:c r="C96" s="8" t="n">
        <x:f>IF(COUNTIFS('港湾月次'!$A$2:$A$477,A96,'港湾月次'!$B$2:$B$477,$B$5,'港湾月次'!$E$2:$E$477,"&gt;=0")=1,SUMIFS('港湾月次'!$E$2:$E$477,'港湾月次'!$A$2:$A$477,A96,'港湾月次'!$B$2:$B$477,$B$5),"")</x:f>
        <x:v>162362</x:v>
      </x:c>
      <x:c r="D96" s="8" t="n">
        <x:f>IF(COUNTIFS('港湾月次'!$A$2:$A$477,A96,'港湾月次'!$B$2:$B$477,$B$5,'港湾月次'!$J$2:$J$477,"&gt;=0")=1,SUMIFS('港湾月次'!$J$2:$J$477,'港湾月次'!$A$2:$A$477,A96,'港湾月次'!$B$2:$B$477,$B$5),"")</x:f>
        <x:v>4311</x:v>
      </x:c>
      <x:c r="E96" s="8" t="n">
        <x:f>IF(COUNTIFS('港湾月次'!$A$2:$A$477,A96,'港湾月次'!$B$2:$B$477,$B$5,'港湾月次'!$P$2:$P$477,"&gt;=0")=1,SUMIFS('港湾月次'!$P$2:$P$477,'港湾月次'!$A$2:$A$477,A96,'港湾月次'!$B$2:$B$477,$B$5),"")</x:f>
        <x:v>374</x:v>
      </x:c>
      <x:c r="F96" s="8" t="str">
        <x:f>IF(COUNTIFS('道路月次_熊本'!$A$2:$A$313,A96,'道路月次_熊本'!$C$2:$C$313,$B$6,'道路月次_熊本'!$F$2:$F$313,$B$7,'道路月次_熊本'!$I$2:$I$313,"&gt;=0")=1,SUMIFS('道路月次_熊本'!$I$2:$I$313,'道路月次_熊本'!$A$2:$A$313,A96,'道路月次_熊本'!$C$2:$C$313,$B$6,'道路月次_熊本'!$F$2:$F$313,$B$7),"")</x:f>
      </x:c>
      <x:c r="G96" s="8" t="n">
        <x:f>IF(COUNTIFS('全国貨物月次'!$A$2:$A$64,A96,'全国貨物月次'!$C$2:$C$64,"&gt;=0")=1,SUMIFS('全国貨物月次'!$C$2:$C$64,'全国貨物月次'!$A$2:$A$64,A96),"")</x:f>
        <x:v>202835</x:v>
      </x:c>
      <x:c r="H96" s="2"/>
      <x:c r="I96" s="2"/>
      <x:c r="J96" s="2"/>
      <x:c r="K96" s="2"/>
      <x:c r="L96" s="2"/>
      <x:c r="M96" s="2" t="str">
        <x:f>B96</x:f>
        <x:v>2024-02</x:v>
      </x:c>
      <x:c r="N96" s="2" t="n">
        <x:f>G96</x:f>
        <x:v>202835</x:v>
      </x:c>
      <x:c r="O96" s="2"/>
      <x:c r="P96" s="2"/>
      <x:c r="Q96" s="2"/>
      <x:c r="R96" s="2"/>
      <x:c r="S96" s="2"/>
    </x:row>
    <x:row r="97" ht="21" customHeight="1">
      <x:c r="A97" s="7" t="n">
        <x:v>45352</x:v>
      </x:c>
      <x:c r="B97" s="2" t="str">
        <x:f>TEXT(A97,"yyyy-mm")</x:f>
        <x:v>2024-03</x:v>
      </x:c>
      <x:c r="C97" s="8" t="n">
        <x:f>IF(COUNTIFS('港湾月次'!$A$2:$A$477,A97,'港湾月次'!$B$2:$B$477,$B$5,'港湾月次'!$E$2:$E$477,"&gt;=0")=1,SUMIFS('港湾月次'!$E$2:$E$477,'港湾月次'!$A$2:$A$477,A97,'港湾月次'!$B$2:$B$477,$B$5),"")</x:f>
        <x:v>189279</x:v>
      </x:c>
      <x:c r="D97" s="8" t="n">
        <x:f>IF(COUNTIFS('港湾月次'!$A$2:$A$477,A97,'港湾月次'!$B$2:$B$477,$B$5,'港湾月次'!$J$2:$J$477,"&gt;=0")=1,SUMIFS('港湾月次'!$J$2:$J$477,'港湾月次'!$A$2:$A$477,A97,'港湾月次'!$B$2:$B$477,$B$5),"")</x:f>
        <x:v>5438</x:v>
      </x:c>
      <x:c r="E97" s="8" t="n">
        <x:f>IF(COUNTIFS('港湾月次'!$A$2:$A$477,A97,'港湾月次'!$B$2:$B$477,$B$5,'港湾月次'!$P$2:$P$477,"&gt;=0")=1,SUMIFS('港湾月次'!$P$2:$P$477,'港湾月次'!$A$2:$A$477,A97,'港湾月次'!$B$2:$B$477,$B$5),"")</x:f>
        <x:v>606</x:v>
      </x:c>
      <x:c r="F97" s="8" t="str">
        <x:f>IF(COUNTIFS('道路月次_熊本'!$A$2:$A$313,A97,'道路月次_熊本'!$C$2:$C$313,$B$6,'道路月次_熊本'!$F$2:$F$313,$B$7,'道路月次_熊本'!$I$2:$I$313,"&gt;=0")=1,SUMIFS('道路月次_熊本'!$I$2:$I$313,'道路月次_熊本'!$A$2:$A$313,A97,'道路月次_熊本'!$C$2:$C$313,$B$6,'道路月次_熊本'!$F$2:$F$313,$B$7),"")</x:f>
      </x:c>
      <x:c r="G97" s="8" t="n">
        <x:f>IF(COUNTIFS('全国貨物月次'!$A$2:$A$64,A97,'全国貨物月次'!$C$2:$C$64,"&gt;=0")=1,SUMIFS('全国貨物月次'!$C$2:$C$64,'全国貨物月次'!$A$2:$A$64,A97),"")</x:f>
        <x:v>216875</x:v>
      </x:c>
      <x:c r="H97" s="2"/>
      <x:c r="I97" s="2"/>
      <x:c r="J97" s="2"/>
      <x:c r="K97" s="2"/>
      <x:c r="L97" s="2"/>
      <x:c r="M97" s="2" t="str">
        <x:f>B97</x:f>
        <x:v>2024-03</x:v>
      </x:c>
      <x:c r="N97" s="2" t="n">
        <x:f>G97</x:f>
        <x:v>216875</x:v>
      </x:c>
      <x:c r="O97" s="2"/>
      <x:c r="P97" s="2"/>
      <x:c r="Q97" s="2"/>
      <x:c r="R97" s="2"/>
      <x:c r="S97" s="2"/>
    </x:row>
    <x:row r="98" ht="21" customHeight="1">
      <x:c r="A98" s="7" t="n">
        <x:v>45383</x:v>
      </x:c>
      <x:c r="B98" s="2" t="str">
        <x:f>TEXT(A98,"yyyy-mm")</x:f>
        <x:v>2024-04</x:v>
      </x:c>
      <x:c r="C98" s="8" t="n">
        <x:f>IF(COUNTIFS('港湾月次'!$A$2:$A$477,A98,'港湾月次'!$B$2:$B$477,$B$5,'港湾月次'!$E$2:$E$477,"&gt;=0")=1,SUMIFS('港湾月次'!$E$2:$E$477,'港湾月次'!$A$2:$A$477,A98,'港湾月次'!$B$2:$B$477,$B$5),"")</x:f>
        <x:v>141893</x:v>
      </x:c>
      <x:c r="D98" s="8" t="n">
        <x:f>IF(COUNTIFS('港湾月次'!$A$2:$A$477,A98,'港湾月次'!$B$2:$B$477,$B$5,'港湾月次'!$J$2:$J$477,"&gt;=0")=1,SUMIFS('港湾月次'!$J$2:$J$477,'港湾月次'!$A$2:$A$477,A98,'港湾月次'!$B$2:$B$477,$B$5),"")</x:f>
        <x:v>5424</x:v>
      </x:c>
      <x:c r="E98" s="8" t="n">
        <x:f>IF(COUNTIFS('港湾月次'!$A$2:$A$477,A98,'港湾月次'!$B$2:$B$477,$B$5,'港湾月次'!$P$2:$P$477,"&gt;=0")=1,SUMIFS('港湾月次'!$P$2:$P$477,'港湾月次'!$A$2:$A$477,A98,'港湾月次'!$B$2:$B$477,$B$5),"")</x:f>
        <x:v>600</x:v>
      </x:c>
      <x:c r="F98" s="8" t="n">
        <x:f>IF(COUNTIFS('道路月次_熊本'!$A$2:$A$313,A98,'道路月次_熊本'!$C$2:$C$313,$B$6,'道路月次_熊本'!$F$2:$F$313,$B$7,'道路月次_熊本'!$I$2:$I$313,"&gt;=0")=1,SUMIFS('道路月次_熊本'!$I$2:$I$313,'道路月次_熊本'!$A$2:$A$313,A98,'道路月次_熊本'!$C$2:$C$313,$B$6,'道路月次_熊本'!$F$2:$F$313,$B$7),"")</x:f>
        <x:v>2300</x:v>
      </x:c>
      <x:c r="G98" s="8" t="n">
        <x:f>IF(COUNTIFS('全国貨物月次'!$A$2:$A$64,A98,'全国貨物月次'!$C$2:$C$64,"&gt;=0")=1,SUMIFS('全国貨物月次'!$C$2:$C$64,'全国貨物月次'!$A$2:$A$64,A98),"")</x:f>
        <x:v>215403</x:v>
      </x:c>
      <x:c r="H98" s="2"/>
      <x:c r="I98" s="2"/>
      <x:c r="J98" s="2"/>
      <x:c r="K98" s="2"/>
      <x:c r="L98" s="2"/>
      <x:c r="M98" s="2" t="str">
        <x:f>B98</x:f>
        <x:v>2024-04</x:v>
      </x:c>
      <x:c r="N98" s="2" t="n">
        <x:f>G98</x:f>
        <x:v>215403</x:v>
      </x:c>
      <x:c r="O98" s="2"/>
      <x:c r="P98" s="2"/>
      <x:c r="Q98" s="2"/>
      <x:c r="R98" s="2"/>
      <x:c r="S98" s="2"/>
    </x:row>
    <x:row r="99" ht="21" customHeight="1">
      <x:c r="A99" s="7" t="n">
        <x:v>45413</x:v>
      </x:c>
      <x:c r="B99" s="2" t="str">
        <x:f>TEXT(A99,"yyyy-mm")</x:f>
        <x:v>2024-05</x:v>
      </x:c>
      <x:c r="C99" s="8" t="n">
        <x:f>IF(COUNTIFS('港湾月次'!$A$2:$A$477,A99,'港湾月次'!$B$2:$B$477,$B$5,'港湾月次'!$E$2:$E$477,"&gt;=0")=1,SUMIFS('港湾月次'!$E$2:$E$477,'港湾月次'!$A$2:$A$477,A99,'港湾月次'!$B$2:$B$477,$B$5),"")</x:f>
        <x:v>165514</x:v>
      </x:c>
      <x:c r="D99" s="8" t="n">
        <x:f>IF(COUNTIFS('港湾月次'!$A$2:$A$477,A99,'港湾月次'!$B$2:$B$477,$B$5,'港湾月次'!$J$2:$J$477,"&gt;=0")=1,SUMIFS('港湾月次'!$J$2:$J$477,'港湾月次'!$A$2:$A$477,A99,'港湾月次'!$B$2:$B$477,$B$5),"")</x:f>
        <x:v>5794</x:v>
      </x:c>
      <x:c r="E99" s="8" t="n">
        <x:f>IF(COUNTIFS('港湾月次'!$A$2:$A$477,A99,'港湾月次'!$B$2:$B$477,$B$5,'港湾月次'!$P$2:$P$477,"&gt;=0")=1,SUMIFS('港湾月次'!$P$2:$P$477,'港湾月次'!$A$2:$A$477,A99,'港湾月次'!$B$2:$B$477,$B$5),"")</x:f>
        <x:v>629</x:v>
      </x:c>
      <x:c r="F99" s="8" t="n">
        <x:f>IF(COUNTIFS('道路月次_熊本'!$A$2:$A$313,A99,'道路月次_熊本'!$C$2:$C$313,$B$6,'道路月次_熊本'!$F$2:$F$313,$B$7,'道路月次_熊本'!$I$2:$I$313,"&gt;=0")=1,SUMIFS('道路月次_熊本'!$I$2:$I$313,'道路月次_熊本'!$A$2:$A$313,A99,'道路月次_熊本'!$C$2:$C$313,$B$6,'道路月次_熊本'!$F$2:$F$313,$B$7),"")</x:f>
        <x:v>2200</x:v>
      </x:c>
      <x:c r="G99" s="8" t="n">
        <x:f>IF(COUNTIFS('全国貨物月次'!$A$2:$A$64,A99,'全国貨物月次'!$C$2:$C$64,"&gt;=0")=1,SUMIFS('全国貨物月次'!$C$2:$C$64,'全国貨物月次'!$A$2:$A$64,A99),"")</x:f>
        <x:v>199372</x:v>
      </x:c>
      <x:c r="H99" s="2"/>
      <x:c r="I99" s="2"/>
      <x:c r="J99" s="2"/>
      <x:c r="K99" s="2"/>
      <x:c r="L99" s="2"/>
      <x:c r="M99" s="2" t="str">
        <x:f>B99</x:f>
        <x:v>2024-05</x:v>
      </x:c>
      <x:c r="N99" s="2" t="n">
        <x:f>G99</x:f>
        <x:v>199372</x:v>
      </x:c>
      <x:c r="O99" s="2"/>
      <x:c r="P99" s="2"/>
      <x:c r="Q99" s="2"/>
      <x:c r="R99" s="2"/>
      <x:c r="S99" s="2"/>
    </x:row>
    <x:row r="100" ht="21" customHeight="1">
      <x:c r="A100" s="7" t="n">
        <x:v>45444</x:v>
      </x:c>
      <x:c r="B100" s="2" t="str">
        <x:f>TEXT(A100,"yyyy-mm")</x:f>
        <x:v>2024-06</x:v>
      </x:c>
      <x:c r="C100" s="8" t="n">
        <x:f>IF(COUNTIFS('港湾月次'!$A$2:$A$477,A100,'港湾月次'!$B$2:$B$477,$B$5,'港湾月次'!$E$2:$E$477,"&gt;=0")=1,SUMIFS('港湾月次'!$E$2:$E$477,'港湾月次'!$A$2:$A$477,A100,'港湾月次'!$B$2:$B$477,$B$5),"")</x:f>
        <x:v>98220</x:v>
      </x:c>
      <x:c r="D100" s="8" t="n">
        <x:f>IF(COUNTIFS('港湾月次'!$A$2:$A$477,A100,'港湾月次'!$B$2:$B$477,$B$5,'港湾月次'!$J$2:$J$477,"&gt;=0")=1,SUMIFS('港湾月次'!$J$2:$J$477,'港湾月次'!$A$2:$A$477,A100,'港湾月次'!$B$2:$B$477,$B$5),"")</x:f>
        <x:v>4422</x:v>
      </x:c>
      <x:c r="E100" s="8" t="n">
        <x:f>IF(COUNTIFS('港湾月次'!$A$2:$A$477,A100,'港湾月次'!$B$2:$B$477,$B$5,'港湾月次'!$P$2:$P$477,"&gt;=0")=1,SUMIFS('港湾月次'!$P$2:$P$477,'港湾月次'!$A$2:$A$477,A100,'港湾月次'!$B$2:$B$477,$B$5),"")</x:f>
        <x:v>587</x:v>
      </x:c>
      <x:c r="F100" s="8" t="n">
        <x:f>IF(COUNTIFS('道路月次_熊本'!$A$2:$A$313,A100,'道路月次_熊本'!$C$2:$C$313,$B$6,'道路月次_熊本'!$F$2:$F$313,$B$7,'道路月次_熊本'!$I$2:$I$313,"&gt;=0")=1,SUMIFS('道路月次_熊本'!$I$2:$I$313,'道路月次_熊本'!$A$2:$A$313,A100,'道路月次_熊本'!$C$2:$C$313,$B$6,'道路月次_熊本'!$F$2:$F$313,$B$7),"")</x:f>
        <x:v>2100</x:v>
      </x:c>
      <x:c r="G100" s="8" t="n">
        <x:f>IF(COUNTIFS('全国貨物月次'!$A$2:$A$64,A100,'全国貨物月次'!$C$2:$C$64,"&gt;=0")=1,SUMIFS('全国貨物月次'!$C$2:$C$64,'全国貨物月次'!$A$2:$A$64,A100),"")</x:f>
        <x:v>220391</x:v>
      </x:c>
      <x:c r="H100" s="2"/>
      <x:c r="I100" s="2"/>
      <x:c r="J100" s="2"/>
      <x:c r="K100" s="2"/>
      <x:c r="L100" s="2"/>
      <x:c r="M100" s="2" t="str">
        <x:f>B100</x:f>
        <x:v>2024-06</x:v>
      </x:c>
      <x:c r="N100" s="2" t="n">
        <x:f>G100</x:f>
        <x:v>220391</x:v>
      </x:c>
      <x:c r="O100" s="2"/>
      <x:c r="P100" s="2"/>
      <x:c r="Q100" s="2"/>
      <x:c r="R100" s="2"/>
      <x:c r="S100" s="2"/>
    </x:row>
    <x:row r="101" ht="21" customHeight="1">
      <x:c r="A101" s="7" t="n">
        <x:v>45474</x:v>
      </x:c>
      <x:c r="B101" s="2" t="str">
        <x:f>TEXT(A101,"yyyy-mm")</x:f>
        <x:v>2024-07</x:v>
      </x:c>
      <x:c r="C101" s="8" t="n">
        <x:f>IF(COUNTIFS('港湾月次'!$A$2:$A$477,A101,'港湾月次'!$B$2:$B$477,$B$5,'港湾月次'!$E$2:$E$477,"&gt;=0")=1,SUMIFS('港湾月次'!$E$2:$E$477,'港湾月次'!$A$2:$A$477,A101,'港湾月次'!$B$2:$B$477,$B$5),"")</x:f>
        <x:v>82092</x:v>
      </x:c>
      <x:c r="D101" s="8" t="n">
        <x:f>IF(COUNTIFS('港湾月次'!$A$2:$A$477,A101,'港湾月次'!$B$2:$B$477,$B$5,'港湾月次'!$J$2:$J$477,"&gt;=0")=1,SUMIFS('港湾月次'!$J$2:$J$477,'港湾月次'!$A$2:$A$477,A101,'港湾月次'!$B$2:$B$477,$B$5),"")</x:f>
        <x:v>5000</x:v>
      </x:c>
      <x:c r="E101" s="8" t="n">
        <x:f>IF(COUNTIFS('港湾月次'!$A$2:$A$477,A101,'港湾月次'!$B$2:$B$477,$B$5,'港湾月次'!$P$2:$P$477,"&gt;=0")=1,SUMIFS('港湾月次'!$P$2:$P$477,'港湾月次'!$A$2:$A$477,A101,'港湾月次'!$B$2:$B$477,$B$5),"")</x:f>
        <x:v>616</x:v>
      </x:c>
      <x:c r="F101" s="8" t="n">
        <x:f>IF(COUNTIFS('道路月次_熊本'!$A$2:$A$313,A101,'道路月次_熊本'!$C$2:$C$313,$B$6,'道路月次_熊本'!$F$2:$F$313,$B$7,'道路月次_熊本'!$I$2:$I$313,"&gt;=0")=1,SUMIFS('道路月次_熊本'!$I$2:$I$313,'道路月次_熊本'!$A$2:$A$313,A101,'道路月次_熊本'!$C$2:$C$313,$B$6,'道路月次_熊本'!$F$2:$F$313,$B$7),"")</x:f>
        <x:v>2100</x:v>
      </x:c>
      <x:c r="G101" s="8" t="n">
        <x:f>IF(COUNTIFS('全国貨物月次'!$A$2:$A$64,A101,'全国貨物月次'!$C$2:$C$64,"&gt;=0")=1,SUMIFS('全国貨物月次'!$C$2:$C$64,'全国貨物月次'!$A$2:$A$64,A101),"")</x:f>
        <x:v>225219</x:v>
      </x:c>
      <x:c r="H101" s="2"/>
      <x:c r="I101" s="2"/>
      <x:c r="J101" s="2"/>
      <x:c r="K101" s="2"/>
      <x:c r="L101" s="2"/>
      <x:c r="M101" s="2" t="str">
        <x:f>B101</x:f>
        <x:v>2024-07</x:v>
      </x:c>
      <x:c r="N101" s="2" t="n">
        <x:f>G101</x:f>
        <x:v>225219</x:v>
      </x:c>
      <x:c r="O101" s="2"/>
      <x:c r="P101" s="2"/>
      <x:c r="Q101" s="2"/>
      <x:c r="R101" s="2"/>
      <x:c r="S101" s="2"/>
    </x:row>
    <x:row r="102" ht="21" customHeight="1">
      <x:c r="A102" s="7" t="n">
        <x:v>45505</x:v>
      </x:c>
      <x:c r="B102" s="2" t="str">
        <x:f>TEXT(A102,"yyyy-mm")</x:f>
        <x:v>2024-08</x:v>
      </x:c>
      <x:c r="C102" s="8" t="n">
        <x:f>IF(COUNTIFS('港湾月次'!$A$2:$A$477,A102,'港湾月次'!$B$2:$B$477,$B$5,'港湾月次'!$E$2:$E$477,"&gt;=0")=1,SUMIFS('港湾月次'!$E$2:$E$477,'港湾月次'!$A$2:$A$477,A102,'港湾月次'!$B$2:$B$477,$B$5),"")</x:f>
        <x:v>66012</x:v>
      </x:c>
      <x:c r="D102" s="8" t="n">
        <x:f>IF(COUNTIFS('港湾月次'!$A$2:$A$477,A102,'港湾月次'!$B$2:$B$477,$B$5,'港湾月次'!$J$2:$J$477,"&gt;=0")=1,SUMIFS('港湾月次'!$J$2:$J$477,'港湾月次'!$A$2:$A$477,A102,'港湾月次'!$B$2:$B$477,$B$5),"")</x:f>
        <x:v>4639</x:v>
      </x:c>
      <x:c r="E102" s="8" t="n">
        <x:f>IF(COUNTIFS('港湾月次'!$A$2:$A$477,A102,'港湾月次'!$B$2:$B$477,$B$5,'港湾月次'!$P$2:$P$477,"&gt;=0")=1,SUMIFS('港湾月次'!$P$2:$P$477,'港湾月次'!$A$2:$A$477,A102,'港湾月次'!$B$2:$B$477,$B$5),"")</x:f>
        <x:v>584</x:v>
      </x:c>
      <x:c r="F102" s="8" t="n">
        <x:f>IF(COUNTIFS('道路月次_熊本'!$A$2:$A$313,A102,'道路月次_熊本'!$C$2:$C$313,$B$6,'道路月次_熊本'!$F$2:$F$313,$B$7,'道路月次_熊本'!$I$2:$I$313,"&gt;=0")=1,SUMIFS('道路月次_熊本'!$I$2:$I$313,'道路月次_熊本'!$A$2:$A$313,A102,'道路月次_熊本'!$C$2:$C$313,$B$6,'道路月次_熊本'!$F$2:$F$313,$B$7),"")</x:f>
        <x:v>1900</x:v>
      </x:c>
      <x:c r="G102" s="8" t="n">
        <x:f>IF(COUNTIFS('全国貨物月次'!$A$2:$A$64,A102,'全国貨物月次'!$C$2:$C$64,"&gt;=0")=1,SUMIFS('全国貨物月次'!$C$2:$C$64,'全国貨物月次'!$A$2:$A$64,A102),"")</x:f>
        <x:v>186729</x:v>
      </x:c>
      <x:c r="H102" s="2"/>
      <x:c r="I102" s="2"/>
      <x:c r="J102" s="2"/>
      <x:c r="K102" s="2"/>
      <x:c r="L102" s="2"/>
      <x:c r="M102" s="2" t="str">
        <x:f>B102</x:f>
        <x:v>2024-08</x:v>
      </x:c>
      <x:c r="N102" s="2" t="n">
        <x:f>G102</x:f>
        <x:v>186729</x:v>
      </x:c>
      <x:c r="O102" s="2"/>
      <x:c r="P102" s="2"/>
      <x:c r="Q102" s="2"/>
      <x:c r="R102" s="2"/>
      <x:c r="S102" s="2"/>
    </x:row>
    <x:row r="103" ht="21" customHeight="1">
      <x:c r="A103" s="7" t="n">
        <x:v>45536</x:v>
      </x:c>
      <x:c r="B103" s="2" t="str">
        <x:f>TEXT(A103,"yyyy-mm")</x:f>
        <x:v>2024-09</x:v>
      </x:c>
      <x:c r="C103" s="8" t="n">
        <x:f>IF(COUNTIFS('港湾月次'!$A$2:$A$477,A103,'港湾月次'!$B$2:$B$477,$B$5,'港湾月次'!$E$2:$E$477,"&gt;=0")=1,SUMIFS('港湾月次'!$E$2:$E$477,'港湾月次'!$A$2:$A$477,A103,'港湾月次'!$B$2:$B$477,$B$5),"")</x:f>
        <x:v>112394</x:v>
      </x:c>
      <x:c r="D103" s="8" t="n">
        <x:f>IF(COUNTIFS('港湾月次'!$A$2:$A$477,A103,'港湾月次'!$B$2:$B$477,$B$5,'港湾月次'!$J$2:$J$477,"&gt;=0")=1,SUMIFS('港湾月次'!$J$2:$J$477,'港湾月次'!$A$2:$A$477,A103,'港湾月次'!$B$2:$B$477,$B$5),"")</x:f>
        <x:v>5307</x:v>
      </x:c>
      <x:c r="E103" s="8" t="n">
        <x:f>IF(COUNTIFS('港湾月次'!$A$2:$A$477,A103,'港湾月次'!$B$2:$B$477,$B$5,'港湾月次'!$P$2:$P$477,"&gt;=0")=1,SUMIFS('港湾月次'!$P$2:$P$477,'港湾月次'!$A$2:$A$477,A103,'港湾月次'!$B$2:$B$477,$B$5),"")</x:f>
        <x:v>646</x:v>
      </x:c>
      <x:c r="F103" s="8" t="n">
        <x:f>IF(COUNTIFS('道路月次_熊本'!$A$2:$A$313,A103,'道路月次_熊本'!$C$2:$C$313,$B$6,'道路月次_熊本'!$F$2:$F$313,$B$7,'道路月次_熊本'!$I$2:$I$313,"&gt;=0")=1,SUMIFS('道路月次_熊本'!$I$2:$I$313,'道路月次_熊本'!$A$2:$A$313,A103,'道路月次_熊本'!$C$2:$C$313,$B$6,'道路月次_熊本'!$F$2:$F$313,$B$7),"")</x:f>
        <x:v>2000</x:v>
      </x:c>
      <x:c r="G103" s="8" t="n">
        <x:f>IF(COUNTIFS('全国貨物月次'!$A$2:$A$64,A103,'全国貨物月次'!$C$2:$C$64,"&gt;=0")=1,SUMIFS('全国貨物月次'!$C$2:$C$64,'全国貨物月次'!$A$2:$A$64,A103),"")</x:f>
        <x:v>222180</x:v>
      </x:c>
      <x:c r="H103" s="2"/>
      <x:c r="I103" s="2"/>
      <x:c r="J103" s="2"/>
      <x:c r="K103" s="2"/>
      <x:c r="L103" s="2"/>
      <x:c r="M103" s="2" t="str">
        <x:f>B103</x:f>
        <x:v>2024-09</x:v>
      </x:c>
      <x:c r="N103" s="2" t="n">
        <x:f>G103</x:f>
        <x:v>222180</x:v>
      </x:c>
      <x:c r="O103" s="2"/>
      <x:c r="P103" s="2"/>
      <x:c r="Q103" s="2"/>
      <x:c r="R103" s="2"/>
      <x:c r="S103" s="2"/>
    </x:row>
    <x:row r="104" ht="21" customHeight="1">
      <x:c r="A104" s="7" t="n">
        <x:v>45566</x:v>
      </x:c>
      <x:c r="B104" s="2" t="str">
        <x:f>TEXT(A104,"yyyy-mm")</x:f>
        <x:v>2024-10</x:v>
      </x:c>
      <x:c r="C104" s="8" t="n">
        <x:f>IF(COUNTIFS('港湾月次'!$A$2:$A$477,A104,'港湾月次'!$B$2:$B$477,$B$5,'港湾月次'!$E$2:$E$477,"&gt;=0")=1,SUMIFS('港湾月次'!$E$2:$E$477,'港湾月次'!$A$2:$A$477,A104,'港湾月次'!$B$2:$B$477,$B$5),"")</x:f>
        <x:v>137768</x:v>
      </x:c>
      <x:c r="D104" s="8" t="n">
        <x:f>IF(COUNTIFS('港湾月次'!$A$2:$A$477,A104,'港湾月次'!$B$2:$B$477,$B$5,'港湾月次'!$J$2:$J$477,"&gt;=0")=1,SUMIFS('港湾月次'!$J$2:$J$477,'港湾月次'!$A$2:$A$477,A104,'港湾月次'!$B$2:$B$477,$B$5),"")</x:f>
        <x:v>4687</x:v>
      </x:c>
      <x:c r="E104" s="8" t="n">
        <x:f>IF(COUNTIFS('港湾月次'!$A$2:$A$477,A104,'港湾月次'!$B$2:$B$477,$B$5,'港湾月次'!$P$2:$P$477,"&gt;=0")=1,SUMIFS('港湾月次'!$P$2:$P$477,'港湾月次'!$A$2:$A$477,A104,'港湾月次'!$B$2:$B$477,$B$5),"")</x:f>
        <x:v>650</x:v>
      </x:c>
      <x:c r="F104" s="8" t="n">
        <x:f>IF(COUNTIFS('道路月次_熊本'!$A$2:$A$313,A104,'道路月次_熊本'!$C$2:$C$313,$B$6,'道路月次_熊本'!$F$2:$F$313,$B$7,'道路月次_熊本'!$I$2:$I$313,"&gt;=0")=1,SUMIFS('道路月次_熊本'!$I$2:$I$313,'道路月次_熊本'!$A$2:$A$313,A104,'道路月次_熊本'!$C$2:$C$313,$B$6,'道路月次_熊本'!$F$2:$F$313,$B$7),"")</x:f>
        <x:v>2100</x:v>
      </x:c>
      <x:c r="G104" s="8" t="n">
        <x:f>IF(COUNTIFS('全国貨物月次'!$A$2:$A$64,A104,'全国貨物月次'!$C$2:$C$64,"&gt;=0")=1,SUMIFS('全国貨物月次'!$C$2:$C$64,'全国貨物月次'!$A$2:$A$64,A104),"")</x:f>
        <x:v>208662</x:v>
      </x:c>
      <x:c r="H104" s="2"/>
      <x:c r="I104" s="2"/>
      <x:c r="J104" s="2"/>
      <x:c r="K104" s="2"/>
      <x:c r="L104" s="2"/>
      <x:c r="M104" s="2" t="str">
        <x:f>B104</x:f>
        <x:v>2024-10</x:v>
      </x:c>
      <x:c r="N104" s="2" t="n">
        <x:f>G104</x:f>
        <x:v>208662</x:v>
      </x:c>
      <x:c r="O104" s="2"/>
      <x:c r="P104" s="2"/>
      <x:c r="Q104" s="2"/>
      <x:c r="R104" s="2"/>
      <x:c r="S104" s="2"/>
    </x:row>
    <x:row r="105" ht="21" customHeight="1">
      <x:c r="A105" s="7" t="n">
        <x:v>45597</x:v>
      </x:c>
      <x:c r="B105" s="2" t="str">
        <x:f>TEXT(A105,"yyyy-mm")</x:f>
        <x:v>2024-11</x:v>
      </x:c>
      <x:c r="C105" s="8" t="n">
        <x:f>IF(COUNTIFS('港湾月次'!$A$2:$A$477,A105,'港湾月次'!$B$2:$B$477,$B$5,'港湾月次'!$E$2:$E$477,"&gt;=0")=1,SUMIFS('港湾月次'!$E$2:$E$477,'港湾月次'!$A$2:$A$477,A105,'港湾月次'!$B$2:$B$477,$B$5),"")</x:f>
        <x:v>143566</x:v>
      </x:c>
      <x:c r="D105" s="8" t="n">
        <x:f>IF(COUNTIFS('港湾月次'!$A$2:$A$477,A105,'港湾月次'!$B$2:$B$477,$B$5,'港湾月次'!$J$2:$J$477,"&gt;=0")=1,SUMIFS('港湾月次'!$J$2:$J$477,'港湾月次'!$A$2:$A$477,A105,'港湾月次'!$B$2:$B$477,$B$5),"")</x:f>
        <x:v>5953</x:v>
      </x:c>
      <x:c r="E105" s="8" t="n">
        <x:f>IF(COUNTIFS('港湾月次'!$A$2:$A$477,A105,'港湾月次'!$B$2:$B$477,$B$5,'港湾月次'!$P$2:$P$477,"&gt;=0")=1,SUMIFS('港湾月次'!$P$2:$P$477,'港湾月次'!$A$2:$A$477,A105,'港湾月次'!$B$2:$B$477,$B$5),"")</x:f>
        <x:v>637</x:v>
      </x:c>
      <x:c r="F105" s="8" t="n">
        <x:f>IF(COUNTIFS('道路月次_熊本'!$A$2:$A$313,A105,'道路月次_熊本'!$C$2:$C$313,$B$6,'道路月次_熊本'!$F$2:$F$313,$B$7,'道路月次_熊本'!$I$2:$I$313,"&gt;=0")=1,SUMIFS('道路月次_熊本'!$I$2:$I$313,'道路月次_熊本'!$A$2:$A$313,A105,'道路月次_熊本'!$C$2:$C$313,$B$6,'道路月次_熊本'!$F$2:$F$313,$B$7),"")</x:f>
        <x:v>2200</x:v>
      </x:c>
      <x:c r="G105" s="8" t="n">
        <x:f>IF(COUNTIFS('全国貨物月次'!$A$2:$A$64,A105,'全国貨物月次'!$C$2:$C$64,"&gt;=0")=1,SUMIFS('全国貨物月次'!$C$2:$C$64,'全国貨物月次'!$A$2:$A$64,A105),"")</x:f>
        <x:v>214478</x:v>
      </x:c>
      <x:c r="H105" s="2"/>
      <x:c r="I105" s="2"/>
      <x:c r="J105" s="2"/>
      <x:c r="K105" s="2"/>
      <x:c r="L105" s="2"/>
      <x:c r="M105" s="2" t="str">
        <x:f>B105</x:f>
        <x:v>2024-11</x:v>
      </x:c>
      <x:c r="N105" s="2" t="n">
        <x:f>G105</x:f>
        <x:v>214478</x:v>
      </x:c>
      <x:c r="O105" s="2"/>
      <x:c r="P105" s="2"/>
      <x:c r="Q105" s="2"/>
      <x:c r="R105" s="2"/>
      <x:c r="S105" s="2"/>
    </x:row>
    <x:row r="106" ht="21" customHeight="1">
      <x:c r="A106" s="7" t="n">
        <x:v>45627</x:v>
      </x:c>
      <x:c r="B106" s="2" t="str">
        <x:f>TEXT(A106,"yyyy-mm")</x:f>
        <x:v>2024-12</x:v>
      </x:c>
      <x:c r="C106" s="8" t="n">
        <x:f>IF(COUNTIFS('港湾月次'!$A$2:$A$477,A106,'港湾月次'!$B$2:$B$477,$B$5,'港湾月次'!$E$2:$E$477,"&gt;=0")=1,SUMIFS('港湾月次'!$E$2:$E$477,'港湾月次'!$A$2:$A$477,A106,'港湾月次'!$B$2:$B$477,$B$5),"")</x:f>
        <x:v>85770</x:v>
      </x:c>
      <x:c r="D106" s="8" t="n">
        <x:f>IF(COUNTIFS('港湾月次'!$A$2:$A$477,A106,'港湾月次'!$B$2:$B$477,$B$5,'港湾月次'!$J$2:$J$477,"&gt;=0")=1,SUMIFS('港湾月次'!$J$2:$J$477,'港湾月次'!$A$2:$A$477,A106,'港湾月次'!$B$2:$B$477,$B$5),"")</x:f>
        <x:v>6183</x:v>
      </x:c>
      <x:c r="E106" s="8" t="n">
        <x:f>IF(COUNTIFS('港湾月次'!$A$2:$A$477,A106,'港湾月次'!$B$2:$B$477,$B$5,'港湾月次'!$P$2:$P$477,"&gt;=0")=1,SUMIFS('港湾月次'!$P$2:$P$477,'港湾月次'!$A$2:$A$477,A106,'港湾月次'!$B$2:$B$477,$B$5),"")</x:f>
        <x:v>596</x:v>
      </x:c>
      <x:c r="F106" s="8" t="n">
        <x:f>IF(COUNTIFS('道路月次_熊本'!$A$2:$A$313,A106,'道路月次_熊本'!$C$2:$C$313,$B$6,'道路月次_熊本'!$F$2:$F$313,$B$7,'道路月次_熊本'!$I$2:$I$313,"&gt;=0")=1,SUMIFS('道路月次_熊本'!$I$2:$I$313,'道路月次_熊本'!$A$2:$A$313,A106,'道路月次_熊本'!$C$2:$C$313,$B$6,'道路月次_熊本'!$F$2:$F$313,$B$7),"")</x:f>
        <x:v>2000</x:v>
      </x:c>
      <x:c r="G106" s="8" t="n">
        <x:f>IF(COUNTIFS('全国貨物月次'!$A$2:$A$64,A106,'全国貨物月次'!$C$2:$C$64,"&gt;=0")=1,SUMIFS('全国貨物月次'!$C$2:$C$64,'全国貨物月次'!$A$2:$A$64,A106),"")</x:f>
        <x:v>215921</x:v>
      </x:c>
      <x:c r="H106" s="2"/>
      <x:c r="I106" s="2"/>
      <x:c r="J106" s="2"/>
      <x:c r="K106" s="2"/>
      <x:c r="L106" s="2"/>
      <x:c r="M106" s="2" t="str">
        <x:f>B106</x:f>
        <x:v>2024-12</x:v>
      </x:c>
      <x:c r="N106" s="2" t="n">
        <x:f>G106</x:f>
        <x:v>215921</x:v>
      </x:c>
      <x:c r="O106" s="2"/>
      <x:c r="P106" s="2"/>
      <x:c r="Q106" s="2"/>
      <x:c r="R106" s="2"/>
      <x:c r="S106" s="2"/>
    </x:row>
    <x:row r="107" ht="21" customHeight="1">
      <x:c r="A107" s="7" t="n">
        <x:v>45658</x:v>
      </x:c>
      <x:c r="B107" s="2" t="str">
        <x:f>TEXT(A107,"yyyy-mm")</x:f>
        <x:v>2025-01</x:v>
      </x:c>
      <x:c r="C107" s="8" t="n">
        <x:f>IF(COUNTIFS('港湾月次'!$A$2:$A$477,A107,'港湾月次'!$B$2:$B$477,$B$5,'港湾月次'!$E$2:$E$477,"&gt;=0")=1,SUMIFS('港湾月次'!$E$2:$E$477,'港湾月次'!$A$2:$A$477,A107,'港湾月次'!$B$2:$B$477,$B$5),"")</x:f>
        <x:v>142508</x:v>
      </x:c>
      <x:c r="D107" s="8" t="n">
        <x:f>IF(COUNTIFS('港湾月次'!$A$2:$A$477,A107,'港湾月次'!$B$2:$B$477,$B$5,'港湾月次'!$J$2:$J$477,"&gt;=0")=1,SUMIFS('港湾月次'!$J$2:$J$477,'港湾月次'!$A$2:$A$477,A107,'港湾月次'!$B$2:$B$477,$B$5),"")</x:f>
        <x:v>4274</x:v>
      </x:c>
      <x:c r="E107" s="8" t="n">
        <x:f>IF(COUNTIFS('港湾月次'!$A$2:$A$477,A107,'港湾月次'!$B$2:$B$477,$B$5,'港湾月次'!$P$2:$P$477,"&gt;=0")=1,SUMIFS('港湾月次'!$P$2:$P$477,'港湾月次'!$A$2:$A$477,A107,'港湾月次'!$B$2:$B$477,$B$5),"")</x:f>
        <x:v>488</x:v>
      </x:c>
      <x:c r="F107" s="8" t="n">
        <x:f>IF(COUNTIFS('道路月次_熊本'!$A$2:$A$313,A107,'道路月次_熊本'!$C$2:$C$313,$B$6,'道路月次_熊本'!$F$2:$F$313,$B$7,'道路月次_熊本'!$I$2:$I$313,"&gt;=0")=1,SUMIFS('道路月次_熊本'!$I$2:$I$313,'道路月次_熊本'!$A$2:$A$313,A107,'道路月次_熊本'!$C$2:$C$313,$B$6,'道路月次_熊本'!$F$2:$F$313,$B$7),"")</x:f>
        <x:v>1700</x:v>
      </x:c>
      <x:c r="G107" s="8" t="n">
        <x:f>IF(COUNTIFS('全国貨物月次'!$A$2:$A$64,A107,'全国貨物月次'!$C$2:$C$64,"&gt;=0")=1,SUMIFS('全国貨物月次'!$C$2:$C$64,'全国貨物月次'!$A$2:$A$64,A107),"")</x:f>
        <x:v>195247</x:v>
      </x:c>
      <x:c r="H107" s="2"/>
      <x:c r="I107" s="2"/>
      <x:c r="J107" s="2"/>
      <x:c r="K107" s="2"/>
      <x:c r="L107" s="2"/>
      <x:c r="M107" s="2" t="str">
        <x:f>B107</x:f>
        <x:v>2025-01</x:v>
      </x:c>
      <x:c r="N107" s="2" t="n">
        <x:f>G107</x:f>
        <x:v>195247</x:v>
      </x:c>
      <x:c r="O107" s="2"/>
      <x:c r="P107" s="2"/>
      <x:c r="Q107" s="2"/>
      <x:c r="R107" s="2"/>
      <x:c r="S107" s="2"/>
    </x:row>
    <x:row r="108" ht="21" customHeight="1">
      <x:c r="A108" s="7" t="n">
        <x:v>45689</x:v>
      </x:c>
      <x:c r="B108" s="2" t="str">
        <x:f>TEXT(A108,"yyyy-mm")</x:f>
        <x:v>2025-02</x:v>
      </x:c>
      <x:c r="C108" s="8" t="n">
        <x:f>IF(COUNTIFS('港湾月次'!$A$2:$A$477,A108,'港湾月次'!$B$2:$B$477,$B$5,'港湾月次'!$E$2:$E$477,"&gt;=0")=1,SUMIFS('港湾月次'!$E$2:$E$477,'港湾月次'!$A$2:$A$477,A108,'港湾月次'!$B$2:$B$477,$B$5),"")</x:f>
        <x:v>131526</x:v>
      </x:c>
      <x:c r="D108" s="8" t="n">
        <x:f>IF(COUNTIFS('港湾月次'!$A$2:$A$477,A108,'港湾月次'!$B$2:$B$477,$B$5,'港湾月次'!$J$2:$J$477,"&gt;=0")=1,SUMIFS('港湾月次'!$J$2:$J$477,'港湾月次'!$A$2:$A$477,A108,'港湾月次'!$B$2:$B$477,$B$5),"")</x:f>
        <x:v>5168</x:v>
      </x:c>
      <x:c r="E108" s="8" t="n">
        <x:f>IF(COUNTIFS('港湾月次'!$A$2:$A$477,A108,'港湾月次'!$B$2:$B$477,$B$5,'港湾月次'!$P$2:$P$477,"&gt;=0")=1,SUMIFS('港湾月次'!$P$2:$P$477,'港湾月次'!$A$2:$A$477,A108,'港湾月次'!$B$2:$B$477,$B$5),"")</x:f>
        <x:v>501</x:v>
      </x:c>
      <x:c r="F108" s="8" t="n">
        <x:f>IF(COUNTIFS('道路月次_熊本'!$A$2:$A$313,A108,'道路月次_熊本'!$C$2:$C$313,$B$6,'道路月次_熊本'!$F$2:$F$313,$B$7,'道路月次_熊本'!$I$2:$I$313,"&gt;=0")=1,SUMIFS('道路月次_熊本'!$I$2:$I$313,'道路月次_熊本'!$A$2:$A$313,A108,'道路月次_熊本'!$C$2:$C$313,$B$6,'道路月次_熊本'!$F$2:$F$313,$B$7),"")</x:f>
        <x:v>2000</x:v>
      </x:c>
      <x:c r="G108" s="8" t="n">
        <x:f>IF(COUNTIFS('全国貨物月次'!$A$2:$A$64,A108,'全国貨物月次'!$C$2:$C$64,"&gt;=0")=1,SUMIFS('全国貨物月次'!$C$2:$C$64,'全国貨物月次'!$A$2:$A$64,A108),"")</x:f>
        <x:v>187803</x:v>
      </x:c>
      <x:c r="H108" s="2"/>
      <x:c r="I108" s="2"/>
      <x:c r="J108" s="2"/>
      <x:c r="K108" s="2"/>
      <x:c r="L108" s="2"/>
      <x:c r="M108" s="2" t="str">
        <x:f>B108</x:f>
        <x:v>2025-02</x:v>
      </x:c>
      <x:c r="N108" s="2" t="n">
        <x:f>G108</x:f>
        <x:v>187803</x:v>
      </x:c>
      <x:c r="O108" s="2"/>
      <x:c r="P108" s="2"/>
      <x:c r="Q108" s="2"/>
      <x:c r="R108" s="2"/>
      <x:c r="S108" s="2"/>
    </x:row>
    <x:row r="109" ht="21" customHeight="1">
      <x:c r="A109" s="7" t="n">
        <x:v>45717</x:v>
      </x:c>
      <x:c r="B109" s="2" t="str">
        <x:f>TEXT(A109,"yyyy-mm")</x:f>
        <x:v>2025-03</x:v>
      </x:c>
      <x:c r="C109" s="8" t="n">
        <x:f>IF(COUNTIFS('港湾月次'!$A$2:$A$477,A109,'港湾月次'!$B$2:$B$477,$B$5,'港湾月次'!$E$2:$E$477,"&gt;=0")=1,SUMIFS('港湾月次'!$E$2:$E$477,'港湾月次'!$A$2:$A$477,A109,'港湾月次'!$B$2:$B$477,$B$5),"")</x:f>
        <x:v>105565</x:v>
      </x:c>
      <x:c r="D109" s="8" t="n">
        <x:f>IF(COUNTIFS('港湾月次'!$A$2:$A$477,A109,'港湾月次'!$B$2:$B$477,$B$5,'港湾月次'!$J$2:$J$477,"&gt;=0")=1,SUMIFS('港湾月次'!$J$2:$J$477,'港湾月次'!$A$2:$A$477,A109,'港湾月次'!$B$2:$B$477,$B$5),"")</x:f>
        <x:v>5247</x:v>
      </x:c>
      <x:c r="E109" s="8" t="n">
        <x:f>IF(COUNTIFS('港湾月次'!$A$2:$A$477,A109,'港湾月次'!$B$2:$B$477,$B$5,'港湾月次'!$P$2:$P$477,"&gt;=0")=1,SUMIFS('港湾月次'!$P$2:$P$477,'港湾月次'!$A$2:$A$477,A109,'港湾月次'!$B$2:$B$477,$B$5),"")</x:f>
        <x:v>576</x:v>
      </x:c>
      <x:c r="F109" s="8" t="n">
        <x:f>IF(COUNTIFS('道路月次_熊本'!$A$2:$A$313,A109,'道路月次_熊本'!$C$2:$C$313,$B$6,'道路月次_熊本'!$F$2:$F$313,$B$7,'道路月次_熊本'!$I$2:$I$313,"&gt;=0")=1,SUMIFS('道路月次_熊本'!$I$2:$I$313,'道路月次_熊本'!$A$2:$A$313,A109,'道路月次_熊本'!$C$2:$C$313,$B$6,'道路月次_熊本'!$F$2:$F$313,$B$7),"")</x:f>
        <x:v>2000</x:v>
      </x:c>
      <x:c r="G109" s="8" t="n">
        <x:f>IF(COUNTIFS('全国貨物月次'!$A$2:$A$64,A109,'全国貨物月次'!$C$2:$C$64,"&gt;=0")=1,SUMIFS('全国貨物月次'!$C$2:$C$64,'全国貨物月次'!$A$2:$A$64,A109),"")</x:f>
        <x:v>218071</x:v>
      </x:c>
      <x:c r="H109" s="2"/>
      <x:c r="I109" s="2"/>
      <x:c r="J109" s="2"/>
      <x:c r="K109" s="2"/>
      <x:c r="L109" s="2"/>
      <x:c r="M109" s="2" t="str">
        <x:f>B109</x:f>
        <x:v>2025-03</x:v>
      </x:c>
      <x:c r="N109" s="2" t="n">
        <x:f>G109</x:f>
        <x:v>218071</x:v>
      </x:c>
      <x:c r="O109" s="2"/>
      <x:c r="P109" s="2"/>
      <x:c r="Q109" s="2"/>
      <x:c r="R109" s="2"/>
      <x:c r="S109" s="2"/>
    </x:row>
    <x:row r="110" ht="21" customHeight="1">
      <x:c r="A110" s="7" t="n">
        <x:v>45748</x:v>
      </x:c>
      <x:c r="B110" s="2" t="str">
        <x:f>TEXT(A110,"yyyy-mm")</x:f>
        <x:v>2025-04</x:v>
      </x:c>
      <x:c r="C110" s="8" t="n">
        <x:f>IF(COUNTIFS('港湾月次'!$A$2:$A$477,A110,'港湾月次'!$B$2:$B$477,$B$5,'港湾月次'!$E$2:$E$477,"&gt;=0")=1,SUMIFS('港湾月次'!$E$2:$E$477,'港湾月次'!$A$2:$A$477,A110,'港湾月次'!$B$2:$B$477,$B$5),"")</x:f>
        <x:v>194444</x:v>
      </x:c>
      <x:c r="D110" s="8" t="n">
        <x:f>IF(COUNTIFS('港湾月次'!$A$2:$A$477,A110,'港湾月次'!$B$2:$B$477,$B$5,'港湾月次'!$J$2:$J$477,"&gt;=0")=1,SUMIFS('港湾月次'!$J$2:$J$477,'港湾月次'!$A$2:$A$477,A110,'港湾月次'!$B$2:$B$477,$B$5),"")</x:f>
        <x:v>5188</x:v>
      </x:c>
      <x:c r="E110" s="8" t="n">
        <x:f>IF(COUNTIFS('港湾月次'!$A$2:$A$477,A110,'港湾月次'!$B$2:$B$477,$B$5,'港湾月次'!$P$2:$P$477,"&gt;=0")=1,SUMIFS('港湾月次'!$P$2:$P$477,'港湾月次'!$A$2:$A$477,A110,'港湾月次'!$B$2:$B$477,$B$5),"")</x:f>
        <x:v>770</x:v>
      </x:c>
      <x:c r="F110" s="8" t="n">
        <x:f>IF(COUNTIFS('道路月次_熊本'!$A$2:$A$313,A110,'道路月次_熊本'!$C$2:$C$313,$B$6,'道路月次_熊本'!$F$2:$F$313,$B$7,'道路月次_熊本'!$I$2:$I$313,"&gt;=0")=1,SUMIFS('道路月次_熊本'!$I$2:$I$313,'道路月次_熊本'!$A$2:$A$313,A110,'道路月次_熊本'!$C$2:$C$313,$B$6,'道路月次_熊本'!$F$2:$F$313,$B$7),"")</x:f>
        <x:v>1900</x:v>
      </x:c>
      <x:c r="G110" s="8" t="n">
        <x:f>IF(COUNTIFS('全国貨物月次'!$A$2:$A$64,A110,'全国貨物月次'!$C$2:$C$64,"&gt;=0")=1,SUMIFS('全国貨物月次'!$C$2:$C$64,'全国貨物月次'!$A$2:$A$64,A110),"")</x:f>
        <x:v>209073</x:v>
      </x:c>
      <x:c r="H110" s="2"/>
      <x:c r="I110" s="2"/>
      <x:c r="J110" s="2"/>
      <x:c r="K110" s="2"/>
      <x:c r="L110" s="2"/>
      <x:c r="M110" s="2" t="str">
        <x:f>B110</x:f>
        <x:v>2025-04</x:v>
      </x:c>
      <x:c r="N110" s="2" t="n">
        <x:f>G110</x:f>
        <x:v>209073</x:v>
      </x:c>
      <x:c r="O110" s="2"/>
      <x:c r="P110" s="2"/>
      <x:c r="Q110" s="2"/>
      <x:c r="R110" s="2"/>
      <x:c r="S110" s="2"/>
    </x:row>
    <x:row r="111" ht="21" customHeight="1">
      <x:c r="A111" s="7" t="n">
        <x:v>45778</x:v>
      </x:c>
      <x:c r="B111" s="2" t="str">
        <x:f>TEXT(A111,"yyyy-mm")</x:f>
        <x:v>2025-05</x:v>
      </x:c>
      <x:c r="C111" s="8" t="n">
        <x:f>IF(COUNTIFS('港湾月次'!$A$2:$A$477,A111,'港湾月次'!$B$2:$B$477,$B$5,'港湾月次'!$E$2:$E$477,"&gt;=0")=1,SUMIFS('港湾月次'!$E$2:$E$477,'港湾月次'!$A$2:$A$477,A111,'港湾月次'!$B$2:$B$477,$B$5),"")</x:f>
        <x:v>83830</x:v>
      </x:c>
      <x:c r="D111" s="8" t="n">
        <x:f>IF(COUNTIFS('港湾月次'!$A$2:$A$477,A111,'港湾月次'!$B$2:$B$477,$B$5,'港湾月次'!$J$2:$J$477,"&gt;=0")=1,SUMIFS('港湾月次'!$J$2:$J$477,'港湾月次'!$A$2:$A$477,A111,'港湾月次'!$B$2:$B$477,$B$5),"")</x:f>
        <x:v>5510</x:v>
      </x:c>
      <x:c r="E111" s="8" t="n">
        <x:f>IF(COUNTIFS('港湾月次'!$A$2:$A$477,A111,'港湾月次'!$B$2:$B$477,$B$5,'港湾月次'!$P$2:$P$477,"&gt;=0")=1,SUMIFS('港湾月次'!$P$2:$P$477,'港湾月次'!$A$2:$A$477,A111,'港湾月次'!$B$2:$B$477,$B$5),"")</x:f>
        <x:v>590</x:v>
      </x:c>
      <x:c r="F111" s="8" t="n">
        <x:f>IF(COUNTIFS('道路月次_熊本'!$A$2:$A$313,A111,'道路月次_熊本'!$C$2:$C$313,$B$6,'道路月次_熊本'!$F$2:$F$313,$B$7,'道路月次_熊本'!$I$2:$I$313,"&gt;=0")=1,SUMIFS('道路月次_熊本'!$I$2:$I$313,'道路月次_熊本'!$A$2:$A$313,A111,'道路月次_熊本'!$C$2:$C$313,$B$6,'道路月次_熊本'!$F$2:$F$313,$B$7),"")</x:f>
        <x:v>1800</x:v>
      </x:c>
      <x:c r="G111" s="8" t="n">
        <x:f>IF(COUNTIFS('全国貨物月次'!$A$2:$A$64,A111,'全国貨物月次'!$C$2:$C$64,"&gt;=0")=1,SUMIFS('全国貨物月次'!$C$2:$C$64,'全国貨物月次'!$A$2:$A$64,A111),"")</x:f>
        <x:v>195809</x:v>
      </x:c>
      <x:c r="H111" s="2"/>
      <x:c r="I111" s="2"/>
      <x:c r="J111" s="2"/>
      <x:c r="K111" s="2"/>
      <x:c r="L111" s="2"/>
      <x:c r="M111" s="2" t="str">
        <x:f>B111</x:f>
        <x:v>2025-05</x:v>
      </x:c>
      <x:c r="N111" s="2" t="n">
        <x:f>G111</x:f>
        <x:v>195809</x:v>
      </x:c>
      <x:c r="O111" s="2"/>
      <x:c r="P111" s="2"/>
      <x:c r="Q111" s="2"/>
      <x:c r="R111" s="2"/>
      <x:c r="S111" s="2"/>
    </x:row>
    <x:row r="112" ht="21" customHeight="1">
      <x:c r="A112" s="7" t="n">
        <x:v>45809</x:v>
      </x:c>
      <x:c r="B112" s="2" t="str">
        <x:f>TEXT(A112,"yyyy-mm")</x:f>
        <x:v>2025-06</x:v>
      </x:c>
      <x:c r="C112" s="8" t="n">
        <x:f>IF(COUNTIFS('港湾月次'!$A$2:$A$477,A112,'港湾月次'!$B$2:$B$477,$B$5,'港湾月次'!$E$2:$E$477,"&gt;=0")=1,SUMIFS('港湾月次'!$E$2:$E$477,'港湾月次'!$A$2:$A$477,A112,'港湾月次'!$B$2:$B$477,$B$5),"")</x:f>
        <x:v>128840</x:v>
      </x:c>
      <x:c r="D112" s="8" t="n">
        <x:f>IF(COUNTIFS('港湾月次'!$A$2:$A$477,A112,'港湾月次'!$B$2:$B$477,$B$5,'港湾月次'!$J$2:$J$477,"&gt;=0")=1,SUMIFS('港湾月次'!$J$2:$J$477,'港湾月次'!$A$2:$A$477,A112,'港湾月次'!$B$2:$B$477,$B$5),"")</x:f>
        <x:v>6136</x:v>
      </x:c>
      <x:c r="E112" s="8" t="n">
        <x:f>IF(COUNTIFS('港湾月次'!$A$2:$A$477,A112,'港湾月次'!$B$2:$B$477,$B$5,'港湾月次'!$P$2:$P$477,"&gt;=0")=1,SUMIFS('港湾月次'!$P$2:$P$477,'港湾月次'!$A$2:$A$477,A112,'港湾月次'!$B$2:$B$477,$B$5),"")</x:f>
        <x:v>468</x:v>
      </x:c>
      <x:c r="F112" s="8" t="n">
        <x:f>IF(COUNTIFS('道路月次_熊本'!$A$2:$A$313,A112,'道路月次_熊本'!$C$2:$C$313,$B$6,'道路月次_熊本'!$F$2:$F$313,$B$7,'道路月次_熊本'!$I$2:$I$313,"&gt;=0")=1,SUMIFS('道路月次_熊本'!$I$2:$I$313,'道路月次_熊本'!$A$2:$A$313,A112,'道路月次_熊本'!$C$2:$C$313,$B$6,'道路月次_熊本'!$F$2:$F$313,$B$7),"")</x:f>
        <x:v>1800</x:v>
      </x:c>
      <x:c r="G112" s="8" t="n">
        <x:f>IF(COUNTIFS('全国貨物月次'!$A$2:$A$64,A112,'全国貨物月次'!$C$2:$C$64,"&gt;=0")=1,SUMIFS('全国貨物月次'!$C$2:$C$64,'全国貨物月次'!$A$2:$A$64,A112),"")</x:f>
        <x:v>203901</x:v>
      </x:c>
      <x:c r="H112" s="2"/>
      <x:c r="I112" s="2"/>
      <x:c r="J112" s="2"/>
      <x:c r="K112" s="2"/>
      <x:c r="L112" s="2"/>
      <x:c r="M112" s="2" t="str">
        <x:f>B112</x:f>
        <x:v>2025-06</x:v>
      </x:c>
      <x:c r="N112" s="2" t="n">
        <x:f>G112</x:f>
        <x:v>203901</x:v>
      </x:c>
      <x:c r="O112" s="2"/>
      <x:c r="P112" s="2"/>
      <x:c r="Q112" s="2"/>
      <x:c r="R112" s="2"/>
      <x:c r="S112" s="2"/>
    </x:row>
    <x:row r="113" ht="21" customHeight="1">
      <x:c r="A113" s="7" t="n">
        <x:v>45839</x:v>
      </x:c>
      <x:c r="B113" s="2" t="str">
        <x:f>TEXT(A113,"yyyy-mm")</x:f>
        <x:v>2025-07</x:v>
      </x:c>
      <x:c r="C113" s="8" t="n">
        <x:f>IF(COUNTIFS('港湾月次'!$A$2:$A$477,A113,'港湾月次'!$B$2:$B$477,$B$5,'港湾月次'!$E$2:$E$477,"&gt;=0")=1,SUMIFS('港湾月次'!$E$2:$E$477,'港湾月次'!$A$2:$A$477,A113,'港湾月次'!$B$2:$B$477,$B$5),"")</x:f>
        <x:v>118379</x:v>
      </x:c>
      <x:c r="D113" s="8" t="n">
        <x:f>IF(COUNTIFS('港湾月次'!$A$2:$A$477,A113,'港湾月次'!$B$2:$B$477,$B$5,'港湾月次'!$J$2:$J$477,"&gt;=0")=1,SUMIFS('港湾月次'!$J$2:$J$477,'港湾月次'!$A$2:$A$477,A113,'港湾月次'!$B$2:$B$477,$B$5),"")</x:f>
        <x:v>6010</x:v>
      </x:c>
      <x:c r="E113" s="8" t="n">
        <x:f>IF(COUNTIFS('港湾月次'!$A$2:$A$477,A113,'港湾月次'!$B$2:$B$477,$B$5,'港湾月次'!$P$2:$P$477,"&gt;=0")=1,SUMIFS('港湾月次'!$P$2:$P$477,'港湾月次'!$A$2:$A$477,A113,'港湾月次'!$B$2:$B$477,$B$5),"")</x:f>
        <x:v>532</x:v>
      </x:c>
      <x:c r="F113" s="8" t="n">
        <x:f>IF(COUNTIFS('道路月次_熊本'!$A$2:$A$313,A113,'道路月次_熊本'!$C$2:$C$313,$B$6,'道路月次_熊本'!$F$2:$F$313,$B$7,'道路月次_熊本'!$I$2:$I$313,"&gt;=0")=1,SUMIFS('道路月次_熊本'!$I$2:$I$313,'道路月次_熊本'!$A$2:$A$313,A113,'道路月次_熊本'!$C$2:$C$313,$B$6,'道路月次_熊本'!$F$2:$F$313,$B$7),"")</x:f>
        <x:v>2000</x:v>
      </x:c>
      <x:c r="G113" s="8" t="n">
        <x:f>IF(COUNTIFS('全国貨物月次'!$A$2:$A$64,A113,'全国貨物月次'!$C$2:$C$64,"&gt;=0")=1,SUMIFS('全国貨物月次'!$C$2:$C$64,'全国貨物月次'!$A$2:$A$64,A113),"")</x:f>
        <x:v>212599</x:v>
      </x:c>
      <x:c r="H113" s="2"/>
      <x:c r="I113" s="2"/>
      <x:c r="J113" s="2"/>
      <x:c r="K113" s="2"/>
      <x:c r="L113" s="2"/>
      <x:c r="M113" s="2" t="str">
        <x:f>B113</x:f>
        <x:v>2025-07</x:v>
      </x:c>
      <x:c r="N113" s="2" t="n">
        <x:f>G113</x:f>
        <x:v>212599</x:v>
      </x:c>
      <x:c r="O113" s="2"/>
      <x:c r="P113" s="2"/>
      <x:c r="Q113" s="2"/>
      <x:c r="R113" s="2"/>
      <x:c r="S113" s="2"/>
    </x:row>
    <x:row r="114" ht="21" customHeight="1">
      <x:c r="A114" s="7" t="n">
        <x:v>45870</x:v>
      </x:c>
      <x:c r="B114" s="2" t="str">
        <x:f>TEXT(A114,"yyyy-mm")</x:f>
        <x:v>2025-08</x:v>
      </x:c>
      <x:c r="C114" s="8" t="n">
        <x:f>IF(COUNTIFS('港湾月次'!$A$2:$A$477,A114,'港湾月次'!$B$2:$B$477,$B$5,'港湾月次'!$E$2:$E$477,"&gt;=0")=1,SUMIFS('港湾月次'!$E$2:$E$477,'港湾月次'!$A$2:$A$477,A114,'港湾月次'!$B$2:$B$477,$B$5),"")</x:f>
        <x:v>114943</x:v>
      </x:c>
      <x:c r="D114" s="8" t="n">
        <x:f>IF(COUNTIFS('港湾月次'!$A$2:$A$477,A114,'港湾月次'!$B$2:$B$477,$B$5,'港湾月次'!$J$2:$J$477,"&gt;=0")=1,SUMIFS('港湾月次'!$J$2:$J$477,'港湾月次'!$A$2:$A$477,A114,'港湾月次'!$B$2:$B$477,$B$5),"")</x:f>
        <x:v>5379</x:v>
      </x:c>
      <x:c r="E114" s="8" t="n">
        <x:f>IF(COUNTIFS('港湾月次'!$A$2:$A$477,A114,'港湾月次'!$B$2:$B$477,$B$5,'港湾月次'!$P$2:$P$477,"&gt;=0")=1,SUMIFS('港湾月次'!$P$2:$P$477,'港湾月次'!$A$2:$A$477,A114,'港湾月次'!$B$2:$B$477,$B$5),"")</x:f>
        <x:v>582</x:v>
      </x:c>
      <x:c r="F114" s="8" t="n">
        <x:f>IF(COUNTIFS('道路月次_熊本'!$A$2:$A$313,A114,'道路月次_熊本'!$C$2:$C$313,$B$6,'道路月次_熊本'!$F$2:$F$313,$B$7,'道路月次_熊本'!$I$2:$I$313,"&gt;=0")=1,SUMIFS('道路月次_熊本'!$I$2:$I$313,'道路月次_熊本'!$A$2:$A$313,A114,'道路月次_熊本'!$C$2:$C$313,$B$6,'道路月次_熊本'!$F$2:$F$313,$B$7),"")</x:f>
        <x:v>1700</x:v>
      </x:c>
      <x:c r="G114" s="8" t="n">
        <x:f>IF(COUNTIFS('全国貨物月次'!$A$2:$A$64,A114,'全国貨物月次'!$C$2:$C$64,"&gt;=0")=1,SUMIFS('全国貨物月次'!$C$2:$C$64,'全国貨物月次'!$A$2:$A$64,A114),"")</x:f>
        <x:v>191747</x:v>
      </x:c>
      <x:c r="H114" s="2"/>
      <x:c r="I114" s="2"/>
      <x:c r="J114" s="2"/>
      <x:c r="K114" s="2"/>
      <x:c r="L114" s="2"/>
      <x:c r="M114" s="2" t="str">
        <x:f>B114</x:f>
        <x:v>2025-08</x:v>
      </x:c>
      <x:c r="N114" s="2" t="n">
        <x:f>G114</x:f>
        <x:v>191747</x:v>
      </x:c>
      <x:c r="O114" s="2"/>
      <x:c r="P114" s="2"/>
      <x:c r="Q114" s="2"/>
      <x:c r="R114" s="2"/>
      <x:c r="S114" s="2"/>
    </x:row>
    <x:row r="115" ht="21" customHeight="1">
      <x:c r="A115" s="7" t="n">
        <x:v>45901</x:v>
      </x:c>
      <x:c r="B115" s="2" t="str">
        <x:f>TEXT(A115,"yyyy-mm")</x:f>
        <x:v>2025-09</x:v>
      </x:c>
      <x:c r="C115" s="8" t="n">
        <x:f>IF(COUNTIFS('港湾月次'!$A$2:$A$477,A115,'港湾月次'!$B$2:$B$477,$B$5,'港湾月次'!$E$2:$E$477,"&gt;=0")=1,SUMIFS('港湾月次'!$E$2:$E$477,'港湾月次'!$A$2:$A$477,A115,'港湾月次'!$B$2:$B$477,$B$5),"")</x:f>
        <x:v>180626</x:v>
      </x:c>
      <x:c r="D115" s="8" t="n">
        <x:f>IF(COUNTIFS('港湾月次'!$A$2:$A$477,A115,'港湾月次'!$B$2:$B$477,$B$5,'港湾月次'!$J$2:$J$477,"&gt;=0")=1,SUMIFS('港湾月次'!$J$2:$J$477,'港湾月次'!$A$2:$A$477,A115,'港湾月次'!$B$2:$B$477,$B$5),"")</x:f>
        <x:v>6361</x:v>
      </x:c>
      <x:c r="E115" s="8" t="n">
        <x:f>IF(COUNTIFS('港湾月次'!$A$2:$A$477,A115,'港湾月次'!$B$2:$B$477,$B$5,'港湾月次'!$P$2:$P$477,"&gt;=0")=1,SUMIFS('港湾月次'!$P$2:$P$477,'港湾月次'!$A$2:$A$477,A115,'港湾月次'!$B$2:$B$477,$B$5),"")</x:f>
        <x:v>629</x:v>
      </x:c>
      <x:c r="F115" s="8" t="n">
        <x:f>IF(COUNTIFS('道路月次_熊本'!$A$2:$A$313,A115,'道路月次_熊本'!$C$2:$C$313,$B$6,'道路月次_熊本'!$F$2:$F$313,$B$7,'道路月次_熊本'!$I$2:$I$313,"&gt;=0")=1,SUMIFS('道路月次_熊本'!$I$2:$I$313,'道路月次_熊本'!$A$2:$A$313,A115,'道路月次_熊本'!$C$2:$C$313,$B$6,'道路月次_熊本'!$F$2:$F$313,$B$7),"")</x:f>
        <x:v>2000</x:v>
      </x:c>
      <x:c r="G115" s="8" t="n">
        <x:f>IF(COUNTIFS('全国貨物月次'!$A$2:$A$64,A115,'全国貨物月次'!$C$2:$C$64,"&gt;=0")=1,SUMIFS('全国貨物月次'!$C$2:$C$64,'全国貨物月次'!$A$2:$A$64,A115),"")</x:f>
        <x:v>204439</x:v>
      </x:c>
      <x:c r="H115" s="2"/>
      <x:c r="I115" s="2"/>
      <x:c r="J115" s="2"/>
      <x:c r="K115" s="2"/>
      <x:c r="L115" s="2"/>
      <x:c r="M115" s="2" t="str">
        <x:f>B115</x:f>
        <x:v>2025-09</x:v>
      </x:c>
      <x:c r="N115" s="2" t="n">
        <x:f>G115</x:f>
        <x:v>204439</x:v>
      </x:c>
      <x:c r="O115" s="2"/>
      <x:c r="P115" s="2"/>
      <x:c r="Q115" s="2"/>
      <x:c r="R115" s="2"/>
      <x:c r="S115" s="2"/>
    </x:row>
    <x:row r="116" ht="21" customHeight="1">
      <x:c r="A116" s="7" t="n">
        <x:v>45931</x:v>
      </x:c>
      <x:c r="B116" s="2" t="str">
        <x:f>TEXT(A116,"yyyy-mm")</x:f>
        <x:v>2025-10</x:v>
      </x:c>
      <x:c r="C116" s="8" t="n">
        <x:f>IF(COUNTIFS('港湾月次'!$A$2:$A$477,A116,'港湾月次'!$B$2:$B$477,$B$5,'港湾月次'!$E$2:$E$477,"&gt;=0")=1,SUMIFS('港湾月次'!$E$2:$E$477,'港湾月次'!$A$2:$A$477,A116,'港湾月次'!$B$2:$B$477,$B$5),"")</x:f>
        <x:v>90803</x:v>
      </x:c>
      <x:c r="D116" s="8" t="n">
        <x:f>IF(COUNTIFS('港湾月次'!$A$2:$A$477,A116,'港湾月次'!$B$2:$B$477,$B$5,'港湾月次'!$J$2:$J$477,"&gt;=0")=1,SUMIFS('港湾月次'!$J$2:$J$477,'港湾月次'!$A$2:$A$477,A116,'港湾月次'!$B$2:$B$477,$B$5),"")</x:f>
        <x:v>6913</x:v>
      </x:c>
      <x:c r="E116" s="8" t="n">
        <x:f>IF(COUNTIFS('港湾月次'!$A$2:$A$477,A116,'港湾月次'!$B$2:$B$477,$B$5,'港湾月次'!$P$2:$P$477,"&gt;=0")=1,SUMIFS('港湾月次'!$P$2:$P$477,'港湾月次'!$A$2:$A$477,A116,'港湾月次'!$B$2:$B$477,$B$5),"")</x:f>
        <x:v>631</x:v>
      </x:c>
      <x:c r="F116" s="8" t="n">
        <x:f>IF(COUNTIFS('道路月次_熊本'!$A$2:$A$313,A116,'道路月次_熊本'!$C$2:$C$313,$B$6,'道路月次_熊本'!$F$2:$F$313,$B$7,'道路月次_熊本'!$I$2:$I$313,"&gt;=0")=1,SUMIFS('道路月次_熊本'!$I$2:$I$313,'道路月次_熊本'!$A$2:$A$313,A116,'道路月次_熊本'!$C$2:$C$313,$B$6,'道路月次_熊本'!$F$2:$F$313,$B$7),"")</x:f>
        <x:v>2100</x:v>
      </x:c>
      <x:c r="G116" s="8" t="n">
        <x:f>IF(COUNTIFS('全国貨物月次'!$A$2:$A$64,A116,'全国貨物月次'!$C$2:$C$64,"&gt;=0")=1,SUMIFS('全国貨物月次'!$C$2:$C$64,'全国貨物月次'!$A$2:$A$64,A116),"")</x:f>
        <x:v>204844</x:v>
      </x:c>
      <x:c r="H116" s="2"/>
      <x:c r="I116" s="2"/>
      <x:c r="J116" s="2"/>
      <x:c r="K116" s="2"/>
      <x:c r="L116" s="2"/>
      <x:c r="M116" s="2" t="str">
        <x:f>B116</x:f>
        <x:v>2025-10</x:v>
      </x:c>
      <x:c r="N116" s="2" t="n">
        <x:f>G116</x:f>
        <x:v>204844</x:v>
      </x:c>
      <x:c r="O116" s="2"/>
      <x:c r="P116" s="2"/>
      <x:c r="Q116" s="2"/>
      <x:c r="R116" s="2"/>
      <x:c r="S116" s="2"/>
    </x:row>
    <x:row r="117" ht="21" customHeight="1">
      <x:c r="A117" s="7" t="n">
        <x:v>45962</x:v>
      </x:c>
      <x:c r="B117" s="2" t="str">
        <x:f>TEXT(A117,"yyyy-mm")</x:f>
        <x:v>2025-11</x:v>
      </x:c>
      <x:c r="C117" s="8" t="n">
        <x:f>IF(COUNTIFS('港湾月次'!$A$2:$A$477,A117,'港湾月次'!$B$2:$B$477,$B$5,'港湾月次'!$E$2:$E$477,"&gt;=0")=1,SUMIFS('港湾月次'!$E$2:$E$477,'港湾月次'!$A$2:$A$477,A117,'港湾月次'!$B$2:$B$477,$B$5),"")</x:f>
        <x:v>145125</x:v>
      </x:c>
      <x:c r="D117" s="8" t="n">
        <x:f>IF(COUNTIFS('港湾月次'!$A$2:$A$477,A117,'港湾月次'!$B$2:$B$477,$B$5,'港湾月次'!$J$2:$J$477,"&gt;=0")=1,SUMIFS('港湾月次'!$J$2:$J$477,'港湾月次'!$A$2:$A$477,A117,'港湾月次'!$B$2:$B$477,$B$5),"")</x:f>
        <x:v>5735</x:v>
      </x:c>
      <x:c r="E117" s="8" t="n">
        <x:f>IF(COUNTIFS('港湾月次'!$A$2:$A$477,A117,'港湾月次'!$B$2:$B$477,$B$5,'港湾月次'!$P$2:$P$477,"&gt;=0")=1,SUMIFS('港湾月次'!$P$2:$P$477,'港湾月次'!$A$2:$A$477,A117,'港湾月次'!$B$2:$B$477,$B$5),"")</x:f>
        <x:v>607</x:v>
      </x:c>
      <x:c r="F117" s="8" t="n">
        <x:f>IF(COUNTIFS('道路月次_熊本'!$A$2:$A$313,A117,'道路月次_熊本'!$C$2:$C$313,$B$6,'道路月次_熊本'!$F$2:$F$313,$B$7,'道路月次_熊本'!$I$2:$I$313,"&gt;=0")=1,SUMIFS('道路月次_熊本'!$I$2:$I$313,'道路月次_熊本'!$A$2:$A$313,A117,'道路月次_熊本'!$C$2:$C$313,$B$6,'道路月次_熊本'!$F$2:$F$313,$B$7),"")</x:f>
        <x:v>2100</x:v>
      </x:c>
      <x:c r="G117" s="8" t="n">
        <x:f>IF(COUNTIFS('全国貨物月次'!$A$2:$A$64,A117,'全国貨物月次'!$C$2:$C$64,"&gt;=0")=1,SUMIFS('全国貨物月次'!$C$2:$C$64,'全国貨物月次'!$A$2:$A$64,A117),"")</x:f>
        <x:v>208550</x:v>
      </x:c>
      <x:c r="H117" s="2"/>
      <x:c r="I117" s="2"/>
      <x:c r="J117" s="2"/>
      <x:c r="K117" s="2"/>
      <x:c r="L117" s="2"/>
      <x:c r="M117" s="2" t="str">
        <x:f>B117</x:f>
        <x:v>2025-11</x:v>
      </x:c>
      <x:c r="N117" s="2" t="n">
        <x:f>G117</x:f>
        <x:v>208550</x:v>
      </x:c>
      <x:c r="O117" s="2"/>
      <x:c r="P117" s="2"/>
      <x:c r="Q117" s="2"/>
      <x:c r="R117" s="2"/>
      <x:c r="S117" s="2"/>
    </x:row>
    <x:row r="118" ht="21" customHeight="1">
      <x:c r="A118" s="7" t="n">
        <x:v>45992</x:v>
      </x:c>
      <x:c r="B118" s="2" t="str">
        <x:f>TEXT(A118,"yyyy-mm")</x:f>
        <x:v>2025-12</x:v>
      </x:c>
      <x:c r="C118" s="8" t="n">
        <x:f>IF(COUNTIFS('港湾月次'!$A$2:$A$477,A118,'港湾月次'!$B$2:$B$477,$B$5,'港湾月次'!$E$2:$E$477,"&gt;=0")=1,SUMIFS('港湾月次'!$E$2:$E$477,'港湾月次'!$A$2:$A$477,A118,'港湾月次'!$B$2:$B$477,$B$5),"")</x:f>
        <x:v>170846</x:v>
      </x:c>
      <x:c r="D118" s="8" t="n">
        <x:f>IF(COUNTIFS('港湾月次'!$A$2:$A$477,A118,'港湾月次'!$B$2:$B$477,$B$5,'港湾月次'!$J$2:$J$477,"&gt;=0")=1,SUMIFS('港湾月次'!$J$2:$J$477,'港湾月次'!$A$2:$A$477,A118,'港湾月次'!$B$2:$B$477,$B$5),"")</x:f>
        <x:v>6517</x:v>
      </x:c>
      <x:c r="E118" s="8" t="n">
        <x:f>IF(COUNTIFS('港湾月次'!$A$2:$A$477,A118,'港湾月次'!$B$2:$B$477,$B$5,'港湾月次'!$P$2:$P$477,"&gt;=0")=1,SUMIFS('港湾月次'!$P$2:$P$477,'港湾月次'!$A$2:$A$477,A118,'港湾月次'!$B$2:$B$477,$B$5),"")</x:f>
        <x:v>590</x:v>
      </x:c>
      <x:c r="F118" s="8" t="n">
        <x:f>IF(COUNTIFS('道路月次_熊本'!$A$2:$A$313,A118,'道路月次_熊本'!$C$2:$C$313,$B$6,'道路月次_熊本'!$F$2:$F$313,$B$7,'道路月次_熊本'!$I$2:$I$313,"&gt;=0")=1,SUMIFS('道路月次_熊本'!$I$2:$I$313,'道路月次_熊本'!$A$2:$A$313,A118,'道路月次_熊本'!$C$2:$C$313,$B$6,'道路月次_熊本'!$F$2:$F$313,$B$7),"")</x:f>
        <x:v>1800</x:v>
      </x:c>
      <x:c r="G118" s="8" t="n">
        <x:f>IF(COUNTIFS('全国貨物月次'!$A$2:$A$64,A118,'全国貨物月次'!$C$2:$C$64,"&gt;=0")=1,SUMIFS('全国貨物月次'!$C$2:$C$64,'全国貨物月次'!$A$2:$A$64,A118),"")</x:f>
        <x:v>204468</x:v>
      </x:c>
      <x:c r="H118" s="2"/>
      <x:c r="I118" s="2"/>
      <x:c r="J118" s="2"/>
      <x:c r="K118" s="2"/>
      <x:c r="L118" s="2"/>
      <x:c r="M118" s="2" t="str">
        <x:f>B118</x:f>
        <x:v>2025-12</x:v>
      </x:c>
      <x:c r="N118" s="2" t="n">
        <x:f>G118</x:f>
        <x:v>204468</x:v>
      </x:c>
      <x:c r="O118" s="2"/>
      <x:c r="P118" s="2"/>
      <x:c r="Q118" s="2"/>
      <x:c r="R118" s="2"/>
      <x:c r="S118" s="2"/>
    </x:row>
    <x:row r="119" ht="21" customHeight="1">
      <x:c r="A119" s="7" t="n">
        <x:v>46023</x:v>
      </x:c>
      <x:c r="B119" s="2" t="str">
        <x:f>TEXT(A119,"yyyy-mm")</x:f>
        <x:v>2026-01</x:v>
      </x:c>
      <x:c r="C119" s="8" t="n">
        <x:f>IF(COUNTIFS('港湾月次'!$A$2:$A$477,A119,'港湾月次'!$B$2:$B$477,$B$5,'港湾月次'!$E$2:$E$477,"&gt;=0")=1,SUMIFS('港湾月次'!$E$2:$E$477,'港湾月次'!$A$2:$A$477,A119,'港湾月次'!$B$2:$B$477,$B$5),"")</x:f>
        <x:v>133064</x:v>
      </x:c>
      <x:c r="D119" s="8" t="n">
        <x:f>IF(COUNTIFS('港湾月次'!$A$2:$A$477,A119,'港湾月次'!$B$2:$B$477,$B$5,'港湾月次'!$J$2:$J$477,"&gt;=0")=1,SUMIFS('港湾月次'!$J$2:$J$477,'港湾月次'!$A$2:$A$477,A119,'港湾月次'!$B$2:$B$477,$B$5),"")</x:f>
        <x:v>4238</x:v>
      </x:c>
      <x:c r="E119" s="8" t="n">
        <x:f>IF(COUNTIFS('港湾月次'!$A$2:$A$477,A119,'港湾月次'!$B$2:$B$477,$B$5,'港湾月次'!$P$2:$P$477,"&gt;=0")=1,SUMIFS('港湾月次'!$P$2:$P$477,'港湾月次'!$A$2:$A$477,A119,'港湾月次'!$B$2:$B$477,$B$5),"")</x:f>
        <x:v>481</x:v>
      </x:c>
      <x:c r="F119" s="8" t="n">
        <x:f>IF(COUNTIFS('道路月次_熊本'!$A$2:$A$313,A119,'道路月次_熊本'!$C$2:$C$313,$B$6,'道路月次_熊本'!$F$2:$F$313,$B$7,'道路月次_熊本'!$I$2:$I$313,"&gt;=0")=1,SUMIFS('道路月次_熊本'!$I$2:$I$313,'道路月次_熊本'!$A$2:$A$313,A119,'道路月次_熊本'!$C$2:$C$313,$B$6,'道路月次_熊本'!$F$2:$F$313,$B$7),"")</x:f>
        <x:v>1700</x:v>
      </x:c>
      <x:c r="G119" s="8" t="n">
        <x:f>IF(COUNTIFS('全国貨物月次'!$A$2:$A$64,A119,'全国貨物月次'!$C$2:$C$64,"&gt;=0")=1,SUMIFS('全国貨物月次'!$C$2:$C$64,'全国貨物月次'!$A$2:$A$64,A119),"")</x:f>
        <x:v>198288</x:v>
      </x:c>
      <x:c r="H119" s="2"/>
      <x:c r="I119" s="2"/>
      <x:c r="J119" s="2"/>
      <x:c r="K119" s="2"/>
      <x:c r="L119" s="2"/>
      <x:c r="M119" s="2" t="str">
        <x:f>B119</x:f>
        <x:v>2026-01</x:v>
      </x:c>
      <x:c r="N119" s="2" t="n">
        <x:f>G119</x:f>
        <x:v>198288</x:v>
      </x:c>
      <x:c r="O119" s="2"/>
      <x:c r="P119" s="2"/>
      <x:c r="Q119" s="2"/>
      <x:c r="R119" s="2"/>
      <x:c r="S119" s="2"/>
    </x:row>
    <x:row r="120" ht="21" customHeight="1">
      <x:c r="A120" s="7" t="n">
        <x:v>46054</x:v>
      </x:c>
      <x:c r="B120" s="2" t="str">
        <x:f>TEXT(A120,"yyyy-mm")</x:f>
        <x:v>2026-02</x:v>
      </x:c>
      <x:c r="C120" s="8" t="n">
        <x:f>IF(COUNTIFS('港湾月次'!$A$2:$A$477,A120,'港湾月次'!$B$2:$B$477,$B$5,'港湾月次'!$E$2:$E$477,"&gt;=0")=1,SUMIFS('港湾月次'!$E$2:$E$477,'港湾月次'!$A$2:$A$477,A120,'港湾月次'!$B$2:$B$477,$B$5),"")</x:f>
        <x:v>133862</x:v>
      </x:c>
      <x:c r="D120" s="8" t="n">
        <x:f>IF(COUNTIFS('港湾月次'!$A$2:$A$477,A120,'港湾月次'!$B$2:$B$477,$B$5,'港湾月次'!$J$2:$J$477,"&gt;=0")=1,SUMIFS('港湾月次'!$J$2:$J$477,'港湾月次'!$A$2:$A$477,A120,'港湾月次'!$B$2:$B$477,$B$5),"")</x:f>
        <x:v>5600</x:v>
      </x:c>
      <x:c r="E120" s="8" t="n">
        <x:f>IF(COUNTIFS('港湾月次'!$A$2:$A$477,A120,'港湾月次'!$B$2:$B$477,$B$5,'港湾月次'!$P$2:$P$477,"&gt;=0")=1,SUMIFS('港湾月次'!$P$2:$P$477,'港湾月次'!$A$2:$A$477,A120,'港湾月次'!$B$2:$B$477,$B$5),"")</x:f>
        <x:v>449</x:v>
      </x:c>
      <x:c r="F120" s="8" t="n">
        <x:f>IF(COUNTIFS('道路月次_熊本'!$A$2:$A$313,A120,'道路月次_熊本'!$C$2:$C$313,$B$6,'道路月次_熊本'!$F$2:$F$313,$B$7,'道路月次_熊本'!$I$2:$I$313,"&gt;=0")=1,SUMIFS('道路月次_熊本'!$I$2:$I$313,'道路月次_熊本'!$A$2:$A$313,A120,'道路月次_熊本'!$C$2:$C$313,$B$6,'道路月次_熊本'!$F$2:$F$313,$B$7),"")</x:f>
        <x:v>1900</x:v>
      </x:c>
      <x:c r="G120" s="8" t="n">
        <x:f>IF(COUNTIFS('全国貨物月次'!$A$2:$A$64,A120,'全国貨物月次'!$C$2:$C$64,"&gt;=0")=1,SUMIFS('全国貨物月次'!$C$2:$C$64,'全国貨物月次'!$A$2:$A$64,A120),"")</x:f>
        <x:v>190492</x:v>
      </x:c>
      <x:c r="H120" s="2"/>
      <x:c r="I120" s="2"/>
      <x:c r="J120" s="2"/>
      <x:c r="K120" s="2"/>
      <x:c r="L120" s="2"/>
      <x:c r="M120" s="2" t="str">
        <x:f>B120</x:f>
        <x:v>2026-02</x:v>
      </x:c>
      <x:c r="N120" s="2" t="n">
        <x:f>G120</x:f>
        <x:v>190492</x:v>
      </x:c>
      <x:c r="O120" s="2"/>
      <x:c r="P120" s="2"/>
      <x:c r="Q120" s="2"/>
      <x:c r="R120" s="2"/>
      <x:c r="S120" s="2"/>
    </x:row>
    <x:row r="121" ht="21" customHeight="1">
      <x:c r="A121" s="7" t="n">
        <x:v>46082</x:v>
      </x:c>
      <x:c r="B121" s="2" t="str">
        <x:f>TEXT(A121,"yyyy-mm")</x:f>
        <x:v>2026-03</x:v>
      </x:c>
      <x:c r="C121" s="8" t="n">
        <x:f>IF(COUNTIFS('港湾月次'!$A$2:$A$477,A121,'港湾月次'!$B$2:$B$477,$B$5,'港湾月次'!$E$2:$E$477,"&gt;=0")=1,SUMIFS('港湾月次'!$E$2:$E$477,'港湾月次'!$A$2:$A$477,A121,'港湾月次'!$B$2:$B$477,$B$5),"")</x:f>
        <x:v>132585</x:v>
      </x:c>
      <x:c r="D121" s="8" t="n">
        <x:f>IF(COUNTIFS('港湾月次'!$A$2:$A$477,A121,'港湾月次'!$B$2:$B$477,$B$5,'港湾月次'!$J$2:$J$477,"&gt;=0")=1,SUMIFS('港湾月次'!$J$2:$J$477,'港湾月次'!$A$2:$A$477,A121,'港湾月次'!$B$2:$B$477,$B$5),"")</x:f>
        <x:v>5568</x:v>
      </x:c>
      <x:c r="E121" s="8" t="n">
        <x:f>IF(COUNTIFS('港湾月次'!$A$2:$A$477,A121,'港湾月次'!$B$2:$B$477,$B$5,'港湾月次'!$P$2:$P$477,"&gt;=0")=1,SUMIFS('港湾月次'!$P$2:$P$477,'港湾月次'!$A$2:$A$477,A121,'港湾月次'!$B$2:$B$477,$B$5),"")</x:f>
        <x:v>448</x:v>
      </x:c>
      <x:c r="F121" s="8" t="n">
        <x:f>IF(COUNTIFS('道路月次_熊本'!$A$2:$A$313,A121,'道路月次_熊本'!$C$2:$C$313,$B$6,'道路月次_熊本'!$F$2:$F$313,$B$7,'道路月次_熊本'!$I$2:$I$313,"&gt;=0")=1,SUMIFS('道路月次_熊本'!$I$2:$I$313,'道路月次_熊本'!$A$2:$A$313,A121,'道路月次_熊本'!$C$2:$C$313,$B$6,'道路月次_熊本'!$F$2:$F$313,$B$7),"")</x:f>
        <x:v>2000</x:v>
      </x:c>
      <x:c r="G121" s="8" t="n">
        <x:f>IF(COUNTIFS('全国貨物月次'!$A$2:$A$64,A121,'全国貨物月次'!$C$2:$C$64,"&gt;=0")=1,SUMIFS('全国貨物月次'!$C$2:$C$64,'全国貨物月次'!$A$2:$A$64,A121),"")</x:f>
        <x:v>201368</x:v>
      </x:c>
      <x:c r="H121" s="2"/>
      <x:c r="I121" s="2"/>
      <x:c r="J121" s="2"/>
      <x:c r="K121" s="2"/>
      <x:c r="L121" s="2"/>
      <x:c r="M121" s="2" t="str">
        <x:f>B121</x:f>
        <x:v>2026-03</x:v>
      </x:c>
      <x:c r="N121" s="2" t="n">
        <x:f>G121</x:f>
        <x:v>201368</x:v>
      </x:c>
      <x:c r="O121" s="2"/>
      <x:c r="P121" s="2"/>
      <x:c r="Q121" s="2"/>
      <x:c r="R121" s="2"/>
      <x:c r="S121" s="2"/>
    </x:row>
    <x:row r="122" ht="21" customHeight="1">
      <x:c r="A122" s="7" t="n">
        <x:v>46113</x:v>
      </x:c>
      <x:c r="B122" s="2" t="str">
        <x:f>TEXT(A122,"yyyy-mm")</x:f>
        <x:v>2026-04</x:v>
      </x:c>
      <x:c r="C122" s="8" t="n">
        <x:f>IF(COUNTIFS('港湾月次'!$A$2:$A$477,A122,'港湾月次'!$B$2:$B$477,$B$5,'港湾月次'!$E$2:$E$477,"&gt;=0")=1,SUMIFS('港湾月次'!$E$2:$E$477,'港湾月次'!$A$2:$A$477,A122,'港湾月次'!$B$2:$B$477,$B$5),"")</x:f>
        <x:v>71540</x:v>
      </x:c>
      <x:c r="D122" s="8" t="n">
        <x:f>IF(COUNTIFS('港湾月次'!$A$2:$A$477,A122,'港湾月次'!$B$2:$B$477,$B$5,'港湾月次'!$J$2:$J$477,"&gt;=0")=1,SUMIFS('港湾月次'!$J$2:$J$477,'港湾月次'!$A$2:$A$477,A122,'港湾月次'!$B$2:$B$477,$B$5),"")</x:f>
        <x:v>6320</x:v>
      </x:c>
      <x:c r="E122" s="8" t="n">
        <x:f>IF(COUNTIFS('港湾月次'!$A$2:$A$477,A122,'港湾月次'!$B$2:$B$477,$B$5,'港湾月次'!$P$2:$P$477,"&gt;=0")=1,SUMIFS('港湾月次'!$P$2:$P$477,'港湾月次'!$A$2:$A$477,A122,'港湾月次'!$B$2:$B$477,$B$5),"")</x:f>
        <x:v>581</x:v>
      </x:c>
      <x:c r="F122" s="8" t="n">
        <x:f>IF(COUNTIFS('道路月次_熊本'!$A$2:$A$313,A122,'道路月次_熊本'!$C$2:$C$313,$B$6,'道路月次_熊本'!$F$2:$F$313,$B$7,'道路月次_熊本'!$I$2:$I$313,"&gt;=0")=1,SUMIFS('道路月次_熊本'!$I$2:$I$313,'道路月次_熊本'!$A$2:$A$313,A122,'道路月次_熊本'!$C$2:$C$313,$B$6,'道路月次_熊本'!$F$2:$F$313,$B$7),"")</x:f>
        <x:v>2000</x:v>
      </x:c>
      <x:c r="G122" s="8" t="str">
        <x:f>IF(COUNTIFS('全国貨物月次'!$A$2:$A$64,A122,'全国貨物月次'!$C$2:$C$64,"&gt;=0")=1,SUMIFS('全国貨物月次'!$C$2:$C$64,'全国貨物月次'!$A$2:$A$64,A122),"")</x:f>
      </x:c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  <x:row r="123" ht="21" customHeight="1">
      <x:c r="A123" s="7" t="n">
        <x:v>46143</x:v>
      </x:c>
      <x:c r="B123" s="2" t="str">
        <x:f>TEXT(A123,"yyyy-mm")</x:f>
        <x:v>2026-05</x:v>
      </x:c>
      <x:c r="C123" s="8" t="str">
        <x:f>IF(COUNTIFS('港湾月次'!$A$2:$A$477,A123,'港湾月次'!$B$2:$B$477,$B$5,'港湾月次'!$E$2:$E$477,"&gt;=0")=1,SUMIFS('港湾月次'!$E$2:$E$477,'港湾月次'!$A$2:$A$477,A123,'港湾月次'!$B$2:$B$477,$B$5),"")</x:f>
      </x:c>
      <x:c r="D123" s="8" t="str">
        <x:f>IF(COUNTIFS('港湾月次'!$A$2:$A$477,A123,'港湾月次'!$B$2:$B$477,$B$5,'港湾月次'!$J$2:$J$477,"&gt;=0")=1,SUMIFS('港湾月次'!$J$2:$J$477,'港湾月次'!$A$2:$A$477,A123,'港湾月次'!$B$2:$B$477,$B$5),"")</x:f>
      </x:c>
      <x:c r="E123" s="8" t="str">
        <x:f>IF(COUNTIFS('港湾月次'!$A$2:$A$477,A123,'港湾月次'!$B$2:$B$477,$B$5,'港湾月次'!$P$2:$P$477,"&gt;=0")=1,SUMIFS('港湾月次'!$P$2:$P$477,'港湾月次'!$A$2:$A$477,A123,'港湾月次'!$B$2:$B$477,$B$5),"")</x:f>
      </x:c>
      <x:c r="F123" s="8" t="n">
        <x:f>IF(COUNTIFS('道路月次_熊本'!$A$2:$A$313,A123,'道路月次_熊本'!$C$2:$C$313,$B$6,'道路月次_熊本'!$F$2:$F$313,$B$7,'道路月次_熊本'!$I$2:$I$313,"&gt;=0")=1,SUMIFS('道路月次_熊本'!$I$2:$I$313,'道路月次_熊本'!$A$2:$A$313,A123,'道路月次_熊本'!$C$2:$C$313,$B$6,'道路月次_熊本'!$F$2:$F$313,$B$7),"")</x:f>
        <x:v>1800</x:v>
      </x:c>
      <x:c r="G123" s="8" t="str">
        <x:f>IF(COUNTIFS('全国貨物月次'!$A$2:$A$64,A123,'全国貨物月次'!$C$2:$C$64,"&gt;=0")=1,SUMIFS('全国貨物月次'!$C$2:$C$64,'全国貨物月次'!$A$2:$A$64,A123),"")</x:f>
      </x:c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</x:row>
    <x:row r="124" ht="21" customHeight="1">
      <x:c r="A124" s="7" t="n">
        <x:v>46174</x:v>
      </x:c>
      <x:c r="B124" s="2" t="str">
        <x:f>TEXT(A124,"yyyy-mm")</x:f>
        <x:v>2026-06</x:v>
      </x:c>
      <x:c r="C124" s="8" t="str">
        <x:f>IF(COUNTIFS('港湾月次'!$A$2:$A$477,A124,'港湾月次'!$B$2:$B$477,$B$5,'港湾月次'!$E$2:$E$477,"&gt;=0")=1,SUMIFS('港湾月次'!$E$2:$E$477,'港湾月次'!$A$2:$A$477,A124,'港湾月次'!$B$2:$B$477,$B$5),"")</x:f>
      </x:c>
      <x:c r="D124" s="8" t="str">
        <x:f>IF(COUNTIFS('港湾月次'!$A$2:$A$477,A124,'港湾月次'!$B$2:$B$477,$B$5,'港湾月次'!$J$2:$J$477,"&gt;=0")=1,SUMIFS('港湾月次'!$J$2:$J$477,'港湾月次'!$A$2:$A$477,A124,'港湾月次'!$B$2:$B$477,$B$5),"")</x:f>
      </x:c>
      <x:c r="E124" s="8" t="str">
        <x:f>IF(COUNTIFS('港湾月次'!$A$2:$A$477,A124,'港湾月次'!$B$2:$B$477,$B$5,'港湾月次'!$P$2:$P$477,"&gt;=0")=1,SUMIFS('港湾月次'!$P$2:$P$477,'港湾月次'!$A$2:$A$477,A124,'港湾月次'!$B$2:$B$477,$B$5),"")</x:f>
      </x:c>
      <x:c r="F124" s="8" t="str">
        <x:f>IF(COUNTIFS('道路月次_熊本'!$A$2:$A$313,A124,'道路月次_熊本'!$C$2:$C$313,$B$6,'道路月次_熊本'!$F$2:$F$313,$B$7,'道路月次_熊本'!$I$2:$I$313,"&gt;=0")=1,SUMIFS('道路月次_熊本'!$I$2:$I$313,'道路月次_熊本'!$A$2:$A$313,A124,'道路月次_熊本'!$C$2:$C$313,$B$6,'道路月次_熊本'!$F$2:$F$313,$B$7),"")</x:f>
      </x:c>
      <x:c r="G124" s="8" t="str">
        <x:f>IF(COUNTIFS('全国貨物月次'!$A$2:$A$64,A124,'全国貨物月次'!$C$2:$C$64,"&gt;=0")=1,SUMIFS('全国貨物月次'!$C$2:$C$64,'全国貨物月次'!$A$2:$A$64,A124),"")</x:f>
      </x:c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</x:row>
    <x:row r="125" ht="21" customHeight="1">
      <x:c r="A125" s="7" t="n">
        <x:v>46204</x:v>
      </x:c>
      <x:c r="B125" s="2" t="str">
        <x:f>TEXT(A125,"yyyy-mm")</x:f>
        <x:v>2026-07</x:v>
      </x:c>
      <x:c r="C125" s="8" t="str">
        <x:f>IF(COUNTIFS('港湾月次'!$A$2:$A$477,A125,'港湾月次'!$B$2:$B$477,$B$5,'港湾月次'!$E$2:$E$477,"&gt;=0")=1,SUMIFS('港湾月次'!$E$2:$E$477,'港湾月次'!$A$2:$A$477,A125,'港湾月次'!$B$2:$B$477,$B$5),"")</x:f>
      </x:c>
      <x:c r="D125" s="8" t="str">
        <x:f>IF(COUNTIFS('港湾月次'!$A$2:$A$477,A125,'港湾月次'!$B$2:$B$477,$B$5,'港湾月次'!$J$2:$J$477,"&gt;=0")=1,SUMIFS('港湾月次'!$J$2:$J$477,'港湾月次'!$A$2:$A$477,A125,'港湾月次'!$B$2:$B$477,$B$5),"")</x:f>
      </x:c>
      <x:c r="E125" s="8" t="str">
        <x:f>IF(COUNTIFS('港湾月次'!$A$2:$A$477,A125,'港湾月次'!$B$2:$B$477,$B$5,'港湾月次'!$P$2:$P$477,"&gt;=0")=1,SUMIFS('港湾月次'!$P$2:$P$477,'港湾月次'!$A$2:$A$477,A125,'港湾月次'!$B$2:$B$477,$B$5),"")</x:f>
      </x:c>
      <x:c r="F125" s="8" t="str">
        <x:f>IF(COUNTIFS('道路月次_熊本'!$A$2:$A$313,A125,'道路月次_熊本'!$C$2:$C$313,$B$6,'道路月次_熊本'!$F$2:$F$313,$B$7,'道路月次_熊本'!$I$2:$I$313,"&gt;=0")=1,SUMIFS('道路月次_熊本'!$I$2:$I$313,'道路月次_熊本'!$A$2:$A$313,A125,'道路月次_熊本'!$C$2:$C$313,$B$6,'道路月次_熊本'!$F$2:$F$313,$B$7),"")</x:f>
      </x:c>
      <x:c r="G125" s="8" t="str">
        <x:f>IF(COUNTIFS('全国貨物月次'!$A$2:$A$64,A125,'全国貨物月次'!$C$2:$C$64,"&gt;=0")=1,SUMIFS('全国貨物月次'!$C$2:$C$64,'全国貨物月次'!$A$2:$A$64,A125),"")</x:f>
      </x:c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</x:row>
    <x:row r="126" ht="21" customHeight="1">
      <x:c r="A126" s="7" t="n">
        <x:v>46235</x:v>
      </x:c>
      <x:c r="B126" s="2" t="str">
        <x:f>TEXT(A126,"yyyy-mm")</x:f>
        <x:v>2026-08</x:v>
      </x:c>
      <x:c r="C126" s="8" t="str">
        <x:f>IF(COUNTIFS('港湾月次'!$A$2:$A$477,A126,'港湾月次'!$B$2:$B$477,$B$5,'港湾月次'!$E$2:$E$477,"&gt;=0")=1,SUMIFS('港湾月次'!$E$2:$E$477,'港湾月次'!$A$2:$A$477,A126,'港湾月次'!$B$2:$B$477,$B$5),"")</x:f>
      </x:c>
      <x:c r="D126" s="8" t="str">
        <x:f>IF(COUNTIFS('港湾月次'!$A$2:$A$477,A126,'港湾月次'!$B$2:$B$477,$B$5,'港湾月次'!$J$2:$J$477,"&gt;=0")=1,SUMIFS('港湾月次'!$J$2:$J$477,'港湾月次'!$A$2:$A$477,A126,'港湾月次'!$B$2:$B$477,$B$5),"")</x:f>
      </x:c>
      <x:c r="E126" s="8" t="str">
        <x:f>IF(COUNTIFS('港湾月次'!$A$2:$A$477,A126,'港湾月次'!$B$2:$B$477,$B$5,'港湾月次'!$P$2:$P$477,"&gt;=0")=1,SUMIFS('港湾月次'!$P$2:$P$477,'港湾月次'!$A$2:$A$477,A126,'港湾月次'!$B$2:$B$477,$B$5),"")</x:f>
      </x:c>
      <x:c r="F126" s="8" t="str">
        <x:f>IF(COUNTIFS('道路月次_熊本'!$A$2:$A$313,A126,'道路月次_熊本'!$C$2:$C$313,$B$6,'道路月次_熊本'!$F$2:$F$313,$B$7,'道路月次_熊本'!$I$2:$I$313,"&gt;=0")=1,SUMIFS('道路月次_熊本'!$I$2:$I$313,'道路月次_熊本'!$A$2:$A$313,A126,'道路月次_熊本'!$C$2:$C$313,$B$6,'道路月次_熊本'!$F$2:$F$313,$B$7),"")</x:f>
      </x:c>
      <x:c r="G126" s="8" t="str">
        <x:f>IF(COUNTIFS('全国貨物月次'!$A$2:$A$64,A126,'全国貨物月次'!$C$2:$C$64,"&gt;=0")=1,SUMIFS('全国貨物月次'!$C$2:$C$64,'全国貨物月次'!$A$2:$A$64,A126),"")</x:f>
      </x:c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</x:row>
  </x:sheetData>
  <x:dataValidations count="3">
    <x:dataValidation type="list" sqref="B5">
      <x:formula1>"仙台塩釜,東京,横浜,清水,博多,熊本,八代"</x:formula1>
    </x:dataValidation>
    <x:dataValidation type="list" sqref="B6">
      <x:formula1>"大津,新南部,熊本,八代"</x:formula1>
    </x:dataValidation>
    <x:dataValidation type="list" sqref="B7">
      <x:formula1>"全日,平日,休日"</x:formula1>
    </x:dataValidation>
  </x:dataValidations>
  <x:pageMargins left="0.7" right="0.7" top="0.75" bottom="0.75" header="0.3" footer="0.3"/>
  <x:drawing xmlns:r="http://schemas.openxmlformats.org/officeDocument/2006/relationships" r:id="Rec540849d1ed4b9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5" hidden="0" customWidth="1"/>
    <x:col min="22" max="22" width="25" hidden="0" customWidth="1"/>
    <x:col min="23" max="23" width="68" hidden="0" customWidth="1"/>
    <x:col min="24" max="24" width="50" hidden="0" customWidth="1"/>
    <x:col min="25" max="25" width="22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43" customHeight="1">
      <x:c r="A1" s="6" t="str">
        <x:v>年月</x:v>
      </x:c>
      <x:c r="B1" s="6" t="str">
        <x:v>港湾</x:v>
      </x:c>
      <x:c r="C1" s="6" t="str">
        <x:v>都道府県</x:v>
      </x:c>
      <x:c r="D1" s="6" t="str">
        <x:v>貨物合計
FT</x:v>
      </x:c>
      <x:c r="E1" s="6" t="str">
        <x:v>貨物輸出
FT</x:v>
      </x:c>
      <x:c r="F1" s="6" t="str">
        <x:v>貨物輸入
FT</x:v>
      </x:c>
      <x:c r="G1" s="6" t="str">
        <x:v>貨物移出
FT</x:v>
      </x:c>
      <x:c r="H1" s="6" t="str">
        <x:v>貨物移入
FT</x:v>
      </x:c>
      <x:c r="I1" s="6" t="str">
        <x:v>コンテナ合計
TEU</x:v>
      </x:c>
      <x:c r="J1" s="6" t="str">
        <x:v>コンテナ輸出
TEU</x:v>
      </x:c>
      <x:c r="K1" s="6" t="str">
        <x:v>コンテナ輸入
TEU</x:v>
      </x:c>
      <x:c r="L1" s="6" t="str">
        <x:v>コンテナ移出
TEU</x:v>
      </x:c>
      <x:c r="M1" s="6" t="str">
        <x:v>コンテナ移入
TEU</x:v>
      </x:c>
      <x:c r="N1" s="6" t="str">
        <x:v>航送トラック等
輸出 台</x:v>
      </x:c>
      <x:c r="O1" s="6" t="str">
        <x:v>航送トラック等
輸入 台</x:v>
      </x:c>
      <x:c r="P1" s="6" t="str">
        <x:v>航送トラック等
移出 台</x:v>
      </x:c>
      <x:c r="Q1" s="6" t="str">
        <x:v>航送トラック等
移入 台</x:v>
      </x:c>
      <x:c r="R1" s="6" t="str">
        <x:v>航送トラック等
合計 台</x:v>
      </x:c>
      <x:c r="S1" s="6" t="str">
        <x:v>商船入港
合計 隻</x:v>
      </x:c>
      <x:c r="T1" s="6" t="str">
        <x:v>商船入港
外航 隻</x:v>
      </x:c>
      <x:c r="U1" s="6" t="str">
        <x:v>原表集計時点</x:v>
      </x:c>
      <x:c r="V1" s="6" t="str">
        <x:v>公開・更新日</x:v>
      </x:c>
      <x:c r="W1" s="6" t="str">
        <x:v>出典URL</x:v>
      </x:c>
      <x:c r="X1" s="6" t="str">
        <x:v>原表位置</x:v>
      </x:c>
      <x:c r="Y1" s="6" t="str">
        <x:v>貨物集計状況</x:v>
      </x:c>
      <x:c r="Z1" s="6" t="str">
        <x:v>貨物輸出
前年比</x:v>
      </x:c>
      <x:c r="AA1" s="6" t="str">
        <x:v>貨物輸出
3か月平均 FT</x:v>
      </x:c>
      <x:c r="AB1" s="6" t="str">
        <x:v>コンテナ輸出
前年比</x:v>
      </x:c>
    </x:row>
    <x:row r="2" ht="21" customHeight="1">
      <x:c r="A2" s="7" t="n">
        <x:v>44197</x:v>
      </x:c>
      <x:c r="B2" s="2" t="str">
        <x:v>仙台塩釜</x:v>
      </x:c>
      <x:c r="C2" s="2" t="str">
        <x:v>宮城県</x:v>
      </x:c>
      <x:c r="D2" s="8" t="n">
        <x:v>3144328</x:v>
      </x:c>
      <x:c r="E2" s="8" t="n">
        <x:v>74591</x:v>
      </x:c>
      <x:c r="F2" s="8" t="n">
        <x:v>948686</x:v>
      </x:c>
      <x:c r="G2" s="8" t="n">
        <x:v>1000970</x:v>
      </x:c>
      <x:c r="H2" s="8" t="n">
        <x:v>1120081</x:v>
      </x:c>
      <x:c r="I2" s="8" t="n">
        <x:v>18844</x:v>
      </x:c>
      <x:c r="J2" s="8" t="n">
        <x:v>5723</x:v>
      </x:c>
      <x:c r="K2" s="8" t="n">
        <x:v>6321</x:v>
      </x:c>
      <x:c r="L2" s="8" t="n">
        <x:v>3483</x:v>
      </x:c>
      <x:c r="M2" s="8" t="n">
        <x:v>3317</x:v>
      </x:c>
      <x:c r="N2" s="8" t="n">
        <x:v>0</x:v>
      </x:c>
      <x:c r="O2" s="8" t="n">
        <x:v>0</x:v>
      </x:c>
      <x:c r="P2" s="8" t="n">
        <x:v>505</x:v>
      </x:c>
      <x:c r="Q2" s="8" t="n">
        <x:v>552</x:v>
      </x:c>
      <x:c r="R2" s="8" t="n">
        <x:v>1057</x:v>
      </x:c>
      <x:c r="S2" s="8" t="n">
        <x:v>1085</x:v>
      </x:c>
      <x:c r="T2" s="8" t="n">
        <x:v>79</x:v>
      </x:c>
      <x:c r="U2" s="2" t="str">
        <x:v>2025年12月25日現在</x:v>
      </x:c>
      <x:c r="V2" s="2" t="str">
        <x:v>2025-12-25</x:v>
      </x:c>
      <x:c r="W2" s="2" t="str">
        <x:v>https://www.e-stat.go.jp/stat-search/file-download?statInfId=000032059434&amp;fileKind=0</x:v>
      </x:c>
      <x:c r="X2" s="2" t="str">
        <x:v>海上出入貨物!139行、コンテナ個数!29行</x:v>
      </x:c>
      <x:c r="Y2" s="2" t="str">
        <x:v>取得済</x:v>
      </x:c>
      <x:c r="Z2" s="9" t="str">
        <x:f>IF(AND(ISNUMBER(E2),COUNTIFS($A$2:$A$477,EDATE(A2,-12),$B$2:$B$477,B2,$E$2:$E$477,"&gt;0")=1),E2/SUMIFS($E$2:$E$477,$A$2:$A$477,EDATE(A2,-12),$B$2:$B$477,B2)-1,"")</x:f>
      </x:c>
      <x:c r="AA2" s="10" t="str">
        <x:f>IF(COUNTIFS($A$2:$A$477,"&gt;="&amp;EDATE(A2,-2),$A$2:$A$477,"&lt;="&amp;A2,$B$2:$B$477,B2,$E$2:$E$477,"&gt;=0")=3,SUMIFS($E$2:$E$477,$A$2:$A$477,"&gt;="&amp;EDATE(A2,-2),$A$2:$A$477,"&lt;="&amp;A2,$B$2:$B$477,B2)/3,"")</x:f>
      </x:c>
      <x:c r="AB2" s="9" t="str">
        <x:f>IF(AND(ISNUMBER(J2),COUNTIFS($A$2:$A$477,EDATE(A2,-12),$B$2:$B$477,B2,$J$2:$J$477,"&gt;0")=1),J2/SUMIFS($J$2:$J$477,$A$2:$A$477,EDATE(A2,-12),$B$2:$B$477,B2)-1,"")</x:f>
      </x:c>
    </x:row>
    <x:row r="3" ht="21" customHeight="1">
      <x:c r="A3" s="7" t="n">
        <x:v>44197</x:v>
      </x:c>
      <x:c r="B3" s="2" t="str">
        <x:v>東京</x:v>
      </x:c>
      <x:c r="C3" s="2" t="str">
        <x:v>東京都</x:v>
      </x:c>
      <x:c r="D3" s="8" t="n">
        <x:v>6327672</x:v>
      </x:c>
      <x:c r="E3" s="8" t="n">
        <x:v>864475</x:v>
      </x:c>
      <x:c r="F3" s="8" t="n">
        <x:v>2731344</x:v>
      </x:c>
      <x:c r="G3" s="8" t="n">
        <x:v>1147983</x:v>
      </x:c>
      <x:c r="H3" s="8" t="n">
        <x:v>1583870</x:v>
      </x:c>
      <x:c r="I3" s="8" t="n">
        <x:v>369962</x:v>
      </x:c>
      <x:c r="J3" s="8" t="n">
        <x:v>146969</x:v>
      </x:c>
      <x:c r="K3" s="8" t="n">
        <x:v>183604</x:v>
      </x:c>
      <x:c r="L3" s="8" t="n">
        <x:v>26897</x:v>
      </x:c>
      <x:c r="M3" s="8" t="n">
        <x:v>12492</x:v>
      </x:c>
      <x:c r="N3" s="8" t="n">
        <x:v>0</x:v>
      </x:c>
      <x:c r="O3" s="8" t="n">
        <x:v>0</x:v>
      </x:c>
      <x:c r="P3" s="8" t="n">
        <x:v>411</x:v>
      </x:c>
      <x:c r="Q3" s="8" t="n">
        <x:v>165</x:v>
      </x:c>
      <x:c r="R3" s="8" t="n">
        <x:v>576</x:v>
      </x:c>
      <x:c r="S3" s="8" t="n">
        <x:v>1470</x:v>
      </x:c>
      <x:c r="T3" s="8" t="n">
        <x:v>373</x:v>
      </x:c>
      <x:c r="U3" s="2" t="str">
        <x:v>2025年12月25日現在</x:v>
      </x:c>
      <x:c r="V3" s="2" t="str">
        <x:v>2025-12-25</x:v>
      </x:c>
      <x:c r="W3" s="2" t="str">
        <x:v>https://www.e-stat.go.jp/stat-search/file-download?statInfId=000032059434&amp;fileKind=0</x:v>
      </x:c>
      <x:c r="X3" s="2" t="str">
        <x:v>海上出入貨物!205行、コンテナ個数!40行</x:v>
      </x:c>
      <x:c r="Y3" s="2" t="str">
        <x:v>取得済</x:v>
      </x:c>
      <x:c r="Z3" s="9" t="str">
        <x:f>IF(AND(ISNUMBER(E3),COUNTIFS($A$2:$A$477,EDATE(A3,-12),$B$2:$B$477,B3,$E$2:$E$477,"&gt;0")=1),E3/SUMIFS($E$2:$E$477,$A$2:$A$477,EDATE(A3,-12),$B$2:$B$477,B3)-1,"")</x:f>
      </x:c>
      <x:c r="AA3" s="10" t="str">
        <x:f>IF(COUNTIFS($A$2:$A$477,"&gt;="&amp;EDATE(A3,-2),$A$2:$A$477,"&lt;="&amp;A3,$B$2:$B$477,B3,$E$2:$E$477,"&gt;=0")=3,SUMIFS($E$2:$E$477,$A$2:$A$477,"&gt;="&amp;EDATE(A3,-2),$A$2:$A$477,"&lt;="&amp;A3,$B$2:$B$477,B3)/3,"")</x:f>
      </x:c>
      <x:c r="AB3" s="9" t="str">
        <x:f>IF(AND(ISNUMBER(J3),COUNTIFS($A$2:$A$477,EDATE(A3,-12),$B$2:$B$477,B3,$J$2:$J$477,"&gt;0")=1),J3/SUMIFS($J$2:$J$477,$A$2:$A$477,EDATE(A3,-12),$B$2:$B$477,B3)-1,"")</x:f>
      </x:c>
    </x:row>
    <x:row r="4" ht="21" customHeight="1">
      <x:c r="A4" s="7" t="n">
        <x:v>44197</x:v>
      </x:c>
      <x:c r="B4" s="2" t="str">
        <x:v>横浜</x:v>
      </x:c>
      <x:c r="C4" s="2" t="str">
        <x:v>神奈川県</x:v>
      </x:c>
      <x:c r="D4" s="8" t="n">
        <x:v>7613117</x:v>
      </x:c>
      <x:c r="E4" s="8" t="n">
        <x:v>1972853</x:v>
      </x:c>
      <x:c r="F4" s="8" t="n">
        <x:v>3441141</x:v>
      </x:c>
      <x:c r="G4" s="8" t="n">
        <x:v>924232</x:v>
      </x:c>
      <x:c r="H4" s="8" t="n">
        <x:v>1274891</x:v>
      </x:c>
      <x:c r="I4" s="8" t="n">
        <x:v>209547</x:v>
      </x:c>
      <x:c r="J4" s="8" t="n">
        <x:v>100639</x:v>
      </x:c>
      <x:c r="K4" s="8" t="n">
        <x:v>92788</x:v>
      </x:c>
      <x:c r="L4" s="8" t="n">
        <x:v>7716</x:v>
      </x:c>
      <x:c r="M4" s="8" t="n">
        <x:v>8404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2077</x:v>
      </x:c>
      <x:c r="T4" s="8" t="n">
        <x:v>651</x:v>
      </x:c>
      <x:c r="U4" s="2" t="str">
        <x:v>2025年12月25日現在</x:v>
      </x:c>
      <x:c r="V4" s="2" t="str">
        <x:v>2025-12-25</x:v>
      </x:c>
      <x:c r="W4" s="2" t="str">
        <x:v>https://www.e-stat.go.jp/stat-search/file-download?statInfId=000032059434&amp;fileKind=0</x:v>
      </x:c>
      <x:c r="X4" s="2" t="str">
        <x:v>海上出入貨物!217行、コンテナ個数!42行</x:v>
      </x:c>
      <x:c r="Y4" s="2" t="str">
        <x:v>取得済</x:v>
      </x:c>
      <x:c r="Z4" s="9" t="str">
        <x:f>IF(AND(ISNUMBER(E4),COUNTIFS($A$2:$A$477,EDATE(A4,-12),$B$2:$B$477,B4,$E$2:$E$477,"&gt;0")=1),E4/SUMIFS($E$2:$E$477,$A$2:$A$477,EDATE(A4,-12),$B$2:$B$477,B4)-1,"")</x:f>
      </x:c>
      <x:c r="AA4" s="10" t="str">
        <x:f>IF(COUNTIFS($A$2:$A$477,"&gt;="&amp;EDATE(A4,-2),$A$2:$A$477,"&lt;="&amp;A4,$B$2:$B$477,B4,$E$2:$E$477,"&gt;=0")=3,SUMIFS($E$2:$E$477,$A$2:$A$477,"&gt;="&amp;EDATE(A4,-2),$A$2:$A$477,"&lt;="&amp;A4,$B$2:$B$477,B4)/3,"")</x:f>
      </x:c>
      <x:c r="AB4" s="9" t="str">
        <x:f>IF(AND(ISNUMBER(J4),COUNTIFS($A$2:$A$477,EDATE(A4,-12),$B$2:$B$477,B4,$J$2:$J$477,"&gt;0")=1),J4/SUMIFS($J$2:$J$477,$A$2:$A$477,EDATE(A4,-12),$B$2:$B$477,B4)-1,"")</x:f>
      </x:c>
    </x:row>
    <x:row r="5" ht="21" customHeight="1">
      <x:c r="A5" s="7" t="n">
        <x:v>44197</x:v>
      </x:c>
      <x:c r="B5" s="2" t="str">
        <x:v>清水</x:v>
      </x:c>
      <x:c r="C5" s="2" t="str">
        <x:v>静岡県</x:v>
      </x:c>
      <x:c r="D5" s="8" t="n">
        <x:v>1132037</x:v>
      </x:c>
      <x:c r="E5" s="8" t="n">
        <x:v>255199</x:v>
      </x:c>
      <x:c r="F5" s="8" t="n">
        <x:v>384130</x:v>
      </x:c>
      <x:c r="G5" s="8" t="n">
        <x:v>134134</x:v>
      </x:c>
      <x:c r="H5" s="8" t="n">
        <x:v>358574</x:v>
      </x:c>
      <x:c r="I5" s="8" t="n">
        <x:v>40790</x:v>
      </x:c>
      <x:c r="J5" s="8" t="n">
        <x:v>15968</x:v>
      </x:c>
      <x:c r="K5" s="8" t="n">
        <x:v>17011</x:v>
      </x:c>
      <x:c r="L5" s="8" t="n">
        <x:v>3445</x:v>
      </x:c>
      <x:c r="M5" s="8" t="n">
        <x:v>4366</x:v>
      </x:c>
      <x:c r="N5" s="8" t="n">
        <x:v>0</x:v>
      </x:c>
      <x:c r="O5" s="8" t="n">
        <x:v>0</x:v>
      </x:c>
      <x:c r="P5" s="8" t="n">
        <x:v>2</x:v>
      </x:c>
      <x:c r="Q5" s="8" t="n">
        <x:v>1</x:v>
      </x:c>
      <x:c r="R5" s="8" t="n">
        <x:v>3</x:v>
      </x:c>
      <x:c r="S5" s="8" t="n">
        <x:v>415</x:v>
      </x:c>
      <x:c r="T5" s="8" t="n">
        <x:v>125</x:v>
      </x:c>
      <x:c r="U5" s="2" t="str">
        <x:v>2025年12月25日現在</x:v>
      </x:c>
      <x:c r="V5" s="2" t="str">
        <x:v>2025-12-25</x:v>
      </x:c>
      <x:c r="W5" s="2" t="str">
        <x:v>https://www.e-stat.go.jp/stat-search/file-download?statInfId=000032059434&amp;fileKind=0</x:v>
      </x:c>
      <x:c r="X5" s="2" t="str">
        <x:v>海上出入貨物!313行、コンテナ個数!58行</x:v>
      </x:c>
      <x:c r="Y5" s="2" t="str">
        <x:v>取得済</x:v>
      </x:c>
      <x:c r="Z5" s="9" t="str">
        <x:f>IF(AND(ISNUMBER(E5),COUNTIFS($A$2:$A$477,EDATE(A5,-12),$B$2:$B$477,B5,$E$2:$E$477,"&gt;0")=1),E5/SUMIFS($E$2:$E$477,$A$2:$A$477,EDATE(A5,-12),$B$2:$B$477,B5)-1,"")</x:f>
      </x:c>
      <x:c r="AA5" s="10" t="str">
        <x:f>IF(COUNTIFS($A$2:$A$477,"&gt;="&amp;EDATE(A5,-2),$A$2:$A$477,"&lt;="&amp;A5,$B$2:$B$477,B5,$E$2:$E$477,"&gt;=0")=3,SUMIFS($E$2:$E$477,$A$2:$A$477,"&gt;="&amp;EDATE(A5,-2),$A$2:$A$477,"&lt;="&amp;A5,$B$2:$B$477,B5)/3,"")</x:f>
      </x:c>
      <x:c r="AB5" s="9" t="str">
        <x:f>IF(AND(ISNUMBER(J5),COUNTIFS($A$2:$A$477,EDATE(A5,-12),$B$2:$B$477,B5,$J$2:$J$477,"&gt;0")=1),J5/SUMIFS($J$2:$J$477,$A$2:$A$477,EDATE(A5,-12),$B$2:$B$477,B5)-1,"")</x:f>
      </x:c>
    </x:row>
    <x:row r="6" ht="21" customHeight="1">
      <x:c r="A6" s="7" t="n">
        <x:v>44197</x:v>
      </x:c>
      <x:c r="B6" s="2" t="str">
        <x:v>博多</x:v>
      </x:c>
      <x:c r="C6" s="2" t="str">
        <x:v>福岡県</x:v>
      </x:c>
      <x:c r="D6" s="8" t="n">
        <x:v>2624672</x:v>
      </x:c>
      <x:c r="E6" s="8" t="n">
        <x:v>611462</x:v>
      </x:c>
      <x:c r="F6" s="8" t="n">
        <x:v>806480</x:v>
      </x:c>
      <x:c r="G6" s="8" t="n">
        <x:v>342508</x:v>
      </x:c>
      <x:c r="H6" s="8" t="n">
        <x:v>864222</x:v>
      </x:c>
      <x:c r="I6" s="8" t="n">
        <x:v>72022</x:v>
      </x:c>
      <x:c r="J6" s="8" t="n">
        <x:v>29446</x:v>
      </x:c>
      <x:c r="K6" s="8" t="n">
        <x:v>33463</x:v>
      </x:c>
      <x:c r="L6" s="8" t="n">
        <x:v>4381</x:v>
      </x:c>
      <x:c r="M6" s="8" t="n">
        <x:v>4732</x:v>
      </x:c>
      <x:c r="N6" s="8" t="n">
        <x:v>0</x:v>
      </x:c>
      <x:c r="O6" s="8" t="n">
        <x:v>0</x:v>
      </x:c>
      <x:c r="P6" s="8" t="n">
        <x:v>1289</x:v>
      </x:c>
      <x:c r="Q6" s="8" t="n">
        <x:v>1247</x:v>
      </x:c>
      <x:c r="R6" s="8" t="n">
        <x:v>2536</x:v>
      </x:c>
      <x:c r="S6" s="8" t="n">
        <x:v>1466</x:v>
      </x:c>
      <x:c r="T6" s="8" t="n">
        <x:v>206</x:v>
      </x:c>
      <x:c r="U6" s="2" t="str">
        <x:v>2025年12月25日現在</x:v>
      </x:c>
      <x:c r="V6" s="2" t="str">
        <x:v>2025-12-25</x:v>
      </x:c>
      <x:c r="W6" s="2" t="str">
        <x:v>https://www.e-stat.go.jp/stat-search/file-download?statInfId=000032059434&amp;fileKind=0</x:v>
      </x:c>
      <x:c r="X6" s="2" t="str">
        <x:v>海上出入貨物!745行、コンテナ個数!130行</x:v>
      </x:c>
      <x:c r="Y6" s="2" t="str">
        <x:v>取得済</x:v>
      </x:c>
      <x:c r="Z6" s="9" t="str">
        <x:f>IF(AND(ISNUMBER(E6),COUNTIFS($A$2:$A$477,EDATE(A6,-12),$B$2:$B$477,B6,$E$2:$E$477,"&gt;0")=1),E6/SUMIFS($E$2:$E$477,$A$2:$A$477,EDATE(A6,-12),$B$2:$B$477,B6)-1,"")</x:f>
      </x:c>
      <x:c r="AA6" s="10" t="str">
        <x:f>IF(COUNTIFS($A$2:$A$477,"&gt;="&amp;EDATE(A6,-2),$A$2:$A$477,"&lt;="&amp;A6,$B$2:$B$477,B6,$E$2:$E$477,"&gt;=0")=3,SUMIFS($E$2:$E$477,$A$2:$A$477,"&gt;="&amp;EDATE(A6,-2),$A$2:$A$477,"&lt;="&amp;A6,$B$2:$B$477,B6)/3,"")</x:f>
      </x:c>
      <x:c r="AB6" s="9" t="str">
        <x:f>IF(AND(ISNUMBER(J6),COUNTIFS($A$2:$A$477,EDATE(A6,-12),$B$2:$B$477,B6,$J$2:$J$477,"&gt;0")=1),J6/SUMIFS($J$2:$J$477,$A$2:$A$477,EDATE(A6,-12),$B$2:$B$477,B6)-1,"")</x:f>
      </x:c>
    </x:row>
    <x:row r="7" ht="21" customHeight="1">
      <x:c r="A7" s="7" t="n">
        <x:v>44197</x:v>
      </x:c>
      <x:c r="B7" s="2" t="str">
        <x:v>熊本</x:v>
      </x:c>
      <x:c r="C7" s="2" t="str">
        <x:v>熊本県</x:v>
      </x:c>
      <x:c r="D7" s="8" t="n">
        <x:v>175839</x:v>
      </x:c>
      <x:c r="E7" s="8" t="n">
        <x:v>2645</x:v>
      </x:c>
      <x:c r="F7" s="8" t="n">
        <x:v>8927</x:v>
      </x:c>
      <x:c r="G7" s="8" t="n">
        <x:v>83652</x:v>
      </x:c>
      <x:c r="H7" s="8" t="n">
        <x:v>80615</x:v>
      </x:c>
      <x:c r="I7" s="8" t="n">
        <x:v>750</x:v>
      </x:c>
      <x:c r="J7" s="8" t="n">
        <x:v>230</x:v>
      </x:c>
      <x:c r="K7" s="8" t="n">
        <x:v>400</x:v>
      </x:c>
      <x:c r="L7" s="8" t="n">
        <x:v>120</x:v>
      </x:c>
      <x:c r="M7" s="8" t="n">
        <x:v>0</x:v>
      </x:c>
      <x:c r="N7" s="8" t="n">
        <x:v>0</x:v>
      </x:c>
      <x:c r="O7" s="8" t="n">
        <x:v>0</x:v>
      </x:c>
      <x:c r="P7" s="8" t="n">
        <x:v>538</x:v>
      </x:c>
      <x:c r="Q7" s="8" t="n">
        <x:v>557</x:v>
      </x:c>
      <x:c r="R7" s="8" t="n">
        <x:v>1095</x:v>
      </x:c>
      <x:c r="S7" s="8" t="n">
        <x:v>34</x:v>
      </x:c>
      <x:c r="T7" s="8" t="n">
        <x:v>7</x:v>
      </x:c>
      <x:c r="U7" s="2" t="str">
        <x:v>2025年12月25日現在</x:v>
      </x:c>
      <x:c r="V7" s="2" t="str">
        <x:v>2025-12-25</x:v>
      </x:c>
      <x:c r="W7" s="2" t="str">
        <x:v>https://www.e-stat.go.jp/stat-search/file-download?statInfId=000032059434&amp;fileKind=0</x:v>
      </x:c>
      <x:c r="X7" s="2" t="str">
        <x:v>海上出入貨物!859行、コンテナ個数!149行</x:v>
      </x:c>
      <x:c r="Y7" s="2" t="str">
        <x:v>取得済</x:v>
      </x:c>
      <x:c r="Z7" s="9" t="str">
        <x:f>IF(AND(ISNUMBER(E7),COUNTIFS($A$2:$A$477,EDATE(A7,-12),$B$2:$B$477,B7,$E$2:$E$477,"&gt;0")=1),E7/SUMIFS($E$2:$E$477,$A$2:$A$477,EDATE(A7,-12),$B$2:$B$477,B7)-1,"")</x:f>
      </x:c>
      <x:c r="AA7" s="10" t="str">
        <x:f>IF(COUNTIFS($A$2:$A$477,"&gt;="&amp;EDATE(A7,-2),$A$2:$A$477,"&lt;="&amp;A7,$B$2:$B$477,B7,$E$2:$E$477,"&gt;=0")=3,SUMIFS($E$2:$E$477,$A$2:$A$477,"&gt;="&amp;EDATE(A7,-2),$A$2:$A$477,"&lt;="&amp;A7,$B$2:$B$477,B7)/3,"")</x:f>
      </x:c>
      <x:c r="AB7" s="9" t="str">
        <x:f>IF(AND(ISNUMBER(J7),COUNTIFS($A$2:$A$477,EDATE(A7,-12),$B$2:$B$477,B7,$J$2:$J$477,"&gt;0")=1),J7/SUMIFS($J$2:$J$477,$A$2:$A$477,EDATE(A7,-12),$B$2:$B$477,B7)-1,"")</x:f>
      </x:c>
    </x:row>
    <x:row r="8" ht="21" customHeight="1">
      <x:c r="A8" s="7" t="n">
        <x:v>44197</x:v>
      </x:c>
      <x:c r="B8" s="2" t="str">
        <x:v>八代</x:v>
      </x:c>
      <x:c r="C8" s="2" t="str">
        <x:v>熊本県</x:v>
      </x:c>
      <x:c r="D8" s="8" t="n">
        <x:v>353216</x:v>
      </x:c>
      <x:c r="E8" s="8" t="n">
        <x:v>11392</x:v>
      </x:c>
      <x:c r="F8" s="8" t="n">
        <x:v>166838</x:v>
      </x:c>
      <x:c r="G8" s="8" t="n">
        <x:v>10983</x:v>
      </x:c>
      <x:c r="H8" s="8" t="n">
        <x:v>164003</x:v>
      </x:c>
      <x:c r="I8" s="8" t="n">
        <x:v>1705</x:v>
      </x:c>
      <x:c r="J8" s="8" t="n">
        <x:v>844</x:v>
      </x:c>
      <x:c r="K8" s="8" t="n">
        <x:v>801</x:v>
      </x:c>
      <x:c r="L8" s="8" t="n">
        <x:v>8</x:v>
      </x:c>
      <x:c r="M8" s="8" t="n">
        <x:v>52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168</x:v>
      </x:c>
      <x:c r="T8" s="8" t="n">
        <x:v>26</x:v>
      </x:c>
      <x:c r="U8" s="2" t="str">
        <x:v>2025年12月25日現在</x:v>
      </x:c>
      <x:c r="V8" s="2" t="str">
        <x:v>2025-12-25</x:v>
      </x:c>
      <x:c r="W8" s="2" t="str">
        <x:v>https://www.e-stat.go.jp/stat-search/file-download?statInfId=000032059434&amp;fileKind=0</x:v>
      </x:c>
      <x:c r="X8" s="2" t="str">
        <x:v>海上出入貨物!847行、コンテナ個数!147行</x:v>
      </x:c>
      <x:c r="Y8" s="2" t="str">
        <x:v>取得済</x:v>
      </x:c>
      <x:c r="Z8" s="9" t="str">
        <x:f>IF(AND(ISNUMBER(E8),COUNTIFS($A$2:$A$477,EDATE(A8,-12),$B$2:$B$477,B8,$E$2:$E$477,"&gt;0")=1),E8/SUMIFS($E$2:$E$477,$A$2:$A$477,EDATE(A8,-12),$B$2:$B$477,B8)-1,"")</x:f>
      </x:c>
      <x:c r="AA8" s="10" t="str">
        <x:f>IF(COUNTIFS($A$2:$A$477,"&gt;="&amp;EDATE(A8,-2),$A$2:$A$477,"&lt;="&amp;A8,$B$2:$B$477,B8,$E$2:$E$477,"&gt;=0")=3,SUMIFS($E$2:$E$477,$A$2:$A$477,"&gt;="&amp;EDATE(A8,-2),$A$2:$A$477,"&lt;="&amp;A8,$B$2:$B$477,B8)/3,"")</x:f>
      </x:c>
      <x:c r="AB8" s="9" t="str">
        <x:f>IF(AND(ISNUMBER(J8),COUNTIFS($A$2:$A$477,EDATE(A8,-12),$B$2:$B$477,B8,$J$2:$J$477,"&gt;0")=1),J8/SUMIFS($J$2:$J$477,$A$2:$A$477,EDATE(A8,-12),$B$2:$B$477,B8)-1,"")</x:f>
      </x:c>
    </x:row>
    <x:row r="9" ht="21" customHeight="1">
      <x:c r="A9" s="7" t="n">
        <x:v>44228</x:v>
      </x:c>
      <x:c r="B9" s="2" t="str">
        <x:v>仙台塩釜</x:v>
      </x:c>
      <x:c r="C9" s="2" t="str">
        <x:v>宮城県</x:v>
      </x:c>
      <x:c r="D9" s="8" t="n">
        <x:v>3136428</x:v>
      </x:c>
      <x:c r="E9" s="8" t="n">
        <x:v>107190</x:v>
      </x:c>
      <x:c r="F9" s="8" t="n">
        <x:v>943056</x:v>
      </x:c>
      <x:c r="G9" s="8" t="n">
        <x:v>913288</x:v>
      </x:c>
      <x:c r="H9" s="8" t="n">
        <x:v>1172894</x:v>
      </x:c>
      <x:c r="I9" s="8" t="n">
        <x:v>20509</x:v>
      </x:c>
      <x:c r="J9" s="8" t="n">
        <x:v>6248</x:v>
      </x:c>
      <x:c r="K9" s="8" t="n">
        <x:v>6232</x:v>
      </x:c>
      <x:c r="L9" s="8" t="n">
        <x:v>3960</x:v>
      </x:c>
      <x:c r="M9" s="8" t="n">
        <x:v>4069</x:v>
      </x:c>
      <x:c r="N9" s="8" t="n">
        <x:v>0</x:v>
      </x:c>
      <x:c r="O9" s="8" t="n">
        <x:v>0</x:v>
      </x:c>
      <x:c r="P9" s="8" t="n">
        <x:v>438</x:v>
      </x:c>
      <x:c r="Q9" s="8" t="n">
        <x:v>482</x:v>
      </x:c>
      <x:c r="R9" s="8" t="n">
        <x:v>920</x:v>
      </x:c>
      <x:c r="S9" s="8" t="n">
        <x:v>876</x:v>
      </x:c>
      <x:c r="T9" s="8" t="n">
        <x:v>93</x:v>
      </x:c>
      <x:c r="U9" s="2" t="str">
        <x:v>2025年12月25日現在</x:v>
      </x:c>
      <x:c r="V9" s="2" t="str">
        <x:v>2025-12-25</x:v>
      </x:c>
      <x:c r="W9" s="2" t="str">
        <x:v>https://www.e-stat.go.jp/stat-search/file-download?statInfId=000032059434&amp;fileKind=0</x:v>
      </x:c>
      <x:c r="X9" s="2" t="str">
        <x:v>海上出入貨物!139行、コンテナ個数!29行</x:v>
      </x:c>
      <x:c r="Y9" s="2" t="str">
        <x:v>取得済</x:v>
      </x:c>
      <x:c r="Z9" s="9" t="str">
        <x:f>IF(AND(ISNUMBER(E9),COUNTIFS($A$2:$A$477,EDATE(A9,-12),$B$2:$B$477,B9,$E$2:$E$477,"&gt;0")=1),E9/SUMIFS($E$2:$E$477,$A$2:$A$477,EDATE(A9,-12),$B$2:$B$477,B9)-1,"")</x:f>
      </x:c>
      <x:c r="AA9" s="10" t="str">
        <x:f>IF(COUNTIFS($A$2:$A$477,"&gt;="&amp;EDATE(A9,-2),$A$2:$A$477,"&lt;="&amp;A9,$B$2:$B$477,B9,$E$2:$E$477,"&gt;=0")=3,SUMIFS($E$2:$E$477,$A$2:$A$477,"&gt;="&amp;EDATE(A9,-2),$A$2:$A$477,"&lt;="&amp;A9,$B$2:$B$477,B9)/3,"")</x:f>
      </x:c>
      <x:c r="AB9" s="9" t="str">
        <x:f>IF(AND(ISNUMBER(J9),COUNTIFS($A$2:$A$477,EDATE(A9,-12),$B$2:$B$477,B9,$J$2:$J$477,"&gt;0")=1),J9/SUMIFS($J$2:$J$477,$A$2:$A$477,EDATE(A9,-12),$B$2:$B$477,B9)-1,"")</x:f>
      </x:c>
    </x:row>
    <x:row r="10" ht="21" customHeight="1">
      <x:c r="A10" s="7" t="n">
        <x:v>44228</x:v>
      </x:c>
      <x:c r="B10" s="2" t="str">
        <x:v>東京</x:v>
      </x:c>
      <x:c r="C10" s="2" t="str">
        <x:v>東京都</x:v>
      </x:c>
      <x:c r="D10" s="8" t="n">
        <x:v>6623903</x:v>
      </x:c>
      <x:c r="E10" s="8" t="n">
        <x:v>1086373</x:v>
      </x:c>
      <x:c r="F10" s="8" t="n">
        <x:v>2716020</x:v>
      </x:c>
      <x:c r="G10" s="8" t="n">
        <x:v>1199450</x:v>
      </x:c>
      <x:c r="H10" s="8" t="n">
        <x:v>1622060</x:v>
      </x:c>
      <x:c r="I10" s="8" t="n">
        <x:v>374802</x:v>
      </x:c>
      <x:c r="J10" s="8" t="n">
        <x:v>149815</x:v>
      </x:c>
      <x:c r="K10" s="8" t="n">
        <x:v>180179</x:v>
      </x:c>
      <x:c r="L10" s="8" t="n">
        <x:v>31034</x:v>
      </x:c>
      <x:c r="M10" s="8" t="n">
        <x:v>13774</x:v>
      </x:c>
      <x:c r="N10" s="8" t="n">
        <x:v>0</x:v>
      </x:c>
      <x:c r="O10" s="8" t="n">
        <x:v>0</x:v>
      </x:c>
      <x:c r="P10" s="8" t="n">
        <x:v>337</x:v>
      </x:c>
      <x:c r="Q10" s="8" t="n">
        <x:v>160</x:v>
      </x:c>
      <x:c r="R10" s="8" t="n">
        <x:v>497</x:v>
      </x:c>
      <x:c r="S10" s="8" t="n">
        <x:v>1502</x:v>
      </x:c>
      <x:c r="T10" s="8" t="n">
        <x:v>360</x:v>
      </x:c>
      <x:c r="U10" s="2" t="str">
        <x:v>2025年12月25日現在</x:v>
      </x:c>
      <x:c r="V10" s="2" t="str">
        <x:v>2025-12-25</x:v>
      </x:c>
      <x:c r="W10" s="2" t="str">
        <x:v>https://www.e-stat.go.jp/stat-search/file-download?statInfId=000032059434&amp;fileKind=0</x:v>
      </x:c>
      <x:c r="X10" s="2" t="str">
        <x:v>海上出入貨物!205行、コンテナ個数!40行</x:v>
      </x:c>
      <x:c r="Y10" s="2" t="str">
        <x:v>取得済</x:v>
      </x:c>
      <x:c r="Z10" s="9" t="str">
        <x:f>IF(AND(ISNUMBER(E10),COUNTIFS($A$2:$A$477,EDATE(A10,-12),$B$2:$B$477,B10,$E$2:$E$477,"&gt;0")=1),E10/SUMIFS($E$2:$E$477,$A$2:$A$477,EDATE(A10,-12),$B$2:$B$477,B10)-1,"")</x:f>
      </x:c>
      <x:c r="AA10" s="10" t="str">
        <x:f>IF(COUNTIFS($A$2:$A$477,"&gt;="&amp;EDATE(A10,-2),$A$2:$A$477,"&lt;="&amp;A10,$B$2:$B$477,B10,$E$2:$E$477,"&gt;=0")=3,SUMIFS($E$2:$E$477,$A$2:$A$477,"&gt;="&amp;EDATE(A10,-2),$A$2:$A$477,"&lt;="&amp;A10,$B$2:$B$477,B10)/3,"")</x:f>
      </x:c>
      <x:c r="AB10" s="9" t="str">
        <x:f>IF(AND(ISNUMBER(J10),COUNTIFS($A$2:$A$477,EDATE(A10,-12),$B$2:$B$477,B10,$J$2:$J$477,"&gt;0")=1),J10/SUMIFS($J$2:$J$477,$A$2:$A$477,EDATE(A10,-12),$B$2:$B$477,B10)-1,"")</x:f>
      </x:c>
    </x:row>
    <x:row r="11" ht="21" customHeight="1">
      <x:c r="A11" s="7" t="n">
        <x:v>44228</x:v>
      </x:c>
      <x:c r="B11" s="2" t="str">
        <x:v>横浜</x:v>
      </x:c>
      <x:c r="C11" s="2" t="str">
        <x:v>神奈川県</x:v>
      </x:c>
      <x:c r="D11" s="8" t="n">
        <x:v>8117047</x:v>
      </x:c>
      <x:c r="E11" s="8" t="n">
        <x:v>2245761</x:v>
      </x:c>
      <x:c r="F11" s="8" t="n">
        <x:v>3815689</x:v>
      </x:c>
      <x:c r="G11" s="8" t="n">
        <x:v>843406</x:v>
      </x:c>
      <x:c r="H11" s="8" t="n">
        <x:v>1212191</x:v>
      </x:c>
      <x:c r="I11" s="8" t="n">
        <x:v>218046</x:v>
      </x:c>
      <x:c r="J11" s="8" t="n">
        <x:v>106370</x:v>
      </x:c>
      <x:c r="K11" s="8" t="n">
        <x:v>88704</x:v>
      </x:c>
      <x:c r="L11" s="8" t="n">
        <x:v>10590</x:v>
      </x:c>
      <x:c r="M11" s="8" t="n">
        <x:v>12382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2103</x:v>
      </x:c>
      <x:c r="T11" s="8" t="n">
        <x:v>680</x:v>
      </x:c>
      <x:c r="U11" s="2" t="str">
        <x:v>2025年12月25日現在</x:v>
      </x:c>
      <x:c r="V11" s="2" t="str">
        <x:v>2025-12-25</x:v>
      </x:c>
      <x:c r="W11" s="2" t="str">
        <x:v>https://www.e-stat.go.jp/stat-search/file-download?statInfId=000032059434&amp;fileKind=0</x:v>
      </x:c>
      <x:c r="X11" s="2" t="str">
        <x:v>海上出入貨物!217行、コンテナ個数!42行</x:v>
      </x:c>
      <x:c r="Y11" s="2" t="str">
        <x:v>取得済</x:v>
      </x:c>
      <x:c r="Z11" s="9" t="str">
        <x:f>IF(AND(ISNUMBER(E11),COUNTIFS($A$2:$A$477,EDATE(A11,-12),$B$2:$B$477,B11,$E$2:$E$477,"&gt;0")=1),E11/SUMIFS($E$2:$E$477,$A$2:$A$477,EDATE(A11,-12),$B$2:$B$477,B11)-1,"")</x:f>
      </x:c>
      <x:c r="AA11" s="10" t="str">
        <x:f>IF(COUNTIFS($A$2:$A$477,"&gt;="&amp;EDATE(A11,-2),$A$2:$A$477,"&lt;="&amp;A11,$B$2:$B$477,B11,$E$2:$E$477,"&gt;=0")=3,SUMIFS($E$2:$E$477,$A$2:$A$477,"&gt;="&amp;EDATE(A11,-2),$A$2:$A$477,"&lt;="&amp;A11,$B$2:$B$477,B11)/3,"")</x:f>
      </x:c>
      <x:c r="AB11" s="9" t="str">
        <x:f>IF(AND(ISNUMBER(J11),COUNTIFS($A$2:$A$477,EDATE(A11,-12),$B$2:$B$477,B11,$J$2:$J$477,"&gt;0")=1),J11/SUMIFS($J$2:$J$477,$A$2:$A$477,EDATE(A11,-12),$B$2:$B$477,B11)-1,"")</x:f>
      </x:c>
    </x:row>
    <x:row r="12" ht="21" customHeight="1">
      <x:c r="A12" s="7" t="n">
        <x:v>44228</x:v>
      </x:c>
      <x:c r="B12" s="2" t="str">
        <x:v>清水</x:v>
      </x:c>
      <x:c r="C12" s="2" t="str">
        <x:v>静岡県</x:v>
      </x:c>
      <x:c r="D12" s="8" t="n">
        <x:v>1421048</x:v>
      </x:c>
      <x:c r="E12" s="8" t="n">
        <x:v>298845</x:v>
      </x:c>
      <x:c r="F12" s="8" t="n">
        <x:v>616600</x:v>
      </x:c>
      <x:c r="G12" s="8" t="n">
        <x:v>149241</x:v>
      </x:c>
      <x:c r="H12" s="8" t="n">
        <x:v>356362</x:v>
      </x:c>
      <x:c r="I12" s="8" t="n">
        <x:v>46949</x:v>
      </x:c>
      <x:c r="J12" s="8" t="n">
        <x:v>17911</x:v>
      </x:c>
      <x:c r="K12" s="8" t="n">
        <x:v>17833</x:v>
      </x:c>
      <x:c r="L12" s="8" t="n">
        <x:v>4944</x:v>
      </x:c>
      <x:c r="M12" s="8" t="n">
        <x:v>6261</x:v>
      </x:c>
      <x:c r="N12" s="8" t="n">
        <x:v>0</x:v>
      </x:c>
      <x:c r="O12" s="8" t="n">
        <x:v>0</x:v>
      </x:c>
      <x:c r="P12" s="8" t="n">
        <x:v>1</x:v>
      </x:c>
      <x:c r="Q12" s="8" t="n">
        <x:v>3</x:v>
      </x:c>
      <x:c r="R12" s="8" t="n">
        <x:v>4</x:v>
      </x:c>
      <x:c r="S12" s="8" t="n">
        <x:v>413</x:v>
      </x:c>
      <x:c r="T12" s="8" t="n">
        <x:v>117</x:v>
      </x:c>
      <x:c r="U12" s="2" t="str">
        <x:v>2025年12月25日現在</x:v>
      </x:c>
      <x:c r="V12" s="2" t="str">
        <x:v>2025-12-25</x:v>
      </x:c>
      <x:c r="W12" s="2" t="str">
        <x:v>https://www.e-stat.go.jp/stat-search/file-download?statInfId=000032059434&amp;fileKind=0</x:v>
      </x:c>
      <x:c r="X12" s="2" t="str">
        <x:v>海上出入貨物!313行、コンテナ個数!58行</x:v>
      </x:c>
      <x:c r="Y12" s="2" t="str">
        <x:v>取得済</x:v>
      </x:c>
      <x:c r="Z12" s="9" t="str">
        <x:f>IF(AND(ISNUMBER(E12),COUNTIFS($A$2:$A$477,EDATE(A12,-12),$B$2:$B$477,B12,$E$2:$E$477,"&gt;0")=1),E12/SUMIFS($E$2:$E$477,$A$2:$A$477,EDATE(A12,-12),$B$2:$B$477,B12)-1,"")</x:f>
      </x:c>
      <x:c r="AA12" s="10" t="str">
        <x:f>IF(COUNTIFS($A$2:$A$477,"&gt;="&amp;EDATE(A12,-2),$A$2:$A$477,"&lt;="&amp;A12,$B$2:$B$477,B12,$E$2:$E$477,"&gt;=0")=3,SUMIFS($E$2:$E$477,$A$2:$A$477,"&gt;="&amp;EDATE(A12,-2),$A$2:$A$477,"&lt;="&amp;A12,$B$2:$B$477,B12)/3,"")</x:f>
      </x:c>
      <x:c r="AB12" s="9" t="str">
        <x:f>IF(AND(ISNUMBER(J12),COUNTIFS($A$2:$A$477,EDATE(A12,-12),$B$2:$B$477,B12,$J$2:$J$477,"&gt;0")=1),J12/SUMIFS($J$2:$J$477,$A$2:$A$477,EDATE(A12,-12),$B$2:$B$477,B12)-1,"")</x:f>
      </x:c>
    </x:row>
    <x:row r="13" ht="21" customHeight="1">
      <x:c r="A13" s="7" t="n">
        <x:v>44228</x:v>
      </x:c>
      <x:c r="B13" s="2" t="str">
        <x:v>博多</x:v>
      </x:c>
      <x:c r="C13" s="2" t="str">
        <x:v>福岡県</x:v>
      </x:c>
      <x:c r="D13" s="8" t="n">
        <x:v>2551266</x:v>
      </x:c>
      <x:c r="E13" s="8" t="n">
        <x:v>664165</x:v>
      </x:c>
      <x:c r="F13" s="8" t="n">
        <x:v>692034</x:v>
      </x:c>
      <x:c r="G13" s="8" t="n">
        <x:v>342546</x:v>
      </x:c>
      <x:c r="H13" s="8" t="n">
        <x:v>852521</x:v>
      </x:c>
      <x:c r="I13" s="8" t="n">
        <x:v>71649</x:v>
      </x:c>
      <x:c r="J13" s="8" t="n">
        <x:v>31096</x:v>
      </x:c>
      <x:c r="K13" s="8" t="n">
        <x:v>30276</x:v>
      </x:c>
      <x:c r="L13" s="8" t="n">
        <x:v>4994</x:v>
      </x:c>
      <x:c r="M13" s="8" t="n">
        <x:v>5283</x:v>
      </x:c>
      <x:c r="N13" s="8" t="n">
        <x:v>0</x:v>
      </x:c>
      <x:c r="O13" s="8" t="n">
        <x:v>0</x:v>
      </x:c>
      <x:c r="P13" s="8" t="n">
        <x:v>1298</x:v>
      </x:c>
      <x:c r="Q13" s="8" t="n">
        <x:v>1213</x:v>
      </x:c>
      <x:c r="R13" s="8" t="n">
        <x:v>2511</x:v>
      </x:c>
      <x:c r="S13" s="8" t="n">
        <x:v>1364</x:v>
      </x:c>
      <x:c r="T13" s="8" t="n">
        <x:v>201</x:v>
      </x:c>
      <x:c r="U13" s="2" t="str">
        <x:v>2025年12月25日現在</x:v>
      </x:c>
      <x:c r="V13" s="2" t="str">
        <x:v>2025-12-25</x:v>
      </x:c>
      <x:c r="W13" s="2" t="str">
        <x:v>https://www.e-stat.go.jp/stat-search/file-download?statInfId=000032059434&amp;fileKind=0</x:v>
      </x:c>
      <x:c r="X13" s="2" t="str">
        <x:v>海上出入貨物!745行、コンテナ個数!130行</x:v>
      </x:c>
      <x:c r="Y13" s="2" t="str">
        <x:v>取得済</x:v>
      </x:c>
      <x:c r="Z13" s="9" t="str">
        <x:f>IF(AND(ISNUMBER(E13),COUNTIFS($A$2:$A$477,EDATE(A13,-12),$B$2:$B$477,B13,$E$2:$E$477,"&gt;0")=1),E13/SUMIFS($E$2:$E$477,$A$2:$A$477,EDATE(A13,-12),$B$2:$B$477,B13)-1,"")</x:f>
      </x:c>
      <x:c r="AA13" s="10" t="str">
        <x:f>IF(COUNTIFS($A$2:$A$477,"&gt;="&amp;EDATE(A13,-2),$A$2:$A$477,"&lt;="&amp;A13,$B$2:$B$477,B13,$E$2:$E$477,"&gt;=0")=3,SUMIFS($E$2:$E$477,$A$2:$A$477,"&gt;="&amp;EDATE(A13,-2),$A$2:$A$477,"&lt;="&amp;A13,$B$2:$B$477,B13)/3,"")</x:f>
      </x:c>
      <x:c r="AB13" s="9" t="str">
        <x:f>IF(AND(ISNUMBER(J13),COUNTIFS($A$2:$A$477,EDATE(A13,-12),$B$2:$B$477,B13,$J$2:$J$477,"&gt;0")=1),J13/SUMIFS($J$2:$J$477,$A$2:$A$477,EDATE(A13,-12),$B$2:$B$477,B13)-1,"")</x:f>
      </x:c>
    </x:row>
    <x:row r="14" ht="21" customHeight="1">
      <x:c r="A14" s="7" t="n">
        <x:v>44228</x:v>
      </x:c>
      <x:c r="B14" s="2" t="str">
        <x:v>熊本</x:v>
      </x:c>
      <x:c r="C14" s="2" t="str">
        <x:v>熊本県</x:v>
      </x:c>
      <x:c r="D14" s="8" t="n">
        <x:v>180279</x:v>
      </x:c>
      <x:c r="E14" s="8" t="n">
        <x:v>4073</x:v>
      </x:c>
      <x:c r="F14" s="8" t="n">
        <x:v>8056</x:v>
      </x:c>
      <x:c r="G14" s="8" t="n">
        <x:v>60280</x:v>
      </x:c>
      <x:c r="H14" s="8" t="n">
        <x:v>107870</x:v>
      </x:c>
      <x:c r="I14" s="8" t="n">
        <x:v>904</x:v>
      </x:c>
      <x:c r="J14" s="8" t="n">
        <x:v>448</x:v>
      </x:c>
      <x:c r="K14" s="8" t="n">
        <x:v>386</x:v>
      </x:c>
      <x:c r="L14" s="8" t="n">
        <x:v>70</x:v>
      </x:c>
      <x:c r="M14" s="8" t="n">
        <x:v>0</x:v>
      </x:c>
      <x:c r="N14" s="8" t="n">
        <x:v>0</x:v>
      </x:c>
      <x:c r="O14" s="8" t="n">
        <x:v>0</x:v>
      </x:c>
      <x:c r="P14" s="8" t="n">
        <x:v>512</x:v>
      </x:c>
      <x:c r="Q14" s="8" t="n">
        <x:v>531</x:v>
      </x:c>
      <x:c r="R14" s="8" t="n">
        <x:v>1043</x:v>
      </x:c>
      <x:c r="S14" s="8" t="n">
        <x:v>31</x:v>
      </x:c>
      <x:c r="T14" s="8" t="n">
        <x:v>8</x:v>
      </x:c>
      <x:c r="U14" s="2" t="str">
        <x:v>2025年12月25日現在</x:v>
      </x:c>
      <x:c r="V14" s="2" t="str">
        <x:v>2025-12-25</x:v>
      </x:c>
      <x:c r="W14" s="2" t="str">
        <x:v>https://www.e-stat.go.jp/stat-search/file-download?statInfId=000032059434&amp;fileKind=0</x:v>
      </x:c>
      <x:c r="X14" s="2" t="str">
        <x:v>海上出入貨物!859行、コンテナ個数!149行</x:v>
      </x:c>
      <x:c r="Y14" s="2" t="str">
        <x:v>取得済</x:v>
      </x:c>
      <x:c r="Z14" s="9" t="str">
        <x:f>IF(AND(ISNUMBER(E14),COUNTIFS($A$2:$A$477,EDATE(A14,-12),$B$2:$B$477,B14,$E$2:$E$477,"&gt;0")=1),E14/SUMIFS($E$2:$E$477,$A$2:$A$477,EDATE(A14,-12),$B$2:$B$477,B14)-1,"")</x:f>
      </x:c>
      <x:c r="AA14" s="10" t="str">
        <x:f>IF(COUNTIFS($A$2:$A$477,"&gt;="&amp;EDATE(A14,-2),$A$2:$A$477,"&lt;="&amp;A14,$B$2:$B$477,B14,$E$2:$E$477,"&gt;=0")=3,SUMIFS($E$2:$E$477,$A$2:$A$477,"&gt;="&amp;EDATE(A14,-2),$A$2:$A$477,"&lt;="&amp;A14,$B$2:$B$477,B14)/3,"")</x:f>
      </x:c>
      <x:c r="AB14" s="9" t="str">
        <x:f>IF(AND(ISNUMBER(J14),COUNTIFS($A$2:$A$477,EDATE(A14,-12),$B$2:$B$477,B14,$J$2:$J$477,"&gt;0")=1),J14/SUMIFS($J$2:$J$477,$A$2:$A$477,EDATE(A14,-12),$B$2:$B$477,B14)-1,"")</x:f>
      </x:c>
    </x:row>
    <x:row r="15" ht="21" customHeight="1">
      <x:c r="A15" s="7" t="n">
        <x:v>44228</x:v>
      </x:c>
      <x:c r="B15" s="2" t="str">
        <x:v>八代</x:v>
      </x:c>
      <x:c r="C15" s="2" t="str">
        <x:v>熊本県</x:v>
      </x:c>
      <x:c r="D15" s="8" t="n">
        <x:v>253140</x:v>
      </x:c>
      <x:c r="E15" s="8" t="n">
        <x:v>21010</x:v>
      </x:c>
      <x:c r="F15" s="8" t="n">
        <x:v>187445</x:v>
      </x:c>
      <x:c r="G15" s="8" t="n">
        <x:v>2907</x:v>
      </x:c>
      <x:c r="H15" s="8" t="n">
        <x:v>41778</x:v>
      </x:c>
      <x:c r="I15" s="8" t="n">
        <x:v>1189</x:v>
      </x:c>
      <x:c r="J15" s="8" t="n">
        <x:v>526</x:v>
      </x:c>
      <x:c r="K15" s="8" t="n">
        <x:v>585</x:v>
      </x:c>
      <x:c r="L15" s="8" t="n">
        <x:v>30</x:v>
      </x:c>
      <x:c r="M15" s="8" t="n">
        <x:v>48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73</x:v>
      </x:c>
      <x:c r="T15" s="8" t="n">
        <x:v>25</x:v>
      </x:c>
      <x:c r="U15" s="2" t="str">
        <x:v>2025年12月25日現在</x:v>
      </x:c>
      <x:c r="V15" s="2" t="str">
        <x:v>2025-12-25</x:v>
      </x:c>
      <x:c r="W15" s="2" t="str">
        <x:v>https://www.e-stat.go.jp/stat-search/file-download?statInfId=000032059434&amp;fileKind=0</x:v>
      </x:c>
      <x:c r="X15" s="2" t="str">
        <x:v>海上出入貨物!847行、コンテナ個数!147行</x:v>
      </x:c>
      <x:c r="Y15" s="2" t="str">
        <x:v>取得済</x:v>
      </x:c>
      <x:c r="Z15" s="9" t="str">
        <x:f>IF(AND(ISNUMBER(E15),COUNTIFS($A$2:$A$477,EDATE(A15,-12),$B$2:$B$477,B15,$E$2:$E$477,"&gt;0")=1),E15/SUMIFS($E$2:$E$477,$A$2:$A$477,EDATE(A15,-12),$B$2:$B$477,B15)-1,"")</x:f>
      </x:c>
      <x:c r="AA15" s="10" t="str">
        <x:f>IF(COUNTIFS($A$2:$A$477,"&gt;="&amp;EDATE(A15,-2),$A$2:$A$477,"&lt;="&amp;A15,$B$2:$B$477,B15,$E$2:$E$477,"&gt;=0")=3,SUMIFS($E$2:$E$477,$A$2:$A$477,"&gt;="&amp;EDATE(A15,-2),$A$2:$A$477,"&lt;="&amp;A15,$B$2:$B$477,B15)/3,"")</x:f>
      </x:c>
      <x:c r="AB15" s="9" t="str">
        <x:f>IF(AND(ISNUMBER(J15),COUNTIFS($A$2:$A$477,EDATE(A15,-12),$B$2:$B$477,B15,$J$2:$J$477,"&gt;0")=1),J15/SUMIFS($J$2:$J$477,$A$2:$A$477,EDATE(A15,-12),$B$2:$B$477,B15)-1,"")</x:f>
      </x:c>
    </x:row>
    <x:row r="16" ht="21" customHeight="1">
      <x:c r="A16" s="7" t="n">
        <x:v>44256</x:v>
      </x:c>
      <x:c r="B16" s="2" t="str">
        <x:v>仙台塩釜</x:v>
      </x:c>
      <x:c r="C16" s="2" t="str">
        <x:v>宮城県</x:v>
      </x:c>
      <x:c r="D16" s="8" t="n">
        <x:v>3188225</x:v>
      </x:c>
      <x:c r="E16" s="8" t="n">
        <x:v>120643</x:v>
      </x:c>
      <x:c r="F16" s="8" t="n">
        <x:v>666609</x:v>
      </x:c>
      <x:c r="G16" s="8" t="n">
        <x:v>952160</x:v>
      </x:c>
      <x:c r="H16" s="8" t="n">
        <x:v>1448813</x:v>
      </x:c>
      <x:c r="I16" s="8" t="n">
        <x:v>23027</x:v>
      </x:c>
      <x:c r="J16" s="8" t="n">
        <x:v>7488</x:v>
      </x:c>
      <x:c r="K16" s="8" t="n">
        <x:v>7634</x:v>
      </x:c>
      <x:c r="L16" s="8" t="n">
        <x:v>3878</x:v>
      </x:c>
      <x:c r="M16" s="8" t="n">
        <x:v>4027</x:v>
      </x:c>
      <x:c r="N16" s="8" t="n">
        <x:v>0</x:v>
      </x:c>
      <x:c r="O16" s="8" t="n">
        <x:v>0</x:v>
      </x:c>
      <x:c r="P16" s="8" t="n">
        <x:v>561</x:v>
      </x:c>
      <x:c r="Q16" s="8" t="n">
        <x:v>553</x:v>
      </x:c>
      <x:c r="R16" s="8" t="n">
        <x:v>1114</x:v>
      </x:c>
      <x:c r="S16" s="8" t="n">
        <x:v>1423</x:v>
      </x:c>
      <x:c r="T16" s="8" t="n">
        <x:v>96</x:v>
      </x:c>
      <x:c r="U16" s="2" t="str">
        <x:v>2025年12月25日現在</x:v>
      </x:c>
      <x:c r="V16" s="2" t="str">
        <x:v>2025-12-25</x:v>
      </x:c>
      <x:c r="W16" s="2" t="str">
        <x:v>https://www.e-stat.go.jp/stat-search/file-download?statInfId=000032059434&amp;fileKind=0</x:v>
      </x:c>
      <x:c r="X16" s="2" t="str">
        <x:v>海上出入貨物!139行、コンテナ個数!29行</x:v>
      </x:c>
      <x:c r="Y16" s="2" t="str">
        <x:v>取得済</x:v>
      </x:c>
      <x:c r="Z16" s="9" t="str">
        <x:f>IF(AND(ISNUMBER(E16),COUNTIFS($A$2:$A$477,EDATE(A16,-12),$B$2:$B$477,B16,$E$2:$E$477,"&gt;0")=1),E16/SUMIFS($E$2:$E$477,$A$2:$A$477,EDATE(A16,-12),$B$2:$B$477,B16)-1,"")</x:f>
      </x:c>
      <x:c r="AA16" s="10" t="n">
        <x:f>IF(COUNTIFS($A$2:$A$477,"&gt;="&amp;EDATE(A16,-2),$A$2:$A$477,"&lt;="&amp;A16,$B$2:$B$477,B16,$E$2:$E$477,"&gt;=0")=3,SUMIFS($E$2:$E$477,$A$2:$A$477,"&gt;="&amp;EDATE(A16,-2),$A$2:$A$477,"&lt;="&amp;A16,$B$2:$B$477,B16)/3,"")</x:f>
        <x:v>100808</x:v>
      </x:c>
      <x:c r="AB16" s="9" t="str">
        <x:f>IF(AND(ISNUMBER(J16),COUNTIFS($A$2:$A$477,EDATE(A16,-12),$B$2:$B$477,B16,$J$2:$J$477,"&gt;0")=1),J16/SUMIFS($J$2:$J$477,$A$2:$A$477,EDATE(A16,-12),$B$2:$B$477,B16)-1,"")</x:f>
      </x:c>
    </x:row>
    <x:row r="17" ht="21" customHeight="1">
      <x:c r="A17" s="7" t="n">
        <x:v>44256</x:v>
      </x:c>
      <x:c r="B17" s="2" t="str">
        <x:v>東京</x:v>
      </x:c>
      <x:c r="C17" s="2" t="str">
        <x:v>東京都</x:v>
      </x:c>
      <x:c r="D17" s="8" t="n">
        <x:v>7618262</x:v>
      </x:c>
      <x:c r="E17" s="8" t="n">
        <x:v>1226865</x:v>
      </x:c>
      <x:c r="F17" s="8" t="n">
        <x:v>2978555</x:v>
      </x:c>
      <x:c r="G17" s="8" t="n">
        <x:v>1478372</x:v>
      </x:c>
      <x:c r="H17" s="8" t="n">
        <x:v>1934470</x:v>
      </x:c>
      <x:c r="I17" s="8" t="n">
        <x:v>427973</x:v>
      </x:c>
      <x:c r="J17" s="8" t="n">
        <x:v>170373</x:v>
      </x:c>
      <x:c r="K17" s="8" t="n">
        <x:v>201125</x:v>
      </x:c>
      <x:c r="L17" s="8" t="n">
        <x:v>40060</x:v>
      </x:c>
      <x:c r="M17" s="8" t="n">
        <x:v>16415</x:v>
      </x:c>
      <x:c r="N17" s="8" t="n">
        <x:v>0</x:v>
      </x:c>
      <x:c r="O17" s="8" t="n">
        <x:v>0</x:v>
      </x:c>
      <x:c r="P17" s="8" t="n">
        <x:v>440</x:v>
      </x:c>
      <x:c r="Q17" s="8" t="n">
        <x:v>204</x:v>
      </x:c>
      <x:c r="R17" s="8" t="n">
        <x:v>644</x:v>
      </x:c>
      <x:c r="S17" s="8" t="n">
        <x:v>1738</x:v>
      </x:c>
      <x:c r="T17" s="8" t="n">
        <x:v>409</x:v>
      </x:c>
      <x:c r="U17" s="2" t="str">
        <x:v>2025年12月25日現在</x:v>
      </x:c>
      <x:c r="V17" s="2" t="str">
        <x:v>2025-12-25</x:v>
      </x:c>
      <x:c r="W17" s="2" t="str">
        <x:v>https://www.e-stat.go.jp/stat-search/file-download?statInfId=000032059434&amp;fileKind=0</x:v>
      </x:c>
      <x:c r="X17" s="2" t="str">
        <x:v>海上出入貨物!205行、コンテナ個数!40行</x:v>
      </x:c>
      <x:c r="Y17" s="2" t="str">
        <x:v>取得済</x:v>
      </x:c>
      <x:c r="Z17" s="9" t="str">
        <x:f>IF(AND(ISNUMBER(E17),COUNTIFS($A$2:$A$477,EDATE(A17,-12),$B$2:$B$477,B17,$E$2:$E$477,"&gt;0")=1),E17/SUMIFS($E$2:$E$477,$A$2:$A$477,EDATE(A17,-12),$B$2:$B$477,B17)-1,"")</x:f>
      </x:c>
      <x:c r="AA17" s="10" t="n">
        <x:f>IF(COUNTIFS($A$2:$A$477,"&gt;="&amp;EDATE(A17,-2),$A$2:$A$477,"&lt;="&amp;A17,$B$2:$B$477,B17,$E$2:$E$477,"&gt;=0")=3,SUMIFS($E$2:$E$477,$A$2:$A$477,"&gt;="&amp;EDATE(A17,-2),$A$2:$A$477,"&lt;="&amp;A17,$B$2:$B$477,B17)/3,"")</x:f>
        <x:v>1059237.6666666667</x:v>
      </x:c>
      <x:c r="AB17" s="9" t="str">
        <x:f>IF(AND(ISNUMBER(J17),COUNTIFS($A$2:$A$477,EDATE(A17,-12),$B$2:$B$477,B17,$J$2:$J$477,"&gt;0")=1),J17/SUMIFS($J$2:$J$477,$A$2:$A$477,EDATE(A17,-12),$B$2:$B$477,B17)-1,"")</x:f>
      </x:c>
    </x:row>
    <x:row r="18" ht="21" customHeight="1">
      <x:c r="A18" s="7" t="n">
        <x:v>44256</x:v>
      </x:c>
      <x:c r="B18" s="2" t="str">
        <x:v>横浜</x:v>
      </x:c>
      <x:c r="C18" s="2" t="str">
        <x:v>神奈川県</x:v>
      </x:c>
      <x:c r="D18" s="8" t="n">
        <x:v>9269225</x:v>
      </x:c>
      <x:c r="E18" s="8" t="n">
        <x:v>2740954</x:v>
      </x:c>
      <x:c r="F18" s="8" t="n">
        <x:v>4148607</x:v>
      </x:c>
      <x:c r="G18" s="8" t="n">
        <x:v>1107811</x:v>
      </x:c>
      <x:c r="H18" s="8" t="n">
        <x:v>1271853</x:v>
      </x:c>
      <x:c r="I18" s="8" t="n">
        <x:v>260981</x:v>
      </x:c>
      <x:c r="J18" s="8" t="n">
        <x:v>128459</x:v>
      </x:c>
      <x:c r="K18" s="8" t="n">
        <x:v>109197</x:v>
      </x:c>
      <x:c r="L18" s="8" t="n">
        <x:v>10370</x:v>
      </x:c>
      <x:c r="M18" s="8" t="n">
        <x:v>12955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2358</x:v>
      </x:c>
      <x:c r="T18" s="8" t="n">
        <x:v>775</x:v>
      </x:c>
      <x:c r="U18" s="2" t="str">
        <x:v>2025年12月25日現在</x:v>
      </x:c>
      <x:c r="V18" s="2" t="str">
        <x:v>2025-12-25</x:v>
      </x:c>
      <x:c r="W18" s="2" t="str">
        <x:v>https://www.e-stat.go.jp/stat-search/file-download?statInfId=000032059434&amp;fileKind=0</x:v>
      </x:c>
      <x:c r="X18" s="2" t="str">
        <x:v>海上出入貨物!217行、コンテナ個数!42行</x:v>
      </x:c>
      <x:c r="Y18" s="2" t="str">
        <x:v>取得済</x:v>
      </x:c>
      <x:c r="Z18" s="9" t="str">
        <x:f>IF(AND(ISNUMBER(E18),COUNTIFS($A$2:$A$477,EDATE(A18,-12),$B$2:$B$477,B18,$E$2:$E$477,"&gt;0")=1),E18/SUMIFS($E$2:$E$477,$A$2:$A$477,EDATE(A18,-12),$B$2:$B$477,B18)-1,"")</x:f>
      </x:c>
      <x:c r="AA18" s="10" t="n">
        <x:f>IF(COUNTIFS($A$2:$A$477,"&gt;="&amp;EDATE(A18,-2),$A$2:$A$477,"&lt;="&amp;A18,$B$2:$B$477,B18,$E$2:$E$477,"&gt;=0")=3,SUMIFS($E$2:$E$477,$A$2:$A$477,"&gt;="&amp;EDATE(A18,-2),$A$2:$A$477,"&lt;="&amp;A18,$B$2:$B$477,B18)/3,"")</x:f>
        <x:v>2319856</x:v>
      </x:c>
      <x:c r="AB18" s="9" t="str">
        <x:f>IF(AND(ISNUMBER(J18),COUNTIFS($A$2:$A$477,EDATE(A18,-12),$B$2:$B$477,B18,$J$2:$J$477,"&gt;0")=1),J18/SUMIFS($J$2:$J$477,$A$2:$A$477,EDATE(A18,-12),$B$2:$B$477,B18)-1,"")</x:f>
      </x:c>
    </x:row>
    <x:row r="19" ht="21" customHeight="1">
      <x:c r="A19" s="7" t="n">
        <x:v>44256</x:v>
      </x:c>
      <x:c r="B19" s="2" t="str">
        <x:v>清水</x:v>
      </x:c>
      <x:c r="C19" s="2" t="str">
        <x:v>静岡県</x:v>
      </x:c>
      <x:c r="D19" s="8" t="n">
        <x:v>1490501</x:v>
      </x:c>
      <x:c r="E19" s="8" t="n">
        <x:v>324030</x:v>
      </x:c>
      <x:c r="F19" s="8" t="n">
        <x:v>522374</x:v>
      </x:c>
      <x:c r="G19" s="8" t="n">
        <x:v>201353</x:v>
      </x:c>
      <x:c r="H19" s="8" t="n">
        <x:v>442744</x:v>
      </x:c>
      <x:c r="I19" s="8" t="n">
        <x:v>49834</x:v>
      </x:c>
      <x:c r="J19" s="8" t="n">
        <x:v>19034</x:v>
      </x:c>
      <x:c r="K19" s="8" t="n">
        <x:v>18346</x:v>
      </x:c>
      <x:c r="L19" s="8" t="n">
        <x:v>5802</x:v>
      </x:c>
      <x:c r="M19" s="8" t="n">
        <x:v>6652</x:v>
      </x:c>
      <x:c r="N19" s="8" t="n">
        <x:v>0</x:v>
      </x:c>
      <x:c r="O19" s="8" t="n">
        <x:v>0</x:v>
      </x:c>
      <x:c r="P19" s="8" t="n">
        <x:v>3</x:v>
      </x:c>
      <x:c r="Q19" s="8" t="n">
        <x:v>1</x:v>
      </x:c>
      <x:c r="R19" s="8" t="n">
        <x:v>4</x:v>
      </x:c>
      <x:c r="S19" s="8" t="n">
        <x:v>490</x:v>
      </x:c>
      <x:c r="T19" s="8" t="n">
        <x:v>143</x:v>
      </x:c>
      <x:c r="U19" s="2" t="str">
        <x:v>2025年12月25日現在</x:v>
      </x:c>
      <x:c r="V19" s="2" t="str">
        <x:v>2025-12-25</x:v>
      </x:c>
      <x:c r="W19" s="2" t="str">
        <x:v>https://www.e-stat.go.jp/stat-search/file-download?statInfId=000032059434&amp;fileKind=0</x:v>
      </x:c>
      <x:c r="X19" s="2" t="str">
        <x:v>海上出入貨物!313行、コンテナ個数!58行</x:v>
      </x:c>
      <x:c r="Y19" s="2" t="str">
        <x:v>取得済</x:v>
      </x:c>
      <x:c r="Z19" s="9" t="str">
        <x:f>IF(AND(ISNUMBER(E19),COUNTIFS($A$2:$A$477,EDATE(A19,-12),$B$2:$B$477,B19,$E$2:$E$477,"&gt;0")=1),E19/SUMIFS($E$2:$E$477,$A$2:$A$477,EDATE(A19,-12),$B$2:$B$477,B19)-1,"")</x:f>
      </x:c>
      <x:c r="AA19" s="10" t="n">
        <x:f>IF(COUNTIFS($A$2:$A$477,"&gt;="&amp;EDATE(A19,-2),$A$2:$A$477,"&lt;="&amp;A19,$B$2:$B$477,B19,$E$2:$E$477,"&gt;=0")=3,SUMIFS($E$2:$E$477,$A$2:$A$477,"&gt;="&amp;EDATE(A19,-2),$A$2:$A$477,"&lt;="&amp;A19,$B$2:$B$477,B19)/3,"")</x:f>
        <x:v>292691.3333333333</x:v>
      </x:c>
      <x:c r="AB19" s="9" t="str">
        <x:f>IF(AND(ISNUMBER(J19),COUNTIFS($A$2:$A$477,EDATE(A19,-12),$B$2:$B$477,B19,$J$2:$J$477,"&gt;0")=1),J19/SUMIFS($J$2:$J$477,$A$2:$A$477,EDATE(A19,-12),$B$2:$B$477,B19)-1,"")</x:f>
      </x:c>
    </x:row>
    <x:row r="20" ht="21" customHeight="1">
      <x:c r="A20" s="7" t="n">
        <x:v>44256</x:v>
      </x:c>
      <x:c r="B20" s="2" t="str">
        <x:v>博多</x:v>
      </x:c>
      <x:c r="C20" s="2" t="str">
        <x:v>福岡県</x:v>
      </x:c>
      <x:c r="D20" s="8" t="n">
        <x:v>3306169</x:v>
      </x:c>
      <x:c r="E20" s="8" t="n">
        <x:v>873888</x:v>
      </x:c>
      <x:c r="F20" s="8" t="n">
        <x:v>968294</x:v>
      </x:c>
      <x:c r="G20" s="8" t="n">
        <x:v>452422</x:v>
      </x:c>
      <x:c r="H20" s="8" t="n">
        <x:v>1011565</x:v>
      </x:c>
      <x:c r="I20" s="8" t="n">
        <x:v>94493</x:v>
      </x:c>
      <x:c r="J20" s="8" t="n">
        <x:v>38062</x:v>
      </x:c>
      <x:c r="K20" s="8" t="n">
        <x:v>41075</x:v>
      </x:c>
      <x:c r="L20" s="8" t="n">
        <x:v>7408</x:v>
      </x:c>
      <x:c r="M20" s="8" t="n">
        <x:v>7948</x:v>
      </x:c>
      <x:c r="N20" s="8" t="n">
        <x:v>0</x:v>
      </x:c>
      <x:c r="O20" s="8" t="n">
        <x:v>0</x:v>
      </x:c>
      <x:c r="P20" s="8" t="n">
        <x:v>1520</x:v>
      </x:c>
      <x:c r="Q20" s="8" t="n">
        <x:v>1484</x:v>
      </x:c>
      <x:c r="R20" s="8" t="n">
        <x:v>3004</x:v>
      </x:c>
      <x:c r="S20" s="8" t="n">
        <x:v>1615</x:v>
      </x:c>
      <x:c r="T20" s="8" t="n">
        <x:v>246</x:v>
      </x:c>
      <x:c r="U20" s="2" t="str">
        <x:v>2025年12月25日現在</x:v>
      </x:c>
      <x:c r="V20" s="2" t="str">
        <x:v>2025-12-25</x:v>
      </x:c>
      <x:c r="W20" s="2" t="str">
        <x:v>https://www.e-stat.go.jp/stat-search/file-download?statInfId=000032059434&amp;fileKind=0</x:v>
      </x:c>
      <x:c r="X20" s="2" t="str">
        <x:v>海上出入貨物!745行、コンテナ個数!130行</x:v>
      </x:c>
      <x:c r="Y20" s="2" t="str">
        <x:v>取得済</x:v>
      </x:c>
      <x:c r="Z20" s="9" t="str">
        <x:f>IF(AND(ISNUMBER(E20),COUNTIFS($A$2:$A$477,EDATE(A20,-12),$B$2:$B$477,B20,$E$2:$E$477,"&gt;0")=1),E20/SUMIFS($E$2:$E$477,$A$2:$A$477,EDATE(A20,-12),$B$2:$B$477,B20)-1,"")</x:f>
      </x:c>
      <x:c r="AA20" s="10" t="n">
        <x:f>IF(COUNTIFS($A$2:$A$477,"&gt;="&amp;EDATE(A20,-2),$A$2:$A$477,"&lt;="&amp;A20,$B$2:$B$477,B20,$E$2:$E$477,"&gt;=0")=3,SUMIFS($E$2:$E$477,$A$2:$A$477,"&gt;="&amp;EDATE(A20,-2),$A$2:$A$477,"&lt;="&amp;A20,$B$2:$B$477,B20)/3,"")</x:f>
        <x:v>716505</x:v>
      </x:c>
      <x:c r="AB20" s="9" t="str">
        <x:f>IF(AND(ISNUMBER(J20),COUNTIFS($A$2:$A$477,EDATE(A20,-12),$B$2:$B$477,B20,$J$2:$J$477,"&gt;0")=1),J20/SUMIFS($J$2:$J$477,$A$2:$A$477,EDATE(A20,-12),$B$2:$B$477,B20)-1,"")</x:f>
      </x:c>
    </x:row>
    <x:row r="21" ht="21" customHeight="1">
      <x:c r="A21" s="7" t="n">
        <x:v>44256</x:v>
      </x:c>
      <x:c r="B21" s="2" t="str">
        <x:v>熊本</x:v>
      </x:c>
      <x:c r="C21" s="2" t="str">
        <x:v>熊本県</x:v>
      </x:c>
      <x:c r="D21" s="8" t="n">
        <x:v>244840</x:v>
      </x:c>
      <x:c r="E21" s="8" t="n">
        <x:v>7994</x:v>
      </x:c>
      <x:c r="F21" s="8" t="n">
        <x:v>11017</x:v>
      </x:c>
      <x:c r="G21" s="8" t="n">
        <x:v>87894</x:v>
      </x:c>
      <x:c r="H21" s="8" t="n">
        <x:v>137935</x:v>
      </x:c>
      <x:c r="I21" s="8" t="n">
        <x:v>1011</x:v>
      </x:c>
      <x:c r="J21" s="8" t="n">
        <x:v>485</x:v>
      </x:c>
      <x:c r="K21" s="8" t="n">
        <x:v>504</x:v>
      </x:c>
      <x:c r="L21" s="8" t="n">
        <x:v>0</x:v>
      </x:c>
      <x:c r="M21" s="8" t="n">
        <x:v>22</x:v>
      </x:c>
      <x:c r="N21" s="8" t="n">
        <x:v>0</x:v>
      </x:c>
      <x:c r="O21" s="8" t="n">
        <x:v>0</x:v>
      </x:c>
      <x:c r="P21" s="8" t="n">
        <x:v>767</x:v>
      </x:c>
      <x:c r="Q21" s="8" t="n">
        <x:v>782</x:v>
      </x:c>
      <x:c r="R21" s="8" t="n">
        <x:v>1549</x:v>
      </x:c>
      <x:c r="S21" s="8" t="n">
        <x:v>43</x:v>
      </x:c>
      <x:c r="T21" s="8" t="n">
        <x:v>9</x:v>
      </x:c>
      <x:c r="U21" s="2" t="str">
        <x:v>2025年12月25日現在</x:v>
      </x:c>
      <x:c r="V21" s="2" t="str">
        <x:v>2025-12-25</x:v>
      </x:c>
      <x:c r="W21" s="2" t="str">
        <x:v>https://www.e-stat.go.jp/stat-search/file-download?statInfId=000032059434&amp;fileKind=0</x:v>
      </x:c>
      <x:c r="X21" s="2" t="str">
        <x:v>海上出入貨物!859行、コンテナ個数!149行</x:v>
      </x:c>
      <x:c r="Y21" s="2" t="str">
        <x:v>取得済</x:v>
      </x:c>
      <x:c r="Z21" s="9" t="str">
        <x:f>IF(AND(ISNUMBER(E21),COUNTIFS($A$2:$A$477,EDATE(A21,-12),$B$2:$B$477,B21,$E$2:$E$477,"&gt;0")=1),E21/SUMIFS($E$2:$E$477,$A$2:$A$477,EDATE(A21,-12),$B$2:$B$477,B21)-1,"")</x:f>
      </x:c>
      <x:c r="AA21" s="10" t="n">
        <x:f>IF(COUNTIFS($A$2:$A$477,"&gt;="&amp;EDATE(A21,-2),$A$2:$A$477,"&lt;="&amp;A21,$B$2:$B$477,B21,$E$2:$E$477,"&gt;=0")=3,SUMIFS($E$2:$E$477,$A$2:$A$477,"&gt;="&amp;EDATE(A21,-2),$A$2:$A$477,"&lt;="&amp;A21,$B$2:$B$477,B21)/3,"")</x:f>
        <x:v>4904</x:v>
      </x:c>
      <x:c r="AB21" s="9" t="str">
        <x:f>IF(AND(ISNUMBER(J21),COUNTIFS($A$2:$A$477,EDATE(A21,-12),$B$2:$B$477,B21,$J$2:$J$477,"&gt;0")=1),J21/SUMIFS($J$2:$J$477,$A$2:$A$477,EDATE(A21,-12),$B$2:$B$477,B21)-1,"")</x:f>
      </x:c>
    </x:row>
    <x:row r="22" ht="21" customHeight="1">
      <x:c r="A22" s="7" t="n">
        <x:v>44256</x:v>
      </x:c>
      <x:c r="B22" s="2" t="str">
        <x:v>八代</x:v>
      </x:c>
      <x:c r="C22" s="2" t="str">
        <x:v>熊本県</x:v>
      </x:c>
      <x:c r="D22" s="8" t="n">
        <x:v>265544</x:v>
      </x:c>
      <x:c r="E22" s="8" t="n">
        <x:v>26516</x:v>
      </x:c>
      <x:c r="F22" s="8" t="n">
        <x:v>124322</x:v>
      </x:c>
      <x:c r="G22" s="8" t="n">
        <x:v>8844</x:v>
      </x:c>
      <x:c r="H22" s="8" t="n">
        <x:v>105862</x:v>
      </x:c>
      <x:c r="I22" s="8" t="n">
        <x:v>1181</x:v>
      </x:c>
      <x:c r="J22" s="8" t="n">
        <x:v>602</x:v>
      </x:c>
      <x:c r="K22" s="8" t="n">
        <x:v>365</x:v>
      </x:c>
      <x:c r="L22" s="8" t="n">
        <x:v>146</x:v>
      </x:c>
      <x:c r="M22" s="8" t="n">
        <x:v>68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131</x:v>
      </x:c>
      <x:c r="T22" s="8" t="n">
        <x:v>31</x:v>
      </x:c>
      <x:c r="U22" s="2" t="str">
        <x:v>2025年12月25日現在</x:v>
      </x:c>
      <x:c r="V22" s="2" t="str">
        <x:v>2025-12-25</x:v>
      </x:c>
      <x:c r="W22" s="2" t="str">
        <x:v>https://www.e-stat.go.jp/stat-search/file-download?statInfId=000032059434&amp;fileKind=0</x:v>
      </x:c>
      <x:c r="X22" s="2" t="str">
        <x:v>海上出入貨物!847行、コンテナ個数!147行</x:v>
      </x:c>
      <x:c r="Y22" s="2" t="str">
        <x:v>取得済</x:v>
      </x:c>
      <x:c r="Z22" s="9" t="str">
        <x:f>IF(AND(ISNUMBER(E22),COUNTIFS($A$2:$A$477,EDATE(A22,-12),$B$2:$B$477,B22,$E$2:$E$477,"&gt;0")=1),E22/SUMIFS($E$2:$E$477,$A$2:$A$477,EDATE(A22,-12),$B$2:$B$477,B22)-1,"")</x:f>
      </x:c>
      <x:c r="AA22" s="10" t="n">
        <x:f>IF(COUNTIFS($A$2:$A$477,"&gt;="&amp;EDATE(A22,-2),$A$2:$A$477,"&lt;="&amp;A22,$B$2:$B$477,B22,$E$2:$E$477,"&gt;=0")=3,SUMIFS($E$2:$E$477,$A$2:$A$477,"&gt;="&amp;EDATE(A22,-2),$A$2:$A$477,"&lt;="&amp;A22,$B$2:$B$477,B22)/3,"")</x:f>
        <x:v>19639.333333333332</x:v>
      </x:c>
      <x:c r="AB22" s="9" t="str">
        <x:f>IF(AND(ISNUMBER(J22),COUNTIFS($A$2:$A$477,EDATE(A22,-12),$B$2:$B$477,B22,$J$2:$J$477,"&gt;0")=1),J22/SUMIFS($J$2:$J$477,$A$2:$A$477,EDATE(A22,-12),$B$2:$B$477,B22)-1,"")</x:f>
      </x:c>
    </x:row>
    <x:row r="23" ht="21" customHeight="1">
      <x:c r="A23" s="7" t="n">
        <x:v>44287</x:v>
      </x:c>
      <x:c r="B23" s="2" t="str">
        <x:v>仙台塩釜</x:v>
      </x:c>
      <x:c r="C23" s="2" t="str">
        <x:v>宮城県</x:v>
      </x:c>
      <x:c r="D23" s="8" t="n">
        <x:v>3182262</x:v>
      </x:c>
      <x:c r="E23" s="8" t="n">
        <x:v>92088</x:v>
      </x:c>
      <x:c r="F23" s="8" t="n">
        <x:v>845918</x:v>
      </x:c>
      <x:c r="G23" s="8" t="n">
        <x:v>954736</x:v>
      </x:c>
      <x:c r="H23" s="8" t="n">
        <x:v>1289520</x:v>
      </x:c>
      <x:c r="I23" s="8" t="n">
        <x:v>21519</x:v>
      </x:c>
      <x:c r="J23" s="8" t="n">
        <x:v>7126</x:v>
      </x:c>
      <x:c r="K23" s="8" t="n">
        <x:v>6836</x:v>
      </x:c>
      <x:c r="L23" s="8" t="n">
        <x:v>3712</x:v>
      </x:c>
      <x:c r="M23" s="8" t="n">
        <x:v>3845</x:v>
      </x:c>
      <x:c r="N23" s="8" t="n">
        <x:v>0</x:v>
      </x:c>
      <x:c r="O23" s="8" t="n">
        <x:v>0</x:v>
      </x:c>
      <x:c r="P23" s="8" t="n">
        <x:v>574</x:v>
      </x:c>
      <x:c r="Q23" s="8" t="n">
        <x:v>605</x:v>
      </x:c>
      <x:c r="R23" s="8" t="n">
        <x:v>1179</x:v>
      </x:c>
      <x:c r="S23" s="8" t="n">
        <x:v>1325</x:v>
      </x:c>
      <x:c r="T23" s="8" t="n">
        <x:v>101</x:v>
      </x:c>
      <x:c r="U23" s="2" t="str">
        <x:v>2025年12月25日現在</x:v>
      </x:c>
      <x:c r="V23" s="2" t="str">
        <x:v>2025-12-25</x:v>
      </x:c>
      <x:c r="W23" s="2" t="str">
        <x:v>https://www.e-stat.go.jp/stat-search/file-download?statInfId=000032059434&amp;fileKind=0</x:v>
      </x:c>
      <x:c r="X23" s="2" t="str">
        <x:v>海上出入貨物!139行、コンテナ個数!29行</x:v>
      </x:c>
      <x:c r="Y23" s="2" t="str">
        <x:v>取得済</x:v>
      </x:c>
      <x:c r="Z23" s="9" t="str">
        <x:f>IF(AND(ISNUMBER(E23),COUNTIFS($A$2:$A$477,EDATE(A23,-12),$B$2:$B$477,B23,$E$2:$E$477,"&gt;0")=1),E23/SUMIFS($E$2:$E$477,$A$2:$A$477,EDATE(A23,-12),$B$2:$B$477,B23)-1,"")</x:f>
      </x:c>
      <x:c r="AA23" s="10" t="n">
        <x:f>IF(COUNTIFS($A$2:$A$477,"&gt;="&amp;EDATE(A23,-2),$A$2:$A$477,"&lt;="&amp;A23,$B$2:$B$477,B23,$E$2:$E$477,"&gt;=0")=3,SUMIFS($E$2:$E$477,$A$2:$A$477,"&gt;="&amp;EDATE(A23,-2),$A$2:$A$477,"&lt;="&amp;A23,$B$2:$B$477,B23)/3,"")</x:f>
        <x:v>106640.33333333333</x:v>
      </x:c>
      <x:c r="AB23" s="9" t="str">
        <x:f>IF(AND(ISNUMBER(J23),COUNTIFS($A$2:$A$477,EDATE(A23,-12),$B$2:$B$477,B23,$J$2:$J$477,"&gt;0")=1),J23/SUMIFS($J$2:$J$477,$A$2:$A$477,EDATE(A23,-12),$B$2:$B$477,B23)-1,"")</x:f>
      </x:c>
    </x:row>
    <x:row r="24" ht="21" customHeight="1">
      <x:c r="A24" s="7" t="n">
        <x:v>44287</x:v>
      </x:c>
      <x:c r="B24" s="2" t="str">
        <x:v>東京</x:v>
      </x:c>
      <x:c r="C24" s="2" t="str">
        <x:v>東京都</x:v>
      </x:c>
      <x:c r="D24" s="8" t="n">
        <x:v>7440773</x:v>
      </x:c>
      <x:c r="E24" s="8" t="n">
        <x:v>1143051</x:v>
      </x:c>
      <x:c r="F24" s="8" t="n">
        <x:v>3075151</x:v>
      </x:c>
      <x:c r="G24" s="8" t="n">
        <x:v>1341542</x:v>
      </x:c>
      <x:c r="H24" s="8" t="n">
        <x:v>1881029</x:v>
      </x:c>
      <x:c r="I24" s="8" t="n">
        <x:v>425926</x:v>
      </x:c>
      <x:c r="J24" s="8" t="n">
        <x:v>169390</x:v>
      </x:c>
      <x:c r="K24" s="8" t="n">
        <x:v>205976</x:v>
      </x:c>
      <x:c r="L24" s="8" t="n">
        <x:v>36067</x:v>
      </x:c>
      <x:c r="M24" s="8" t="n">
        <x:v>14493</x:v>
      </x:c>
      <x:c r="N24" s="8" t="n">
        <x:v>0</x:v>
      </x:c>
      <x:c r="O24" s="8" t="n">
        <x:v>0</x:v>
      </x:c>
      <x:c r="P24" s="8" t="n">
        <x:v>306</x:v>
      </x:c>
      <x:c r="Q24" s="8" t="n">
        <x:v>191</x:v>
      </x:c>
      <x:c r="R24" s="8" t="n">
        <x:v>497</x:v>
      </x:c>
      <x:c r="S24" s="8" t="n">
        <x:v>1662</x:v>
      </x:c>
      <x:c r="T24" s="8" t="n">
        <x:v>399</x:v>
      </x:c>
      <x:c r="U24" s="2" t="str">
        <x:v>2025年12月25日現在</x:v>
      </x:c>
      <x:c r="V24" s="2" t="str">
        <x:v>2025-12-25</x:v>
      </x:c>
      <x:c r="W24" s="2" t="str">
        <x:v>https://www.e-stat.go.jp/stat-search/file-download?statInfId=000032059434&amp;fileKind=0</x:v>
      </x:c>
      <x:c r="X24" s="2" t="str">
        <x:v>海上出入貨物!205行、コンテナ個数!40行</x:v>
      </x:c>
      <x:c r="Y24" s="2" t="str">
        <x:v>取得済</x:v>
      </x:c>
      <x:c r="Z24" s="9" t="str">
        <x:f>IF(AND(ISNUMBER(E24),COUNTIFS($A$2:$A$477,EDATE(A24,-12),$B$2:$B$477,B24,$E$2:$E$477,"&gt;0")=1),E24/SUMIFS($E$2:$E$477,$A$2:$A$477,EDATE(A24,-12),$B$2:$B$477,B24)-1,"")</x:f>
      </x:c>
      <x:c r="AA24" s="10" t="n">
        <x:f>IF(COUNTIFS($A$2:$A$477,"&gt;="&amp;EDATE(A24,-2),$A$2:$A$477,"&lt;="&amp;A24,$B$2:$B$477,B24,$E$2:$E$477,"&gt;=0")=3,SUMIFS($E$2:$E$477,$A$2:$A$477,"&gt;="&amp;EDATE(A24,-2),$A$2:$A$477,"&lt;="&amp;A24,$B$2:$B$477,B24)/3,"")</x:f>
        <x:v>1152096.3333333333</x:v>
      </x:c>
      <x:c r="AB24" s="9" t="str">
        <x:f>IF(AND(ISNUMBER(J24),COUNTIFS($A$2:$A$477,EDATE(A24,-12),$B$2:$B$477,B24,$J$2:$J$477,"&gt;0")=1),J24/SUMIFS($J$2:$J$477,$A$2:$A$477,EDATE(A24,-12),$B$2:$B$477,B24)-1,"")</x:f>
      </x:c>
    </x:row>
    <x:row r="25" ht="21" customHeight="1">
      <x:c r="A25" s="7" t="n">
        <x:v>44287</x:v>
      </x:c>
      <x:c r="B25" s="2" t="str">
        <x:v>横浜</x:v>
      </x:c>
      <x:c r="C25" s="2" t="str">
        <x:v>神奈川県</x:v>
      </x:c>
      <x:c r="D25" s="8" t="n">
        <x:v>9139427</x:v>
      </x:c>
      <x:c r="E25" s="8" t="n">
        <x:v>2667350</x:v>
      </x:c>
      <x:c r="F25" s="8" t="n">
        <x:v>4103373</x:v>
      </x:c>
      <x:c r="G25" s="8" t="n">
        <x:v>1145702</x:v>
      </x:c>
      <x:c r="H25" s="8" t="n">
        <x:v>1223002</x:v>
      </x:c>
      <x:c r="I25" s="8" t="n">
        <x:v>244380</x:v>
      </x:c>
      <x:c r="J25" s="8" t="n">
        <x:v>119131</x:v>
      </x:c>
      <x:c r="K25" s="8" t="n">
        <x:v>101982</x:v>
      </x:c>
      <x:c r="L25" s="8" t="n">
        <x:v>9286</x:v>
      </x:c>
      <x:c r="M25" s="8" t="n">
        <x:v>13981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2254</x:v>
      </x:c>
      <x:c r="T25" s="8" t="n">
        <x:v>763</x:v>
      </x:c>
      <x:c r="U25" s="2" t="str">
        <x:v>2025年12月25日現在</x:v>
      </x:c>
      <x:c r="V25" s="2" t="str">
        <x:v>2025-12-25</x:v>
      </x:c>
      <x:c r="W25" s="2" t="str">
        <x:v>https://www.e-stat.go.jp/stat-search/file-download?statInfId=000032059434&amp;fileKind=0</x:v>
      </x:c>
      <x:c r="X25" s="2" t="str">
        <x:v>海上出入貨物!217行、コンテナ個数!42行</x:v>
      </x:c>
      <x:c r="Y25" s="2" t="str">
        <x:v>取得済</x:v>
      </x:c>
      <x:c r="Z25" s="9" t="str">
        <x:f>IF(AND(ISNUMBER(E25),COUNTIFS($A$2:$A$477,EDATE(A25,-12),$B$2:$B$477,B25,$E$2:$E$477,"&gt;0")=1),E25/SUMIFS($E$2:$E$477,$A$2:$A$477,EDATE(A25,-12),$B$2:$B$477,B25)-1,"")</x:f>
      </x:c>
      <x:c r="AA25" s="10" t="n">
        <x:f>IF(COUNTIFS($A$2:$A$477,"&gt;="&amp;EDATE(A25,-2),$A$2:$A$477,"&lt;="&amp;A25,$B$2:$B$477,B25,$E$2:$E$477,"&gt;=0")=3,SUMIFS($E$2:$E$477,$A$2:$A$477,"&gt;="&amp;EDATE(A25,-2),$A$2:$A$477,"&lt;="&amp;A25,$B$2:$B$477,B25)/3,"")</x:f>
        <x:v>2551355</x:v>
      </x:c>
      <x:c r="AB25" s="9" t="str">
        <x:f>IF(AND(ISNUMBER(J25),COUNTIFS($A$2:$A$477,EDATE(A25,-12),$B$2:$B$477,B25,$J$2:$J$477,"&gt;0")=1),J25/SUMIFS($J$2:$J$477,$A$2:$A$477,EDATE(A25,-12),$B$2:$B$477,B25)-1,"")</x:f>
      </x:c>
    </x:row>
    <x:row r="26" ht="21" customHeight="1">
      <x:c r="A26" s="7" t="n">
        <x:v>44287</x:v>
      </x:c>
      <x:c r="B26" s="2" t="str">
        <x:v>清水</x:v>
      </x:c>
      <x:c r="C26" s="2" t="str">
        <x:v>静岡県</x:v>
      </x:c>
      <x:c r="D26" s="8" t="n">
        <x:v>1408170</x:v>
      </x:c>
      <x:c r="E26" s="8" t="n">
        <x:v>337160</x:v>
      </x:c>
      <x:c r="F26" s="8" t="n">
        <x:v>494859</x:v>
      </x:c>
      <x:c r="G26" s="8" t="n">
        <x:v>182574</x:v>
      </x:c>
      <x:c r="H26" s="8" t="n">
        <x:v>393577</x:v>
      </x:c>
      <x:c r="I26" s="8" t="n">
        <x:v>51289</x:v>
      </x:c>
      <x:c r="J26" s="8" t="n">
        <x:v>20966</x:v>
      </x:c>
      <x:c r="K26" s="8" t="n">
        <x:v>19240</x:v>
      </x:c>
      <x:c r="L26" s="8" t="n">
        <x:v>4695</x:v>
      </x:c>
      <x:c r="M26" s="8" t="n">
        <x:v>6388</x:v>
      </x:c>
      <x:c r="N26" s="8" t="n">
        <x:v>0</x:v>
      </x:c>
      <x:c r="O26" s="8" t="n">
        <x:v>0</x:v>
      </x:c>
      <x:c r="P26" s="8" t="n">
        <x:v>0</x:v>
      </x:c>
      <x:c r="Q26" s="8" t="n">
        <x:v>6</x:v>
      </x:c>
      <x:c r="R26" s="8" t="n">
        <x:v>6</x:v>
      </x:c>
      <x:c r="S26" s="8" t="n">
        <x:v>479</x:v>
      </x:c>
      <x:c r="T26" s="8" t="n">
        <x:v>139</x:v>
      </x:c>
      <x:c r="U26" s="2" t="str">
        <x:v>2025年12月25日現在</x:v>
      </x:c>
      <x:c r="V26" s="2" t="str">
        <x:v>2025-12-25</x:v>
      </x:c>
      <x:c r="W26" s="2" t="str">
        <x:v>https://www.e-stat.go.jp/stat-search/file-download?statInfId=000032059434&amp;fileKind=0</x:v>
      </x:c>
      <x:c r="X26" s="2" t="str">
        <x:v>海上出入貨物!313行、コンテナ個数!58行</x:v>
      </x:c>
      <x:c r="Y26" s="2" t="str">
        <x:v>取得済</x:v>
      </x:c>
      <x:c r="Z26" s="9" t="str">
        <x:f>IF(AND(ISNUMBER(E26),COUNTIFS($A$2:$A$477,EDATE(A26,-12),$B$2:$B$477,B26,$E$2:$E$477,"&gt;0")=1),E26/SUMIFS($E$2:$E$477,$A$2:$A$477,EDATE(A26,-12),$B$2:$B$477,B26)-1,"")</x:f>
      </x:c>
      <x:c r="AA26" s="10" t="n">
        <x:f>IF(COUNTIFS($A$2:$A$477,"&gt;="&amp;EDATE(A26,-2),$A$2:$A$477,"&lt;="&amp;A26,$B$2:$B$477,B26,$E$2:$E$477,"&gt;=0")=3,SUMIFS($E$2:$E$477,$A$2:$A$477,"&gt;="&amp;EDATE(A26,-2),$A$2:$A$477,"&lt;="&amp;A26,$B$2:$B$477,B26)/3,"")</x:f>
        <x:v>320011.6666666667</x:v>
      </x:c>
      <x:c r="AB26" s="9" t="str">
        <x:f>IF(AND(ISNUMBER(J26),COUNTIFS($A$2:$A$477,EDATE(A26,-12),$B$2:$B$477,B26,$J$2:$J$477,"&gt;0")=1),J26/SUMIFS($J$2:$J$477,$A$2:$A$477,EDATE(A26,-12),$B$2:$B$477,B26)-1,"")</x:f>
      </x:c>
    </x:row>
    <x:row r="27" ht="21" customHeight="1">
      <x:c r="A27" s="7" t="n">
        <x:v>44287</x:v>
      </x:c>
      <x:c r="B27" s="2" t="str">
        <x:v>博多</x:v>
      </x:c>
      <x:c r="C27" s="2" t="str">
        <x:v>福岡県</x:v>
      </x:c>
      <x:c r="D27" s="8" t="n">
        <x:v>3046375</x:v>
      </x:c>
      <x:c r="E27" s="8" t="n">
        <x:v>831751</x:v>
      </x:c>
      <x:c r="F27" s="8" t="n">
        <x:v>904376</x:v>
      </x:c>
      <x:c r="G27" s="8" t="n">
        <x:v>424654</x:v>
      </x:c>
      <x:c r="H27" s="8" t="n">
        <x:v>885594</x:v>
      </x:c>
      <x:c r="I27" s="8" t="n">
        <x:v>88812</x:v>
      </x:c>
      <x:c r="J27" s="8" t="n">
        <x:v>36895</x:v>
      </x:c>
      <x:c r="K27" s="8" t="n">
        <x:v>38052</x:v>
      </x:c>
      <x:c r="L27" s="8" t="n">
        <x:v>6638</x:v>
      </x:c>
      <x:c r="M27" s="8" t="n">
        <x:v>7227</x:v>
      </x:c>
      <x:c r="N27" s="8" t="n">
        <x:v>0</x:v>
      </x:c>
      <x:c r="O27" s="8" t="n">
        <x:v>0</x:v>
      </x:c>
      <x:c r="P27" s="8" t="n">
        <x:v>1432</x:v>
      </x:c>
      <x:c r="Q27" s="8" t="n">
        <x:v>1372</x:v>
      </x:c>
      <x:c r="R27" s="8" t="n">
        <x:v>2804</x:v>
      </x:c>
      <x:c r="S27" s="8" t="n">
        <x:v>1579</x:v>
      </x:c>
      <x:c r="T27" s="8" t="n">
        <x:v>218</x:v>
      </x:c>
      <x:c r="U27" s="2" t="str">
        <x:v>2025年12月25日現在</x:v>
      </x:c>
      <x:c r="V27" s="2" t="str">
        <x:v>2025-12-25</x:v>
      </x:c>
      <x:c r="W27" s="2" t="str">
        <x:v>https://www.e-stat.go.jp/stat-search/file-download?statInfId=000032059434&amp;fileKind=0</x:v>
      </x:c>
      <x:c r="X27" s="2" t="str">
        <x:v>海上出入貨物!745行、コンテナ個数!130行</x:v>
      </x:c>
      <x:c r="Y27" s="2" t="str">
        <x:v>取得済</x:v>
      </x:c>
      <x:c r="Z27" s="9" t="str">
        <x:f>IF(AND(ISNUMBER(E27),COUNTIFS($A$2:$A$477,EDATE(A27,-12),$B$2:$B$477,B27,$E$2:$E$477,"&gt;0")=1),E27/SUMIFS($E$2:$E$477,$A$2:$A$477,EDATE(A27,-12),$B$2:$B$477,B27)-1,"")</x:f>
      </x:c>
      <x:c r="AA27" s="10" t="n">
        <x:f>IF(COUNTIFS($A$2:$A$477,"&gt;="&amp;EDATE(A27,-2),$A$2:$A$477,"&lt;="&amp;A27,$B$2:$B$477,B27,$E$2:$E$477,"&gt;=0")=3,SUMIFS($E$2:$E$477,$A$2:$A$477,"&gt;="&amp;EDATE(A27,-2),$A$2:$A$477,"&lt;="&amp;A27,$B$2:$B$477,B27)/3,"")</x:f>
        <x:v>789934.6666666666</x:v>
      </x:c>
      <x:c r="AB27" s="9" t="str">
        <x:f>IF(AND(ISNUMBER(J27),COUNTIFS($A$2:$A$477,EDATE(A27,-12),$B$2:$B$477,B27,$J$2:$J$477,"&gt;0")=1),J27/SUMIFS($J$2:$J$477,$A$2:$A$477,EDATE(A27,-12),$B$2:$B$477,B27)-1,"")</x:f>
      </x:c>
    </x:row>
    <x:row r="28" ht="21" customHeight="1">
      <x:c r="A28" s="7" t="n">
        <x:v>44287</x:v>
      </x:c>
      <x:c r="B28" s="2" t="str">
        <x:v>熊本</x:v>
      </x:c>
      <x:c r="C28" s="2" t="str">
        <x:v>熊本県</x:v>
      </x:c>
      <x:c r="D28" s="8" t="n">
        <x:v>214972</x:v>
      </x:c>
      <x:c r="E28" s="8" t="n">
        <x:v>8214</x:v>
      </x:c>
      <x:c r="F28" s="8" t="n">
        <x:v>11893</x:v>
      </x:c>
      <x:c r="G28" s="8" t="n">
        <x:v>80485</x:v>
      </x:c>
      <x:c r="H28" s="8" t="n">
        <x:v>114380</x:v>
      </x:c>
      <x:c r="I28" s="8" t="n">
        <x:v>1087</x:v>
      </x:c>
      <x:c r="J28" s="8" t="n">
        <x:v>528</x:v>
      </x:c>
      <x:c r="K28" s="8" t="n">
        <x:v>499</x:v>
      </x:c>
      <x:c r="L28" s="8" t="n">
        <x:v>30</x:v>
      </x:c>
      <x:c r="M28" s="8" t="n">
        <x:v>30</x:v>
      </x:c>
      <x:c r="N28" s="8" t="n">
        <x:v>0</x:v>
      </x:c>
      <x:c r="O28" s="8" t="n">
        <x:v>0</x:v>
      </x:c>
      <x:c r="P28" s="8" t="n">
        <x:v>590</x:v>
      </x:c>
      <x:c r="Q28" s="8" t="n">
        <x:v>609</x:v>
      </x:c>
      <x:c r="R28" s="8" t="n">
        <x:v>1199</x:v>
      </x:c>
      <x:c r="S28" s="8" t="n">
        <x:v>42</x:v>
      </x:c>
      <x:c r="T28" s="8" t="n">
        <x:v>9</x:v>
      </x:c>
      <x:c r="U28" s="2" t="str">
        <x:v>2025年12月25日現在</x:v>
      </x:c>
      <x:c r="V28" s="2" t="str">
        <x:v>2025-12-25</x:v>
      </x:c>
      <x:c r="W28" s="2" t="str">
        <x:v>https://www.e-stat.go.jp/stat-search/file-download?statInfId=000032059434&amp;fileKind=0</x:v>
      </x:c>
      <x:c r="X28" s="2" t="str">
        <x:v>海上出入貨物!859行、コンテナ個数!149行</x:v>
      </x:c>
      <x:c r="Y28" s="2" t="str">
        <x:v>取得済</x:v>
      </x:c>
      <x:c r="Z28" s="9" t="str">
        <x:f>IF(AND(ISNUMBER(E28),COUNTIFS($A$2:$A$477,EDATE(A28,-12),$B$2:$B$477,B28,$E$2:$E$477,"&gt;0")=1),E28/SUMIFS($E$2:$E$477,$A$2:$A$477,EDATE(A28,-12),$B$2:$B$477,B28)-1,"")</x:f>
      </x:c>
      <x:c r="AA28" s="10" t="n">
        <x:f>IF(COUNTIFS($A$2:$A$477,"&gt;="&amp;EDATE(A28,-2),$A$2:$A$477,"&lt;="&amp;A28,$B$2:$B$477,B28,$E$2:$E$477,"&gt;=0")=3,SUMIFS($E$2:$E$477,$A$2:$A$477,"&gt;="&amp;EDATE(A28,-2),$A$2:$A$477,"&lt;="&amp;A28,$B$2:$B$477,B28)/3,"")</x:f>
        <x:v>6760.333333333333</x:v>
      </x:c>
      <x:c r="AB28" s="9" t="str">
        <x:f>IF(AND(ISNUMBER(J28),COUNTIFS($A$2:$A$477,EDATE(A28,-12),$B$2:$B$477,B28,$J$2:$J$477,"&gt;0")=1),J28/SUMIFS($J$2:$J$477,$A$2:$A$477,EDATE(A28,-12),$B$2:$B$477,B28)-1,"")</x:f>
      </x:c>
    </x:row>
    <x:row r="29" ht="21" customHeight="1">
      <x:c r="A29" s="7" t="n">
        <x:v>44287</x:v>
      </x:c>
      <x:c r="B29" s="2" t="str">
        <x:v>八代</x:v>
      </x:c>
      <x:c r="C29" s="2" t="str">
        <x:v>熊本県</x:v>
      </x:c>
      <x:c r="D29" s="8" t="n">
        <x:v>353698</x:v>
      </x:c>
      <x:c r="E29" s="8" t="n">
        <x:v>31715</x:v>
      </x:c>
      <x:c r="F29" s="8" t="n">
        <x:v>139025</x:v>
      </x:c>
      <x:c r="G29" s="8" t="n">
        <x:v>7728</x:v>
      </x:c>
      <x:c r="H29" s="8" t="n">
        <x:v>175230</x:v>
      </x:c>
      <x:c r="I29" s="8" t="n">
        <x:v>2092</x:v>
      </x:c>
      <x:c r="J29" s="8" t="n">
        <x:v>1028</x:v>
      </x:c>
      <x:c r="K29" s="8" t="n">
        <x:v>871</x:v>
      </x:c>
      <x:c r="L29" s="8" t="n">
        <x:v>84</x:v>
      </x:c>
      <x:c r="M29" s="8" t="n">
        <x:v>109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188</x:v>
      </x:c>
      <x:c r="T29" s="8" t="n">
        <x:v>45</x:v>
      </x:c>
      <x:c r="U29" s="2" t="str">
        <x:v>2025年12月25日現在</x:v>
      </x:c>
      <x:c r="V29" s="2" t="str">
        <x:v>2025-12-25</x:v>
      </x:c>
      <x:c r="W29" s="2" t="str">
        <x:v>https://www.e-stat.go.jp/stat-search/file-download?statInfId=000032059434&amp;fileKind=0</x:v>
      </x:c>
      <x:c r="X29" s="2" t="str">
        <x:v>海上出入貨物!847行、コンテナ個数!147行</x:v>
      </x:c>
      <x:c r="Y29" s="2" t="str">
        <x:v>取得済</x:v>
      </x:c>
      <x:c r="Z29" s="9" t="str">
        <x:f>IF(AND(ISNUMBER(E29),COUNTIFS($A$2:$A$477,EDATE(A29,-12),$B$2:$B$477,B29,$E$2:$E$477,"&gt;0")=1),E29/SUMIFS($E$2:$E$477,$A$2:$A$477,EDATE(A29,-12),$B$2:$B$477,B29)-1,"")</x:f>
      </x:c>
      <x:c r="AA29" s="10" t="n">
        <x:f>IF(COUNTIFS($A$2:$A$477,"&gt;="&amp;EDATE(A29,-2),$A$2:$A$477,"&lt;="&amp;A29,$B$2:$B$477,B29,$E$2:$E$477,"&gt;=0")=3,SUMIFS($E$2:$E$477,$A$2:$A$477,"&gt;="&amp;EDATE(A29,-2),$A$2:$A$477,"&lt;="&amp;A29,$B$2:$B$477,B29)/3,"")</x:f>
        <x:v>26413.666666666668</x:v>
      </x:c>
      <x:c r="AB29" s="9" t="str">
        <x:f>IF(AND(ISNUMBER(J29),COUNTIFS($A$2:$A$477,EDATE(A29,-12),$B$2:$B$477,B29,$J$2:$J$477,"&gt;0")=1),J29/SUMIFS($J$2:$J$477,$A$2:$A$477,EDATE(A29,-12),$B$2:$B$477,B29)-1,"")</x:f>
      </x:c>
    </x:row>
    <x:row r="30" ht="21" customHeight="1">
      <x:c r="A30" s="7" t="n">
        <x:v>44317</x:v>
      </x:c>
      <x:c r="B30" s="2" t="str">
        <x:v>仙台塩釜</x:v>
      </x:c>
      <x:c r="C30" s="2" t="str">
        <x:v>宮城県</x:v>
      </x:c>
      <x:c r="D30" s="8" t="n">
        <x:v>3149620</x:v>
      </x:c>
      <x:c r="E30" s="8" t="n">
        <x:v>111591</x:v>
      </x:c>
      <x:c r="F30" s="8" t="n">
        <x:v>902275</x:v>
      </x:c>
      <x:c r="G30" s="8" t="n">
        <x:v>881844</x:v>
      </x:c>
      <x:c r="H30" s="8" t="n">
        <x:v>1253910</x:v>
      </x:c>
      <x:c r="I30" s="8" t="n">
        <x:v>23017</x:v>
      </x:c>
      <x:c r="J30" s="8" t="n">
        <x:v>7275</x:v>
      </x:c>
      <x:c r="K30" s="8" t="n">
        <x:v>7151</x:v>
      </x:c>
      <x:c r="L30" s="8" t="n">
        <x:v>4308</x:v>
      </x:c>
      <x:c r="M30" s="8" t="n">
        <x:v>4283</x:v>
      </x:c>
      <x:c r="N30" s="8" t="n">
        <x:v>0</x:v>
      </x:c>
      <x:c r="O30" s="8" t="n">
        <x:v>0</x:v>
      </x:c>
      <x:c r="P30" s="8" t="n">
        <x:v>533</x:v>
      </x:c>
      <x:c r="Q30" s="8" t="n">
        <x:v>560</x:v>
      </x:c>
      <x:c r="R30" s="8" t="n">
        <x:v>1093</x:v>
      </x:c>
      <x:c r="S30" s="8" t="n">
        <x:v>1431</x:v>
      </x:c>
      <x:c r="T30" s="8" t="n">
        <x:v>83</x:v>
      </x:c>
      <x:c r="U30" s="2" t="str">
        <x:v>2025年12月25日現在</x:v>
      </x:c>
      <x:c r="V30" s="2" t="str">
        <x:v>2025-12-25</x:v>
      </x:c>
      <x:c r="W30" s="2" t="str">
        <x:v>https://www.e-stat.go.jp/stat-search/file-download?statInfId=000032059434&amp;fileKind=0</x:v>
      </x:c>
      <x:c r="X30" s="2" t="str">
        <x:v>海上出入貨物!139行、コンテナ個数!29行</x:v>
      </x:c>
      <x:c r="Y30" s="2" t="str">
        <x:v>取得済</x:v>
      </x:c>
      <x:c r="Z30" s="9" t="str">
        <x:f>IF(AND(ISNUMBER(E30),COUNTIFS($A$2:$A$477,EDATE(A30,-12),$B$2:$B$477,B30,$E$2:$E$477,"&gt;0")=1),E30/SUMIFS($E$2:$E$477,$A$2:$A$477,EDATE(A30,-12),$B$2:$B$477,B30)-1,"")</x:f>
      </x:c>
      <x:c r="AA30" s="10" t="n">
        <x:f>IF(COUNTIFS($A$2:$A$477,"&gt;="&amp;EDATE(A30,-2),$A$2:$A$477,"&lt;="&amp;A30,$B$2:$B$477,B30,$E$2:$E$477,"&gt;=0")=3,SUMIFS($E$2:$E$477,$A$2:$A$477,"&gt;="&amp;EDATE(A30,-2),$A$2:$A$477,"&lt;="&amp;A30,$B$2:$B$477,B30)/3,"")</x:f>
        <x:v>108107.33333333333</x:v>
      </x:c>
      <x:c r="AB30" s="9" t="str">
        <x:f>IF(AND(ISNUMBER(J30),COUNTIFS($A$2:$A$477,EDATE(A30,-12),$B$2:$B$477,B30,$J$2:$J$477,"&gt;0")=1),J30/SUMIFS($J$2:$J$477,$A$2:$A$477,EDATE(A30,-12),$B$2:$B$477,B30)-1,"")</x:f>
      </x:c>
    </x:row>
    <x:row r="31" ht="21" customHeight="1">
      <x:c r="A31" s="7" t="n">
        <x:v>44317</x:v>
      </x:c>
      <x:c r="B31" s="2" t="str">
        <x:v>東京</x:v>
      </x:c>
      <x:c r="C31" s="2" t="str">
        <x:v>東京都</x:v>
      </x:c>
      <x:c r="D31" s="8" t="n">
        <x:v>6687161</x:v>
      </x:c>
      <x:c r="E31" s="8" t="n">
        <x:v>949207</x:v>
      </x:c>
      <x:c r="F31" s="8" t="n">
        <x:v>2887090</x:v>
      </x:c>
      <x:c r="G31" s="8" t="n">
        <x:v>1177856</x:v>
      </x:c>
      <x:c r="H31" s="8" t="n">
        <x:v>1673008</x:v>
      </x:c>
      <x:c r="I31" s="8" t="n">
        <x:v>389304</x:v>
      </x:c>
      <x:c r="J31" s="8" t="n">
        <x:v>159303</x:v>
      </x:c>
      <x:c r="K31" s="8" t="n">
        <x:v>189972</x:v>
      </x:c>
      <x:c r="L31" s="8" t="n">
        <x:v>28017</x:v>
      </x:c>
      <x:c r="M31" s="8" t="n">
        <x:v>12012</x:v>
      </x:c>
      <x:c r="N31" s="8" t="n">
        <x:v>0</x:v>
      </x:c>
      <x:c r="O31" s="8" t="n">
        <x:v>0</x:v>
      </x:c>
      <x:c r="P31" s="8" t="n">
        <x:v>350</x:v>
      </x:c>
      <x:c r="Q31" s="8" t="n">
        <x:v>161</x:v>
      </x:c>
      <x:c r="R31" s="8" t="n">
        <x:v>511</x:v>
      </x:c>
      <x:c r="S31" s="8" t="n">
        <x:v>1581</x:v>
      </x:c>
      <x:c r="T31" s="8" t="n">
        <x:v>394</x:v>
      </x:c>
      <x:c r="U31" s="2" t="str">
        <x:v>2025年12月25日現在</x:v>
      </x:c>
      <x:c r="V31" s="2" t="str">
        <x:v>2025-12-25</x:v>
      </x:c>
      <x:c r="W31" s="2" t="str">
        <x:v>https://www.e-stat.go.jp/stat-search/file-download?statInfId=000032059434&amp;fileKind=0</x:v>
      </x:c>
      <x:c r="X31" s="2" t="str">
        <x:v>海上出入貨物!205行、コンテナ個数!40行</x:v>
      </x:c>
      <x:c r="Y31" s="2" t="str">
        <x:v>取得済</x:v>
      </x:c>
      <x:c r="Z31" s="9" t="str">
        <x:f>IF(AND(ISNUMBER(E31),COUNTIFS($A$2:$A$477,EDATE(A31,-12),$B$2:$B$477,B31,$E$2:$E$477,"&gt;0")=1),E31/SUMIFS($E$2:$E$477,$A$2:$A$477,EDATE(A31,-12),$B$2:$B$477,B31)-1,"")</x:f>
      </x:c>
      <x:c r="AA31" s="10" t="n">
        <x:f>IF(COUNTIFS($A$2:$A$477,"&gt;="&amp;EDATE(A31,-2),$A$2:$A$477,"&lt;="&amp;A31,$B$2:$B$477,B31,$E$2:$E$477,"&gt;=0")=3,SUMIFS($E$2:$E$477,$A$2:$A$477,"&gt;="&amp;EDATE(A31,-2),$A$2:$A$477,"&lt;="&amp;A31,$B$2:$B$477,B31)/3,"")</x:f>
        <x:v>1106374.3333333333</x:v>
      </x:c>
      <x:c r="AB31" s="9" t="str">
        <x:f>IF(AND(ISNUMBER(J31),COUNTIFS($A$2:$A$477,EDATE(A31,-12),$B$2:$B$477,B31,$J$2:$J$477,"&gt;0")=1),J31/SUMIFS($J$2:$J$477,$A$2:$A$477,EDATE(A31,-12),$B$2:$B$477,B31)-1,"")</x:f>
      </x:c>
    </x:row>
    <x:row r="32" ht="21" customHeight="1">
      <x:c r="A32" s="7" t="n">
        <x:v>44317</x:v>
      </x:c>
      <x:c r="B32" s="2" t="str">
        <x:v>横浜</x:v>
      </x:c>
      <x:c r="C32" s="2" t="str">
        <x:v>神奈川県</x:v>
      </x:c>
      <x:c r="D32" s="8" t="n">
        <x:v>8337827</x:v>
      </x:c>
      <x:c r="E32" s="8" t="n">
        <x:v>2316324</x:v>
      </x:c>
      <x:c r="F32" s="8" t="n">
        <x:v>3271811</x:v>
      </x:c>
      <x:c r="G32" s="8" t="n">
        <x:v>1235390</x:v>
      </x:c>
      <x:c r="H32" s="8" t="n">
        <x:v>1514302</x:v>
      </x:c>
      <x:c r="I32" s="8" t="n">
        <x:v>232260</x:v>
      </x:c>
      <x:c r="J32" s="8" t="n">
        <x:v>107984</x:v>
      </x:c>
      <x:c r="K32" s="8" t="n">
        <x:v>101239</x:v>
      </x:c>
      <x:c r="L32" s="8" t="n">
        <x:v>9664</x:v>
      </x:c>
      <x:c r="M32" s="8" t="n">
        <x:v>13373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2198</x:v>
      </x:c>
      <x:c r="T32" s="8" t="n">
        <x:v>726</x:v>
      </x:c>
      <x:c r="U32" s="2" t="str">
        <x:v>2025年12月25日現在</x:v>
      </x:c>
      <x:c r="V32" s="2" t="str">
        <x:v>2025-12-25</x:v>
      </x:c>
      <x:c r="W32" s="2" t="str">
        <x:v>https://www.e-stat.go.jp/stat-search/file-download?statInfId=000032059434&amp;fileKind=0</x:v>
      </x:c>
      <x:c r="X32" s="2" t="str">
        <x:v>海上出入貨物!217行、コンテナ個数!42行</x:v>
      </x:c>
      <x:c r="Y32" s="2" t="str">
        <x:v>取得済</x:v>
      </x:c>
      <x:c r="Z32" s="9" t="str">
        <x:f>IF(AND(ISNUMBER(E32),COUNTIFS($A$2:$A$477,EDATE(A32,-12),$B$2:$B$477,B32,$E$2:$E$477,"&gt;0")=1),E32/SUMIFS($E$2:$E$477,$A$2:$A$477,EDATE(A32,-12),$B$2:$B$477,B32)-1,"")</x:f>
      </x:c>
      <x:c r="AA32" s="10" t="n">
        <x:f>IF(COUNTIFS($A$2:$A$477,"&gt;="&amp;EDATE(A32,-2),$A$2:$A$477,"&lt;="&amp;A32,$B$2:$B$477,B32,$E$2:$E$477,"&gt;=0")=3,SUMIFS($E$2:$E$477,$A$2:$A$477,"&gt;="&amp;EDATE(A32,-2),$A$2:$A$477,"&lt;="&amp;A32,$B$2:$B$477,B32)/3,"")</x:f>
        <x:v>2574876</x:v>
      </x:c>
      <x:c r="AB32" s="9" t="str">
        <x:f>IF(AND(ISNUMBER(J32),COUNTIFS($A$2:$A$477,EDATE(A32,-12),$B$2:$B$477,B32,$J$2:$J$477,"&gt;0")=1),J32/SUMIFS($J$2:$J$477,$A$2:$A$477,EDATE(A32,-12),$B$2:$B$477,B32)-1,"")</x:f>
      </x:c>
    </x:row>
    <x:row r="33" ht="21" customHeight="1">
      <x:c r="A33" s="7" t="n">
        <x:v>44317</x:v>
      </x:c>
      <x:c r="B33" s="2" t="str">
        <x:v>清水</x:v>
      </x:c>
      <x:c r="C33" s="2" t="str">
        <x:v>静岡県</x:v>
      </x:c>
      <x:c r="D33" s="8" t="n">
        <x:v>1367062</x:v>
      </x:c>
      <x:c r="E33" s="8" t="n">
        <x:v>333144</x:v>
      </x:c>
      <x:c r="F33" s="8" t="n">
        <x:v>571700</x:v>
      </x:c>
      <x:c r="G33" s="8" t="n">
        <x:v>135718</x:v>
      </x:c>
      <x:c r="H33" s="8" t="n">
        <x:v>326500</x:v>
      </x:c>
      <x:c r="I33" s="8" t="n">
        <x:v>46165</x:v>
      </x:c>
      <x:c r="J33" s="8" t="n">
        <x:v>19535</x:v>
      </x:c>
      <x:c r="K33" s="8" t="n">
        <x:v>19457</x:v>
      </x:c>
      <x:c r="L33" s="8" t="n">
        <x:v>3377</x:v>
      </x:c>
      <x:c r="M33" s="8" t="n">
        <x:v>3796</x:v>
      </x:c>
      <x:c r="N33" s="8" t="n">
        <x:v>0</x:v>
      </x:c>
      <x:c r="O33" s="8" t="n">
        <x:v>0</x:v>
      </x:c>
      <x:c r="P33" s="8" t="n">
        <x:v>0</x:v>
      </x:c>
      <x:c r="Q33" s="8" t="n">
        <x:v>2</x:v>
      </x:c>
      <x:c r="R33" s="8" t="n">
        <x:v>2</x:v>
      </x:c>
      <x:c r="S33" s="8" t="n">
        <x:v>464</x:v>
      </x:c>
      <x:c r="T33" s="8" t="n">
        <x:v>141</x:v>
      </x:c>
      <x:c r="U33" s="2" t="str">
        <x:v>2025年12月25日現在</x:v>
      </x:c>
      <x:c r="V33" s="2" t="str">
        <x:v>2025-12-25</x:v>
      </x:c>
      <x:c r="W33" s="2" t="str">
        <x:v>https://www.e-stat.go.jp/stat-search/file-download?statInfId=000032059434&amp;fileKind=0</x:v>
      </x:c>
      <x:c r="X33" s="2" t="str">
        <x:v>海上出入貨物!313行、コンテナ個数!58行</x:v>
      </x:c>
      <x:c r="Y33" s="2" t="str">
        <x:v>取得済</x:v>
      </x:c>
      <x:c r="Z33" s="9" t="str">
        <x:f>IF(AND(ISNUMBER(E33),COUNTIFS($A$2:$A$477,EDATE(A33,-12),$B$2:$B$477,B33,$E$2:$E$477,"&gt;0")=1),E33/SUMIFS($E$2:$E$477,$A$2:$A$477,EDATE(A33,-12),$B$2:$B$477,B33)-1,"")</x:f>
      </x:c>
      <x:c r="AA33" s="10" t="n">
        <x:f>IF(COUNTIFS($A$2:$A$477,"&gt;="&amp;EDATE(A33,-2),$A$2:$A$477,"&lt;="&amp;A33,$B$2:$B$477,B33,$E$2:$E$477,"&gt;=0")=3,SUMIFS($E$2:$E$477,$A$2:$A$477,"&gt;="&amp;EDATE(A33,-2),$A$2:$A$477,"&lt;="&amp;A33,$B$2:$B$477,B33)/3,"")</x:f>
        <x:v>331444.6666666667</x:v>
      </x:c>
      <x:c r="AB33" s="9" t="str">
        <x:f>IF(AND(ISNUMBER(J33),COUNTIFS($A$2:$A$477,EDATE(A33,-12),$B$2:$B$477,B33,$J$2:$J$477,"&gt;0")=1),J33/SUMIFS($J$2:$J$477,$A$2:$A$477,EDATE(A33,-12),$B$2:$B$477,B33)-1,"")</x:f>
      </x:c>
    </x:row>
    <x:row r="34" ht="21" customHeight="1">
      <x:c r="A34" s="7" t="n">
        <x:v>44317</x:v>
      </x:c>
      <x:c r="B34" s="2" t="str">
        <x:v>博多</x:v>
      </x:c>
      <x:c r="C34" s="2" t="str">
        <x:v>福岡県</x:v>
      </x:c>
      <x:c r="D34" s="8" t="n">
        <x:v>2873058</x:v>
      </x:c>
      <x:c r="E34" s="8" t="n">
        <x:v>711873</x:v>
      </x:c>
      <x:c r="F34" s="8" t="n">
        <x:v>995706</x:v>
      </x:c>
      <x:c r="G34" s="8" t="n">
        <x:v>383103</x:v>
      </x:c>
      <x:c r="H34" s="8" t="n">
        <x:v>782376</x:v>
      </x:c>
      <x:c r="I34" s="8" t="n">
        <x:v>84376</x:v>
      </x:c>
      <x:c r="J34" s="8" t="n">
        <x:v>36417</x:v>
      </x:c>
      <x:c r="K34" s="8" t="n">
        <x:v>36952</x:v>
      </x:c>
      <x:c r="L34" s="8" t="n">
        <x:v>5406</x:v>
      </x:c>
      <x:c r="M34" s="8" t="n">
        <x:v>5601</x:v>
      </x:c>
      <x:c r="N34" s="8" t="n">
        <x:v>0</x:v>
      </x:c>
      <x:c r="O34" s="8" t="n">
        <x:v>0</x:v>
      </x:c>
      <x:c r="P34" s="8" t="n">
        <x:v>1300</x:v>
      </x:c>
      <x:c r="Q34" s="8" t="n">
        <x:v>1282</x:v>
      </x:c>
      <x:c r="R34" s="8" t="n">
        <x:v>2582</x:v>
      </x:c>
      <x:c r="S34" s="8" t="n">
        <x:v>1570</x:v>
      </x:c>
      <x:c r="T34" s="8" t="n">
        <x:v>227</x:v>
      </x:c>
      <x:c r="U34" s="2" t="str">
        <x:v>2025年12月25日現在</x:v>
      </x:c>
      <x:c r="V34" s="2" t="str">
        <x:v>2025-12-25</x:v>
      </x:c>
      <x:c r="W34" s="2" t="str">
        <x:v>https://www.e-stat.go.jp/stat-search/file-download?statInfId=000032059434&amp;fileKind=0</x:v>
      </x:c>
      <x:c r="X34" s="2" t="str">
        <x:v>海上出入貨物!745行、コンテナ個数!130行</x:v>
      </x:c>
      <x:c r="Y34" s="2" t="str">
        <x:v>取得済</x:v>
      </x:c>
      <x:c r="Z34" s="9" t="str">
        <x:f>IF(AND(ISNUMBER(E34),COUNTIFS($A$2:$A$477,EDATE(A34,-12),$B$2:$B$477,B34,$E$2:$E$477,"&gt;0")=1),E34/SUMIFS($E$2:$E$477,$A$2:$A$477,EDATE(A34,-12),$B$2:$B$477,B34)-1,"")</x:f>
      </x:c>
      <x:c r="AA34" s="10" t="n">
        <x:f>IF(COUNTIFS($A$2:$A$477,"&gt;="&amp;EDATE(A34,-2),$A$2:$A$477,"&lt;="&amp;A34,$B$2:$B$477,B34,$E$2:$E$477,"&gt;=0")=3,SUMIFS($E$2:$E$477,$A$2:$A$477,"&gt;="&amp;EDATE(A34,-2),$A$2:$A$477,"&lt;="&amp;A34,$B$2:$B$477,B34)/3,"")</x:f>
        <x:v>805837.3333333334</x:v>
      </x:c>
      <x:c r="AB34" s="9" t="str">
        <x:f>IF(AND(ISNUMBER(J34),COUNTIFS($A$2:$A$477,EDATE(A34,-12),$B$2:$B$477,B34,$J$2:$J$477,"&gt;0")=1),J34/SUMIFS($J$2:$J$477,$A$2:$A$477,EDATE(A34,-12),$B$2:$B$477,B34)-1,"")</x:f>
      </x:c>
    </x:row>
    <x:row r="35" ht="21" customHeight="1">
      <x:c r="A35" s="7" t="n">
        <x:v>44317</x:v>
      </x:c>
      <x:c r="B35" s="2" t="str">
        <x:v>熊本</x:v>
      </x:c>
      <x:c r="C35" s="2" t="str">
        <x:v>熊本県</x:v>
      </x:c>
      <x:c r="D35" s="8" t="n">
        <x:v>176081</x:v>
      </x:c>
      <x:c r="E35" s="8" t="n">
        <x:v>4134</x:v>
      </x:c>
      <x:c r="F35" s="8" t="n">
        <x:v>6222</x:v>
      </x:c>
      <x:c r="G35" s="8" t="n">
        <x:v>63430</x:v>
      </x:c>
      <x:c r="H35" s="8" t="n">
        <x:v>102295</x:v>
      </x:c>
      <x:c r="I35" s="8" t="n">
        <x:v>764</x:v>
      </x:c>
      <x:c r="J35" s="8" t="n">
        <x:v>324</x:v>
      </x:c>
      <x:c r="K35" s="8" t="n">
        <x:v>390</x:v>
      </x:c>
      <x:c r="L35" s="8" t="n">
        <x:v>50</x:v>
      </x:c>
      <x:c r="M35" s="8" t="n">
        <x:v>0</x:v>
      </x:c>
      <x:c r="N35" s="8" t="n">
        <x:v>0</x:v>
      </x:c>
      <x:c r="O35" s="8" t="n">
        <x:v>0</x:v>
      </x:c>
      <x:c r="P35" s="8" t="n">
        <x:v>528</x:v>
      </x:c>
      <x:c r="Q35" s="8" t="n">
        <x:v>534</x:v>
      </x:c>
      <x:c r="R35" s="8" t="n">
        <x:v>1062</x:v>
      </x:c>
      <x:c r="S35" s="8" t="n">
        <x:v>32</x:v>
      </x:c>
      <x:c r="T35" s="8" t="n">
        <x:v>7</x:v>
      </x:c>
      <x:c r="U35" s="2" t="str">
        <x:v>2025年12月25日現在</x:v>
      </x:c>
      <x:c r="V35" s="2" t="str">
        <x:v>2025-12-25</x:v>
      </x:c>
      <x:c r="W35" s="2" t="str">
        <x:v>https://www.e-stat.go.jp/stat-search/file-download?statInfId=000032059434&amp;fileKind=0</x:v>
      </x:c>
      <x:c r="X35" s="2" t="str">
        <x:v>海上出入貨物!859行、コンテナ個数!149行</x:v>
      </x:c>
      <x:c r="Y35" s="2" t="str">
        <x:v>取得済</x:v>
      </x:c>
      <x:c r="Z35" s="9" t="str">
        <x:f>IF(AND(ISNUMBER(E35),COUNTIFS($A$2:$A$477,EDATE(A35,-12),$B$2:$B$477,B35,$E$2:$E$477,"&gt;0")=1),E35/SUMIFS($E$2:$E$477,$A$2:$A$477,EDATE(A35,-12),$B$2:$B$477,B35)-1,"")</x:f>
      </x:c>
      <x:c r="AA35" s="10" t="n">
        <x:f>IF(COUNTIFS($A$2:$A$477,"&gt;="&amp;EDATE(A35,-2),$A$2:$A$477,"&lt;="&amp;A35,$B$2:$B$477,B35,$E$2:$E$477,"&gt;=0")=3,SUMIFS($E$2:$E$477,$A$2:$A$477,"&gt;="&amp;EDATE(A35,-2),$A$2:$A$477,"&lt;="&amp;A35,$B$2:$B$477,B35)/3,"")</x:f>
        <x:v>6780.666666666667</x:v>
      </x:c>
      <x:c r="AB35" s="9" t="str">
        <x:f>IF(AND(ISNUMBER(J35),COUNTIFS($A$2:$A$477,EDATE(A35,-12),$B$2:$B$477,B35,$J$2:$J$477,"&gt;0")=1),J35/SUMIFS($J$2:$J$477,$A$2:$A$477,EDATE(A35,-12),$B$2:$B$477,B35)-1,"")</x:f>
      </x:c>
    </x:row>
    <x:row r="36" ht="21" customHeight="1">
      <x:c r="A36" s="7" t="n">
        <x:v>44317</x:v>
      </x:c>
      <x:c r="B36" s="2" t="str">
        <x:v>八代</x:v>
      </x:c>
      <x:c r="C36" s="2" t="str">
        <x:v>熊本県</x:v>
      </x:c>
      <x:c r="D36" s="8" t="n">
        <x:v>267814</x:v>
      </x:c>
      <x:c r="E36" s="8" t="n">
        <x:v>31767</x:v>
      </x:c>
      <x:c r="F36" s="8" t="n">
        <x:v>78740</x:v>
      </x:c>
      <x:c r="G36" s="8" t="n">
        <x:v>13902</x:v>
      </x:c>
      <x:c r="H36" s="8" t="n">
        <x:v>143405</x:v>
      </x:c>
      <x:c r="I36" s="8" t="n">
        <x:v>2113</x:v>
      </x:c>
      <x:c r="J36" s="8" t="n">
        <x:v>1078</x:v>
      </x:c>
      <x:c r="K36" s="8" t="n">
        <x:v>857</x:v>
      </x:c>
      <x:c r="L36" s="8" t="n">
        <x:v>47</x:v>
      </x:c>
      <x:c r="M36" s="8" t="n">
        <x:v>131</x:v>
      </x:c>
      <x:c r="N36" s="8" t="n">
        <x:v>0</x:v>
      </x:c>
      <x:c r="O36" s="8" t="n">
        <x:v>0</x:v>
      </x:c>
      <x:c r="P36" s="8" t="n">
        <x:v>0</x:v>
      </x:c>
      <x:c r="Q36" s="8" t="n">
        <x:v>0</x:v>
      </x:c>
      <x:c r="R36" s="8" t="n">
        <x:v>0</x:v>
      </x:c>
      <x:c r="S36" s="8" t="n">
        <x:v>149</x:v>
      </x:c>
      <x:c r="T36" s="8" t="n">
        <x:v>26</x:v>
      </x:c>
      <x:c r="U36" s="2" t="str">
        <x:v>2025年12月25日現在</x:v>
      </x:c>
      <x:c r="V36" s="2" t="str">
        <x:v>2025-12-25</x:v>
      </x:c>
      <x:c r="W36" s="2" t="str">
        <x:v>https://www.e-stat.go.jp/stat-search/file-download?statInfId=000032059434&amp;fileKind=0</x:v>
      </x:c>
      <x:c r="X36" s="2" t="str">
        <x:v>海上出入貨物!847行、コンテナ個数!147行</x:v>
      </x:c>
      <x:c r="Y36" s="2" t="str">
        <x:v>取得済</x:v>
      </x:c>
      <x:c r="Z36" s="9" t="str">
        <x:f>IF(AND(ISNUMBER(E36),COUNTIFS($A$2:$A$477,EDATE(A36,-12),$B$2:$B$477,B36,$E$2:$E$477,"&gt;0")=1),E36/SUMIFS($E$2:$E$477,$A$2:$A$477,EDATE(A36,-12),$B$2:$B$477,B36)-1,"")</x:f>
      </x:c>
      <x:c r="AA36" s="10" t="n">
        <x:f>IF(COUNTIFS($A$2:$A$477,"&gt;="&amp;EDATE(A36,-2),$A$2:$A$477,"&lt;="&amp;A36,$B$2:$B$477,B36,$E$2:$E$477,"&gt;=0")=3,SUMIFS($E$2:$E$477,$A$2:$A$477,"&gt;="&amp;EDATE(A36,-2),$A$2:$A$477,"&lt;="&amp;A36,$B$2:$B$477,B36)/3,"")</x:f>
        <x:v>29999.333333333332</x:v>
      </x:c>
      <x:c r="AB36" s="9" t="str">
        <x:f>IF(AND(ISNUMBER(J36),COUNTIFS($A$2:$A$477,EDATE(A36,-12),$B$2:$B$477,B36,$J$2:$J$477,"&gt;0")=1),J36/SUMIFS($J$2:$J$477,$A$2:$A$477,EDATE(A36,-12),$B$2:$B$477,B36)-1,"")</x:f>
      </x:c>
    </x:row>
    <x:row r="37" ht="21" customHeight="1">
      <x:c r="A37" s="7" t="n">
        <x:v>44348</x:v>
      </x:c>
      <x:c r="B37" s="2" t="str">
        <x:v>仙台塩釜</x:v>
      </x:c>
      <x:c r="C37" s="2" t="str">
        <x:v>宮城県</x:v>
      </x:c>
      <x:c r="D37" s="8" t="n">
        <x:v>2502283</x:v>
      </x:c>
      <x:c r="E37" s="8" t="n">
        <x:v>92667</x:v>
      </x:c>
      <x:c r="F37" s="8" t="n">
        <x:v>358965</x:v>
      </x:c>
      <x:c r="G37" s="8" t="n">
        <x:v>840990</x:v>
      </x:c>
      <x:c r="H37" s="8" t="n">
        <x:v>1209661</x:v>
      </x:c>
      <x:c r="I37" s="8" t="n">
        <x:v>23282</x:v>
      </x:c>
      <x:c r="J37" s="8" t="n">
        <x:v>7193</x:v>
      </x:c>
      <x:c r="K37" s="8" t="n">
        <x:v>7192</x:v>
      </x:c>
      <x:c r="L37" s="8" t="n">
        <x:v>4613</x:v>
      </x:c>
      <x:c r="M37" s="8" t="n">
        <x:v>4284</x:v>
      </x:c>
      <x:c r="N37" s="8" t="n">
        <x:v>0</x:v>
      </x:c>
      <x:c r="O37" s="8" t="n">
        <x:v>0</x:v>
      </x:c>
      <x:c r="P37" s="8" t="n">
        <x:v>582</x:v>
      </x:c>
      <x:c r="Q37" s="8" t="n">
        <x:v>606</x:v>
      </x:c>
      <x:c r="R37" s="8" t="n">
        <x:v>1188</x:v>
      </x:c>
      <x:c r="S37" s="8" t="n">
        <x:v>1348</x:v>
      </x:c>
      <x:c r="T37" s="8" t="n">
        <x:v>77</x:v>
      </x:c>
      <x:c r="U37" s="2" t="str">
        <x:v>2025年12月25日現在</x:v>
      </x:c>
      <x:c r="V37" s="2" t="str">
        <x:v>2025-12-25</x:v>
      </x:c>
      <x:c r="W37" s="2" t="str">
        <x:v>https://www.e-stat.go.jp/stat-search/file-download?statInfId=000032059434&amp;fileKind=0</x:v>
      </x:c>
      <x:c r="X37" s="2" t="str">
        <x:v>海上出入貨物!139行、コンテナ個数!29行</x:v>
      </x:c>
      <x:c r="Y37" s="2" t="str">
        <x:v>取得済</x:v>
      </x:c>
      <x:c r="Z37" s="9" t="str">
        <x:f>IF(AND(ISNUMBER(E37),COUNTIFS($A$2:$A$477,EDATE(A37,-12),$B$2:$B$477,B37,$E$2:$E$477,"&gt;0")=1),E37/SUMIFS($E$2:$E$477,$A$2:$A$477,EDATE(A37,-12),$B$2:$B$477,B37)-1,"")</x:f>
      </x:c>
      <x:c r="AA37" s="10" t="n">
        <x:f>IF(COUNTIFS($A$2:$A$477,"&gt;="&amp;EDATE(A37,-2),$A$2:$A$477,"&lt;="&amp;A37,$B$2:$B$477,B37,$E$2:$E$477,"&gt;=0")=3,SUMIFS($E$2:$E$477,$A$2:$A$477,"&gt;="&amp;EDATE(A37,-2),$A$2:$A$477,"&lt;="&amp;A37,$B$2:$B$477,B37)/3,"")</x:f>
        <x:v>98782</x:v>
      </x:c>
      <x:c r="AB37" s="9" t="str">
        <x:f>IF(AND(ISNUMBER(J37),COUNTIFS($A$2:$A$477,EDATE(A37,-12),$B$2:$B$477,B37,$J$2:$J$477,"&gt;0")=1),J37/SUMIFS($J$2:$J$477,$A$2:$A$477,EDATE(A37,-12),$B$2:$B$477,B37)-1,"")</x:f>
      </x:c>
    </x:row>
    <x:row r="38" ht="21" customHeight="1">
      <x:c r="A38" s="7" t="n">
        <x:v>44348</x:v>
      </x:c>
      <x:c r="B38" s="2" t="str">
        <x:v>東京</x:v>
      </x:c>
      <x:c r="C38" s="2" t="str">
        <x:v>東京都</x:v>
      </x:c>
      <x:c r="D38" s="8" t="n">
        <x:v>7233500</x:v>
      </x:c>
      <x:c r="E38" s="8" t="n">
        <x:v>1105006</x:v>
      </x:c>
      <x:c r="F38" s="8" t="n">
        <x:v>2938818</x:v>
      </x:c>
      <x:c r="G38" s="8" t="n">
        <x:v>1366629</x:v>
      </x:c>
      <x:c r="H38" s="8" t="n">
        <x:v>1823047</x:v>
      </x:c>
      <x:c r="I38" s="8" t="n">
        <x:v>413747</x:v>
      </x:c>
      <x:c r="J38" s="8" t="n">
        <x:v>167739</x:v>
      </x:c>
      <x:c r="K38" s="8" t="n">
        <x:v>195915</x:v>
      </x:c>
      <x:c r="L38" s="8" t="n">
        <x:v>36166</x:v>
      </x:c>
      <x:c r="M38" s="8" t="n">
        <x:v>13927</x:v>
      </x:c>
      <x:c r="N38" s="8" t="n">
        <x:v>0</x:v>
      </x:c>
      <x:c r="O38" s="8" t="n">
        <x:v>0</x:v>
      </x:c>
      <x:c r="P38" s="8" t="n">
        <x:v>377</x:v>
      </x:c>
      <x:c r="Q38" s="8" t="n">
        <x:v>185</x:v>
      </x:c>
      <x:c r="R38" s="8" t="n">
        <x:v>562</x:v>
      </x:c>
      <x:c r="S38" s="8" t="n">
        <x:v>1689</x:v>
      </x:c>
      <x:c r="T38" s="8" t="n">
        <x:v>389</x:v>
      </x:c>
      <x:c r="U38" s="2" t="str">
        <x:v>2025年12月25日現在</x:v>
      </x:c>
      <x:c r="V38" s="2" t="str">
        <x:v>2025-12-25</x:v>
      </x:c>
      <x:c r="W38" s="2" t="str">
        <x:v>https://www.e-stat.go.jp/stat-search/file-download?statInfId=000032059434&amp;fileKind=0</x:v>
      </x:c>
      <x:c r="X38" s="2" t="str">
        <x:v>海上出入貨物!205行、コンテナ個数!40行</x:v>
      </x:c>
      <x:c r="Y38" s="2" t="str">
        <x:v>取得済</x:v>
      </x:c>
      <x:c r="Z38" s="9" t="str">
        <x:f>IF(AND(ISNUMBER(E38),COUNTIFS($A$2:$A$477,EDATE(A38,-12),$B$2:$B$477,B38,$E$2:$E$477,"&gt;0")=1),E38/SUMIFS($E$2:$E$477,$A$2:$A$477,EDATE(A38,-12),$B$2:$B$477,B38)-1,"")</x:f>
      </x:c>
      <x:c r="AA38" s="10" t="n">
        <x:f>IF(COUNTIFS($A$2:$A$477,"&gt;="&amp;EDATE(A38,-2),$A$2:$A$477,"&lt;="&amp;A38,$B$2:$B$477,B38,$E$2:$E$477,"&gt;=0")=3,SUMIFS($E$2:$E$477,$A$2:$A$477,"&gt;="&amp;EDATE(A38,-2),$A$2:$A$477,"&lt;="&amp;A38,$B$2:$B$477,B38)/3,"")</x:f>
        <x:v>1065754.6666666667</x:v>
      </x:c>
      <x:c r="AB38" s="9" t="str">
        <x:f>IF(AND(ISNUMBER(J38),COUNTIFS($A$2:$A$477,EDATE(A38,-12),$B$2:$B$477,B38,$J$2:$J$477,"&gt;0")=1),J38/SUMIFS($J$2:$J$477,$A$2:$A$477,EDATE(A38,-12),$B$2:$B$477,B38)-1,"")</x:f>
      </x:c>
    </x:row>
    <x:row r="39" ht="21" customHeight="1">
      <x:c r="A39" s="7" t="n">
        <x:v>44348</x:v>
      </x:c>
      <x:c r="B39" s="2" t="str">
        <x:v>横浜</x:v>
      </x:c>
      <x:c r="C39" s="2" t="str">
        <x:v>神奈川県</x:v>
      </x:c>
      <x:c r="D39" s="8" t="n">
        <x:v>9354537</x:v>
      </x:c>
      <x:c r="E39" s="8" t="n">
        <x:v>2295930</x:v>
      </x:c>
      <x:c r="F39" s="8" t="n">
        <x:v>4345416</x:v>
      </x:c>
      <x:c r="G39" s="8" t="n">
        <x:v>1359359</x:v>
      </x:c>
      <x:c r="H39" s="8" t="n">
        <x:v>1353832</x:v>
      </x:c>
      <x:c r="I39" s="8" t="n">
        <x:v>244740</x:v>
      </x:c>
      <x:c r="J39" s="8" t="n">
        <x:v>118373</x:v>
      </x:c>
      <x:c r="K39" s="8" t="n">
        <x:v>98242</x:v>
      </x:c>
      <x:c r="L39" s="8" t="n">
        <x:v>12023</x:v>
      </x:c>
      <x:c r="M39" s="8" t="n">
        <x:v>16102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2283</x:v>
      </x:c>
      <x:c r="T39" s="8" t="n">
        <x:v>690</x:v>
      </x:c>
      <x:c r="U39" s="2" t="str">
        <x:v>2025年12月25日現在</x:v>
      </x:c>
      <x:c r="V39" s="2" t="str">
        <x:v>2025-12-25</x:v>
      </x:c>
      <x:c r="W39" s="2" t="str">
        <x:v>https://www.e-stat.go.jp/stat-search/file-download?statInfId=000032059434&amp;fileKind=0</x:v>
      </x:c>
      <x:c r="X39" s="2" t="str">
        <x:v>海上出入貨物!217行、コンテナ個数!42行</x:v>
      </x:c>
      <x:c r="Y39" s="2" t="str">
        <x:v>取得済</x:v>
      </x:c>
      <x:c r="Z39" s="9" t="str">
        <x:f>IF(AND(ISNUMBER(E39),COUNTIFS($A$2:$A$477,EDATE(A39,-12),$B$2:$B$477,B39,$E$2:$E$477,"&gt;0")=1),E39/SUMIFS($E$2:$E$477,$A$2:$A$477,EDATE(A39,-12),$B$2:$B$477,B39)-1,"")</x:f>
      </x:c>
      <x:c r="AA39" s="10" t="n">
        <x:f>IF(COUNTIFS($A$2:$A$477,"&gt;="&amp;EDATE(A39,-2),$A$2:$A$477,"&lt;="&amp;A39,$B$2:$B$477,B39,$E$2:$E$477,"&gt;=0")=3,SUMIFS($E$2:$E$477,$A$2:$A$477,"&gt;="&amp;EDATE(A39,-2),$A$2:$A$477,"&lt;="&amp;A39,$B$2:$B$477,B39)/3,"")</x:f>
        <x:v>2426534.6666666665</x:v>
      </x:c>
      <x:c r="AB39" s="9" t="str">
        <x:f>IF(AND(ISNUMBER(J39),COUNTIFS($A$2:$A$477,EDATE(A39,-12),$B$2:$B$477,B39,$J$2:$J$477,"&gt;0")=1),J39/SUMIFS($J$2:$J$477,$A$2:$A$477,EDATE(A39,-12),$B$2:$B$477,B39)-1,"")</x:f>
      </x:c>
    </x:row>
    <x:row r="40" ht="21" customHeight="1">
      <x:c r="A40" s="7" t="n">
        <x:v>44348</x:v>
      </x:c>
      <x:c r="B40" s="2" t="str">
        <x:v>清水</x:v>
      </x:c>
      <x:c r="C40" s="2" t="str">
        <x:v>静岡県</x:v>
      </x:c>
      <x:c r="D40" s="8" t="n">
        <x:v>1326280</x:v>
      </x:c>
      <x:c r="E40" s="8" t="n">
        <x:v>319120</x:v>
      </x:c>
      <x:c r="F40" s="8" t="n">
        <x:v>507965</x:v>
      </x:c>
      <x:c r="G40" s="8" t="n">
        <x:v>156177</x:v>
      </x:c>
      <x:c r="H40" s="8" t="n">
        <x:v>343018</x:v>
      </x:c>
      <x:c r="I40" s="8" t="n">
        <x:v>47249</x:v>
      </x:c>
      <x:c r="J40" s="8" t="n">
        <x:v>19485</x:v>
      </x:c>
      <x:c r="K40" s="8" t="n">
        <x:v>18054</x:v>
      </x:c>
      <x:c r="L40" s="8" t="n">
        <x:v>4055</x:v>
      </x:c>
      <x:c r="M40" s="8" t="n">
        <x:v>5655</x:v>
      </x:c>
      <x:c r="N40" s="8" t="n">
        <x:v>0</x:v>
      </x:c>
      <x:c r="O40" s="8" t="n">
        <x:v>0</x:v>
      </x:c>
      <x:c r="P40" s="8" t="n">
        <x:v>0</x:v>
      </x:c>
      <x:c r="Q40" s="8" t="n">
        <x:v>1</x:v>
      </x:c>
      <x:c r="R40" s="8" t="n">
        <x:v>1</x:v>
      </x:c>
      <x:c r="S40" s="8" t="n">
        <x:v>494</x:v>
      </x:c>
      <x:c r="T40" s="8" t="n">
        <x:v>138</x:v>
      </x:c>
      <x:c r="U40" s="2" t="str">
        <x:v>2025年12月25日現在</x:v>
      </x:c>
      <x:c r="V40" s="2" t="str">
        <x:v>2025-12-25</x:v>
      </x:c>
      <x:c r="W40" s="2" t="str">
        <x:v>https://www.e-stat.go.jp/stat-search/file-download?statInfId=000032059434&amp;fileKind=0</x:v>
      </x:c>
      <x:c r="X40" s="2" t="str">
        <x:v>海上出入貨物!313行、コンテナ個数!58行</x:v>
      </x:c>
      <x:c r="Y40" s="2" t="str">
        <x:v>取得済</x:v>
      </x:c>
      <x:c r="Z40" s="9" t="str">
        <x:f>IF(AND(ISNUMBER(E40),COUNTIFS($A$2:$A$477,EDATE(A40,-12),$B$2:$B$477,B40,$E$2:$E$477,"&gt;0")=1),E40/SUMIFS($E$2:$E$477,$A$2:$A$477,EDATE(A40,-12),$B$2:$B$477,B40)-1,"")</x:f>
      </x:c>
      <x:c r="AA40" s="10" t="n">
        <x:f>IF(COUNTIFS($A$2:$A$477,"&gt;="&amp;EDATE(A40,-2),$A$2:$A$477,"&lt;="&amp;A40,$B$2:$B$477,B40,$E$2:$E$477,"&gt;=0")=3,SUMIFS($E$2:$E$477,$A$2:$A$477,"&gt;="&amp;EDATE(A40,-2),$A$2:$A$477,"&lt;="&amp;A40,$B$2:$B$477,B40)/3,"")</x:f>
        <x:v>329808</x:v>
      </x:c>
      <x:c r="AB40" s="9" t="str">
        <x:f>IF(AND(ISNUMBER(J40),COUNTIFS($A$2:$A$477,EDATE(A40,-12),$B$2:$B$477,B40,$J$2:$J$477,"&gt;0")=1),J40/SUMIFS($J$2:$J$477,$A$2:$A$477,EDATE(A40,-12),$B$2:$B$477,B40)-1,"")</x:f>
      </x:c>
    </x:row>
    <x:row r="41" ht="21" customHeight="1">
      <x:c r="A41" s="7" t="n">
        <x:v>44348</x:v>
      </x:c>
      <x:c r="B41" s="2" t="str">
        <x:v>博多</x:v>
      </x:c>
      <x:c r="C41" s="2" t="str">
        <x:v>福岡県</x:v>
      </x:c>
      <x:c r="D41" s="8" t="n">
        <x:v>3050999</x:v>
      </x:c>
      <x:c r="E41" s="8" t="n">
        <x:v>821515</x:v>
      </x:c>
      <x:c r="F41" s="8" t="n">
        <x:v>841917</x:v>
      </x:c>
      <x:c r="G41" s="8" t="n">
        <x:v>475074</x:v>
      </x:c>
      <x:c r="H41" s="8" t="n">
        <x:v>912493</x:v>
      </x:c>
      <x:c r="I41" s="8" t="n">
        <x:v>80354</x:v>
      </x:c>
      <x:c r="J41" s="8" t="n">
        <x:v>33215</x:v>
      </x:c>
      <x:c r="K41" s="8" t="n">
        <x:v>34584</x:v>
      </x:c>
      <x:c r="L41" s="8" t="n">
        <x:v>6700</x:v>
      </x:c>
      <x:c r="M41" s="8" t="n">
        <x:v>5855</x:v>
      </x:c>
      <x:c r="N41" s="8" t="n">
        <x:v>0</x:v>
      </x:c>
      <x:c r="O41" s="8" t="n">
        <x:v>0</x:v>
      </x:c>
      <x:c r="P41" s="8" t="n">
        <x:v>1397</x:v>
      </x:c>
      <x:c r="Q41" s="8" t="n">
        <x:v>1147</x:v>
      </x:c>
      <x:c r="R41" s="8" t="n">
        <x:v>2544</x:v>
      </x:c>
      <x:c r="S41" s="8" t="n">
        <x:v>1564</x:v>
      </x:c>
      <x:c r="T41" s="8" t="n">
        <x:v>227</x:v>
      </x:c>
      <x:c r="U41" s="2" t="str">
        <x:v>2025年12月25日現在</x:v>
      </x:c>
      <x:c r="V41" s="2" t="str">
        <x:v>2025-12-25</x:v>
      </x:c>
      <x:c r="W41" s="2" t="str">
        <x:v>https://www.e-stat.go.jp/stat-search/file-download?statInfId=000032059434&amp;fileKind=0</x:v>
      </x:c>
      <x:c r="X41" s="2" t="str">
        <x:v>海上出入貨物!745行、コンテナ個数!130行</x:v>
      </x:c>
      <x:c r="Y41" s="2" t="str">
        <x:v>取得済</x:v>
      </x:c>
      <x:c r="Z41" s="9" t="str">
        <x:f>IF(AND(ISNUMBER(E41),COUNTIFS($A$2:$A$477,EDATE(A41,-12),$B$2:$B$477,B41,$E$2:$E$477,"&gt;0")=1),E41/SUMIFS($E$2:$E$477,$A$2:$A$477,EDATE(A41,-12),$B$2:$B$477,B41)-1,"")</x:f>
      </x:c>
      <x:c r="AA41" s="10" t="n">
        <x:f>IF(COUNTIFS($A$2:$A$477,"&gt;="&amp;EDATE(A41,-2),$A$2:$A$477,"&lt;="&amp;A41,$B$2:$B$477,B41,$E$2:$E$477,"&gt;=0")=3,SUMIFS($E$2:$E$477,$A$2:$A$477,"&gt;="&amp;EDATE(A41,-2),$A$2:$A$477,"&lt;="&amp;A41,$B$2:$B$477,B41)/3,"")</x:f>
        <x:v>788379.6666666666</x:v>
      </x:c>
      <x:c r="AB41" s="9" t="str">
        <x:f>IF(AND(ISNUMBER(J41),COUNTIFS($A$2:$A$477,EDATE(A41,-12),$B$2:$B$477,B41,$J$2:$J$477,"&gt;0")=1),J41/SUMIFS($J$2:$J$477,$A$2:$A$477,EDATE(A41,-12),$B$2:$B$477,B41)-1,"")</x:f>
      </x:c>
    </x:row>
    <x:row r="42" ht="21" customHeight="1">
      <x:c r="A42" s="7" t="n">
        <x:v>44348</x:v>
      </x:c>
      <x:c r="B42" s="2" t="str">
        <x:v>熊本</x:v>
      </x:c>
      <x:c r="C42" s="2" t="str">
        <x:v>熊本県</x:v>
      </x:c>
      <x:c r="D42" s="8" t="n">
        <x:v>180552</x:v>
      </x:c>
      <x:c r="E42" s="8" t="n">
        <x:v>8358</x:v>
      </x:c>
      <x:c r="F42" s="8" t="n">
        <x:v>6760</x:v>
      </x:c>
      <x:c r="G42" s="8" t="n">
        <x:v>68504</x:v>
      </x:c>
      <x:c r="H42" s="8" t="n">
        <x:v>96930</x:v>
      </x:c>
      <x:c r="I42" s="8" t="n">
        <x:v>986</x:v>
      </x:c>
      <x:c r="J42" s="8" t="n">
        <x:v>518</x:v>
      </x:c>
      <x:c r="K42" s="8" t="n">
        <x:v>388</x:v>
      </x:c>
      <x:c r="L42" s="8" t="n">
        <x:v>0</x:v>
      </x:c>
      <x:c r="M42" s="8" t="n">
        <x:v>80</x:v>
      </x:c>
      <x:c r="N42" s="8" t="n">
        <x:v>0</x:v>
      </x:c>
      <x:c r="O42" s="8" t="n">
        <x:v>0</x:v>
      </x:c>
      <x:c r="P42" s="8" t="n">
        <x:v>565</x:v>
      </x:c>
      <x:c r="Q42" s="8" t="n">
        <x:v>590</x:v>
      </x:c>
      <x:c r="R42" s="8" t="n">
        <x:v>1155</x:v>
      </x:c>
      <x:c r="S42" s="8" t="n">
        <x:v>38</x:v>
      </x:c>
      <x:c r="T42" s="8" t="n">
        <x:v>11</x:v>
      </x:c>
      <x:c r="U42" s="2" t="str">
        <x:v>2025年12月25日現在</x:v>
      </x:c>
      <x:c r="V42" s="2" t="str">
        <x:v>2025-12-25</x:v>
      </x:c>
      <x:c r="W42" s="2" t="str">
        <x:v>https://www.e-stat.go.jp/stat-search/file-download?statInfId=000032059434&amp;fileKind=0</x:v>
      </x:c>
      <x:c r="X42" s="2" t="str">
        <x:v>海上出入貨物!859行、コンテナ個数!149行</x:v>
      </x:c>
      <x:c r="Y42" s="2" t="str">
        <x:v>取得済</x:v>
      </x:c>
      <x:c r="Z42" s="9" t="str">
        <x:f>IF(AND(ISNUMBER(E42),COUNTIFS($A$2:$A$477,EDATE(A42,-12),$B$2:$B$477,B42,$E$2:$E$477,"&gt;0")=1),E42/SUMIFS($E$2:$E$477,$A$2:$A$477,EDATE(A42,-12),$B$2:$B$477,B42)-1,"")</x:f>
      </x:c>
      <x:c r="AA42" s="10" t="n">
        <x:f>IF(COUNTIFS($A$2:$A$477,"&gt;="&amp;EDATE(A42,-2),$A$2:$A$477,"&lt;="&amp;A42,$B$2:$B$477,B42,$E$2:$E$477,"&gt;=0")=3,SUMIFS($E$2:$E$477,$A$2:$A$477,"&gt;="&amp;EDATE(A42,-2),$A$2:$A$477,"&lt;="&amp;A42,$B$2:$B$477,B42)/3,"")</x:f>
        <x:v>6902</x:v>
      </x:c>
      <x:c r="AB42" s="9" t="str">
        <x:f>IF(AND(ISNUMBER(J42),COUNTIFS($A$2:$A$477,EDATE(A42,-12),$B$2:$B$477,B42,$J$2:$J$477,"&gt;0")=1),J42/SUMIFS($J$2:$J$477,$A$2:$A$477,EDATE(A42,-12),$B$2:$B$477,B42)-1,"")</x:f>
      </x:c>
    </x:row>
    <x:row r="43" ht="21" customHeight="1">
      <x:c r="A43" s="7" t="n">
        <x:v>44348</x:v>
      </x:c>
      <x:c r="B43" s="2" t="str">
        <x:v>八代</x:v>
      </x:c>
      <x:c r="C43" s="2" t="str">
        <x:v>熊本県</x:v>
      </x:c>
      <x:c r="D43" s="8" t="n">
        <x:v>411571</x:v>
      </x:c>
      <x:c r="E43" s="8" t="n">
        <x:v>27983</x:v>
      </x:c>
      <x:c r="F43" s="8" t="n">
        <x:v>212048</x:v>
      </x:c>
      <x:c r="G43" s="8" t="n">
        <x:v>22265</x:v>
      </x:c>
      <x:c r="H43" s="8" t="n">
        <x:v>149275</x:v>
      </x:c>
      <x:c r="I43" s="8" t="n">
        <x:v>2330</x:v>
      </x:c>
      <x:c r="J43" s="8" t="n">
        <x:v>1246</x:v>
      </x:c>
      <x:c r="K43" s="8" t="n">
        <x:v>866</x:v>
      </x:c>
      <x:c r="L43" s="8" t="n">
        <x:v>42</x:v>
      </x:c>
      <x:c r="M43" s="8" t="n">
        <x:v>176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176</x:v>
      </x:c>
      <x:c r="T43" s="8" t="n">
        <x:v>41</x:v>
      </x:c>
      <x:c r="U43" s="2" t="str">
        <x:v>2025年12月25日現在</x:v>
      </x:c>
      <x:c r="V43" s="2" t="str">
        <x:v>2025-12-25</x:v>
      </x:c>
      <x:c r="W43" s="2" t="str">
        <x:v>https://www.e-stat.go.jp/stat-search/file-download?statInfId=000032059434&amp;fileKind=0</x:v>
      </x:c>
      <x:c r="X43" s="2" t="str">
        <x:v>海上出入貨物!847行、コンテナ個数!147行</x:v>
      </x:c>
      <x:c r="Y43" s="2" t="str">
        <x:v>取得済</x:v>
      </x:c>
      <x:c r="Z43" s="9" t="str">
        <x:f>IF(AND(ISNUMBER(E43),COUNTIFS($A$2:$A$477,EDATE(A43,-12),$B$2:$B$477,B43,$E$2:$E$477,"&gt;0")=1),E43/SUMIFS($E$2:$E$477,$A$2:$A$477,EDATE(A43,-12),$B$2:$B$477,B43)-1,"")</x:f>
      </x:c>
      <x:c r="AA43" s="10" t="n">
        <x:f>IF(COUNTIFS($A$2:$A$477,"&gt;="&amp;EDATE(A43,-2),$A$2:$A$477,"&lt;="&amp;A43,$B$2:$B$477,B43,$E$2:$E$477,"&gt;=0")=3,SUMIFS($E$2:$E$477,$A$2:$A$477,"&gt;="&amp;EDATE(A43,-2),$A$2:$A$477,"&lt;="&amp;A43,$B$2:$B$477,B43)/3,"")</x:f>
        <x:v>30488.333333333332</x:v>
      </x:c>
      <x:c r="AB43" s="9" t="str">
        <x:f>IF(AND(ISNUMBER(J43),COUNTIFS($A$2:$A$477,EDATE(A43,-12),$B$2:$B$477,B43,$J$2:$J$477,"&gt;0")=1),J43/SUMIFS($J$2:$J$477,$A$2:$A$477,EDATE(A43,-12),$B$2:$B$477,B43)-1,"")</x:f>
      </x:c>
    </x:row>
    <x:row r="44" ht="21" customHeight="1">
      <x:c r="A44" s="7" t="n">
        <x:v>44378</x:v>
      </x:c>
      <x:c r="B44" s="2" t="str">
        <x:v>仙台塩釜</x:v>
      </x:c>
      <x:c r="C44" s="2" t="str">
        <x:v>宮城県</x:v>
      </x:c>
      <x:c r="D44" s="8" t="n">
        <x:v>3129318</x:v>
      </x:c>
      <x:c r="E44" s="8" t="n">
        <x:v>68620</x:v>
      </x:c>
      <x:c r="F44" s="8" t="n">
        <x:v>843152</x:v>
      </x:c>
      <x:c r="G44" s="8" t="n">
        <x:v>1014639</x:v>
      </x:c>
      <x:c r="H44" s="8" t="n">
        <x:v>1202907</x:v>
      </x:c>
      <x:c r="I44" s="8" t="n">
        <x:v>22166</x:v>
      </x:c>
      <x:c r="J44" s="8" t="n">
        <x:v>6339</x:v>
      </x:c>
      <x:c r="K44" s="8" t="n">
        <x:v>6819</x:v>
      </x:c>
      <x:c r="L44" s="8" t="n">
        <x:v>4383</x:v>
      </x:c>
      <x:c r="M44" s="8" t="n">
        <x:v>4625</x:v>
      </x:c>
      <x:c r="N44" s="8" t="n">
        <x:v>0</x:v>
      </x:c>
      <x:c r="O44" s="8" t="n">
        <x:v>0</x:v>
      </x:c>
      <x:c r="P44" s="8" t="n">
        <x:v>600</x:v>
      </x:c>
      <x:c r="Q44" s="8" t="n">
        <x:v>617</x:v>
      </x:c>
      <x:c r="R44" s="8" t="n">
        <x:v>1217</x:v>
      </x:c>
      <x:c r="S44" s="8" t="n">
        <x:v>1678</x:v>
      </x:c>
      <x:c r="T44" s="8" t="n">
        <x:v>86</x:v>
      </x:c>
      <x:c r="U44" s="2" t="str">
        <x:v>2025年12月25日現在</x:v>
      </x:c>
      <x:c r="V44" s="2" t="str">
        <x:v>2025-12-25</x:v>
      </x:c>
      <x:c r="W44" s="2" t="str">
        <x:v>https://www.e-stat.go.jp/stat-search/file-download?statInfId=000032059434&amp;fileKind=0</x:v>
      </x:c>
      <x:c r="X44" s="2" t="str">
        <x:v>海上出入貨物!139行、コンテナ個数!29行</x:v>
      </x:c>
      <x:c r="Y44" s="2" t="str">
        <x:v>取得済</x:v>
      </x:c>
      <x:c r="Z44" s="9" t="str">
        <x:f>IF(AND(ISNUMBER(E44),COUNTIFS($A$2:$A$477,EDATE(A44,-12),$B$2:$B$477,B44,$E$2:$E$477,"&gt;0")=1),E44/SUMIFS($E$2:$E$477,$A$2:$A$477,EDATE(A44,-12),$B$2:$B$477,B44)-1,"")</x:f>
      </x:c>
      <x:c r="AA44" s="10" t="n">
        <x:f>IF(COUNTIFS($A$2:$A$477,"&gt;="&amp;EDATE(A44,-2),$A$2:$A$477,"&lt;="&amp;A44,$B$2:$B$477,B44,$E$2:$E$477,"&gt;=0")=3,SUMIFS($E$2:$E$477,$A$2:$A$477,"&gt;="&amp;EDATE(A44,-2),$A$2:$A$477,"&lt;="&amp;A44,$B$2:$B$477,B44)/3,"")</x:f>
        <x:v>90959.33333333333</x:v>
      </x:c>
      <x:c r="AB44" s="9" t="str">
        <x:f>IF(AND(ISNUMBER(J44),COUNTIFS($A$2:$A$477,EDATE(A44,-12),$B$2:$B$477,B44,$J$2:$J$477,"&gt;0")=1),J44/SUMIFS($J$2:$J$477,$A$2:$A$477,EDATE(A44,-12),$B$2:$B$477,B44)-1,"")</x:f>
      </x:c>
    </x:row>
    <x:row r="45" ht="21" customHeight="1">
      <x:c r="A45" s="7" t="n">
        <x:v>44378</x:v>
      </x:c>
      <x:c r="B45" s="2" t="str">
        <x:v>東京</x:v>
      </x:c>
      <x:c r="C45" s="2" t="str">
        <x:v>東京都</x:v>
      </x:c>
      <x:c r="D45" s="8" t="n">
        <x:v>7040840</x:v>
      </x:c>
      <x:c r="E45" s="8" t="n">
        <x:v>1000934</x:v>
      </x:c>
      <x:c r="F45" s="8" t="n">
        <x:v>2909835</x:v>
      </x:c>
      <x:c r="G45" s="8" t="n">
        <x:v>1326288</x:v>
      </x:c>
      <x:c r="H45" s="8" t="n">
        <x:v>1803783</x:v>
      </x:c>
      <x:c r="I45" s="8" t="n">
        <x:v>407261</x:v>
      </x:c>
      <x:c r="J45" s="8" t="n">
        <x:v>162962</x:v>
      </x:c>
      <x:c r="K45" s="8" t="n">
        <x:v>197372</x:v>
      </x:c>
      <x:c r="L45" s="8" t="n">
        <x:v>33848</x:v>
      </x:c>
      <x:c r="M45" s="8" t="n">
        <x:v>13079</x:v>
      </x:c>
      <x:c r="N45" s="8" t="n">
        <x:v>0</x:v>
      </x:c>
      <x:c r="O45" s="8" t="n">
        <x:v>0</x:v>
      </x:c>
      <x:c r="P45" s="8" t="n">
        <x:v>432</x:v>
      </x:c>
      <x:c r="Q45" s="8" t="n">
        <x:v>198</x:v>
      </x:c>
      <x:c r="R45" s="8" t="n">
        <x:v>630</x:v>
      </x:c>
      <x:c r="S45" s="8" t="n">
        <x:v>1698</x:v>
      </x:c>
      <x:c r="T45" s="8" t="n">
        <x:v>395</x:v>
      </x:c>
      <x:c r="U45" s="2" t="str">
        <x:v>2025年12月25日現在</x:v>
      </x:c>
      <x:c r="V45" s="2" t="str">
        <x:v>2025-12-25</x:v>
      </x:c>
      <x:c r="W45" s="2" t="str">
        <x:v>https://www.e-stat.go.jp/stat-search/file-download?statInfId=000032059434&amp;fileKind=0</x:v>
      </x:c>
      <x:c r="X45" s="2" t="str">
        <x:v>海上出入貨物!205行、コンテナ個数!40行</x:v>
      </x:c>
      <x:c r="Y45" s="2" t="str">
        <x:v>取得済</x:v>
      </x:c>
      <x:c r="Z45" s="9" t="str">
        <x:f>IF(AND(ISNUMBER(E45),COUNTIFS($A$2:$A$477,EDATE(A45,-12),$B$2:$B$477,B45,$E$2:$E$477,"&gt;0")=1),E45/SUMIFS($E$2:$E$477,$A$2:$A$477,EDATE(A45,-12),$B$2:$B$477,B45)-1,"")</x:f>
      </x:c>
      <x:c r="AA45" s="10" t="n">
        <x:f>IF(COUNTIFS($A$2:$A$477,"&gt;="&amp;EDATE(A45,-2),$A$2:$A$477,"&lt;="&amp;A45,$B$2:$B$477,B45,$E$2:$E$477,"&gt;=0")=3,SUMIFS($E$2:$E$477,$A$2:$A$477,"&gt;="&amp;EDATE(A45,-2),$A$2:$A$477,"&lt;="&amp;A45,$B$2:$B$477,B45)/3,"")</x:f>
        <x:v>1018382.3333333334</x:v>
      </x:c>
      <x:c r="AB45" s="9" t="str">
        <x:f>IF(AND(ISNUMBER(J45),COUNTIFS($A$2:$A$477,EDATE(A45,-12),$B$2:$B$477,B45,$J$2:$J$477,"&gt;0")=1),J45/SUMIFS($J$2:$J$477,$A$2:$A$477,EDATE(A45,-12),$B$2:$B$477,B45)-1,"")</x:f>
      </x:c>
    </x:row>
    <x:row r="46" ht="21" customHeight="1">
      <x:c r="A46" s="7" t="n">
        <x:v>44378</x:v>
      </x:c>
      <x:c r="B46" s="2" t="str">
        <x:v>横浜</x:v>
      </x:c>
      <x:c r="C46" s="2" t="str">
        <x:v>神奈川県</x:v>
      </x:c>
      <x:c r="D46" s="8" t="n">
        <x:v>8977279</x:v>
      </x:c>
      <x:c r="E46" s="8" t="n">
        <x:v>2652962</x:v>
      </x:c>
      <x:c r="F46" s="8" t="n">
        <x:v>3350451</x:v>
      </x:c>
      <x:c r="G46" s="8" t="n">
        <x:v>1375590</x:v>
      </x:c>
      <x:c r="H46" s="8" t="n">
        <x:v>1598276</x:v>
      </x:c>
      <x:c r="I46" s="8" t="n">
        <x:v>250992</x:v>
      </x:c>
      <x:c r="J46" s="8" t="n">
        <x:v>118899</x:v>
      </x:c>
      <x:c r="K46" s="8" t="n">
        <x:v>106736</x:v>
      </x:c>
      <x:c r="L46" s="8" t="n">
        <x:v>11369</x:v>
      </x:c>
      <x:c r="M46" s="8" t="n">
        <x:v>13988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2379</x:v>
      </x:c>
      <x:c r="T46" s="8" t="n">
        <x:v>734</x:v>
      </x:c>
      <x:c r="U46" s="2" t="str">
        <x:v>2025年12月25日現在</x:v>
      </x:c>
      <x:c r="V46" s="2" t="str">
        <x:v>2025-12-25</x:v>
      </x:c>
      <x:c r="W46" s="2" t="str">
        <x:v>https://www.e-stat.go.jp/stat-search/file-download?statInfId=000032059434&amp;fileKind=0</x:v>
      </x:c>
      <x:c r="X46" s="2" t="str">
        <x:v>海上出入貨物!217行、コンテナ個数!42行</x:v>
      </x:c>
      <x:c r="Y46" s="2" t="str">
        <x:v>取得済</x:v>
      </x:c>
      <x:c r="Z46" s="9" t="str">
        <x:f>IF(AND(ISNUMBER(E46),COUNTIFS($A$2:$A$477,EDATE(A46,-12),$B$2:$B$477,B46,$E$2:$E$477,"&gt;0")=1),E46/SUMIFS($E$2:$E$477,$A$2:$A$477,EDATE(A46,-12),$B$2:$B$477,B46)-1,"")</x:f>
      </x:c>
      <x:c r="AA46" s="10" t="n">
        <x:f>IF(COUNTIFS($A$2:$A$477,"&gt;="&amp;EDATE(A46,-2),$A$2:$A$477,"&lt;="&amp;A46,$B$2:$B$477,B46,$E$2:$E$477,"&gt;=0")=3,SUMIFS($E$2:$E$477,$A$2:$A$477,"&gt;="&amp;EDATE(A46,-2),$A$2:$A$477,"&lt;="&amp;A46,$B$2:$B$477,B46)/3,"")</x:f>
        <x:v>2421738.6666666665</x:v>
      </x:c>
      <x:c r="AB46" s="9" t="str">
        <x:f>IF(AND(ISNUMBER(J46),COUNTIFS($A$2:$A$477,EDATE(A46,-12),$B$2:$B$477,B46,$J$2:$J$477,"&gt;0")=1),J46/SUMIFS($J$2:$J$477,$A$2:$A$477,EDATE(A46,-12),$B$2:$B$477,B46)-1,"")</x:f>
      </x:c>
    </x:row>
    <x:row r="47" ht="21" customHeight="1">
      <x:c r="A47" s="7" t="n">
        <x:v>44378</x:v>
      </x:c>
      <x:c r="B47" s="2" t="str">
        <x:v>清水</x:v>
      </x:c>
      <x:c r="C47" s="2" t="str">
        <x:v>静岡県</x:v>
      </x:c>
      <x:c r="D47" s="8" t="n">
        <x:v>1539644</x:v>
      </x:c>
      <x:c r="E47" s="8" t="n">
        <x:v>369521</x:v>
      </x:c>
      <x:c r="F47" s="8" t="n">
        <x:v>599925</x:v>
      </x:c>
      <x:c r="G47" s="8" t="n">
        <x:v>177267</x:v>
      </x:c>
      <x:c r="H47" s="8" t="n">
        <x:v>392931</x:v>
      </x:c>
      <x:c r="I47" s="8" t="n">
        <x:v>50194</x:v>
      </x:c>
      <x:c r="J47" s="8" t="n">
        <x:v>21355</x:v>
      </x:c>
      <x:c r="K47" s="8" t="n">
        <x:v>18931</x:v>
      </x:c>
      <x:c r="L47" s="8" t="n">
        <x:v>4015</x:v>
      </x:c>
      <x:c r="M47" s="8" t="n">
        <x:v>5893</x:v>
      </x:c>
      <x:c r="N47" s="8" t="n">
        <x:v>0</x:v>
      </x:c>
      <x:c r="O47" s="8" t="n">
        <x:v>0</x:v>
      </x:c>
      <x:c r="P47" s="8" t="n">
        <x:v>4</x:v>
      </x:c>
      <x:c r="Q47" s="8" t="n">
        <x:v>5</x:v>
      </x:c>
      <x:c r="R47" s="8" t="n">
        <x:v>9</x:v>
      </x:c>
      <x:c r="S47" s="8" t="n">
        <x:v>486</x:v>
      </x:c>
      <x:c r="T47" s="8" t="n">
        <x:v>146</x:v>
      </x:c>
      <x:c r="U47" s="2" t="str">
        <x:v>2025年12月25日現在</x:v>
      </x:c>
      <x:c r="V47" s="2" t="str">
        <x:v>2025-12-25</x:v>
      </x:c>
      <x:c r="W47" s="2" t="str">
        <x:v>https://www.e-stat.go.jp/stat-search/file-download?statInfId=000032059434&amp;fileKind=0</x:v>
      </x:c>
      <x:c r="X47" s="2" t="str">
        <x:v>海上出入貨物!313行、コンテナ個数!58行</x:v>
      </x:c>
      <x:c r="Y47" s="2" t="str">
        <x:v>取得済</x:v>
      </x:c>
      <x:c r="Z47" s="9" t="str">
        <x:f>IF(AND(ISNUMBER(E47),COUNTIFS($A$2:$A$477,EDATE(A47,-12),$B$2:$B$477,B47,$E$2:$E$477,"&gt;0")=1),E47/SUMIFS($E$2:$E$477,$A$2:$A$477,EDATE(A47,-12),$B$2:$B$477,B47)-1,"")</x:f>
      </x:c>
      <x:c r="AA47" s="10" t="n">
        <x:f>IF(COUNTIFS($A$2:$A$477,"&gt;="&amp;EDATE(A47,-2),$A$2:$A$477,"&lt;="&amp;A47,$B$2:$B$477,B47,$E$2:$E$477,"&gt;=0")=3,SUMIFS($E$2:$E$477,$A$2:$A$477,"&gt;="&amp;EDATE(A47,-2),$A$2:$A$477,"&lt;="&amp;A47,$B$2:$B$477,B47)/3,"")</x:f>
        <x:v>340595</x:v>
      </x:c>
      <x:c r="AB47" s="9" t="str">
        <x:f>IF(AND(ISNUMBER(J47),COUNTIFS($A$2:$A$477,EDATE(A47,-12),$B$2:$B$477,B47,$J$2:$J$477,"&gt;0")=1),J47/SUMIFS($J$2:$J$477,$A$2:$A$477,EDATE(A47,-12),$B$2:$B$477,B47)-1,"")</x:f>
      </x:c>
    </x:row>
    <x:row r="48" ht="21" customHeight="1">
      <x:c r="A48" s="7" t="n">
        <x:v>44378</x:v>
      </x:c>
      <x:c r="B48" s="2" t="str">
        <x:v>博多</x:v>
      </x:c>
      <x:c r="C48" s="2" t="str">
        <x:v>福岡県</x:v>
      </x:c>
      <x:c r="D48" s="8" t="n">
        <x:v>2961838</x:v>
      </x:c>
      <x:c r="E48" s="8" t="n">
        <x:v>743817</x:v>
      </x:c>
      <x:c r="F48" s="8" t="n">
        <x:v>850365</x:v>
      </x:c>
      <x:c r="G48" s="8" t="n">
        <x:v>482681</x:v>
      </x:c>
      <x:c r="H48" s="8" t="n">
        <x:v>884975</x:v>
      </x:c>
      <x:c r="I48" s="8" t="n">
        <x:v>78817</x:v>
      </x:c>
      <x:c r="J48" s="8" t="n">
        <x:v>31920</x:v>
      </x:c>
      <x:c r="K48" s="8" t="n">
        <x:v>34369</x:v>
      </x:c>
      <x:c r="L48" s="8" t="n">
        <x:v>6537</x:v>
      </x:c>
      <x:c r="M48" s="8" t="n">
        <x:v>5991</x:v>
      </x:c>
      <x:c r="N48" s="8" t="n">
        <x:v>0</x:v>
      </x:c>
      <x:c r="O48" s="8" t="n">
        <x:v>0</x:v>
      </x:c>
      <x:c r="P48" s="8" t="n">
        <x:v>1442</x:v>
      </x:c>
      <x:c r="Q48" s="8" t="n">
        <x:v>1371</x:v>
      </x:c>
      <x:c r="R48" s="8" t="n">
        <x:v>2813</x:v>
      </x:c>
      <x:c r="S48" s="8" t="n">
        <x:v>1619</x:v>
      </x:c>
      <x:c r="T48" s="8" t="n">
        <x:v>214</x:v>
      </x:c>
      <x:c r="U48" s="2" t="str">
        <x:v>2025年12月25日現在</x:v>
      </x:c>
      <x:c r="V48" s="2" t="str">
        <x:v>2025-12-25</x:v>
      </x:c>
      <x:c r="W48" s="2" t="str">
        <x:v>https://www.e-stat.go.jp/stat-search/file-download?statInfId=000032059434&amp;fileKind=0</x:v>
      </x:c>
      <x:c r="X48" s="2" t="str">
        <x:v>海上出入貨物!745行、コンテナ個数!130行</x:v>
      </x:c>
      <x:c r="Y48" s="2" t="str">
        <x:v>取得済</x:v>
      </x:c>
      <x:c r="Z48" s="9" t="str">
        <x:f>IF(AND(ISNUMBER(E48),COUNTIFS($A$2:$A$477,EDATE(A48,-12),$B$2:$B$477,B48,$E$2:$E$477,"&gt;0")=1),E48/SUMIFS($E$2:$E$477,$A$2:$A$477,EDATE(A48,-12),$B$2:$B$477,B48)-1,"")</x:f>
      </x:c>
      <x:c r="AA48" s="10" t="n">
        <x:f>IF(COUNTIFS($A$2:$A$477,"&gt;="&amp;EDATE(A48,-2),$A$2:$A$477,"&lt;="&amp;A48,$B$2:$B$477,B48,$E$2:$E$477,"&gt;=0")=3,SUMIFS($E$2:$E$477,$A$2:$A$477,"&gt;="&amp;EDATE(A48,-2),$A$2:$A$477,"&lt;="&amp;A48,$B$2:$B$477,B48)/3,"")</x:f>
        <x:v>759068.3333333334</x:v>
      </x:c>
      <x:c r="AB48" s="9" t="str">
        <x:f>IF(AND(ISNUMBER(J48),COUNTIFS($A$2:$A$477,EDATE(A48,-12),$B$2:$B$477,B48,$J$2:$J$477,"&gt;0")=1),J48/SUMIFS($J$2:$J$477,$A$2:$A$477,EDATE(A48,-12),$B$2:$B$477,B48)-1,"")</x:f>
      </x:c>
    </x:row>
    <x:row r="49" ht="21" customHeight="1">
      <x:c r="A49" s="7" t="n">
        <x:v>44378</x:v>
      </x:c>
      <x:c r="B49" s="2" t="str">
        <x:v>熊本</x:v>
      </x:c>
      <x:c r="C49" s="2" t="str">
        <x:v>熊本県</x:v>
      </x:c>
      <x:c r="D49" s="8" t="n">
        <x:v>227071</x:v>
      </x:c>
      <x:c r="E49" s="8" t="n">
        <x:v>5549</x:v>
      </x:c>
      <x:c r="F49" s="8" t="n">
        <x:v>5518</x:v>
      </x:c>
      <x:c r="G49" s="8" t="n">
        <x:v>86979</x:v>
      </x:c>
      <x:c r="H49" s="8" t="n">
        <x:v>129025</x:v>
      </x:c>
      <x:c r="I49" s="8" t="n">
        <x:v>614</x:v>
      </x:c>
      <x:c r="J49" s="8" t="n">
        <x:v>327</x:v>
      </x:c>
      <x:c r="K49" s="8" t="n">
        <x:v>257</x:v>
      </x:c>
      <x:c r="L49" s="8" t="n">
        <x:v>0</x:v>
      </x:c>
      <x:c r="M49" s="8" t="n">
        <x:v>30</x:v>
      </x:c>
      <x:c r="N49" s="8" t="n">
        <x:v>0</x:v>
      </x:c>
      <x:c r="O49" s="8" t="n">
        <x:v>0</x:v>
      </x:c>
      <x:c r="P49" s="8" t="n">
        <x:v>562</x:v>
      </x:c>
      <x:c r="Q49" s="8" t="n">
        <x:v>594</x:v>
      </x:c>
      <x:c r="R49" s="8" t="n">
        <x:v>1156</x:v>
      </x:c>
      <x:c r="S49" s="8" t="n">
        <x:v>40</x:v>
      </x:c>
      <x:c r="T49" s="8" t="n">
        <x:v>8</x:v>
      </x:c>
      <x:c r="U49" s="2" t="str">
        <x:v>2025年12月25日現在</x:v>
      </x:c>
      <x:c r="V49" s="2" t="str">
        <x:v>2025-12-25</x:v>
      </x:c>
      <x:c r="W49" s="2" t="str">
        <x:v>https://www.e-stat.go.jp/stat-search/file-download?statInfId=000032059434&amp;fileKind=0</x:v>
      </x:c>
      <x:c r="X49" s="2" t="str">
        <x:v>海上出入貨物!859行、コンテナ個数!149行</x:v>
      </x:c>
      <x:c r="Y49" s="2" t="str">
        <x:v>取得済</x:v>
      </x:c>
      <x:c r="Z49" s="9" t="str">
        <x:f>IF(AND(ISNUMBER(E49),COUNTIFS($A$2:$A$477,EDATE(A49,-12),$B$2:$B$477,B49,$E$2:$E$477,"&gt;0")=1),E49/SUMIFS($E$2:$E$477,$A$2:$A$477,EDATE(A49,-12),$B$2:$B$477,B49)-1,"")</x:f>
      </x:c>
      <x:c r="AA49" s="10" t="n">
        <x:f>IF(COUNTIFS($A$2:$A$477,"&gt;="&amp;EDATE(A49,-2),$A$2:$A$477,"&lt;="&amp;A49,$B$2:$B$477,B49,$E$2:$E$477,"&gt;=0")=3,SUMIFS($E$2:$E$477,$A$2:$A$477,"&gt;="&amp;EDATE(A49,-2),$A$2:$A$477,"&lt;="&amp;A49,$B$2:$B$477,B49)/3,"")</x:f>
        <x:v>6013.666666666667</x:v>
      </x:c>
      <x:c r="AB49" s="9" t="str">
        <x:f>IF(AND(ISNUMBER(J49),COUNTIFS($A$2:$A$477,EDATE(A49,-12),$B$2:$B$477,B49,$J$2:$J$477,"&gt;0")=1),J49/SUMIFS($J$2:$J$477,$A$2:$A$477,EDATE(A49,-12),$B$2:$B$477,B49)-1,"")</x:f>
      </x:c>
    </x:row>
    <x:row r="50" ht="21" customHeight="1">
      <x:c r="A50" s="7" t="n">
        <x:v>44378</x:v>
      </x:c>
      <x:c r="B50" s="2" t="str">
        <x:v>八代</x:v>
      </x:c>
      <x:c r="C50" s="2" t="str">
        <x:v>熊本県</x:v>
      </x:c>
      <x:c r="D50" s="8" t="n">
        <x:v>324518</x:v>
      </x:c>
      <x:c r="E50" s="8" t="n">
        <x:v>28514</x:v>
      </x:c>
      <x:c r="F50" s="8" t="n">
        <x:v>146867</x:v>
      </x:c>
      <x:c r="G50" s="8" t="n">
        <x:v>15612</x:v>
      </x:c>
      <x:c r="H50" s="8" t="n">
        <x:v>133525</x:v>
      </x:c>
      <x:c r="I50" s="8" t="n">
        <x:v>2222</x:v>
      </x:c>
      <x:c r="J50" s="8" t="n">
        <x:v>1159</x:v>
      </x:c>
      <x:c r="K50" s="8" t="n">
        <x:v>875</x:v>
      </x:c>
      <x:c r="L50" s="8" t="n">
        <x:v>23</x:v>
      </x:c>
      <x:c r="M50" s="8" t="n">
        <x:v>165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158</x:v>
      </x:c>
      <x:c r="T50" s="8" t="n">
        <x:v>44</x:v>
      </x:c>
      <x:c r="U50" s="2" t="str">
        <x:v>2025年12月25日現在</x:v>
      </x:c>
      <x:c r="V50" s="2" t="str">
        <x:v>2025-12-25</x:v>
      </x:c>
      <x:c r="W50" s="2" t="str">
        <x:v>https://www.e-stat.go.jp/stat-search/file-download?statInfId=000032059434&amp;fileKind=0</x:v>
      </x:c>
      <x:c r="X50" s="2" t="str">
        <x:v>海上出入貨物!847行、コンテナ個数!147行</x:v>
      </x:c>
      <x:c r="Y50" s="2" t="str">
        <x:v>取得済</x:v>
      </x:c>
      <x:c r="Z50" s="9" t="str">
        <x:f>IF(AND(ISNUMBER(E50),COUNTIFS($A$2:$A$477,EDATE(A50,-12),$B$2:$B$477,B50,$E$2:$E$477,"&gt;0")=1),E50/SUMIFS($E$2:$E$477,$A$2:$A$477,EDATE(A50,-12),$B$2:$B$477,B50)-1,"")</x:f>
      </x:c>
      <x:c r="AA50" s="10" t="n">
        <x:f>IF(COUNTIFS($A$2:$A$477,"&gt;="&amp;EDATE(A50,-2),$A$2:$A$477,"&lt;="&amp;A50,$B$2:$B$477,B50,$E$2:$E$477,"&gt;=0")=3,SUMIFS($E$2:$E$477,$A$2:$A$477,"&gt;="&amp;EDATE(A50,-2),$A$2:$A$477,"&lt;="&amp;A50,$B$2:$B$477,B50)/3,"")</x:f>
        <x:v>29421.333333333332</x:v>
      </x:c>
      <x:c r="AB50" s="9" t="str">
        <x:f>IF(AND(ISNUMBER(J50),COUNTIFS($A$2:$A$477,EDATE(A50,-12),$B$2:$B$477,B50,$J$2:$J$477,"&gt;0")=1),J50/SUMIFS($J$2:$J$477,$A$2:$A$477,EDATE(A50,-12),$B$2:$B$477,B50)-1,"")</x:f>
      </x:c>
    </x:row>
    <x:row r="51" ht="21" customHeight="1">
      <x:c r="A51" s="7" t="n">
        <x:v>44409</x:v>
      </x:c>
      <x:c r="B51" s="2" t="str">
        <x:v>仙台塩釜</x:v>
      </x:c>
      <x:c r="C51" s="2" t="str">
        <x:v>宮城県</x:v>
      </x:c>
      <x:c r="D51" s="8" t="n">
        <x:v>3417149</x:v>
      </x:c>
      <x:c r="E51" s="8" t="n">
        <x:v>97724</x:v>
      </x:c>
      <x:c r="F51" s="8" t="n">
        <x:v>1018123</x:v>
      </x:c>
      <x:c r="G51" s="8" t="n">
        <x:v>990136</x:v>
      </x:c>
      <x:c r="H51" s="8" t="n">
        <x:v>1311166</x:v>
      </x:c>
      <x:c r="I51" s="8" t="n">
        <x:v>22048</x:v>
      </x:c>
      <x:c r="J51" s="8" t="n">
        <x:v>5683</x:v>
      </x:c>
      <x:c r="K51" s="8" t="n">
        <x:v>6038</x:v>
      </x:c>
      <x:c r="L51" s="8" t="n">
        <x:v>4960</x:v>
      </x:c>
      <x:c r="M51" s="8" t="n">
        <x:v>5367</x:v>
      </x:c>
      <x:c r="N51" s="8" t="n">
        <x:v>0</x:v>
      </x:c>
      <x:c r="O51" s="8" t="n">
        <x:v>0</x:v>
      </x:c>
      <x:c r="P51" s="8" t="n">
        <x:v>583</x:v>
      </x:c>
      <x:c r="Q51" s="8" t="n">
        <x:v>636</x:v>
      </x:c>
      <x:c r="R51" s="8" t="n">
        <x:v>1219</x:v>
      </x:c>
      <x:c r="S51" s="8" t="n">
        <x:v>1695</x:v>
      </x:c>
      <x:c r="T51" s="8" t="n">
        <x:v>82</x:v>
      </x:c>
      <x:c r="U51" s="2" t="str">
        <x:v>2025年12月25日現在</x:v>
      </x:c>
      <x:c r="V51" s="2" t="str">
        <x:v>2025-12-25</x:v>
      </x:c>
      <x:c r="W51" s="2" t="str">
        <x:v>https://www.e-stat.go.jp/stat-search/file-download?statInfId=000032059434&amp;fileKind=0</x:v>
      </x:c>
      <x:c r="X51" s="2" t="str">
        <x:v>海上出入貨物!139行、コンテナ個数!29行</x:v>
      </x:c>
      <x:c r="Y51" s="2" t="str">
        <x:v>取得済</x:v>
      </x:c>
      <x:c r="Z51" s="9" t="str">
        <x:f>IF(AND(ISNUMBER(E51),COUNTIFS($A$2:$A$477,EDATE(A51,-12),$B$2:$B$477,B51,$E$2:$E$477,"&gt;0")=1),E51/SUMIFS($E$2:$E$477,$A$2:$A$477,EDATE(A51,-12),$B$2:$B$477,B51)-1,"")</x:f>
      </x:c>
      <x:c r="AA51" s="10" t="n">
        <x:f>IF(COUNTIFS($A$2:$A$477,"&gt;="&amp;EDATE(A51,-2),$A$2:$A$477,"&lt;="&amp;A51,$B$2:$B$477,B51,$E$2:$E$477,"&gt;=0")=3,SUMIFS($E$2:$E$477,$A$2:$A$477,"&gt;="&amp;EDATE(A51,-2),$A$2:$A$477,"&lt;="&amp;A51,$B$2:$B$477,B51)/3,"")</x:f>
        <x:v>86337</x:v>
      </x:c>
      <x:c r="AB51" s="9" t="str">
        <x:f>IF(AND(ISNUMBER(J51),COUNTIFS($A$2:$A$477,EDATE(A51,-12),$B$2:$B$477,B51,$J$2:$J$477,"&gt;0")=1),J51/SUMIFS($J$2:$J$477,$A$2:$A$477,EDATE(A51,-12),$B$2:$B$477,B51)-1,"")</x:f>
      </x:c>
    </x:row>
    <x:row r="52" ht="21" customHeight="1">
      <x:c r="A52" s="7" t="n">
        <x:v>44409</x:v>
      </x:c>
      <x:c r="B52" s="2" t="str">
        <x:v>東京</x:v>
      </x:c>
      <x:c r="C52" s="2" t="str">
        <x:v>東京都</x:v>
      </x:c>
      <x:c r="D52" s="8" t="n">
        <x:v>6879430</x:v>
      </x:c>
      <x:c r="E52" s="8" t="n">
        <x:v>1049145</x:v>
      </x:c>
      <x:c r="F52" s="8" t="n">
        <x:v>2942922</x:v>
      </x:c>
      <x:c r="G52" s="8" t="n">
        <x:v>1241288</x:v>
      </x:c>
      <x:c r="H52" s="8" t="n">
        <x:v>1646075</x:v>
      </x:c>
      <x:c r="I52" s="8" t="n">
        <x:v>395909</x:v>
      </x:c>
      <x:c r="J52" s="8" t="n">
        <x:v>162302</x:v>
      </x:c>
      <x:c r="K52" s="8" t="n">
        <x:v>196055</x:v>
      </x:c>
      <x:c r="L52" s="8" t="n">
        <x:v>26168</x:v>
      </x:c>
      <x:c r="M52" s="8" t="n">
        <x:v>11384</x:v>
      </x:c>
      <x:c r="N52" s="8" t="n">
        <x:v>0</x:v>
      </x:c>
      <x:c r="O52" s="8" t="n">
        <x:v>0</x:v>
      </x:c>
      <x:c r="P52" s="8" t="n">
        <x:v>357</x:v>
      </x:c>
      <x:c r="Q52" s="8" t="n">
        <x:v>141</x:v>
      </x:c>
      <x:c r="R52" s="8" t="n">
        <x:v>498</x:v>
      </x:c>
      <x:c r="S52" s="8" t="n">
        <x:v>1618</x:v>
      </x:c>
      <x:c r="T52" s="8" t="n">
        <x:v>374</x:v>
      </x:c>
      <x:c r="U52" s="2" t="str">
        <x:v>2025年12月25日現在</x:v>
      </x:c>
      <x:c r="V52" s="2" t="str">
        <x:v>2025-12-25</x:v>
      </x:c>
      <x:c r="W52" s="2" t="str">
        <x:v>https://www.e-stat.go.jp/stat-search/file-download?statInfId=000032059434&amp;fileKind=0</x:v>
      </x:c>
      <x:c r="X52" s="2" t="str">
        <x:v>海上出入貨物!205行、コンテナ個数!40行</x:v>
      </x:c>
      <x:c r="Y52" s="2" t="str">
        <x:v>取得済</x:v>
      </x:c>
      <x:c r="Z52" s="9" t="str">
        <x:f>IF(AND(ISNUMBER(E52),COUNTIFS($A$2:$A$477,EDATE(A52,-12),$B$2:$B$477,B52,$E$2:$E$477,"&gt;0")=1),E52/SUMIFS($E$2:$E$477,$A$2:$A$477,EDATE(A52,-12),$B$2:$B$477,B52)-1,"")</x:f>
      </x:c>
      <x:c r="AA52" s="10" t="n">
        <x:f>IF(COUNTIFS($A$2:$A$477,"&gt;="&amp;EDATE(A52,-2),$A$2:$A$477,"&lt;="&amp;A52,$B$2:$B$477,B52,$E$2:$E$477,"&gt;=0")=3,SUMIFS($E$2:$E$477,$A$2:$A$477,"&gt;="&amp;EDATE(A52,-2),$A$2:$A$477,"&lt;="&amp;A52,$B$2:$B$477,B52)/3,"")</x:f>
        <x:v>1051695</x:v>
      </x:c>
      <x:c r="AB52" s="9" t="str">
        <x:f>IF(AND(ISNUMBER(J52),COUNTIFS($A$2:$A$477,EDATE(A52,-12),$B$2:$B$477,B52,$J$2:$J$477,"&gt;0")=1),J52/SUMIFS($J$2:$J$477,$A$2:$A$477,EDATE(A52,-12),$B$2:$B$477,B52)-1,"")</x:f>
      </x:c>
    </x:row>
    <x:row r="53" ht="21" customHeight="1">
      <x:c r="A53" s="7" t="n">
        <x:v>44409</x:v>
      </x:c>
      <x:c r="B53" s="2" t="str">
        <x:v>横浜</x:v>
      </x:c>
      <x:c r="C53" s="2" t="str">
        <x:v>神奈川県</x:v>
      </x:c>
      <x:c r="D53" s="8" t="n">
        <x:v>8943590</x:v>
      </x:c>
      <x:c r="E53" s="8" t="n">
        <x:v>2165080</x:v>
      </x:c>
      <x:c r="F53" s="8" t="n">
        <x:v>4090977</x:v>
      </x:c>
      <x:c r="G53" s="8" t="n">
        <x:v>1152621</x:v>
      </x:c>
      <x:c r="H53" s="8" t="n">
        <x:v>1534912</x:v>
      </x:c>
      <x:c r="I53" s="8" t="n">
        <x:v>230558</x:v>
      </x:c>
      <x:c r="J53" s="8" t="n">
        <x:v>107859</x:v>
      </x:c>
      <x:c r="K53" s="8" t="n">
        <x:v>99311</x:v>
      </x:c>
      <x:c r="L53" s="8" t="n">
        <x:v>10028</x:v>
      </x:c>
      <x:c r="M53" s="8" t="n">
        <x:v>13360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2133</x:v>
      </x:c>
      <x:c r="T53" s="8" t="n">
        <x:v>679</x:v>
      </x:c>
      <x:c r="U53" s="2" t="str">
        <x:v>2025年12月25日現在</x:v>
      </x:c>
      <x:c r="V53" s="2" t="str">
        <x:v>2025-12-25</x:v>
      </x:c>
      <x:c r="W53" s="2" t="str">
        <x:v>https://www.e-stat.go.jp/stat-search/file-download?statInfId=000032059434&amp;fileKind=0</x:v>
      </x:c>
      <x:c r="X53" s="2" t="str">
        <x:v>海上出入貨物!217行、コンテナ個数!42行</x:v>
      </x:c>
      <x:c r="Y53" s="2" t="str">
        <x:v>取得済</x:v>
      </x:c>
      <x:c r="Z53" s="9" t="str">
        <x:f>IF(AND(ISNUMBER(E53),COUNTIFS($A$2:$A$477,EDATE(A53,-12),$B$2:$B$477,B53,$E$2:$E$477,"&gt;0")=1),E53/SUMIFS($E$2:$E$477,$A$2:$A$477,EDATE(A53,-12),$B$2:$B$477,B53)-1,"")</x:f>
      </x:c>
      <x:c r="AA53" s="10" t="n">
        <x:f>IF(COUNTIFS($A$2:$A$477,"&gt;="&amp;EDATE(A53,-2),$A$2:$A$477,"&lt;="&amp;A53,$B$2:$B$477,B53,$E$2:$E$477,"&gt;=0")=3,SUMIFS($E$2:$E$477,$A$2:$A$477,"&gt;="&amp;EDATE(A53,-2),$A$2:$A$477,"&lt;="&amp;A53,$B$2:$B$477,B53)/3,"")</x:f>
        <x:v>2371324</x:v>
      </x:c>
      <x:c r="AB53" s="9" t="str">
        <x:f>IF(AND(ISNUMBER(J53),COUNTIFS($A$2:$A$477,EDATE(A53,-12),$B$2:$B$477,B53,$J$2:$J$477,"&gt;0")=1),J53/SUMIFS($J$2:$J$477,$A$2:$A$477,EDATE(A53,-12),$B$2:$B$477,B53)-1,"")</x:f>
      </x:c>
    </x:row>
    <x:row r="54" ht="21" customHeight="1">
      <x:c r="A54" s="7" t="n">
        <x:v>44409</x:v>
      </x:c>
      <x:c r="B54" s="2" t="str">
        <x:v>清水</x:v>
      </x:c>
      <x:c r="C54" s="2" t="str">
        <x:v>静岡県</x:v>
      </x:c>
      <x:c r="D54" s="8" t="n">
        <x:v>1399418</x:v>
      </x:c>
      <x:c r="E54" s="8" t="n">
        <x:v>285467</x:v>
      </x:c>
      <x:c r="F54" s="8" t="n">
        <x:v>531450</x:v>
      </x:c>
      <x:c r="G54" s="8" t="n">
        <x:v>161895</x:v>
      </x:c>
      <x:c r="H54" s="8" t="n">
        <x:v>420606</x:v>
      </x:c>
      <x:c r="I54" s="8" t="n">
        <x:v>44335</x:v>
      </x:c>
      <x:c r="J54" s="8" t="n">
        <x:v>17551</x:v>
      </x:c>
      <x:c r="K54" s="8" t="n">
        <x:v>17716</x:v>
      </x:c>
      <x:c r="L54" s="8" t="n">
        <x:v>3901</x:v>
      </x:c>
      <x:c r="M54" s="8" t="n">
        <x:v>5167</x:v>
      </x:c>
      <x:c r="N54" s="8" t="n">
        <x:v>0</x:v>
      </x:c>
      <x:c r="O54" s="8" t="n">
        <x:v>0</x:v>
      </x:c>
      <x:c r="P54" s="8" t="n">
        <x:v>3</x:v>
      </x:c>
      <x:c r="Q54" s="8" t="n">
        <x:v>2</x:v>
      </x:c>
      <x:c r="R54" s="8" t="n">
        <x:v>5</x:v>
      </x:c>
      <x:c r="S54" s="8" t="n">
        <x:v>461</x:v>
      </x:c>
      <x:c r="T54" s="8" t="n">
        <x:v>126</x:v>
      </x:c>
      <x:c r="U54" s="2" t="str">
        <x:v>2025年12月25日現在</x:v>
      </x:c>
      <x:c r="V54" s="2" t="str">
        <x:v>2025-12-25</x:v>
      </x:c>
      <x:c r="W54" s="2" t="str">
        <x:v>https://www.e-stat.go.jp/stat-search/file-download?statInfId=000032059434&amp;fileKind=0</x:v>
      </x:c>
      <x:c r="X54" s="2" t="str">
        <x:v>海上出入貨物!313行、コンテナ個数!58行</x:v>
      </x:c>
      <x:c r="Y54" s="2" t="str">
        <x:v>取得済</x:v>
      </x:c>
      <x:c r="Z54" s="9" t="str">
        <x:f>IF(AND(ISNUMBER(E54),COUNTIFS($A$2:$A$477,EDATE(A54,-12),$B$2:$B$477,B54,$E$2:$E$477,"&gt;0")=1),E54/SUMIFS($E$2:$E$477,$A$2:$A$477,EDATE(A54,-12),$B$2:$B$477,B54)-1,"")</x:f>
      </x:c>
      <x:c r="AA54" s="10" t="n">
        <x:f>IF(COUNTIFS($A$2:$A$477,"&gt;="&amp;EDATE(A54,-2),$A$2:$A$477,"&lt;="&amp;A54,$B$2:$B$477,B54,$E$2:$E$477,"&gt;=0")=3,SUMIFS($E$2:$E$477,$A$2:$A$477,"&gt;="&amp;EDATE(A54,-2),$A$2:$A$477,"&lt;="&amp;A54,$B$2:$B$477,B54)/3,"")</x:f>
        <x:v>324702.6666666667</x:v>
      </x:c>
      <x:c r="AB54" s="9" t="str">
        <x:f>IF(AND(ISNUMBER(J54),COUNTIFS($A$2:$A$477,EDATE(A54,-12),$B$2:$B$477,B54,$J$2:$J$477,"&gt;0")=1),J54/SUMIFS($J$2:$J$477,$A$2:$A$477,EDATE(A54,-12),$B$2:$B$477,B54)-1,"")</x:f>
      </x:c>
    </x:row>
    <x:row r="55" ht="21" customHeight="1">
      <x:c r="A55" s="7" t="n">
        <x:v>44409</x:v>
      </x:c>
      <x:c r="B55" s="2" t="str">
        <x:v>博多</x:v>
      </x:c>
      <x:c r="C55" s="2" t="str">
        <x:v>福岡県</x:v>
      </x:c>
      <x:c r="D55" s="8" t="n">
        <x:v>2690840</x:v>
      </x:c>
      <x:c r="E55" s="8" t="n">
        <x:v>616403</x:v>
      </x:c>
      <x:c r="F55" s="8" t="n">
        <x:v>805809</x:v>
      </x:c>
      <x:c r="G55" s="8" t="n">
        <x:v>415165</x:v>
      </x:c>
      <x:c r="H55" s="8" t="n">
        <x:v>853463</x:v>
      </x:c>
      <x:c r="I55" s="8" t="n">
        <x:v>70663</x:v>
      </x:c>
      <x:c r="J55" s="8" t="n">
        <x:v>29091</x:v>
      </x:c>
      <x:c r="K55" s="8" t="n">
        <x:v>30082</x:v>
      </x:c>
      <x:c r="L55" s="8" t="n">
        <x:v>5386</x:v>
      </x:c>
      <x:c r="M55" s="8" t="n">
        <x:v>6104</x:v>
      </x:c>
      <x:c r="N55" s="8" t="n">
        <x:v>0</x:v>
      </x:c>
      <x:c r="O55" s="8" t="n">
        <x:v>0</x:v>
      </x:c>
      <x:c r="P55" s="8" t="n">
        <x:v>1493</x:v>
      </x:c>
      <x:c r="Q55" s="8" t="n">
        <x:v>1328</x:v>
      </x:c>
      <x:c r="R55" s="8" t="n">
        <x:v>2821</x:v>
      </x:c>
      <x:c r="S55" s="8" t="n">
        <x:v>1557</x:v>
      </x:c>
      <x:c r="T55" s="8" t="n">
        <x:v>212</x:v>
      </x:c>
      <x:c r="U55" s="2" t="str">
        <x:v>2025年12月25日現在</x:v>
      </x:c>
      <x:c r="V55" s="2" t="str">
        <x:v>2025-12-25</x:v>
      </x:c>
      <x:c r="W55" s="2" t="str">
        <x:v>https://www.e-stat.go.jp/stat-search/file-download?statInfId=000032059434&amp;fileKind=0</x:v>
      </x:c>
      <x:c r="X55" s="2" t="str">
        <x:v>海上出入貨物!745行、コンテナ個数!130行</x:v>
      </x:c>
      <x:c r="Y55" s="2" t="str">
        <x:v>取得済</x:v>
      </x:c>
      <x:c r="Z55" s="9" t="str">
        <x:f>IF(AND(ISNUMBER(E55),COUNTIFS($A$2:$A$477,EDATE(A55,-12),$B$2:$B$477,B55,$E$2:$E$477,"&gt;0")=1),E55/SUMIFS($E$2:$E$477,$A$2:$A$477,EDATE(A55,-12),$B$2:$B$477,B55)-1,"")</x:f>
      </x:c>
      <x:c r="AA55" s="10" t="n">
        <x:f>IF(COUNTIFS($A$2:$A$477,"&gt;="&amp;EDATE(A55,-2),$A$2:$A$477,"&lt;="&amp;A55,$B$2:$B$477,B55,$E$2:$E$477,"&gt;=0")=3,SUMIFS($E$2:$E$477,$A$2:$A$477,"&gt;="&amp;EDATE(A55,-2),$A$2:$A$477,"&lt;="&amp;A55,$B$2:$B$477,B55)/3,"")</x:f>
        <x:v>727245</x:v>
      </x:c>
      <x:c r="AB55" s="9" t="str">
        <x:f>IF(AND(ISNUMBER(J55),COUNTIFS($A$2:$A$477,EDATE(A55,-12),$B$2:$B$477,B55,$J$2:$J$477,"&gt;0")=1),J55/SUMIFS($J$2:$J$477,$A$2:$A$477,EDATE(A55,-12),$B$2:$B$477,B55)-1,"")</x:f>
      </x:c>
    </x:row>
    <x:row r="56" ht="21" customHeight="1">
      <x:c r="A56" s="7" t="n">
        <x:v>44409</x:v>
      </x:c>
      <x:c r="B56" s="2" t="str">
        <x:v>熊本</x:v>
      </x:c>
      <x:c r="C56" s="2" t="str">
        <x:v>熊本県</x:v>
      </x:c>
      <x:c r="D56" s="8" t="n">
        <x:v>239766</x:v>
      </x:c>
      <x:c r="E56" s="8" t="n">
        <x:v>4916</x:v>
      </x:c>
      <x:c r="F56" s="8" t="n">
        <x:v>3668</x:v>
      </x:c>
      <x:c r="G56" s="8" t="n">
        <x:v>98517</x:v>
      </x:c>
      <x:c r="H56" s="8" t="n">
        <x:v>132665</x:v>
      </x:c>
      <x:c r="I56" s="8" t="n">
        <x:v>530</x:v>
      </x:c>
      <x:c r="J56" s="8" t="n">
        <x:v>285</x:v>
      </x:c>
      <x:c r="K56" s="8" t="n">
        <x:v>232</x:v>
      </x:c>
      <x:c r="L56" s="8" t="n">
        <x:v>13</x:v>
      </x:c>
      <x:c r="M56" s="8" t="n">
        <x:v>0</x:v>
      </x:c>
      <x:c r="N56" s="8" t="n">
        <x:v>0</x:v>
      </x:c>
      <x:c r="O56" s="8" t="n">
        <x:v>0</x:v>
      </x:c>
      <x:c r="P56" s="8" t="n">
        <x:v>575</x:v>
      </x:c>
      <x:c r="Q56" s="8" t="n">
        <x:v>593</x:v>
      </x:c>
      <x:c r="R56" s="8" t="n">
        <x:v>1168</x:v>
      </x:c>
      <x:c r="S56" s="8" t="n">
        <x:v>61</x:v>
      </x:c>
      <x:c r="T56" s="8" t="n">
        <x:v>8</x:v>
      </x:c>
      <x:c r="U56" s="2" t="str">
        <x:v>2025年12月25日現在</x:v>
      </x:c>
      <x:c r="V56" s="2" t="str">
        <x:v>2025-12-25</x:v>
      </x:c>
      <x:c r="W56" s="2" t="str">
        <x:v>https://www.e-stat.go.jp/stat-search/file-download?statInfId=000032059434&amp;fileKind=0</x:v>
      </x:c>
      <x:c r="X56" s="2" t="str">
        <x:v>海上出入貨物!859行、コンテナ個数!149行</x:v>
      </x:c>
      <x:c r="Y56" s="2" t="str">
        <x:v>取得済</x:v>
      </x:c>
      <x:c r="Z56" s="9" t="str">
        <x:f>IF(AND(ISNUMBER(E56),COUNTIFS($A$2:$A$477,EDATE(A56,-12),$B$2:$B$477,B56,$E$2:$E$477,"&gt;0")=1),E56/SUMIFS($E$2:$E$477,$A$2:$A$477,EDATE(A56,-12),$B$2:$B$477,B56)-1,"")</x:f>
      </x:c>
      <x:c r="AA56" s="10" t="n">
        <x:f>IF(COUNTIFS($A$2:$A$477,"&gt;="&amp;EDATE(A56,-2),$A$2:$A$477,"&lt;="&amp;A56,$B$2:$B$477,B56,$E$2:$E$477,"&gt;=0")=3,SUMIFS($E$2:$E$477,$A$2:$A$477,"&gt;="&amp;EDATE(A56,-2),$A$2:$A$477,"&lt;="&amp;A56,$B$2:$B$477,B56)/3,"")</x:f>
        <x:v>6274.333333333333</x:v>
      </x:c>
      <x:c r="AB56" s="9" t="str">
        <x:f>IF(AND(ISNUMBER(J56),COUNTIFS($A$2:$A$477,EDATE(A56,-12),$B$2:$B$477,B56,$J$2:$J$477,"&gt;0")=1),J56/SUMIFS($J$2:$J$477,$A$2:$A$477,EDATE(A56,-12),$B$2:$B$477,B56)-1,"")</x:f>
      </x:c>
    </x:row>
    <x:row r="57" ht="21" customHeight="1">
      <x:c r="A57" s="7" t="n">
        <x:v>44409</x:v>
      </x:c>
      <x:c r="B57" s="2" t="str">
        <x:v>八代</x:v>
      </x:c>
      <x:c r="C57" s="2" t="str">
        <x:v>熊本県</x:v>
      </x:c>
      <x:c r="D57" s="8" t="n">
        <x:v>310017</x:v>
      </x:c>
      <x:c r="E57" s="8" t="n">
        <x:v>20208</x:v>
      </x:c>
      <x:c r="F57" s="8" t="n">
        <x:v>177849</x:v>
      </x:c>
      <x:c r="G57" s="8" t="n">
        <x:v>14452</x:v>
      </x:c>
      <x:c r="H57" s="8" t="n">
        <x:v>97508</x:v>
      </x:c>
      <x:c r="I57" s="8" t="n">
        <x:v>2249</x:v>
      </x:c>
      <x:c r="J57" s="8" t="n">
        <x:v>993</x:v>
      </x:c>
      <x:c r="K57" s="8" t="n">
        <x:v>1130</x:v>
      </x:c>
      <x:c r="L57" s="8" t="n">
        <x:v>55</x:v>
      </x:c>
      <x:c r="M57" s="8" t="n">
        <x:v>71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125</x:v>
      </x:c>
      <x:c r="T57" s="8" t="n">
        <x:v>38</x:v>
      </x:c>
      <x:c r="U57" s="2" t="str">
        <x:v>2025年12月25日現在</x:v>
      </x:c>
      <x:c r="V57" s="2" t="str">
        <x:v>2025-12-25</x:v>
      </x:c>
      <x:c r="W57" s="2" t="str">
        <x:v>https://www.e-stat.go.jp/stat-search/file-download?statInfId=000032059434&amp;fileKind=0</x:v>
      </x:c>
      <x:c r="X57" s="2" t="str">
        <x:v>海上出入貨物!847行、コンテナ個数!147行</x:v>
      </x:c>
      <x:c r="Y57" s="2" t="str">
        <x:v>取得済</x:v>
      </x:c>
      <x:c r="Z57" s="9" t="str">
        <x:f>IF(AND(ISNUMBER(E57),COUNTIFS($A$2:$A$477,EDATE(A57,-12),$B$2:$B$477,B57,$E$2:$E$477,"&gt;0")=1),E57/SUMIFS($E$2:$E$477,$A$2:$A$477,EDATE(A57,-12),$B$2:$B$477,B57)-1,"")</x:f>
      </x:c>
      <x:c r="AA57" s="10" t="n">
        <x:f>IF(COUNTIFS($A$2:$A$477,"&gt;="&amp;EDATE(A57,-2),$A$2:$A$477,"&lt;="&amp;A57,$B$2:$B$477,B57,$E$2:$E$477,"&gt;=0")=3,SUMIFS($E$2:$E$477,$A$2:$A$477,"&gt;="&amp;EDATE(A57,-2),$A$2:$A$477,"&lt;="&amp;A57,$B$2:$B$477,B57)/3,"")</x:f>
        <x:v>25568.333333333332</x:v>
      </x:c>
      <x:c r="AB57" s="9" t="str">
        <x:f>IF(AND(ISNUMBER(J57),COUNTIFS($A$2:$A$477,EDATE(A57,-12),$B$2:$B$477,B57,$J$2:$J$477,"&gt;0")=1),J57/SUMIFS($J$2:$J$477,$A$2:$A$477,EDATE(A57,-12),$B$2:$B$477,B57)-1,"")</x:f>
      </x:c>
    </x:row>
    <x:row r="58" ht="21" customHeight="1">
      <x:c r="A58" s="7" t="n">
        <x:v>44440</x:v>
      </x:c>
      <x:c r="B58" s="2" t="str">
        <x:v>仙台塩釜</x:v>
      </x:c>
      <x:c r="C58" s="2" t="str">
        <x:v>宮城県</x:v>
      </x:c>
      <x:c r="D58" s="8" t="n">
        <x:v>3418795</x:v>
      </x:c>
      <x:c r="E58" s="8" t="n">
        <x:v>170090</x:v>
      </x:c>
      <x:c r="F58" s="8" t="n">
        <x:v>1035930</x:v>
      </x:c>
      <x:c r="G58" s="8" t="n">
        <x:v>1017564</x:v>
      </x:c>
      <x:c r="H58" s="8" t="n">
        <x:v>1195211</x:v>
      </x:c>
      <x:c r="I58" s="8" t="n">
        <x:v>23345</x:v>
      </x:c>
      <x:c r="J58" s="8" t="n">
        <x:v>7606</x:v>
      </x:c>
      <x:c r="K58" s="8" t="n">
        <x:v>7527</x:v>
      </x:c>
      <x:c r="L58" s="8" t="n">
        <x:v>4326</x:v>
      </x:c>
      <x:c r="M58" s="8" t="n">
        <x:v>3886</x:v>
      </x:c>
      <x:c r="N58" s="8" t="n">
        <x:v>0</x:v>
      </x:c>
      <x:c r="O58" s="8" t="n">
        <x:v>0</x:v>
      </x:c>
      <x:c r="P58" s="8" t="n">
        <x:v>615</x:v>
      </x:c>
      <x:c r="Q58" s="8" t="n">
        <x:v>656</x:v>
      </x:c>
      <x:c r="R58" s="8" t="n">
        <x:v>1271</x:v>
      </x:c>
      <x:c r="S58" s="8" t="n">
        <x:v>1487</x:v>
      </x:c>
      <x:c r="T58" s="8" t="n">
        <x:v>88</x:v>
      </x:c>
      <x:c r="U58" s="2" t="str">
        <x:v>2025年12月25日現在</x:v>
      </x:c>
      <x:c r="V58" s="2" t="str">
        <x:v>2025-12-25</x:v>
      </x:c>
      <x:c r="W58" s="2" t="str">
        <x:v>https://www.e-stat.go.jp/stat-search/file-download?statInfId=000032059434&amp;fileKind=0</x:v>
      </x:c>
      <x:c r="X58" s="2" t="str">
        <x:v>海上出入貨物!139行、コンテナ個数!29行</x:v>
      </x:c>
      <x:c r="Y58" s="2" t="str">
        <x:v>取得済</x:v>
      </x:c>
      <x:c r="Z58" s="9" t="str">
        <x:f>IF(AND(ISNUMBER(E58),COUNTIFS($A$2:$A$477,EDATE(A58,-12),$B$2:$B$477,B58,$E$2:$E$477,"&gt;0")=1),E58/SUMIFS($E$2:$E$477,$A$2:$A$477,EDATE(A58,-12),$B$2:$B$477,B58)-1,"")</x:f>
      </x:c>
      <x:c r="AA58" s="10" t="n">
        <x:f>IF(COUNTIFS($A$2:$A$477,"&gt;="&amp;EDATE(A58,-2),$A$2:$A$477,"&lt;="&amp;A58,$B$2:$B$477,B58,$E$2:$E$477,"&gt;=0")=3,SUMIFS($E$2:$E$477,$A$2:$A$477,"&gt;="&amp;EDATE(A58,-2),$A$2:$A$477,"&lt;="&amp;A58,$B$2:$B$477,B58)/3,"")</x:f>
        <x:v>112144.66666666667</x:v>
      </x:c>
      <x:c r="AB58" s="9" t="str">
        <x:f>IF(AND(ISNUMBER(J58),COUNTIFS($A$2:$A$477,EDATE(A58,-12),$B$2:$B$477,B58,$J$2:$J$477,"&gt;0")=1),J58/SUMIFS($J$2:$J$477,$A$2:$A$477,EDATE(A58,-12),$B$2:$B$477,B58)-1,"")</x:f>
      </x:c>
    </x:row>
    <x:row r="59" ht="21" customHeight="1">
      <x:c r="A59" s="7" t="n">
        <x:v>44440</x:v>
      </x:c>
      <x:c r="B59" s="2" t="str">
        <x:v>東京</x:v>
      </x:c>
      <x:c r="C59" s="2" t="str">
        <x:v>東京都</x:v>
      </x:c>
      <x:c r="D59" s="8" t="n">
        <x:v>6842575</x:v>
      </x:c>
      <x:c r="E59" s="8" t="n">
        <x:v>956238</x:v>
      </x:c>
      <x:c r="F59" s="8" t="n">
        <x:v>2845815</x:v>
      </x:c>
      <x:c r="G59" s="8" t="n">
        <x:v>1281953</x:v>
      </x:c>
      <x:c r="H59" s="8" t="n">
        <x:v>1758569</x:v>
      </x:c>
      <x:c r="I59" s="8" t="n">
        <x:v>388178</x:v>
      </x:c>
      <x:c r="J59" s="8" t="n">
        <x:v>159400</x:v>
      </x:c>
      <x:c r="K59" s="8" t="n">
        <x:v>190940</x:v>
      </x:c>
      <x:c r="L59" s="8" t="n">
        <x:v>25994</x:v>
      </x:c>
      <x:c r="M59" s="8" t="n">
        <x:v>11844</x:v>
      </x:c>
      <x:c r="N59" s="8" t="n">
        <x:v>0</x:v>
      </x:c>
      <x:c r="O59" s="8" t="n">
        <x:v>0</x:v>
      </x:c>
      <x:c r="P59" s="8" t="n">
        <x:v>433</x:v>
      </x:c>
      <x:c r="Q59" s="8" t="n">
        <x:v>154</x:v>
      </x:c>
      <x:c r="R59" s="8" t="n">
        <x:v>587</x:v>
      </x:c>
      <x:c r="S59" s="8" t="n">
        <x:v>1586</x:v>
      </x:c>
      <x:c r="T59" s="8" t="n">
        <x:v>354</x:v>
      </x:c>
      <x:c r="U59" s="2" t="str">
        <x:v>2025年12月25日現在</x:v>
      </x:c>
      <x:c r="V59" s="2" t="str">
        <x:v>2025-12-25</x:v>
      </x:c>
      <x:c r="W59" s="2" t="str">
        <x:v>https://www.e-stat.go.jp/stat-search/file-download?statInfId=000032059434&amp;fileKind=0</x:v>
      </x:c>
      <x:c r="X59" s="2" t="str">
        <x:v>海上出入貨物!205行、コンテナ個数!40行</x:v>
      </x:c>
      <x:c r="Y59" s="2" t="str">
        <x:v>取得済</x:v>
      </x:c>
      <x:c r="Z59" s="9" t="str">
        <x:f>IF(AND(ISNUMBER(E59),COUNTIFS($A$2:$A$477,EDATE(A59,-12),$B$2:$B$477,B59,$E$2:$E$477,"&gt;0")=1),E59/SUMIFS($E$2:$E$477,$A$2:$A$477,EDATE(A59,-12),$B$2:$B$477,B59)-1,"")</x:f>
      </x:c>
      <x:c r="AA59" s="10" t="n">
        <x:f>IF(COUNTIFS($A$2:$A$477,"&gt;="&amp;EDATE(A59,-2),$A$2:$A$477,"&lt;="&amp;A59,$B$2:$B$477,B59,$E$2:$E$477,"&gt;=0")=3,SUMIFS($E$2:$E$477,$A$2:$A$477,"&gt;="&amp;EDATE(A59,-2),$A$2:$A$477,"&lt;="&amp;A59,$B$2:$B$477,B59)/3,"")</x:f>
        <x:v>1002105.6666666666</x:v>
      </x:c>
      <x:c r="AB59" s="9" t="str">
        <x:f>IF(AND(ISNUMBER(J59),COUNTIFS($A$2:$A$477,EDATE(A59,-12),$B$2:$B$477,B59,$J$2:$J$477,"&gt;0")=1),J59/SUMIFS($J$2:$J$477,$A$2:$A$477,EDATE(A59,-12),$B$2:$B$477,B59)-1,"")</x:f>
      </x:c>
    </x:row>
    <x:row r="60" ht="21" customHeight="1">
      <x:c r="A60" s="7" t="n">
        <x:v>44440</x:v>
      </x:c>
      <x:c r="B60" s="2" t="str">
        <x:v>横浜</x:v>
      </x:c>
      <x:c r="C60" s="2" t="str">
        <x:v>神奈川県</x:v>
      </x:c>
      <x:c r="D60" s="8" t="n">
        <x:v>8206768</x:v>
      </x:c>
      <x:c r="E60" s="8" t="n">
        <x:v>2319301</x:v>
      </x:c>
      <x:c r="F60" s="8" t="n">
        <x:v>3585218</x:v>
      </x:c>
      <x:c r="G60" s="8" t="n">
        <x:v>1065326</x:v>
      </x:c>
      <x:c r="H60" s="8" t="n">
        <x:v>1236923</x:v>
      </x:c>
      <x:c r="I60" s="8" t="n">
        <x:v>227055</x:v>
      </x:c>
      <x:c r="J60" s="8" t="n">
        <x:v>108283</x:v>
      </x:c>
      <x:c r="K60" s="8" t="n">
        <x:v>93759</x:v>
      </x:c>
      <x:c r="L60" s="8" t="n">
        <x:v>10959</x:v>
      </x:c>
      <x:c r="M60" s="8" t="n">
        <x:v>14054</x:v>
      </x:c>
      <x:c r="N60" s="8" t="n">
        <x:v>0</x:v>
      </x:c>
      <x:c r="O60" s="8" t="n">
        <x:v>0</x:v>
      </x:c>
      <x:c r="P60" s="8" t="n">
        <x:v>0</x:v>
      </x:c>
      <x:c r="Q60" s="8" t="n">
        <x:v>0</x:v>
      </x:c>
      <x:c r="R60" s="8" t="n">
        <x:v>0</x:v>
      </x:c>
      <x:c r="S60" s="8" t="n">
        <x:v>2190</x:v>
      </x:c>
      <x:c r="T60" s="8" t="n">
        <x:v>656</x:v>
      </x:c>
      <x:c r="U60" s="2" t="str">
        <x:v>2025年12月25日現在</x:v>
      </x:c>
      <x:c r="V60" s="2" t="str">
        <x:v>2025-12-25</x:v>
      </x:c>
      <x:c r="W60" s="2" t="str">
        <x:v>https://www.e-stat.go.jp/stat-search/file-download?statInfId=000032059434&amp;fileKind=0</x:v>
      </x:c>
      <x:c r="X60" s="2" t="str">
        <x:v>海上出入貨物!217行、コンテナ個数!42行</x:v>
      </x:c>
      <x:c r="Y60" s="2" t="str">
        <x:v>取得済</x:v>
      </x:c>
      <x:c r="Z60" s="9" t="str">
        <x:f>IF(AND(ISNUMBER(E60),COUNTIFS($A$2:$A$477,EDATE(A60,-12),$B$2:$B$477,B60,$E$2:$E$477,"&gt;0")=1),E60/SUMIFS($E$2:$E$477,$A$2:$A$477,EDATE(A60,-12),$B$2:$B$477,B60)-1,"")</x:f>
      </x:c>
      <x:c r="AA60" s="10" t="n">
        <x:f>IF(COUNTIFS($A$2:$A$477,"&gt;="&amp;EDATE(A60,-2),$A$2:$A$477,"&lt;="&amp;A60,$B$2:$B$477,B60,$E$2:$E$477,"&gt;=0")=3,SUMIFS($E$2:$E$477,$A$2:$A$477,"&gt;="&amp;EDATE(A60,-2),$A$2:$A$477,"&lt;="&amp;A60,$B$2:$B$477,B60)/3,"")</x:f>
        <x:v>2379114.3333333335</x:v>
      </x:c>
      <x:c r="AB60" s="9" t="str">
        <x:f>IF(AND(ISNUMBER(J60),COUNTIFS($A$2:$A$477,EDATE(A60,-12),$B$2:$B$477,B60,$J$2:$J$477,"&gt;0")=1),J60/SUMIFS($J$2:$J$477,$A$2:$A$477,EDATE(A60,-12),$B$2:$B$477,B60)-1,"")</x:f>
      </x:c>
    </x:row>
    <x:row r="61" ht="21" customHeight="1">
      <x:c r="A61" s="7" t="n">
        <x:v>44440</x:v>
      </x:c>
      <x:c r="B61" s="2" t="str">
        <x:v>清水</x:v>
      </x:c>
      <x:c r="C61" s="2" t="str">
        <x:v>静岡県</x:v>
      </x:c>
      <x:c r="D61" s="8" t="n">
        <x:v>1377599</x:v>
      </x:c>
      <x:c r="E61" s="8" t="n">
        <x:v>324129</x:v>
      </x:c>
      <x:c r="F61" s="8" t="n">
        <x:v>569138</x:v>
      </x:c>
      <x:c r="G61" s="8" t="n">
        <x:v>131390</x:v>
      </x:c>
      <x:c r="H61" s="8" t="n">
        <x:v>352942</x:v>
      </x:c>
      <x:c r="I61" s="8" t="n">
        <x:v>44177</x:v>
      </x:c>
      <x:c r="J61" s="8" t="n">
        <x:v>17690</x:v>
      </x:c>
      <x:c r="K61" s="8" t="n">
        <x:v>18642</x:v>
      </x:c>
      <x:c r="L61" s="8" t="n">
        <x:v>3818</x:v>
      </x:c>
      <x:c r="M61" s="8" t="n">
        <x:v>4027</x:v>
      </x:c>
      <x:c r="N61" s="8" t="n">
        <x:v>0</x:v>
      </x:c>
      <x:c r="O61" s="8" t="n">
        <x:v>0</x:v>
      </x:c>
      <x:c r="P61" s="8" t="n">
        <x:v>10</x:v>
      </x:c>
      <x:c r="Q61" s="8" t="n">
        <x:v>7</x:v>
      </x:c>
      <x:c r="R61" s="8" t="n">
        <x:v>17</x:v>
      </x:c>
      <x:c r="S61" s="8" t="n">
        <x:v>412</x:v>
      </x:c>
      <x:c r="T61" s="8" t="n">
        <x:v>117</x:v>
      </x:c>
      <x:c r="U61" s="2" t="str">
        <x:v>2025年12月25日現在</x:v>
      </x:c>
      <x:c r="V61" s="2" t="str">
        <x:v>2025-12-25</x:v>
      </x:c>
      <x:c r="W61" s="2" t="str">
        <x:v>https://www.e-stat.go.jp/stat-search/file-download?statInfId=000032059434&amp;fileKind=0</x:v>
      </x:c>
      <x:c r="X61" s="2" t="str">
        <x:v>海上出入貨物!313行、コンテナ個数!58行</x:v>
      </x:c>
      <x:c r="Y61" s="2" t="str">
        <x:v>取得済</x:v>
      </x:c>
      <x:c r="Z61" s="9" t="str">
        <x:f>IF(AND(ISNUMBER(E61),COUNTIFS($A$2:$A$477,EDATE(A61,-12),$B$2:$B$477,B61,$E$2:$E$477,"&gt;0")=1),E61/SUMIFS($E$2:$E$477,$A$2:$A$477,EDATE(A61,-12),$B$2:$B$477,B61)-1,"")</x:f>
      </x:c>
      <x:c r="AA61" s="10" t="n">
        <x:f>IF(COUNTIFS($A$2:$A$477,"&gt;="&amp;EDATE(A61,-2),$A$2:$A$477,"&lt;="&amp;A61,$B$2:$B$477,B61,$E$2:$E$477,"&gt;=0")=3,SUMIFS($E$2:$E$477,$A$2:$A$477,"&gt;="&amp;EDATE(A61,-2),$A$2:$A$477,"&lt;="&amp;A61,$B$2:$B$477,B61)/3,"")</x:f>
        <x:v>326372.3333333333</x:v>
      </x:c>
      <x:c r="AB61" s="9" t="str">
        <x:f>IF(AND(ISNUMBER(J61),COUNTIFS($A$2:$A$477,EDATE(A61,-12),$B$2:$B$477,B61,$J$2:$J$477,"&gt;0")=1),J61/SUMIFS($J$2:$J$477,$A$2:$A$477,EDATE(A61,-12),$B$2:$B$477,B61)-1,"")</x:f>
      </x:c>
    </x:row>
    <x:row r="62" ht="21" customHeight="1">
      <x:c r="A62" s="7" t="n">
        <x:v>44440</x:v>
      </x:c>
      <x:c r="B62" s="2" t="str">
        <x:v>博多</x:v>
      </x:c>
      <x:c r="C62" s="2" t="str">
        <x:v>福岡県</x:v>
      </x:c>
      <x:c r="D62" s="8" t="n">
        <x:v>2618620</x:v>
      </x:c>
      <x:c r="E62" s="8" t="n">
        <x:v>500395</x:v>
      </x:c>
      <x:c r="F62" s="8" t="n">
        <x:v>868163</x:v>
      </x:c>
      <x:c r="G62" s="8" t="n">
        <x:v>400618</x:v>
      </x:c>
      <x:c r="H62" s="8" t="n">
        <x:v>849444</x:v>
      </x:c>
      <x:c r="I62" s="8" t="n">
        <x:v>78732</x:v>
      </x:c>
      <x:c r="J62" s="8" t="n">
        <x:v>33060</x:v>
      </x:c>
      <x:c r="K62" s="8" t="n">
        <x:v>34853</x:v>
      </x:c>
      <x:c r="L62" s="8" t="n">
        <x:v>4883</x:v>
      </x:c>
      <x:c r="M62" s="8" t="n">
        <x:v>5936</x:v>
      </x:c>
      <x:c r="N62" s="8" t="n">
        <x:v>0</x:v>
      </x:c>
      <x:c r="O62" s="8" t="n">
        <x:v>0</x:v>
      </x:c>
      <x:c r="P62" s="8" t="n">
        <x:v>1233</x:v>
      </x:c>
      <x:c r="Q62" s="8" t="n">
        <x:v>1122</x:v>
      </x:c>
      <x:c r="R62" s="8" t="n">
        <x:v>2355</x:v>
      </x:c>
      <x:c r="S62" s="8" t="n">
        <x:v>1476</x:v>
      </x:c>
      <x:c r="T62" s="8" t="n">
        <x:v>196</x:v>
      </x:c>
      <x:c r="U62" s="2" t="str">
        <x:v>2025年12月25日現在</x:v>
      </x:c>
      <x:c r="V62" s="2" t="str">
        <x:v>2025-12-25</x:v>
      </x:c>
      <x:c r="W62" s="2" t="str">
        <x:v>https://www.e-stat.go.jp/stat-search/file-download?statInfId=000032059434&amp;fileKind=0</x:v>
      </x:c>
      <x:c r="X62" s="2" t="str">
        <x:v>海上出入貨物!745行、コンテナ個数!130行</x:v>
      </x:c>
      <x:c r="Y62" s="2" t="str">
        <x:v>取得済</x:v>
      </x:c>
      <x:c r="Z62" s="9" t="str">
        <x:f>IF(AND(ISNUMBER(E62),COUNTIFS($A$2:$A$477,EDATE(A62,-12),$B$2:$B$477,B62,$E$2:$E$477,"&gt;0")=1),E62/SUMIFS($E$2:$E$477,$A$2:$A$477,EDATE(A62,-12),$B$2:$B$477,B62)-1,"")</x:f>
      </x:c>
      <x:c r="AA62" s="10" t="n">
        <x:f>IF(COUNTIFS($A$2:$A$477,"&gt;="&amp;EDATE(A62,-2),$A$2:$A$477,"&lt;="&amp;A62,$B$2:$B$477,B62,$E$2:$E$477,"&gt;=0")=3,SUMIFS($E$2:$E$477,$A$2:$A$477,"&gt;="&amp;EDATE(A62,-2),$A$2:$A$477,"&lt;="&amp;A62,$B$2:$B$477,B62)/3,"")</x:f>
        <x:v>620205</x:v>
      </x:c>
      <x:c r="AB62" s="9" t="str">
        <x:f>IF(AND(ISNUMBER(J62),COUNTIFS($A$2:$A$477,EDATE(A62,-12),$B$2:$B$477,B62,$J$2:$J$477,"&gt;0")=1),J62/SUMIFS($J$2:$J$477,$A$2:$A$477,EDATE(A62,-12),$B$2:$B$477,B62)-1,"")</x:f>
      </x:c>
    </x:row>
    <x:row r="63" ht="21" customHeight="1">
      <x:c r="A63" s="7" t="n">
        <x:v>44440</x:v>
      </x:c>
      <x:c r="B63" s="2" t="str">
        <x:v>熊本</x:v>
      </x:c>
      <x:c r="C63" s="2" t="str">
        <x:v>熊本県</x:v>
      </x:c>
      <x:c r="D63" s="8" t="n">
        <x:v>185709</x:v>
      </x:c>
      <x:c r="E63" s="8" t="n">
        <x:v>7481</x:v>
      </x:c>
      <x:c r="F63" s="8" t="n">
        <x:v>7768</x:v>
      </x:c>
      <x:c r="G63" s="8" t="n">
        <x:v>64790</x:v>
      </x:c>
      <x:c r="H63" s="8" t="n">
        <x:v>105670</x:v>
      </x:c>
      <x:c r="I63" s="8" t="n">
        <x:v>870</x:v>
      </x:c>
      <x:c r="J63" s="8" t="n">
        <x:v>401</x:v>
      </x:c>
      <x:c r="K63" s="8" t="n">
        <x:v>429</x:v>
      </x:c>
      <x:c r="L63" s="8" t="n">
        <x:v>0</x:v>
      </x:c>
      <x:c r="M63" s="8" t="n">
        <x:v>40</x:v>
      </x:c>
      <x:c r="N63" s="8" t="n">
        <x:v>0</x:v>
      </x:c>
      <x:c r="O63" s="8" t="n">
        <x:v>0</x:v>
      </x:c>
      <x:c r="P63" s="8" t="n">
        <x:v>617</x:v>
      </x:c>
      <x:c r="Q63" s="8" t="n">
        <x:v>639</x:v>
      </x:c>
      <x:c r="R63" s="8" t="n">
        <x:v>1256</x:v>
      </x:c>
      <x:c r="S63" s="8" t="n">
        <x:v>33</x:v>
      </x:c>
      <x:c r="T63" s="8" t="n">
        <x:v>10</x:v>
      </x:c>
      <x:c r="U63" s="2" t="str">
        <x:v>2025年12月25日現在</x:v>
      </x:c>
      <x:c r="V63" s="2" t="str">
        <x:v>2025-12-25</x:v>
      </x:c>
      <x:c r="W63" s="2" t="str">
        <x:v>https://www.e-stat.go.jp/stat-search/file-download?statInfId=000032059434&amp;fileKind=0</x:v>
      </x:c>
      <x:c r="X63" s="2" t="str">
        <x:v>海上出入貨物!859行、コンテナ個数!149行</x:v>
      </x:c>
      <x:c r="Y63" s="2" t="str">
        <x:v>取得済</x:v>
      </x:c>
      <x:c r="Z63" s="9" t="str">
        <x:f>IF(AND(ISNUMBER(E63),COUNTIFS($A$2:$A$477,EDATE(A63,-12),$B$2:$B$477,B63,$E$2:$E$477,"&gt;0")=1),E63/SUMIFS($E$2:$E$477,$A$2:$A$477,EDATE(A63,-12),$B$2:$B$477,B63)-1,"")</x:f>
      </x:c>
      <x:c r="AA63" s="10" t="n">
        <x:f>IF(COUNTIFS($A$2:$A$477,"&gt;="&amp;EDATE(A63,-2),$A$2:$A$477,"&lt;="&amp;A63,$B$2:$B$477,B63,$E$2:$E$477,"&gt;=0")=3,SUMIFS($E$2:$E$477,$A$2:$A$477,"&gt;="&amp;EDATE(A63,-2),$A$2:$A$477,"&lt;="&amp;A63,$B$2:$B$477,B63)/3,"")</x:f>
        <x:v>5982</x:v>
      </x:c>
      <x:c r="AB63" s="9" t="str">
        <x:f>IF(AND(ISNUMBER(J63),COUNTIFS($A$2:$A$477,EDATE(A63,-12),$B$2:$B$477,B63,$J$2:$J$477,"&gt;0")=1),J63/SUMIFS($J$2:$J$477,$A$2:$A$477,EDATE(A63,-12),$B$2:$B$477,B63)-1,"")</x:f>
      </x:c>
    </x:row>
    <x:row r="64" ht="21" customHeight="1">
      <x:c r="A64" s="7" t="n">
        <x:v>44440</x:v>
      </x:c>
      <x:c r="B64" s="2" t="str">
        <x:v>八代</x:v>
      </x:c>
      <x:c r="C64" s="2" t="str">
        <x:v>熊本県</x:v>
      </x:c>
      <x:c r="D64" s="8" t="n">
        <x:v>371186</x:v>
      </x:c>
      <x:c r="E64" s="8" t="n">
        <x:v>22965</x:v>
      </x:c>
      <x:c r="F64" s="8" t="n">
        <x:v>153216</x:v>
      </x:c>
      <x:c r="G64" s="8" t="n">
        <x:v>18698</x:v>
      </x:c>
      <x:c r="H64" s="8" t="n">
        <x:v>176307</x:v>
      </x:c>
      <x:c r="I64" s="8" t="n">
        <x:v>1981</x:v>
      </x:c>
      <x:c r="J64" s="8" t="n">
        <x:v>969</x:v>
      </x:c>
      <x:c r="K64" s="8" t="n">
        <x:v>855</x:v>
      </x:c>
      <x:c r="L64" s="8" t="n">
        <x:v>27</x:v>
      </x:c>
      <x:c r="M64" s="8" t="n">
        <x:v>130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176</x:v>
      </x:c>
      <x:c r="T64" s="8" t="n">
        <x:v>32</x:v>
      </x:c>
      <x:c r="U64" s="2" t="str">
        <x:v>2025年12月25日現在</x:v>
      </x:c>
      <x:c r="V64" s="2" t="str">
        <x:v>2025-12-25</x:v>
      </x:c>
      <x:c r="W64" s="2" t="str">
        <x:v>https://www.e-stat.go.jp/stat-search/file-download?statInfId=000032059434&amp;fileKind=0</x:v>
      </x:c>
      <x:c r="X64" s="2" t="str">
        <x:v>海上出入貨物!847行、コンテナ個数!147行</x:v>
      </x:c>
      <x:c r="Y64" s="2" t="str">
        <x:v>取得済</x:v>
      </x:c>
      <x:c r="Z64" s="9" t="str">
        <x:f>IF(AND(ISNUMBER(E64),COUNTIFS($A$2:$A$477,EDATE(A64,-12),$B$2:$B$477,B64,$E$2:$E$477,"&gt;0")=1),E64/SUMIFS($E$2:$E$477,$A$2:$A$477,EDATE(A64,-12),$B$2:$B$477,B64)-1,"")</x:f>
      </x:c>
      <x:c r="AA64" s="10" t="n">
        <x:f>IF(COUNTIFS($A$2:$A$477,"&gt;="&amp;EDATE(A64,-2),$A$2:$A$477,"&lt;="&amp;A64,$B$2:$B$477,B64,$E$2:$E$477,"&gt;=0")=3,SUMIFS($E$2:$E$477,$A$2:$A$477,"&gt;="&amp;EDATE(A64,-2),$A$2:$A$477,"&lt;="&amp;A64,$B$2:$B$477,B64)/3,"")</x:f>
        <x:v>23895.666666666668</x:v>
      </x:c>
      <x:c r="AB64" s="9" t="str">
        <x:f>IF(AND(ISNUMBER(J64),COUNTIFS($A$2:$A$477,EDATE(A64,-12),$B$2:$B$477,B64,$J$2:$J$477,"&gt;0")=1),J64/SUMIFS($J$2:$J$477,$A$2:$A$477,EDATE(A64,-12),$B$2:$B$477,B64)-1,"")</x:f>
      </x:c>
    </x:row>
    <x:row r="65" ht="21" customHeight="1">
      <x:c r="A65" s="7" t="n">
        <x:v>44470</x:v>
      </x:c>
      <x:c r="B65" s="2" t="str">
        <x:v>仙台塩釜</x:v>
      </x:c>
      <x:c r="C65" s="2" t="str">
        <x:v>宮城県</x:v>
      </x:c>
      <x:c r="D65" s="8" t="n">
        <x:v>3627959</x:v>
      </x:c>
      <x:c r="E65" s="8" t="n">
        <x:v>118384</x:v>
      </x:c>
      <x:c r="F65" s="8" t="n">
        <x:v>1226477</x:v>
      </x:c>
      <x:c r="G65" s="8" t="n">
        <x:v>1078944</x:v>
      </x:c>
      <x:c r="H65" s="8" t="n">
        <x:v>1204154</x:v>
      </x:c>
      <x:c r="I65" s="8" t="n">
        <x:v>21356</x:v>
      </x:c>
      <x:c r="J65" s="8" t="n">
        <x:v>6823</x:v>
      </x:c>
      <x:c r="K65" s="8" t="n">
        <x:v>6253</x:v>
      </x:c>
      <x:c r="L65" s="8" t="n">
        <x:v>3999</x:v>
      </x:c>
      <x:c r="M65" s="8" t="n">
        <x:v>4281</x:v>
      </x:c>
      <x:c r="N65" s="8" t="n">
        <x:v>0</x:v>
      </x:c>
      <x:c r="O65" s="8" t="n">
        <x:v>0</x:v>
      </x:c>
      <x:c r="P65" s="8" t="n">
        <x:v>645</x:v>
      </x:c>
      <x:c r="Q65" s="8" t="n">
        <x:v>668</x:v>
      </x:c>
      <x:c r="R65" s="8" t="n">
        <x:v>1313</x:v>
      </x:c>
      <x:c r="S65" s="8" t="n">
        <x:v>1626</x:v>
      </x:c>
      <x:c r="T65" s="8" t="n">
        <x:v>95</x:v>
      </x:c>
      <x:c r="U65" s="2" t="str">
        <x:v>2025年12月25日現在</x:v>
      </x:c>
      <x:c r="V65" s="2" t="str">
        <x:v>2025-12-25</x:v>
      </x:c>
      <x:c r="W65" s="2" t="str">
        <x:v>https://www.e-stat.go.jp/stat-search/file-download?statInfId=000032059434&amp;fileKind=0</x:v>
      </x:c>
      <x:c r="X65" s="2" t="str">
        <x:v>海上出入貨物!139行、コンテナ個数!29行</x:v>
      </x:c>
      <x:c r="Y65" s="2" t="str">
        <x:v>取得済</x:v>
      </x:c>
      <x:c r="Z65" s="9" t="str">
        <x:f>IF(AND(ISNUMBER(E65),COUNTIFS($A$2:$A$477,EDATE(A65,-12),$B$2:$B$477,B65,$E$2:$E$477,"&gt;0")=1),E65/SUMIFS($E$2:$E$477,$A$2:$A$477,EDATE(A65,-12),$B$2:$B$477,B65)-1,"")</x:f>
      </x:c>
      <x:c r="AA65" s="10" t="n">
        <x:f>IF(COUNTIFS($A$2:$A$477,"&gt;="&amp;EDATE(A65,-2),$A$2:$A$477,"&lt;="&amp;A65,$B$2:$B$477,B65,$E$2:$E$477,"&gt;=0")=3,SUMIFS($E$2:$E$477,$A$2:$A$477,"&gt;="&amp;EDATE(A65,-2),$A$2:$A$477,"&lt;="&amp;A65,$B$2:$B$477,B65)/3,"")</x:f>
        <x:v>128732.66666666667</x:v>
      </x:c>
      <x:c r="AB65" s="9" t="str">
        <x:f>IF(AND(ISNUMBER(J65),COUNTIFS($A$2:$A$477,EDATE(A65,-12),$B$2:$B$477,B65,$J$2:$J$477,"&gt;0")=1),J65/SUMIFS($J$2:$J$477,$A$2:$A$477,EDATE(A65,-12),$B$2:$B$477,B65)-1,"")</x:f>
      </x:c>
    </x:row>
    <x:row r="66" ht="21" customHeight="1">
      <x:c r="A66" s="7" t="n">
        <x:v>44470</x:v>
      </x:c>
      <x:c r="B66" s="2" t="str">
        <x:v>東京</x:v>
      </x:c>
      <x:c r="C66" s="2" t="str">
        <x:v>東京都</x:v>
      </x:c>
      <x:c r="D66" s="8" t="n">
        <x:v>7338808</x:v>
      </x:c>
      <x:c r="E66" s="8" t="n">
        <x:v>1049542</x:v>
      </x:c>
      <x:c r="F66" s="8" t="n">
        <x:v>2973990</x:v>
      </x:c>
      <x:c r="G66" s="8" t="n">
        <x:v>1374447</x:v>
      </x:c>
      <x:c r="H66" s="8" t="n">
        <x:v>1940829</x:v>
      </x:c>
      <x:c r="I66" s="8" t="n">
        <x:v>419698</x:v>
      </x:c>
      <x:c r="J66" s="8" t="n">
        <x:v>176349</x:v>
      </x:c>
      <x:c r="K66" s="8" t="n">
        <x:v>199858</x:v>
      </x:c>
      <x:c r="L66" s="8" t="n">
        <x:v>31743</x:v>
      </x:c>
      <x:c r="M66" s="8" t="n">
        <x:v>11748</x:v>
      </x:c>
      <x:c r="N66" s="8" t="n">
        <x:v>0</x:v>
      </x:c>
      <x:c r="O66" s="8" t="n">
        <x:v>0</x:v>
      </x:c>
      <x:c r="P66" s="8" t="n">
        <x:v>394</x:v>
      </x:c>
      <x:c r="Q66" s="8" t="n">
        <x:v>306</x:v>
      </x:c>
      <x:c r="R66" s="8" t="n">
        <x:v>700</x:v>
      </x:c>
      <x:c r="S66" s="8" t="n">
        <x:v>1718</x:v>
      </x:c>
      <x:c r="T66" s="8" t="n">
        <x:v>373</x:v>
      </x:c>
      <x:c r="U66" s="2" t="str">
        <x:v>2025年12月25日現在</x:v>
      </x:c>
      <x:c r="V66" s="2" t="str">
        <x:v>2025-12-25</x:v>
      </x:c>
      <x:c r="W66" s="2" t="str">
        <x:v>https://www.e-stat.go.jp/stat-search/file-download?statInfId=000032059434&amp;fileKind=0</x:v>
      </x:c>
      <x:c r="X66" s="2" t="str">
        <x:v>海上出入貨物!205行、コンテナ個数!40行</x:v>
      </x:c>
      <x:c r="Y66" s="2" t="str">
        <x:v>取得済</x:v>
      </x:c>
      <x:c r="Z66" s="9" t="str">
        <x:f>IF(AND(ISNUMBER(E66),COUNTIFS($A$2:$A$477,EDATE(A66,-12),$B$2:$B$477,B66,$E$2:$E$477,"&gt;0")=1),E66/SUMIFS($E$2:$E$477,$A$2:$A$477,EDATE(A66,-12),$B$2:$B$477,B66)-1,"")</x:f>
      </x:c>
      <x:c r="AA66" s="10" t="n">
        <x:f>IF(COUNTIFS($A$2:$A$477,"&gt;="&amp;EDATE(A66,-2),$A$2:$A$477,"&lt;="&amp;A66,$B$2:$B$477,B66,$E$2:$E$477,"&gt;=0")=3,SUMIFS($E$2:$E$477,$A$2:$A$477,"&gt;="&amp;EDATE(A66,-2),$A$2:$A$477,"&lt;="&amp;A66,$B$2:$B$477,B66)/3,"")</x:f>
        <x:v>1018308.3333333334</x:v>
      </x:c>
      <x:c r="AB66" s="9" t="str">
        <x:f>IF(AND(ISNUMBER(J66),COUNTIFS($A$2:$A$477,EDATE(A66,-12),$B$2:$B$477,B66,$J$2:$J$477,"&gt;0")=1),J66/SUMIFS($J$2:$J$477,$A$2:$A$477,EDATE(A66,-12),$B$2:$B$477,B66)-1,"")</x:f>
      </x:c>
    </x:row>
    <x:row r="67" ht="21" customHeight="1">
      <x:c r="A67" s="7" t="n">
        <x:v>44470</x:v>
      </x:c>
      <x:c r="B67" s="2" t="str">
        <x:v>横浜</x:v>
      </x:c>
      <x:c r="C67" s="2" t="str">
        <x:v>神奈川県</x:v>
      </x:c>
      <x:c r="D67" s="8" t="n">
        <x:v>8808155</x:v>
      </x:c>
      <x:c r="E67" s="8" t="n">
        <x:v>2535214</x:v>
      </x:c>
      <x:c r="F67" s="8" t="n">
        <x:v>3385260</x:v>
      </x:c>
      <x:c r="G67" s="8" t="n">
        <x:v>1078742</x:v>
      </x:c>
      <x:c r="H67" s="8" t="n">
        <x:v>1808939</x:v>
      </x:c>
      <x:c r="I67" s="8" t="n">
        <x:v>243525</x:v>
      </x:c>
      <x:c r="J67" s="8" t="n">
        <x:v>120168</x:v>
      </x:c>
      <x:c r="K67" s="8" t="n">
        <x:v>98163</x:v>
      </x:c>
      <x:c r="L67" s="8" t="n">
        <x:v>11142</x:v>
      </x:c>
      <x:c r="M67" s="8" t="n">
        <x:v>14052</x:v>
      </x:c>
      <x:c r="N67" s="8" t="n">
        <x:v>0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2314</x:v>
      </x:c>
      <x:c r="T67" s="8" t="n">
        <x:v>713</x:v>
      </x:c>
      <x:c r="U67" s="2" t="str">
        <x:v>2025年12月25日現在</x:v>
      </x:c>
      <x:c r="V67" s="2" t="str">
        <x:v>2025-12-25</x:v>
      </x:c>
      <x:c r="W67" s="2" t="str">
        <x:v>https://www.e-stat.go.jp/stat-search/file-download?statInfId=000032059434&amp;fileKind=0</x:v>
      </x:c>
      <x:c r="X67" s="2" t="str">
        <x:v>海上出入貨物!217行、コンテナ個数!42行</x:v>
      </x:c>
      <x:c r="Y67" s="2" t="str">
        <x:v>取得済</x:v>
      </x:c>
      <x:c r="Z67" s="9" t="str">
        <x:f>IF(AND(ISNUMBER(E67),COUNTIFS($A$2:$A$477,EDATE(A67,-12),$B$2:$B$477,B67,$E$2:$E$477,"&gt;0")=1),E67/SUMIFS($E$2:$E$477,$A$2:$A$477,EDATE(A67,-12),$B$2:$B$477,B67)-1,"")</x:f>
      </x:c>
      <x:c r="AA67" s="10" t="n">
        <x:f>IF(COUNTIFS($A$2:$A$477,"&gt;="&amp;EDATE(A67,-2),$A$2:$A$477,"&lt;="&amp;A67,$B$2:$B$477,B67,$E$2:$E$477,"&gt;=0")=3,SUMIFS($E$2:$E$477,$A$2:$A$477,"&gt;="&amp;EDATE(A67,-2),$A$2:$A$477,"&lt;="&amp;A67,$B$2:$B$477,B67)/3,"")</x:f>
        <x:v>2339865</x:v>
      </x:c>
      <x:c r="AB67" s="9" t="str">
        <x:f>IF(AND(ISNUMBER(J67),COUNTIFS($A$2:$A$477,EDATE(A67,-12),$B$2:$B$477,B67,$J$2:$J$477,"&gt;0")=1),J67/SUMIFS($J$2:$J$477,$A$2:$A$477,EDATE(A67,-12),$B$2:$B$477,B67)-1,"")</x:f>
      </x:c>
    </x:row>
    <x:row r="68" ht="21" customHeight="1">
      <x:c r="A68" s="7" t="n">
        <x:v>44470</x:v>
      </x:c>
      <x:c r="B68" s="2" t="str">
        <x:v>清水</x:v>
      </x:c>
      <x:c r="C68" s="2" t="str">
        <x:v>静岡県</x:v>
      </x:c>
      <x:c r="D68" s="8" t="n">
        <x:v>1531726</x:v>
      </x:c>
      <x:c r="E68" s="8" t="n">
        <x:v>346475</x:v>
      </x:c>
      <x:c r="F68" s="8" t="n">
        <x:v>598932</x:v>
      </x:c>
      <x:c r="G68" s="8" t="n">
        <x:v>166175</x:v>
      </x:c>
      <x:c r="H68" s="8" t="n">
        <x:v>420144</x:v>
      </x:c>
      <x:c r="I68" s="8" t="n">
        <x:v>48031</x:v>
      </x:c>
      <x:c r="J68" s="8" t="n">
        <x:v>20561</x:v>
      </x:c>
      <x:c r="K68" s="8" t="n">
        <x:v>18235</x:v>
      </x:c>
      <x:c r="L68" s="8" t="n">
        <x:v>4054</x:v>
      </x:c>
      <x:c r="M68" s="8" t="n">
        <x:v>5181</x:v>
      </x:c>
      <x:c r="N68" s="8" t="n">
        <x:v>0</x:v>
      </x:c>
      <x:c r="O68" s="8" t="n">
        <x:v>0</x:v>
      </x:c>
      <x:c r="P68" s="8" t="n">
        <x:v>4</x:v>
      </x:c>
      <x:c r="Q68" s="8" t="n">
        <x:v>3</x:v>
      </x:c>
      <x:c r="R68" s="8" t="n">
        <x:v>7</x:v>
      </x:c>
      <x:c r="S68" s="8" t="n">
        <x:v>485</x:v>
      </x:c>
      <x:c r="T68" s="8" t="n">
        <x:v>129</x:v>
      </x:c>
      <x:c r="U68" s="2" t="str">
        <x:v>2025年12月25日現在</x:v>
      </x:c>
      <x:c r="V68" s="2" t="str">
        <x:v>2025-12-25</x:v>
      </x:c>
      <x:c r="W68" s="2" t="str">
        <x:v>https://www.e-stat.go.jp/stat-search/file-download?statInfId=000032059434&amp;fileKind=0</x:v>
      </x:c>
      <x:c r="X68" s="2" t="str">
        <x:v>海上出入貨物!313行、コンテナ個数!58行</x:v>
      </x:c>
      <x:c r="Y68" s="2" t="str">
        <x:v>取得済</x:v>
      </x:c>
      <x:c r="Z68" s="9" t="str">
        <x:f>IF(AND(ISNUMBER(E68),COUNTIFS($A$2:$A$477,EDATE(A68,-12),$B$2:$B$477,B68,$E$2:$E$477,"&gt;0")=1),E68/SUMIFS($E$2:$E$477,$A$2:$A$477,EDATE(A68,-12),$B$2:$B$477,B68)-1,"")</x:f>
      </x:c>
      <x:c r="AA68" s="10" t="n">
        <x:f>IF(COUNTIFS($A$2:$A$477,"&gt;="&amp;EDATE(A68,-2),$A$2:$A$477,"&lt;="&amp;A68,$B$2:$B$477,B68,$E$2:$E$477,"&gt;=0")=3,SUMIFS($E$2:$E$477,$A$2:$A$477,"&gt;="&amp;EDATE(A68,-2),$A$2:$A$477,"&lt;="&amp;A68,$B$2:$B$477,B68)/3,"")</x:f>
        <x:v>318690.3333333333</x:v>
      </x:c>
      <x:c r="AB68" s="9" t="str">
        <x:f>IF(AND(ISNUMBER(J68),COUNTIFS($A$2:$A$477,EDATE(A68,-12),$B$2:$B$477,B68,$J$2:$J$477,"&gt;0")=1),J68/SUMIFS($J$2:$J$477,$A$2:$A$477,EDATE(A68,-12),$B$2:$B$477,B68)-1,"")</x:f>
      </x:c>
    </x:row>
    <x:row r="69" ht="21" customHeight="1">
      <x:c r="A69" s="7" t="n">
        <x:v>44470</x:v>
      </x:c>
      <x:c r="B69" s="2" t="str">
        <x:v>博多</x:v>
      </x:c>
      <x:c r="C69" s="2" t="str">
        <x:v>福岡県</x:v>
      </x:c>
      <x:c r="D69" s="8" t="n">
        <x:v>2719000</x:v>
      </x:c>
      <x:c r="E69" s="8" t="n">
        <x:v>575211</x:v>
      </x:c>
      <x:c r="F69" s="8" t="n">
        <x:v>791111</x:v>
      </x:c>
      <x:c r="G69" s="8" t="n">
        <x:v>435975</x:v>
      </x:c>
      <x:c r="H69" s="8" t="n">
        <x:v>916703</x:v>
      </x:c>
      <x:c r="I69" s="8" t="n">
        <x:v>77484</x:v>
      </x:c>
      <x:c r="J69" s="8" t="n">
        <x:v>33359</x:v>
      </x:c>
      <x:c r="K69" s="8" t="n">
        <x:v>32413</x:v>
      </x:c>
      <x:c r="L69" s="8" t="n">
        <x:v>5302</x:v>
      </x:c>
      <x:c r="M69" s="8" t="n">
        <x:v>6410</x:v>
      </x:c>
      <x:c r="N69" s="8" t="n">
        <x:v>0</x:v>
      </x:c>
      <x:c r="O69" s="8" t="n">
        <x:v>0</x:v>
      </x:c>
      <x:c r="P69" s="8" t="n">
        <x:v>1337</x:v>
      </x:c>
      <x:c r="Q69" s="8" t="n">
        <x:v>1382</x:v>
      </x:c>
      <x:c r="R69" s="8" t="n">
        <x:v>2719</x:v>
      </x:c>
      <x:c r="S69" s="8" t="n">
        <x:v>1624</x:v>
      </x:c>
      <x:c r="T69" s="8" t="n">
        <x:v>212</x:v>
      </x:c>
      <x:c r="U69" s="2" t="str">
        <x:v>2025年12月25日現在</x:v>
      </x:c>
      <x:c r="V69" s="2" t="str">
        <x:v>2025-12-25</x:v>
      </x:c>
      <x:c r="W69" s="2" t="str">
        <x:v>https://www.e-stat.go.jp/stat-search/file-download?statInfId=000032059434&amp;fileKind=0</x:v>
      </x:c>
      <x:c r="X69" s="2" t="str">
        <x:v>海上出入貨物!745行、コンテナ個数!130行</x:v>
      </x:c>
      <x:c r="Y69" s="2" t="str">
        <x:v>取得済</x:v>
      </x:c>
      <x:c r="Z69" s="9" t="str">
        <x:f>IF(AND(ISNUMBER(E69),COUNTIFS($A$2:$A$477,EDATE(A69,-12),$B$2:$B$477,B69,$E$2:$E$477,"&gt;0")=1),E69/SUMIFS($E$2:$E$477,$A$2:$A$477,EDATE(A69,-12),$B$2:$B$477,B69)-1,"")</x:f>
      </x:c>
      <x:c r="AA69" s="10" t="n">
        <x:f>IF(COUNTIFS($A$2:$A$477,"&gt;="&amp;EDATE(A69,-2),$A$2:$A$477,"&lt;="&amp;A69,$B$2:$B$477,B69,$E$2:$E$477,"&gt;=0")=3,SUMIFS($E$2:$E$477,$A$2:$A$477,"&gt;="&amp;EDATE(A69,-2),$A$2:$A$477,"&lt;="&amp;A69,$B$2:$B$477,B69)/3,"")</x:f>
        <x:v>564003</x:v>
      </x:c>
      <x:c r="AB69" s="9" t="str">
        <x:f>IF(AND(ISNUMBER(J69),COUNTIFS($A$2:$A$477,EDATE(A69,-12),$B$2:$B$477,B69,$J$2:$J$477,"&gt;0")=1),J69/SUMIFS($J$2:$J$477,$A$2:$A$477,EDATE(A69,-12),$B$2:$B$477,B69)-1,"")</x:f>
      </x:c>
    </x:row>
    <x:row r="70" ht="21" customHeight="1">
      <x:c r="A70" s="7" t="n">
        <x:v>44470</x:v>
      </x:c>
      <x:c r="B70" s="2" t="str">
        <x:v>熊本</x:v>
      </x:c>
      <x:c r="C70" s="2" t="str">
        <x:v>熊本県</x:v>
      </x:c>
      <x:c r="D70" s="8" t="n">
        <x:v>210741</x:v>
      </x:c>
      <x:c r="E70" s="8" t="n">
        <x:v>5941</x:v>
      </x:c>
      <x:c r="F70" s="8" t="n">
        <x:v>3752</x:v>
      </x:c>
      <x:c r="G70" s="8" t="n">
        <x:v>80758</x:v>
      </x:c>
      <x:c r="H70" s="8" t="n">
        <x:v>120290</x:v>
      </x:c>
      <x:c r="I70" s="8" t="n">
        <x:v>567</x:v>
      </x:c>
      <x:c r="J70" s="8" t="n">
        <x:v>293</x:v>
      </x:c>
      <x:c r="K70" s="8" t="n">
        <x:v>244</x:v>
      </x:c>
      <x:c r="L70" s="8" t="n">
        <x:v>0</x:v>
      </x:c>
      <x:c r="M70" s="8" t="n">
        <x:v>30</x:v>
      </x:c>
      <x:c r="N70" s="8" t="n">
        <x:v>0</x:v>
      </x:c>
      <x:c r="O70" s="8" t="n">
        <x:v>0</x:v>
      </x:c>
      <x:c r="P70" s="8" t="n">
        <x:v>595</x:v>
      </x:c>
      <x:c r="Q70" s="8" t="n">
        <x:v>621</x:v>
      </x:c>
      <x:c r="R70" s="8" t="n">
        <x:v>1216</x:v>
      </x:c>
      <x:c r="S70" s="8" t="n">
        <x:v>25</x:v>
      </x:c>
      <x:c r="T70" s="8" t="n">
        <x:v>7</x:v>
      </x:c>
      <x:c r="U70" s="2" t="str">
        <x:v>2025年12月25日現在</x:v>
      </x:c>
      <x:c r="V70" s="2" t="str">
        <x:v>2025-12-25</x:v>
      </x:c>
      <x:c r="W70" s="2" t="str">
        <x:v>https://www.e-stat.go.jp/stat-search/file-download?statInfId=000032059434&amp;fileKind=0</x:v>
      </x:c>
      <x:c r="X70" s="2" t="str">
        <x:v>海上出入貨物!859行、コンテナ個数!149行</x:v>
      </x:c>
      <x:c r="Y70" s="2" t="str">
        <x:v>取得済</x:v>
      </x:c>
      <x:c r="Z70" s="9" t="str">
        <x:f>IF(AND(ISNUMBER(E70),COUNTIFS($A$2:$A$477,EDATE(A70,-12),$B$2:$B$477,B70,$E$2:$E$477,"&gt;0")=1),E70/SUMIFS($E$2:$E$477,$A$2:$A$477,EDATE(A70,-12),$B$2:$B$477,B70)-1,"")</x:f>
      </x:c>
      <x:c r="AA70" s="10" t="n">
        <x:f>IF(COUNTIFS($A$2:$A$477,"&gt;="&amp;EDATE(A70,-2),$A$2:$A$477,"&lt;="&amp;A70,$B$2:$B$477,B70,$E$2:$E$477,"&gt;=0")=3,SUMIFS($E$2:$E$477,$A$2:$A$477,"&gt;="&amp;EDATE(A70,-2),$A$2:$A$477,"&lt;="&amp;A70,$B$2:$B$477,B70)/3,"")</x:f>
        <x:v>6112.666666666667</x:v>
      </x:c>
      <x:c r="AB70" s="9" t="str">
        <x:f>IF(AND(ISNUMBER(J70),COUNTIFS($A$2:$A$477,EDATE(A70,-12),$B$2:$B$477,B70,$J$2:$J$477,"&gt;0")=1),J70/SUMIFS($J$2:$J$477,$A$2:$A$477,EDATE(A70,-12),$B$2:$B$477,B70)-1,"")</x:f>
      </x:c>
    </x:row>
    <x:row r="71" ht="21" customHeight="1">
      <x:c r="A71" s="7" t="n">
        <x:v>44470</x:v>
      </x:c>
      <x:c r="B71" s="2" t="str">
        <x:v>八代</x:v>
      </x:c>
      <x:c r="C71" s="2" t="str">
        <x:v>熊本県</x:v>
      </x:c>
      <x:c r="D71" s="8" t="n">
        <x:v>408725</x:v>
      </x:c>
      <x:c r="E71" s="8" t="n">
        <x:v>30833</x:v>
      </x:c>
      <x:c r="F71" s="8" t="n">
        <x:v>146328</x:v>
      </x:c>
      <x:c r="G71" s="8" t="n">
        <x:v>28472</x:v>
      </x:c>
      <x:c r="H71" s="8" t="n">
        <x:v>203092</x:v>
      </x:c>
      <x:c r="I71" s="8" t="n">
        <x:v>2638</x:v>
      </x:c>
      <x:c r="J71" s="8" t="n">
        <x:v>1031</x:v>
      </x:c>
      <x:c r="K71" s="8" t="n">
        <x:v>988</x:v>
      </x:c>
      <x:c r="L71" s="8" t="n">
        <x:v>195</x:v>
      </x:c>
      <x:c r="M71" s="8" t="n">
        <x:v>424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220</x:v>
      </x:c>
      <x:c r="T71" s="8" t="n">
        <x:v>36</x:v>
      </x:c>
      <x:c r="U71" s="2" t="str">
        <x:v>2025年12月25日現在</x:v>
      </x:c>
      <x:c r="V71" s="2" t="str">
        <x:v>2025-12-25</x:v>
      </x:c>
      <x:c r="W71" s="2" t="str">
        <x:v>https://www.e-stat.go.jp/stat-search/file-download?statInfId=000032059434&amp;fileKind=0</x:v>
      </x:c>
      <x:c r="X71" s="2" t="str">
        <x:v>海上出入貨物!847行、コンテナ個数!147行</x:v>
      </x:c>
      <x:c r="Y71" s="2" t="str">
        <x:v>取得済</x:v>
      </x:c>
      <x:c r="Z71" s="9" t="str">
        <x:f>IF(AND(ISNUMBER(E71),COUNTIFS($A$2:$A$477,EDATE(A71,-12),$B$2:$B$477,B71,$E$2:$E$477,"&gt;0")=1),E71/SUMIFS($E$2:$E$477,$A$2:$A$477,EDATE(A71,-12),$B$2:$B$477,B71)-1,"")</x:f>
      </x:c>
      <x:c r="AA71" s="10" t="n">
        <x:f>IF(COUNTIFS($A$2:$A$477,"&gt;="&amp;EDATE(A71,-2),$A$2:$A$477,"&lt;="&amp;A71,$B$2:$B$477,B71,$E$2:$E$477,"&gt;=0")=3,SUMIFS($E$2:$E$477,$A$2:$A$477,"&gt;="&amp;EDATE(A71,-2),$A$2:$A$477,"&lt;="&amp;A71,$B$2:$B$477,B71)/3,"")</x:f>
        <x:v>24668.666666666668</x:v>
      </x:c>
      <x:c r="AB71" s="9" t="str">
        <x:f>IF(AND(ISNUMBER(J71),COUNTIFS($A$2:$A$477,EDATE(A71,-12),$B$2:$B$477,B71,$J$2:$J$477,"&gt;0")=1),J71/SUMIFS($J$2:$J$477,$A$2:$A$477,EDATE(A71,-12),$B$2:$B$477,B71)-1,"")</x:f>
      </x:c>
    </x:row>
    <x:row r="72" ht="21" customHeight="1">
      <x:c r="A72" s="7" t="n">
        <x:v>44501</x:v>
      </x:c>
      <x:c r="B72" s="2" t="str">
        <x:v>仙台塩釜</x:v>
      </x:c>
      <x:c r="C72" s="2" t="str">
        <x:v>宮城県</x:v>
      </x:c>
      <x:c r="D72" s="8" t="n">
        <x:v>3444228</x:v>
      </x:c>
      <x:c r="E72" s="8" t="n">
        <x:v>132709</x:v>
      </x:c>
      <x:c r="F72" s="8" t="n">
        <x:v>1045107</x:v>
      </x:c>
      <x:c r="G72" s="8" t="n">
        <x:v>1015868</x:v>
      </x:c>
      <x:c r="H72" s="8" t="n">
        <x:v>1250544</x:v>
      </x:c>
      <x:c r="I72" s="8" t="n">
        <x:v>21388</x:v>
      </x:c>
      <x:c r="J72" s="8" t="n">
        <x:v>6222</x:v>
      </x:c>
      <x:c r="K72" s="8" t="n">
        <x:v>6382</x:v>
      </x:c>
      <x:c r="L72" s="8" t="n">
        <x:v>4358</x:v>
      </x:c>
      <x:c r="M72" s="8" t="n">
        <x:v>4426</x:v>
      </x:c>
      <x:c r="N72" s="8" t="n">
        <x:v>0</x:v>
      </x:c>
      <x:c r="O72" s="8" t="n">
        <x:v>0</x:v>
      </x:c>
      <x:c r="P72" s="8" t="n">
        <x:v>583</x:v>
      </x:c>
      <x:c r="Q72" s="8" t="n">
        <x:v>636</x:v>
      </x:c>
      <x:c r="R72" s="8" t="n">
        <x:v>1219</x:v>
      </x:c>
      <x:c r="S72" s="8" t="n">
        <x:v>2011</x:v>
      </x:c>
      <x:c r="T72" s="8" t="n">
        <x:v>89</x:v>
      </x:c>
      <x:c r="U72" s="2" t="str">
        <x:v>2025年12月25日現在</x:v>
      </x:c>
      <x:c r="V72" s="2" t="str">
        <x:v>2025-12-25</x:v>
      </x:c>
      <x:c r="W72" s="2" t="str">
        <x:v>https://www.e-stat.go.jp/stat-search/file-download?statInfId=000032059434&amp;fileKind=0</x:v>
      </x:c>
      <x:c r="X72" s="2" t="str">
        <x:v>海上出入貨物!139行、コンテナ個数!29行</x:v>
      </x:c>
      <x:c r="Y72" s="2" t="str">
        <x:v>取得済</x:v>
      </x:c>
      <x:c r="Z72" s="9" t="str">
        <x:f>IF(AND(ISNUMBER(E72),COUNTIFS($A$2:$A$477,EDATE(A72,-12),$B$2:$B$477,B72,$E$2:$E$477,"&gt;0")=1),E72/SUMIFS($E$2:$E$477,$A$2:$A$477,EDATE(A72,-12),$B$2:$B$477,B72)-1,"")</x:f>
      </x:c>
      <x:c r="AA72" s="10" t="n">
        <x:f>IF(COUNTIFS($A$2:$A$477,"&gt;="&amp;EDATE(A72,-2),$A$2:$A$477,"&lt;="&amp;A72,$B$2:$B$477,B72,$E$2:$E$477,"&gt;=0")=3,SUMIFS($E$2:$E$477,$A$2:$A$477,"&gt;="&amp;EDATE(A72,-2),$A$2:$A$477,"&lt;="&amp;A72,$B$2:$B$477,B72)/3,"")</x:f>
        <x:v>140394.33333333334</x:v>
      </x:c>
      <x:c r="AB72" s="9" t="str">
        <x:f>IF(AND(ISNUMBER(J72),COUNTIFS($A$2:$A$477,EDATE(A72,-12),$B$2:$B$477,B72,$J$2:$J$477,"&gt;0")=1),J72/SUMIFS($J$2:$J$477,$A$2:$A$477,EDATE(A72,-12),$B$2:$B$477,B72)-1,"")</x:f>
      </x:c>
    </x:row>
    <x:row r="73" ht="21" customHeight="1">
      <x:c r="A73" s="7" t="n">
        <x:v>44501</x:v>
      </x:c>
      <x:c r="B73" s="2" t="str">
        <x:v>東京</x:v>
      </x:c>
      <x:c r="C73" s="2" t="str">
        <x:v>東京都</x:v>
      </x:c>
      <x:c r="D73" s="8" t="n">
        <x:v>7255959</x:v>
      </x:c>
      <x:c r="E73" s="8" t="n">
        <x:v>982211</x:v>
      </x:c>
      <x:c r="F73" s="8" t="n">
        <x:v>3078315</x:v>
      </x:c>
      <x:c r="G73" s="8" t="n">
        <x:v>1348049</x:v>
      </x:c>
      <x:c r="H73" s="8" t="n">
        <x:v>1847384</x:v>
      </x:c>
      <x:c r="I73" s="8" t="n">
        <x:v>420129</x:v>
      </x:c>
      <x:c r="J73" s="8" t="n">
        <x:v>171666</x:v>
      </x:c>
      <x:c r="K73" s="8" t="n">
        <x:v>207012</x:v>
      </x:c>
      <x:c r="L73" s="8" t="n">
        <x:v>29985</x:v>
      </x:c>
      <x:c r="M73" s="8" t="n">
        <x:v>11466</x:v>
      </x:c>
      <x:c r="N73" s="8" t="n">
        <x:v>0</x:v>
      </x:c>
      <x:c r="O73" s="8" t="n">
        <x:v>0</x:v>
      </x:c>
      <x:c r="P73" s="8" t="n">
        <x:v>485</x:v>
      </x:c>
      <x:c r="Q73" s="8" t="n">
        <x:v>241</x:v>
      </x:c>
      <x:c r="R73" s="8" t="n">
        <x:v>726</x:v>
      </x:c>
      <x:c r="S73" s="8" t="n">
        <x:v>1707</x:v>
      </x:c>
      <x:c r="T73" s="8" t="n">
        <x:v>376</x:v>
      </x:c>
      <x:c r="U73" s="2" t="str">
        <x:v>2025年12月25日現在</x:v>
      </x:c>
      <x:c r="V73" s="2" t="str">
        <x:v>2025-12-25</x:v>
      </x:c>
      <x:c r="W73" s="2" t="str">
        <x:v>https://www.e-stat.go.jp/stat-search/file-download?statInfId=000032059434&amp;fileKind=0</x:v>
      </x:c>
      <x:c r="X73" s="2" t="str">
        <x:v>海上出入貨物!205行、コンテナ個数!40行</x:v>
      </x:c>
      <x:c r="Y73" s="2" t="str">
        <x:v>取得済</x:v>
      </x:c>
      <x:c r="Z73" s="9" t="str">
        <x:f>IF(AND(ISNUMBER(E73),COUNTIFS($A$2:$A$477,EDATE(A73,-12),$B$2:$B$477,B73,$E$2:$E$477,"&gt;0")=1),E73/SUMIFS($E$2:$E$477,$A$2:$A$477,EDATE(A73,-12),$B$2:$B$477,B73)-1,"")</x:f>
      </x:c>
      <x:c r="AA73" s="10" t="n">
        <x:f>IF(COUNTIFS($A$2:$A$477,"&gt;="&amp;EDATE(A73,-2),$A$2:$A$477,"&lt;="&amp;A73,$B$2:$B$477,B73,$E$2:$E$477,"&gt;=0")=3,SUMIFS($E$2:$E$477,$A$2:$A$477,"&gt;="&amp;EDATE(A73,-2),$A$2:$A$477,"&lt;="&amp;A73,$B$2:$B$477,B73)/3,"")</x:f>
        <x:v>995997</x:v>
      </x:c>
      <x:c r="AB73" s="9" t="str">
        <x:f>IF(AND(ISNUMBER(J73),COUNTIFS($A$2:$A$477,EDATE(A73,-12),$B$2:$B$477,B73,$J$2:$J$477,"&gt;0")=1),J73/SUMIFS($J$2:$J$477,$A$2:$A$477,EDATE(A73,-12),$B$2:$B$477,B73)-1,"")</x:f>
      </x:c>
    </x:row>
    <x:row r="74" ht="21" customHeight="1">
      <x:c r="A74" s="7" t="n">
        <x:v>44501</x:v>
      </x:c>
      <x:c r="B74" s="2" t="str">
        <x:v>横浜</x:v>
      </x:c>
      <x:c r="C74" s="2" t="str">
        <x:v>神奈川県</x:v>
      </x:c>
      <x:c r="D74" s="8" t="n">
        <x:v>8390947</x:v>
      </x:c>
      <x:c r="E74" s="8" t="n">
        <x:v>2347649</x:v>
      </x:c>
      <x:c r="F74" s="8" t="n">
        <x:v>3466991</x:v>
      </x:c>
      <x:c r="G74" s="8" t="n">
        <x:v>1007206</x:v>
      </x:c>
      <x:c r="H74" s="8" t="n">
        <x:v>1569101</x:v>
      </x:c>
      <x:c r="I74" s="8" t="n">
        <x:v>242814</x:v>
      </x:c>
      <x:c r="J74" s="8" t="n">
        <x:v>110956</x:v>
      </x:c>
      <x:c r="K74" s="8" t="n">
        <x:v>106189</x:v>
      </x:c>
      <x:c r="L74" s="8" t="n">
        <x:v>11146</x:v>
      </x:c>
      <x:c r="M74" s="8" t="n">
        <x:v>14523</x:v>
      </x:c>
      <x:c r="N74" s="8" t="n">
        <x:v>0</x:v>
      </x:c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2282</x:v>
      </x:c>
      <x:c r="T74" s="8" t="n">
        <x:v>670</x:v>
      </x:c>
      <x:c r="U74" s="2" t="str">
        <x:v>2025年12月25日現在</x:v>
      </x:c>
      <x:c r="V74" s="2" t="str">
        <x:v>2025-12-25</x:v>
      </x:c>
      <x:c r="W74" s="2" t="str">
        <x:v>https://www.e-stat.go.jp/stat-search/file-download?statInfId=000032059434&amp;fileKind=0</x:v>
      </x:c>
      <x:c r="X74" s="2" t="str">
        <x:v>海上出入貨物!217行、コンテナ個数!42行</x:v>
      </x:c>
      <x:c r="Y74" s="2" t="str">
        <x:v>取得済</x:v>
      </x:c>
      <x:c r="Z74" s="9" t="str">
        <x:f>IF(AND(ISNUMBER(E74),COUNTIFS($A$2:$A$477,EDATE(A74,-12),$B$2:$B$477,B74,$E$2:$E$477,"&gt;0")=1),E74/SUMIFS($E$2:$E$477,$A$2:$A$477,EDATE(A74,-12),$B$2:$B$477,B74)-1,"")</x:f>
      </x:c>
      <x:c r="AA74" s="10" t="n">
        <x:f>IF(COUNTIFS($A$2:$A$477,"&gt;="&amp;EDATE(A74,-2),$A$2:$A$477,"&lt;="&amp;A74,$B$2:$B$477,B74,$E$2:$E$477,"&gt;=0")=3,SUMIFS($E$2:$E$477,$A$2:$A$477,"&gt;="&amp;EDATE(A74,-2),$A$2:$A$477,"&lt;="&amp;A74,$B$2:$B$477,B74)/3,"")</x:f>
        <x:v>2400721.3333333335</x:v>
      </x:c>
      <x:c r="AB74" s="9" t="str">
        <x:f>IF(AND(ISNUMBER(J74),COUNTIFS($A$2:$A$477,EDATE(A74,-12),$B$2:$B$477,B74,$J$2:$J$477,"&gt;0")=1),J74/SUMIFS($J$2:$J$477,$A$2:$A$477,EDATE(A74,-12),$B$2:$B$477,B74)-1,"")</x:f>
      </x:c>
    </x:row>
    <x:row r="75" ht="21" customHeight="1">
      <x:c r="A75" s="7" t="n">
        <x:v>44501</x:v>
      </x:c>
      <x:c r="B75" s="2" t="str">
        <x:v>清水</x:v>
      </x:c>
      <x:c r="C75" s="2" t="str">
        <x:v>静岡県</x:v>
      </x:c>
      <x:c r="D75" s="8" t="n">
        <x:v>1339050</x:v>
      </x:c>
      <x:c r="E75" s="8" t="n">
        <x:v>312357</x:v>
      </x:c>
      <x:c r="F75" s="8" t="n">
        <x:v>438065</x:v>
      </x:c>
      <x:c r="G75" s="8" t="n">
        <x:v>164064</x:v>
      </x:c>
      <x:c r="H75" s="8" t="n">
        <x:v>424564</x:v>
      </x:c>
      <x:c r="I75" s="8" t="n">
        <x:v>46514</x:v>
      </x:c>
      <x:c r="J75" s="8" t="n">
        <x:v>18544</x:v>
      </x:c>
      <x:c r="K75" s="8" t="n">
        <x:v>18370</x:v>
      </x:c>
      <x:c r="L75" s="8" t="n">
        <x:v>3839</x:v>
      </x:c>
      <x:c r="M75" s="8" t="n">
        <x:v>5761</x:v>
      </x:c>
      <x:c r="N75" s="8" t="n">
        <x:v>0</x:v>
      </x:c>
      <x:c r="O75" s="8" t="n">
        <x:v>0</x:v>
      </x:c>
      <x:c r="P75" s="8" t="n">
        <x:v>7</x:v>
      </x:c>
      <x:c r="Q75" s="8" t="n">
        <x:v>7</x:v>
      </x:c>
      <x:c r="R75" s="8" t="n">
        <x:v>14</x:v>
      </x:c>
      <x:c r="S75" s="8" t="n">
        <x:v>474</x:v>
      </x:c>
      <x:c r="T75" s="8" t="n">
        <x:v>130</x:v>
      </x:c>
      <x:c r="U75" s="2" t="str">
        <x:v>2025年12月25日現在</x:v>
      </x:c>
      <x:c r="V75" s="2" t="str">
        <x:v>2025-12-25</x:v>
      </x:c>
      <x:c r="W75" s="2" t="str">
        <x:v>https://www.e-stat.go.jp/stat-search/file-download?statInfId=000032059434&amp;fileKind=0</x:v>
      </x:c>
      <x:c r="X75" s="2" t="str">
        <x:v>海上出入貨物!313行、コンテナ個数!58行</x:v>
      </x:c>
      <x:c r="Y75" s="2" t="str">
        <x:v>取得済</x:v>
      </x:c>
      <x:c r="Z75" s="9" t="str">
        <x:f>IF(AND(ISNUMBER(E75),COUNTIFS($A$2:$A$477,EDATE(A75,-12),$B$2:$B$477,B75,$E$2:$E$477,"&gt;0")=1),E75/SUMIFS($E$2:$E$477,$A$2:$A$477,EDATE(A75,-12),$B$2:$B$477,B75)-1,"")</x:f>
      </x:c>
      <x:c r="AA75" s="10" t="n">
        <x:f>IF(COUNTIFS($A$2:$A$477,"&gt;="&amp;EDATE(A75,-2),$A$2:$A$477,"&lt;="&amp;A75,$B$2:$B$477,B75,$E$2:$E$477,"&gt;=0")=3,SUMIFS($E$2:$E$477,$A$2:$A$477,"&gt;="&amp;EDATE(A75,-2),$A$2:$A$477,"&lt;="&amp;A75,$B$2:$B$477,B75)/3,"")</x:f>
        <x:v>327653.6666666667</x:v>
      </x:c>
      <x:c r="AB75" s="9" t="str">
        <x:f>IF(AND(ISNUMBER(J75),COUNTIFS($A$2:$A$477,EDATE(A75,-12),$B$2:$B$477,B75,$J$2:$J$477,"&gt;0")=1),J75/SUMIFS($J$2:$J$477,$A$2:$A$477,EDATE(A75,-12),$B$2:$B$477,B75)-1,"")</x:f>
      </x:c>
    </x:row>
    <x:row r="76" ht="21" customHeight="1">
      <x:c r="A76" s="7" t="n">
        <x:v>44501</x:v>
      </x:c>
      <x:c r="B76" s="2" t="str">
        <x:v>博多</x:v>
      </x:c>
      <x:c r="C76" s="2" t="str">
        <x:v>福岡県</x:v>
      </x:c>
      <x:c r="D76" s="8" t="n">
        <x:v>2828208</x:v>
      </x:c>
      <x:c r="E76" s="8" t="n">
        <x:v>658032</x:v>
      </x:c>
      <x:c r="F76" s="8" t="n">
        <x:v>856477</x:v>
      </x:c>
      <x:c r="G76" s="8" t="n">
        <x:v>394445</x:v>
      </x:c>
      <x:c r="H76" s="8" t="n">
        <x:v>919254</x:v>
      </x:c>
      <x:c r="I76" s="8" t="n">
        <x:v>79727</x:v>
      </x:c>
      <x:c r="J76" s="8" t="n">
        <x:v>32354</x:v>
      </x:c>
      <x:c r="K76" s="8" t="n">
        <x:v>35821</x:v>
      </x:c>
      <x:c r="L76" s="8" t="n">
        <x:v>5724</x:v>
      </x:c>
      <x:c r="M76" s="8" t="n">
        <x:v>5828</x:v>
      </x:c>
      <x:c r="N76" s="8" t="n">
        <x:v>0</x:v>
      </x:c>
      <x:c r="O76" s="8" t="n">
        <x:v>0</x:v>
      </x:c>
      <x:c r="P76" s="8" t="n">
        <x:v>1504</x:v>
      </x:c>
      <x:c r="Q76" s="8" t="n">
        <x:v>1389</x:v>
      </x:c>
      <x:c r="R76" s="8" t="n">
        <x:v>2893</x:v>
      </x:c>
      <x:c r="S76" s="8" t="n">
        <x:v>1587</x:v>
      </x:c>
      <x:c r="T76" s="8" t="n">
        <x:v>224</x:v>
      </x:c>
      <x:c r="U76" s="2" t="str">
        <x:v>2025年12月25日現在</x:v>
      </x:c>
      <x:c r="V76" s="2" t="str">
        <x:v>2025-12-25</x:v>
      </x:c>
      <x:c r="W76" s="2" t="str">
        <x:v>https://www.e-stat.go.jp/stat-search/file-download?statInfId=000032059434&amp;fileKind=0</x:v>
      </x:c>
      <x:c r="X76" s="2" t="str">
        <x:v>海上出入貨物!745行、コンテナ個数!130行</x:v>
      </x:c>
      <x:c r="Y76" s="2" t="str">
        <x:v>取得済</x:v>
      </x:c>
      <x:c r="Z76" s="9" t="str">
        <x:f>IF(AND(ISNUMBER(E76),COUNTIFS($A$2:$A$477,EDATE(A76,-12),$B$2:$B$477,B76,$E$2:$E$477,"&gt;0")=1),E76/SUMIFS($E$2:$E$477,$A$2:$A$477,EDATE(A76,-12),$B$2:$B$477,B76)-1,"")</x:f>
      </x:c>
      <x:c r="AA76" s="10" t="n">
        <x:f>IF(COUNTIFS($A$2:$A$477,"&gt;="&amp;EDATE(A76,-2),$A$2:$A$477,"&lt;="&amp;A76,$B$2:$B$477,B76,$E$2:$E$477,"&gt;=0")=3,SUMIFS($E$2:$E$477,$A$2:$A$477,"&gt;="&amp;EDATE(A76,-2),$A$2:$A$477,"&lt;="&amp;A76,$B$2:$B$477,B76)/3,"")</x:f>
        <x:v>577879.3333333334</x:v>
      </x:c>
      <x:c r="AB76" s="9" t="str">
        <x:f>IF(AND(ISNUMBER(J76),COUNTIFS($A$2:$A$477,EDATE(A76,-12),$B$2:$B$477,B76,$J$2:$J$477,"&gt;0")=1),J76/SUMIFS($J$2:$J$477,$A$2:$A$477,EDATE(A76,-12),$B$2:$B$477,B76)-1,"")</x:f>
      </x:c>
    </x:row>
    <x:row r="77" ht="21" customHeight="1">
      <x:c r="A77" s="7" t="n">
        <x:v>44501</x:v>
      </x:c>
      <x:c r="B77" s="2" t="str">
        <x:v>熊本</x:v>
      </x:c>
      <x:c r="C77" s="2" t="str">
        <x:v>熊本県</x:v>
      </x:c>
      <x:c r="D77" s="8" t="n">
        <x:v>247605</x:v>
      </x:c>
      <x:c r="E77" s="8" t="n">
        <x:v>5547</x:v>
      </x:c>
      <x:c r="F77" s="8" t="n">
        <x:v>7767</x:v>
      </x:c>
      <x:c r="G77" s="8" t="n">
        <x:v>95746</x:v>
      </x:c>
      <x:c r="H77" s="8" t="n">
        <x:v>138545</x:v>
      </x:c>
      <x:c r="I77" s="8" t="n">
        <x:v>801</x:v>
      </x:c>
      <x:c r="J77" s="8" t="n">
        <x:v>317</x:v>
      </x:c>
      <x:c r="K77" s="8" t="n">
        <x:v>343</x:v>
      </x:c>
      <x:c r="L77" s="8" t="n">
        <x:v>61</x:v>
      </x:c>
      <x:c r="M77" s="8" t="n">
        <x:v>80</x:v>
      </x:c>
      <x:c r="N77" s="8" t="n">
        <x:v>0</x:v>
      </x:c>
      <x:c r="O77" s="8" t="n">
        <x:v>0</x:v>
      </x:c>
      <x:c r="P77" s="8" t="n">
        <x:v>621</x:v>
      </x:c>
      <x:c r="Q77" s="8" t="n">
        <x:v>663</x:v>
      </x:c>
      <x:c r="R77" s="8" t="n">
        <x:v>1284</x:v>
      </x:c>
      <x:c r="S77" s="8" t="n">
        <x:v>26</x:v>
      </x:c>
      <x:c r="T77" s="8" t="n">
        <x:v>10</x:v>
      </x:c>
      <x:c r="U77" s="2" t="str">
        <x:v>2025年12月25日現在</x:v>
      </x:c>
      <x:c r="V77" s="2" t="str">
        <x:v>2025-12-25</x:v>
      </x:c>
      <x:c r="W77" s="2" t="str">
        <x:v>https://www.e-stat.go.jp/stat-search/file-download?statInfId=000032059434&amp;fileKind=0</x:v>
      </x:c>
      <x:c r="X77" s="2" t="str">
        <x:v>海上出入貨物!859行、コンテナ個数!149行</x:v>
      </x:c>
      <x:c r="Y77" s="2" t="str">
        <x:v>取得済</x:v>
      </x:c>
      <x:c r="Z77" s="9" t="str">
        <x:f>IF(AND(ISNUMBER(E77),COUNTIFS($A$2:$A$477,EDATE(A77,-12),$B$2:$B$477,B77,$E$2:$E$477,"&gt;0")=1),E77/SUMIFS($E$2:$E$477,$A$2:$A$477,EDATE(A77,-12),$B$2:$B$477,B77)-1,"")</x:f>
      </x:c>
      <x:c r="AA77" s="10" t="n">
        <x:f>IF(COUNTIFS($A$2:$A$477,"&gt;="&amp;EDATE(A77,-2),$A$2:$A$477,"&lt;="&amp;A77,$B$2:$B$477,B77,$E$2:$E$477,"&gt;=0")=3,SUMIFS($E$2:$E$477,$A$2:$A$477,"&gt;="&amp;EDATE(A77,-2),$A$2:$A$477,"&lt;="&amp;A77,$B$2:$B$477,B77)/3,"")</x:f>
        <x:v>6323</x:v>
      </x:c>
      <x:c r="AB77" s="9" t="str">
        <x:f>IF(AND(ISNUMBER(J77),COUNTIFS($A$2:$A$477,EDATE(A77,-12),$B$2:$B$477,B77,$J$2:$J$477,"&gt;0")=1),J77/SUMIFS($J$2:$J$477,$A$2:$A$477,EDATE(A77,-12),$B$2:$B$477,B77)-1,"")</x:f>
      </x:c>
    </x:row>
    <x:row r="78" ht="21" customHeight="1">
      <x:c r="A78" s="7" t="n">
        <x:v>44501</x:v>
      </x:c>
      <x:c r="B78" s="2" t="str">
        <x:v>八代</x:v>
      </x:c>
      <x:c r="C78" s="2" t="str">
        <x:v>熊本県</x:v>
      </x:c>
      <x:c r="D78" s="8" t="n">
        <x:v>467958</x:v>
      </x:c>
      <x:c r="E78" s="8" t="n">
        <x:v>22722</x:v>
      </x:c>
      <x:c r="F78" s="8" t="n">
        <x:v>112199</x:v>
      </x:c>
      <x:c r="G78" s="8" t="n">
        <x:v>20026</x:v>
      </x:c>
      <x:c r="H78" s="8" t="n">
        <x:v>313011</x:v>
      </x:c>
      <x:c r="I78" s="8" t="n">
        <x:v>5902</x:v>
      </x:c>
      <x:c r="J78" s="8" t="n">
        <x:v>2845</x:v>
      </x:c>
      <x:c r="K78" s="8" t="n">
        <x:v>2661</x:v>
      </x:c>
      <x:c r="L78" s="8" t="n">
        <x:v>214</x:v>
      </x:c>
      <x:c r="M78" s="8" t="n">
        <x:v>182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0</x:v>
      </x:c>
      <x:c r="S78" s="8" t="n">
        <x:v>186</x:v>
      </x:c>
      <x:c r="T78" s="8" t="n">
        <x:v>33</x:v>
      </x:c>
      <x:c r="U78" s="2" t="str">
        <x:v>2025年12月25日現在</x:v>
      </x:c>
      <x:c r="V78" s="2" t="str">
        <x:v>2025-12-25</x:v>
      </x:c>
      <x:c r="W78" s="2" t="str">
        <x:v>https://www.e-stat.go.jp/stat-search/file-download?statInfId=000032059434&amp;fileKind=0</x:v>
      </x:c>
      <x:c r="X78" s="2" t="str">
        <x:v>海上出入貨物!847行、コンテナ個数!147行</x:v>
      </x:c>
      <x:c r="Y78" s="2" t="str">
        <x:v>取得済</x:v>
      </x:c>
      <x:c r="Z78" s="9" t="str">
        <x:f>IF(AND(ISNUMBER(E78),COUNTIFS($A$2:$A$477,EDATE(A78,-12),$B$2:$B$477,B78,$E$2:$E$477,"&gt;0")=1),E78/SUMIFS($E$2:$E$477,$A$2:$A$477,EDATE(A78,-12),$B$2:$B$477,B78)-1,"")</x:f>
      </x:c>
      <x:c r="AA78" s="10" t="n">
        <x:f>IF(COUNTIFS($A$2:$A$477,"&gt;="&amp;EDATE(A78,-2),$A$2:$A$477,"&lt;="&amp;A78,$B$2:$B$477,B78,$E$2:$E$477,"&gt;=0")=3,SUMIFS($E$2:$E$477,$A$2:$A$477,"&gt;="&amp;EDATE(A78,-2),$A$2:$A$477,"&lt;="&amp;A78,$B$2:$B$477,B78)/3,"")</x:f>
        <x:v>25506.666666666668</x:v>
      </x:c>
      <x:c r="AB78" s="9" t="str">
        <x:f>IF(AND(ISNUMBER(J78),COUNTIFS($A$2:$A$477,EDATE(A78,-12),$B$2:$B$477,B78,$J$2:$J$477,"&gt;0")=1),J78/SUMIFS($J$2:$J$477,$A$2:$A$477,EDATE(A78,-12),$B$2:$B$477,B78)-1,"")</x:f>
      </x:c>
    </x:row>
    <x:row r="79" ht="21" customHeight="1">
      <x:c r="A79" s="7" t="n">
        <x:v>44531</x:v>
      </x:c>
      <x:c r="B79" s="2" t="str">
        <x:v>仙台塩釜</x:v>
      </x:c>
      <x:c r="C79" s="2" t="str">
        <x:v>宮城県</x:v>
      </x:c>
      <x:c r="D79" s="8" t="n">
        <x:v>3570950</x:v>
      </x:c>
      <x:c r="E79" s="8" t="n">
        <x:v>125029</x:v>
      </x:c>
      <x:c r="F79" s="8" t="n">
        <x:v>1080558</x:v>
      </x:c>
      <x:c r="G79" s="8" t="n">
        <x:v>1141219</x:v>
      </x:c>
      <x:c r="H79" s="8" t="n">
        <x:v>1224144</x:v>
      </x:c>
      <x:c r="I79" s="8" t="n">
        <x:v>24608</x:v>
      </x:c>
      <x:c r="J79" s="8" t="n">
        <x:v>7523</x:v>
      </x:c>
      <x:c r="K79" s="8" t="n">
        <x:v>7237</x:v>
      </x:c>
      <x:c r="L79" s="8" t="n">
        <x:v>4544</x:v>
      </x:c>
      <x:c r="M79" s="8" t="n">
        <x:v>5304</x:v>
      </x:c>
      <x:c r="N79" s="8" t="n">
        <x:v>0</x:v>
      </x:c>
      <x:c r="O79" s="8" t="n">
        <x:v>0</x:v>
      </x:c>
      <x:c r="P79" s="8" t="n">
        <x:v>640</x:v>
      </x:c>
      <x:c r="Q79" s="8" t="n">
        <x:v>641</x:v>
      </x:c>
      <x:c r="R79" s="8" t="n">
        <x:v>1281</x:v>
      </x:c>
      <x:c r="S79" s="8" t="n">
        <x:v>1773</x:v>
      </x:c>
      <x:c r="T79" s="8" t="n">
        <x:v>93</x:v>
      </x:c>
      <x:c r="U79" s="2" t="str">
        <x:v>2025年12月25日現在</x:v>
      </x:c>
      <x:c r="V79" s="2" t="str">
        <x:v>2025-12-25</x:v>
      </x:c>
      <x:c r="W79" s="2" t="str">
        <x:v>https://www.e-stat.go.jp/stat-search/file-download?statInfId=000032059434&amp;fileKind=0</x:v>
      </x:c>
      <x:c r="X79" s="2" t="str">
        <x:v>海上出入貨物!139行、コンテナ個数!29行</x:v>
      </x:c>
      <x:c r="Y79" s="2" t="str">
        <x:v>取得済</x:v>
      </x:c>
      <x:c r="Z79" s="9" t="str">
        <x:f>IF(AND(ISNUMBER(E79),COUNTIFS($A$2:$A$477,EDATE(A79,-12),$B$2:$B$477,B79,$E$2:$E$477,"&gt;0")=1),E79/SUMIFS($E$2:$E$477,$A$2:$A$477,EDATE(A79,-12),$B$2:$B$477,B79)-1,"")</x:f>
      </x:c>
      <x:c r="AA79" s="10" t="n">
        <x:f>IF(COUNTIFS($A$2:$A$477,"&gt;="&amp;EDATE(A79,-2),$A$2:$A$477,"&lt;="&amp;A79,$B$2:$B$477,B79,$E$2:$E$477,"&gt;=0")=3,SUMIFS($E$2:$E$477,$A$2:$A$477,"&gt;="&amp;EDATE(A79,-2),$A$2:$A$477,"&lt;="&amp;A79,$B$2:$B$477,B79)/3,"")</x:f>
        <x:v>125374</x:v>
      </x:c>
      <x:c r="AB79" s="9" t="str">
        <x:f>IF(AND(ISNUMBER(J79),COUNTIFS($A$2:$A$477,EDATE(A79,-12),$B$2:$B$477,B79,$J$2:$J$477,"&gt;0")=1),J79/SUMIFS($J$2:$J$477,$A$2:$A$477,EDATE(A79,-12),$B$2:$B$477,B79)-1,"")</x:f>
      </x:c>
    </x:row>
    <x:row r="80" ht="21" customHeight="1">
      <x:c r="A80" s="7" t="n">
        <x:v>44531</x:v>
      </x:c>
      <x:c r="B80" s="2" t="str">
        <x:v>東京</x:v>
      </x:c>
      <x:c r="C80" s="2" t="str">
        <x:v>東京都</x:v>
      </x:c>
      <x:c r="D80" s="8" t="n">
        <x:v>7434680</x:v>
      </x:c>
      <x:c r="E80" s="8" t="n">
        <x:v>1068069</x:v>
      </x:c>
      <x:c r="F80" s="8" t="n">
        <x:v>3083507</x:v>
      </x:c>
      <x:c r="G80" s="8" t="n">
        <x:v>1286046</x:v>
      </x:c>
      <x:c r="H80" s="8" t="n">
        <x:v>1997058</x:v>
      </x:c>
      <x:c r="I80" s="8" t="n">
        <x:v>429954</x:v>
      </x:c>
      <x:c r="J80" s="8" t="n">
        <x:v>174129</x:v>
      </x:c>
      <x:c r="K80" s="8" t="n">
        <x:v>207551</x:v>
      </x:c>
      <x:c r="L80" s="8" t="n">
        <x:v>34111</x:v>
      </x:c>
      <x:c r="M80" s="8" t="n">
        <x:v>14163</x:v>
      </x:c>
      <x:c r="N80" s="8" t="n">
        <x:v>0</x:v>
      </x:c>
      <x:c r="O80" s="8" t="n">
        <x:v>0</x:v>
      </x:c>
      <x:c r="P80" s="8" t="n">
        <x:v>348</x:v>
      </x:c>
      <x:c r="Q80" s="8" t="n">
        <x:v>190</x:v>
      </x:c>
      <x:c r="R80" s="8" t="n">
        <x:v>538</x:v>
      </x:c>
      <x:c r="S80" s="8" t="n">
        <x:v>1683</x:v>
      </x:c>
      <x:c r="T80" s="8" t="n">
        <x:v>376</x:v>
      </x:c>
      <x:c r="U80" s="2" t="str">
        <x:v>2025年12月25日現在</x:v>
      </x:c>
      <x:c r="V80" s="2" t="str">
        <x:v>2025-12-25</x:v>
      </x:c>
      <x:c r="W80" s="2" t="str">
        <x:v>https://www.e-stat.go.jp/stat-search/file-download?statInfId=000032059434&amp;fileKind=0</x:v>
      </x:c>
      <x:c r="X80" s="2" t="str">
        <x:v>海上出入貨物!205行、コンテナ個数!40行</x:v>
      </x:c>
      <x:c r="Y80" s="2" t="str">
        <x:v>取得済</x:v>
      </x:c>
      <x:c r="Z80" s="9" t="str">
        <x:f>IF(AND(ISNUMBER(E80),COUNTIFS($A$2:$A$477,EDATE(A80,-12),$B$2:$B$477,B80,$E$2:$E$477,"&gt;0")=1),E80/SUMIFS($E$2:$E$477,$A$2:$A$477,EDATE(A80,-12),$B$2:$B$477,B80)-1,"")</x:f>
      </x:c>
      <x:c r="AA80" s="10" t="n">
        <x:f>IF(COUNTIFS($A$2:$A$477,"&gt;="&amp;EDATE(A80,-2),$A$2:$A$477,"&lt;="&amp;A80,$B$2:$B$477,B80,$E$2:$E$477,"&gt;=0")=3,SUMIFS($E$2:$E$477,$A$2:$A$477,"&gt;="&amp;EDATE(A80,-2),$A$2:$A$477,"&lt;="&amp;A80,$B$2:$B$477,B80)/3,"")</x:f>
        <x:v>1033274</x:v>
      </x:c>
      <x:c r="AB80" s="9" t="str">
        <x:f>IF(AND(ISNUMBER(J80),COUNTIFS($A$2:$A$477,EDATE(A80,-12),$B$2:$B$477,B80,$J$2:$J$477,"&gt;0")=1),J80/SUMIFS($J$2:$J$477,$A$2:$A$477,EDATE(A80,-12),$B$2:$B$477,B80)-1,"")</x:f>
      </x:c>
    </x:row>
    <x:row r="81" ht="21" customHeight="1">
      <x:c r="A81" s="7" t="n">
        <x:v>44531</x:v>
      </x:c>
      <x:c r="B81" s="2" t="str">
        <x:v>横浜</x:v>
      </x:c>
      <x:c r="C81" s="2" t="str">
        <x:v>神奈川県</x:v>
      </x:c>
      <x:c r="D81" s="8" t="n">
        <x:v>9644295</x:v>
      </x:c>
      <x:c r="E81" s="8" t="n">
        <x:v>2712269</x:v>
      </x:c>
      <x:c r="F81" s="8" t="n">
        <x:v>4010779</x:v>
      </x:c>
      <x:c r="G81" s="8" t="n">
        <x:v>1000709</x:v>
      </x:c>
      <x:c r="H81" s="8" t="n">
        <x:v>1920538</x:v>
      </x:c>
      <x:c r="I81" s="8" t="n">
        <x:v>256413</x:v>
      </x:c>
      <x:c r="J81" s="8" t="n">
        <x:v>123397</x:v>
      </x:c>
      <x:c r="K81" s="8" t="n">
        <x:v>104839</x:v>
      </x:c>
      <x:c r="L81" s="8" t="n">
        <x:v>12588</x:v>
      </x:c>
      <x:c r="M81" s="8" t="n">
        <x:v>15589</x:v>
      </x:c>
      <x:c r="N81" s="8" t="n">
        <x:v>0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2326</x:v>
      </x:c>
      <x:c r="T81" s="8" t="n">
        <x:v>716</x:v>
      </x:c>
      <x:c r="U81" s="2" t="str">
        <x:v>2025年12月25日現在</x:v>
      </x:c>
      <x:c r="V81" s="2" t="str">
        <x:v>2025-12-25</x:v>
      </x:c>
      <x:c r="W81" s="2" t="str">
        <x:v>https://www.e-stat.go.jp/stat-search/file-download?statInfId=000032059434&amp;fileKind=0</x:v>
      </x:c>
      <x:c r="X81" s="2" t="str">
        <x:v>海上出入貨物!217行、コンテナ個数!42行</x:v>
      </x:c>
      <x:c r="Y81" s="2" t="str">
        <x:v>取得済</x:v>
      </x:c>
      <x:c r="Z81" s="9" t="str">
        <x:f>IF(AND(ISNUMBER(E81),COUNTIFS($A$2:$A$477,EDATE(A81,-12),$B$2:$B$477,B81,$E$2:$E$477,"&gt;0")=1),E81/SUMIFS($E$2:$E$477,$A$2:$A$477,EDATE(A81,-12),$B$2:$B$477,B81)-1,"")</x:f>
      </x:c>
      <x:c r="AA81" s="10" t="n">
        <x:f>IF(COUNTIFS($A$2:$A$477,"&gt;="&amp;EDATE(A81,-2),$A$2:$A$477,"&lt;="&amp;A81,$B$2:$B$477,B81,$E$2:$E$477,"&gt;=0")=3,SUMIFS($E$2:$E$477,$A$2:$A$477,"&gt;="&amp;EDATE(A81,-2),$A$2:$A$477,"&lt;="&amp;A81,$B$2:$B$477,B81)/3,"")</x:f>
        <x:v>2531710.6666666665</x:v>
      </x:c>
      <x:c r="AB81" s="9" t="str">
        <x:f>IF(AND(ISNUMBER(J81),COUNTIFS($A$2:$A$477,EDATE(A81,-12),$B$2:$B$477,B81,$J$2:$J$477,"&gt;0")=1),J81/SUMIFS($J$2:$J$477,$A$2:$A$477,EDATE(A81,-12),$B$2:$B$477,B81)-1,"")</x:f>
      </x:c>
    </x:row>
    <x:row r="82" ht="21" customHeight="1">
      <x:c r="A82" s="7" t="n">
        <x:v>44531</x:v>
      </x:c>
      <x:c r="B82" s="2" t="str">
        <x:v>清水</x:v>
      </x:c>
      <x:c r="C82" s="2" t="str">
        <x:v>静岡県</x:v>
      </x:c>
      <x:c r="D82" s="8" t="n">
        <x:v>1629654</x:v>
      </x:c>
      <x:c r="E82" s="8" t="n">
        <x:v>315898</x:v>
      </x:c>
      <x:c r="F82" s="8" t="n">
        <x:v>708129</x:v>
      </x:c>
      <x:c r="G82" s="8" t="n">
        <x:v>179068</x:v>
      </x:c>
      <x:c r="H82" s="8" t="n">
        <x:v>426559</x:v>
      </x:c>
      <x:c r="I82" s="8" t="n">
        <x:v>47083</x:v>
      </x:c>
      <x:c r="J82" s="8" t="n">
        <x:v>18762</x:v>
      </x:c>
      <x:c r="K82" s="8" t="n">
        <x:v>18160</x:v>
      </x:c>
      <x:c r="L82" s="8" t="n">
        <x:v>4591</x:v>
      </x:c>
      <x:c r="M82" s="8" t="n">
        <x:v>5570</x:v>
      </x:c>
      <x:c r="N82" s="8" t="n">
        <x:v>0</x:v>
      </x:c>
      <x:c r="O82" s="8" t="n">
        <x:v>0</x:v>
      </x:c>
      <x:c r="P82" s="8" t="n">
        <x:v>1</x:v>
      </x:c>
      <x:c r="Q82" s="8" t="n">
        <x:v>2</x:v>
      </x:c>
      <x:c r="R82" s="8" t="n">
        <x:v>3</x:v>
      </x:c>
      <x:c r="S82" s="8" t="n">
        <x:v>509</x:v>
      </x:c>
      <x:c r="T82" s="8" t="n">
        <x:v>142</x:v>
      </x:c>
      <x:c r="U82" s="2" t="str">
        <x:v>2025年12月25日現在</x:v>
      </x:c>
      <x:c r="V82" s="2" t="str">
        <x:v>2025-12-25</x:v>
      </x:c>
      <x:c r="W82" s="2" t="str">
        <x:v>https://www.e-stat.go.jp/stat-search/file-download?statInfId=000032059434&amp;fileKind=0</x:v>
      </x:c>
      <x:c r="X82" s="2" t="str">
        <x:v>海上出入貨物!313行、コンテナ個数!58行</x:v>
      </x:c>
      <x:c r="Y82" s="2" t="str">
        <x:v>取得済</x:v>
      </x:c>
      <x:c r="Z82" s="9" t="str">
        <x:f>IF(AND(ISNUMBER(E82),COUNTIFS($A$2:$A$477,EDATE(A82,-12),$B$2:$B$477,B82,$E$2:$E$477,"&gt;0")=1),E82/SUMIFS($E$2:$E$477,$A$2:$A$477,EDATE(A82,-12),$B$2:$B$477,B82)-1,"")</x:f>
      </x:c>
      <x:c r="AA82" s="10" t="n">
        <x:f>IF(COUNTIFS($A$2:$A$477,"&gt;="&amp;EDATE(A82,-2),$A$2:$A$477,"&lt;="&amp;A82,$B$2:$B$477,B82,$E$2:$E$477,"&gt;=0")=3,SUMIFS($E$2:$E$477,$A$2:$A$477,"&gt;="&amp;EDATE(A82,-2),$A$2:$A$477,"&lt;="&amp;A82,$B$2:$B$477,B82)/3,"")</x:f>
        <x:v>324910</x:v>
      </x:c>
      <x:c r="AB82" s="9" t="str">
        <x:f>IF(AND(ISNUMBER(J82),COUNTIFS($A$2:$A$477,EDATE(A82,-12),$B$2:$B$477,B82,$J$2:$J$477,"&gt;0")=1),J82/SUMIFS($J$2:$J$477,$A$2:$A$477,EDATE(A82,-12),$B$2:$B$477,B82)-1,"")</x:f>
      </x:c>
    </x:row>
    <x:row r="83" ht="21" customHeight="1">
      <x:c r="A83" s="7" t="n">
        <x:v>44531</x:v>
      </x:c>
      <x:c r="B83" s="2" t="str">
        <x:v>博多</x:v>
      </x:c>
      <x:c r="C83" s="2" t="str">
        <x:v>福岡県</x:v>
      </x:c>
      <x:c r="D83" s="8" t="n">
        <x:v>3028502</x:v>
      </x:c>
      <x:c r="E83" s="8" t="n">
        <x:v>759883</x:v>
      </x:c>
      <x:c r="F83" s="8" t="n">
        <x:v>876233</x:v>
      </x:c>
      <x:c r="G83" s="8" t="n">
        <x:v>429265</x:v>
      </x:c>
      <x:c r="H83" s="8" t="n">
        <x:v>963121</x:v>
      </x:c>
      <x:c r="I83" s="8" t="n">
        <x:v>79925</x:v>
      </x:c>
      <x:c r="J83" s="8" t="n">
        <x:v>33639</x:v>
      </x:c>
      <x:c r="K83" s="8" t="n">
        <x:v>34504</x:v>
      </x:c>
      <x:c r="L83" s="8" t="n">
        <x:v>5825</x:v>
      </x:c>
      <x:c r="M83" s="8" t="n">
        <x:v>5957</x:v>
      </x:c>
      <x:c r="N83" s="8" t="n">
        <x:v>0</x:v>
      </x:c>
      <x:c r="O83" s="8" t="n">
        <x:v>0</x:v>
      </x:c>
      <x:c r="P83" s="8" t="n">
        <x:v>1549</x:v>
      </x:c>
      <x:c r="Q83" s="8" t="n">
        <x:v>1530</x:v>
      </x:c>
      <x:c r="R83" s="8" t="n">
        <x:v>3079</x:v>
      </x:c>
      <x:c r="S83" s="8" t="n">
        <x:v>1602</x:v>
      </x:c>
      <x:c r="T83" s="8" t="n">
        <x:v>211</x:v>
      </x:c>
      <x:c r="U83" s="2" t="str">
        <x:v>2025年12月25日現在</x:v>
      </x:c>
      <x:c r="V83" s="2" t="str">
        <x:v>2025-12-25</x:v>
      </x:c>
      <x:c r="W83" s="2" t="str">
        <x:v>https://www.e-stat.go.jp/stat-search/file-download?statInfId=000032059434&amp;fileKind=0</x:v>
      </x:c>
      <x:c r="X83" s="2" t="str">
        <x:v>海上出入貨物!745行、コンテナ個数!130行</x:v>
      </x:c>
      <x:c r="Y83" s="2" t="str">
        <x:v>取得済</x:v>
      </x:c>
      <x:c r="Z83" s="9" t="str">
        <x:f>IF(AND(ISNUMBER(E83),COUNTIFS($A$2:$A$477,EDATE(A83,-12),$B$2:$B$477,B83,$E$2:$E$477,"&gt;0")=1),E83/SUMIFS($E$2:$E$477,$A$2:$A$477,EDATE(A83,-12),$B$2:$B$477,B83)-1,"")</x:f>
      </x:c>
      <x:c r="AA83" s="10" t="n">
        <x:f>IF(COUNTIFS($A$2:$A$477,"&gt;="&amp;EDATE(A83,-2),$A$2:$A$477,"&lt;="&amp;A83,$B$2:$B$477,B83,$E$2:$E$477,"&gt;=0")=3,SUMIFS($E$2:$E$477,$A$2:$A$477,"&gt;="&amp;EDATE(A83,-2),$A$2:$A$477,"&lt;="&amp;A83,$B$2:$B$477,B83)/3,"")</x:f>
        <x:v>664375.3333333334</x:v>
      </x:c>
      <x:c r="AB83" s="9" t="str">
        <x:f>IF(AND(ISNUMBER(J83),COUNTIFS($A$2:$A$477,EDATE(A83,-12),$B$2:$B$477,B83,$J$2:$J$477,"&gt;0")=1),J83/SUMIFS($J$2:$J$477,$A$2:$A$477,EDATE(A83,-12),$B$2:$B$477,B83)-1,"")</x:f>
      </x:c>
    </x:row>
    <x:row r="84" ht="21" customHeight="1">
      <x:c r="A84" s="7" t="n">
        <x:v>44531</x:v>
      </x:c>
      <x:c r="B84" s="2" t="str">
        <x:v>熊本</x:v>
      </x:c>
      <x:c r="C84" s="2" t="str">
        <x:v>熊本県</x:v>
      </x:c>
      <x:c r="D84" s="8" t="n">
        <x:v>253366</x:v>
      </x:c>
      <x:c r="E84" s="8" t="n">
        <x:v>3802</x:v>
      </x:c>
      <x:c r="F84" s="8" t="n">
        <x:v>5954</x:v>
      </x:c>
      <x:c r="G84" s="8" t="n">
        <x:v>105840</x:v>
      </x:c>
      <x:c r="H84" s="8" t="n">
        <x:v>137770</x:v>
      </x:c>
      <x:c r="I84" s="8" t="n">
        <x:v>597</x:v>
      </x:c>
      <x:c r="J84" s="8" t="n">
        <x:v>268</x:v>
      </x:c>
      <x:c r="K84" s="8" t="n">
        <x:v>305</x:v>
      </x:c>
      <x:c r="L84" s="8" t="n">
        <x:v>24</x:v>
      </x:c>
      <x:c r="M84" s="8" t="n">
        <x:v>0</x:v>
      </x:c>
      <x:c r="N84" s="8" t="n">
        <x:v>0</x:v>
      </x:c>
      <x:c r="O84" s="8" t="n">
        <x:v>0</x:v>
      </x:c>
      <x:c r="P84" s="8" t="n">
        <x:v>582</x:v>
      </x:c>
      <x:c r="Q84" s="8" t="n">
        <x:v>595</x:v>
      </x:c>
      <x:c r="R84" s="8" t="n">
        <x:v>1177</x:v>
      </x:c>
      <x:c r="S84" s="8" t="n">
        <x:v>33</x:v>
      </x:c>
      <x:c r="T84" s="8" t="n">
        <x:v>8</x:v>
      </x:c>
      <x:c r="U84" s="2" t="str">
        <x:v>2025年12月25日現在</x:v>
      </x:c>
      <x:c r="V84" s="2" t="str">
        <x:v>2025-12-25</x:v>
      </x:c>
      <x:c r="W84" s="2" t="str">
        <x:v>https://www.e-stat.go.jp/stat-search/file-download?statInfId=000032059434&amp;fileKind=0</x:v>
      </x:c>
      <x:c r="X84" s="2" t="str">
        <x:v>海上出入貨物!859行、コンテナ個数!149行</x:v>
      </x:c>
      <x:c r="Y84" s="2" t="str">
        <x:v>取得済</x:v>
      </x:c>
      <x:c r="Z84" s="9" t="str">
        <x:f>IF(AND(ISNUMBER(E84),COUNTIFS($A$2:$A$477,EDATE(A84,-12),$B$2:$B$477,B84,$E$2:$E$477,"&gt;0")=1),E84/SUMIFS($E$2:$E$477,$A$2:$A$477,EDATE(A84,-12),$B$2:$B$477,B84)-1,"")</x:f>
      </x:c>
      <x:c r="AA84" s="10" t="n">
        <x:f>IF(COUNTIFS($A$2:$A$477,"&gt;="&amp;EDATE(A84,-2),$A$2:$A$477,"&lt;="&amp;A84,$B$2:$B$477,B84,$E$2:$E$477,"&gt;=0")=3,SUMIFS($E$2:$E$477,$A$2:$A$477,"&gt;="&amp;EDATE(A84,-2),$A$2:$A$477,"&lt;="&amp;A84,$B$2:$B$477,B84)/3,"")</x:f>
        <x:v>5096.666666666667</x:v>
      </x:c>
      <x:c r="AB84" s="9" t="str">
        <x:f>IF(AND(ISNUMBER(J84),COUNTIFS($A$2:$A$477,EDATE(A84,-12),$B$2:$B$477,B84,$J$2:$J$477,"&gt;0")=1),J84/SUMIFS($J$2:$J$477,$A$2:$A$477,EDATE(A84,-12),$B$2:$B$477,B84)-1,"")</x:f>
      </x:c>
    </x:row>
    <x:row r="85" ht="21" customHeight="1">
      <x:c r="A85" s="7" t="n">
        <x:v>44531</x:v>
      </x:c>
      <x:c r="B85" s="2" t="str">
        <x:v>八代</x:v>
      </x:c>
      <x:c r="C85" s="2" t="str">
        <x:v>熊本県</x:v>
      </x:c>
      <x:c r="D85" s="8" t="n">
        <x:v>457889</x:v>
      </x:c>
      <x:c r="E85" s="8" t="n">
        <x:v>26645</x:v>
      </x:c>
      <x:c r="F85" s="8" t="n">
        <x:v>170355</x:v>
      </x:c>
      <x:c r="G85" s="8" t="n">
        <x:v>27000</x:v>
      </x:c>
      <x:c r="H85" s="8" t="n">
        <x:v>233889</x:v>
      </x:c>
      <x:c r="I85" s="8" t="n">
        <x:v>2625</x:v>
      </x:c>
      <x:c r="J85" s="8" t="n">
        <x:v>1110</x:v>
      </x:c>
      <x:c r="K85" s="8" t="n">
        <x:v>966</x:v>
      </x:c>
      <x:c r="L85" s="8" t="n">
        <x:v>168</x:v>
      </x:c>
      <x:c r="M85" s="8" t="n">
        <x:v>381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203</x:v>
      </x:c>
      <x:c r="T85" s="8" t="n">
        <x:v>33</x:v>
      </x:c>
      <x:c r="U85" s="2" t="str">
        <x:v>2025年12月25日現在</x:v>
      </x:c>
      <x:c r="V85" s="2" t="str">
        <x:v>2025-12-25</x:v>
      </x:c>
      <x:c r="W85" s="2" t="str">
        <x:v>https://www.e-stat.go.jp/stat-search/file-download?statInfId=000032059434&amp;fileKind=0</x:v>
      </x:c>
      <x:c r="X85" s="2" t="str">
        <x:v>海上出入貨物!847行、コンテナ個数!147行</x:v>
      </x:c>
      <x:c r="Y85" s="2" t="str">
        <x:v>取得済</x:v>
      </x:c>
      <x:c r="Z85" s="9" t="str">
        <x:f>IF(AND(ISNUMBER(E85),COUNTIFS($A$2:$A$477,EDATE(A85,-12),$B$2:$B$477,B85,$E$2:$E$477,"&gt;0")=1),E85/SUMIFS($E$2:$E$477,$A$2:$A$477,EDATE(A85,-12),$B$2:$B$477,B85)-1,"")</x:f>
      </x:c>
      <x:c r="AA85" s="10" t="n">
        <x:f>IF(COUNTIFS($A$2:$A$477,"&gt;="&amp;EDATE(A85,-2),$A$2:$A$477,"&lt;="&amp;A85,$B$2:$B$477,B85,$E$2:$E$477,"&gt;=0")=3,SUMIFS($E$2:$E$477,$A$2:$A$477,"&gt;="&amp;EDATE(A85,-2),$A$2:$A$477,"&lt;="&amp;A85,$B$2:$B$477,B85)/3,"")</x:f>
        <x:v>26733.333333333332</x:v>
      </x:c>
      <x:c r="AB85" s="9" t="str">
        <x:f>IF(AND(ISNUMBER(J85),COUNTIFS($A$2:$A$477,EDATE(A85,-12),$B$2:$B$477,B85,$J$2:$J$477,"&gt;0")=1),J85/SUMIFS($J$2:$J$477,$A$2:$A$477,EDATE(A85,-12),$B$2:$B$477,B85)-1,"")</x:f>
      </x:c>
    </x:row>
    <x:row r="86" ht="21" customHeight="1">
      <x:c r="A86" s="7" t="n">
        <x:v>44562</x:v>
      </x:c>
      <x:c r="B86" s="2" t="str">
        <x:v>仙台塩釜</x:v>
      </x:c>
      <x:c r="C86" s="2" t="str">
        <x:v>宮城県</x:v>
      </x:c>
      <x:c r="D86" s="8" t="n">
        <x:v>3323336</x:v>
      </x:c>
      <x:c r="E86" s="8" t="n">
        <x:v>144309</x:v>
      </x:c>
      <x:c r="F86" s="8" t="n">
        <x:v>1270939</x:v>
      </x:c>
      <x:c r="G86" s="8" t="n">
        <x:v>825749</x:v>
      </x:c>
      <x:c r="H86" s="8" t="n">
        <x:v>1082339</x:v>
      </x:c>
      <x:c r="I86" s="8" t="n">
        <x:v>17858</x:v>
      </x:c>
      <x:c r="J86" s="8" t="n">
        <x:v>5266</x:v>
      </x:c>
      <x:c r="K86" s="8" t="n">
        <x:v>5499</x:v>
      </x:c>
      <x:c r="L86" s="8" t="n">
        <x:v>3772</x:v>
      </x:c>
      <x:c r="M86" s="8" t="n">
        <x:v>3321</x:v>
      </x:c>
      <x:c r="N86" s="8" t="n">
        <x:v>0</x:v>
      </x:c>
      <x:c r="O86" s="8" t="n">
        <x:v>0</x:v>
      </x:c>
      <x:c r="P86" s="8" t="n">
        <x:v>456</x:v>
      </x:c>
      <x:c r="Q86" s="8" t="n">
        <x:v>477</x:v>
      </x:c>
      <x:c r="R86" s="8" t="n">
        <x:v>933</x:v>
      </x:c>
      <x:c r="S86" s="8" t="n">
        <x:v>1535</x:v>
      </x:c>
      <x:c r="T86" s="8" t="n">
        <x:v>84</x:v>
      </x:c>
      <x:c r="U86" s="2" t="str">
        <x:v>2025年12月25日現在</x:v>
      </x:c>
      <x:c r="V86" s="2" t="str">
        <x:v>2025-12-25</x:v>
      </x:c>
      <x:c r="W86" s="2" t="str">
        <x:v>https://www.e-stat.go.jp/stat-search/file-download?statInfId=000032170294&amp;fileKind=0</x:v>
      </x:c>
      <x:c r="X86" s="2" t="str">
        <x:v>海上出入貨物!139行、コンテナ個数!29行</x:v>
      </x:c>
      <x:c r="Y86" s="2" t="str">
        <x:v>取得済</x:v>
      </x:c>
      <x:c r="Z86" s="9" t="n">
        <x:f>IF(AND(ISNUMBER(E86),COUNTIFS($A$2:$A$477,EDATE(A86,-12),$B$2:$B$477,B86,$E$2:$E$477,"&gt;0")=1),E86/SUMIFS($E$2:$E$477,$A$2:$A$477,EDATE(A86,-12),$B$2:$B$477,B86)-1,"")</x:f>
        <x:v>0.9346704025954873</x:v>
      </x:c>
      <x:c r="AA86" s="10" t="n">
        <x:f>IF(COUNTIFS($A$2:$A$477,"&gt;="&amp;EDATE(A86,-2),$A$2:$A$477,"&lt;="&amp;A86,$B$2:$B$477,B86,$E$2:$E$477,"&gt;=0")=3,SUMIFS($E$2:$E$477,$A$2:$A$477,"&gt;="&amp;EDATE(A86,-2),$A$2:$A$477,"&lt;="&amp;A86,$B$2:$B$477,B86)/3,"")</x:f>
        <x:v>134015.66666666666</x:v>
      </x:c>
      <x:c r="AB86" s="9" t="n">
        <x:f>IF(AND(ISNUMBER(J86),COUNTIFS($A$2:$A$477,EDATE(A86,-12),$B$2:$B$477,B86,$J$2:$J$477,"&gt;0")=1),J86/SUMIFS($J$2:$J$477,$A$2:$A$477,EDATE(A86,-12),$B$2:$B$477,B86)-1,"")</x:f>
        <x:v>-0.07985322383365367</x:v>
      </x:c>
    </x:row>
    <x:row r="87" ht="21" customHeight="1">
      <x:c r="A87" s="7" t="n">
        <x:v>44562</x:v>
      </x:c>
      <x:c r="B87" s="2" t="str">
        <x:v>東京</x:v>
      </x:c>
      <x:c r="C87" s="2" t="str">
        <x:v>東京都</x:v>
      </x:c>
      <x:c r="D87" s="8" t="n">
        <x:v>6382378</x:v>
      </x:c>
      <x:c r="E87" s="8" t="n">
        <x:v>745665</x:v>
      </x:c>
      <x:c r="F87" s="8" t="n">
        <x:v>2901881</x:v>
      </x:c>
      <x:c r="G87" s="8" t="n">
        <x:v>1077045</x:v>
      </x:c>
      <x:c r="H87" s="8" t="n">
        <x:v>1657787</x:v>
      </x:c>
      <x:c r="I87" s="8" t="n">
        <x:v>387079</x:v>
      </x:c>
      <x:c r="J87" s="8" t="n">
        <x:v>160424</x:v>
      </x:c>
      <x:c r="K87" s="8" t="n">
        <x:v>193122</x:v>
      </x:c>
      <x:c r="L87" s="8" t="n">
        <x:v>22655</x:v>
      </x:c>
      <x:c r="M87" s="8" t="n">
        <x:v>10878</x:v>
      </x:c>
      <x:c r="N87" s="8" t="n">
        <x:v>0</x:v>
      </x:c>
      <x:c r="O87" s="8" t="n">
        <x:v>0</x:v>
      </x:c>
      <x:c r="P87" s="8" t="n">
        <x:v>267</x:v>
      </x:c>
      <x:c r="Q87" s="8" t="n">
        <x:v>169</x:v>
      </x:c>
      <x:c r="R87" s="8" t="n">
        <x:v>436</x:v>
      </x:c>
      <x:c r="S87" s="8" t="n">
        <x:v>1504</x:v>
      </x:c>
      <x:c r="T87" s="8" t="n">
        <x:v>350</x:v>
      </x:c>
      <x:c r="U87" s="2" t="str">
        <x:v>2025年12月25日現在</x:v>
      </x:c>
      <x:c r="V87" s="2" t="str">
        <x:v>2025-12-25</x:v>
      </x:c>
      <x:c r="W87" s="2" t="str">
        <x:v>https://www.e-stat.go.jp/stat-search/file-download?statInfId=000032170294&amp;fileKind=0</x:v>
      </x:c>
      <x:c r="X87" s="2" t="str">
        <x:v>海上出入貨物!205行、コンテナ個数!40行</x:v>
      </x:c>
      <x:c r="Y87" s="2" t="str">
        <x:v>取得済</x:v>
      </x:c>
      <x:c r="Z87" s="9" t="n">
        <x:f>IF(AND(ISNUMBER(E87),COUNTIFS($A$2:$A$477,EDATE(A87,-12),$B$2:$B$477,B87,$E$2:$E$477,"&gt;0")=1),E87/SUMIFS($E$2:$E$477,$A$2:$A$477,EDATE(A87,-12),$B$2:$B$477,B87)-1,"")</x:f>
        <x:v>-0.13743601607912315</x:v>
      </x:c>
      <x:c r="AA87" s="10" t="n">
        <x:f>IF(COUNTIFS($A$2:$A$477,"&gt;="&amp;EDATE(A87,-2),$A$2:$A$477,"&lt;="&amp;A87,$B$2:$B$477,B87,$E$2:$E$477,"&gt;=0")=3,SUMIFS($E$2:$E$477,$A$2:$A$477,"&gt;="&amp;EDATE(A87,-2),$A$2:$A$477,"&lt;="&amp;A87,$B$2:$B$477,B87)/3,"")</x:f>
        <x:v>931981.6666666666</x:v>
      </x:c>
      <x:c r="AB87" s="9" t="n">
        <x:f>IF(AND(ISNUMBER(J87),COUNTIFS($A$2:$A$477,EDATE(A87,-12),$B$2:$B$477,B87,$J$2:$J$477,"&gt;0")=1),J87/SUMIFS($J$2:$J$477,$A$2:$A$477,EDATE(A87,-12),$B$2:$B$477,B87)-1,"")</x:f>
        <x:v>0.09154991869033613</x:v>
      </x:c>
    </x:row>
    <x:row r="88" ht="21" customHeight="1">
      <x:c r="A88" s="7" t="n">
        <x:v>44562</x:v>
      </x:c>
      <x:c r="B88" s="2" t="str">
        <x:v>横浜</x:v>
      </x:c>
      <x:c r="C88" s="2" t="str">
        <x:v>神奈川県</x:v>
      </x:c>
      <x:c r="D88" s="8" t="n">
        <x:v>8110844</x:v>
      </x:c>
      <x:c r="E88" s="8" t="n">
        <x:v>1978198</x:v>
      </x:c>
      <x:c r="F88" s="8" t="n">
        <x:v>3793113</x:v>
      </x:c>
      <x:c r="G88" s="8" t="n">
        <x:v>993829</x:v>
      </x:c>
      <x:c r="H88" s="8" t="n">
        <x:v>1345704</x:v>
      </x:c>
      <x:c r="I88" s="8" t="n">
        <x:v>221189</x:v>
      </x:c>
      <x:c r="J88" s="8" t="n">
        <x:v>99856</x:v>
      </x:c>
      <x:c r="K88" s="8" t="n">
        <x:v>100250</x:v>
      </x:c>
      <x:c r="L88" s="8" t="n">
        <x:v>11387</x:v>
      </x:c>
      <x:c r="M88" s="8" t="n">
        <x:v>9696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2092</x:v>
      </x:c>
      <x:c r="T88" s="8" t="n">
        <x:v>639</x:v>
      </x:c>
      <x:c r="U88" s="2" t="str">
        <x:v>2025年12月25日現在</x:v>
      </x:c>
      <x:c r="V88" s="2" t="str">
        <x:v>2025-12-25</x:v>
      </x:c>
      <x:c r="W88" s="2" t="str">
        <x:v>https://www.e-stat.go.jp/stat-search/file-download?statInfId=000032170294&amp;fileKind=0</x:v>
      </x:c>
      <x:c r="X88" s="2" t="str">
        <x:v>海上出入貨物!217行、コンテナ個数!42行</x:v>
      </x:c>
      <x:c r="Y88" s="2" t="str">
        <x:v>取得済</x:v>
      </x:c>
      <x:c r="Z88" s="9" t="n">
        <x:f>IF(AND(ISNUMBER(E88),COUNTIFS($A$2:$A$477,EDATE(A88,-12),$B$2:$B$477,B88,$E$2:$E$477,"&gt;0")=1),E88/SUMIFS($E$2:$E$477,$A$2:$A$477,EDATE(A88,-12),$B$2:$B$477,B88)-1,"")</x:f>
        <x:v>0.0027092743351886384</x:v>
      </x:c>
      <x:c r="AA88" s="10" t="n">
        <x:f>IF(COUNTIFS($A$2:$A$477,"&gt;="&amp;EDATE(A88,-2),$A$2:$A$477,"&lt;="&amp;A88,$B$2:$B$477,B88,$E$2:$E$477,"&gt;=0")=3,SUMIFS($E$2:$E$477,$A$2:$A$477,"&gt;="&amp;EDATE(A88,-2),$A$2:$A$477,"&lt;="&amp;A88,$B$2:$B$477,B88)/3,"")</x:f>
        <x:v>2346038.6666666665</x:v>
      </x:c>
      <x:c r="AB88" s="9" t="n">
        <x:f>IF(AND(ISNUMBER(J88),COUNTIFS($A$2:$A$477,EDATE(A88,-12),$B$2:$B$477,B88,$J$2:$J$477,"&gt;0")=1),J88/SUMIFS($J$2:$J$477,$A$2:$A$477,EDATE(A88,-12),$B$2:$B$477,B88)-1,"")</x:f>
        <x:v>-0.0077802839853337025</x:v>
      </x:c>
    </x:row>
    <x:row r="89" ht="21" customHeight="1">
      <x:c r="A89" s="7" t="n">
        <x:v>44562</x:v>
      </x:c>
      <x:c r="B89" s="2" t="str">
        <x:v>清水</x:v>
      </x:c>
      <x:c r="C89" s="2" t="str">
        <x:v>静岡県</x:v>
      </x:c>
      <x:c r="D89" s="8" t="n">
        <x:v>1350571</x:v>
      </x:c>
      <x:c r="E89" s="8" t="n">
        <x:v>265460</x:v>
      </x:c>
      <x:c r="F89" s="8" t="n">
        <x:v>544953</x:v>
      </x:c>
      <x:c r="G89" s="8" t="n">
        <x:v>128146</x:v>
      </x:c>
      <x:c r="H89" s="8" t="n">
        <x:v>412012</x:v>
      </x:c>
      <x:c r="I89" s="8" t="n">
        <x:v>42239</x:v>
      </x:c>
      <x:c r="J89" s="8" t="n">
        <x:v>17204</x:v>
      </x:c>
      <x:c r="K89" s="8" t="n">
        <x:v>17517</x:v>
      </x:c>
      <x:c r="L89" s="8" t="n">
        <x:v>2968</x:v>
      </x:c>
      <x:c r="M89" s="8" t="n">
        <x:v>4550</x:v>
      </x:c>
      <x:c r="N89" s="8" t="n">
        <x:v>0</x:v>
      </x:c>
      <x:c r="O89" s="8" t="n">
        <x:v>0</x:v>
      </x:c>
      <x:c r="P89" s="8" t="n">
        <x:v>1</x:v>
      </x:c>
      <x:c r="Q89" s="8" t="n">
        <x:v>2</x:v>
      </x:c>
      <x:c r="R89" s="8" t="n">
        <x:v>3</x:v>
      </x:c>
      <x:c r="S89" s="8" t="n">
        <x:v>443</x:v>
      </x:c>
      <x:c r="T89" s="8" t="n">
        <x:v>125</x:v>
      </x:c>
      <x:c r="U89" s="2" t="str">
        <x:v>2025年12月25日現在</x:v>
      </x:c>
      <x:c r="V89" s="2" t="str">
        <x:v>2025-12-25</x:v>
      </x:c>
      <x:c r="W89" s="2" t="str">
        <x:v>https://www.e-stat.go.jp/stat-search/file-download?statInfId=000032170294&amp;fileKind=0</x:v>
      </x:c>
      <x:c r="X89" s="2" t="str">
        <x:v>海上出入貨物!313行、コンテナ個数!58行</x:v>
      </x:c>
      <x:c r="Y89" s="2" t="str">
        <x:v>取得済</x:v>
      </x:c>
      <x:c r="Z89" s="9" t="n">
        <x:f>IF(AND(ISNUMBER(E89),COUNTIFS($A$2:$A$477,EDATE(A89,-12),$B$2:$B$477,B89,$E$2:$E$477,"&gt;0")=1),E89/SUMIFS($E$2:$E$477,$A$2:$A$477,EDATE(A89,-12),$B$2:$B$477,B89)-1,"")</x:f>
        <x:v>0.04020783780500703</x:v>
      </x:c>
      <x:c r="AA89" s="10" t="n">
        <x:f>IF(COUNTIFS($A$2:$A$477,"&gt;="&amp;EDATE(A89,-2),$A$2:$A$477,"&lt;="&amp;A89,$B$2:$B$477,B89,$E$2:$E$477,"&gt;=0")=3,SUMIFS($E$2:$E$477,$A$2:$A$477,"&gt;="&amp;EDATE(A89,-2),$A$2:$A$477,"&lt;="&amp;A89,$B$2:$B$477,B89)/3,"")</x:f>
        <x:v>297905</x:v>
      </x:c>
      <x:c r="AB89" s="9" t="n">
        <x:f>IF(AND(ISNUMBER(J89),COUNTIFS($A$2:$A$477,EDATE(A89,-12),$B$2:$B$477,B89,$J$2:$J$477,"&gt;0")=1),J89/SUMIFS($J$2:$J$477,$A$2:$A$477,EDATE(A89,-12),$B$2:$B$477,B89)-1,"")</x:f>
        <x:v>0.07740480961923857</x:v>
      </x:c>
    </x:row>
    <x:row r="90" ht="21" customHeight="1">
      <x:c r="A90" s="7" t="n">
        <x:v>44562</x:v>
      </x:c>
      <x:c r="B90" s="2" t="str">
        <x:v>博多</x:v>
      </x:c>
      <x:c r="C90" s="2" t="str">
        <x:v>福岡県</x:v>
      </x:c>
      <x:c r="D90" s="8" t="n">
        <x:v>2808846</x:v>
      </x:c>
      <x:c r="E90" s="8" t="n">
        <x:v>575093</x:v>
      </x:c>
      <x:c r="F90" s="8" t="n">
        <x:v>930019</x:v>
      </x:c>
      <x:c r="G90" s="8" t="n">
        <x:v>375595</x:v>
      </x:c>
      <x:c r="H90" s="8" t="n">
        <x:v>928139</x:v>
      </x:c>
      <x:c r="I90" s="8" t="n">
        <x:v>81436</x:v>
      </x:c>
      <x:c r="J90" s="8" t="n">
        <x:v>32429</x:v>
      </x:c>
      <x:c r="K90" s="8" t="n">
        <x:v>37415</x:v>
      </x:c>
      <x:c r="L90" s="8" t="n">
        <x:v>5668</x:v>
      </x:c>
      <x:c r="M90" s="8" t="n">
        <x:v>5924</x:v>
      </x:c>
      <x:c r="N90" s="8" t="n">
        <x:v>0</x:v>
      </x:c>
      <x:c r="O90" s="8" t="n">
        <x:v>0</x:v>
      </x:c>
      <x:c r="P90" s="8" t="n">
        <x:v>1299</x:v>
      </x:c>
      <x:c r="Q90" s="8" t="n">
        <x:v>1301</x:v>
      </x:c>
      <x:c r="R90" s="8" t="n">
        <x:v>2600</x:v>
      </x:c>
      <x:c r="S90" s="8" t="n">
        <x:v>1546</x:v>
      </x:c>
      <x:c r="T90" s="8" t="n">
        <x:v>208</x:v>
      </x:c>
      <x:c r="U90" s="2" t="str">
        <x:v>2025年12月25日現在</x:v>
      </x:c>
      <x:c r="V90" s="2" t="str">
        <x:v>2025-12-25</x:v>
      </x:c>
      <x:c r="W90" s="2" t="str">
        <x:v>https://www.e-stat.go.jp/stat-search/file-download?statInfId=000032170294&amp;fileKind=0</x:v>
      </x:c>
      <x:c r="X90" s="2" t="str">
        <x:v>海上出入貨物!745行、コンテナ個数!130行</x:v>
      </x:c>
      <x:c r="Y90" s="2" t="str">
        <x:v>取得済</x:v>
      </x:c>
      <x:c r="Z90" s="9" t="n">
        <x:f>IF(AND(ISNUMBER(E90),COUNTIFS($A$2:$A$477,EDATE(A90,-12),$B$2:$B$477,B90,$E$2:$E$477,"&gt;0")=1),E90/SUMIFS($E$2:$E$477,$A$2:$A$477,EDATE(A90,-12),$B$2:$B$477,B90)-1,"")</x:f>
        <x:v>-0.05947875746980191</x:v>
      </x:c>
      <x:c r="AA90" s="10" t="n">
        <x:f>IF(COUNTIFS($A$2:$A$477,"&gt;="&amp;EDATE(A90,-2),$A$2:$A$477,"&lt;="&amp;A90,$B$2:$B$477,B90,$E$2:$E$477,"&gt;=0")=3,SUMIFS($E$2:$E$477,$A$2:$A$477,"&gt;="&amp;EDATE(A90,-2),$A$2:$A$477,"&lt;="&amp;A90,$B$2:$B$477,B90)/3,"")</x:f>
        <x:v>664336</x:v>
      </x:c>
      <x:c r="AB90" s="9" t="n">
        <x:f>IF(AND(ISNUMBER(J90),COUNTIFS($A$2:$A$477,EDATE(A90,-12),$B$2:$B$477,B90,$J$2:$J$477,"&gt;0")=1),J90/SUMIFS($J$2:$J$477,$A$2:$A$477,EDATE(A90,-12),$B$2:$B$477,B90)-1,"")</x:f>
        <x:v>0.10130408204849561</x:v>
      </x:c>
    </x:row>
    <x:row r="91" ht="21" customHeight="1">
      <x:c r="A91" s="7" t="n">
        <x:v>44562</x:v>
      </x:c>
      <x:c r="B91" s="2" t="str">
        <x:v>熊本</x:v>
      </x:c>
      <x:c r="C91" s="2" t="str">
        <x:v>熊本県</x:v>
      </x:c>
      <x:c r="D91" s="8" t="n">
        <x:v>227110</x:v>
      </x:c>
      <x:c r="E91" s="8" t="n">
        <x:v>2556</x:v>
      </x:c>
      <x:c r="F91" s="8" t="n">
        <x:v>4965</x:v>
      </x:c>
      <x:c r="G91" s="8" t="n">
        <x:v>85095</x:v>
      </x:c>
      <x:c r="H91" s="8" t="n">
        <x:v>134494</x:v>
      </x:c>
      <x:c r="I91" s="8" t="n">
        <x:v>506</x:v>
      </x:c>
      <x:c r="J91" s="8" t="n">
        <x:v>184</x:v>
      </x:c>
      <x:c r="K91" s="8" t="n">
        <x:v>254</x:v>
      </x:c>
      <x:c r="L91" s="8" t="n">
        <x:v>68</x:v>
      </x:c>
      <x:c r="M91" s="8" t="n">
        <x:v>0</x:v>
      </x:c>
      <x:c r="N91" s="8" t="n">
        <x:v>0</x:v>
      </x:c>
      <x:c r="O91" s="8" t="n">
        <x:v>0</x:v>
      </x:c>
      <x:c r="P91" s="8" t="n">
        <x:v>608</x:v>
      </x:c>
      <x:c r="Q91" s="8" t="n">
        <x:v>624</x:v>
      </x:c>
      <x:c r="R91" s="8" t="n">
        <x:v>1232</x:v>
      </x:c>
      <x:c r="S91" s="8" t="n">
        <x:v>37</x:v>
      </x:c>
      <x:c r="T91" s="8" t="n">
        <x:v>8</x:v>
      </x:c>
      <x:c r="U91" s="2" t="str">
        <x:v>2025年12月25日現在</x:v>
      </x:c>
      <x:c r="V91" s="2" t="str">
        <x:v>2025-12-25</x:v>
      </x:c>
      <x:c r="W91" s="2" t="str">
        <x:v>https://www.e-stat.go.jp/stat-search/file-download?statInfId=000032170294&amp;fileKind=0</x:v>
      </x:c>
      <x:c r="X91" s="2" t="str">
        <x:v>海上出入貨物!859行、コンテナ個数!149行</x:v>
      </x:c>
      <x:c r="Y91" s="2" t="str">
        <x:v>取得済</x:v>
      </x:c>
      <x:c r="Z91" s="9" t="n">
        <x:f>IF(AND(ISNUMBER(E91),COUNTIFS($A$2:$A$477,EDATE(A91,-12),$B$2:$B$477,B91,$E$2:$E$477,"&gt;0")=1),E91/SUMIFS($E$2:$E$477,$A$2:$A$477,EDATE(A91,-12),$B$2:$B$477,B91)-1,"")</x:f>
        <x:v>-0.03364839319470703</x:v>
      </x:c>
      <x:c r="AA91" s="10" t="n">
        <x:f>IF(COUNTIFS($A$2:$A$477,"&gt;="&amp;EDATE(A91,-2),$A$2:$A$477,"&lt;="&amp;A91,$B$2:$B$477,B91,$E$2:$E$477,"&gt;=0")=3,SUMIFS($E$2:$E$477,$A$2:$A$477,"&gt;="&amp;EDATE(A91,-2),$A$2:$A$477,"&lt;="&amp;A91,$B$2:$B$477,B91)/3,"")</x:f>
        <x:v>3968.3333333333335</x:v>
      </x:c>
      <x:c r="AB91" s="9" t="n">
        <x:f>IF(AND(ISNUMBER(J91),COUNTIFS($A$2:$A$477,EDATE(A91,-12),$B$2:$B$477,B91,$J$2:$J$477,"&gt;0")=1),J91/SUMIFS($J$2:$J$477,$A$2:$A$477,EDATE(A91,-12),$B$2:$B$477,B91)-1,"")</x:f>
        <x:v>-0.19999999999999996</x:v>
      </x:c>
    </x:row>
    <x:row r="92" ht="21" customHeight="1">
      <x:c r="A92" s="7" t="n">
        <x:v>44562</x:v>
      </x:c>
      <x:c r="B92" s="2" t="str">
        <x:v>八代</x:v>
      </x:c>
      <x:c r="C92" s="2" t="str">
        <x:v>熊本県</x:v>
      </x:c>
      <x:c r="D92" s="8" t="n">
        <x:v>332231</x:v>
      </x:c>
      <x:c r="E92" s="8" t="n">
        <x:v>11266</x:v>
      </x:c>
      <x:c r="F92" s="8" t="n">
        <x:v>134065</x:v>
      </x:c>
      <x:c r="G92" s="8" t="n">
        <x:v>19090</x:v>
      </x:c>
      <x:c r="H92" s="8" t="n">
        <x:v>167810</x:v>
      </x:c>
      <x:c r="I92" s="8" t="n">
        <x:v>1757</x:v>
      </x:c>
      <x:c r="J92" s="8" t="n">
        <x:v>862</x:v>
      </x:c>
      <x:c r="K92" s="8" t="n">
        <x:v>577</x:v>
      </x:c>
      <x:c r="L92" s="8" t="n">
        <x:v>98</x:v>
      </x:c>
      <x:c r="M92" s="8" t="n">
        <x:v>220</x:v>
      </x:c>
      <x:c r="N92" s="8" t="n">
        <x:v>0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171</x:v>
      </x:c>
      <x:c r="T92" s="8" t="n">
        <x:v>24</x:v>
      </x:c>
      <x:c r="U92" s="2" t="str">
        <x:v>2025年12月25日現在</x:v>
      </x:c>
      <x:c r="V92" s="2" t="str">
        <x:v>2025-12-25</x:v>
      </x:c>
      <x:c r="W92" s="2" t="str">
        <x:v>https://www.e-stat.go.jp/stat-search/file-download?statInfId=000032170294&amp;fileKind=0</x:v>
      </x:c>
      <x:c r="X92" s="2" t="str">
        <x:v>海上出入貨物!847行、コンテナ個数!147行</x:v>
      </x:c>
      <x:c r="Y92" s="2" t="str">
        <x:v>取得済</x:v>
      </x:c>
      <x:c r="Z92" s="9" t="n">
        <x:f>IF(AND(ISNUMBER(E92),COUNTIFS($A$2:$A$477,EDATE(A92,-12),$B$2:$B$477,B92,$E$2:$E$477,"&gt;0")=1),E92/SUMIFS($E$2:$E$477,$A$2:$A$477,EDATE(A92,-12),$B$2:$B$477,B92)-1,"")</x:f>
        <x:v>-0.011060393258427004</x:v>
      </x:c>
      <x:c r="AA92" s="10" t="n">
        <x:f>IF(COUNTIFS($A$2:$A$477,"&gt;="&amp;EDATE(A92,-2),$A$2:$A$477,"&lt;="&amp;A92,$B$2:$B$477,B92,$E$2:$E$477,"&gt;=0")=3,SUMIFS($E$2:$E$477,$A$2:$A$477,"&gt;="&amp;EDATE(A92,-2),$A$2:$A$477,"&lt;="&amp;A92,$B$2:$B$477,B92)/3,"")</x:f>
        <x:v>20211</x:v>
      </x:c>
      <x:c r="AB92" s="9" t="n">
        <x:f>IF(AND(ISNUMBER(J92),COUNTIFS($A$2:$A$477,EDATE(A92,-12),$B$2:$B$477,B92,$J$2:$J$477,"&gt;0")=1),J92/SUMIFS($J$2:$J$477,$A$2:$A$477,EDATE(A92,-12),$B$2:$B$477,B92)-1,"")</x:f>
        <x:v>0.021327014218009532</x:v>
      </x:c>
    </x:row>
    <x:row r="93" ht="21" customHeight="1">
      <x:c r="A93" s="7" t="n">
        <x:v>44593</x:v>
      </x:c>
      <x:c r="B93" s="2" t="str">
        <x:v>仙台塩釜</x:v>
      </x:c>
      <x:c r="C93" s="2" t="str">
        <x:v>宮城県</x:v>
      </x:c>
      <x:c r="D93" s="8" t="n">
        <x:v>3148409</x:v>
      </x:c>
      <x:c r="E93" s="8" t="n">
        <x:v>208904</x:v>
      </x:c>
      <x:c r="F93" s="8" t="n">
        <x:v>1089758</x:v>
      </x:c>
      <x:c r="G93" s="8" t="n">
        <x:v>794023</x:v>
      </x:c>
      <x:c r="H93" s="8" t="n">
        <x:v>1055724</x:v>
      </x:c>
      <x:c r="I93" s="8" t="n">
        <x:v>18665</x:v>
      </x:c>
      <x:c r="J93" s="8" t="n">
        <x:v>5656</x:v>
      </x:c>
      <x:c r="K93" s="8" t="n">
        <x:v>5163</x:v>
      </x:c>
      <x:c r="L93" s="8" t="n">
        <x:v>3948</x:v>
      </x:c>
      <x:c r="M93" s="8" t="n">
        <x:v>3898</x:v>
      </x:c>
      <x:c r="N93" s="8" t="n">
        <x:v>0</x:v>
      </x:c>
      <x:c r="O93" s="8" t="n">
        <x:v>0</x:v>
      </x:c>
      <x:c r="P93" s="8" t="n">
        <x:v>454</x:v>
      </x:c>
      <x:c r="Q93" s="8" t="n">
        <x:v>449</x:v>
      </x:c>
      <x:c r="R93" s="8" t="n">
        <x:v>903</x:v>
      </x:c>
      <x:c r="S93" s="8" t="n">
        <x:v>996</x:v>
      </x:c>
      <x:c r="T93" s="8" t="n">
        <x:v>81</x:v>
      </x:c>
      <x:c r="U93" s="2" t="str">
        <x:v>2025年12月25日現在</x:v>
      </x:c>
      <x:c r="V93" s="2" t="str">
        <x:v>2025-12-25</x:v>
      </x:c>
      <x:c r="W93" s="2" t="str">
        <x:v>https://www.e-stat.go.jp/stat-search/file-download?statInfId=000032170294&amp;fileKind=0</x:v>
      </x:c>
      <x:c r="X93" s="2" t="str">
        <x:v>海上出入貨物!139行、コンテナ個数!29行</x:v>
      </x:c>
      <x:c r="Y93" s="2" t="str">
        <x:v>取得済</x:v>
      </x:c>
      <x:c r="Z93" s="9" t="n">
        <x:f>IF(AND(ISNUMBER(E93),COUNTIFS($A$2:$A$477,EDATE(A93,-12),$B$2:$B$477,B93,$E$2:$E$477,"&gt;0")=1),E93/SUMIFS($E$2:$E$477,$A$2:$A$477,EDATE(A93,-12),$B$2:$B$477,B93)-1,"")</x:f>
        <x:v>0.9489131448829182</x:v>
      </x:c>
      <x:c r="AA93" s="10" t="n">
        <x:f>IF(COUNTIFS($A$2:$A$477,"&gt;="&amp;EDATE(A93,-2),$A$2:$A$477,"&lt;="&amp;A93,$B$2:$B$477,B93,$E$2:$E$477,"&gt;=0")=3,SUMIFS($E$2:$E$477,$A$2:$A$477,"&gt;="&amp;EDATE(A93,-2),$A$2:$A$477,"&lt;="&amp;A93,$B$2:$B$477,B93)/3,"")</x:f>
        <x:v>159414</x:v>
      </x:c>
      <x:c r="AB93" s="9" t="n">
        <x:f>IF(AND(ISNUMBER(J93),COUNTIFS($A$2:$A$477,EDATE(A93,-12),$B$2:$B$477,B93,$J$2:$J$477,"&gt;0")=1),J93/SUMIFS($J$2:$J$477,$A$2:$A$477,EDATE(A93,-12),$B$2:$B$477,B93)-1,"")</x:f>
        <x:v>-0.09475032010243278</x:v>
      </x:c>
    </x:row>
    <x:row r="94" ht="21" customHeight="1">
      <x:c r="A94" s="7" t="n">
        <x:v>44593</x:v>
      </x:c>
      <x:c r="B94" s="2" t="str">
        <x:v>東京</x:v>
      </x:c>
      <x:c r="C94" s="2" t="str">
        <x:v>東京都</x:v>
      </x:c>
      <x:c r="D94" s="8" t="n">
        <x:v>6251178</x:v>
      </x:c>
      <x:c r="E94" s="8" t="n">
        <x:v>939545</x:v>
      </x:c>
      <x:c r="F94" s="8" t="n">
        <x:v>2525298</x:v>
      </x:c>
      <x:c r="G94" s="8" t="n">
        <x:v>1103709</x:v>
      </x:c>
      <x:c r="H94" s="8" t="n">
        <x:v>1682626</x:v>
      </x:c>
      <x:c r="I94" s="8" t="n">
        <x:v>360989</x:v>
      </x:c>
      <x:c r="J94" s="8" t="n">
        <x:v>150056</x:v>
      </x:c>
      <x:c r="K94" s="8" t="n">
        <x:v>169568</x:v>
      </x:c>
      <x:c r="L94" s="8" t="n">
        <x:v>32118</x:v>
      </x:c>
      <x:c r="M94" s="8" t="n">
        <x:v>9247</x:v>
      </x:c>
      <x:c r="N94" s="8" t="n">
        <x:v>0</x:v>
      </x:c>
      <x:c r="O94" s="8" t="n">
        <x:v>0</x:v>
      </x:c>
      <x:c r="P94" s="8" t="n">
        <x:v>327</x:v>
      </x:c>
      <x:c r="Q94" s="8" t="n">
        <x:v>154</x:v>
      </x:c>
      <x:c r="R94" s="8" t="n">
        <x:v>481</x:v>
      </x:c>
      <x:c r="S94" s="8" t="n">
        <x:v>1474</x:v>
      </x:c>
      <x:c r="T94" s="8" t="n">
        <x:v>328</x:v>
      </x:c>
      <x:c r="U94" s="2" t="str">
        <x:v>2025年12月25日現在</x:v>
      </x:c>
      <x:c r="V94" s="2" t="str">
        <x:v>2025-12-25</x:v>
      </x:c>
      <x:c r="W94" s="2" t="str">
        <x:v>https://www.e-stat.go.jp/stat-search/file-download?statInfId=000032170294&amp;fileKind=0</x:v>
      </x:c>
      <x:c r="X94" s="2" t="str">
        <x:v>海上出入貨物!205行、コンテナ個数!40行</x:v>
      </x:c>
      <x:c r="Y94" s="2" t="str">
        <x:v>取得済</x:v>
      </x:c>
      <x:c r="Z94" s="9" t="n">
        <x:f>IF(AND(ISNUMBER(E94),COUNTIFS($A$2:$A$477,EDATE(A94,-12),$B$2:$B$477,B94,$E$2:$E$477,"&gt;0")=1),E94/SUMIFS($E$2:$E$477,$A$2:$A$477,EDATE(A94,-12),$B$2:$B$477,B94)-1,"")</x:f>
        <x:v>-0.135154316243132</x:v>
      </x:c>
      <x:c r="AA94" s="10" t="n">
        <x:f>IF(COUNTIFS($A$2:$A$477,"&gt;="&amp;EDATE(A94,-2),$A$2:$A$477,"&lt;="&amp;A94,$B$2:$B$477,B94,$E$2:$E$477,"&gt;=0")=3,SUMIFS($E$2:$E$477,$A$2:$A$477,"&gt;="&amp;EDATE(A94,-2),$A$2:$A$477,"&lt;="&amp;A94,$B$2:$B$477,B94)/3,"")</x:f>
        <x:v>917759.6666666666</x:v>
      </x:c>
      <x:c r="AB94" s="9" t="n">
        <x:f>IF(AND(ISNUMBER(J94),COUNTIFS($A$2:$A$477,EDATE(A94,-12),$B$2:$B$477,B94,$J$2:$J$477,"&gt;0")=1),J94/SUMIFS($J$2:$J$477,$A$2:$A$477,EDATE(A94,-12),$B$2:$B$477,B94)-1,"")</x:f>
        <x:v>0.0016086506691586067</x:v>
      </x:c>
    </x:row>
    <x:row r="95" ht="21" customHeight="1">
      <x:c r="A95" s="7" t="n">
        <x:v>44593</x:v>
      </x:c>
      <x:c r="B95" s="2" t="str">
        <x:v>横浜</x:v>
      </x:c>
      <x:c r="C95" s="2" t="str">
        <x:v>神奈川県</x:v>
      </x:c>
      <x:c r="D95" s="8" t="n">
        <x:v>8553817</x:v>
      </x:c>
      <x:c r="E95" s="8" t="n">
        <x:v>2242833</x:v>
      </x:c>
      <x:c r="F95" s="8" t="n">
        <x:v>4064697</x:v>
      </x:c>
      <x:c r="G95" s="8" t="n">
        <x:v>1073503</x:v>
      </x:c>
      <x:c r="H95" s="8" t="n">
        <x:v>1172784</x:v>
      </x:c>
      <x:c r="I95" s="8" t="n">
        <x:v>247659</x:v>
      </x:c>
      <x:c r="J95" s="8" t="n">
        <x:v>114922</x:v>
      </x:c>
      <x:c r="K95" s="8" t="n">
        <x:v>105302</x:v>
      </x:c>
      <x:c r="L95" s="8" t="n">
        <x:v>11358</x:v>
      </x:c>
      <x:c r="M95" s="8" t="n">
        <x:v>16077</x:v>
      </x:c>
      <x:c r="N95" s="8" t="n">
        <x:v>0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2164</x:v>
      </x:c>
      <x:c r="T95" s="8" t="n">
        <x:v>641</x:v>
      </x:c>
      <x:c r="U95" s="2" t="str">
        <x:v>2025年12月25日現在</x:v>
      </x:c>
      <x:c r="V95" s="2" t="str">
        <x:v>2025-12-25</x:v>
      </x:c>
      <x:c r="W95" s="2" t="str">
        <x:v>https://www.e-stat.go.jp/stat-search/file-download?statInfId=000032170294&amp;fileKind=0</x:v>
      </x:c>
      <x:c r="X95" s="2" t="str">
        <x:v>海上出入貨物!217行、コンテナ個数!42行</x:v>
      </x:c>
      <x:c r="Y95" s="2" t="str">
        <x:v>取得済</x:v>
      </x:c>
      <x:c r="Z95" s="9" t="n">
        <x:f>IF(AND(ISNUMBER(E95),COUNTIFS($A$2:$A$477,EDATE(A95,-12),$B$2:$B$477,B95,$E$2:$E$477,"&gt;0")=1),E95/SUMIFS($E$2:$E$477,$A$2:$A$477,EDATE(A95,-12),$B$2:$B$477,B95)-1,"")</x:f>
        <x:v>-0.0013037896730774268</x:v>
      </x:c>
      <x:c r="AA95" s="10" t="n">
        <x:f>IF(COUNTIFS($A$2:$A$477,"&gt;="&amp;EDATE(A95,-2),$A$2:$A$477,"&lt;="&amp;A95,$B$2:$B$477,B95,$E$2:$E$477,"&gt;=0")=3,SUMIFS($E$2:$E$477,$A$2:$A$477,"&gt;="&amp;EDATE(A95,-2),$A$2:$A$477,"&lt;="&amp;A95,$B$2:$B$477,B95)/3,"")</x:f>
        <x:v>2311100</x:v>
      </x:c>
      <x:c r="AB95" s="9" t="n">
        <x:f>IF(AND(ISNUMBER(J95),COUNTIFS($A$2:$A$477,EDATE(A95,-12),$B$2:$B$477,B95,$J$2:$J$477,"&gt;0")=1),J95/SUMIFS($J$2:$J$477,$A$2:$A$477,EDATE(A95,-12),$B$2:$B$477,B95)-1,"")</x:f>
        <x:v>0.08039860863025283</x:v>
      </x:c>
    </x:row>
    <x:row r="96" ht="21" customHeight="1">
      <x:c r="A96" s="7" t="n">
        <x:v>44593</x:v>
      </x:c>
      <x:c r="B96" s="2" t="str">
        <x:v>清水</x:v>
      </x:c>
      <x:c r="C96" s="2" t="str">
        <x:v>静岡県</x:v>
      </x:c>
      <x:c r="D96" s="8" t="n">
        <x:v>1261141</x:v>
      </x:c>
      <x:c r="E96" s="8" t="n">
        <x:v>345930</x:v>
      </x:c>
      <x:c r="F96" s="8" t="n">
        <x:v>402093</x:v>
      </x:c>
      <x:c r="G96" s="8" t="n">
        <x:v>122427</x:v>
      </x:c>
      <x:c r="H96" s="8" t="n">
        <x:v>390691</x:v>
      </x:c>
      <x:c r="I96" s="8" t="n">
        <x:v>46097</x:v>
      </x:c>
      <x:c r="J96" s="8" t="n">
        <x:v>19817</x:v>
      </x:c>
      <x:c r="K96" s="8" t="n">
        <x:v>17176</x:v>
      </x:c>
      <x:c r="L96" s="8" t="n">
        <x:v>3296</x:v>
      </x:c>
      <x:c r="M96" s="8" t="n">
        <x:v>5808</x:v>
      </x:c>
      <x:c r="N96" s="8" t="n">
        <x:v>0</x:v>
      </x:c>
      <x:c r="O96" s="8" t="n">
        <x:v>0</x:v>
      </x:c>
      <x:c r="P96" s="8" t="n">
        <x:v>4</x:v>
      </x:c>
      <x:c r="Q96" s="8" t="n">
        <x:v>2</x:v>
      </x:c>
      <x:c r="R96" s="8" t="n">
        <x:v>6</x:v>
      </x:c>
      <x:c r="S96" s="8" t="n">
        <x:v>448</x:v>
      </x:c>
      <x:c r="T96" s="8" t="n">
        <x:v>117</x:v>
      </x:c>
      <x:c r="U96" s="2" t="str">
        <x:v>2025年12月25日現在</x:v>
      </x:c>
      <x:c r="V96" s="2" t="str">
        <x:v>2025-12-25</x:v>
      </x:c>
      <x:c r="W96" s="2" t="str">
        <x:v>https://www.e-stat.go.jp/stat-search/file-download?statInfId=000032170294&amp;fileKind=0</x:v>
      </x:c>
      <x:c r="X96" s="2" t="str">
        <x:v>海上出入貨物!313行、コンテナ個数!58行</x:v>
      </x:c>
      <x:c r="Y96" s="2" t="str">
        <x:v>取得済</x:v>
      </x:c>
      <x:c r="Z96" s="9" t="n">
        <x:f>IF(AND(ISNUMBER(E96),COUNTIFS($A$2:$A$477,EDATE(A96,-12),$B$2:$B$477,B96,$E$2:$E$477,"&gt;0")=1),E96/SUMIFS($E$2:$E$477,$A$2:$A$477,EDATE(A96,-12),$B$2:$B$477,B96)-1,"")</x:f>
        <x:v>0.15755659288259793</x:v>
      </x:c>
      <x:c r="AA96" s="10" t="n">
        <x:f>IF(COUNTIFS($A$2:$A$477,"&gt;="&amp;EDATE(A96,-2),$A$2:$A$477,"&lt;="&amp;A96,$B$2:$B$477,B96,$E$2:$E$477,"&gt;=0")=3,SUMIFS($E$2:$E$477,$A$2:$A$477,"&gt;="&amp;EDATE(A96,-2),$A$2:$A$477,"&lt;="&amp;A96,$B$2:$B$477,B96)/3,"")</x:f>
        <x:v>309096</x:v>
      </x:c>
      <x:c r="AB96" s="9" t="n">
        <x:f>IF(AND(ISNUMBER(J96),COUNTIFS($A$2:$A$477,EDATE(A96,-12),$B$2:$B$477,B96,$J$2:$J$477,"&gt;0")=1),J96/SUMIFS($J$2:$J$477,$A$2:$A$477,EDATE(A96,-12),$B$2:$B$477,B96)-1,"")</x:f>
        <x:v>0.10641505220255709</x:v>
      </x:c>
    </x:row>
    <x:row r="97" ht="21" customHeight="1">
      <x:c r="A97" s="7" t="n">
        <x:v>44593</x:v>
      </x:c>
      <x:c r="B97" s="2" t="str">
        <x:v>博多</x:v>
      </x:c>
      <x:c r="C97" s="2" t="str">
        <x:v>福岡県</x:v>
      </x:c>
      <x:c r="D97" s="8" t="n">
        <x:v>2602125</x:v>
      </x:c>
      <x:c r="E97" s="8" t="n">
        <x:v>660149</x:v>
      </x:c>
      <x:c r="F97" s="8" t="n">
        <x:v>676123</x:v>
      </x:c>
      <x:c r="G97" s="8" t="n">
        <x:v>402992</x:v>
      </x:c>
      <x:c r="H97" s="8" t="n">
        <x:v>862861</x:v>
      </x:c>
      <x:c r="I97" s="8" t="n">
        <x:v>70238</x:v>
      </x:c>
      <x:c r="J97" s="8" t="n">
        <x:v>30976</x:v>
      </x:c>
      <x:c r="K97" s="8" t="n">
        <x:v>27728</x:v>
      </x:c>
      <x:c r="L97" s="8" t="n">
        <x:v>5482</x:v>
      </x:c>
      <x:c r="M97" s="8" t="n">
        <x:v>6052</x:v>
      </x:c>
      <x:c r="N97" s="8" t="n">
        <x:v>0</x:v>
      </x:c>
      <x:c r="O97" s="8" t="n">
        <x:v>0</x:v>
      </x:c>
      <x:c r="P97" s="8" t="n">
        <x:v>1295</x:v>
      </x:c>
      <x:c r="Q97" s="8" t="n">
        <x:v>1211</x:v>
      </x:c>
      <x:c r="R97" s="8" t="n">
        <x:v>2506</x:v>
      </x:c>
      <x:c r="S97" s="8" t="n">
        <x:v>1414</x:v>
      </x:c>
      <x:c r="T97" s="8" t="n">
        <x:v>187</x:v>
      </x:c>
      <x:c r="U97" s="2" t="str">
        <x:v>2025年12月25日現在</x:v>
      </x:c>
      <x:c r="V97" s="2" t="str">
        <x:v>2025-12-25</x:v>
      </x:c>
      <x:c r="W97" s="2" t="str">
        <x:v>https://www.e-stat.go.jp/stat-search/file-download?statInfId=000032170294&amp;fileKind=0</x:v>
      </x:c>
      <x:c r="X97" s="2" t="str">
        <x:v>海上出入貨物!745行、コンテナ個数!130行</x:v>
      </x:c>
      <x:c r="Y97" s="2" t="str">
        <x:v>取得済</x:v>
      </x:c>
      <x:c r="Z97" s="9" t="n">
        <x:f>IF(AND(ISNUMBER(E97),COUNTIFS($A$2:$A$477,EDATE(A97,-12),$B$2:$B$477,B97,$E$2:$E$477,"&gt;0")=1),E97/SUMIFS($E$2:$E$477,$A$2:$A$477,EDATE(A97,-12),$B$2:$B$477,B97)-1,"")</x:f>
        <x:v>-0.006046690204994265</x:v>
      </x:c>
      <x:c r="AA97" s="10" t="n">
        <x:f>IF(COUNTIFS($A$2:$A$477,"&gt;="&amp;EDATE(A97,-2),$A$2:$A$477,"&lt;="&amp;A97,$B$2:$B$477,B97,$E$2:$E$477,"&gt;=0")=3,SUMIFS($E$2:$E$477,$A$2:$A$477,"&gt;="&amp;EDATE(A97,-2),$A$2:$A$477,"&lt;="&amp;A97,$B$2:$B$477,B97)/3,"")</x:f>
        <x:v>665041.6666666666</x:v>
      </x:c>
      <x:c r="AB97" s="9" t="n">
        <x:f>IF(AND(ISNUMBER(J97),COUNTIFS($A$2:$A$477,EDATE(A97,-12),$B$2:$B$477,B97,$J$2:$J$477,"&gt;0")=1),J97/SUMIFS($J$2:$J$477,$A$2:$A$477,EDATE(A97,-12),$B$2:$B$477,B97)-1,"")</x:f>
        <x:v>-0.003859017236943707</x:v>
      </x:c>
    </x:row>
    <x:row r="98" ht="21" customHeight="1">
      <x:c r="A98" s="7" t="n">
        <x:v>44593</x:v>
      </x:c>
      <x:c r="B98" s="2" t="str">
        <x:v>熊本</x:v>
      </x:c>
      <x:c r="C98" s="2" t="str">
        <x:v>熊本県</x:v>
      </x:c>
      <x:c r="D98" s="8" t="n">
        <x:v>190237</x:v>
      </x:c>
      <x:c r="E98" s="8" t="n">
        <x:v>4934</x:v>
      </x:c>
      <x:c r="F98" s="8" t="n">
        <x:v>4927</x:v>
      </x:c>
      <x:c r="G98" s="8" t="n">
        <x:v>75916</x:v>
      </x:c>
      <x:c r="H98" s="8" t="n">
        <x:v>104460</x:v>
      </x:c>
      <x:c r="I98" s="8" t="n">
        <x:v>575</x:v>
      </x:c>
      <x:c r="J98" s="8" t="n">
        <x:v>306</x:v>
      </x:c>
      <x:c r="K98" s="8" t="n">
        <x:v>250</x:v>
      </x:c>
      <x:c r="L98" s="8" t="n">
        <x:v>19</x:v>
      </x:c>
      <x:c r="M98" s="8" t="n">
        <x:v>0</x:v>
      </x:c>
      <x:c r="N98" s="8" t="n">
        <x:v>0</x:v>
      </x:c>
      <x:c r="O98" s="8" t="n">
        <x:v>0</x:v>
      </x:c>
      <x:c r="P98" s="8" t="n">
        <x:v>691</x:v>
      </x:c>
      <x:c r="Q98" s="8" t="n">
        <x:v>719</x:v>
      </x:c>
      <x:c r="R98" s="8" t="n">
        <x:v>1410</x:v>
      </x:c>
      <x:c r="S98" s="8" t="n">
        <x:v>39</x:v>
      </x:c>
      <x:c r="T98" s="8" t="n">
        <x:v>8</x:v>
      </x:c>
      <x:c r="U98" s="2" t="str">
        <x:v>2025年12月25日現在</x:v>
      </x:c>
      <x:c r="V98" s="2" t="str">
        <x:v>2025-12-25</x:v>
      </x:c>
      <x:c r="W98" s="2" t="str">
        <x:v>https://www.e-stat.go.jp/stat-search/file-download?statInfId=000032170294&amp;fileKind=0</x:v>
      </x:c>
      <x:c r="X98" s="2" t="str">
        <x:v>海上出入貨物!859行、コンテナ個数!149行</x:v>
      </x:c>
      <x:c r="Y98" s="2" t="str">
        <x:v>取得済</x:v>
      </x:c>
      <x:c r="Z98" s="9" t="n">
        <x:f>IF(AND(ISNUMBER(E98),COUNTIFS($A$2:$A$477,EDATE(A98,-12),$B$2:$B$477,B98,$E$2:$E$477,"&gt;0")=1),E98/SUMIFS($E$2:$E$477,$A$2:$A$477,EDATE(A98,-12),$B$2:$B$477,B98)-1,"")</x:f>
        <x:v>0.21139209427940098</x:v>
      </x:c>
      <x:c r="AA98" s="10" t="n">
        <x:f>IF(COUNTIFS($A$2:$A$477,"&gt;="&amp;EDATE(A98,-2),$A$2:$A$477,"&lt;="&amp;A98,$B$2:$B$477,B98,$E$2:$E$477,"&gt;=0")=3,SUMIFS($E$2:$E$477,$A$2:$A$477,"&gt;="&amp;EDATE(A98,-2),$A$2:$A$477,"&lt;="&amp;A98,$B$2:$B$477,B98)/3,"")</x:f>
        <x:v>3764</x:v>
      </x:c>
      <x:c r="AB98" s="9" t="n">
        <x:f>IF(AND(ISNUMBER(J98),COUNTIFS($A$2:$A$477,EDATE(A98,-12),$B$2:$B$477,B98,$J$2:$J$477,"&gt;0")=1),J98/SUMIFS($J$2:$J$477,$A$2:$A$477,EDATE(A98,-12),$B$2:$B$477,B98)-1,"")</x:f>
        <x:v>-0.3169642857142857</x:v>
      </x:c>
    </x:row>
    <x:row r="99" ht="21" customHeight="1">
      <x:c r="A99" s="7" t="n">
        <x:v>44593</x:v>
      </x:c>
      <x:c r="B99" s="2" t="str">
        <x:v>八代</x:v>
      </x:c>
      <x:c r="C99" s="2" t="str">
        <x:v>熊本県</x:v>
      </x:c>
      <x:c r="D99" s="8" t="n">
        <x:v>340673</x:v>
      </x:c>
      <x:c r="E99" s="8" t="n">
        <x:v>17936</x:v>
      </x:c>
      <x:c r="F99" s="8" t="n">
        <x:v>120777</x:v>
      </x:c>
      <x:c r="G99" s="8" t="n">
        <x:v>18203</x:v>
      </x:c>
      <x:c r="H99" s="8" t="n">
        <x:v>183757</x:v>
      </x:c>
      <x:c r="I99" s="8" t="n">
        <x:v>1761</x:v>
      </x:c>
      <x:c r="J99" s="8" t="n">
        <x:v>813</x:v>
      </x:c>
      <x:c r="K99" s="8" t="n">
        <x:v>707</x:v>
      </x:c>
      <x:c r="L99" s="8" t="n">
        <x:v>107</x:v>
      </x:c>
      <x:c r="M99" s="8" t="n">
        <x:v>134</x:v>
      </x:c>
      <x:c r="N99" s="8" t="n">
        <x:v>0</x:v>
      </x:c>
      <x:c r="O99" s="8" t="n">
        <x:v>0</x:v>
      </x:c>
      <x:c r="P99" s="8" t="n">
        <x:v>0</x:v>
      </x:c>
      <x:c r="Q99" s="8" t="n">
        <x:v>0</x:v>
      </x:c>
      <x:c r="R99" s="8" t="n">
        <x:v>0</x:v>
      </x:c>
      <x:c r="S99" s="8" t="n">
        <x:v>173</x:v>
      </x:c>
      <x:c r="T99" s="8" t="n">
        <x:v>28</x:v>
      </x:c>
      <x:c r="U99" s="2" t="str">
        <x:v>2025年12月25日現在</x:v>
      </x:c>
      <x:c r="V99" s="2" t="str">
        <x:v>2025-12-25</x:v>
      </x:c>
      <x:c r="W99" s="2" t="str">
        <x:v>https://www.e-stat.go.jp/stat-search/file-download?statInfId=000032170294&amp;fileKind=0</x:v>
      </x:c>
      <x:c r="X99" s="2" t="str">
        <x:v>海上出入貨物!847行、コンテナ個数!147行</x:v>
      </x:c>
      <x:c r="Y99" s="2" t="str">
        <x:v>取得済</x:v>
      </x:c>
      <x:c r="Z99" s="9" t="n">
        <x:f>IF(AND(ISNUMBER(E99),COUNTIFS($A$2:$A$477,EDATE(A99,-12),$B$2:$B$477,B99,$E$2:$E$477,"&gt;0")=1),E99/SUMIFS($E$2:$E$477,$A$2:$A$477,EDATE(A99,-12),$B$2:$B$477,B99)-1,"")</x:f>
        <x:v>-0.14631128034269392</x:v>
      </x:c>
      <x:c r="AA99" s="10" t="n">
        <x:f>IF(COUNTIFS($A$2:$A$477,"&gt;="&amp;EDATE(A99,-2),$A$2:$A$477,"&lt;="&amp;A99,$B$2:$B$477,B99,$E$2:$E$477,"&gt;=0")=3,SUMIFS($E$2:$E$477,$A$2:$A$477,"&gt;="&amp;EDATE(A99,-2),$A$2:$A$477,"&lt;="&amp;A99,$B$2:$B$477,B99)/3,"")</x:f>
        <x:v>18615.666666666668</x:v>
      </x:c>
      <x:c r="AB99" s="9" t="n">
        <x:f>IF(AND(ISNUMBER(J99),COUNTIFS($A$2:$A$477,EDATE(A99,-12),$B$2:$B$477,B99,$J$2:$J$477,"&gt;0")=1),J99/SUMIFS($J$2:$J$477,$A$2:$A$477,EDATE(A99,-12),$B$2:$B$477,B99)-1,"")</x:f>
        <x:v>0.5456273764258555</x:v>
      </x:c>
    </x:row>
    <x:row r="100" ht="21" customHeight="1">
      <x:c r="A100" s="7" t="n">
        <x:v>44621</x:v>
      </x:c>
      <x:c r="B100" s="2" t="str">
        <x:v>仙台塩釜</x:v>
      </x:c>
      <x:c r="C100" s="2" t="str">
        <x:v>宮城県</x:v>
      </x:c>
      <x:c r="D100" s="8" t="n">
        <x:v>3391677</x:v>
      </x:c>
      <x:c r="E100" s="8" t="n">
        <x:v>128361</x:v>
      </x:c>
      <x:c r="F100" s="8" t="n">
        <x:v>886441</x:v>
      </x:c>
      <x:c r="G100" s="8" t="n">
        <x:v>947914</x:v>
      </x:c>
      <x:c r="H100" s="8" t="n">
        <x:v>1428961</x:v>
      </x:c>
      <x:c r="I100" s="8" t="n">
        <x:v>22128</x:v>
      </x:c>
      <x:c r="J100" s="8" t="n">
        <x:v>6338</x:v>
      </x:c>
      <x:c r="K100" s="8" t="n">
        <x:v>6199</x:v>
      </x:c>
      <x:c r="L100" s="8" t="n">
        <x:v>4771</x:v>
      </x:c>
      <x:c r="M100" s="8" t="n">
        <x:v>4820</x:v>
      </x:c>
      <x:c r="N100" s="8" t="n">
        <x:v>0</x:v>
      </x:c>
      <x:c r="O100" s="8" t="n">
        <x:v>0</x:v>
      </x:c>
      <x:c r="P100" s="8" t="n">
        <x:v>616</x:v>
      </x:c>
      <x:c r="Q100" s="8" t="n">
        <x:v>638</x:v>
      </x:c>
      <x:c r="R100" s="8" t="n">
        <x:v>1254</x:v>
      </x:c>
      <x:c r="S100" s="8" t="n">
        <x:v>1447</x:v>
      </x:c>
      <x:c r="T100" s="8" t="n">
        <x:v>87</x:v>
      </x:c>
      <x:c r="U100" s="2" t="str">
        <x:v>2025年12月25日現在</x:v>
      </x:c>
      <x:c r="V100" s="2" t="str">
        <x:v>2025-12-25</x:v>
      </x:c>
      <x:c r="W100" s="2" t="str">
        <x:v>https://www.e-stat.go.jp/stat-search/file-download?statInfId=000032170294&amp;fileKind=0</x:v>
      </x:c>
      <x:c r="X100" s="2" t="str">
        <x:v>海上出入貨物!139行、コンテナ個数!29行</x:v>
      </x:c>
      <x:c r="Y100" s="2" t="str">
        <x:v>取得済</x:v>
      </x:c>
      <x:c r="Z100" s="9" t="n">
        <x:f>IF(AND(ISNUMBER(E100),COUNTIFS($A$2:$A$477,EDATE(A100,-12),$B$2:$B$477,B100,$E$2:$E$477,"&gt;0")=1),E100/SUMIFS($E$2:$E$477,$A$2:$A$477,EDATE(A100,-12),$B$2:$B$477,B100)-1,"")</x:f>
        <x:v>0.06397387332874671</x:v>
      </x:c>
      <x:c r="AA100" s="10" t="n">
        <x:f>IF(COUNTIFS($A$2:$A$477,"&gt;="&amp;EDATE(A100,-2),$A$2:$A$477,"&lt;="&amp;A100,$B$2:$B$477,B100,$E$2:$E$477,"&gt;=0")=3,SUMIFS($E$2:$E$477,$A$2:$A$477,"&gt;="&amp;EDATE(A100,-2),$A$2:$A$477,"&lt;="&amp;A100,$B$2:$B$477,B100)/3,"")</x:f>
        <x:v>160524.66666666666</x:v>
      </x:c>
      <x:c r="AB100" s="9" t="n">
        <x:f>IF(AND(ISNUMBER(J100),COUNTIFS($A$2:$A$477,EDATE(A100,-12),$B$2:$B$477,B100,$J$2:$J$477,"&gt;0")=1),J100/SUMIFS($J$2:$J$477,$A$2:$A$477,EDATE(A100,-12),$B$2:$B$477,B100)-1,"")</x:f>
        <x:v>-0.15357905982905984</x:v>
      </x:c>
    </x:row>
    <x:row r="101" ht="21" customHeight="1">
      <x:c r="A101" s="7" t="n">
        <x:v>44621</x:v>
      </x:c>
      <x:c r="B101" s="2" t="str">
        <x:v>東京</x:v>
      </x:c>
      <x:c r="C101" s="2" t="str">
        <x:v>東京都</x:v>
      </x:c>
      <x:c r="D101" s="8" t="n">
        <x:v>7469237</x:v>
      </x:c>
      <x:c r="E101" s="8" t="n">
        <x:v>1097255</x:v>
      </x:c>
      <x:c r="F101" s="8" t="n">
        <x:v>3035968</x:v>
      </x:c>
      <x:c r="G101" s="8" t="n">
        <x:v>1323662</x:v>
      </x:c>
      <x:c r="H101" s="8" t="n">
        <x:v>2012352</x:v>
      </x:c>
      <x:c r="I101" s="8" t="n">
        <x:v>414209</x:v>
      </x:c>
      <x:c r="J101" s="8" t="n">
        <x:v>164050</x:v>
      </x:c>
      <x:c r="K101" s="8" t="n">
        <x:v>203023</x:v>
      </x:c>
      <x:c r="L101" s="8" t="n">
        <x:v>34292</x:v>
      </x:c>
      <x:c r="M101" s="8" t="n">
        <x:v>12844</x:v>
      </x:c>
      <x:c r="N101" s="8" t="n">
        <x:v>0</x:v>
      </x:c>
      <x:c r="O101" s="8" t="n">
        <x:v>0</x:v>
      </x:c>
      <x:c r="P101" s="8" t="n">
        <x:v>318</x:v>
      </x:c>
      <x:c r="Q101" s="8" t="n">
        <x:v>175</x:v>
      </x:c>
      <x:c r="R101" s="8" t="n">
        <x:v>493</x:v>
      </x:c>
      <x:c r="S101" s="8" t="n">
        <x:v>1710</x:v>
      </x:c>
      <x:c r="T101" s="8" t="n">
        <x:v>371</x:v>
      </x:c>
      <x:c r="U101" s="2" t="str">
        <x:v>2025年12月25日現在</x:v>
      </x:c>
      <x:c r="V101" s="2" t="str">
        <x:v>2025-12-25</x:v>
      </x:c>
      <x:c r="W101" s="2" t="str">
        <x:v>https://www.e-stat.go.jp/stat-search/file-download?statInfId=000032170294&amp;fileKind=0</x:v>
      </x:c>
      <x:c r="X101" s="2" t="str">
        <x:v>海上出入貨物!205行、コンテナ個数!40行</x:v>
      </x:c>
      <x:c r="Y101" s="2" t="str">
        <x:v>取得済</x:v>
      </x:c>
      <x:c r="Z101" s="9" t="n">
        <x:f>IF(AND(ISNUMBER(E101),COUNTIFS($A$2:$A$477,EDATE(A101,-12),$B$2:$B$477,B101,$E$2:$E$477,"&gt;0")=1),E101/SUMIFS($E$2:$E$477,$A$2:$A$477,EDATE(A101,-12),$B$2:$B$477,B101)-1,"")</x:f>
        <x:v>-0.10564324518182522</x:v>
      </x:c>
      <x:c r="AA101" s="10" t="n">
        <x:f>IF(COUNTIFS($A$2:$A$477,"&gt;="&amp;EDATE(A101,-2),$A$2:$A$477,"&lt;="&amp;A101,$B$2:$B$477,B101,$E$2:$E$477,"&gt;=0")=3,SUMIFS($E$2:$E$477,$A$2:$A$477,"&gt;="&amp;EDATE(A101,-2),$A$2:$A$477,"&lt;="&amp;A101,$B$2:$B$477,B101)/3,"")</x:f>
        <x:v>927488.3333333334</x:v>
      </x:c>
      <x:c r="AB101" s="9" t="n">
        <x:f>IF(AND(ISNUMBER(J101),COUNTIFS($A$2:$A$477,EDATE(A101,-12),$B$2:$B$477,B101,$J$2:$J$477,"&gt;0")=1),J101/SUMIFS($J$2:$J$477,$A$2:$A$477,EDATE(A101,-12),$B$2:$B$477,B101)-1,"")</x:f>
        <x:v>-0.03711268804329326</x:v>
      </x:c>
    </x:row>
    <x:row r="102" ht="21" customHeight="1">
      <x:c r="A102" s="7" t="n">
        <x:v>44621</x:v>
      </x:c>
      <x:c r="B102" s="2" t="str">
        <x:v>横浜</x:v>
      </x:c>
      <x:c r="C102" s="2" t="str">
        <x:v>神奈川県</x:v>
      </x:c>
      <x:c r="D102" s="8" t="n">
        <x:v>9159586</x:v>
      </x:c>
      <x:c r="E102" s="8" t="n">
        <x:v>2621277</x:v>
      </x:c>
      <x:c r="F102" s="8" t="n">
        <x:v>3908971</x:v>
      </x:c>
      <x:c r="G102" s="8" t="n">
        <x:v>1373240</x:v>
      </x:c>
      <x:c r="H102" s="8" t="n">
        <x:v>1256098</x:v>
      </x:c>
      <x:c r="I102" s="8" t="n">
        <x:v>238411</x:v>
      </x:c>
      <x:c r="J102" s="8" t="n">
        <x:v>120419</x:v>
      </x:c>
      <x:c r="K102" s="8" t="n">
        <x:v>89114</x:v>
      </x:c>
      <x:c r="L102" s="8" t="n">
        <x:v>13541</x:v>
      </x:c>
      <x:c r="M102" s="8" t="n">
        <x:v>15337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2478</x:v>
      </x:c>
      <x:c r="T102" s="8" t="n">
        <x:v>725</x:v>
      </x:c>
      <x:c r="U102" s="2" t="str">
        <x:v>2025年12月25日現在</x:v>
      </x:c>
      <x:c r="V102" s="2" t="str">
        <x:v>2025-12-25</x:v>
      </x:c>
      <x:c r="W102" s="2" t="str">
        <x:v>https://www.e-stat.go.jp/stat-search/file-download?statInfId=000032170294&amp;fileKind=0</x:v>
      </x:c>
      <x:c r="X102" s="2" t="str">
        <x:v>海上出入貨物!217行、コンテナ個数!42行</x:v>
      </x:c>
      <x:c r="Y102" s="2" t="str">
        <x:v>取得済</x:v>
      </x:c>
      <x:c r="Z102" s="9" t="n">
        <x:f>IF(AND(ISNUMBER(E102),COUNTIFS($A$2:$A$477,EDATE(A102,-12),$B$2:$B$477,B102,$E$2:$E$477,"&gt;0")=1),E102/SUMIFS($E$2:$E$477,$A$2:$A$477,EDATE(A102,-12),$B$2:$B$477,B102)-1,"")</x:f>
        <x:v>-0.0436625350151808</x:v>
      </x:c>
      <x:c r="AA102" s="10" t="n">
        <x:f>IF(COUNTIFS($A$2:$A$477,"&gt;="&amp;EDATE(A102,-2),$A$2:$A$477,"&lt;="&amp;A102,$B$2:$B$477,B102,$E$2:$E$477,"&gt;=0")=3,SUMIFS($E$2:$E$477,$A$2:$A$477,"&gt;="&amp;EDATE(A102,-2),$A$2:$A$477,"&lt;="&amp;A102,$B$2:$B$477,B102)/3,"")</x:f>
        <x:v>2280769.3333333335</x:v>
      </x:c>
      <x:c r="AB102" s="9" t="n">
        <x:f>IF(AND(ISNUMBER(J102),COUNTIFS($A$2:$A$477,EDATE(A102,-12),$B$2:$B$477,B102,$J$2:$J$477,"&gt;0")=1),J102/SUMIFS($J$2:$J$477,$A$2:$A$477,EDATE(A102,-12),$B$2:$B$477,B102)-1,"")</x:f>
        <x:v>-0.06258806311741494</x:v>
      </x:c>
    </x:row>
    <x:row r="103" ht="21" customHeight="1">
      <x:c r="A103" s="7" t="n">
        <x:v>44621</x:v>
      </x:c>
      <x:c r="B103" s="2" t="str">
        <x:v>清水</x:v>
      </x:c>
      <x:c r="C103" s="2" t="str">
        <x:v>静岡県</x:v>
      </x:c>
      <x:c r="D103" s="8" t="n">
        <x:v>1411453</x:v>
      </x:c>
      <x:c r="E103" s="8" t="n">
        <x:v>360649</x:v>
      </x:c>
      <x:c r="F103" s="8" t="n">
        <x:v>452021</x:v>
      </x:c>
      <x:c r="G103" s="8" t="n">
        <x:v>164747</x:v>
      </x:c>
      <x:c r="H103" s="8" t="n">
        <x:v>434036</x:v>
      </x:c>
      <x:c r="I103" s="8" t="n">
        <x:v>49594</x:v>
      </x:c>
      <x:c r="J103" s="8" t="n">
        <x:v>21124</x:v>
      </x:c>
      <x:c r="K103" s="8" t="n">
        <x:v>19374</x:v>
      </x:c>
      <x:c r="L103" s="8" t="n">
        <x:v>4031</x:v>
      </x:c>
      <x:c r="M103" s="8" t="n">
        <x:v>5065</x:v>
      </x:c>
      <x:c r="N103" s="8" t="n">
        <x:v>0</x:v>
      </x:c>
      <x:c r="O103" s="8" t="n">
        <x:v>0</x:v>
      </x:c>
      <x:c r="P103" s="8" t="n">
        <x:v>4</x:v>
      </x:c>
      <x:c r="Q103" s="8" t="n">
        <x:v>3</x:v>
      </x:c>
      <x:c r="R103" s="8" t="n">
        <x:v>7</x:v>
      </x:c>
      <x:c r="S103" s="8" t="n">
        <x:v>497</x:v>
      </x:c>
      <x:c r="T103" s="8" t="n">
        <x:v>143</x:v>
      </x:c>
      <x:c r="U103" s="2" t="str">
        <x:v>2025年12月25日現在</x:v>
      </x:c>
      <x:c r="V103" s="2" t="str">
        <x:v>2025-12-25</x:v>
      </x:c>
      <x:c r="W103" s="2" t="str">
        <x:v>https://www.e-stat.go.jp/stat-search/file-download?statInfId=000032170294&amp;fileKind=0</x:v>
      </x:c>
      <x:c r="X103" s="2" t="str">
        <x:v>海上出入貨物!313行、コンテナ個数!58行</x:v>
      </x:c>
      <x:c r="Y103" s="2" t="str">
        <x:v>取得済</x:v>
      </x:c>
      <x:c r="Z103" s="9" t="n">
        <x:f>IF(AND(ISNUMBER(E103),COUNTIFS($A$2:$A$477,EDATE(A103,-12),$B$2:$B$477,B103,$E$2:$E$477,"&gt;0")=1),E103/SUMIFS($E$2:$E$477,$A$2:$A$477,EDATE(A103,-12),$B$2:$B$477,B103)-1,"")</x:f>
        <x:v>0.11301114094373976</x:v>
      </x:c>
      <x:c r="AA103" s="10" t="n">
        <x:f>IF(COUNTIFS($A$2:$A$477,"&gt;="&amp;EDATE(A103,-2),$A$2:$A$477,"&lt;="&amp;A103,$B$2:$B$477,B103,$E$2:$E$477,"&gt;=0")=3,SUMIFS($E$2:$E$477,$A$2:$A$477,"&gt;="&amp;EDATE(A103,-2),$A$2:$A$477,"&lt;="&amp;A103,$B$2:$B$477,B103)/3,"")</x:f>
        <x:v>324013</x:v>
      </x:c>
      <x:c r="AB103" s="9" t="n">
        <x:f>IF(AND(ISNUMBER(J103),COUNTIFS($A$2:$A$477,EDATE(A103,-12),$B$2:$B$477,B103,$J$2:$J$477,"&gt;0")=1),J103/SUMIFS($J$2:$J$477,$A$2:$A$477,EDATE(A103,-12),$B$2:$B$477,B103)-1,"")</x:f>
        <x:v>0.10980350950929907</x:v>
      </x:c>
    </x:row>
    <x:row r="104" ht="21" customHeight="1">
      <x:c r="A104" s="7" t="n">
        <x:v>44621</x:v>
      </x:c>
      <x:c r="B104" s="2" t="str">
        <x:v>博多</x:v>
      </x:c>
      <x:c r="C104" s="2" t="str">
        <x:v>福岡県</x:v>
      </x:c>
      <x:c r="D104" s="8" t="n">
        <x:v>3118240</x:v>
      </x:c>
      <x:c r="E104" s="8" t="n">
        <x:v>720308</x:v>
      </x:c>
      <x:c r="F104" s="8" t="n">
        <x:v>936187</x:v>
      </x:c>
      <x:c r="G104" s="8" t="n">
        <x:v>466249</x:v>
      </x:c>
      <x:c r="H104" s="8" t="n">
        <x:v>995496</x:v>
      </x:c>
      <x:c r="I104" s="8" t="n">
        <x:v>85612</x:v>
      </x:c>
      <x:c r="J104" s="8" t="n">
        <x:v>35425</x:v>
      </x:c>
      <x:c r="K104" s="8" t="n">
        <x:v>35524</x:v>
      </x:c>
      <x:c r="L104" s="8" t="n">
        <x:v>7267</x:v>
      </x:c>
      <x:c r="M104" s="8" t="n">
        <x:v>7396</x:v>
      </x:c>
      <x:c r="N104" s="8" t="n">
        <x:v>0</x:v>
      </x:c>
      <x:c r="O104" s="8" t="n">
        <x:v>0</x:v>
      </x:c>
      <x:c r="P104" s="8" t="n">
        <x:v>1480</x:v>
      </x:c>
      <x:c r="Q104" s="8" t="n">
        <x:v>1416</x:v>
      </x:c>
      <x:c r="R104" s="8" t="n">
        <x:v>2896</x:v>
      </x:c>
      <x:c r="S104" s="8" t="n">
        <x:v>1639</x:v>
      </x:c>
      <x:c r="T104" s="8" t="n">
        <x:v>217</x:v>
      </x:c>
      <x:c r="U104" s="2" t="str">
        <x:v>2025年12月25日現在</x:v>
      </x:c>
      <x:c r="V104" s="2" t="str">
        <x:v>2025-12-25</x:v>
      </x:c>
      <x:c r="W104" s="2" t="str">
        <x:v>https://www.e-stat.go.jp/stat-search/file-download?statInfId=000032170294&amp;fileKind=0</x:v>
      </x:c>
      <x:c r="X104" s="2" t="str">
        <x:v>海上出入貨物!745行、コンテナ個数!130行</x:v>
      </x:c>
      <x:c r="Y104" s="2" t="str">
        <x:v>取得済</x:v>
      </x:c>
      <x:c r="Z104" s="9" t="n">
        <x:f>IF(AND(ISNUMBER(E104),COUNTIFS($A$2:$A$477,EDATE(A104,-12),$B$2:$B$477,B104,$E$2:$E$477,"&gt;0")=1),E104/SUMIFS($E$2:$E$477,$A$2:$A$477,EDATE(A104,-12),$B$2:$B$477,B104)-1,"")</x:f>
        <x:v>-0.17574334468490238</x:v>
      </x:c>
      <x:c r="AA104" s="10" t="n">
        <x:f>IF(COUNTIFS($A$2:$A$477,"&gt;="&amp;EDATE(A104,-2),$A$2:$A$477,"&lt;="&amp;A104,$B$2:$B$477,B104,$E$2:$E$477,"&gt;=0")=3,SUMIFS($E$2:$E$477,$A$2:$A$477,"&gt;="&amp;EDATE(A104,-2),$A$2:$A$477,"&lt;="&amp;A104,$B$2:$B$477,B104)/3,"")</x:f>
        <x:v>651850</x:v>
      </x:c>
      <x:c r="AB104" s="9" t="n">
        <x:f>IF(AND(ISNUMBER(J104),COUNTIFS($A$2:$A$477,EDATE(A104,-12),$B$2:$B$477,B104,$J$2:$J$477,"&gt;0")=1),J104/SUMIFS($J$2:$J$477,$A$2:$A$477,EDATE(A104,-12),$B$2:$B$477,B104)-1,"")</x:f>
        <x:v>-0.06928169828175079</x:v>
      </x:c>
    </x:row>
    <x:row r="105" ht="21" customHeight="1">
      <x:c r="A105" s="7" t="n">
        <x:v>44621</x:v>
      </x:c>
      <x:c r="B105" s="2" t="str">
        <x:v>熊本</x:v>
      </x:c>
      <x:c r="C105" s="2" t="str">
        <x:v>熊本県</x:v>
      </x:c>
      <x:c r="D105" s="8" t="n">
        <x:v>244079</x:v>
      </x:c>
      <x:c r="E105" s="8" t="n">
        <x:v>4173</x:v>
      </x:c>
      <x:c r="F105" s="8" t="n">
        <x:v>6570</x:v>
      </x:c>
      <x:c r="G105" s="8" t="n">
        <x:v>90830</x:v>
      </x:c>
      <x:c r="H105" s="8" t="n">
        <x:v>142506</x:v>
      </x:c>
      <x:c r="I105" s="8" t="n">
        <x:v>619</x:v>
      </x:c>
      <x:c r="J105" s="8" t="n">
        <x:v>214</x:v>
      </x:c>
      <x:c r="K105" s="8" t="n">
        <x:v>345</x:v>
      </x:c>
      <x:c r="L105" s="8" t="n">
        <x:v>20</x:v>
      </x:c>
      <x:c r="M105" s="8" t="n">
        <x:v>40</x:v>
      </x:c>
      <x:c r="N105" s="8" t="n">
        <x:v>0</x:v>
      </x:c>
      <x:c r="O105" s="8" t="n">
        <x:v>0</x:v>
      </x:c>
      <x:c r="P105" s="8" t="n">
        <x:v>748</x:v>
      </x:c>
      <x:c r="Q105" s="8" t="n">
        <x:v>770</x:v>
      </x:c>
      <x:c r="R105" s="8" t="n">
        <x:v>1518</x:v>
      </x:c>
      <x:c r="S105" s="8" t="n">
        <x:v>38</x:v>
      </x:c>
      <x:c r="T105" s="8" t="n">
        <x:v>9</x:v>
      </x:c>
      <x:c r="U105" s="2" t="str">
        <x:v>2025年12月25日現在</x:v>
      </x:c>
      <x:c r="V105" s="2" t="str">
        <x:v>2025-12-25</x:v>
      </x:c>
      <x:c r="W105" s="2" t="str">
        <x:v>https://www.e-stat.go.jp/stat-search/file-download?statInfId=000032170294&amp;fileKind=0</x:v>
      </x:c>
      <x:c r="X105" s="2" t="str">
        <x:v>海上出入貨物!859行、コンテナ個数!149行</x:v>
      </x:c>
      <x:c r="Y105" s="2" t="str">
        <x:v>取得済</x:v>
      </x:c>
      <x:c r="Z105" s="9" t="n">
        <x:f>IF(AND(ISNUMBER(E105),COUNTIFS($A$2:$A$477,EDATE(A105,-12),$B$2:$B$477,B105,$E$2:$E$477,"&gt;0")=1),E105/SUMIFS($E$2:$E$477,$A$2:$A$477,EDATE(A105,-12),$B$2:$B$477,B105)-1,"")</x:f>
        <x:v>-0.47798348761571174</x:v>
      </x:c>
      <x:c r="AA105" s="10" t="n">
        <x:f>IF(COUNTIFS($A$2:$A$477,"&gt;="&amp;EDATE(A105,-2),$A$2:$A$477,"&lt;="&amp;A105,$B$2:$B$477,B105,$E$2:$E$477,"&gt;=0")=3,SUMIFS($E$2:$E$477,$A$2:$A$477,"&gt;="&amp;EDATE(A105,-2),$A$2:$A$477,"&lt;="&amp;A105,$B$2:$B$477,B105)/3,"")</x:f>
        <x:v>3887.6666666666665</x:v>
      </x:c>
      <x:c r="AB105" s="9" t="n">
        <x:f>IF(AND(ISNUMBER(J105),COUNTIFS($A$2:$A$477,EDATE(A105,-12),$B$2:$B$477,B105,$J$2:$J$477,"&gt;0")=1),J105/SUMIFS($J$2:$J$477,$A$2:$A$477,EDATE(A105,-12),$B$2:$B$477,B105)-1,"")</x:f>
        <x:v>-0.5587628865979382</x:v>
      </x:c>
    </x:row>
    <x:row r="106" ht="21" customHeight="1">
      <x:c r="A106" s="7" t="n">
        <x:v>44621</x:v>
      </x:c>
      <x:c r="B106" s="2" t="str">
        <x:v>八代</x:v>
      </x:c>
      <x:c r="C106" s="2" t="str">
        <x:v>熊本県</x:v>
      </x:c>
      <x:c r="D106" s="8" t="n">
        <x:v>442916</x:v>
      </x:c>
      <x:c r="E106" s="8" t="n">
        <x:v>14120</x:v>
      </x:c>
      <x:c r="F106" s="8" t="n">
        <x:v>168144</x:v>
      </x:c>
      <x:c r="G106" s="8" t="n">
        <x:v>33307</x:v>
      </x:c>
      <x:c r="H106" s="8" t="n">
        <x:v>227345</x:v>
      </x:c>
      <x:c r="I106" s="8" t="n">
        <x:v>2382</x:v>
      </x:c>
      <x:c r="J106" s="8" t="n">
        <x:v>1102</x:v>
      </x:c>
      <x:c r="K106" s="8" t="n">
        <x:v>948</x:v>
      </x:c>
      <x:c r="L106" s="8" t="n">
        <x:v>87</x:v>
      </x:c>
      <x:c r="M106" s="8" t="n">
        <x:v>245</x:v>
      </x:c>
      <x:c r="N106" s="8" t="n">
        <x:v>0</x:v>
      </x:c>
      <x:c r="O106" s="8" t="n">
        <x:v>0</x:v>
      </x:c>
      <x:c r="P106" s="8" t="n">
        <x:v>0</x:v>
      </x:c>
      <x:c r="Q106" s="8" t="n">
        <x:v>0</x:v>
      </x:c>
      <x:c r="R106" s="8" t="n">
        <x:v>0</x:v>
      </x:c>
      <x:c r="S106" s="8" t="n">
        <x:v>183</x:v>
      </x:c>
      <x:c r="T106" s="8" t="n">
        <x:v>38</x:v>
      </x:c>
      <x:c r="U106" s="2" t="str">
        <x:v>2025年12月25日現在</x:v>
      </x:c>
      <x:c r="V106" s="2" t="str">
        <x:v>2025-12-25</x:v>
      </x:c>
      <x:c r="W106" s="2" t="str">
        <x:v>https://www.e-stat.go.jp/stat-search/file-download?statInfId=000032170294&amp;fileKind=0</x:v>
      </x:c>
      <x:c r="X106" s="2" t="str">
        <x:v>海上出入貨物!847行、コンテナ個数!147行</x:v>
      </x:c>
      <x:c r="Y106" s="2" t="str">
        <x:v>取得済</x:v>
      </x:c>
      <x:c r="Z106" s="9" t="n">
        <x:f>IF(AND(ISNUMBER(E106),COUNTIFS($A$2:$A$477,EDATE(A106,-12),$B$2:$B$477,B106,$E$2:$E$477,"&gt;0")=1),E106/SUMIFS($E$2:$E$477,$A$2:$A$477,EDATE(A106,-12),$B$2:$B$477,B106)-1,"")</x:f>
        <x:v>-0.46749132599185395</x:v>
      </x:c>
      <x:c r="AA106" s="10" t="n">
        <x:f>IF(COUNTIFS($A$2:$A$477,"&gt;="&amp;EDATE(A106,-2),$A$2:$A$477,"&lt;="&amp;A106,$B$2:$B$477,B106,$E$2:$E$477,"&gt;=0")=3,SUMIFS($E$2:$E$477,$A$2:$A$477,"&gt;="&amp;EDATE(A106,-2),$A$2:$A$477,"&lt;="&amp;A106,$B$2:$B$477,B106)/3,"")</x:f>
        <x:v>14440.666666666666</x:v>
      </x:c>
      <x:c r="AB106" s="9" t="n">
        <x:f>IF(AND(ISNUMBER(J106),COUNTIFS($A$2:$A$477,EDATE(A106,-12),$B$2:$B$477,B106,$J$2:$J$477,"&gt;0")=1),J106/SUMIFS($J$2:$J$477,$A$2:$A$477,EDATE(A106,-12),$B$2:$B$477,B106)-1,"")</x:f>
        <x:v>0.830564784053156</x:v>
      </x:c>
    </x:row>
    <x:row r="107" ht="21" customHeight="1">
      <x:c r="A107" s="7" t="n">
        <x:v>44652</x:v>
      </x:c>
      <x:c r="B107" s="2" t="str">
        <x:v>仙台塩釜</x:v>
      </x:c>
      <x:c r="C107" s="2" t="str">
        <x:v>宮城県</x:v>
      </x:c>
      <x:c r="D107" s="8" t="n">
        <x:v>2749571</x:v>
      </x:c>
      <x:c r="E107" s="8" t="n">
        <x:v>83552</x:v>
      </x:c>
      <x:c r="F107" s="8" t="n">
        <x:v>515875</x:v>
      </x:c>
      <x:c r="G107" s="8" t="n">
        <x:v>803720</x:v>
      </x:c>
      <x:c r="H107" s="8" t="n">
        <x:v>1346424</x:v>
      </x:c>
      <x:c r="I107" s="8" t="n">
        <x:v>20039</x:v>
      </x:c>
      <x:c r="J107" s="8" t="n">
        <x:v>5254</x:v>
      </x:c>
      <x:c r="K107" s="8" t="n">
        <x:v>5229</x:v>
      </x:c>
      <x:c r="L107" s="8" t="n">
        <x:v>4516</x:v>
      </x:c>
      <x:c r="M107" s="8" t="n">
        <x:v>5040</x:v>
      </x:c>
      <x:c r="N107" s="8" t="n">
        <x:v>0</x:v>
      </x:c>
      <x:c r="O107" s="8" t="n">
        <x:v>0</x:v>
      </x:c>
      <x:c r="P107" s="8" t="n">
        <x:v>596</x:v>
      </x:c>
      <x:c r="Q107" s="8" t="n">
        <x:v>644</x:v>
      </x:c>
      <x:c r="R107" s="8" t="n">
        <x:v>1240</x:v>
      </x:c>
      <x:c r="S107" s="8" t="n">
        <x:v>1636</x:v>
      </x:c>
      <x:c r="T107" s="8" t="n">
        <x:v>75</x:v>
      </x:c>
      <x:c r="U107" s="2" t="str">
        <x:v>2025年12月25日現在</x:v>
      </x:c>
      <x:c r="V107" s="2" t="str">
        <x:v>2025-12-25</x:v>
      </x:c>
      <x:c r="W107" s="2" t="str">
        <x:v>https://www.e-stat.go.jp/stat-search/file-download?statInfId=000032170294&amp;fileKind=0</x:v>
      </x:c>
      <x:c r="X107" s="2" t="str">
        <x:v>海上出入貨物!139行、コンテナ個数!29行</x:v>
      </x:c>
      <x:c r="Y107" s="2" t="str">
        <x:v>取得済</x:v>
      </x:c>
      <x:c r="Z107" s="9" t="n">
        <x:f>IF(AND(ISNUMBER(E107),COUNTIFS($A$2:$A$477,EDATE(A107,-12),$B$2:$B$477,B107,$E$2:$E$477,"&gt;0")=1),E107/SUMIFS($E$2:$E$477,$A$2:$A$477,EDATE(A107,-12),$B$2:$B$477,B107)-1,"")</x:f>
        <x:v>-0.09269394492224825</x:v>
      </x:c>
      <x:c r="AA107" s="10" t="n">
        <x:f>IF(COUNTIFS($A$2:$A$477,"&gt;="&amp;EDATE(A107,-2),$A$2:$A$477,"&lt;="&amp;A107,$B$2:$B$477,B107,$E$2:$E$477,"&gt;=0")=3,SUMIFS($E$2:$E$477,$A$2:$A$477,"&gt;="&amp;EDATE(A107,-2),$A$2:$A$477,"&lt;="&amp;A107,$B$2:$B$477,B107)/3,"")</x:f>
        <x:v>140272.33333333334</x:v>
      </x:c>
      <x:c r="AB107" s="9" t="n">
        <x:f>IF(AND(ISNUMBER(J107),COUNTIFS($A$2:$A$477,EDATE(A107,-12),$B$2:$B$477,B107,$J$2:$J$477,"&gt;0")=1),J107/SUMIFS($J$2:$J$477,$A$2:$A$477,EDATE(A107,-12),$B$2:$B$477,B107)-1,"")</x:f>
        <x:v>-0.2626999719337637</x:v>
      </x:c>
    </x:row>
    <x:row r="108" ht="21" customHeight="1">
      <x:c r="A108" s="7" t="n">
        <x:v>44652</x:v>
      </x:c>
      <x:c r="B108" s="2" t="str">
        <x:v>東京</x:v>
      </x:c>
      <x:c r="C108" s="2" t="str">
        <x:v>東京都</x:v>
      </x:c>
      <x:c r="D108" s="8" t="n">
        <x:v>7109551</x:v>
      </x:c>
      <x:c r="E108" s="8" t="n">
        <x:v>1067986</x:v>
      </x:c>
      <x:c r="F108" s="8" t="n">
        <x:v>2878450</x:v>
      </x:c>
      <x:c r="G108" s="8" t="n">
        <x:v>1240421</x:v>
      </x:c>
      <x:c r="H108" s="8" t="n">
        <x:v>1922694</x:v>
      </x:c>
      <x:c r="I108" s="8" t="n">
        <x:v>400238</x:v>
      </x:c>
      <x:c r="J108" s="8" t="n">
        <x:v>164245</x:v>
      </x:c>
      <x:c r="K108" s="8" t="n">
        <x:v>191064</x:v>
      </x:c>
      <x:c r="L108" s="8" t="n">
        <x:v>32379</x:v>
      </x:c>
      <x:c r="M108" s="8" t="n">
        <x:v>12550</x:v>
      </x:c>
      <x:c r="N108" s="8" t="n">
        <x:v>0</x:v>
      </x:c>
      <x:c r="O108" s="8" t="n">
        <x:v>0</x:v>
      </x:c>
      <x:c r="P108" s="8" t="n">
        <x:v>249</x:v>
      </x:c>
      <x:c r="Q108" s="8" t="n">
        <x:v>170</x:v>
      </x:c>
      <x:c r="R108" s="8" t="n">
        <x:v>419</x:v>
      </x:c>
      <x:c r="S108" s="8" t="n">
        <x:v>1621</x:v>
      </x:c>
      <x:c r="T108" s="8" t="n">
        <x:v>364</x:v>
      </x:c>
      <x:c r="U108" s="2" t="str">
        <x:v>2025年12月25日現在</x:v>
      </x:c>
      <x:c r="V108" s="2" t="str">
        <x:v>2025-12-25</x:v>
      </x:c>
      <x:c r="W108" s="2" t="str">
        <x:v>https://www.e-stat.go.jp/stat-search/file-download?statInfId=000032170294&amp;fileKind=0</x:v>
      </x:c>
      <x:c r="X108" s="2" t="str">
        <x:v>海上出入貨物!205行、コンテナ個数!40行</x:v>
      </x:c>
      <x:c r="Y108" s="2" t="str">
        <x:v>取得済</x:v>
      </x:c>
      <x:c r="Z108" s="9" t="n">
        <x:f>IF(AND(ISNUMBER(E108),COUNTIFS($A$2:$A$477,EDATE(A108,-12),$B$2:$B$477,B108,$E$2:$E$477,"&gt;0")=1),E108/SUMIFS($E$2:$E$477,$A$2:$A$477,EDATE(A108,-12),$B$2:$B$477,B108)-1,"")</x:f>
        <x:v>-0.06567073560147363</x:v>
      </x:c>
      <x:c r="AA108" s="10" t="n">
        <x:f>IF(COUNTIFS($A$2:$A$477,"&gt;="&amp;EDATE(A108,-2),$A$2:$A$477,"&lt;="&amp;A108,$B$2:$B$477,B108,$E$2:$E$477,"&gt;=0")=3,SUMIFS($E$2:$E$477,$A$2:$A$477,"&gt;="&amp;EDATE(A108,-2),$A$2:$A$477,"&lt;="&amp;A108,$B$2:$B$477,B108)/3,"")</x:f>
        <x:v>1034928.6666666666</x:v>
      </x:c>
      <x:c r="AB108" s="9" t="n">
        <x:f>IF(AND(ISNUMBER(J108),COUNTIFS($A$2:$A$477,EDATE(A108,-12),$B$2:$B$477,B108,$J$2:$J$477,"&gt;0")=1),J108/SUMIFS($J$2:$J$477,$A$2:$A$477,EDATE(A108,-12),$B$2:$B$477,B108)-1,"")</x:f>
        <x:v>-0.030373693842611682</x:v>
      </x:c>
    </x:row>
    <x:row r="109" ht="21" customHeight="1">
      <x:c r="A109" s="7" t="n">
        <x:v>44652</x:v>
      </x:c>
      <x:c r="B109" s="2" t="str">
        <x:v>横浜</x:v>
      </x:c>
      <x:c r="C109" s="2" t="str">
        <x:v>神奈川県</x:v>
      </x:c>
      <x:c r="D109" s="8" t="n">
        <x:v>9499106</x:v>
      </x:c>
      <x:c r="E109" s="8" t="n">
        <x:v>2505957</x:v>
      </x:c>
      <x:c r="F109" s="8" t="n">
        <x:v>4074644</x:v>
      </x:c>
      <x:c r="G109" s="8" t="n">
        <x:v>1337320</x:v>
      </x:c>
      <x:c r="H109" s="8" t="n">
        <x:v>1581185</x:v>
      </x:c>
      <x:c r="I109" s="8" t="n">
        <x:v>248033</x:v>
      </x:c>
      <x:c r="J109" s="8" t="n">
        <x:v>119296</x:v>
      </x:c>
      <x:c r="K109" s="8" t="n">
        <x:v>100287</x:v>
      </x:c>
      <x:c r="L109" s="8" t="n">
        <x:v>13391</x:v>
      </x:c>
      <x:c r="M109" s="8" t="n">
        <x:v>15059</x:v>
      </x:c>
      <x:c r="N109" s="8" t="n">
        <x:v>0</x:v>
      </x:c>
      <x:c r="O109" s="8" t="n">
        <x:v>0</x:v>
      </x:c>
      <x:c r="P109" s="8" t="n">
        <x:v>0</x:v>
      </x:c>
      <x:c r="Q109" s="8" t="n">
        <x:v>0</x:v>
      </x:c>
      <x:c r="R109" s="8" t="n">
        <x:v>0</x:v>
      </x:c>
      <x:c r="S109" s="8" t="n">
        <x:v>2270</x:v>
      </x:c>
      <x:c r="T109" s="8" t="n">
        <x:v>649</x:v>
      </x:c>
      <x:c r="U109" s="2" t="str">
        <x:v>2025年12月25日現在</x:v>
      </x:c>
      <x:c r="V109" s="2" t="str">
        <x:v>2025-12-25</x:v>
      </x:c>
      <x:c r="W109" s="2" t="str">
        <x:v>https://www.e-stat.go.jp/stat-search/file-download?statInfId=000032170294&amp;fileKind=0</x:v>
      </x:c>
      <x:c r="X109" s="2" t="str">
        <x:v>海上出入貨物!217行、コンテナ個数!42行</x:v>
      </x:c>
      <x:c r="Y109" s="2" t="str">
        <x:v>取得済</x:v>
      </x:c>
      <x:c r="Z109" s="9" t="n">
        <x:f>IF(AND(ISNUMBER(E109),COUNTIFS($A$2:$A$477,EDATE(A109,-12),$B$2:$B$477,B109,$E$2:$E$477,"&gt;0")=1),E109/SUMIFS($E$2:$E$477,$A$2:$A$477,EDATE(A109,-12),$B$2:$B$477,B109)-1,"")</x:f>
        <x:v>-0.06050687011453315</x:v>
      </x:c>
      <x:c r="AA109" s="10" t="n">
        <x:f>IF(COUNTIFS($A$2:$A$477,"&gt;="&amp;EDATE(A109,-2),$A$2:$A$477,"&lt;="&amp;A109,$B$2:$B$477,B109,$E$2:$E$477,"&gt;=0")=3,SUMIFS($E$2:$E$477,$A$2:$A$477,"&gt;="&amp;EDATE(A109,-2),$A$2:$A$477,"&lt;="&amp;A109,$B$2:$B$477,B109)/3,"")</x:f>
        <x:v>2456689</x:v>
      </x:c>
      <x:c r="AB109" s="9" t="n">
        <x:f>IF(AND(ISNUMBER(J109),COUNTIFS($A$2:$A$477,EDATE(A109,-12),$B$2:$B$477,B109,$J$2:$J$477,"&gt;0")=1),J109/SUMIFS($J$2:$J$477,$A$2:$A$477,EDATE(A109,-12),$B$2:$B$477,B109)-1,"")</x:f>
        <x:v>0.0013850299250404152</x:v>
      </x:c>
    </x:row>
    <x:row r="110" ht="21" customHeight="1">
      <x:c r="A110" s="7" t="n">
        <x:v>44652</x:v>
      </x:c>
      <x:c r="B110" s="2" t="str">
        <x:v>清水</x:v>
      </x:c>
      <x:c r="C110" s="2" t="str">
        <x:v>静岡県</x:v>
      </x:c>
      <x:c r="D110" s="8" t="n">
        <x:v>1574868</x:v>
      </x:c>
      <x:c r="E110" s="8" t="n">
        <x:v>324441</x:v>
      </x:c>
      <x:c r="F110" s="8" t="n">
        <x:v>707023</x:v>
      </x:c>
      <x:c r="G110" s="8" t="n">
        <x:v>170519</x:v>
      </x:c>
      <x:c r="H110" s="8" t="n">
        <x:v>372885</x:v>
      </x:c>
      <x:c r="I110" s="8" t="n">
        <x:v>46196</x:v>
      </x:c>
      <x:c r="J110" s="8" t="n">
        <x:v>19388</x:v>
      </x:c>
      <x:c r="K110" s="8" t="n">
        <x:v>17903</x:v>
      </x:c>
      <x:c r="L110" s="8" t="n">
        <x:v>3662</x:v>
      </x:c>
      <x:c r="M110" s="8" t="n">
        <x:v>5243</x:v>
      </x:c>
      <x:c r="N110" s="8" t="n">
        <x:v>0</x:v>
      </x:c>
      <x:c r="O110" s="8" t="n">
        <x:v>0</x:v>
      </x:c>
      <x:c r="P110" s="8" t="n">
        <x:v>8</x:v>
      </x:c>
      <x:c r="Q110" s="8" t="n">
        <x:v>8</x:v>
      </x:c>
      <x:c r="R110" s="8" t="n">
        <x:v>16</x:v>
      </x:c>
      <x:c r="S110" s="8" t="n">
        <x:v>452</x:v>
      </x:c>
      <x:c r="T110" s="8" t="n">
        <x:v>154</x:v>
      </x:c>
      <x:c r="U110" s="2" t="str">
        <x:v>2025年12月25日現在</x:v>
      </x:c>
      <x:c r="V110" s="2" t="str">
        <x:v>2025-12-25</x:v>
      </x:c>
      <x:c r="W110" s="2" t="str">
        <x:v>https://www.e-stat.go.jp/stat-search/file-download?statInfId=000032170294&amp;fileKind=0</x:v>
      </x:c>
      <x:c r="X110" s="2" t="str">
        <x:v>海上出入貨物!313行、コンテナ個数!58行</x:v>
      </x:c>
      <x:c r="Y110" s="2" t="str">
        <x:v>取得済</x:v>
      </x:c>
      <x:c r="Z110" s="9" t="n">
        <x:f>IF(AND(ISNUMBER(E110),COUNTIFS($A$2:$A$477,EDATE(A110,-12),$B$2:$B$477,B110,$E$2:$E$477,"&gt;0")=1),E110/SUMIFS($E$2:$E$477,$A$2:$A$477,EDATE(A110,-12),$B$2:$B$477,B110)-1,"")</x:f>
        <x:v>-0.03772392929173096</x:v>
      </x:c>
      <x:c r="AA110" s="10" t="n">
        <x:f>IF(COUNTIFS($A$2:$A$477,"&gt;="&amp;EDATE(A110,-2),$A$2:$A$477,"&lt;="&amp;A110,$B$2:$B$477,B110,$E$2:$E$477,"&gt;=0")=3,SUMIFS($E$2:$E$477,$A$2:$A$477,"&gt;="&amp;EDATE(A110,-2),$A$2:$A$477,"&lt;="&amp;A110,$B$2:$B$477,B110)/3,"")</x:f>
        <x:v>343673.3333333333</x:v>
      </x:c>
      <x:c r="AB110" s="9" t="n">
        <x:f>IF(AND(ISNUMBER(J110),COUNTIFS($A$2:$A$477,EDATE(A110,-12),$B$2:$B$477,B110,$J$2:$J$477,"&gt;0")=1),J110/SUMIFS($J$2:$J$477,$A$2:$A$477,EDATE(A110,-12),$B$2:$B$477,B110)-1,"")</x:f>
        <x:v>-0.07526471429934178</x:v>
      </x:c>
    </x:row>
    <x:row r="111" ht="21" customHeight="1">
      <x:c r="A111" s="7" t="n">
        <x:v>44652</x:v>
      </x:c>
      <x:c r="B111" s="2" t="str">
        <x:v>博多</x:v>
      </x:c>
      <x:c r="C111" s="2" t="str">
        <x:v>福岡県</x:v>
      </x:c>
      <x:c r="D111" s="8" t="n">
        <x:v>2819389</x:v>
      </x:c>
      <x:c r="E111" s="8" t="n">
        <x:v>688608</x:v>
      </x:c>
      <x:c r="F111" s="8" t="n">
        <x:v>816106</x:v>
      </x:c>
      <x:c r="G111" s="8" t="n">
        <x:v>408297</x:v>
      </x:c>
      <x:c r="H111" s="8" t="n">
        <x:v>906378</x:v>
      </x:c>
      <x:c r="I111" s="8" t="n">
        <x:v>82008</x:v>
      </x:c>
      <x:c r="J111" s="8" t="n">
        <x:v>32791</x:v>
      </x:c>
      <x:c r="K111" s="8" t="n">
        <x:v>34780</x:v>
      </x:c>
      <x:c r="L111" s="8" t="n">
        <x:v>7075</x:v>
      </x:c>
      <x:c r="M111" s="8" t="n">
        <x:v>7362</x:v>
      </x:c>
      <x:c r="N111" s="8" t="n">
        <x:v>0</x:v>
      </x:c>
      <x:c r="O111" s="8" t="n">
        <x:v>0</x:v>
      </x:c>
      <x:c r="P111" s="8" t="n">
        <x:v>1396</x:v>
      </x:c>
      <x:c r="Q111" s="8" t="n">
        <x:v>1342</x:v>
      </x:c>
      <x:c r="R111" s="8" t="n">
        <x:v>2738</x:v>
      </x:c>
      <x:c r="S111" s="8" t="n">
        <x:v>1532</x:v>
      </x:c>
      <x:c r="T111" s="8" t="n">
        <x:v>201</x:v>
      </x:c>
      <x:c r="U111" s="2" t="str">
        <x:v>2025年12月25日現在</x:v>
      </x:c>
      <x:c r="V111" s="2" t="str">
        <x:v>2025-12-25</x:v>
      </x:c>
      <x:c r="W111" s="2" t="str">
        <x:v>https://www.e-stat.go.jp/stat-search/file-download?statInfId=000032170294&amp;fileKind=0</x:v>
      </x:c>
      <x:c r="X111" s="2" t="str">
        <x:v>海上出入貨物!745行、コンテナ個数!130行</x:v>
      </x:c>
      <x:c r="Y111" s="2" t="str">
        <x:v>取得済</x:v>
      </x:c>
      <x:c r="Z111" s="9" t="n">
        <x:f>IF(AND(ISNUMBER(E111),COUNTIFS($A$2:$A$477,EDATE(A111,-12),$B$2:$B$477,B111,$E$2:$E$477,"&gt;0")=1),E111/SUMIFS($E$2:$E$477,$A$2:$A$477,EDATE(A111,-12),$B$2:$B$477,B111)-1,"")</x:f>
        <x:v>-0.17209838040471248</x:v>
      </x:c>
      <x:c r="AA111" s="10" t="n">
        <x:f>IF(COUNTIFS($A$2:$A$477,"&gt;="&amp;EDATE(A111,-2),$A$2:$A$477,"&lt;="&amp;A111,$B$2:$B$477,B111,$E$2:$E$477,"&gt;=0")=3,SUMIFS($E$2:$E$477,$A$2:$A$477,"&gt;="&amp;EDATE(A111,-2),$A$2:$A$477,"&lt;="&amp;A111,$B$2:$B$477,B111)/3,"")</x:f>
        <x:v>689688.3333333334</x:v>
      </x:c>
      <x:c r="AB111" s="9" t="n">
        <x:f>IF(AND(ISNUMBER(J111),COUNTIFS($A$2:$A$477,EDATE(A111,-12),$B$2:$B$477,B111,$J$2:$J$477,"&gt;0")=1),J111/SUMIFS($J$2:$J$477,$A$2:$A$477,EDATE(A111,-12),$B$2:$B$477,B111)-1,"")</x:f>
        <x:v>-0.11123458463206393</x:v>
      </x:c>
    </x:row>
    <x:row r="112" ht="21" customHeight="1">
      <x:c r="A112" s="7" t="n">
        <x:v>44652</x:v>
      </x:c>
      <x:c r="B112" s="2" t="str">
        <x:v>熊本</x:v>
      </x:c>
      <x:c r="C112" s="2" t="str">
        <x:v>熊本県</x:v>
      </x:c>
      <x:c r="D112" s="8" t="n">
        <x:v>234935</x:v>
      </x:c>
      <x:c r="E112" s="8" t="n">
        <x:v>4171</x:v>
      </x:c>
      <x:c r="F112" s="8" t="n">
        <x:v>5663</x:v>
      </x:c>
      <x:c r="G112" s="8" t="n">
        <x:v>93246</x:v>
      </x:c>
      <x:c r="H112" s="8" t="n">
        <x:v>131855</x:v>
      </x:c>
      <x:c r="I112" s="8" t="n">
        <x:v>684</x:v>
      </x:c>
      <x:c r="J112" s="8" t="n">
        <x:v>275</x:v>
      </x:c>
      <x:c r="K112" s="8" t="n">
        <x:v>339</x:v>
      </x:c>
      <x:c r="L112" s="8" t="n">
        <x:v>50</x:v>
      </x:c>
      <x:c r="M112" s="8" t="n">
        <x:v>20</x:v>
      </x:c>
      <x:c r="N112" s="8" t="n">
        <x:v>0</x:v>
      </x:c>
      <x:c r="O112" s="8" t="n">
        <x:v>0</x:v>
      </x:c>
      <x:c r="P112" s="8" t="n">
        <x:v>731</x:v>
      </x:c>
      <x:c r="Q112" s="8" t="n">
        <x:v>755</x:v>
      </x:c>
      <x:c r="R112" s="8" t="n">
        <x:v>1486</x:v>
      </x:c>
      <x:c r="S112" s="8" t="n">
        <x:v>30</x:v>
      </x:c>
      <x:c r="T112" s="8" t="n">
        <x:v>8</x:v>
      </x:c>
      <x:c r="U112" s="2" t="str">
        <x:v>2025年12月25日現在</x:v>
      </x:c>
      <x:c r="V112" s="2" t="str">
        <x:v>2025-12-25</x:v>
      </x:c>
      <x:c r="W112" s="2" t="str">
        <x:v>https://www.e-stat.go.jp/stat-search/file-download?statInfId=000032170294&amp;fileKind=0</x:v>
      </x:c>
      <x:c r="X112" s="2" t="str">
        <x:v>海上出入貨物!859行、コンテナ個数!149行</x:v>
      </x:c>
      <x:c r="Y112" s="2" t="str">
        <x:v>取得済</x:v>
      </x:c>
      <x:c r="Z112" s="9" t="n">
        <x:f>IF(AND(ISNUMBER(E112),COUNTIFS($A$2:$A$477,EDATE(A112,-12),$B$2:$B$477,B112,$E$2:$E$477,"&gt;0")=1),E112/SUMIFS($E$2:$E$477,$A$2:$A$477,EDATE(A112,-12),$B$2:$B$477,B112)-1,"")</x:f>
        <x:v>-0.4922084246408571</x:v>
      </x:c>
      <x:c r="AA112" s="10" t="n">
        <x:f>IF(COUNTIFS($A$2:$A$477,"&gt;="&amp;EDATE(A112,-2),$A$2:$A$477,"&lt;="&amp;A112,$B$2:$B$477,B112,$E$2:$E$477,"&gt;=0")=3,SUMIFS($E$2:$E$477,$A$2:$A$477,"&gt;="&amp;EDATE(A112,-2),$A$2:$A$477,"&lt;="&amp;A112,$B$2:$B$477,B112)/3,"")</x:f>
        <x:v>4426</x:v>
      </x:c>
      <x:c r="AB112" s="9" t="n">
        <x:f>IF(AND(ISNUMBER(J112),COUNTIFS($A$2:$A$477,EDATE(A112,-12),$B$2:$B$477,B112,$J$2:$J$477,"&gt;0")=1),J112/SUMIFS($J$2:$J$477,$A$2:$A$477,EDATE(A112,-12),$B$2:$B$477,B112)-1,"")</x:f>
        <x:v>-0.47916666666666663</x:v>
      </x:c>
    </x:row>
    <x:row r="113" ht="21" customHeight="1">
      <x:c r="A113" s="7" t="n">
        <x:v>44652</x:v>
      </x:c>
      <x:c r="B113" s="2" t="str">
        <x:v>八代</x:v>
      </x:c>
      <x:c r="C113" s="2" t="str">
        <x:v>熊本県</x:v>
      </x:c>
      <x:c r="D113" s="8" t="n">
        <x:v>302946</x:v>
      </x:c>
      <x:c r="E113" s="8" t="n">
        <x:v>16851</x:v>
      </x:c>
      <x:c r="F113" s="8" t="n">
        <x:v>111255</x:v>
      </x:c>
      <x:c r="G113" s="8" t="n">
        <x:v>20124</x:v>
      </x:c>
      <x:c r="H113" s="8" t="n">
        <x:v>154716</x:v>
      </x:c>
      <x:c r="I113" s="8" t="n">
        <x:v>2277</x:v>
      </x:c>
      <x:c r="J113" s="8" t="n">
        <x:v>977</x:v>
      </x:c>
      <x:c r="K113" s="8" t="n">
        <x:v>1016</x:v>
      </x:c>
      <x:c r="L113" s="8" t="n">
        <x:v>88</x:v>
      </x:c>
      <x:c r="M113" s="8" t="n">
        <x:v>196</x:v>
      </x:c>
      <x:c r="N113" s="8" t="n">
        <x:v>0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186</x:v>
      </x:c>
      <x:c r="T113" s="8" t="n">
        <x:v>32</x:v>
      </x:c>
      <x:c r="U113" s="2" t="str">
        <x:v>2025年12月25日現在</x:v>
      </x:c>
      <x:c r="V113" s="2" t="str">
        <x:v>2025-12-25</x:v>
      </x:c>
      <x:c r="W113" s="2" t="str">
        <x:v>https://www.e-stat.go.jp/stat-search/file-download?statInfId=000032170294&amp;fileKind=0</x:v>
      </x:c>
      <x:c r="X113" s="2" t="str">
        <x:v>海上出入貨物!847行、コンテナ個数!147行</x:v>
      </x:c>
      <x:c r="Y113" s="2" t="str">
        <x:v>取得済</x:v>
      </x:c>
      <x:c r="Z113" s="9" t="n">
        <x:f>IF(AND(ISNUMBER(E113),COUNTIFS($A$2:$A$477,EDATE(A113,-12),$B$2:$B$477,B113,$E$2:$E$477,"&gt;0")=1),E113/SUMIFS($E$2:$E$477,$A$2:$A$477,EDATE(A113,-12),$B$2:$B$477,B113)-1,"")</x:f>
        <x:v>-0.4686741289610594</x:v>
      </x:c>
      <x:c r="AA113" s="10" t="n">
        <x:f>IF(COUNTIFS($A$2:$A$477,"&gt;="&amp;EDATE(A113,-2),$A$2:$A$477,"&lt;="&amp;A113,$B$2:$B$477,B113,$E$2:$E$477,"&gt;=0")=3,SUMIFS($E$2:$E$477,$A$2:$A$477,"&gt;="&amp;EDATE(A113,-2),$A$2:$A$477,"&lt;="&amp;A113,$B$2:$B$477,B113)/3,"")</x:f>
        <x:v>16302.333333333334</x:v>
      </x:c>
      <x:c r="AB113" s="9" t="n">
        <x:f>IF(AND(ISNUMBER(J113),COUNTIFS($A$2:$A$477,EDATE(A113,-12),$B$2:$B$477,B113,$J$2:$J$477,"&gt;0")=1),J113/SUMIFS($J$2:$J$477,$A$2:$A$477,EDATE(A113,-12),$B$2:$B$477,B113)-1,"")</x:f>
        <x:v>-0.04961089494163429</x:v>
      </x:c>
    </x:row>
    <x:row r="114" ht="21" customHeight="1">
      <x:c r="A114" s="7" t="n">
        <x:v>44682</x:v>
      </x:c>
      <x:c r="B114" s="2" t="str">
        <x:v>仙台塩釜</x:v>
      </x:c>
      <x:c r="C114" s="2" t="str">
        <x:v>宮城県</x:v>
      </x:c>
      <x:c r="D114" s="8" t="n">
        <x:v>2665847</x:v>
      </x:c>
      <x:c r="E114" s="8" t="n">
        <x:v>97358</x:v>
      </x:c>
      <x:c r="F114" s="8" t="n">
        <x:v>529506</x:v>
      </x:c>
      <x:c r="G114" s="8" t="n">
        <x:v>818179</x:v>
      </x:c>
      <x:c r="H114" s="8" t="n">
        <x:v>1220804</x:v>
      </x:c>
      <x:c r="I114" s="8" t="n">
        <x:v>20821</x:v>
      </x:c>
      <x:c r="J114" s="8" t="n">
        <x:v>5585</x:v>
      </x:c>
      <x:c r="K114" s="8" t="n">
        <x:v>6067</x:v>
      </x:c>
      <x:c r="L114" s="8" t="n">
        <x:v>4554</x:v>
      </x:c>
      <x:c r="M114" s="8" t="n">
        <x:v>4615</x:v>
      </x:c>
      <x:c r="N114" s="8" t="n">
        <x:v>0</x:v>
      </x:c>
      <x:c r="O114" s="8" t="n">
        <x:v>0</x:v>
      </x:c>
      <x:c r="P114" s="8" t="n">
        <x:v>543</x:v>
      </x:c>
      <x:c r="Q114" s="8" t="n">
        <x:v>600</x:v>
      </x:c>
      <x:c r="R114" s="8" t="n">
        <x:v>1143</x:v>
      </x:c>
      <x:c r="S114" s="8" t="n">
        <x:v>1878</x:v>
      </x:c>
      <x:c r="T114" s="8" t="n">
        <x:v>67</x:v>
      </x:c>
      <x:c r="U114" s="2" t="str">
        <x:v>2025年12月25日現在</x:v>
      </x:c>
      <x:c r="V114" s="2" t="str">
        <x:v>2025-12-25</x:v>
      </x:c>
      <x:c r="W114" s="2" t="str">
        <x:v>https://www.e-stat.go.jp/stat-search/file-download?statInfId=000032170294&amp;fileKind=0</x:v>
      </x:c>
      <x:c r="X114" s="2" t="str">
        <x:v>海上出入貨物!139行、コンテナ個数!29行</x:v>
      </x:c>
      <x:c r="Y114" s="2" t="str">
        <x:v>取得済</x:v>
      </x:c>
      <x:c r="Z114" s="9" t="n">
        <x:f>IF(AND(ISNUMBER(E114),COUNTIFS($A$2:$A$477,EDATE(A114,-12),$B$2:$B$477,B114,$E$2:$E$477,"&gt;0")=1),E114/SUMIFS($E$2:$E$477,$A$2:$A$477,EDATE(A114,-12),$B$2:$B$477,B114)-1,"")</x:f>
        <x:v>-0.1275461282719933</x:v>
      </x:c>
      <x:c r="AA114" s="10" t="n">
        <x:f>IF(COUNTIFS($A$2:$A$477,"&gt;="&amp;EDATE(A114,-2),$A$2:$A$477,"&lt;="&amp;A114,$B$2:$B$477,B114,$E$2:$E$477,"&gt;=0")=3,SUMIFS($E$2:$E$477,$A$2:$A$477,"&gt;="&amp;EDATE(A114,-2),$A$2:$A$477,"&lt;="&amp;A114,$B$2:$B$477,B114)/3,"")</x:f>
        <x:v>103090.33333333333</x:v>
      </x:c>
      <x:c r="AB114" s="9" t="n">
        <x:f>IF(AND(ISNUMBER(J114),COUNTIFS($A$2:$A$477,EDATE(A114,-12),$B$2:$B$477,B114,$J$2:$J$477,"&gt;0")=1),J114/SUMIFS($J$2:$J$477,$A$2:$A$477,EDATE(A114,-12),$B$2:$B$477,B114)-1,"")</x:f>
        <x:v>-0.23230240549828174</x:v>
      </x:c>
    </x:row>
    <x:row r="115" ht="21" customHeight="1">
      <x:c r="A115" s="7" t="n">
        <x:v>44682</x:v>
      </x:c>
      <x:c r="B115" s="2" t="str">
        <x:v>東京</x:v>
      </x:c>
      <x:c r="C115" s="2" t="str">
        <x:v>東京都</x:v>
      </x:c>
      <x:c r="D115" s="8" t="n">
        <x:v>6669106</x:v>
      </x:c>
      <x:c r="E115" s="8" t="n">
        <x:v>902388</x:v>
      </x:c>
      <x:c r="F115" s="8" t="n">
        <x:v>2986076</x:v>
      </x:c>
      <x:c r="G115" s="8" t="n">
        <x:v>1077091</x:v>
      </x:c>
      <x:c r="H115" s="8" t="n">
        <x:v>1703551</x:v>
      </x:c>
      <x:c r="I115" s="8" t="n">
        <x:v>393435</x:v>
      </x:c>
      <x:c r="J115" s="8" t="n">
        <x:v>156664</x:v>
      </x:c>
      <x:c r="K115" s="8" t="n">
        <x:v>198292</x:v>
      </x:c>
      <x:c r="L115" s="8" t="n">
        <x:v>27352</x:v>
      </x:c>
      <x:c r="M115" s="8" t="n">
        <x:v>11127</x:v>
      </x:c>
      <x:c r="N115" s="8" t="n">
        <x:v>0</x:v>
      </x:c>
      <x:c r="O115" s="8" t="n">
        <x:v>0</x:v>
      </x:c>
      <x:c r="P115" s="8" t="n">
        <x:v>215</x:v>
      </x:c>
      <x:c r="Q115" s="8" t="n">
        <x:v>124</x:v>
      </x:c>
      <x:c r="R115" s="8" t="n">
        <x:v>339</x:v>
      </x:c>
      <x:c r="S115" s="8" t="n">
        <x:v>1566</x:v>
      </x:c>
      <x:c r="T115" s="8" t="n">
        <x:v>343</x:v>
      </x:c>
      <x:c r="U115" s="2" t="str">
        <x:v>2025年12月25日現在</x:v>
      </x:c>
      <x:c r="V115" s="2" t="str">
        <x:v>2025-12-25</x:v>
      </x:c>
      <x:c r="W115" s="2" t="str">
        <x:v>https://www.e-stat.go.jp/stat-search/file-download?statInfId=000032170294&amp;fileKind=0</x:v>
      </x:c>
      <x:c r="X115" s="2" t="str">
        <x:v>海上出入貨物!205行、コンテナ個数!40行</x:v>
      </x:c>
      <x:c r="Y115" s="2" t="str">
        <x:v>取得済</x:v>
      </x:c>
      <x:c r="Z115" s="9" t="n">
        <x:f>IF(AND(ISNUMBER(E115),COUNTIFS($A$2:$A$477,EDATE(A115,-12),$B$2:$B$477,B115,$E$2:$E$477,"&gt;0")=1),E115/SUMIFS($E$2:$E$477,$A$2:$A$477,EDATE(A115,-12),$B$2:$B$477,B115)-1,"")</x:f>
        <x:v>-0.049324330730809995</x:v>
      </x:c>
      <x:c r="AA115" s="10" t="n">
        <x:f>IF(COUNTIFS($A$2:$A$477,"&gt;="&amp;EDATE(A115,-2),$A$2:$A$477,"&lt;="&amp;A115,$B$2:$B$477,B115,$E$2:$E$477,"&gt;=0")=3,SUMIFS($E$2:$E$477,$A$2:$A$477,"&gt;="&amp;EDATE(A115,-2),$A$2:$A$477,"&lt;="&amp;A115,$B$2:$B$477,B115)/3,"")</x:f>
        <x:v>1022543</x:v>
      </x:c>
      <x:c r="AB115" s="9" t="n">
        <x:f>IF(AND(ISNUMBER(J115),COUNTIFS($A$2:$A$477,EDATE(A115,-12),$B$2:$B$477,B115,$J$2:$J$477,"&gt;0")=1),J115/SUMIFS($J$2:$J$477,$A$2:$A$477,EDATE(A115,-12),$B$2:$B$477,B115)-1,"")</x:f>
        <x:v>-0.01656591526838791</x:v>
      </x:c>
    </x:row>
    <x:row r="116" ht="21" customHeight="1">
      <x:c r="A116" s="7" t="n">
        <x:v>44682</x:v>
      </x:c>
      <x:c r="B116" s="2" t="str">
        <x:v>横浜</x:v>
      </x:c>
      <x:c r="C116" s="2" t="str">
        <x:v>神奈川県</x:v>
      </x:c>
      <x:c r="D116" s="8" t="n">
        <x:v>9034267</x:v>
      </x:c>
      <x:c r="E116" s="8" t="n">
        <x:v>2467937</x:v>
      </x:c>
      <x:c r="F116" s="8" t="n">
        <x:v>4073585</x:v>
      </x:c>
      <x:c r="G116" s="8" t="n">
        <x:v>1480651</x:v>
      </x:c>
      <x:c r="H116" s="8" t="n">
        <x:v>1012094</x:v>
      </x:c>
      <x:c r="I116" s="8" t="n">
        <x:v>226192</x:v>
      </x:c>
      <x:c r="J116" s="8" t="n">
        <x:v>101670</x:v>
      </x:c>
      <x:c r="K116" s="8" t="n">
        <x:v>94689</x:v>
      </x:c>
      <x:c r="L116" s="8" t="n">
        <x:v>14522</x:v>
      </x:c>
      <x:c r="M116" s="8" t="n">
        <x:v>15311</x:v>
      </x:c>
      <x:c r="N116" s="8" t="n">
        <x:v>0</x:v>
      </x:c>
      <x:c r="O116" s="8" t="n">
        <x:v>0</x:v>
      </x:c>
      <x:c r="P116" s="8" t="n">
        <x:v>0</x:v>
      </x:c>
      <x:c r="Q116" s="8" t="n">
        <x:v>0</x:v>
      </x:c>
      <x:c r="R116" s="8" t="n">
        <x:v>0</x:v>
      </x:c>
      <x:c r="S116" s="8" t="n">
        <x:v>2237</x:v>
      </x:c>
      <x:c r="T116" s="8" t="n">
        <x:v>661</x:v>
      </x:c>
      <x:c r="U116" s="2" t="str">
        <x:v>2025年12月25日現在</x:v>
      </x:c>
      <x:c r="V116" s="2" t="str">
        <x:v>2025-12-25</x:v>
      </x:c>
      <x:c r="W116" s="2" t="str">
        <x:v>https://www.e-stat.go.jp/stat-search/file-download?statInfId=000032170294&amp;fileKind=0</x:v>
      </x:c>
      <x:c r="X116" s="2" t="str">
        <x:v>海上出入貨物!217行、コンテナ個数!42行</x:v>
      </x:c>
      <x:c r="Y116" s="2" t="str">
        <x:v>取得済</x:v>
      </x:c>
      <x:c r="Z116" s="9" t="n">
        <x:f>IF(AND(ISNUMBER(E116),COUNTIFS($A$2:$A$477,EDATE(A116,-12),$B$2:$B$477,B116,$E$2:$E$477,"&gt;0")=1),E116/SUMIFS($E$2:$E$477,$A$2:$A$477,EDATE(A116,-12),$B$2:$B$477,B116)-1,"")</x:f>
        <x:v>0.0654541419939525</x:v>
      </x:c>
      <x:c r="AA116" s="10" t="n">
        <x:f>IF(COUNTIFS($A$2:$A$477,"&gt;="&amp;EDATE(A116,-2),$A$2:$A$477,"&lt;="&amp;A116,$B$2:$B$477,B116,$E$2:$E$477,"&gt;=0")=3,SUMIFS($E$2:$E$477,$A$2:$A$477,"&gt;="&amp;EDATE(A116,-2),$A$2:$A$477,"&lt;="&amp;A116,$B$2:$B$477,B116)/3,"")</x:f>
        <x:v>2531723.6666666665</x:v>
      </x:c>
      <x:c r="AB116" s="9" t="n">
        <x:f>IF(AND(ISNUMBER(J116),COUNTIFS($A$2:$A$477,EDATE(A116,-12),$B$2:$B$477,B116,$J$2:$J$477,"&gt;0")=1),J116/SUMIFS($J$2:$J$477,$A$2:$A$477,EDATE(A116,-12),$B$2:$B$477,B116)-1,"")</x:f>
        <x:v>-0.05847162542598905</x:v>
      </x:c>
    </x:row>
    <x:row r="117" ht="21" customHeight="1">
      <x:c r="A117" s="7" t="n">
        <x:v>44682</x:v>
      </x:c>
      <x:c r="B117" s="2" t="str">
        <x:v>清水</x:v>
      </x:c>
      <x:c r="C117" s="2" t="str">
        <x:v>静岡県</x:v>
      </x:c>
      <x:c r="D117" s="8" t="n">
        <x:v>1469733</x:v>
      </x:c>
      <x:c r="E117" s="8" t="n">
        <x:v>296635</x:v>
      </x:c>
      <x:c r="F117" s="8" t="n">
        <x:v>619381</x:v>
      </x:c>
      <x:c r="G117" s="8" t="n">
        <x:v>152333</x:v>
      </x:c>
      <x:c r="H117" s="8" t="n">
        <x:v>401384</x:v>
      </x:c>
      <x:c r="I117" s="8" t="n">
        <x:v>44449</x:v>
      </x:c>
      <x:c r="J117" s="8" t="n">
        <x:v>17416</x:v>
      </x:c>
      <x:c r="K117" s="8" t="n">
        <x:v>18169</x:v>
      </x:c>
      <x:c r="L117" s="8" t="n">
        <x:v>4128</x:v>
      </x:c>
      <x:c r="M117" s="8" t="n">
        <x:v>4736</x:v>
      </x:c>
      <x:c r="N117" s="8" t="n">
        <x:v>0</x:v>
      </x:c>
      <x:c r="O117" s="8" t="n">
        <x:v>0</x:v>
      </x:c>
      <x:c r="P117" s="8" t="n">
        <x:v>0</x:v>
      </x:c>
      <x:c r="Q117" s="8" t="n">
        <x:v>2</x:v>
      </x:c>
      <x:c r="R117" s="8" t="n">
        <x:v>2</x:v>
      </x:c>
      <x:c r="S117" s="8" t="n">
        <x:v>470</x:v>
      </x:c>
      <x:c r="T117" s="8" t="n">
        <x:v>142</x:v>
      </x:c>
      <x:c r="U117" s="2" t="str">
        <x:v>2025年12月25日現在</x:v>
      </x:c>
      <x:c r="V117" s="2" t="str">
        <x:v>2025-12-25</x:v>
      </x:c>
      <x:c r="W117" s="2" t="str">
        <x:v>https://www.e-stat.go.jp/stat-search/file-download?statInfId=000032170294&amp;fileKind=0</x:v>
      </x:c>
      <x:c r="X117" s="2" t="str">
        <x:v>海上出入貨物!313行、コンテナ個数!58行</x:v>
      </x:c>
      <x:c r="Y117" s="2" t="str">
        <x:v>取得済</x:v>
      </x:c>
      <x:c r="Z117" s="9" t="n">
        <x:f>IF(AND(ISNUMBER(E117),COUNTIFS($A$2:$A$477,EDATE(A117,-12),$B$2:$B$477,B117,$E$2:$E$477,"&gt;0")=1),E117/SUMIFS($E$2:$E$477,$A$2:$A$477,EDATE(A117,-12),$B$2:$B$477,B117)-1,"")</x:f>
        <x:v>-0.10958924669212111</x:v>
      </x:c>
      <x:c r="AA117" s="10" t="n">
        <x:f>IF(COUNTIFS($A$2:$A$477,"&gt;="&amp;EDATE(A117,-2),$A$2:$A$477,"&lt;="&amp;A117,$B$2:$B$477,B117,$E$2:$E$477,"&gt;=0")=3,SUMIFS($E$2:$E$477,$A$2:$A$477,"&gt;="&amp;EDATE(A117,-2),$A$2:$A$477,"&lt;="&amp;A117,$B$2:$B$477,B117)/3,"")</x:f>
        <x:v>327241.6666666667</x:v>
      </x:c>
      <x:c r="AB117" s="9" t="n">
        <x:f>IF(AND(ISNUMBER(J117),COUNTIFS($A$2:$A$477,EDATE(A117,-12),$B$2:$B$477,B117,$J$2:$J$477,"&gt;0")=1),J117/SUMIFS($J$2:$J$477,$A$2:$A$477,EDATE(A117,-12),$B$2:$B$477,B117)-1,"")</x:f>
        <x:v>-0.10847197338111081</x:v>
      </x:c>
    </x:row>
    <x:row r="118" ht="21" customHeight="1">
      <x:c r="A118" s="7" t="n">
        <x:v>44682</x:v>
      </x:c>
      <x:c r="B118" s="2" t="str">
        <x:v>博多</x:v>
      </x:c>
      <x:c r="C118" s="2" t="str">
        <x:v>福岡県</x:v>
      </x:c>
      <x:c r="D118" s="8" t="n">
        <x:v>2682191</x:v>
      </x:c>
      <x:c r="E118" s="8" t="n">
        <x:v>567549</x:v>
      </x:c>
      <x:c r="F118" s="8" t="n">
        <x:v>891727</x:v>
      </x:c>
      <x:c r="G118" s="8" t="n">
        <x:v>382215</x:v>
      </x:c>
      <x:c r="H118" s="8" t="n">
        <x:v>840700</x:v>
      </x:c>
      <x:c r="I118" s="8" t="n">
        <x:v>80334</x:v>
      </x:c>
      <x:c r="J118" s="8" t="n">
        <x:v>32465</x:v>
      </x:c>
      <x:c r="K118" s="8" t="n">
        <x:v>34312</x:v>
      </x:c>
      <x:c r="L118" s="8" t="n">
        <x:v>5882</x:v>
      </x:c>
      <x:c r="M118" s="8" t="n">
        <x:v>7675</x:v>
      </x:c>
      <x:c r="N118" s="8" t="n">
        <x:v>0</x:v>
      </x:c>
      <x:c r="O118" s="8" t="n">
        <x:v>0</x:v>
      </x:c>
      <x:c r="P118" s="8" t="n">
        <x:v>1355</x:v>
      </x:c>
      <x:c r="Q118" s="8" t="n">
        <x:v>1213</x:v>
      </x:c>
      <x:c r="R118" s="8" t="n">
        <x:v>2568</x:v>
      </x:c>
      <x:c r="S118" s="8" t="n">
        <x:v>1620</x:v>
      </x:c>
      <x:c r="T118" s="8" t="n">
        <x:v>210</x:v>
      </x:c>
      <x:c r="U118" s="2" t="str">
        <x:v>2025年12月25日現在</x:v>
      </x:c>
      <x:c r="V118" s="2" t="str">
        <x:v>2025-12-25</x:v>
      </x:c>
      <x:c r="W118" s="2" t="str">
        <x:v>https://www.e-stat.go.jp/stat-search/file-download?statInfId=000032170294&amp;fileKind=0</x:v>
      </x:c>
      <x:c r="X118" s="2" t="str">
        <x:v>海上出入貨物!745行、コンテナ個数!130行</x:v>
      </x:c>
      <x:c r="Y118" s="2" t="str">
        <x:v>取得済</x:v>
      </x:c>
      <x:c r="Z118" s="9" t="n">
        <x:f>IF(AND(ISNUMBER(E118),COUNTIFS($A$2:$A$477,EDATE(A118,-12),$B$2:$B$477,B118,$E$2:$E$477,"&gt;0")=1),E118/SUMIFS($E$2:$E$477,$A$2:$A$477,EDATE(A118,-12),$B$2:$B$477,B118)-1,"")</x:f>
        <x:v>-0.20273840980062452</x:v>
      </x:c>
      <x:c r="AA118" s="10" t="n">
        <x:f>IF(COUNTIFS($A$2:$A$477,"&gt;="&amp;EDATE(A118,-2),$A$2:$A$477,"&lt;="&amp;A118,$B$2:$B$477,B118,$E$2:$E$477,"&gt;=0")=3,SUMIFS($E$2:$E$477,$A$2:$A$477,"&gt;="&amp;EDATE(A118,-2),$A$2:$A$477,"&lt;="&amp;A118,$B$2:$B$477,B118)/3,"")</x:f>
        <x:v>658821.6666666666</x:v>
      </x:c>
      <x:c r="AB118" s="9" t="n">
        <x:f>IF(AND(ISNUMBER(J118),COUNTIFS($A$2:$A$477,EDATE(A118,-12),$B$2:$B$477,B118,$J$2:$J$477,"&gt;0")=1),J118/SUMIFS($J$2:$J$477,$A$2:$A$477,EDATE(A118,-12),$B$2:$B$477,B118)-1,"")</x:f>
        <x:v>-0.1085207458055304</x:v>
      </x:c>
    </x:row>
    <x:row r="119" ht="21" customHeight="1">
      <x:c r="A119" s="7" t="n">
        <x:v>44682</x:v>
      </x:c>
      <x:c r="B119" s="2" t="str">
        <x:v>熊本</x:v>
      </x:c>
      <x:c r="C119" s="2" t="str">
        <x:v>熊本県</x:v>
      </x:c>
      <x:c r="D119" s="8" t="n">
        <x:v>262403</x:v>
      </x:c>
      <x:c r="E119" s="8" t="n">
        <x:v>4138</x:v>
      </x:c>
      <x:c r="F119" s="8" t="n">
        <x:v>9768</x:v>
      </x:c>
      <x:c r="G119" s="8" t="n">
        <x:v>103612</x:v>
      </x:c>
      <x:c r="H119" s="8" t="n">
        <x:v>144885</x:v>
      </x:c>
      <x:c r="I119" s="8" t="n">
        <x:v>1032</x:v>
      </x:c>
      <x:c r="J119" s="8" t="n">
        <x:v>359</x:v>
      </x:c>
      <x:c r="K119" s="8" t="n">
        <x:v>583</x:v>
      </x:c>
      <x:c r="L119" s="8" t="n">
        <x:v>90</x:v>
      </x:c>
      <x:c r="M119" s="8" t="n">
        <x:v>0</x:v>
      </x:c>
      <x:c r="N119" s="8" t="n">
        <x:v>0</x:v>
      </x:c>
      <x:c r="O119" s="8" t="n">
        <x:v>0</x:v>
      </x:c>
      <x:c r="P119" s="8" t="n">
        <x:v>595</x:v>
      </x:c>
      <x:c r="Q119" s="8" t="n">
        <x:v>598</x:v>
      </x:c>
      <x:c r="R119" s="8" t="n">
        <x:v>1193</x:v>
      </x:c>
      <x:c r="S119" s="8" t="n">
        <x:v>35</x:v>
      </x:c>
      <x:c r="T119" s="8" t="n">
        <x:v>8</x:v>
      </x:c>
      <x:c r="U119" s="2" t="str">
        <x:v>2025年12月25日現在</x:v>
      </x:c>
      <x:c r="V119" s="2" t="str">
        <x:v>2025-12-25</x:v>
      </x:c>
      <x:c r="W119" s="2" t="str">
        <x:v>https://www.e-stat.go.jp/stat-search/file-download?statInfId=000032170294&amp;fileKind=0</x:v>
      </x:c>
      <x:c r="X119" s="2" t="str">
        <x:v>海上出入貨物!859行、コンテナ個数!149行</x:v>
      </x:c>
      <x:c r="Y119" s="2" t="str">
        <x:v>取得済</x:v>
      </x:c>
      <x:c r="Z119" s="9" t="n">
        <x:f>IF(AND(ISNUMBER(E119),COUNTIFS($A$2:$A$477,EDATE(A119,-12),$B$2:$B$477,B119,$E$2:$E$477,"&gt;0")=1),E119/SUMIFS($E$2:$E$477,$A$2:$A$477,EDATE(A119,-12),$B$2:$B$477,B119)-1,"")</x:f>
        <x:v>0.0009675858732463016</x:v>
      </x:c>
      <x:c r="AA119" s="10" t="n">
        <x:f>IF(COUNTIFS($A$2:$A$477,"&gt;="&amp;EDATE(A119,-2),$A$2:$A$477,"&lt;="&amp;A119,$B$2:$B$477,B119,$E$2:$E$477,"&gt;=0")=3,SUMIFS($E$2:$E$477,$A$2:$A$477,"&gt;="&amp;EDATE(A119,-2),$A$2:$A$477,"&lt;="&amp;A119,$B$2:$B$477,B119)/3,"")</x:f>
        <x:v>4160.666666666667</x:v>
      </x:c>
      <x:c r="AB119" s="9" t="n">
        <x:f>IF(AND(ISNUMBER(J119),COUNTIFS($A$2:$A$477,EDATE(A119,-12),$B$2:$B$477,B119,$J$2:$J$477,"&gt;0")=1),J119/SUMIFS($J$2:$J$477,$A$2:$A$477,EDATE(A119,-12),$B$2:$B$477,B119)-1,"")</x:f>
        <x:v>0.10802469135802473</x:v>
      </x:c>
    </x:row>
    <x:row r="120" ht="21" customHeight="1">
      <x:c r="A120" s="7" t="n">
        <x:v>44682</x:v>
      </x:c>
      <x:c r="B120" s="2" t="str">
        <x:v>八代</x:v>
      </x:c>
      <x:c r="C120" s="2" t="str">
        <x:v>熊本県</x:v>
      </x:c>
      <x:c r="D120" s="8" t="n">
        <x:v>299075</x:v>
      </x:c>
      <x:c r="E120" s="8" t="n">
        <x:v>12191</x:v>
      </x:c>
      <x:c r="F120" s="8" t="n">
        <x:v>110550</x:v>
      </x:c>
      <x:c r="G120" s="8" t="n">
        <x:v>19405</x:v>
      </x:c>
      <x:c r="H120" s="8" t="n">
        <x:v>156929</x:v>
      </x:c>
      <x:c r="I120" s="8" t="n">
        <x:v>2294</x:v>
      </x:c>
      <x:c r="J120" s="8" t="n">
        <x:v>1111</x:v>
      </x:c>
      <x:c r="K120" s="8" t="n">
        <x:v>1004</x:v>
      </x:c>
      <x:c r="L120" s="8" t="n">
        <x:v>39</x:v>
      </x:c>
      <x:c r="M120" s="8" t="n">
        <x:v>140</x:v>
      </x:c>
      <x:c r="N120" s="8" t="n">
        <x:v>0</x:v>
      </x:c>
      <x:c r="O120" s="8" t="n">
        <x:v>0</x:v>
      </x:c>
      <x:c r="P120" s="8" t="n">
        <x:v>0</x:v>
      </x:c>
      <x:c r="Q120" s="8" t="n">
        <x:v>0</x:v>
      </x:c>
      <x:c r="R120" s="8" t="n">
        <x:v>0</x:v>
      </x:c>
      <x:c r="S120" s="8" t="n">
        <x:v>161</x:v>
      </x:c>
      <x:c r="T120" s="8" t="n">
        <x:v>22</x:v>
      </x:c>
      <x:c r="U120" s="2" t="str">
        <x:v>2025年12月25日現在</x:v>
      </x:c>
      <x:c r="V120" s="2" t="str">
        <x:v>2025-12-25</x:v>
      </x:c>
      <x:c r="W120" s="2" t="str">
        <x:v>https://www.e-stat.go.jp/stat-search/file-download?statInfId=000032170294&amp;fileKind=0</x:v>
      </x:c>
      <x:c r="X120" s="2" t="str">
        <x:v>海上出入貨物!847行、コンテナ個数!147行</x:v>
      </x:c>
      <x:c r="Y120" s="2" t="str">
        <x:v>取得済</x:v>
      </x:c>
      <x:c r="Z120" s="9" t="n">
        <x:f>IF(AND(ISNUMBER(E120),COUNTIFS($A$2:$A$477,EDATE(A120,-12),$B$2:$B$477,B120,$E$2:$E$477,"&gt;0")=1),E120/SUMIFS($E$2:$E$477,$A$2:$A$477,EDATE(A120,-12),$B$2:$B$477,B120)-1,"")</x:f>
        <x:v>-0.616236975477697</x:v>
      </x:c>
      <x:c r="AA120" s="10" t="n">
        <x:f>IF(COUNTIFS($A$2:$A$477,"&gt;="&amp;EDATE(A120,-2),$A$2:$A$477,"&lt;="&amp;A120,$B$2:$B$477,B120,$E$2:$E$477,"&gt;=0")=3,SUMIFS($E$2:$E$477,$A$2:$A$477,"&gt;="&amp;EDATE(A120,-2),$A$2:$A$477,"&lt;="&amp;A120,$B$2:$B$477,B120)/3,"")</x:f>
        <x:v>14387.333333333334</x:v>
      </x:c>
      <x:c r="AB120" s="9" t="n">
        <x:f>IF(AND(ISNUMBER(J120),COUNTIFS($A$2:$A$477,EDATE(A120,-12),$B$2:$B$477,B120,$J$2:$J$477,"&gt;0")=1),J120/SUMIFS($J$2:$J$477,$A$2:$A$477,EDATE(A120,-12),$B$2:$B$477,B120)-1,"")</x:f>
        <x:v>0.030612244897959107</x:v>
      </x:c>
    </x:row>
    <x:row r="121" ht="21" customHeight="1">
      <x:c r="A121" s="7" t="n">
        <x:v>44713</x:v>
      </x:c>
      <x:c r="B121" s="2" t="str">
        <x:v>仙台塩釜</x:v>
      </x:c>
      <x:c r="C121" s="2" t="str">
        <x:v>宮城県</x:v>
      </x:c>
      <x:c r="D121" s="8" t="n">
        <x:v>2898455</x:v>
      </x:c>
      <x:c r="E121" s="8" t="n">
        <x:v>83747</x:v>
      </x:c>
      <x:c r="F121" s="8" t="n">
        <x:v>691643</x:v>
      </x:c>
      <x:c r="G121" s="8" t="n">
        <x:v>813369</x:v>
      </x:c>
      <x:c r="H121" s="8" t="n">
        <x:v>1309696</x:v>
      </x:c>
      <x:c r="I121" s="8" t="n">
        <x:v>22082</x:v>
      </x:c>
      <x:c r="J121" s="8" t="n">
        <x:v>5725</x:v>
      </x:c>
      <x:c r="K121" s="8" t="n">
        <x:v>5737</x:v>
      </x:c>
      <x:c r="L121" s="8" t="n">
        <x:v>5395</x:v>
      </x:c>
      <x:c r="M121" s="8" t="n">
        <x:v>5225</x:v>
      </x:c>
      <x:c r="N121" s="8" t="n">
        <x:v>0</x:v>
      </x:c>
      <x:c r="O121" s="8" t="n">
        <x:v>0</x:v>
      </x:c>
      <x:c r="P121" s="8" t="n">
        <x:v>535</x:v>
      </x:c>
      <x:c r="Q121" s="8" t="n">
        <x:v>593</x:v>
      </x:c>
      <x:c r="R121" s="8" t="n">
        <x:v>1128</x:v>
      </x:c>
      <x:c r="S121" s="8" t="n">
        <x:v>1780</x:v>
      </x:c>
      <x:c r="T121" s="8" t="n">
        <x:v>73</x:v>
      </x:c>
      <x:c r="U121" s="2" t="str">
        <x:v>2025年12月25日現在</x:v>
      </x:c>
      <x:c r="V121" s="2" t="str">
        <x:v>2025-12-25</x:v>
      </x:c>
      <x:c r="W121" s="2" t="str">
        <x:v>https://www.e-stat.go.jp/stat-search/file-download?statInfId=000032170294&amp;fileKind=0</x:v>
      </x:c>
      <x:c r="X121" s="2" t="str">
        <x:v>海上出入貨物!139行、コンテナ個数!29行</x:v>
      </x:c>
      <x:c r="Y121" s="2" t="str">
        <x:v>取得済</x:v>
      </x:c>
      <x:c r="Z121" s="9" t="n">
        <x:f>IF(AND(ISNUMBER(E121),COUNTIFS($A$2:$A$477,EDATE(A121,-12),$B$2:$B$477,B121,$E$2:$E$477,"&gt;0")=1),E121/SUMIFS($E$2:$E$477,$A$2:$A$477,EDATE(A121,-12),$B$2:$B$477,B121)-1,"")</x:f>
        <x:v>-0.09625864655163108</x:v>
      </x:c>
      <x:c r="AA121" s="10" t="n">
        <x:f>IF(COUNTIFS($A$2:$A$477,"&gt;="&amp;EDATE(A121,-2),$A$2:$A$477,"&lt;="&amp;A121,$B$2:$B$477,B121,$E$2:$E$477,"&gt;=0")=3,SUMIFS($E$2:$E$477,$A$2:$A$477,"&gt;="&amp;EDATE(A121,-2),$A$2:$A$477,"&lt;="&amp;A121,$B$2:$B$477,B121)/3,"")</x:f>
        <x:v>88219</x:v>
      </x:c>
      <x:c r="AB121" s="9" t="n">
        <x:f>IF(AND(ISNUMBER(J121),COUNTIFS($A$2:$A$477,EDATE(A121,-12),$B$2:$B$477,B121,$J$2:$J$477,"&gt;0")=1),J121/SUMIFS($J$2:$J$477,$A$2:$A$477,EDATE(A121,-12),$B$2:$B$477,B121)-1,"")</x:f>
        <x:v>-0.20408730710412903</x:v>
      </x:c>
    </x:row>
    <x:row r="122" ht="21" customHeight="1">
      <x:c r="A122" s="7" t="n">
        <x:v>44713</x:v>
      </x:c>
      <x:c r="B122" s="2" t="str">
        <x:v>東京</x:v>
      </x:c>
      <x:c r="C122" s="2" t="str">
        <x:v>東京都</x:v>
      </x:c>
      <x:c r="D122" s="8" t="n">
        <x:v>7323781</x:v>
      </x:c>
      <x:c r="E122" s="8" t="n">
        <x:v>1050685</x:v>
      </x:c>
      <x:c r="F122" s="8" t="n">
        <x:v>3215495</x:v>
      </x:c>
      <x:c r="G122" s="8" t="n">
        <x:v>1175377</x:v>
      </x:c>
      <x:c r="H122" s="8" t="n">
        <x:v>1882224</x:v>
      </x:c>
      <x:c r="I122" s="8" t="n">
        <x:v>444164</x:v>
      </x:c>
      <x:c r="J122" s="8" t="n">
        <x:v>183725</x:v>
      </x:c>
      <x:c r="K122" s="8" t="n">
        <x:v>214275</x:v>
      </x:c>
      <x:c r="L122" s="8" t="n">
        <x:v>32480</x:v>
      </x:c>
      <x:c r="M122" s="8" t="n">
        <x:v>13684</x:v>
      </x:c>
      <x:c r="N122" s="8" t="n">
        <x:v>0</x:v>
      </x:c>
      <x:c r="O122" s="8" t="n">
        <x:v>0</x:v>
      </x:c>
      <x:c r="P122" s="8" t="n">
        <x:v>252</x:v>
      </x:c>
      <x:c r="Q122" s="8" t="n">
        <x:v>162</x:v>
      </x:c>
      <x:c r="R122" s="8" t="n">
        <x:v>414</x:v>
      </x:c>
      <x:c r="S122" s="8" t="n">
        <x:v>1720</x:v>
      </x:c>
      <x:c r="T122" s="8" t="n">
        <x:v>371</x:v>
      </x:c>
      <x:c r="U122" s="2" t="str">
        <x:v>2025年12月25日現在</x:v>
      </x:c>
      <x:c r="V122" s="2" t="str">
        <x:v>2025-12-25</x:v>
      </x:c>
      <x:c r="W122" s="2" t="str">
        <x:v>https://www.e-stat.go.jp/stat-search/file-download?statInfId=000032170294&amp;fileKind=0</x:v>
      </x:c>
      <x:c r="X122" s="2" t="str">
        <x:v>海上出入貨物!205行、コンテナ個数!40行</x:v>
      </x:c>
      <x:c r="Y122" s="2" t="str">
        <x:v>取得済</x:v>
      </x:c>
      <x:c r="Z122" s="9" t="n">
        <x:f>IF(AND(ISNUMBER(E122),COUNTIFS($A$2:$A$477,EDATE(A122,-12),$B$2:$B$477,B122,$E$2:$E$477,"&gt;0")=1),E122/SUMIFS($E$2:$E$477,$A$2:$A$477,EDATE(A122,-12),$B$2:$B$477,B122)-1,"")</x:f>
        <x:v>-0.0491590090913534</x:v>
      </x:c>
      <x:c r="AA122" s="10" t="n">
        <x:f>IF(COUNTIFS($A$2:$A$477,"&gt;="&amp;EDATE(A122,-2),$A$2:$A$477,"&lt;="&amp;A122,$B$2:$B$477,B122,$E$2:$E$477,"&gt;=0")=3,SUMIFS($E$2:$E$477,$A$2:$A$477,"&gt;="&amp;EDATE(A122,-2),$A$2:$A$477,"&lt;="&amp;A122,$B$2:$B$477,B122)/3,"")</x:f>
        <x:v>1007019.6666666666</x:v>
      </x:c>
      <x:c r="AB122" s="9" t="n">
        <x:f>IF(AND(ISNUMBER(J122),COUNTIFS($A$2:$A$477,EDATE(A122,-12),$B$2:$B$477,B122,$J$2:$J$477,"&gt;0")=1),J122/SUMIFS($J$2:$J$477,$A$2:$A$477,EDATE(A122,-12),$B$2:$B$477,B122)-1,"")</x:f>
        <x:v>0.09530282164553272</x:v>
      </x:c>
    </x:row>
    <x:row r="123" ht="21" customHeight="1">
      <x:c r="A123" s="7" t="n">
        <x:v>44713</x:v>
      </x:c>
      <x:c r="B123" s="2" t="str">
        <x:v>横浜</x:v>
      </x:c>
      <x:c r="C123" s="2" t="str">
        <x:v>神奈川県</x:v>
      </x:c>
      <x:c r="D123" s="8" t="n">
        <x:v>9430625</x:v>
      </x:c>
      <x:c r="E123" s="8" t="n">
        <x:v>2534679</x:v>
      </x:c>
      <x:c r="F123" s="8" t="n">
        <x:v>3893868</x:v>
      </x:c>
      <x:c r="G123" s="8" t="n">
        <x:v>1437758</x:v>
      </x:c>
      <x:c r="H123" s="8" t="n">
        <x:v>1564320</x:v>
      </x:c>
      <x:c r="I123" s="8" t="n">
        <x:v>262363</x:v>
      </x:c>
      <x:c r="J123" s="8" t="n">
        <x:v>121444</x:v>
      </x:c>
      <x:c r="K123" s="8" t="n">
        <x:v>107804</x:v>
      </x:c>
      <x:c r="L123" s="8" t="n">
        <x:v>14618</x:v>
      </x:c>
      <x:c r="M123" s="8" t="n">
        <x:v>18497</x:v>
      </x:c>
      <x:c r="N123" s="8" t="n">
        <x:v>0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2300</x:v>
      </x:c>
      <x:c r="T123" s="8" t="n">
        <x:v>663</x:v>
      </x:c>
      <x:c r="U123" s="2" t="str">
        <x:v>2025年12月25日現在</x:v>
      </x:c>
      <x:c r="V123" s="2" t="str">
        <x:v>2025-12-25</x:v>
      </x:c>
      <x:c r="W123" s="2" t="str">
        <x:v>https://www.e-stat.go.jp/stat-search/file-download?statInfId=000032170294&amp;fileKind=0</x:v>
      </x:c>
      <x:c r="X123" s="2" t="str">
        <x:v>海上出入貨物!217行、コンテナ個数!42行</x:v>
      </x:c>
      <x:c r="Y123" s="2" t="str">
        <x:v>取得済</x:v>
      </x:c>
      <x:c r="Z123" s="9" t="n">
        <x:f>IF(AND(ISNUMBER(E123),COUNTIFS($A$2:$A$477,EDATE(A123,-12),$B$2:$B$477,B123,$E$2:$E$477,"&gt;0")=1),E123/SUMIFS($E$2:$E$477,$A$2:$A$477,EDATE(A123,-12),$B$2:$B$477,B123)-1,"")</x:f>
        <x:v>0.1039879264611725</x:v>
      </x:c>
      <x:c r="AA123" s="10" t="n">
        <x:f>IF(COUNTIFS($A$2:$A$477,"&gt;="&amp;EDATE(A123,-2),$A$2:$A$477,"&lt;="&amp;A123,$B$2:$B$477,B123,$E$2:$E$477,"&gt;=0")=3,SUMIFS($E$2:$E$477,$A$2:$A$477,"&gt;="&amp;EDATE(A123,-2),$A$2:$A$477,"&lt;="&amp;A123,$B$2:$B$477,B123)/3,"")</x:f>
        <x:v>2502857.6666666665</x:v>
      </x:c>
      <x:c r="AB123" s="9" t="n">
        <x:f>IF(AND(ISNUMBER(J123),COUNTIFS($A$2:$A$477,EDATE(A123,-12),$B$2:$B$477,B123,$J$2:$J$477,"&gt;0")=1),J123/SUMIFS($J$2:$J$477,$A$2:$A$477,EDATE(A123,-12),$B$2:$B$477,B123)-1,"")</x:f>
        <x:v>0.02594341615064244</x:v>
      </x:c>
    </x:row>
    <x:row r="124" ht="21" customHeight="1">
      <x:c r="A124" s="7" t="n">
        <x:v>44713</x:v>
      </x:c>
      <x:c r="B124" s="2" t="str">
        <x:v>清水</x:v>
      </x:c>
      <x:c r="C124" s="2" t="str">
        <x:v>静岡県</x:v>
      </x:c>
      <x:c r="D124" s="8" t="n">
        <x:v>1534687</x:v>
      </x:c>
      <x:c r="E124" s="8" t="n">
        <x:v>330801</x:v>
      </x:c>
      <x:c r="F124" s="8" t="n">
        <x:v>626234</x:v>
      </x:c>
      <x:c r="G124" s="8" t="n">
        <x:v>170676</x:v>
      </x:c>
      <x:c r="H124" s="8" t="n">
        <x:v>406976</x:v>
      </x:c>
      <x:c r="I124" s="8" t="n">
        <x:v>49017</x:v>
      </x:c>
      <x:c r="J124" s="8" t="n">
        <x:v>19821</x:v>
      </x:c>
      <x:c r="K124" s="8" t="n">
        <x:v>18594</x:v>
      </x:c>
      <x:c r="L124" s="8" t="n">
        <x:v>5302</x:v>
      </x:c>
      <x:c r="M124" s="8" t="n">
        <x:v>5300</x:v>
      </x:c>
      <x:c r="N124" s="8" t="n">
        <x:v>0</x:v>
      </x:c>
      <x:c r="O124" s="8" t="n">
        <x:v>0</x:v>
      </x:c>
      <x:c r="P124" s="8" t="n">
        <x:v>2</x:v>
      </x:c>
      <x:c r="Q124" s="8" t="n">
        <x:v>1</x:v>
      </x:c>
      <x:c r="R124" s="8" t="n">
        <x:v>3</x:v>
      </x:c>
      <x:c r="S124" s="8" t="n">
        <x:v>471</x:v>
      </x:c>
      <x:c r="T124" s="8" t="n">
        <x:v>136</x:v>
      </x:c>
      <x:c r="U124" s="2" t="str">
        <x:v>2025年12月25日現在</x:v>
      </x:c>
      <x:c r="V124" s="2" t="str">
        <x:v>2025-12-25</x:v>
      </x:c>
      <x:c r="W124" s="2" t="str">
        <x:v>https://www.e-stat.go.jp/stat-search/file-download?statInfId=000032170294&amp;fileKind=0</x:v>
      </x:c>
      <x:c r="X124" s="2" t="str">
        <x:v>海上出入貨物!313行、コンテナ個数!58行</x:v>
      </x:c>
      <x:c r="Y124" s="2" t="str">
        <x:v>取得済</x:v>
      </x:c>
      <x:c r="Z124" s="9" t="n">
        <x:f>IF(AND(ISNUMBER(E124),COUNTIFS($A$2:$A$477,EDATE(A124,-12),$B$2:$B$477,B124,$E$2:$E$477,"&gt;0")=1),E124/SUMIFS($E$2:$E$477,$A$2:$A$477,EDATE(A124,-12),$B$2:$B$477,B124)-1,"")</x:f>
        <x:v>0.036603785409877077</x:v>
      </x:c>
      <x:c r="AA124" s="10" t="n">
        <x:f>IF(COUNTIFS($A$2:$A$477,"&gt;="&amp;EDATE(A124,-2),$A$2:$A$477,"&lt;="&amp;A124,$B$2:$B$477,B124,$E$2:$E$477,"&gt;=0")=3,SUMIFS($E$2:$E$477,$A$2:$A$477,"&gt;="&amp;EDATE(A124,-2),$A$2:$A$477,"&lt;="&amp;A124,$B$2:$B$477,B124)/3,"")</x:f>
        <x:v>317292.3333333333</x:v>
      </x:c>
      <x:c r="AB124" s="9" t="n">
        <x:f>IF(AND(ISNUMBER(J124),COUNTIFS($A$2:$A$477,EDATE(A124,-12),$B$2:$B$477,B124,$J$2:$J$477,"&gt;0")=1),J124/SUMIFS($J$2:$J$477,$A$2:$A$477,EDATE(A124,-12),$B$2:$B$477,B124)-1,"")</x:f>
        <x:v>0.017244033872209297</x:v>
      </x:c>
    </x:row>
    <x:row r="125" ht="21" customHeight="1">
      <x:c r="A125" s="7" t="n">
        <x:v>44713</x:v>
      </x:c>
      <x:c r="B125" s="2" t="str">
        <x:v>博多</x:v>
      </x:c>
      <x:c r="C125" s="2" t="str">
        <x:v>福岡県</x:v>
      </x:c>
      <x:c r="D125" s="8" t="n">
        <x:v>2919764</x:v>
      </x:c>
      <x:c r="E125" s="8" t="n">
        <x:v>729568</x:v>
      </x:c>
      <x:c r="F125" s="8" t="n">
        <x:v>827607</x:v>
      </x:c>
      <x:c r="G125" s="8" t="n">
        <x:v>426656</x:v>
      </x:c>
      <x:c r="H125" s="8" t="n">
        <x:v>935933</x:v>
      </x:c>
      <x:c r="I125" s="8" t="n">
        <x:v>83635</x:v>
      </x:c>
      <x:c r="J125" s="8" t="n">
        <x:v>35860</x:v>
      </x:c>
      <x:c r="K125" s="8" t="n">
        <x:v>33503</x:v>
      </x:c>
      <x:c r="L125" s="8" t="n">
        <x:v>6993</x:v>
      </x:c>
      <x:c r="M125" s="8" t="n">
        <x:v>7279</x:v>
      </x:c>
      <x:c r="N125" s="8" t="n">
        <x:v>0</x:v>
      </x:c>
      <x:c r="O125" s="8" t="n">
        <x:v>0</x:v>
      </x:c>
      <x:c r="P125" s="8" t="n">
        <x:v>1344</x:v>
      </x:c>
      <x:c r="Q125" s="8" t="n">
        <x:v>1370</x:v>
      </x:c>
      <x:c r="R125" s="8" t="n">
        <x:v>2714</x:v>
      </x:c>
      <x:c r="S125" s="8" t="n">
        <x:v>1593</x:v>
      </x:c>
      <x:c r="T125" s="8" t="n">
        <x:v>212</x:v>
      </x:c>
      <x:c r="U125" s="2" t="str">
        <x:v>2025年12月25日現在</x:v>
      </x:c>
      <x:c r="V125" s="2" t="str">
        <x:v>2025-12-25</x:v>
      </x:c>
      <x:c r="W125" s="2" t="str">
        <x:v>https://www.e-stat.go.jp/stat-search/file-download?statInfId=000032170294&amp;fileKind=0</x:v>
      </x:c>
      <x:c r="X125" s="2" t="str">
        <x:v>海上出入貨物!745行、コンテナ個数!130行</x:v>
      </x:c>
      <x:c r="Y125" s="2" t="str">
        <x:v>取得済</x:v>
      </x:c>
      <x:c r="Z125" s="9" t="n">
        <x:f>IF(AND(ISNUMBER(E125),COUNTIFS($A$2:$A$477,EDATE(A125,-12),$B$2:$B$477,B125,$E$2:$E$477,"&gt;0")=1),E125/SUMIFS($E$2:$E$477,$A$2:$A$477,EDATE(A125,-12),$B$2:$B$477,B125)-1,"")</x:f>
        <x:v>-0.11192370194092627</x:v>
      </x:c>
      <x:c r="AA125" s="10" t="n">
        <x:f>IF(COUNTIFS($A$2:$A$477,"&gt;="&amp;EDATE(A125,-2),$A$2:$A$477,"&lt;="&amp;A125,$B$2:$B$477,B125,$E$2:$E$477,"&gt;=0")=3,SUMIFS($E$2:$E$477,$A$2:$A$477,"&gt;="&amp;EDATE(A125,-2),$A$2:$A$477,"&lt;="&amp;A125,$B$2:$B$477,B125)/3,"")</x:f>
        <x:v>661908.3333333334</x:v>
      </x:c>
      <x:c r="AB125" s="9" t="n">
        <x:f>IF(AND(ISNUMBER(J125),COUNTIFS($A$2:$A$477,EDATE(A125,-12),$B$2:$B$477,B125,$J$2:$J$477,"&gt;0")=1),J125/SUMIFS($J$2:$J$477,$A$2:$A$477,EDATE(A125,-12),$B$2:$B$477,B125)-1,"")</x:f>
        <x:v>0.07963269607105228</x:v>
      </x:c>
    </x:row>
    <x:row r="126" ht="21" customHeight="1">
      <x:c r="A126" s="7" t="n">
        <x:v>44713</x:v>
      </x:c>
      <x:c r="B126" s="2" t="str">
        <x:v>熊本</x:v>
      </x:c>
      <x:c r="C126" s="2" t="str">
        <x:v>熊本県</x:v>
      </x:c>
      <x:c r="D126" s="8" t="n">
        <x:v>232794</x:v>
      </x:c>
      <x:c r="E126" s="8" t="n">
        <x:v>3287</x:v>
      </x:c>
      <x:c r="F126" s="8" t="n">
        <x:v>5860</x:v>
      </x:c>
      <x:c r="G126" s="8" t="n">
        <x:v>90182</x:v>
      </x:c>
      <x:c r="H126" s="8" t="n">
        <x:v>133465</x:v>
      </x:c>
      <x:c r="I126" s="8" t="n">
        <x:v>752</x:v>
      </x:c>
      <x:c r="J126" s="8" t="n">
        <x:v>293</x:v>
      </x:c>
      <x:c r="K126" s="8" t="n">
        <x:v>339</x:v>
      </x:c>
      <x:c r="L126" s="8" t="n">
        <x:v>120</x:v>
      </x:c>
      <x:c r="M126" s="8" t="n">
        <x:v>0</x:v>
      </x:c>
      <x:c r="N126" s="8" t="n">
        <x:v>0</x:v>
      </x:c>
      <x:c r="O126" s="8" t="n">
        <x:v>0</x:v>
      </x:c>
      <x:c r="P126" s="8" t="n">
        <x:v>632</x:v>
      </x:c>
      <x:c r="Q126" s="8" t="n">
        <x:v>640</x:v>
      </x:c>
      <x:c r="R126" s="8" t="n">
        <x:v>1272</x:v>
      </x:c>
      <x:c r="S126" s="8" t="n">
        <x:v>45</x:v>
      </x:c>
      <x:c r="T126" s="8" t="n">
        <x:v>8</x:v>
      </x:c>
      <x:c r="U126" s="2" t="str">
        <x:v>2025年12月25日現在</x:v>
      </x:c>
      <x:c r="V126" s="2" t="str">
        <x:v>2025-12-25</x:v>
      </x:c>
      <x:c r="W126" s="2" t="str">
        <x:v>https://www.e-stat.go.jp/stat-search/file-download?statInfId=000032170294&amp;fileKind=0</x:v>
      </x:c>
      <x:c r="X126" s="2" t="str">
        <x:v>海上出入貨物!859行、コンテナ個数!149行</x:v>
      </x:c>
      <x:c r="Y126" s="2" t="str">
        <x:v>取得済</x:v>
      </x:c>
      <x:c r="Z126" s="9" t="n">
        <x:f>IF(AND(ISNUMBER(E126),COUNTIFS($A$2:$A$477,EDATE(A126,-12),$B$2:$B$477,B126,$E$2:$E$477,"&gt;0")=1),E126/SUMIFS($E$2:$E$477,$A$2:$A$477,EDATE(A126,-12),$B$2:$B$477,B126)-1,"")</x:f>
        <x:v>-0.6067240966738454</x:v>
      </x:c>
      <x:c r="AA126" s="10" t="n">
        <x:f>IF(COUNTIFS($A$2:$A$477,"&gt;="&amp;EDATE(A126,-2),$A$2:$A$477,"&lt;="&amp;A126,$B$2:$B$477,B126,$E$2:$E$477,"&gt;=0")=3,SUMIFS($E$2:$E$477,$A$2:$A$477,"&gt;="&amp;EDATE(A126,-2),$A$2:$A$477,"&lt;="&amp;A126,$B$2:$B$477,B126)/3,"")</x:f>
        <x:v>3865.3333333333335</x:v>
      </x:c>
      <x:c r="AB126" s="9" t="n">
        <x:f>IF(AND(ISNUMBER(J126),COUNTIFS($A$2:$A$477,EDATE(A126,-12),$B$2:$B$477,B126,$J$2:$J$477,"&gt;0")=1),J126/SUMIFS($J$2:$J$477,$A$2:$A$477,EDATE(A126,-12),$B$2:$B$477,B126)-1,"")</x:f>
        <x:v>-0.4343629343629344</x:v>
      </x:c>
    </x:row>
    <x:row r="127" ht="21" customHeight="1">
      <x:c r="A127" s="7" t="n">
        <x:v>44713</x:v>
      </x:c>
      <x:c r="B127" s="2" t="str">
        <x:v>八代</x:v>
      </x:c>
      <x:c r="C127" s="2" t="str">
        <x:v>熊本県</x:v>
      </x:c>
      <x:c r="D127" s="8" t="n">
        <x:v>331548</x:v>
      </x:c>
      <x:c r="E127" s="8" t="n">
        <x:v>12908</x:v>
      </x:c>
      <x:c r="F127" s="8" t="n">
        <x:v>140367</x:v>
      </x:c>
      <x:c r="G127" s="8" t="n">
        <x:v>24567</x:v>
      </x:c>
      <x:c r="H127" s="8" t="n">
        <x:v>153706</x:v>
      </x:c>
      <x:c r="I127" s="8" t="n">
        <x:v>2198</x:v>
      </x:c>
      <x:c r="J127" s="8" t="n">
        <x:v>1069</x:v>
      </x:c>
      <x:c r="K127" s="8" t="n">
        <x:v>859</x:v>
      </x:c>
      <x:c r="L127" s="8" t="n">
        <x:v>89</x:v>
      </x:c>
      <x:c r="M127" s="8" t="n">
        <x:v>181</x:v>
      </x:c>
      <x:c r="N127" s="8" t="n">
        <x:v>0</x:v>
      </x:c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167</x:v>
      </x:c>
      <x:c r="T127" s="8" t="n">
        <x:v>29</x:v>
      </x:c>
      <x:c r="U127" s="2" t="str">
        <x:v>2025年12月25日現在</x:v>
      </x:c>
      <x:c r="V127" s="2" t="str">
        <x:v>2025-12-25</x:v>
      </x:c>
      <x:c r="W127" s="2" t="str">
        <x:v>https://www.e-stat.go.jp/stat-search/file-download?statInfId=000032170294&amp;fileKind=0</x:v>
      </x:c>
      <x:c r="X127" s="2" t="str">
        <x:v>海上出入貨物!847行、コンテナ個数!147行</x:v>
      </x:c>
      <x:c r="Y127" s="2" t="str">
        <x:v>取得済</x:v>
      </x:c>
      <x:c r="Z127" s="9" t="n">
        <x:f>IF(AND(ISNUMBER(E127),COUNTIFS($A$2:$A$477,EDATE(A127,-12),$B$2:$B$477,B127,$E$2:$E$477,"&gt;0")=1),E127/SUMIFS($E$2:$E$477,$A$2:$A$477,EDATE(A127,-12),$B$2:$B$477,B127)-1,"")</x:f>
        <x:v>-0.5387199371046707</x:v>
      </x:c>
      <x:c r="AA127" s="10" t="n">
        <x:f>IF(COUNTIFS($A$2:$A$477,"&gt;="&amp;EDATE(A127,-2),$A$2:$A$477,"&lt;="&amp;A127,$B$2:$B$477,B127,$E$2:$E$477,"&gt;=0")=3,SUMIFS($E$2:$E$477,$A$2:$A$477,"&gt;="&amp;EDATE(A127,-2),$A$2:$A$477,"&lt;="&amp;A127,$B$2:$B$477,B127)/3,"")</x:f>
        <x:v>13983.333333333334</x:v>
      </x:c>
      <x:c r="AB127" s="9" t="n">
        <x:f>IF(AND(ISNUMBER(J127),COUNTIFS($A$2:$A$477,EDATE(A127,-12),$B$2:$B$477,B127,$J$2:$J$477,"&gt;0")=1),J127/SUMIFS($J$2:$J$477,$A$2:$A$477,EDATE(A127,-12),$B$2:$B$477,B127)-1,"")</x:f>
        <x:v>-0.1420545746388443</x:v>
      </x:c>
    </x:row>
    <x:row r="128" ht="21" customHeight="1">
      <x:c r="A128" s="7" t="n">
        <x:v>44743</x:v>
      </x:c>
      <x:c r="B128" s="2" t="str">
        <x:v>仙台塩釜</x:v>
      </x:c>
      <x:c r="C128" s="2" t="str">
        <x:v>宮城県</x:v>
      </x:c>
      <x:c r="D128" s="8" t="n">
        <x:v>3251834</x:v>
      </x:c>
      <x:c r="E128" s="8" t="n">
        <x:v>155580</x:v>
      </x:c>
      <x:c r="F128" s="8" t="n">
        <x:v>810443</x:v>
      </x:c>
      <x:c r="G128" s="8" t="n">
        <x:v>993496</x:v>
      </x:c>
      <x:c r="H128" s="8" t="n">
        <x:v>1292315</x:v>
      </x:c>
      <x:c r="I128" s="8" t="n">
        <x:v>23413</x:v>
      </x:c>
      <x:c r="J128" s="8" t="n">
        <x:v>5867</x:v>
      </x:c>
      <x:c r="K128" s="8" t="n">
        <x:v>6289</x:v>
      </x:c>
      <x:c r="L128" s="8" t="n">
        <x:v>5709</x:v>
      </x:c>
      <x:c r="M128" s="8" t="n">
        <x:v>5548</x:v>
      </x:c>
      <x:c r="N128" s="8" t="n">
        <x:v>0</x:v>
      </x:c>
      <x:c r="O128" s="8" t="n">
        <x:v>0</x:v>
      </x:c>
      <x:c r="P128" s="8" t="n">
        <x:v>603</x:v>
      </x:c>
      <x:c r="Q128" s="8" t="n">
        <x:v>669</x:v>
      </x:c>
      <x:c r="R128" s="8" t="n">
        <x:v>1272</x:v>
      </x:c>
      <x:c r="S128" s="8" t="n">
        <x:v>1871</x:v>
      </x:c>
      <x:c r="T128" s="8" t="n">
        <x:v>89</x:v>
      </x:c>
      <x:c r="U128" s="2" t="str">
        <x:v>2025年12月25日現在</x:v>
      </x:c>
      <x:c r="V128" s="2" t="str">
        <x:v>2025-12-25</x:v>
      </x:c>
      <x:c r="W128" s="2" t="str">
        <x:v>https://www.e-stat.go.jp/stat-search/file-download?statInfId=000032170294&amp;fileKind=0</x:v>
      </x:c>
      <x:c r="X128" s="2" t="str">
        <x:v>海上出入貨物!139行、コンテナ個数!29行</x:v>
      </x:c>
      <x:c r="Y128" s="2" t="str">
        <x:v>取得済</x:v>
      </x:c>
      <x:c r="Z128" s="9" t="n">
        <x:f>IF(AND(ISNUMBER(E128),COUNTIFS($A$2:$A$477,EDATE(A128,-12),$B$2:$B$477,B128,$E$2:$E$477,"&gt;0")=1),E128/SUMIFS($E$2:$E$477,$A$2:$A$477,EDATE(A128,-12),$B$2:$B$477,B128)-1,"")</x:f>
        <x:v>1.267269017779073</x:v>
      </x:c>
      <x:c r="AA128" s="10" t="n">
        <x:f>IF(COUNTIFS($A$2:$A$477,"&gt;="&amp;EDATE(A128,-2),$A$2:$A$477,"&lt;="&amp;A128,$B$2:$B$477,B128,$E$2:$E$477,"&gt;=0")=3,SUMIFS($E$2:$E$477,$A$2:$A$477,"&gt;="&amp;EDATE(A128,-2),$A$2:$A$477,"&lt;="&amp;A128,$B$2:$B$477,B128)/3,"")</x:f>
        <x:v>112228.33333333333</x:v>
      </x:c>
      <x:c r="AB128" s="9" t="n">
        <x:f>IF(AND(ISNUMBER(J128),COUNTIFS($A$2:$A$477,EDATE(A128,-12),$B$2:$B$477,B128,$J$2:$J$477,"&gt;0")=1),J128/SUMIFS($J$2:$J$477,$A$2:$A$477,EDATE(A128,-12),$B$2:$B$477,B128)-1,"")</x:f>
        <x:v>-0.07445969395803753</x:v>
      </x:c>
    </x:row>
    <x:row r="129" ht="21" customHeight="1">
      <x:c r="A129" s="7" t="n">
        <x:v>44743</x:v>
      </x:c>
      <x:c r="B129" s="2" t="str">
        <x:v>東京</x:v>
      </x:c>
      <x:c r="C129" s="2" t="str">
        <x:v>東京都</x:v>
      </x:c>
      <x:c r="D129" s="8" t="n">
        <x:v>7450840</x:v>
      </x:c>
      <x:c r="E129" s="8" t="n">
        <x:v>1036021</x:v>
      </x:c>
      <x:c r="F129" s="8" t="n">
        <x:v>3257433</x:v>
      </x:c>
      <x:c r="G129" s="8" t="n">
        <x:v>1244285</x:v>
      </x:c>
      <x:c r="H129" s="8" t="n">
        <x:v>1913101</x:v>
      </x:c>
      <x:c r="I129" s="8" t="n">
        <x:v>449281</x:v>
      </x:c>
      <x:c r="J129" s="8" t="n">
        <x:v>187602</x:v>
      </x:c>
      <x:c r="K129" s="8" t="n">
        <x:v>217531</x:v>
      </x:c>
      <x:c r="L129" s="8" t="n">
        <x:v>32095</x:v>
      </x:c>
      <x:c r="M129" s="8" t="n">
        <x:v>12053</x:v>
      </x:c>
      <x:c r="N129" s="8" t="n">
        <x:v>0</x:v>
      </x:c>
      <x:c r="O129" s="8" t="n">
        <x:v>0</x:v>
      </x:c>
      <x:c r="P129" s="8" t="n">
        <x:v>259</x:v>
      </x:c>
      <x:c r="Q129" s="8" t="n">
        <x:v>135</x:v>
      </x:c>
      <x:c r="R129" s="8" t="n">
        <x:v>394</x:v>
      </x:c>
      <x:c r="S129" s="8" t="n">
        <x:v>1655</x:v>
      </x:c>
      <x:c r="T129" s="8" t="n">
        <x:v>373</x:v>
      </x:c>
      <x:c r="U129" s="2" t="str">
        <x:v>2025年12月25日現在</x:v>
      </x:c>
      <x:c r="V129" s="2" t="str">
        <x:v>2025-12-25</x:v>
      </x:c>
      <x:c r="W129" s="2" t="str">
        <x:v>https://www.e-stat.go.jp/stat-search/file-download?statInfId=000032170294&amp;fileKind=0</x:v>
      </x:c>
      <x:c r="X129" s="2" t="str">
        <x:v>海上出入貨物!205行、コンテナ個数!40行</x:v>
      </x:c>
      <x:c r="Y129" s="2" t="str">
        <x:v>取得済</x:v>
      </x:c>
      <x:c r="Z129" s="9" t="n">
        <x:f>IF(AND(ISNUMBER(E129),COUNTIFS($A$2:$A$477,EDATE(A129,-12),$B$2:$B$477,B129,$E$2:$E$477,"&gt;0")=1),E129/SUMIFS($E$2:$E$477,$A$2:$A$477,EDATE(A129,-12),$B$2:$B$477,B129)-1,"")</x:f>
        <x:v>0.03505425932179351</x:v>
      </x:c>
      <x:c r="AA129" s="10" t="n">
        <x:f>IF(COUNTIFS($A$2:$A$477,"&gt;="&amp;EDATE(A129,-2),$A$2:$A$477,"&lt;="&amp;A129,$B$2:$B$477,B129,$E$2:$E$477,"&gt;=0")=3,SUMIFS($E$2:$E$477,$A$2:$A$477,"&gt;="&amp;EDATE(A129,-2),$A$2:$A$477,"&lt;="&amp;A129,$B$2:$B$477,B129)/3,"")</x:f>
        <x:v>996364.6666666666</x:v>
      </x:c>
      <x:c r="AB129" s="9" t="n">
        <x:f>IF(AND(ISNUMBER(J129),COUNTIFS($A$2:$A$477,EDATE(A129,-12),$B$2:$B$477,B129,$J$2:$J$477,"&gt;0")=1),J129/SUMIFS($J$2:$J$477,$A$2:$A$477,EDATE(A129,-12),$B$2:$B$477,B129)-1,"")</x:f>
        <x:v>0.15120089345982501</x:v>
      </x:c>
    </x:row>
    <x:row r="130" ht="21" customHeight="1">
      <x:c r="A130" s="7" t="n">
        <x:v>44743</x:v>
      </x:c>
      <x:c r="B130" s="2" t="str">
        <x:v>横浜</x:v>
      </x:c>
      <x:c r="C130" s="2" t="str">
        <x:v>神奈川県</x:v>
      </x:c>
      <x:c r="D130" s="8" t="n">
        <x:v>9707039</x:v>
      </x:c>
      <x:c r="E130" s="8" t="n">
        <x:v>2417326</x:v>
      </x:c>
      <x:c r="F130" s="8" t="n">
        <x:v>4246997</x:v>
      </x:c>
      <x:c r="G130" s="8" t="n">
        <x:v>1509586</x:v>
      </x:c>
      <x:c r="H130" s="8" t="n">
        <x:v>1533130</x:v>
      </x:c>
      <x:c r="I130" s="8" t="n">
        <x:v>264389</x:v>
      </x:c>
      <x:c r="J130" s="8" t="n">
        <x:v>125320</x:v>
      </x:c>
      <x:c r="K130" s="8" t="n">
        <x:v>109053</x:v>
      </x:c>
      <x:c r="L130" s="8" t="n">
        <x:v>17097</x:v>
      </x:c>
      <x:c r="M130" s="8" t="n">
        <x:v>12919</x:v>
      </x:c>
      <x:c r="N130" s="8" t="n">
        <x:v>0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2370</x:v>
      </x:c>
      <x:c r="T130" s="8" t="n">
        <x:v>691</x:v>
      </x:c>
      <x:c r="U130" s="2" t="str">
        <x:v>2025年12月25日現在</x:v>
      </x:c>
      <x:c r="V130" s="2" t="str">
        <x:v>2025-12-25</x:v>
      </x:c>
      <x:c r="W130" s="2" t="str">
        <x:v>https://www.e-stat.go.jp/stat-search/file-download?statInfId=000032170294&amp;fileKind=0</x:v>
      </x:c>
      <x:c r="X130" s="2" t="str">
        <x:v>海上出入貨物!217行、コンテナ個数!42行</x:v>
      </x:c>
      <x:c r="Y130" s="2" t="str">
        <x:v>取得済</x:v>
      </x:c>
      <x:c r="Z130" s="9" t="n">
        <x:f>IF(AND(ISNUMBER(E130),COUNTIFS($A$2:$A$477,EDATE(A130,-12),$B$2:$B$477,B130,$E$2:$E$477,"&gt;0")=1),E130/SUMIFS($E$2:$E$477,$A$2:$A$477,EDATE(A130,-12),$B$2:$B$477,B130)-1,"")</x:f>
        <x:v>-0.08881996802065018</x:v>
      </x:c>
      <x:c r="AA130" s="10" t="n">
        <x:f>IF(COUNTIFS($A$2:$A$477,"&gt;="&amp;EDATE(A130,-2),$A$2:$A$477,"&lt;="&amp;A130,$B$2:$B$477,B130,$E$2:$E$477,"&gt;=0")=3,SUMIFS($E$2:$E$477,$A$2:$A$477,"&gt;="&amp;EDATE(A130,-2),$A$2:$A$477,"&lt;="&amp;A130,$B$2:$B$477,B130)/3,"")</x:f>
        <x:v>2473314</x:v>
      </x:c>
      <x:c r="AB130" s="9" t="n">
        <x:f>IF(AND(ISNUMBER(J130),COUNTIFS($A$2:$A$477,EDATE(A130,-12),$B$2:$B$477,B130,$J$2:$J$477,"&gt;0")=1),J130/SUMIFS($J$2:$J$477,$A$2:$A$477,EDATE(A130,-12),$B$2:$B$477,B130)-1,"")</x:f>
        <x:v>0.0540038183668492</x:v>
      </x:c>
    </x:row>
    <x:row r="131" ht="21" customHeight="1">
      <x:c r="A131" s="7" t="n">
        <x:v>44743</x:v>
      </x:c>
      <x:c r="B131" s="2" t="str">
        <x:v>清水</x:v>
      </x:c>
      <x:c r="C131" s="2" t="str">
        <x:v>静岡県</x:v>
      </x:c>
      <x:c r="D131" s="8" t="n">
        <x:v>1371636</x:v>
      </x:c>
      <x:c r="E131" s="8" t="n">
        <x:v>315424</x:v>
      </x:c>
      <x:c r="F131" s="8" t="n">
        <x:v>474737</x:v>
      </x:c>
      <x:c r="G131" s="8" t="n">
        <x:v>164997</x:v>
      </x:c>
      <x:c r="H131" s="8" t="n">
        <x:v>416478</x:v>
      </x:c>
      <x:c r="I131" s="8" t="n">
        <x:v>47494</x:v>
      </x:c>
      <x:c r="J131" s="8" t="n">
        <x:v>19126</x:v>
      </x:c>
      <x:c r="K131" s="8" t="n">
        <x:v>18575</x:v>
      </x:c>
      <x:c r="L131" s="8" t="n">
        <x:v>3805</x:v>
      </x:c>
      <x:c r="M131" s="8" t="n">
        <x:v>5988</x:v>
      </x:c>
      <x:c r="N131" s="8" t="n">
        <x:v>0</x:v>
      </x:c>
      <x:c r="O131" s="8" t="n">
        <x:v>0</x:v>
      </x:c>
      <x:c r="P131" s="8" t="n">
        <x:v>0</x:v>
      </x:c>
      <x:c r="Q131" s="8" t="n">
        <x:v>1</x:v>
      </x:c>
      <x:c r="R131" s="8" t="n">
        <x:v>1</x:v>
      </x:c>
      <x:c r="S131" s="8" t="n">
        <x:v>456</x:v>
      </x:c>
      <x:c r="T131" s="8" t="n">
        <x:v>128</x:v>
      </x:c>
      <x:c r="U131" s="2" t="str">
        <x:v>2025年12月25日現在</x:v>
      </x:c>
      <x:c r="V131" s="2" t="str">
        <x:v>2025-12-25</x:v>
      </x:c>
      <x:c r="W131" s="2" t="str">
        <x:v>https://www.e-stat.go.jp/stat-search/file-download?statInfId=000032170294&amp;fileKind=0</x:v>
      </x:c>
      <x:c r="X131" s="2" t="str">
        <x:v>海上出入貨物!313行、コンテナ個数!58行</x:v>
      </x:c>
      <x:c r="Y131" s="2" t="str">
        <x:v>取得済</x:v>
      </x:c>
      <x:c r="Z131" s="9" t="n">
        <x:f>IF(AND(ISNUMBER(E131),COUNTIFS($A$2:$A$477,EDATE(A131,-12),$B$2:$B$477,B131,$E$2:$E$477,"&gt;0")=1),E131/SUMIFS($E$2:$E$477,$A$2:$A$477,EDATE(A131,-12),$B$2:$B$477,B131)-1,"")</x:f>
        <x:v>-0.1463976336933489</x:v>
      </x:c>
      <x:c r="AA131" s="10" t="n">
        <x:f>IF(COUNTIFS($A$2:$A$477,"&gt;="&amp;EDATE(A131,-2),$A$2:$A$477,"&lt;="&amp;A131,$B$2:$B$477,B131,$E$2:$E$477,"&gt;=0")=3,SUMIFS($E$2:$E$477,$A$2:$A$477,"&gt;="&amp;EDATE(A131,-2),$A$2:$A$477,"&lt;="&amp;A131,$B$2:$B$477,B131)/3,"")</x:f>
        <x:v>314286.6666666667</x:v>
      </x:c>
      <x:c r="AB131" s="9" t="n">
        <x:f>IF(AND(ISNUMBER(J131),COUNTIFS($A$2:$A$477,EDATE(A131,-12),$B$2:$B$477,B131,$J$2:$J$477,"&gt;0")=1),J131/SUMIFS($J$2:$J$477,$A$2:$A$477,EDATE(A131,-12),$B$2:$B$477,B131)-1,"")</x:f>
        <x:v>-0.1043783657223133</x:v>
      </x:c>
    </x:row>
    <x:row r="132" ht="21" customHeight="1">
      <x:c r="A132" s="7" t="n">
        <x:v>44743</x:v>
      </x:c>
      <x:c r="B132" s="2" t="str">
        <x:v>博多</x:v>
      </x:c>
      <x:c r="C132" s="2" t="str">
        <x:v>福岡県</x:v>
      </x:c>
      <x:c r="D132" s="8" t="n">
        <x:v>3061059</x:v>
      </x:c>
      <x:c r="E132" s="8" t="n">
        <x:v>777369</x:v>
      </x:c>
      <x:c r="F132" s="8" t="n">
        <x:v>899602</x:v>
      </x:c>
      <x:c r="G132" s="8" t="n">
        <x:v>443623</x:v>
      </x:c>
      <x:c r="H132" s="8" t="n">
        <x:v>940465</x:v>
      </x:c>
      <x:c r="I132" s="8" t="n">
        <x:v>83993</x:v>
      </x:c>
      <x:c r="J132" s="8" t="n">
        <x:v>33251</x:v>
      </x:c>
      <x:c r="K132" s="8" t="n">
        <x:v>35517</x:v>
      </x:c>
      <x:c r="L132" s="8" t="n">
        <x:v>6945</x:v>
      </x:c>
      <x:c r="M132" s="8" t="n">
        <x:v>8280</x:v>
      </x:c>
      <x:c r="N132" s="8" t="n">
        <x:v>0</x:v>
      </x:c>
      <x:c r="O132" s="8" t="n">
        <x:v>0</x:v>
      </x:c>
      <x:c r="P132" s="8" t="n">
        <x:v>1291</x:v>
      </x:c>
      <x:c r="Q132" s="8" t="n">
        <x:v>1260</x:v>
      </x:c>
      <x:c r="R132" s="8" t="n">
        <x:v>2551</x:v>
      </x:c>
      <x:c r="S132" s="8" t="n">
        <x:v>1662</x:v>
      </x:c>
      <x:c r="T132" s="8" t="n">
        <x:v>215</x:v>
      </x:c>
      <x:c r="U132" s="2" t="str">
        <x:v>2025年12月25日現在</x:v>
      </x:c>
      <x:c r="V132" s="2" t="str">
        <x:v>2025-12-25</x:v>
      </x:c>
      <x:c r="W132" s="2" t="str">
        <x:v>https://www.e-stat.go.jp/stat-search/file-download?statInfId=000032170294&amp;fileKind=0</x:v>
      </x:c>
      <x:c r="X132" s="2" t="str">
        <x:v>海上出入貨物!745行、コンテナ個数!130行</x:v>
      </x:c>
      <x:c r="Y132" s="2" t="str">
        <x:v>取得済</x:v>
      </x:c>
      <x:c r="Z132" s="9" t="n">
        <x:f>IF(AND(ISNUMBER(E132),COUNTIFS($A$2:$A$477,EDATE(A132,-12),$B$2:$B$477,B132,$E$2:$E$477,"&gt;0")=1),E132/SUMIFS($E$2:$E$477,$A$2:$A$477,EDATE(A132,-12),$B$2:$B$477,B132)-1,"")</x:f>
        <x:v>0.04510786927429722</x:v>
      </x:c>
      <x:c r="AA132" s="10" t="n">
        <x:f>IF(COUNTIFS($A$2:$A$477,"&gt;="&amp;EDATE(A132,-2),$A$2:$A$477,"&lt;="&amp;A132,$B$2:$B$477,B132,$E$2:$E$477,"&gt;=0")=3,SUMIFS($E$2:$E$477,$A$2:$A$477,"&gt;="&amp;EDATE(A132,-2),$A$2:$A$477,"&lt;="&amp;A132,$B$2:$B$477,B132)/3,"")</x:f>
        <x:v>691495.3333333334</x:v>
      </x:c>
      <x:c r="AB132" s="9" t="n">
        <x:f>IF(AND(ISNUMBER(J132),COUNTIFS($A$2:$A$477,EDATE(A132,-12),$B$2:$B$477,B132,$J$2:$J$477,"&gt;0")=1),J132/SUMIFS($J$2:$J$477,$A$2:$A$477,EDATE(A132,-12),$B$2:$B$477,B132)-1,"")</x:f>
        <x:v>0.041697994987468734</x:v>
      </x:c>
    </x:row>
    <x:row r="133" ht="21" customHeight="1">
      <x:c r="A133" s="7" t="n">
        <x:v>44743</x:v>
      </x:c>
      <x:c r="B133" s="2" t="str">
        <x:v>熊本</x:v>
      </x:c>
      <x:c r="C133" s="2" t="str">
        <x:v>熊本県</x:v>
      </x:c>
      <x:c r="D133" s="8" t="n">
        <x:v>249572</x:v>
      </x:c>
      <x:c r="E133" s="8" t="n">
        <x:v>4192</x:v>
      </x:c>
      <x:c r="F133" s="8" t="n">
        <x:v>5651</x:v>
      </x:c>
      <x:c r="G133" s="8" t="n">
        <x:v>92575</x:v>
      </x:c>
      <x:c r="H133" s="8" t="n">
        <x:v>147154</x:v>
      </x:c>
      <x:c r="I133" s="8" t="n">
        <x:v>815</x:v>
      </x:c>
      <x:c r="J133" s="8" t="n">
        <x:v>207</x:v>
      </x:c>
      <x:c r="K133" s="8" t="n">
        <x:v>328</x:v>
      </x:c>
      <x:c r="L133" s="8" t="n">
        <x:v>280</x:v>
      </x:c>
      <x:c r="M133" s="8" t="n">
        <x:v>0</x:v>
      </x:c>
      <x:c r="N133" s="8" t="n">
        <x:v>0</x:v>
      </x:c>
      <x:c r="O133" s="8" t="n">
        <x:v>0</x:v>
      </x:c>
      <x:c r="P133" s="8" t="n">
        <x:v>554</x:v>
      </x:c>
      <x:c r="Q133" s="8" t="n">
        <x:v>589</x:v>
      </x:c>
      <x:c r="R133" s="8" t="n">
        <x:v>1143</x:v>
      </x:c>
      <x:c r="S133" s="8" t="n">
        <x:v>54</x:v>
      </x:c>
      <x:c r="T133" s="8" t="n">
        <x:v>8</x:v>
      </x:c>
      <x:c r="U133" s="2" t="str">
        <x:v>2025年12月25日現在</x:v>
      </x:c>
      <x:c r="V133" s="2" t="str">
        <x:v>2025-12-25</x:v>
      </x:c>
      <x:c r="W133" s="2" t="str">
        <x:v>https://www.e-stat.go.jp/stat-search/file-download?statInfId=000032170294&amp;fileKind=0</x:v>
      </x:c>
      <x:c r="X133" s="2" t="str">
        <x:v>海上出入貨物!859行、コンテナ個数!149行</x:v>
      </x:c>
      <x:c r="Y133" s="2" t="str">
        <x:v>取得済</x:v>
      </x:c>
      <x:c r="Z133" s="9" t="n">
        <x:f>IF(AND(ISNUMBER(E133),COUNTIFS($A$2:$A$477,EDATE(A133,-12),$B$2:$B$477,B133,$E$2:$E$477,"&gt;0")=1),E133/SUMIFS($E$2:$E$477,$A$2:$A$477,EDATE(A133,-12),$B$2:$B$477,B133)-1,"")</x:f>
        <x:v>-0.2445485673094251</x:v>
      </x:c>
      <x:c r="AA133" s="10" t="n">
        <x:f>IF(COUNTIFS($A$2:$A$477,"&gt;="&amp;EDATE(A133,-2),$A$2:$A$477,"&lt;="&amp;A133,$B$2:$B$477,B133,$E$2:$E$477,"&gt;=0")=3,SUMIFS($E$2:$E$477,$A$2:$A$477,"&gt;="&amp;EDATE(A133,-2),$A$2:$A$477,"&lt;="&amp;A133,$B$2:$B$477,B133)/3,"")</x:f>
        <x:v>3872.3333333333335</x:v>
      </x:c>
      <x:c r="AB133" s="9" t="n">
        <x:f>IF(AND(ISNUMBER(J133),COUNTIFS($A$2:$A$477,EDATE(A133,-12),$B$2:$B$477,B133,$J$2:$J$477,"&gt;0")=1),J133/SUMIFS($J$2:$J$477,$A$2:$A$477,EDATE(A133,-12),$B$2:$B$477,B133)-1,"")</x:f>
        <x:v>-0.3669724770642202</x:v>
      </x:c>
    </x:row>
    <x:row r="134" ht="21" customHeight="1">
      <x:c r="A134" s="7" t="n">
        <x:v>44743</x:v>
      </x:c>
      <x:c r="B134" s="2" t="str">
        <x:v>八代</x:v>
      </x:c>
      <x:c r="C134" s="2" t="str">
        <x:v>熊本県</x:v>
      </x:c>
      <x:c r="D134" s="8" t="n">
        <x:v>306882</x:v>
      </x:c>
      <x:c r="E134" s="8" t="n">
        <x:v>21865</x:v>
      </x:c>
      <x:c r="F134" s="8" t="n">
        <x:v>127311</x:v>
      </x:c>
      <x:c r="G134" s="8" t="n">
        <x:v>20675</x:v>
      </x:c>
      <x:c r="H134" s="8" t="n">
        <x:v>137031</x:v>
      </x:c>
      <x:c r="I134" s="8" t="n">
        <x:v>2192</x:v>
      </x:c>
      <x:c r="J134" s="8" t="n">
        <x:v>936</x:v>
      </x:c>
      <x:c r="K134" s="8" t="n">
        <x:v>875</x:v>
      </x:c>
      <x:c r="L134" s="8" t="n">
        <x:v>128</x:v>
      </x:c>
      <x:c r="M134" s="8" t="n">
        <x:v>253</x:v>
      </x:c>
      <x:c r="N134" s="8" t="n">
        <x:v>0</x:v>
      </x:c>
      <x:c r="O134" s="8" t="n">
        <x:v>0</x:v>
      </x:c>
      <x:c r="P134" s="8" t="n">
        <x:v>0</x:v>
      </x:c>
      <x:c r="Q134" s="8" t="n">
        <x:v>0</x:v>
      </x:c>
      <x:c r="R134" s="8" t="n">
        <x:v>0</x:v>
      </x:c>
      <x:c r="S134" s="8" t="n">
        <x:v>171</x:v>
      </x:c>
      <x:c r="T134" s="8" t="n">
        <x:v>27</x:v>
      </x:c>
      <x:c r="U134" s="2" t="str">
        <x:v>2025年12月25日現在</x:v>
      </x:c>
      <x:c r="V134" s="2" t="str">
        <x:v>2025-12-25</x:v>
      </x:c>
      <x:c r="W134" s="2" t="str">
        <x:v>https://www.e-stat.go.jp/stat-search/file-download?statInfId=000032170294&amp;fileKind=0</x:v>
      </x:c>
      <x:c r="X134" s="2" t="str">
        <x:v>海上出入貨物!847行、コンテナ個数!147行</x:v>
      </x:c>
      <x:c r="Y134" s="2" t="str">
        <x:v>取得済</x:v>
      </x:c>
      <x:c r="Z134" s="9" t="n">
        <x:f>IF(AND(ISNUMBER(E134),COUNTIFS($A$2:$A$477,EDATE(A134,-12),$B$2:$B$477,B134,$E$2:$E$477,"&gt;0")=1),E134/SUMIFS($E$2:$E$477,$A$2:$A$477,EDATE(A134,-12),$B$2:$B$477,B134)-1,"")</x:f>
        <x:v>-0.23318369923546323</x:v>
      </x:c>
      <x:c r="AA134" s="10" t="n">
        <x:f>IF(COUNTIFS($A$2:$A$477,"&gt;="&amp;EDATE(A134,-2),$A$2:$A$477,"&lt;="&amp;A134,$B$2:$B$477,B134,$E$2:$E$477,"&gt;=0")=3,SUMIFS($E$2:$E$477,$A$2:$A$477,"&gt;="&amp;EDATE(A134,-2),$A$2:$A$477,"&lt;="&amp;A134,$B$2:$B$477,B134)/3,"")</x:f>
        <x:v>15654.666666666666</x:v>
      </x:c>
      <x:c r="AB134" s="9" t="n">
        <x:f>IF(AND(ISNUMBER(J134),COUNTIFS($A$2:$A$477,EDATE(A134,-12),$B$2:$B$477,B134,$J$2:$J$477,"&gt;0")=1),J134/SUMIFS($J$2:$J$477,$A$2:$A$477,EDATE(A134,-12),$B$2:$B$477,B134)-1,"")</x:f>
        <x:v>-0.1924072476272649</x:v>
      </x:c>
    </x:row>
    <x:row r="135" ht="21" customHeight="1">
      <x:c r="A135" s="7" t="n">
        <x:v>44774</x:v>
      </x:c>
      <x:c r="B135" s="2" t="str">
        <x:v>仙台塩釜</x:v>
      </x:c>
      <x:c r="C135" s="2" t="str">
        <x:v>宮城県</x:v>
      </x:c>
      <x:c r="D135" s="8" t="n">
        <x:v>3300338</x:v>
      </x:c>
      <x:c r="E135" s="8" t="n">
        <x:v>106296</x:v>
      </x:c>
      <x:c r="F135" s="8" t="n">
        <x:v>960828</x:v>
      </x:c>
      <x:c r="G135" s="8" t="n">
        <x:v>996486</x:v>
      </x:c>
      <x:c r="H135" s="8" t="n">
        <x:v>1236728</x:v>
      </x:c>
      <x:c r="I135" s="8" t="n">
        <x:v>22359</x:v>
      </x:c>
      <x:c r="J135" s="8" t="n">
        <x:v>5536</x:v>
      </x:c>
      <x:c r="K135" s="8" t="n">
        <x:v>6551</x:v>
      </x:c>
      <x:c r="L135" s="8" t="n">
        <x:v>4812</x:v>
      </x:c>
      <x:c r="M135" s="8" t="n">
        <x:v>5460</x:v>
      </x:c>
      <x:c r="N135" s="8" t="n">
        <x:v>0</x:v>
      </x:c>
      <x:c r="O135" s="8" t="n">
        <x:v>0</x:v>
      </x:c>
      <x:c r="P135" s="8" t="n">
        <x:v>625</x:v>
      </x:c>
      <x:c r="Q135" s="8" t="n">
        <x:v>639</x:v>
      </x:c>
      <x:c r="R135" s="8" t="n">
        <x:v>1264</x:v>
      </x:c>
      <x:c r="S135" s="8" t="n">
        <x:v>1979</x:v>
      </x:c>
      <x:c r="T135" s="8" t="n">
        <x:v>85</x:v>
      </x:c>
      <x:c r="U135" s="2" t="str">
        <x:v>2025年12月25日現在</x:v>
      </x:c>
      <x:c r="V135" s="2" t="str">
        <x:v>2025-12-25</x:v>
      </x:c>
      <x:c r="W135" s="2" t="str">
        <x:v>https://www.e-stat.go.jp/stat-search/file-download?statInfId=000032170294&amp;fileKind=0</x:v>
      </x:c>
      <x:c r="X135" s="2" t="str">
        <x:v>海上出入貨物!139行、コンテナ個数!29行</x:v>
      </x:c>
      <x:c r="Y135" s="2" t="str">
        <x:v>取得済</x:v>
      </x:c>
      <x:c r="Z135" s="9" t="n">
        <x:f>IF(AND(ISNUMBER(E135),COUNTIFS($A$2:$A$477,EDATE(A135,-12),$B$2:$B$477,B135,$E$2:$E$477,"&gt;0")=1),E135/SUMIFS($E$2:$E$477,$A$2:$A$477,EDATE(A135,-12),$B$2:$B$477,B135)-1,"")</x:f>
        <x:v>0.08771642585240058</x:v>
      </x:c>
      <x:c r="AA135" s="10" t="n">
        <x:f>IF(COUNTIFS($A$2:$A$477,"&gt;="&amp;EDATE(A135,-2),$A$2:$A$477,"&lt;="&amp;A135,$B$2:$B$477,B135,$E$2:$E$477,"&gt;=0")=3,SUMIFS($E$2:$E$477,$A$2:$A$477,"&gt;="&amp;EDATE(A135,-2),$A$2:$A$477,"&lt;="&amp;A135,$B$2:$B$477,B135)/3,"")</x:f>
        <x:v>115207.66666666667</x:v>
      </x:c>
      <x:c r="AB135" s="9" t="n">
        <x:f>IF(AND(ISNUMBER(J135),COUNTIFS($A$2:$A$477,EDATE(A135,-12),$B$2:$B$477,B135,$J$2:$J$477,"&gt;0")=1),J135/SUMIFS($J$2:$J$477,$A$2:$A$477,EDATE(A135,-12),$B$2:$B$477,B135)-1,"")</x:f>
        <x:v>-0.025866619743093455</x:v>
      </x:c>
    </x:row>
    <x:row r="136" ht="21" customHeight="1">
      <x:c r="A136" s="7" t="n">
        <x:v>44774</x:v>
      </x:c>
      <x:c r="B136" s="2" t="str">
        <x:v>東京</x:v>
      </x:c>
      <x:c r="C136" s="2" t="str">
        <x:v>東京都</x:v>
      </x:c>
      <x:c r="D136" s="8" t="n">
        <x:v>6967386</x:v>
      </x:c>
      <x:c r="E136" s="8" t="n">
        <x:v>938228</x:v>
      </x:c>
      <x:c r="F136" s="8" t="n">
        <x:v>3070590</x:v>
      </x:c>
      <x:c r="G136" s="8" t="n">
        <x:v>1165144</x:v>
      </x:c>
      <x:c r="H136" s="8" t="n">
        <x:v>1793424</x:v>
      </x:c>
      <x:c r="I136" s="8" t="n">
        <x:v>432860</x:v>
      </x:c>
      <x:c r="J136" s="8" t="n">
        <x:v>187963</x:v>
      </x:c>
      <x:c r="K136" s="8" t="n">
        <x:v>207057</x:v>
      </x:c>
      <x:c r="L136" s="8" t="n">
        <x:v>25315</x:v>
      </x:c>
      <x:c r="M136" s="8" t="n">
        <x:v>12525</x:v>
      </x:c>
      <x:c r="N136" s="8" t="n">
        <x:v>0</x:v>
      </x:c>
      <x:c r="O136" s="8" t="n">
        <x:v>0</x:v>
      </x:c>
      <x:c r="P136" s="8" t="n">
        <x:v>270</x:v>
      </x:c>
      <x:c r="Q136" s="8" t="n">
        <x:v>144</x:v>
      </x:c>
      <x:c r="R136" s="8" t="n">
        <x:v>414</x:v>
      </x:c>
      <x:c r="S136" s="8" t="n">
        <x:v>1649</x:v>
      </x:c>
      <x:c r="T136" s="8" t="n">
        <x:v>381</x:v>
      </x:c>
      <x:c r="U136" s="2" t="str">
        <x:v>2025年12月25日現在</x:v>
      </x:c>
      <x:c r="V136" s="2" t="str">
        <x:v>2025-12-25</x:v>
      </x:c>
      <x:c r="W136" s="2" t="str">
        <x:v>https://www.e-stat.go.jp/stat-search/file-download?statInfId=000032170294&amp;fileKind=0</x:v>
      </x:c>
      <x:c r="X136" s="2" t="str">
        <x:v>海上出入貨物!205行、コンテナ個数!40行</x:v>
      </x:c>
      <x:c r="Y136" s="2" t="str">
        <x:v>取得済</x:v>
      </x:c>
      <x:c r="Z136" s="9" t="n">
        <x:f>IF(AND(ISNUMBER(E136),COUNTIFS($A$2:$A$477,EDATE(A136,-12),$B$2:$B$477,B136,$E$2:$E$477,"&gt;0")=1),E136/SUMIFS($E$2:$E$477,$A$2:$A$477,EDATE(A136,-12),$B$2:$B$477,B136)-1,"")</x:f>
        <x:v>-0.1057213254602557</x:v>
      </x:c>
      <x:c r="AA136" s="10" t="n">
        <x:f>IF(COUNTIFS($A$2:$A$477,"&gt;="&amp;EDATE(A136,-2),$A$2:$A$477,"&lt;="&amp;A136,$B$2:$B$477,B136,$E$2:$E$477,"&gt;=0")=3,SUMIFS($E$2:$E$477,$A$2:$A$477,"&gt;="&amp;EDATE(A136,-2),$A$2:$A$477,"&lt;="&amp;A136,$B$2:$B$477,B136)/3,"")</x:f>
        <x:v>1008311.3333333334</x:v>
      </x:c>
      <x:c r="AB136" s="9" t="n">
        <x:f>IF(AND(ISNUMBER(J136),COUNTIFS($A$2:$A$477,EDATE(A136,-12),$B$2:$B$477,B136,$J$2:$J$477,"&gt;0")=1),J136/SUMIFS($J$2:$J$477,$A$2:$A$477,EDATE(A136,-12),$B$2:$B$477,B136)-1,"")</x:f>
        <x:v>0.15810649283434586</x:v>
      </x:c>
    </x:row>
    <x:row r="137" ht="21" customHeight="1">
      <x:c r="A137" s="7" t="n">
        <x:v>44774</x:v>
      </x:c>
      <x:c r="B137" s="2" t="str">
        <x:v>横浜</x:v>
      </x:c>
      <x:c r="C137" s="2" t="str">
        <x:v>神奈川県</x:v>
      </x:c>
      <x:c r="D137" s="8" t="n">
        <x:v>8567007</x:v>
      </x:c>
      <x:c r="E137" s="8" t="n">
        <x:v>2336024</x:v>
      </x:c>
      <x:c r="F137" s="8" t="n">
        <x:v>3849788</x:v>
      </x:c>
      <x:c r="G137" s="8" t="n">
        <x:v>1199052</x:v>
      </x:c>
      <x:c r="H137" s="8" t="n">
        <x:v>1182143</x:v>
      </x:c>
      <x:c r="I137" s="8" t="n">
        <x:v>251905</x:v>
      </x:c>
      <x:c r="J137" s="8" t="n">
        <x:v>117525</x:v>
      </x:c>
      <x:c r="K137" s="8" t="n">
        <x:v>103238</x:v>
      </x:c>
      <x:c r="L137" s="8" t="n">
        <x:v>14689</x:v>
      </x:c>
      <x:c r="M137" s="8" t="n">
        <x:v>16453</x:v>
      </x:c>
      <x:c r="N137" s="8" t="n">
        <x:v>0</x:v>
      </x:c>
      <x:c r="O137" s="8" t="n">
        <x:v>0</x:v>
      </x:c>
      <x:c r="P137" s="8" t="n">
        <x:v>0</x:v>
      </x:c>
      <x:c r="Q137" s="8" t="n">
        <x:v>0</x:v>
      </x:c>
      <x:c r="R137" s="8" t="n">
        <x:v>0</x:v>
      </x:c>
      <x:c r="S137" s="8" t="n">
        <x:v>2195</x:v>
      </x:c>
      <x:c r="T137" s="8" t="n">
        <x:v>700</x:v>
      </x:c>
      <x:c r="U137" s="2" t="str">
        <x:v>2025年12月25日現在</x:v>
      </x:c>
      <x:c r="V137" s="2" t="str">
        <x:v>2025-12-25</x:v>
      </x:c>
      <x:c r="W137" s="2" t="str">
        <x:v>https://www.e-stat.go.jp/stat-search/file-download?statInfId=000032170294&amp;fileKind=0</x:v>
      </x:c>
      <x:c r="X137" s="2" t="str">
        <x:v>海上出入貨物!217行、コンテナ個数!42行</x:v>
      </x:c>
      <x:c r="Y137" s="2" t="str">
        <x:v>取得済</x:v>
      </x:c>
      <x:c r="Z137" s="9" t="n">
        <x:f>IF(AND(ISNUMBER(E137),COUNTIFS($A$2:$A$477,EDATE(A137,-12),$B$2:$B$477,B137,$E$2:$E$477,"&gt;0")=1),E137/SUMIFS($E$2:$E$477,$A$2:$A$477,EDATE(A137,-12),$B$2:$B$477,B137)-1,"")</x:f>
        <x:v>0.0789550501598093</x:v>
      </x:c>
      <x:c r="AA137" s="10" t="n">
        <x:f>IF(COUNTIFS($A$2:$A$477,"&gt;="&amp;EDATE(A137,-2),$A$2:$A$477,"&lt;="&amp;A137,$B$2:$B$477,B137,$E$2:$E$477,"&gt;=0")=3,SUMIFS($E$2:$E$477,$A$2:$A$477,"&gt;="&amp;EDATE(A137,-2),$A$2:$A$477,"&lt;="&amp;A137,$B$2:$B$477,B137)/3,"")</x:f>
        <x:v>2429343</x:v>
      </x:c>
      <x:c r="AB137" s="9" t="n">
        <x:f>IF(AND(ISNUMBER(J137),COUNTIFS($A$2:$A$477,EDATE(A137,-12),$B$2:$B$477,B137,$J$2:$J$477,"&gt;0")=1),J137/SUMIFS($J$2:$J$477,$A$2:$A$477,EDATE(A137,-12),$B$2:$B$477,B137)-1,"")</x:f>
        <x:v>0.08961699997218586</x:v>
      </x:c>
    </x:row>
    <x:row r="138" ht="21" customHeight="1">
      <x:c r="A138" s="7" t="n">
        <x:v>44774</x:v>
      </x:c>
      <x:c r="B138" s="2" t="str">
        <x:v>清水</x:v>
      </x:c>
      <x:c r="C138" s="2" t="str">
        <x:v>静岡県</x:v>
      </x:c>
      <x:c r="D138" s="8" t="n">
        <x:v>1441146</x:v>
      </x:c>
      <x:c r="E138" s="8" t="n">
        <x:v>269379</x:v>
      </x:c>
      <x:c r="F138" s="8" t="n">
        <x:v>580992</x:v>
      </x:c>
      <x:c r="G138" s="8" t="n">
        <x:v>186257</x:v>
      </x:c>
      <x:c r="H138" s="8" t="n">
        <x:v>404518</x:v>
      </x:c>
      <x:c r="I138" s="8" t="n">
        <x:v>43517</x:v>
      </x:c>
      <x:c r="J138" s="8" t="n">
        <x:v>16618</x:v>
      </x:c>
      <x:c r="K138" s="8" t="n">
        <x:v>17286</x:v>
      </x:c>
      <x:c r="L138" s="8" t="n">
        <x:v>5357</x:v>
      </x:c>
      <x:c r="M138" s="8" t="n">
        <x:v>4256</x:v>
      </x:c>
      <x:c r="N138" s="8" t="n">
        <x:v>0</x:v>
      </x:c>
      <x:c r="O138" s="8" t="n">
        <x:v>0</x:v>
      </x:c>
      <x:c r="P138" s="8" t="n">
        <x:v>11</x:v>
      </x:c>
      <x:c r="Q138" s="8" t="n">
        <x:v>10</x:v>
      </x:c>
      <x:c r="R138" s="8" t="n">
        <x:v>21</x:v>
      </x:c>
      <x:c r="S138" s="8" t="n">
        <x:v>439</x:v>
      </x:c>
      <x:c r="T138" s="8" t="n">
        <x:v>133</x:v>
      </x:c>
      <x:c r="U138" s="2" t="str">
        <x:v>2025年12月25日現在</x:v>
      </x:c>
      <x:c r="V138" s="2" t="str">
        <x:v>2025-12-25</x:v>
      </x:c>
      <x:c r="W138" s="2" t="str">
        <x:v>https://www.e-stat.go.jp/stat-search/file-download?statInfId=000032170294&amp;fileKind=0</x:v>
      </x:c>
      <x:c r="X138" s="2" t="str">
        <x:v>海上出入貨物!313行、コンテナ個数!58行</x:v>
      </x:c>
      <x:c r="Y138" s="2" t="str">
        <x:v>取得済</x:v>
      </x:c>
      <x:c r="Z138" s="9" t="n">
        <x:f>IF(AND(ISNUMBER(E138),COUNTIFS($A$2:$A$477,EDATE(A138,-12),$B$2:$B$477,B138,$E$2:$E$477,"&gt;0")=1),E138/SUMIFS($E$2:$E$477,$A$2:$A$477,EDATE(A138,-12),$B$2:$B$477,B138)-1,"")</x:f>
        <x:v>-0.056356776790312035</x:v>
      </x:c>
      <x:c r="AA138" s="10" t="n">
        <x:f>IF(COUNTIFS($A$2:$A$477,"&gt;="&amp;EDATE(A138,-2),$A$2:$A$477,"&lt;="&amp;A138,$B$2:$B$477,B138,$E$2:$E$477,"&gt;=0")=3,SUMIFS($E$2:$E$477,$A$2:$A$477,"&gt;="&amp;EDATE(A138,-2),$A$2:$A$477,"&lt;="&amp;A138,$B$2:$B$477,B138)/3,"")</x:f>
        <x:v>305201.3333333333</x:v>
      </x:c>
      <x:c r="AB138" s="9" t="n">
        <x:f>IF(AND(ISNUMBER(J138),COUNTIFS($A$2:$A$477,EDATE(A138,-12),$B$2:$B$477,B138,$J$2:$J$477,"&gt;0")=1),J138/SUMIFS($J$2:$J$477,$A$2:$A$477,EDATE(A138,-12),$B$2:$B$477,B138)-1,"")</x:f>
        <x:v>-0.05315936413879552</x:v>
      </x:c>
    </x:row>
    <x:row r="139" ht="21" customHeight="1">
      <x:c r="A139" s="7" t="n">
        <x:v>44774</x:v>
      </x:c>
      <x:c r="B139" s="2" t="str">
        <x:v>博多</x:v>
      </x:c>
      <x:c r="C139" s="2" t="str">
        <x:v>福岡県</x:v>
      </x:c>
      <x:c r="D139" s="8" t="n">
        <x:v>2844328</x:v>
      </x:c>
      <x:c r="E139" s="8" t="n">
        <x:v>663467</x:v>
      </x:c>
      <x:c r="F139" s="8" t="n">
        <x:v>793731</x:v>
      </x:c>
      <x:c r="G139" s="8" t="n">
        <x:v>438585</x:v>
      </x:c>
      <x:c r="H139" s="8" t="n">
        <x:v>948545</x:v>
      </x:c>
      <x:c r="I139" s="8" t="n">
        <x:v>79176</x:v>
      </x:c>
      <x:c r="J139" s="8" t="n">
        <x:v>33845</x:v>
      </x:c>
      <x:c r="K139" s="8" t="n">
        <x:v>32460</x:v>
      </x:c>
      <x:c r="L139" s="8" t="n">
        <x:v>6065</x:v>
      </x:c>
      <x:c r="M139" s="8" t="n">
        <x:v>6806</x:v>
      </x:c>
      <x:c r="N139" s="8" t="n">
        <x:v>0</x:v>
      </x:c>
      <x:c r="O139" s="8" t="n">
        <x:v>0</x:v>
      </x:c>
      <x:c r="P139" s="8" t="n">
        <x:v>1290</x:v>
      </x:c>
      <x:c r="Q139" s="8" t="n">
        <x:v>1334</x:v>
      </x:c>
      <x:c r="R139" s="8" t="n">
        <x:v>2624</x:v>
      </x:c>
      <x:c r="S139" s="8" t="n">
        <x:v>1637</x:v>
      </x:c>
      <x:c r="T139" s="8" t="n">
        <x:v>218</x:v>
      </x:c>
      <x:c r="U139" s="2" t="str">
        <x:v>2025年12月25日現在</x:v>
      </x:c>
      <x:c r="V139" s="2" t="str">
        <x:v>2025-12-25</x:v>
      </x:c>
      <x:c r="W139" s="2" t="str">
        <x:v>https://www.e-stat.go.jp/stat-search/file-download?statInfId=000032170294&amp;fileKind=0</x:v>
      </x:c>
      <x:c r="X139" s="2" t="str">
        <x:v>海上出入貨物!745行、コンテナ個数!130行</x:v>
      </x:c>
      <x:c r="Y139" s="2" t="str">
        <x:v>取得済</x:v>
      </x:c>
      <x:c r="Z139" s="9" t="n">
        <x:f>IF(AND(ISNUMBER(E139),COUNTIFS($A$2:$A$477,EDATE(A139,-12),$B$2:$B$477,B139,$E$2:$E$477,"&gt;0")=1),E139/SUMIFS($E$2:$E$477,$A$2:$A$477,EDATE(A139,-12),$B$2:$B$477,B139)-1,"")</x:f>
        <x:v>0.07635264591509117</x:v>
      </x:c>
      <x:c r="AA139" s="10" t="n">
        <x:f>IF(COUNTIFS($A$2:$A$477,"&gt;="&amp;EDATE(A139,-2),$A$2:$A$477,"&lt;="&amp;A139,$B$2:$B$477,B139,$E$2:$E$477,"&gt;=0")=3,SUMIFS($E$2:$E$477,$A$2:$A$477,"&gt;="&amp;EDATE(A139,-2),$A$2:$A$477,"&lt;="&amp;A139,$B$2:$B$477,B139)/3,"")</x:f>
        <x:v>723468</x:v>
      </x:c>
      <x:c r="AB139" s="9" t="n">
        <x:f>IF(AND(ISNUMBER(J139),COUNTIFS($A$2:$A$477,EDATE(A139,-12),$B$2:$B$477,B139,$J$2:$J$477,"&gt;0")=1),J139/SUMIFS($J$2:$J$477,$A$2:$A$477,EDATE(A139,-12),$B$2:$B$477,B139)-1,"")</x:f>
        <x:v>0.16341823931800215</x:v>
      </x:c>
    </x:row>
    <x:row r="140" ht="21" customHeight="1">
      <x:c r="A140" s="7" t="n">
        <x:v>44774</x:v>
      </x:c>
      <x:c r="B140" s="2" t="str">
        <x:v>熊本</x:v>
      </x:c>
      <x:c r="C140" s="2" t="str">
        <x:v>熊本県</x:v>
      </x:c>
      <x:c r="D140" s="8" t="n">
        <x:v>323605</x:v>
      </x:c>
      <x:c r="E140" s="8" t="n">
        <x:v>4812</x:v>
      </x:c>
      <x:c r="F140" s="8" t="n">
        <x:v>8381</x:v>
      </x:c>
      <x:c r="G140" s="8" t="n">
        <x:v>137992</x:v>
      </x:c>
      <x:c r="H140" s="8" t="n">
        <x:v>172420</x:v>
      </x:c>
      <x:c r="I140" s="8" t="n">
        <x:v>832</x:v>
      </x:c>
      <x:c r="J140" s="8" t="n">
        <x:v>229</x:v>
      </x:c>
      <x:c r="K140" s="8" t="n">
        <x:v>441</x:v>
      </x:c>
      <x:c r="L140" s="8" t="n">
        <x:v>152</x:v>
      </x:c>
      <x:c r="M140" s="8" t="n">
        <x:v>10</x:v>
      </x:c>
      <x:c r="N140" s="8" t="n">
        <x:v>0</x:v>
      </x:c>
      <x:c r="O140" s="8" t="n">
        <x:v>0</x:v>
      </x:c>
      <x:c r="P140" s="8" t="n">
        <x:v>578</x:v>
      </x:c>
      <x:c r="Q140" s="8" t="n">
        <x:v>587</x:v>
      </x:c>
      <x:c r="R140" s="8" t="n">
        <x:v>1165</x:v>
      </x:c>
      <x:c r="S140" s="8" t="n">
        <x:v>85</x:v>
      </x:c>
      <x:c r="T140" s="8" t="n">
        <x:v>9</x:v>
      </x:c>
      <x:c r="U140" s="2" t="str">
        <x:v>2025年12月25日現在</x:v>
      </x:c>
      <x:c r="V140" s="2" t="str">
        <x:v>2025-12-25</x:v>
      </x:c>
      <x:c r="W140" s="2" t="str">
        <x:v>https://www.e-stat.go.jp/stat-search/file-download?statInfId=000032170294&amp;fileKind=0</x:v>
      </x:c>
      <x:c r="X140" s="2" t="str">
        <x:v>海上出入貨物!859行、コンテナ個数!149行</x:v>
      </x:c>
      <x:c r="Y140" s="2" t="str">
        <x:v>取得済</x:v>
      </x:c>
      <x:c r="Z140" s="9" t="n">
        <x:f>IF(AND(ISNUMBER(E140),COUNTIFS($A$2:$A$477,EDATE(A140,-12),$B$2:$B$477,B140,$E$2:$E$477,"&gt;0")=1),E140/SUMIFS($E$2:$E$477,$A$2:$A$477,EDATE(A140,-12),$B$2:$B$477,B140)-1,"")</x:f>
        <x:v>-0.0211554109031733</x:v>
      </x:c>
      <x:c r="AA140" s="10" t="n">
        <x:f>IF(COUNTIFS($A$2:$A$477,"&gt;="&amp;EDATE(A140,-2),$A$2:$A$477,"&lt;="&amp;A140,$B$2:$B$477,B140,$E$2:$E$477,"&gt;=0")=3,SUMIFS($E$2:$E$477,$A$2:$A$477,"&gt;="&amp;EDATE(A140,-2),$A$2:$A$477,"&lt;="&amp;A140,$B$2:$B$477,B140)/3,"")</x:f>
        <x:v>4097</x:v>
      </x:c>
      <x:c r="AB140" s="9" t="n">
        <x:f>IF(AND(ISNUMBER(J140),COUNTIFS($A$2:$A$477,EDATE(A140,-12),$B$2:$B$477,B140,$J$2:$J$477,"&gt;0")=1),J140/SUMIFS($J$2:$J$477,$A$2:$A$477,EDATE(A140,-12),$B$2:$B$477,B140)-1,"")</x:f>
        <x:v>-0.19649122807017538</x:v>
      </x:c>
    </x:row>
    <x:row r="141" ht="21" customHeight="1">
      <x:c r="A141" s="7" t="n">
        <x:v>44774</x:v>
      </x:c>
      <x:c r="B141" s="2" t="str">
        <x:v>八代</x:v>
      </x:c>
      <x:c r="C141" s="2" t="str">
        <x:v>熊本県</x:v>
      </x:c>
      <x:c r="D141" s="8" t="n">
        <x:v>326225</x:v>
      </x:c>
      <x:c r="E141" s="8" t="n">
        <x:v>30789</x:v>
      </x:c>
      <x:c r="F141" s="8" t="n">
        <x:v>134919</x:v>
      </x:c>
      <x:c r="G141" s="8" t="n">
        <x:v>21957</x:v>
      </x:c>
      <x:c r="H141" s="8" t="n">
        <x:v>138560</x:v>
      </x:c>
      <x:c r="I141" s="8" t="n">
        <x:v>3496</x:v>
      </x:c>
      <x:c r="J141" s="8" t="n">
        <x:v>1284</x:v>
      </x:c>
      <x:c r="K141" s="8" t="n">
        <x:v>1791</x:v>
      </x:c>
      <x:c r="L141" s="8" t="n">
        <x:v>135</x:v>
      </x:c>
      <x:c r="M141" s="8" t="n">
        <x:v>286</x:v>
      </x:c>
      <x:c r="N141" s="8" t="n">
        <x:v>0</x:v>
      </x:c>
      <x:c r="O141" s="8" t="n">
        <x:v>0</x:v>
      </x:c>
      <x:c r="P141" s="8" t="n">
        <x:v>0</x:v>
      </x:c>
      <x:c r="Q141" s="8" t="n">
        <x:v>0</x:v>
      </x:c>
      <x:c r="R141" s="8" t="n">
        <x:v>0</x:v>
      </x:c>
      <x:c r="S141" s="8" t="n">
        <x:v>172</x:v>
      </x:c>
      <x:c r="T141" s="8" t="n">
        <x:v>38</x:v>
      </x:c>
      <x:c r="U141" s="2" t="str">
        <x:v>2025年12月25日現在</x:v>
      </x:c>
      <x:c r="V141" s="2" t="str">
        <x:v>2025-12-25</x:v>
      </x:c>
      <x:c r="W141" s="2" t="str">
        <x:v>https://www.e-stat.go.jp/stat-search/file-download?statInfId=000032170294&amp;fileKind=0</x:v>
      </x:c>
      <x:c r="X141" s="2" t="str">
        <x:v>海上出入貨物!847行、コンテナ個数!147行</x:v>
      </x:c>
      <x:c r="Y141" s="2" t="str">
        <x:v>取得済</x:v>
      </x:c>
      <x:c r="Z141" s="9" t="n">
        <x:f>IF(AND(ISNUMBER(E141),COUNTIFS($A$2:$A$477,EDATE(A141,-12),$B$2:$B$477,B141,$E$2:$E$477,"&gt;0")=1),E141/SUMIFS($E$2:$E$477,$A$2:$A$477,EDATE(A141,-12),$B$2:$B$477,B141)-1,"")</x:f>
        <x:v>0.5236045130641329</x:v>
      </x:c>
      <x:c r="AA141" s="10" t="n">
        <x:f>IF(COUNTIFS($A$2:$A$477,"&gt;="&amp;EDATE(A141,-2),$A$2:$A$477,"&lt;="&amp;A141,$B$2:$B$477,B141,$E$2:$E$477,"&gt;=0")=3,SUMIFS($E$2:$E$477,$A$2:$A$477,"&gt;="&amp;EDATE(A141,-2),$A$2:$A$477,"&lt;="&amp;A141,$B$2:$B$477,B141)/3,"")</x:f>
        <x:v>21854</x:v>
      </x:c>
      <x:c r="AB141" s="9" t="n">
        <x:f>IF(AND(ISNUMBER(J141),COUNTIFS($A$2:$A$477,EDATE(A141,-12),$B$2:$B$477,B141,$J$2:$J$477,"&gt;0")=1),J141/SUMIFS($J$2:$J$477,$A$2:$A$477,EDATE(A141,-12),$B$2:$B$477,B141)-1,"")</x:f>
        <x:v>0.2930513595166162</x:v>
      </x:c>
    </x:row>
    <x:row r="142" ht="21" customHeight="1">
      <x:c r="A142" s="7" t="n">
        <x:v>44805</x:v>
      </x:c>
      <x:c r="B142" s="2" t="str">
        <x:v>仙台塩釜</x:v>
      </x:c>
      <x:c r="C142" s="2" t="str">
        <x:v>宮城県</x:v>
      </x:c>
      <x:c r="D142" s="8" t="n">
        <x:v>3384708</x:v>
      </x:c>
      <x:c r="E142" s="8" t="n">
        <x:v>87214</x:v>
      </x:c>
      <x:c r="F142" s="8" t="n">
        <x:v>893966</x:v>
      </x:c>
      <x:c r="G142" s="8" t="n">
        <x:v>1083536</x:v>
      </x:c>
      <x:c r="H142" s="8" t="n">
        <x:v>1319992</x:v>
      </x:c>
      <x:c r="I142" s="8" t="n">
        <x:v>21279</x:v>
      </x:c>
      <x:c r="J142" s="8" t="n">
        <x:v>5664</x:v>
      </x:c>
      <x:c r="K142" s="8" t="n">
        <x:v>7003</x:v>
      </x:c>
      <x:c r="L142" s="8" t="n">
        <x:v>4596</x:v>
      </x:c>
      <x:c r="M142" s="8" t="n">
        <x:v>4016</x:v>
      </x:c>
      <x:c r="N142" s="8" t="n">
        <x:v>0</x:v>
      </x:c>
      <x:c r="O142" s="8" t="n">
        <x:v>0</x:v>
      </x:c>
      <x:c r="P142" s="8" t="n">
        <x:v>597</x:v>
      </x:c>
      <x:c r="Q142" s="8" t="n">
        <x:v>629</x:v>
      </x:c>
      <x:c r="R142" s="8" t="n">
        <x:v>1226</x:v>
      </x:c>
      <x:c r="S142" s="8" t="n">
        <x:v>1916</x:v>
      </x:c>
      <x:c r="T142" s="8" t="n">
        <x:v>91</x:v>
      </x:c>
      <x:c r="U142" s="2" t="str">
        <x:v>2025年12月25日現在</x:v>
      </x:c>
      <x:c r="V142" s="2" t="str">
        <x:v>2025-12-25</x:v>
      </x:c>
      <x:c r="W142" s="2" t="str">
        <x:v>https://www.e-stat.go.jp/stat-search/file-download?statInfId=000032170294&amp;fileKind=0</x:v>
      </x:c>
      <x:c r="X142" s="2" t="str">
        <x:v>海上出入貨物!139行、コンテナ個数!29行</x:v>
      </x:c>
      <x:c r="Y142" s="2" t="str">
        <x:v>取得済</x:v>
      </x:c>
      <x:c r="Z142" s="9" t="n">
        <x:f>IF(AND(ISNUMBER(E142),COUNTIFS($A$2:$A$477,EDATE(A142,-12),$B$2:$B$477,B142,$E$2:$E$477,"&gt;0")=1),E142/SUMIFS($E$2:$E$477,$A$2:$A$477,EDATE(A142,-12),$B$2:$B$477,B142)-1,"")</x:f>
        <x:v>-0.48724792756775825</x:v>
      </x:c>
      <x:c r="AA142" s="10" t="n">
        <x:f>IF(COUNTIFS($A$2:$A$477,"&gt;="&amp;EDATE(A142,-2),$A$2:$A$477,"&lt;="&amp;A142,$B$2:$B$477,B142,$E$2:$E$477,"&gt;=0")=3,SUMIFS($E$2:$E$477,$A$2:$A$477,"&gt;="&amp;EDATE(A142,-2),$A$2:$A$477,"&lt;="&amp;A142,$B$2:$B$477,B142)/3,"")</x:f>
        <x:v>116363.33333333333</x:v>
      </x:c>
      <x:c r="AB142" s="9" t="n">
        <x:f>IF(AND(ISNUMBER(J142),COUNTIFS($A$2:$A$477,EDATE(A142,-12),$B$2:$B$477,B142,$J$2:$J$477,"&gt;0")=1),J142/SUMIFS($J$2:$J$477,$A$2:$A$477,EDATE(A142,-12),$B$2:$B$477,B142)-1,"")</x:f>
        <x:v>-0.25532474362345514</x:v>
      </x:c>
    </x:row>
    <x:row r="143" ht="21" customHeight="1">
      <x:c r="A143" s="7" t="n">
        <x:v>44805</x:v>
      </x:c>
      <x:c r="B143" s="2" t="str">
        <x:v>東京</x:v>
      </x:c>
      <x:c r="C143" s="2" t="str">
        <x:v>東京都</x:v>
      </x:c>
      <x:c r="D143" s="8" t="n">
        <x:v>6819419</x:v>
      </x:c>
      <x:c r="E143" s="8" t="n">
        <x:v>917867</x:v>
      </x:c>
      <x:c r="F143" s="8" t="n">
        <x:v>2989801</x:v>
      </x:c>
      <x:c r="G143" s="8" t="n">
        <x:v>1126989</x:v>
      </x:c>
      <x:c r="H143" s="8" t="n">
        <x:v>1784762</x:v>
      </x:c>
      <x:c r="I143" s="8" t="n">
        <x:v>399029</x:v>
      </x:c>
      <x:c r="J143" s="8" t="n">
        <x:v>163222</x:v>
      </x:c>
      <x:c r="K143" s="8" t="n">
        <x:v>195851</x:v>
      </x:c>
      <x:c r="L143" s="8" t="n">
        <x:v>28372</x:v>
      </x:c>
      <x:c r="M143" s="8" t="n">
        <x:v>11584</x:v>
      </x:c>
      <x:c r="N143" s="8" t="n">
        <x:v>0</x:v>
      </x:c>
      <x:c r="O143" s="8" t="n">
        <x:v>0</x:v>
      </x:c>
      <x:c r="P143" s="8" t="n">
        <x:v>284</x:v>
      </x:c>
      <x:c r="Q143" s="8" t="n">
        <x:v>172</x:v>
      </x:c>
      <x:c r="R143" s="8" t="n">
        <x:v>456</x:v>
      </x:c>
      <x:c r="S143" s="8" t="n">
        <x:v>1542</x:v>
      </x:c>
      <x:c r="T143" s="8" t="n">
        <x:v>356</x:v>
      </x:c>
      <x:c r="U143" s="2" t="str">
        <x:v>2025年12月25日現在</x:v>
      </x:c>
      <x:c r="V143" s="2" t="str">
        <x:v>2025-12-25</x:v>
      </x:c>
      <x:c r="W143" s="2" t="str">
        <x:v>https://www.e-stat.go.jp/stat-search/file-download?statInfId=000032170294&amp;fileKind=0</x:v>
      </x:c>
      <x:c r="X143" s="2" t="str">
        <x:v>海上出入貨物!205行、コンテナ個数!40行</x:v>
      </x:c>
      <x:c r="Y143" s="2" t="str">
        <x:v>取得済</x:v>
      </x:c>
      <x:c r="Z143" s="9" t="n">
        <x:f>IF(AND(ISNUMBER(E143),COUNTIFS($A$2:$A$477,EDATE(A143,-12),$B$2:$B$477,B143,$E$2:$E$477,"&gt;0")=1),E143/SUMIFS($E$2:$E$477,$A$2:$A$477,EDATE(A143,-12),$B$2:$B$477,B143)-1,"")</x:f>
        <x:v>-0.0401270395027179</x:v>
      </x:c>
      <x:c r="AA143" s="10" t="n">
        <x:f>IF(COUNTIFS($A$2:$A$477,"&gt;="&amp;EDATE(A143,-2),$A$2:$A$477,"&lt;="&amp;A143,$B$2:$B$477,B143,$E$2:$E$477,"&gt;=0")=3,SUMIFS($E$2:$E$477,$A$2:$A$477,"&gt;="&amp;EDATE(A143,-2),$A$2:$A$477,"&lt;="&amp;A143,$B$2:$B$477,B143)/3,"")</x:f>
        <x:v>964038.6666666666</x:v>
      </x:c>
      <x:c r="AB143" s="9" t="n">
        <x:f>IF(AND(ISNUMBER(J143),COUNTIFS($A$2:$A$477,EDATE(A143,-12),$B$2:$B$477,B143,$J$2:$J$477,"&gt;0")=1),J143/SUMIFS($J$2:$J$477,$A$2:$A$477,EDATE(A143,-12),$B$2:$B$477,B143)-1,"")</x:f>
        <x:v>0.023977415307402827</x:v>
      </x:c>
    </x:row>
    <x:row r="144" ht="21" customHeight="1">
      <x:c r="A144" s="7" t="n">
        <x:v>44805</x:v>
      </x:c>
      <x:c r="B144" s="2" t="str">
        <x:v>横浜</x:v>
      </x:c>
      <x:c r="C144" s="2" t="str">
        <x:v>神奈川県</x:v>
      </x:c>
      <x:c r="D144" s="8" t="n">
        <x:v>8471332</x:v>
      </x:c>
      <x:c r="E144" s="8" t="n">
        <x:v>2328772</x:v>
      </x:c>
      <x:c r="F144" s="8" t="n">
        <x:v>3944440</x:v>
      </x:c>
      <x:c r="G144" s="8" t="n">
        <x:v>1104241</x:v>
      </x:c>
      <x:c r="H144" s="8" t="n">
        <x:v>1093879</x:v>
      </x:c>
      <x:c r="I144" s="8" t="n">
        <x:v>244039</x:v>
      </x:c>
      <x:c r="J144" s="8" t="n">
        <x:v>112744</x:v>
      </x:c>
      <x:c r="K144" s="8" t="n">
        <x:v>101957</x:v>
      </x:c>
      <x:c r="L144" s="8" t="n">
        <x:v>13174</x:v>
      </x:c>
      <x:c r="M144" s="8" t="n">
        <x:v>16164</x:v>
      </x:c>
      <x:c r="N144" s="8" t="n">
        <x:v>0</x:v>
      </x:c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2107</x:v>
      </x:c>
      <x:c r="T144" s="8" t="n">
        <x:v>659</x:v>
      </x:c>
      <x:c r="U144" s="2" t="str">
        <x:v>2025年12月25日現在</x:v>
      </x:c>
      <x:c r="V144" s="2" t="str">
        <x:v>2025-12-25</x:v>
      </x:c>
      <x:c r="W144" s="2" t="str">
        <x:v>https://www.e-stat.go.jp/stat-search/file-download?statInfId=000032170294&amp;fileKind=0</x:v>
      </x:c>
      <x:c r="X144" s="2" t="str">
        <x:v>海上出入貨物!217行、コンテナ個数!42行</x:v>
      </x:c>
      <x:c r="Y144" s="2" t="str">
        <x:v>取得済</x:v>
      </x:c>
      <x:c r="Z144" s="9" t="n">
        <x:f>IF(AND(ISNUMBER(E144),COUNTIFS($A$2:$A$477,EDATE(A144,-12),$B$2:$B$477,B144,$E$2:$E$477,"&gt;0")=1),E144/SUMIFS($E$2:$E$477,$A$2:$A$477,EDATE(A144,-12),$B$2:$B$477,B144)-1,"")</x:f>
        <x:v>0.004083557934049908</x:v>
      </x:c>
      <x:c r="AA144" s="10" t="n">
        <x:f>IF(COUNTIFS($A$2:$A$477,"&gt;="&amp;EDATE(A144,-2),$A$2:$A$477,"&lt;="&amp;A144,$B$2:$B$477,B144,$E$2:$E$477,"&gt;=0")=3,SUMIFS($E$2:$E$477,$A$2:$A$477,"&gt;="&amp;EDATE(A144,-2),$A$2:$A$477,"&lt;="&amp;A144,$B$2:$B$477,B144)/3,"")</x:f>
        <x:v>2360707.3333333335</x:v>
      </x:c>
      <x:c r="AB144" s="9" t="n">
        <x:f>IF(AND(ISNUMBER(J144),COUNTIFS($A$2:$A$477,EDATE(A144,-12),$B$2:$B$477,B144,$J$2:$J$477,"&gt;0")=1),J144/SUMIFS($J$2:$J$477,$A$2:$A$477,EDATE(A144,-12),$B$2:$B$477,B144)-1,"")</x:f>
        <x:v>0.04119760257842864</x:v>
      </x:c>
    </x:row>
    <x:row r="145" ht="21" customHeight="1">
      <x:c r="A145" s="7" t="n">
        <x:v>44805</x:v>
      </x:c>
      <x:c r="B145" s="2" t="str">
        <x:v>清水</x:v>
      </x:c>
      <x:c r="C145" s="2" t="str">
        <x:v>静岡県</x:v>
      </x:c>
      <x:c r="D145" s="8" t="n">
        <x:v>1383478</x:v>
      </x:c>
      <x:c r="E145" s="8" t="n">
        <x:v>288453</x:v>
      </x:c>
      <x:c r="F145" s="8" t="n">
        <x:v>590655</x:v>
      </x:c>
      <x:c r="G145" s="8" t="n">
        <x:v>125104</x:v>
      </x:c>
      <x:c r="H145" s="8" t="n">
        <x:v>379266</x:v>
      </x:c>
      <x:c r="I145" s="8" t="n">
        <x:v>41587</x:v>
      </x:c>
      <x:c r="J145" s="8" t="n">
        <x:v>17608</x:v>
      </x:c>
      <x:c r="K145" s="8" t="n">
        <x:v>15458</x:v>
      </x:c>
      <x:c r="L145" s="8" t="n">
        <x:v>3565</x:v>
      </x:c>
      <x:c r="M145" s="8" t="n">
        <x:v>4956</x:v>
      </x:c>
      <x:c r="N145" s="8" t="n">
        <x:v>0</x:v>
      </x:c>
      <x:c r="O145" s="8" t="n">
        <x:v>0</x:v>
      </x:c>
      <x:c r="P145" s="8" t="n">
        <x:v>3</x:v>
      </x:c>
      <x:c r="Q145" s="8" t="n">
        <x:v>1</x:v>
      </x:c>
      <x:c r="R145" s="8" t="n">
        <x:v>4</x:v>
      </x:c>
      <x:c r="S145" s="8" t="n">
        <x:v>425</x:v>
      </x:c>
      <x:c r="T145" s="8" t="n">
        <x:v>121</x:v>
      </x:c>
      <x:c r="U145" s="2" t="str">
        <x:v>2025年12月25日現在</x:v>
      </x:c>
      <x:c r="V145" s="2" t="str">
        <x:v>2025-12-25</x:v>
      </x:c>
      <x:c r="W145" s="2" t="str">
        <x:v>https://www.e-stat.go.jp/stat-search/file-download?statInfId=000032170294&amp;fileKind=0</x:v>
      </x:c>
      <x:c r="X145" s="2" t="str">
        <x:v>海上出入貨物!313行、コンテナ個数!58行</x:v>
      </x:c>
      <x:c r="Y145" s="2" t="str">
        <x:v>取得済</x:v>
      </x:c>
      <x:c r="Z145" s="9" t="n">
        <x:f>IF(AND(ISNUMBER(E145),COUNTIFS($A$2:$A$477,EDATE(A145,-12),$B$2:$B$477,B145,$E$2:$E$477,"&gt;0")=1),E145/SUMIFS($E$2:$E$477,$A$2:$A$477,EDATE(A145,-12),$B$2:$B$477,B145)-1,"")</x:f>
        <x:v>-0.11006728802421262</x:v>
      </x:c>
      <x:c r="AA145" s="10" t="n">
        <x:f>IF(COUNTIFS($A$2:$A$477,"&gt;="&amp;EDATE(A145,-2),$A$2:$A$477,"&lt;="&amp;A145,$B$2:$B$477,B145,$E$2:$E$477,"&gt;=0")=3,SUMIFS($E$2:$E$477,$A$2:$A$477,"&gt;="&amp;EDATE(A145,-2),$A$2:$A$477,"&lt;="&amp;A145,$B$2:$B$477,B145)/3,"")</x:f>
        <x:v>291085.3333333333</x:v>
      </x:c>
      <x:c r="AB145" s="9" t="n">
        <x:f>IF(AND(ISNUMBER(J145),COUNTIFS($A$2:$A$477,EDATE(A145,-12),$B$2:$B$477,B145,$J$2:$J$477,"&gt;0")=1),J145/SUMIFS($J$2:$J$477,$A$2:$A$477,EDATE(A145,-12),$B$2:$B$477,B145)-1,"")</x:f>
        <x:v>-0.004635387224420584</x:v>
      </x:c>
    </x:row>
    <x:row r="146" ht="21" customHeight="1">
      <x:c r="A146" s="7" t="n">
        <x:v>44805</x:v>
      </x:c>
      <x:c r="B146" s="2" t="str">
        <x:v>博多</x:v>
      </x:c>
      <x:c r="C146" s="2" t="str">
        <x:v>福岡県</x:v>
      </x:c>
      <x:c r="D146" s="8" t="n">
        <x:v>2731177</x:v>
      </x:c>
      <x:c r="E146" s="8" t="n">
        <x:v>668403</x:v>
      </x:c>
      <x:c r="F146" s="8" t="n">
        <x:v>765817</x:v>
      </x:c>
      <x:c r="G146" s="8" t="n">
        <x:v>434938</x:v>
      </x:c>
      <x:c r="H146" s="8" t="n">
        <x:v>862019</x:v>
      </x:c>
      <x:c r="I146" s="8" t="n">
        <x:v>71540</x:v>
      </x:c>
      <x:c r="J146" s="8" t="n">
        <x:v>29087</x:v>
      </x:c>
      <x:c r="K146" s="8" t="n">
        <x:v>30755</x:v>
      </x:c>
      <x:c r="L146" s="8" t="n">
        <x:v>5821</x:v>
      </x:c>
      <x:c r="M146" s="8" t="n">
        <x:v>5877</x:v>
      </x:c>
      <x:c r="N146" s="8" t="n">
        <x:v>0</x:v>
      </x:c>
      <x:c r="O146" s="8" t="n">
        <x:v>0</x:v>
      </x:c>
      <x:c r="P146" s="8" t="n">
        <x:v>1221</x:v>
      </x:c>
      <x:c r="Q146" s="8" t="n">
        <x:v>1179</x:v>
      </x:c>
      <x:c r="R146" s="8" t="n">
        <x:v>2400</x:v>
      </x:c>
      <x:c r="S146" s="8" t="n">
        <x:v>1429</x:v>
      </x:c>
      <x:c r="T146" s="8" t="n">
        <x:v>204</x:v>
      </x:c>
      <x:c r="U146" s="2" t="str">
        <x:v>2025年12月25日現在</x:v>
      </x:c>
      <x:c r="V146" s="2" t="str">
        <x:v>2025-12-25</x:v>
      </x:c>
      <x:c r="W146" s="2" t="str">
        <x:v>https://www.e-stat.go.jp/stat-search/file-download?statInfId=000032170294&amp;fileKind=0</x:v>
      </x:c>
      <x:c r="X146" s="2" t="str">
        <x:v>海上出入貨物!745行、コンテナ個数!130行</x:v>
      </x:c>
      <x:c r="Y146" s="2" t="str">
        <x:v>取得済</x:v>
      </x:c>
      <x:c r="Z146" s="9" t="n">
        <x:f>IF(AND(ISNUMBER(E146),COUNTIFS($A$2:$A$477,EDATE(A146,-12),$B$2:$B$477,B146,$E$2:$E$477,"&gt;0")=1),E146/SUMIFS($E$2:$E$477,$A$2:$A$477,EDATE(A146,-12),$B$2:$B$477,B146)-1,"")</x:f>
        <x:v>0.3357507569020475</x:v>
      </x:c>
      <x:c r="AA146" s="10" t="n">
        <x:f>IF(COUNTIFS($A$2:$A$477,"&gt;="&amp;EDATE(A146,-2),$A$2:$A$477,"&lt;="&amp;A146,$B$2:$B$477,B146,$E$2:$E$477,"&gt;=0")=3,SUMIFS($E$2:$E$477,$A$2:$A$477,"&gt;="&amp;EDATE(A146,-2),$A$2:$A$477,"&lt;="&amp;A146,$B$2:$B$477,B146)/3,"")</x:f>
        <x:v>703079.6666666666</x:v>
      </x:c>
      <x:c r="AB146" s="9" t="n">
        <x:f>IF(AND(ISNUMBER(J146),COUNTIFS($A$2:$A$477,EDATE(A146,-12),$B$2:$B$477,B146,$J$2:$J$477,"&gt;0")=1),J146/SUMIFS($J$2:$J$477,$A$2:$A$477,EDATE(A146,-12),$B$2:$B$477,B146)-1,"")</x:f>
        <x:v>-0.12017543859649127</x:v>
      </x:c>
    </x:row>
    <x:row r="147" ht="21" customHeight="1">
      <x:c r="A147" s="7" t="n">
        <x:v>44805</x:v>
      </x:c>
      <x:c r="B147" s="2" t="str">
        <x:v>熊本</x:v>
      </x:c>
      <x:c r="C147" s="2" t="str">
        <x:v>熊本県</x:v>
      </x:c>
      <x:c r="D147" s="8" t="n">
        <x:v>220786</x:v>
      </x:c>
      <x:c r="E147" s="8" t="n">
        <x:v>4084</x:v>
      </x:c>
      <x:c r="F147" s="8" t="n">
        <x:v>5362</x:v>
      </x:c>
      <x:c r="G147" s="8" t="n">
        <x:v>84590</x:v>
      </x:c>
      <x:c r="H147" s="8" t="n">
        <x:v>126750</x:v>
      </x:c>
      <x:c r="I147" s="8" t="n">
        <x:v>709</x:v>
      </x:c>
      <x:c r="J147" s="8" t="n">
        <x:v>255</x:v>
      </x:c>
      <x:c r="K147" s="8" t="n">
        <x:v>324</x:v>
      </x:c>
      <x:c r="L147" s="8" t="n">
        <x:v>130</x:v>
      </x:c>
      <x:c r="M147" s="8" t="n">
        <x:v>0</x:v>
      </x:c>
      <x:c r="N147" s="8" t="n">
        <x:v>0</x:v>
      </x:c>
      <x:c r="O147" s="8" t="n">
        <x:v>0</x:v>
      </x:c>
      <x:c r="P147" s="8" t="n">
        <x:v>591</x:v>
      </x:c>
      <x:c r="Q147" s="8" t="n">
        <x:v>575</x:v>
      </x:c>
      <x:c r="R147" s="8" t="n">
        <x:v>1166</x:v>
      </x:c>
      <x:c r="S147" s="8" t="n">
        <x:v>32</x:v>
      </x:c>
      <x:c r="T147" s="8" t="n">
        <x:v>7</x:v>
      </x:c>
      <x:c r="U147" s="2" t="str">
        <x:v>2025年12月25日現在</x:v>
      </x:c>
      <x:c r="V147" s="2" t="str">
        <x:v>2025-12-25</x:v>
      </x:c>
      <x:c r="W147" s="2" t="str">
        <x:v>https://www.e-stat.go.jp/stat-search/file-download?statInfId=000032170294&amp;fileKind=0</x:v>
      </x:c>
      <x:c r="X147" s="2" t="str">
        <x:v>海上出入貨物!859行、コンテナ個数!149行</x:v>
      </x:c>
      <x:c r="Y147" s="2" t="str">
        <x:v>取得済</x:v>
      </x:c>
      <x:c r="Z147" s="9" t="n">
        <x:f>IF(AND(ISNUMBER(E147),COUNTIFS($A$2:$A$477,EDATE(A147,-12),$B$2:$B$477,B147,$E$2:$E$477,"&gt;0")=1),E147/SUMIFS($E$2:$E$477,$A$2:$A$477,EDATE(A147,-12),$B$2:$B$477,B147)-1,"")</x:f>
        <x:v>-0.4540836786525866</x:v>
      </x:c>
      <x:c r="AA147" s="10" t="n">
        <x:f>IF(COUNTIFS($A$2:$A$477,"&gt;="&amp;EDATE(A147,-2),$A$2:$A$477,"&lt;="&amp;A147,$B$2:$B$477,B147,$E$2:$E$477,"&gt;=0")=3,SUMIFS($E$2:$E$477,$A$2:$A$477,"&gt;="&amp;EDATE(A147,-2),$A$2:$A$477,"&lt;="&amp;A147,$B$2:$B$477,B147)/3,"")</x:f>
        <x:v>4362.666666666667</x:v>
      </x:c>
      <x:c r="AB147" s="9" t="n">
        <x:f>IF(AND(ISNUMBER(J147),COUNTIFS($A$2:$A$477,EDATE(A147,-12),$B$2:$B$477,B147,$J$2:$J$477,"&gt;0")=1),J147/SUMIFS($J$2:$J$477,$A$2:$A$477,EDATE(A147,-12),$B$2:$B$477,B147)-1,"")</x:f>
        <x:v>-0.36408977556109723</x:v>
      </x:c>
    </x:row>
    <x:row r="148" ht="21" customHeight="1">
      <x:c r="A148" s="7" t="n">
        <x:v>44805</x:v>
      </x:c>
      <x:c r="B148" s="2" t="str">
        <x:v>八代</x:v>
      </x:c>
      <x:c r="C148" s="2" t="str">
        <x:v>熊本県</x:v>
      </x:c>
      <x:c r="D148" s="8" t="n">
        <x:v>295283</x:v>
      </x:c>
      <x:c r="E148" s="8" t="n">
        <x:v>18455</x:v>
      </x:c>
      <x:c r="F148" s="8" t="n">
        <x:v>96343</x:v>
      </x:c>
      <x:c r="G148" s="8" t="n">
        <x:v>15215</x:v>
      </x:c>
      <x:c r="H148" s="8" t="n">
        <x:v>165270</x:v>
      </x:c>
      <x:c r="I148" s="8" t="n">
        <x:v>1617</x:v>
      </x:c>
      <x:c r="J148" s="8" t="n">
        <x:v>742</x:v>
      </x:c>
      <x:c r="K148" s="8" t="n">
        <x:v>706</x:v>
      </x:c>
      <x:c r="L148" s="8" t="n">
        <x:v>66</x:v>
      </x:c>
      <x:c r="M148" s="8" t="n">
        <x:v>103</x:v>
      </x:c>
      <x:c r="N148" s="8" t="n">
        <x:v>0</x:v>
      </x:c>
      <x:c r="O148" s="8" t="n">
        <x:v>0</x:v>
      </x:c>
      <x:c r="P148" s="8" t="n">
        <x:v>0</x:v>
      </x:c>
      <x:c r="Q148" s="8" t="n">
        <x:v>0</x:v>
      </x:c>
      <x:c r="R148" s="8" t="n">
        <x:v>0</x:v>
      </x:c>
      <x:c r="S148" s="8" t="n">
        <x:v>173</x:v>
      </x:c>
      <x:c r="T148" s="8" t="n">
        <x:v>23</x:v>
      </x:c>
      <x:c r="U148" s="2" t="str">
        <x:v>2025年12月25日現在</x:v>
      </x:c>
      <x:c r="V148" s="2" t="str">
        <x:v>2025-12-25</x:v>
      </x:c>
      <x:c r="W148" s="2" t="str">
        <x:v>https://www.e-stat.go.jp/stat-search/file-download?statInfId=000032170294&amp;fileKind=0</x:v>
      </x:c>
      <x:c r="X148" s="2" t="str">
        <x:v>海上出入貨物!847行、コンテナ個数!147行</x:v>
      </x:c>
      <x:c r="Y148" s="2" t="str">
        <x:v>取得済</x:v>
      </x:c>
      <x:c r="Z148" s="9" t="n">
        <x:f>IF(AND(ISNUMBER(E148),COUNTIFS($A$2:$A$477,EDATE(A148,-12),$B$2:$B$477,B148,$E$2:$E$477,"&gt;0")=1),E148/SUMIFS($E$2:$E$477,$A$2:$A$477,EDATE(A148,-12),$B$2:$B$477,B148)-1,"")</x:f>
        <x:v>-0.19638580448508602</x:v>
      </x:c>
      <x:c r="AA148" s="10" t="n">
        <x:f>IF(COUNTIFS($A$2:$A$477,"&gt;="&amp;EDATE(A148,-2),$A$2:$A$477,"&lt;="&amp;A148,$B$2:$B$477,B148,$E$2:$E$477,"&gt;=0")=3,SUMIFS($E$2:$E$477,$A$2:$A$477,"&gt;="&amp;EDATE(A148,-2),$A$2:$A$477,"&lt;="&amp;A148,$B$2:$B$477,B148)/3,"")</x:f>
        <x:v>23703</x:v>
      </x:c>
      <x:c r="AB148" s="9" t="n">
        <x:f>IF(AND(ISNUMBER(J148),COUNTIFS($A$2:$A$477,EDATE(A148,-12),$B$2:$B$477,B148,$J$2:$J$477,"&gt;0")=1),J148/SUMIFS($J$2:$J$477,$A$2:$A$477,EDATE(A148,-12),$B$2:$B$477,B148)-1,"")</x:f>
        <x:v>-0.23426212590299278</x:v>
      </x:c>
    </x:row>
    <x:row r="149" ht="21" customHeight="1">
      <x:c r="A149" s="7" t="n">
        <x:v>44835</x:v>
      </x:c>
      <x:c r="B149" s="2" t="str">
        <x:v>仙台塩釜</x:v>
      </x:c>
      <x:c r="C149" s="2" t="str">
        <x:v>宮城県</x:v>
      </x:c>
      <x:c r="D149" s="8" t="n">
        <x:v>3583237</x:v>
      </x:c>
      <x:c r="E149" s="8" t="n">
        <x:v>144029</x:v>
      </x:c>
      <x:c r="F149" s="8" t="n">
        <x:v>881679</x:v>
      </x:c>
      <x:c r="G149" s="8" t="n">
        <x:v>1176171</x:v>
      </x:c>
      <x:c r="H149" s="8" t="n">
        <x:v>1381358</x:v>
      </x:c>
      <x:c r="I149" s="8" t="n">
        <x:v>23712</x:v>
      </x:c>
      <x:c r="J149" s="8" t="n">
        <x:v>6590</x:v>
      </x:c>
      <x:c r="K149" s="8" t="n">
        <x:v>6038</x:v>
      </x:c>
      <x:c r="L149" s="8" t="n">
        <x:v>5515</x:v>
      </x:c>
      <x:c r="M149" s="8" t="n">
        <x:v>5569</x:v>
      </x:c>
      <x:c r="N149" s="8" t="n">
        <x:v>0</x:v>
      </x:c>
      <x:c r="O149" s="8" t="n">
        <x:v>0</x:v>
      </x:c>
      <x:c r="P149" s="8" t="n">
        <x:v>653</x:v>
      </x:c>
      <x:c r="Q149" s="8" t="n">
        <x:v>669</x:v>
      </x:c>
      <x:c r="R149" s="8" t="n">
        <x:v>1322</x:v>
      </x:c>
      <x:c r="S149" s="8" t="n">
        <x:v>2200</x:v>
      </x:c>
      <x:c r="T149" s="8" t="n">
        <x:v>92</x:v>
      </x:c>
      <x:c r="U149" s="2" t="str">
        <x:v>2025年12月25日現在</x:v>
      </x:c>
      <x:c r="V149" s="2" t="str">
        <x:v>2025-12-25</x:v>
      </x:c>
      <x:c r="W149" s="2" t="str">
        <x:v>https://www.e-stat.go.jp/stat-search/file-download?statInfId=000032170294&amp;fileKind=0</x:v>
      </x:c>
      <x:c r="X149" s="2" t="str">
        <x:v>海上出入貨物!139行、コンテナ個数!29行</x:v>
      </x:c>
      <x:c r="Y149" s="2" t="str">
        <x:v>取得済</x:v>
      </x:c>
      <x:c r="Z149" s="9" t="n">
        <x:f>IF(AND(ISNUMBER(E149),COUNTIFS($A$2:$A$477,EDATE(A149,-12),$B$2:$B$477,B149,$E$2:$E$477,"&gt;0")=1),E149/SUMIFS($E$2:$E$477,$A$2:$A$477,EDATE(A149,-12),$B$2:$B$477,B149)-1,"")</x:f>
        <x:v>0.21662555750777135</x:v>
      </x:c>
      <x:c r="AA149" s="10" t="n">
        <x:f>IF(COUNTIFS($A$2:$A$477,"&gt;="&amp;EDATE(A149,-2),$A$2:$A$477,"&lt;="&amp;A149,$B$2:$B$477,B149,$E$2:$E$477,"&gt;=0")=3,SUMIFS($E$2:$E$477,$A$2:$A$477,"&gt;="&amp;EDATE(A149,-2),$A$2:$A$477,"&lt;="&amp;A149,$B$2:$B$477,B149)/3,"")</x:f>
        <x:v>112513</x:v>
      </x:c>
      <x:c r="AB149" s="9" t="n">
        <x:f>IF(AND(ISNUMBER(J149),COUNTIFS($A$2:$A$477,EDATE(A149,-12),$B$2:$B$477,B149,$J$2:$J$477,"&gt;0")=1),J149/SUMIFS($J$2:$J$477,$A$2:$A$477,EDATE(A149,-12),$B$2:$B$477,B149)-1,"")</x:f>
        <x:v>-0.034149201231129966</x:v>
      </x:c>
    </x:row>
    <x:row r="150" ht="21" customHeight="1">
      <x:c r="A150" s="7" t="n">
        <x:v>44835</x:v>
      </x:c>
      <x:c r="B150" s="2" t="str">
        <x:v>東京</x:v>
      </x:c>
      <x:c r="C150" s="2" t="str">
        <x:v>東京都</x:v>
      </x:c>
      <x:c r="D150" s="8" t="n">
        <x:v>7383728</x:v>
      </x:c>
      <x:c r="E150" s="8" t="n">
        <x:v>1060853</x:v>
      </x:c>
      <x:c r="F150" s="8" t="n">
        <x:v>3150478</x:v>
      </x:c>
      <x:c r="G150" s="8" t="n">
        <x:v>1207787</x:v>
      </x:c>
      <x:c r="H150" s="8" t="n">
        <x:v>1964610</x:v>
      </x:c>
      <x:c r="I150" s="8" t="n">
        <x:v>438608</x:v>
      </x:c>
      <x:c r="J150" s="8" t="n">
        <x:v>186140</x:v>
      </x:c>
      <x:c r="K150" s="8" t="n">
        <x:v>206925</x:v>
      </x:c>
      <x:c r="L150" s="8" t="n">
        <x:v>29933</x:v>
      </x:c>
      <x:c r="M150" s="8" t="n">
        <x:v>15610</x:v>
      </x:c>
      <x:c r="N150" s="8" t="n">
        <x:v>0</x:v>
      </x:c>
      <x:c r="O150" s="8" t="n">
        <x:v>0</x:v>
      </x:c>
      <x:c r="P150" s="8" t="n">
        <x:v>295</x:v>
      </x:c>
      <x:c r="Q150" s="8" t="n">
        <x:v>212</x:v>
      </x:c>
      <x:c r="R150" s="8" t="n">
        <x:v>507</x:v>
      </x:c>
      <x:c r="S150" s="8" t="n">
        <x:v>1659</x:v>
      </x:c>
      <x:c r="T150" s="8" t="n">
        <x:v>391</x:v>
      </x:c>
      <x:c r="U150" s="2" t="str">
        <x:v>2025年12月25日現在</x:v>
      </x:c>
      <x:c r="V150" s="2" t="str">
        <x:v>2025-12-25</x:v>
      </x:c>
      <x:c r="W150" s="2" t="str">
        <x:v>https://www.e-stat.go.jp/stat-search/file-download?statInfId=000032170294&amp;fileKind=0</x:v>
      </x:c>
      <x:c r="X150" s="2" t="str">
        <x:v>海上出入貨物!205行、コンテナ個数!40行</x:v>
      </x:c>
      <x:c r="Y150" s="2" t="str">
        <x:v>取得済</x:v>
      </x:c>
      <x:c r="Z150" s="9" t="n">
        <x:f>IF(AND(ISNUMBER(E150),COUNTIFS($A$2:$A$477,EDATE(A150,-12),$B$2:$B$477,B150,$E$2:$E$477,"&gt;0")=1),E150/SUMIFS($E$2:$E$477,$A$2:$A$477,EDATE(A150,-12),$B$2:$B$477,B150)-1,"")</x:f>
        <x:v>0.01077708181282877</x:v>
      </x:c>
      <x:c r="AA150" s="10" t="n">
        <x:f>IF(COUNTIFS($A$2:$A$477,"&gt;="&amp;EDATE(A150,-2),$A$2:$A$477,"&lt;="&amp;A150,$B$2:$B$477,B150,$E$2:$E$477,"&gt;=0")=3,SUMIFS($E$2:$E$477,$A$2:$A$477,"&gt;="&amp;EDATE(A150,-2),$A$2:$A$477,"&lt;="&amp;A150,$B$2:$B$477,B150)/3,"")</x:f>
        <x:v>972316</x:v>
      </x:c>
      <x:c r="AB150" s="9" t="n">
        <x:f>IF(AND(ISNUMBER(J150),COUNTIFS($A$2:$A$477,EDATE(A150,-12),$B$2:$B$477,B150,$J$2:$J$477,"&gt;0")=1),J150/SUMIFS($J$2:$J$477,$A$2:$A$477,EDATE(A150,-12),$B$2:$B$477,B150)-1,"")</x:f>
        <x:v>0.055520587017788614</x:v>
      </x:c>
    </x:row>
    <x:row r="151" ht="21" customHeight="1">
      <x:c r="A151" s="7" t="n">
        <x:v>44835</x:v>
      </x:c>
      <x:c r="B151" s="2" t="str">
        <x:v>横浜</x:v>
      </x:c>
      <x:c r="C151" s="2" t="str">
        <x:v>神奈川県</x:v>
      </x:c>
      <x:c r="D151" s="8" t="n">
        <x:v>8453302</x:v>
      </x:c>
      <x:c r="E151" s="8" t="n">
        <x:v>2539205</x:v>
      </x:c>
      <x:c r="F151" s="8" t="n">
        <x:v>3529554</x:v>
      </x:c>
      <x:c r="G151" s="8" t="n">
        <x:v>1008295</x:v>
      </x:c>
      <x:c r="H151" s="8" t="n">
        <x:v>1376248</x:v>
      </x:c>
      <x:c r="I151" s="8" t="n">
        <x:v>269358</x:v>
      </x:c>
      <x:c r="J151" s="8" t="n">
        <x:v>127631</x:v>
      </x:c>
      <x:c r="K151" s="8" t="n">
        <x:v>110404</x:v>
      </x:c>
      <x:c r="L151" s="8" t="n">
        <x:v>14195</x:v>
      </x:c>
      <x:c r="M151" s="8" t="n">
        <x:v>17128</x:v>
      </x:c>
      <x:c r="N151" s="8" t="n">
        <x:v>0</x:v>
      </x:c>
      <x:c r="O151" s="8" t="n">
        <x:v>0</x:v>
      </x:c>
      <x:c r="P151" s="8" t="n">
        <x:v>0</x:v>
      </x:c>
      <x:c r="Q151" s="8" t="n">
        <x:v>0</x:v>
      </x:c>
      <x:c r="R151" s="8" t="n">
        <x:v>0</x:v>
      </x:c>
      <x:c r="S151" s="8" t="n">
        <x:v>2264</x:v>
      </x:c>
      <x:c r="T151" s="8" t="n">
        <x:v>707</x:v>
      </x:c>
      <x:c r="U151" s="2" t="str">
        <x:v>2025年12月25日現在</x:v>
      </x:c>
      <x:c r="V151" s="2" t="str">
        <x:v>2025-12-25</x:v>
      </x:c>
      <x:c r="W151" s="2" t="str">
        <x:v>https://www.e-stat.go.jp/stat-search/file-download?statInfId=000032170294&amp;fileKind=0</x:v>
      </x:c>
      <x:c r="X151" s="2" t="str">
        <x:v>海上出入貨物!217行、コンテナ個数!42行</x:v>
      </x:c>
      <x:c r="Y151" s="2" t="str">
        <x:v>取得済</x:v>
      </x:c>
      <x:c r="Z151" s="9" t="n">
        <x:f>IF(AND(ISNUMBER(E151),COUNTIFS($A$2:$A$477,EDATE(A151,-12),$B$2:$B$477,B151,$E$2:$E$477,"&gt;0")=1),E151/SUMIFS($E$2:$E$477,$A$2:$A$477,EDATE(A151,-12),$B$2:$B$477,B151)-1,"")</x:f>
        <x:v>0.0015742260811117958</x:v>
      </x:c>
      <x:c r="AA151" s="10" t="n">
        <x:f>IF(COUNTIFS($A$2:$A$477,"&gt;="&amp;EDATE(A151,-2),$A$2:$A$477,"&lt;="&amp;A151,$B$2:$B$477,B151,$E$2:$E$477,"&gt;=0")=3,SUMIFS($E$2:$E$477,$A$2:$A$477,"&gt;="&amp;EDATE(A151,-2),$A$2:$A$477,"&lt;="&amp;A151,$B$2:$B$477,B151)/3,"")</x:f>
        <x:v>2401333.6666666665</x:v>
      </x:c>
      <x:c r="AB151" s="9" t="n">
        <x:f>IF(AND(ISNUMBER(J151),COUNTIFS($A$2:$A$477,EDATE(A151,-12),$B$2:$B$477,B151,$J$2:$J$477,"&gt;0")=1),J151/SUMIFS($J$2:$J$477,$A$2:$A$477,EDATE(A151,-12),$B$2:$B$477,B151)-1,"")</x:f>
        <x:v>0.062104720058584695</x:v>
      </x:c>
    </x:row>
    <x:row r="152" ht="21" customHeight="1">
      <x:c r="A152" s="7" t="n">
        <x:v>44835</x:v>
      </x:c>
      <x:c r="B152" s="2" t="str">
        <x:v>清水</x:v>
      </x:c>
      <x:c r="C152" s="2" t="str">
        <x:v>静岡県</x:v>
      </x:c>
      <x:c r="D152" s="8" t="n">
        <x:v>1347252</x:v>
      </x:c>
      <x:c r="E152" s="8" t="n">
        <x:v>314597</x:v>
      </x:c>
      <x:c r="F152" s="8" t="n">
        <x:v>436728</x:v>
      </x:c>
      <x:c r="G152" s="8" t="n">
        <x:v>174700</x:v>
      </x:c>
      <x:c r="H152" s="8" t="n">
        <x:v>421227</x:v>
      </x:c>
      <x:c r="I152" s="8" t="n">
        <x:v>49147</x:v>
      </x:c>
      <x:c r="J152" s="8" t="n">
        <x:v>19366</x:v>
      </x:c>
      <x:c r="K152" s="8" t="n">
        <x:v>18594</x:v>
      </x:c>
      <x:c r="L152" s="8" t="n">
        <x:v>5195</x:v>
      </x:c>
      <x:c r="M152" s="8" t="n">
        <x:v>5992</x:v>
      </x:c>
      <x:c r="N152" s="8" t="n">
        <x:v>0</x:v>
      </x:c>
      <x:c r="O152" s="8" t="n">
        <x:v>0</x:v>
      </x:c>
      <x:c r="P152" s="8" t="n">
        <x:v>6</x:v>
      </x:c>
      <x:c r="Q152" s="8" t="n">
        <x:v>5</x:v>
      </x:c>
      <x:c r="R152" s="8" t="n">
        <x:v>11</x:v>
      </x:c>
      <x:c r="S152" s="8" t="n">
        <x:v>468</x:v>
      </x:c>
      <x:c r="T152" s="8" t="n">
        <x:v>144</x:v>
      </x:c>
      <x:c r="U152" s="2" t="str">
        <x:v>2025年12月25日現在</x:v>
      </x:c>
      <x:c r="V152" s="2" t="str">
        <x:v>2025-12-25</x:v>
      </x:c>
      <x:c r="W152" s="2" t="str">
        <x:v>https://www.e-stat.go.jp/stat-search/file-download?statInfId=000032170294&amp;fileKind=0</x:v>
      </x:c>
      <x:c r="X152" s="2" t="str">
        <x:v>海上出入貨物!313行、コンテナ個数!58行</x:v>
      </x:c>
      <x:c r="Y152" s="2" t="str">
        <x:v>取得済</x:v>
      </x:c>
      <x:c r="Z152" s="9" t="n">
        <x:f>IF(AND(ISNUMBER(E152),COUNTIFS($A$2:$A$477,EDATE(A152,-12),$B$2:$B$477,B152,$E$2:$E$477,"&gt;0")=1),E152/SUMIFS($E$2:$E$477,$A$2:$A$477,EDATE(A152,-12),$B$2:$B$477,B152)-1,"")</x:f>
        <x:v>-0.09200663828559064</x:v>
      </x:c>
      <x:c r="AA152" s="10" t="n">
        <x:f>IF(COUNTIFS($A$2:$A$477,"&gt;="&amp;EDATE(A152,-2),$A$2:$A$477,"&lt;="&amp;A152,$B$2:$B$477,B152,$E$2:$E$477,"&gt;=0")=3,SUMIFS($E$2:$E$477,$A$2:$A$477,"&gt;="&amp;EDATE(A152,-2),$A$2:$A$477,"&lt;="&amp;A152,$B$2:$B$477,B152)/3,"")</x:f>
        <x:v>290809.6666666667</x:v>
      </x:c>
      <x:c r="AB152" s="9" t="n">
        <x:f>IF(AND(ISNUMBER(J152),COUNTIFS($A$2:$A$477,EDATE(A152,-12),$B$2:$B$477,B152,$J$2:$J$477,"&gt;0")=1),J152/SUMIFS($J$2:$J$477,$A$2:$A$477,EDATE(A152,-12),$B$2:$B$477,B152)-1,"")</x:f>
        <x:v>-0.0581197412577209</x:v>
      </x:c>
    </x:row>
    <x:row r="153" ht="21" customHeight="1">
      <x:c r="A153" s="7" t="n">
        <x:v>44835</x:v>
      </x:c>
      <x:c r="B153" s="2" t="str">
        <x:v>博多</x:v>
      </x:c>
      <x:c r="C153" s="2" t="str">
        <x:v>福岡県</x:v>
      </x:c>
      <x:c r="D153" s="8" t="n">
        <x:v>2999982</x:v>
      </x:c>
      <x:c r="E153" s="8" t="n">
        <x:v>613207</x:v>
      </x:c>
      <x:c r="F153" s="8" t="n">
        <x:v>874591</x:v>
      </x:c>
      <x:c r="G153" s="8" t="n">
        <x:v>483931</x:v>
      </x:c>
      <x:c r="H153" s="8" t="n">
        <x:v>1028253</x:v>
      </x:c>
      <x:c r="I153" s="8" t="n">
        <x:v>84890</x:v>
      </x:c>
      <x:c r="J153" s="8" t="n">
        <x:v>36500</x:v>
      </x:c>
      <x:c r="K153" s="8" t="n">
        <x:v>34968</x:v>
      </x:c>
      <x:c r="L153" s="8" t="n">
        <x:v>6249</x:v>
      </x:c>
      <x:c r="M153" s="8" t="n">
        <x:v>7173</x:v>
      </x:c>
      <x:c r="N153" s="8" t="n">
        <x:v>0</x:v>
      </x:c>
      <x:c r="O153" s="8" t="n">
        <x:v>0</x:v>
      </x:c>
      <x:c r="P153" s="8" t="n">
        <x:v>1573</x:v>
      </x:c>
      <x:c r="Q153" s="8" t="n">
        <x:v>1548</x:v>
      </x:c>
      <x:c r="R153" s="8" t="n">
        <x:v>3121</x:v>
      </x:c>
      <x:c r="S153" s="8" t="n">
        <x:v>1616</x:v>
      </x:c>
      <x:c r="T153" s="8" t="n">
        <x:v>219</x:v>
      </x:c>
      <x:c r="U153" s="2" t="str">
        <x:v>2025年12月25日現在</x:v>
      </x:c>
      <x:c r="V153" s="2" t="str">
        <x:v>2025-12-25</x:v>
      </x:c>
      <x:c r="W153" s="2" t="str">
        <x:v>https://www.e-stat.go.jp/stat-search/file-download?statInfId=000032170294&amp;fileKind=0</x:v>
      </x:c>
      <x:c r="X153" s="2" t="str">
        <x:v>海上出入貨物!745行、コンテナ個数!130行</x:v>
      </x:c>
      <x:c r="Y153" s="2" t="str">
        <x:v>取得済</x:v>
      </x:c>
      <x:c r="Z153" s="9" t="n">
        <x:f>IF(AND(ISNUMBER(E153),COUNTIFS($A$2:$A$477,EDATE(A153,-12),$B$2:$B$477,B153,$E$2:$E$477,"&gt;0")=1),E153/SUMIFS($E$2:$E$477,$A$2:$A$477,EDATE(A153,-12),$B$2:$B$477,B153)-1,"")</x:f>
        <x:v>0.06605576040791994</x:v>
      </x:c>
      <x:c r="AA153" s="10" t="n">
        <x:f>IF(COUNTIFS($A$2:$A$477,"&gt;="&amp;EDATE(A153,-2),$A$2:$A$477,"&lt;="&amp;A153,$B$2:$B$477,B153,$E$2:$E$477,"&gt;=0")=3,SUMIFS($E$2:$E$477,$A$2:$A$477,"&gt;="&amp;EDATE(A153,-2),$A$2:$A$477,"&lt;="&amp;A153,$B$2:$B$477,B153)/3,"")</x:f>
        <x:v>648359</x:v>
      </x:c>
      <x:c r="AB153" s="9" t="n">
        <x:f>IF(AND(ISNUMBER(J153),COUNTIFS($A$2:$A$477,EDATE(A153,-12),$B$2:$B$477,B153,$J$2:$J$477,"&gt;0")=1),J153/SUMIFS($J$2:$J$477,$A$2:$A$477,EDATE(A153,-12),$B$2:$B$477,B153)-1,"")</x:f>
        <x:v>0.094157498725981</x:v>
      </x:c>
    </x:row>
    <x:row r="154" ht="21" customHeight="1">
      <x:c r="A154" s="7" t="n">
        <x:v>44835</x:v>
      </x:c>
      <x:c r="B154" s="2" t="str">
        <x:v>熊本</x:v>
      </x:c>
      <x:c r="C154" s="2" t="str">
        <x:v>熊本県</x:v>
      </x:c>
      <x:c r="D154" s="8" t="n">
        <x:v>272444</x:v>
      </x:c>
      <x:c r="E154" s="8" t="n">
        <x:v>4706</x:v>
      </x:c>
      <x:c r="F154" s="8" t="n">
        <x:v>5407</x:v>
      </x:c>
      <x:c r="G154" s="8" t="n">
        <x:v>105606</x:v>
      </x:c>
      <x:c r="H154" s="8" t="n">
        <x:v>156725</x:v>
      </x:c>
      <x:c r="I154" s="8" t="n">
        <x:v>681</x:v>
      </x:c>
      <x:c r="J154" s="8" t="n">
        <x:v>282</x:v>
      </x:c>
      <x:c r="K154" s="8" t="n">
        <x:v>289</x:v>
      </x:c>
      <x:c r="L154" s="8" t="n">
        <x:v>80</x:v>
      </x:c>
      <x:c r="M154" s="8" t="n">
        <x:v>30</x:v>
      </x:c>
      <x:c r="N154" s="8" t="n">
        <x:v>0</x:v>
      </x:c>
      <x:c r="O154" s="8" t="n">
        <x:v>0</x:v>
      </x:c>
      <x:c r="P154" s="8" t="n">
        <x:v>576</x:v>
      </x:c>
      <x:c r="Q154" s="8" t="n">
        <x:v>601</x:v>
      </x:c>
      <x:c r="R154" s="8" t="n">
        <x:v>1177</x:v>
      </x:c>
      <x:c r="S154" s="8" t="n">
        <x:v>35</x:v>
      </x:c>
      <x:c r="T154" s="8" t="n">
        <x:v>8</x:v>
      </x:c>
      <x:c r="U154" s="2" t="str">
        <x:v>2025年12月25日現在</x:v>
      </x:c>
      <x:c r="V154" s="2" t="str">
        <x:v>2025-12-25</x:v>
      </x:c>
      <x:c r="W154" s="2" t="str">
        <x:v>https://www.e-stat.go.jp/stat-search/file-download?statInfId=000032170294&amp;fileKind=0</x:v>
      </x:c>
      <x:c r="X154" s="2" t="str">
        <x:v>海上出入貨物!859行、コンテナ個数!149行</x:v>
      </x:c>
      <x:c r="Y154" s="2" t="str">
        <x:v>取得済</x:v>
      </x:c>
      <x:c r="Z154" s="9" t="n">
        <x:f>IF(AND(ISNUMBER(E154),COUNTIFS($A$2:$A$477,EDATE(A154,-12),$B$2:$B$477,B154,$E$2:$E$477,"&gt;0")=1),E154/SUMIFS($E$2:$E$477,$A$2:$A$477,EDATE(A154,-12),$B$2:$B$477,B154)-1,"")</x:f>
        <x:v>-0.20787746170678334</x:v>
      </x:c>
      <x:c r="AA154" s="10" t="n">
        <x:f>IF(COUNTIFS($A$2:$A$477,"&gt;="&amp;EDATE(A154,-2),$A$2:$A$477,"&lt;="&amp;A154,$B$2:$B$477,B154,$E$2:$E$477,"&gt;=0")=3,SUMIFS($E$2:$E$477,$A$2:$A$477,"&gt;="&amp;EDATE(A154,-2),$A$2:$A$477,"&lt;="&amp;A154,$B$2:$B$477,B154)/3,"")</x:f>
        <x:v>4534</x:v>
      </x:c>
      <x:c r="AB154" s="9" t="n">
        <x:f>IF(AND(ISNUMBER(J154),COUNTIFS($A$2:$A$477,EDATE(A154,-12),$B$2:$B$477,B154,$J$2:$J$477,"&gt;0")=1),J154/SUMIFS($J$2:$J$477,$A$2:$A$477,EDATE(A154,-12),$B$2:$B$477,B154)-1,"")</x:f>
        <x:v>-0.03754266211604096</x:v>
      </x:c>
    </x:row>
    <x:row r="155" ht="21" customHeight="1">
      <x:c r="A155" s="7" t="n">
        <x:v>44835</x:v>
      </x:c>
      <x:c r="B155" s="2" t="str">
        <x:v>八代</x:v>
      </x:c>
      <x:c r="C155" s="2" t="str">
        <x:v>熊本県</x:v>
      </x:c>
      <x:c r="D155" s="8" t="n">
        <x:v>415639</x:v>
      </x:c>
      <x:c r="E155" s="8" t="n">
        <x:v>27128</x:v>
      </x:c>
      <x:c r="F155" s="8" t="n">
        <x:v>188451</x:v>
      </x:c>
      <x:c r="G155" s="8" t="n">
        <x:v>14156</x:v>
      </x:c>
      <x:c r="H155" s="8" t="n">
        <x:v>185904</x:v>
      </x:c>
      <x:c r="I155" s="8" t="n">
        <x:v>2357</x:v>
      </x:c>
      <x:c r="J155" s="8" t="n">
        <x:v>1039</x:v>
      </x:c>
      <x:c r="K155" s="8" t="n">
        <x:v>916</x:v>
      </x:c>
      <x:c r="L155" s="8" t="n">
        <x:v>212</x:v>
      </x:c>
      <x:c r="M155" s="8" t="n">
        <x:v>190</x:v>
      </x:c>
      <x:c r="N155" s="8" t="n">
        <x:v>0</x:v>
      </x:c>
      <x:c r="O155" s="8" t="n">
        <x:v>0</x:v>
      </x:c>
      <x:c r="P155" s="8" t="n">
        <x:v>0</x:v>
      </x:c>
      <x:c r="Q155" s="8" t="n">
        <x:v>0</x:v>
      </x:c>
      <x:c r="R155" s="8" t="n">
        <x:v>0</x:v>
      </x:c>
      <x:c r="S155" s="8" t="n">
        <x:v>244</x:v>
      </x:c>
      <x:c r="T155" s="8" t="n">
        <x:v>39</x:v>
      </x:c>
      <x:c r="U155" s="2" t="str">
        <x:v>2025年12月25日現在</x:v>
      </x:c>
      <x:c r="V155" s="2" t="str">
        <x:v>2025-12-25</x:v>
      </x:c>
      <x:c r="W155" s="2" t="str">
        <x:v>https://www.e-stat.go.jp/stat-search/file-download?statInfId=000032170294&amp;fileKind=0</x:v>
      </x:c>
      <x:c r="X155" s="2" t="str">
        <x:v>海上出入貨物!847行、コンテナ個数!147行</x:v>
      </x:c>
      <x:c r="Y155" s="2" t="str">
        <x:v>取得済</x:v>
      </x:c>
      <x:c r="Z155" s="9" t="n">
        <x:f>IF(AND(ISNUMBER(E155),COUNTIFS($A$2:$A$477,EDATE(A155,-12),$B$2:$B$477,B155,$E$2:$E$477,"&gt;0")=1),E155/SUMIFS($E$2:$E$477,$A$2:$A$477,EDATE(A155,-12),$B$2:$B$477,B155)-1,"")</x:f>
        <x:v>-0.12016346122660782</x:v>
      </x:c>
      <x:c r="AA155" s="10" t="n">
        <x:f>IF(COUNTIFS($A$2:$A$477,"&gt;="&amp;EDATE(A155,-2),$A$2:$A$477,"&lt;="&amp;A155,$B$2:$B$477,B155,$E$2:$E$477,"&gt;=0")=3,SUMIFS($E$2:$E$477,$A$2:$A$477,"&gt;="&amp;EDATE(A155,-2),$A$2:$A$477,"&lt;="&amp;A155,$B$2:$B$477,B155)/3,"")</x:f>
        <x:v>25457.333333333332</x:v>
      </x:c>
      <x:c r="AB155" s="9" t="n">
        <x:f>IF(AND(ISNUMBER(J155),COUNTIFS($A$2:$A$477,EDATE(A155,-12),$B$2:$B$477,B155,$J$2:$J$477,"&gt;0")=1),J155/SUMIFS($J$2:$J$477,$A$2:$A$477,EDATE(A155,-12),$B$2:$B$477,B155)-1,"")</x:f>
        <x:v>0.007759456838021261</x:v>
      </x:c>
    </x:row>
    <x:row r="156" ht="21" customHeight="1">
      <x:c r="A156" s="7" t="n">
        <x:v>44866</x:v>
      </x:c>
      <x:c r="B156" s="2" t="str">
        <x:v>仙台塩釜</x:v>
      </x:c>
      <x:c r="C156" s="2" t="str">
        <x:v>宮城県</x:v>
      </x:c>
      <x:c r="D156" s="8" t="n">
        <x:v>3430924</x:v>
      </x:c>
      <x:c r="E156" s="8" t="n">
        <x:v>114015</x:v>
      </x:c>
      <x:c r="F156" s="8" t="n">
        <x:v>1009068</x:v>
      </x:c>
      <x:c r="G156" s="8" t="n">
        <x:v>1008982</x:v>
      </x:c>
      <x:c r="H156" s="8" t="n">
        <x:v>1298859</x:v>
      </x:c>
      <x:c r="I156" s="8" t="n">
        <x:v>21850</x:v>
      </x:c>
      <x:c r="J156" s="8" t="n">
        <x:v>6341</x:v>
      </x:c>
      <x:c r="K156" s="8" t="n">
        <x:v>7034</x:v>
      </x:c>
      <x:c r="L156" s="8" t="n">
        <x:v>4683</x:v>
      </x:c>
      <x:c r="M156" s="8" t="n">
        <x:v>3792</x:v>
      </x:c>
      <x:c r="N156" s="8" t="n">
        <x:v>0</x:v>
      </x:c>
      <x:c r="O156" s="8" t="n">
        <x:v>0</x:v>
      </x:c>
      <x:c r="P156" s="8" t="n">
        <x:v>627</x:v>
      </x:c>
      <x:c r="Q156" s="8" t="n">
        <x:v>648</x:v>
      </x:c>
      <x:c r="R156" s="8" t="n">
        <x:v>1275</x:v>
      </x:c>
      <x:c r="S156" s="8" t="n">
        <x:v>2028</x:v>
      </x:c>
      <x:c r="T156" s="8" t="n">
        <x:v>88</x:v>
      </x:c>
      <x:c r="U156" s="2" t="str">
        <x:v>2025年12月25日現在</x:v>
      </x:c>
      <x:c r="V156" s="2" t="str">
        <x:v>2025-12-25</x:v>
      </x:c>
      <x:c r="W156" s="2" t="str">
        <x:v>https://www.e-stat.go.jp/stat-search/file-download?statInfId=000032170294&amp;fileKind=0</x:v>
      </x:c>
      <x:c r="X156" s="2" t="str">
        <x:v>海上出入貨物!139行、コンテナ個数!29行</x:v>
      </x:c>
      <x:c r="Y156" s="2" t="str">
        <x:v>取得済</x:v>
      </x:c>
      <x:c r="Z156" s="9" t="n">
        <x:f>IF(AND(ISNUMBER(E156),COUNTIFS($A$2:$A$477,EDATE(A156,-12),$B$2:$B$477,B156,$E$2:$E$477,"&gt;0")=1),E156/SUMIFS($E$2:$E$477,$A$2:$A$477,EDATE(A156,-12),$B$2:$B$477,B156)-1,"")</x:f>
        <x:v>-0.14086459848239385</x:v>
      </x:c>
      <x:c r="AA156" s="10" t="n">
        <x:f>IF(COUNTIFS($A$2:$A$477,"&gt;="&amp;EDATE(A156,-2),$A$2:$A$477,"&lt;="&amp;A156,$B$2:$B$477,B156,$E$2:$E$477,"&gt;=0")=3,SUMIFS($E$2:$E$477,$A$2:$A$477,"&gt;="&amp;EDATE(A156,-2),$A$2:$A$477,"&lt;="&amp;A156,$B$2:$B$477,B156)/3,"")</x:f>
        <x:v>115086</x:v>
      </x:c>
      <x:c r="AB156" s="9" t="n">
        <x:f>IF(AND(ISNUMBER(J156),COUNTIFS($A$2:$A$477,EDATE(A156,-12),$B$2:$B$477,B156,$J$2:$J$477,"&gt;0")=1),J156/SUMIFS($J$2:$J$477,$A$2:$A$477,EDATE(A156,-12),$B$2:$B$477,B156)-1,"")</x:f>
        <x:v>0.0191256830601092</x:v>
      </x:c>
    </x:row>
    <x:row r="157" ht="21" customHeight="1">
      <x:c r="A157" s="7" t="n">
        <x:v>44866</x:v>
      </x:c>
      <x:c r="B157" s="2" t="str">
        <x:v>東京</x:v>
      </x:c>
      <x:c r="C157" s="2" t="str">
        <x:v>東京都</x:v>
      </x:c>
      <x:c r="D157" s="8" t="n">
        <x:v>6970205</x:v>
      </x:c>
      <x:c r="E157" s="8" t="n">
        <x:v>906373</x:v>
      </x:c>
      <x:c r="F157" s="8" t="n">
        <x:v>2932815</x:v>
      </x:c>
      <x:c r="G157" s="8" t="n">
        <x:v>1220527</x:v>
      </x:c>
      <x:c r="H157" s="8" t="n">
        <x:v>1910490</x:v>
      </x:c>
      <x:c r="I157" s="8" t="n">
        <x:v>394400</x:v>
      </x:c>
      <x:c r="J157" s="8" t="n">
        <x:v>167463</x:v>
      </x:c>
      <x:c r="K157" s="8" t="n">
        <x:v>189538</x:v>
      </x:c>
      <x:c r="L157" s="8" t="n">
        <x:v>25864</x:v>
      </x:c>
      <x:c r="M157" s="8" t="n">
        <x:v>11535</x:v>
      </x:c>
      <x:c r="N157" s="8" t="n">
        <x:v>0</x:v>
      </x:c>
      <x:c r="O157" s="8" t="n">
        <x:v>0</x:v>
      </x:c>
      <x:c r="P157" s="8" t="n">
        <x:v>284</x:v>
      </x:c>
      <x:c r="Q157" s="8" t="n">
        <x:v>169</x:v>
      </x:c>
      <x:c r="R157" s="8" t="n">
        <x:v>453</x:v>
      </x:c>
      <x:c r="S157" s="8" t="n">
        <x:v>1606</x:v>
      </x:c>
      <x:c r="T157" s="8" t="n">
        <x:v>387</x:v>
      </x:c>
      <x:c r="U157" s="2" t="str">
        <x:v>2025年12月25日現在</x:v>
      </x:c>
      <x:c r="V157" s="2" t="str">
        <x:v>2025-12-25</x:v>
      </x:c>
      <x:c r="W157" s="2" t="str">
        <x:v>https://www.e-stat.go.jp/stat-search/file-download?statInfId=000032170294&amp;fileKind=0</x:v>
      </x:c>
      <x:c r="X157" s="2" t="str">
        <x:v>海上出入貨物!205行、コンテナ個数!40行</x:v>
      </x:c>
      <x:c r="Y157" s="2" t="str">
        <x:v>取得済</x:v>
      </x:c>
      <x:c r="Z157" s="9" t="n">
        <x:f>IF(AND(ISNUMBER(E157),COUNTIFS($A$2:$A$477,EDATE(A157,-12),$B$2:$B$477,B157,$E$2:$E$477,"&gt;0")=1),E157/SUMIFS($E$2:$E$477,$A$2:$A$477,EDATE(A157,-12),$B$2:$B$477,B157)-1,"")</x:f>
        <x:v>-0.07721151565193218</x:v>
      </x:c>
      <x:c r="AA157" s="10" t="n">
        <x:f>IF(COUNTIFS($A$2:$A$477,"&gt;="&amp;EDATE(A157,-2),$A$2:$A$477,"&lt;="&amp;A157,$B$2:$B$477,B157,$E$2:$E$477,"&gt;=0")=3,SUMIFS($E$2:$E$477,$A$2:$A$477,"&gt;="&amp;EDATE(A157,-2),$A$2:$A$477,"&lt;="&amp;A157,$B$2:$B$477,B157)/3,"")</x:f>
        <x:v>961697.6666666666</x:v>
      </x:c>
      <x:c r="AB157" s="9" t="n">
        <x:f>IF(AND(ISNUMBER(J157),COUNTIFS($A$2:$A$477,EDATE(A157,-12),$B$2:$B$477,B157,$J$2:$J$477,"&gt;0")=1),J157/SUMIFS($J$2:$J$477,$A$2:$A$477,EDATE(A157,-12),$B$2:$B$477,B157)-1,"")</x:f>
        <x:v>-0.02448359022753488</x:v>
      </x:c>
    </x:row>
    <x:row r="158" ht="21" customHeight="1">
      <x:c r="A158" s="7" t="n">
        <x:v>44866</x:v>
      </x:c>
      <x:c r="B158" s="2" t="str">
        <x:v>横浜</x:v>
      </x:c>
      <x:c r="C158" s="2" t="str">
        <x:v>神奈川県</x:v>
      </x:c>
      <x:c r="D158" s="8" t="n">
        <x:v>7879208</x:v>
      </x:c>
      <x:c r="E158" s="8" t="n">
        <x:v>2364425</x:v>
      </x:c>
      <x:c r="F158" s="8" t="n">
        <x:v>3234582</x:v>
      </x:c>
      <x:c r="G158" s="8" t="n">
        <x:v>917238</x:v>
      </x:c>
      <x:c r="H158" s="8" t="n">
        <x:v>1362963</x:v>
      </x:c>
      <x:c r="I158" s="8" t="n">
        <x:v>241452</x:v>
      </x:c>
      <x:c r="J158" s="8" t="n">
        <x:v>115321</x:v>
      </x:c>
      <x:c r="K158" s="8" t="n">
        <x:v>96681</x:v>
      </x:c>
      <x:c r="L158" s="8" t="n">
        <x:v>13535</x:v>
      </x:c>
      <x:c r="M158" s="8" t="n">
        <x:v>15915</x:v>
      </x:c>
      <x:c r="N158" s="8" t="n">
        <x:v>0</x:v>
      </x:c>
      <x:c r="O158" s="8" t="n">
        <x:v>0</x:v>
      </x:c>
      <x:c r="P158" s="8" t="n">
        <x:v>0</x:v>
      </x:c>
      <x:c r="Q158" s="8" t="n">
        <x:v>0</x:v>
      </x:c>
      <x:c r="R158" s="8" t="n">
        <x:v>0</x:v>
      </x:c>
      <x:c r="S158" s="8" t="n">
        <x:v>2144</x:v>
      </x:c>
      <x:c r="T158" s="8" t="n">
        <x:v>691</x:v>
      </x:c>
      <x:c r="U158" s="2" t="str">
        <x:v>2025年12月25日現在</x:v>
      </x:c>
      <x:c r="V158" s="2" t="str">
        <x:v>2025-12-25</x:v>
      </x:c>
      <x:c r="W158" s="2" t="str">
        <x:v>https://www.e-stat.go.jp/stat-search/file-download?statInfId=000032170294&amp;fileKind=0</x:v>
      </x:c>
      <x:c r="X158" s="2" t="str">
        <x:v>海上出入貨物!217行、コンテナ個数!42行</x:v>
      </x:c>
      <x:c r="Y158" s="2" t="str">
        <x:v>取得済</x:v>
      </x:c>
      <x:c r="Z158" s="9" t="n">
        <x:f>IF(AND(ISNUMBER(E158),COUNTIFS($A$2:$A$477,EDATE(A158,-12),$B$2:$B$477,B158,$E$2:$E$477,"&gt;0")=1),E158/SUMIFS($E$2:$E$477,$A$2:$A$477,EDATE(A158,-12),$B$2:$B$477,B158)-1,"")</x:f>
        <x:v>0.007145872317369406</x:v>
      </x:c>
      <x:c r="AA158" s="10" t="n">
        <x:f>IF(COUNTIFS($A$2:$A$477,"&gt;="&amp;EDATE(A158,-2),$A$2:$A$477,"&lt;="&amp;A158,$B$2:$B$477,B158,$E$2:$E$477,"&gt;=0")=3,SUMIFS($E$2:$E$477,$A$2:$A$477,"&gt;="&amp;EDATE(A158,-2),$A$2:$A$477,"&lt;="&amp;A158,$B$2:$B$477,B158)/3,"")</x:f>
        <x:v>2410800.6666666665</x:v>
      </x:c>
      <x:c r="AB158" s="9" t="n">
        <x:f>IF(AND(ISNUMBER(J158),COUNTIFS($A$2:$A$477,EDATE(A158,-12),$B$2:$B$477,B158,$J$2:$J$477,"&gt;0")=1),J158/SUMIFS($J$2:$J$477,$A$2:$A$477,EDATE(A158,-12),$B$2:$B$477,B158)-1,"")</x:f>
        <x:v>0.03933991852626262</x:v>
      </x:c>
    </x:row>
    <x:row r="159" ht="21" customHeight="1">
      <x:c r="A159" s="7" t="n">
        <x:v>44866</x:v>
      </x:c>
      <x:c r="B159" s="2" t="str">
        <x:v>清水</x:v>
      </x:c>
      <x:c r="C159" s="2" t="str">
        <x:v>静岡県</x:v>
      </x:c>
      <x:c r="D159" s="8" t="n">
        <x:v>1327018</x:v>
      </x:c>
      <x:c r="E159" s="8" t="n">
        <x:v>294271</x:v>
      </x:c>
      <x:c r="F159" s="8" t="n">
        <x:v>462298</x:v>
      </x:c>
      <x:c r="G159" s="8" t="n">
        <x:v>189110</x:v>
      </x:c>
      <x:c r="H159" s="8" t="n">
        <x:v>381339</x:v>
      </x:c>
      <x:c r="I159" s="8" t="n">
        <x:v>45013</x:v>
      </x:c>
      <x:c r="J159" s="8" t="n">
        <x:v>17785</x:v>
      </x:c>
      <x:c r="K159" s="8" t="n">
        <x:v>18275</x:v>
      </x:c>
      <x:c r="L159" s="8" t="n">
        <x:v>4479</x:v>
      </x:c>
      <x:c r="M159" s="8" t="n">
        <x:v>4474</x:v>
      </x:c>
      <x:c r="N159" s="8" t="n">
        <x:v>0</x:v>
      </x:c>
      <x:c r="O159" s="8" t="n">
        <x:v>0</x:v>
      </x:c>
      <x:c r="P159" s="8" t="n">
        <x:v>3</x:v>
      </x:c>
      <x:c r="Q159" s="8" t="n">
        <x:v>3</x:v>
      </x:c>
      <x:c r="R159" s="8" t="n">
        <x:v>6</x:v>
      </x:c>
      <x:c r="S159" s="8" t="n">
        <x:v>492</x:v>
      </x:c>
      <x:c r="T159" s="8" t="n">
        <x:v>139</x:v>
      </x:c>
      <x:c r="U159" s="2" t="str">
        <x:v>2025年12月25日現在</x:v>
      </x:c>
      <x:c r="V159" s="2" t="str">
        <x:v>2025-12-25</x:v>
      </x:c>
      <x:c r="W159" s="2" t="str">
        <x:v>https://www.e-stat.go.jp/stat-search/file-download?statInfId=000032170294&amp;fileKind=0</x:v>
      </x:c>
      <x:c r="X159" s="2" t="str">
        <x:v>海上出入貨物!313行、コンテナ個数!58行</x:v>
      </x:c>
      <x:c r="Y159" s="2" t="str">
        <x:v>取得済</x:v>
      </x:c>
      <x:c r="Z159" s="9" t="n">
        <x:f>IF(AND(ISNUMBER(E159),COUNTIFS($A$2:$A$477,EDATE(A159,-12),$B$2:$B$477,B159,$E$2:$E$477,"&gt;0")=1),E159/SUMIFS($E$2:$E$477,$A$2:$A$477,EDATE(A159,-12),$B$2:$B$477,B159)-1,"")</x:f>
        <x:v>-0.05790169581600535</x:v>
      </x:c>
      <x:c r="AA159" s="10" t="n">
        <x:f>IF(COUNTIFS($A$2:$A$477,"&gt;="&amp;EDATE(A159,-2),$A$2:$A$477,"&lt;="&amp;A159,$B$2:$B$477,B159,$E$2:$E$477,"&gt;=0")=3,SUMIFS($E$2:$E$477,$A$2:$A$477,"&gt;="&amp;EDATE(A159,-2),$A$2:$A$477,"&lt;="&amp;A159,$B$2:$B$477,B159)/3,"")</x:f>
        <x:v>299107</x:v>
      </x:c>
      <x:c r="AB159" s="9" t="n">
        <x:f>IF(AND(ISNUMBER(J159),COUNTIFS($A$2:$A$477,EDATE(A159,-12),$B$2:$B$477,B159,$J$2:$J$477,"&gt;0")=1),J159/SUMIFS($J$2:$J$477,$A$2:$A$477,EDATE(A159,-12),$B$2:$B$477,B159)-1,"")</x:f>
        <x:v>-0.04092968075927528</x:v>
      </x:c>
    </x:row>
    <x:row r="160" ht="21" customHeight="1">
      <x:c r="A160" s="7" t="n">
        <x:v>44866</x:v>
      </x:c>
      <x:c r="B160" s="2" t="str">
        <x:v>博多</x:v>
      </x:c>
      <x:c r="C160" s="2" t="str">
        <x:v>福岡県</x:v>
      </x:c>
      <x:c r="D160" s="8" t="n">
        <x:v>2909963</x:v>
      </x:c>
      <x:c r="E160" s="8" t="n">
        <x:v>721817</x:v>
      </x:c>
      <x:c r="F160" s="8" t="n">
        <x:v>758219</x:v>
      </x:c>
      <x:c r="G160" s="8" t="n">
        <x:v>441365</x:v>
      </x:c>
      <x:c r="H160" s="8" t="n">
        <x:v>988562</x:v>
      </x:c>
      <x:c r="I160" s="8" t="n">
        <x:v>81576</x:v>
      </x:c>
      <x:c r="J160" s="8" t="n">
        <x:v>34507</x:v>
      </x:c>
      <x:c r="K160" s="8" t="n">
        <x:v>33334</x:v>
      </x:c>
      <x:c r="L160" s="8" t="n">
        <x:v>6665</x:v>
      </x:c>
      <x:c r="M160" s="8" t="n">
        <x:v>7070</x:v>
      </x:c>
      <x:c r="N160" s="8" t="n">
        <x:v>0</x:v>
      </x:c>
      <x:c r="O160" s="8" t="n">
        <x:v>0</x:v>
      </x:c>
      <x:c r="P160" s="8" t="n">
        <x:v>1479</x:v>
      </x:c>
      <x:c r="Q160" s="8" t="n">
        <x:v>1530</x:v>
      </x:c>
      <x:c r="R160" s="8" t="n">
        <x:v>3009</x:v>
      </x:c>
      <x:c r="S160" s="8" t="n">
        <x:v>1620</x:v>
      </x:c>
      <x:c r="T160" s="8" t="n">
        <x:v>243</x:v>
      </x:c>
      <x:c r="U160" s="2" t="str">
        <x:v>2025年12月25日現在</x:v>
      </x:c>
      <x:c r="V160" s="2" t="str">
        <x:v>2025-12-25</x:v>
      </x:c>
      <x:c r="W160" s="2" t="str">
        <x:v>https://www.e-stat.go.jp/stat-search/file-download?statInfId=000032170294&amp;fileKind=0</x:v>
      </x:c>
      <x:c r="X160" s="2" t="str">
        <x:v>海上出入貨物!745行、コンテナ個数!130行</x:v>
      </x:c>
      <x:c r="Y160" s="2" t="str">
        <x:v>取得済</x:v>
      </x:c>
      <x:c r="Z160" s="9" t="n">
        <x:f>IF(AND(ISNUMBER(E160),COUNTIFS($A$2:$A$477,EDATE(A160,-12),$B$2:$B$477,B160,$E$2:$E$477,"&gt;0")=1),E160/SUMIFS($E$2:$E$477,$A$2:$A$477,EDATE(A160,-12),$B$2:$B$477,B160)-1,"")</x:f>
        <x:v>0.09693297590390748</x:v>
      </x:c>
      <x:c r="AA160" s="10" t="n">
        <x:f>IF(COUNTIFS($A$2:$A$477,"&gt;="&amp;EDATE(A160,-2),$A$2:$A$477,"&lt;="&amp;A160,$B$2:$B$477,B160,$E$2:$E$477,"&gt;=0")=3,SUMIFS($E$2:$E$477,$A$2:$A$477,"&gt;="&amp;EDATE(A160,-2),$A$2:$A$477,"&lt;="&amp;A160,$B$2:$B$477,B160)/3,"")</x:f>
        <x:v>667809</x:v>
      </x:c>
      <x:c r="AB160" s="9" t="n">
        <x:f>IF(AND(ISNUMBER(J160),COUNTIFS($A$2:$A$477,EDATE(A160,-12),$B$2:$B$477,B160,$J$2:$J$477,"&gt;0")=1),J160/SUMIFS($J$2:$J$477,$A$2:$A$477,EDATE(A160,-12),$B$2:$B$477,B160)-1,"")</x:f>
        <x:v>0.06654509488780369</x:v>
      </x:c>
    </x:row>
    <x:row r="161" ht="21" customHeight="1">
      <x:c r="A161" s="7" t="n">
        <x:v>44866</x:v>
      </x:c>
      <x:c r="B161" s="2" t="str">
        <x:v>熊本</x:v>
      </x:c>
      <x:c r="C161" s="2" t="str">
        <x:v>熊本県</x:v>
      </x:c>
      <x:c r="D161" s="8" t="n">
        <x:v>312413</x:v>
      </x:c>
      <x:c r="E161" s="8" t="n">
        <x:v>5604</x:v>
      </x:c>
      <x:c r="F161" s="8" t="n">
        <x:v>8669</x:v>
      </x:c>
      <x:c r="G161" s="8" t="n">
        <x:v>127065</x:v>
      </x:c>
      <x:c r="H161" s="8" t="n">
        <x:v>171075</x:v>
      </x:c>
      <x:c r="I161" s="8" t="n">
        <x:v>835</x:v>
      </x:c>
      <x:c r="J161" s="8" t="n">
        <x:v>297</x:v>
      </x:c>
      <x:c r="K161" s="8" t="n">
        <x:v>498</x:v>
      </x:c>
      <x:c r="L161" s="8" t="n">
        <x:v>30</x:v>
      </x:c>
      <x:c r="M161" s="8" t="n">
        <x:v>10</x:v>
      </x:c>
      <x:c r="N161" s="8" t="n">
        <x:v>0</x:v>
      </x:c>
      <x:c r="O161" s="8" t="n">
        <x:v>0</x:v>
      </x:c>
      <x:c r="P161" s="8" t="n">
        <x:v>595</x:v>
      </x:c>
      <x:c r="Q161" s="8" t="n">
        <x:v>624</x:v>
      </x:c>
      <x:c r="R161" s="8" t="n">
        <x:v>1219</x:v>
      </x:c>
      <x:c r="S161" s="8" t="n">
        <x:v>40</x:v>
      </x:c>
      <x:c r="T161" s="8" t="n">
        <x:v>9</x:v>
      </x:c>
      <x:c r="U161" s="2" t="str">
        <x:v>2025年12月25日現在</x:v>
      </x:c>
      <x:c r="V161" s="2" t="str">
        <x:v>2025-12-25</x:v>
      </x:c>
      <x:c r="W161" s="2" t="str">
        <x:v>https://www.e-stat.go.jp/stat-search/file-download?statInfId=000032170294&amp;fileKind=0</x:v>
      </x:c>
      <x:c r="X161" s="2" t="str">
        <x:v>海上出入貨物!859行、コンテナ個数!149行</x:v>
      </x:c>
      <x:c r="Y161" s="2" t="str">
        <x:v>取得済</x:v>
      </x:c>
      <x:c r="Z161" s="9" t="n">
        <x:f>IF(AND(ISNUMBER(E161),COUNTIFS($A$2:$A$477,EDATE(A161,-12),$B$2:$B$477,B161,$E$2:$E$477,"&gt;0")=1),E161/SUMIFS($E$2:$E$477,$A$2:$A$477,EDATE(A161,-12),$B$2:$B$477,B161)-1,"")</x:f>
        <x:v>0.010275824770145991</x:v>
      </x:c>
      <x:c r="AA161" s="10" t="n">
        <x:f>IF(COUNTIFS($A$2:$A$477,"&gt;="&amp;EDATE(A161,-2),$A$2:$A$477,"&lt;="&amp;A161,$B$2:$B$477,B161,$E$2:$E$477,"&gt;=0")=3,SUMIFS($E$2:$E$477,$A$2:$A$477,"&gt;="&amp;EDATE(A161,-2),$A$2:$A$477,"&lt;="&amp;A161,$B$2:$B$477,B161)/3,"")</x:f>
        <x:v>4798</x:v>
      </x:c>
      <x:c r="AB161" s="9" t="n">
        <x:f>IF(AND(ISNUMBER(J161),COUNTIFS($A$2:$A$477,EDATE(A161,-12),$B$2:$B$477,B161,$J$2:$J$477,"&gt;0")=1),J161/SUMIFS($J$2:$J$477,$A$2:$A$477,EDATE(A161,-12),$B$2:$B$477,B161)-1,"")</x:f>
        <x:v>-0.06309148264984232</x:v>
      </x:c>
    </x:row>
    <x:row r="162" ht="21" customHeight="1">
      <x:c r="A162" s="7" t="n">
        <x:v>44866</x:v>
      </x:c>
      <x:c r="B162" s="2" t="str">
        <x:v>八代</x:v>
      </x:c>
      <x:c r="C162" s="2" t="str">
        <x:v>熊本県</x:v>
      </x:c>
      <x:c r="D162" s="8" t="n">
        <x:v>291871</x:v>
      </x:c>
      <x:c r="E162" s="8" t="n">
        <x:v>15213</x:v>
      </x:c>
      <x:c r="F162" s="8" t="n">
        <x:v>85516</x:v>
      </x:c>
      <x:c r="G162" s="8" t="n">
        <x:v>24769</x:v>
      </x:c>
      <x:c r="H162" s="8" t="n">
        <x:v>166373</x:v>
      </x:c>
      <x:c r="I162" s="8" t="n">
        <x:v>2036</x:v>
      </x:c>
      <x:c r="J162" s="8" t="n">
        <x:v>830</x:v>
      </x:c>
      <x:c r="K162" s="8" t="n">
        <x:v>848</x:v>
      </x:c>
      <x:c r="L162" s="8" t="n">
        <x:v>132</x:v>
      </x:c>
      <x:c r="M162" s="8" t="n">
        <x:v>226</x:v>
      </x:c>
      <x:c r="N162" s="8" t="n">
        <x:v>0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206</x:v>
      </x:c>
      <x:c r="T162" s="8" t="n">
        <x:v>34</x:v>
      </x:c>
      <x:c r="U162" s="2" t="str">
        <x:v>2025年12月25日現在</x:v>
      </x:c>
      <x:c r="V162" s="2" t="str">
        <x:v>2025-12-25</x:v>
      </x:c>
      <x:c r="W162" s="2" t="str">
        <x:v>https://www.e-stat.go.jp/stat-search/file-download?statInfId=000032170294&amp;fileKind=0</x:v>
      </x:c>
      <x:c r="X162" s="2" t="str">
        <x:v>海上出入貨物!847行、コンテナ個数!147行</x:v>
      </x:c>
      <x:c r="Y162" s="2" t="str">
        <x:v>取得済</x:v>
      </x:c>
      <x:c r="Z162" s="9" t="n">
        <x:f>IF(AND(ISNUMBER(E162),COUNTIFS($A$2:$A$477,EDATE(A162,-12),$B$2:$B$477,B162,$E$2:$E$477,"&gt;0")=1),E162/SUMIFS($E$2:$E$477,$A$2:$A$477,EDATE(A162,-12),$B$2:$B$477,B162)-1,"")</x:f>
        <x:v>-0.33047266965936095</x:v>
      </x:c>
      <x:c r="AA162" s="10" t="n">
        <x:f>IF(COUNTIFS($A$2:$A$477,"&gt;="&amp;EDATE(A162,-2),$A$2:$A$477,"&lt;="&amp;A162,$B$2:$B$477,B162,$E$2:$E$477,"&gt;=0")=3,SUMIFS($E$2:$E$477,$A$2:$A$477,"&gt;="&amp;EDATE(A162,-2),$A$2:$A$477,"&lt;="&amp;A162,$B$2:$B$477,B162)/3,"")</x:f>
        <x:v>20265.333333333332</x:v>
      </x:c>
      <x:c r="AB162" s="9" t="n">
        <x:f>IF(AND(ISNUMBER(J162),COUNTIFS($A$2:$A$477,EDATE(A162,-12),$B$2:$B$477,B162,$J$2:$J$477,"&gt;0")=1),J162/SUMIFS($J$2:$J$477,$A$2:$A$477,EDATE(A162,-12),$B$2:$B$477,B162)-1,"")</x:f>
        <x:v>-0.7082601054481547</x:v>
      </x:c>
    </x:row>
    <x:row r="163" ht="21" customHeight="1">
      <x:c r="A163" s="7" t="n">
        <x:v>44896</x:v>
      </x:c>
      <x:c r="B163" s="2" t="str">
        <x:v>仙台塩釜</x:v>
      </x:c>
      <x:c r="C163" s="2" t="str">
        <x:v>宮城県</x:v>
      </x:c>
      <x:c r="D163" s="8" t="n">
        <x:v>3590852</x:v>
      </x:c>
      <x:c r="E163" s="8" t="n">
        <x:v>106653</x:v>
      </x:c>
      <x:c r="F163" s="8" t="n">
        <x:v>976868</x:v>
      </x:c>
      <x:c r="G163" s="8" t="n">
        <x:v>1150071</x:v>
      </x:c>
      <x:c r="H163" s="8" t="n">
        <x:v>1357260</x:v>
      </x:c>
      <x:c r="I163" s="8" t="n">
        <x:v>20905</x:v>
      </x:c>
      <x:c r="J163" s="8" t="n">
        <x:v>6009</x:v>
      </x:c>
      <x:c r="K163" s="8" t="n">
        <x:v>4802</x:v>
      </x:c>
      <x:c r="L163" s="8" t="n">
        <x:v>5205</x:v>
      </x:c>
      <x:c r="M163" s="8" t="n">
        <x:v>4889</x:v>
      </x:c>
      <x:c r="N163" s="8" t="n">
        <x:v>0</x:v>
      </x:c>
      <x:c r="O163" s="8" t="n">
        <x:v>0</x:v>
      </x:c>
      <x:c r="P163" s="8" t="n">
        <x:v>635</x:v>
      </x:c>
      <x:c r="Q163" s="8" t="n">
        <x:v>659</x:v>
      </x:c>
      <x:c r="R163" s="8" t="n">
        <x:v>1294</x:v>
      </x:c>
      <x:c r="S163" s="8" t="n">
        <x:v>1871</x:v>
      </x:c>
      <x:c r="T163" s="8" t="n">
        <x:v>92</x:v>
      </x:c>
      <x:c r="U163" s="2" t="str">
        <x:v>2025年12月25日現在</x:v>
      </x:c>
      <x:c r="V163" s="2" t="str">
        <x:v>2025-12-25</x:v>
      </x:c>
      <x:c r="W163" s="2" t="str">
        <x:v>https://www.e-stat.go.jp/stat-search/file-download?statInfId=000032170294&amp;fileKind=0</x:v>
      </x:c>
      <x:c r="X163" s="2" t="str">
        <x:v>海上出入貨物!139行、コンテナ個数!29行</x:v>
      </x:c>
      <x:c r="Y163" s="2" t="str">
        <x:v>取得済</x:v>
      </x:c>
      <x:c r="Z163" s="9" t="n">
        <x:f>IF(AND(ISNUMBER(E163),COUNTIFS($A$2:$A$477,EDATE(A163,-12),$B$2:$B$477,B163,$E$2:$E$477,"&gt;0")=1),E163/SUMIFS($E$2:$E$477,$A$2:$A$477,EDATE(A163,-12),$B$2:$B$477,B163)-1,"")</x:f>
        <x:v>-0.14697390205472327</x:v>
      </x:c>
      <x:c r="AA163" s="10" t="n">
        <x:f>IF(COUNTIFS($A$2:$A$477,"&gt;="&amp;EDATE(A163,-2),$A$2:$A$477,"&lt;="&amp;A163,$B$2:$B$477,B163,$E$2:$E$477,"&gt;=0")=3,SUMIFS($E$2:$E$477,$A$2:$A$477,"&gt;="&amp;EDATE(A163,-2),$A$2:$A$477,"&lt;="&amp;A163,$B$2:$B$477,B163)/3,"")</x:f>
        <x:v>121565.66666666667</x:v>
      </x:c>
      <x:c r="AB163" s="9" t="n">
        <x:f>IF(AND(ISNUMBER(J163),COUNTIFS($A$2:$A$477,EDATE(A163,-12),$B$2:$B$477,B163,$J$2:$J$477,"&gt;0")=1),J163/SUMIFS($J$2:$J$477,$A$2:$A$477,EDATE(A163,-12),$B$2:$B$477,B163)-1,"")</x:f>
        <x:v>-0.2012495015286455</x:v>
      </x:c>
    </x:row>
    <x:row r="164" ht="21" customHeight="1">
      <x:c r="A164" s="7" t="n">
        <x:v>44896</x:v>
      </x:c>
      <x:c r="B164" s="2" t="str">
        <x:v>東京</x:v>
      </x:c>
      <x:c r="C164" s="2" t="str">
        <x:v>東京都</x:v>
      </x:c>
      <x:c r="D164" s="8" t="n">
        <x:v>7128730</x:v>
      </x:c>
      <x:c r="E164" s="8" t="n">
        <x:v>1024309</x:v>
      </x:c>
      <x:c r="F164" s="8" t="n">
        <x:v>2887637</x:v>
      </x:c>
      <x:c r="G164" s="8" t="n">
        <x:v>1209737</x:v>
      </x:c>
      <x:c r="H164" s="8" t="n">
        <x:v>2007047</x:v>
      </x:c>
      <x:c r="I164" s="8" t="n">
        <x:v>417549</x:v>
      </x:c>
      <x:c r="J164" s="8" t="n">
        <x:v>181173</x:v>
      </x:c>
      <x:c r="K164" s="8" t="n">
        <x:v>193865</x:v>
      </x:c>
      <x:c r="L164" s="8" t="n">
        <x:v>29863</x:v>
      </x:c>
      <x:c r="M164" s="8" t="n">
        <x:v>12648</x:v>
      </x:c>
      <x:c r="N164" s="8" t="n">
        <x:v>0</x:v>
      </x:c>
      <x:c r="O164" s="8" t="n">
        <x:v>0</x:v>
      </x:c>
      <x:c r="P164" s="8" t="n">
        <x:v>377</x:v>
      </x:c>
      <x:c r="Q164" s="8" t="n">
        <x:v>156</x:v>
      </x:c>
      <x:c r="R164" s="8" t="n">
        <x:v>533</x:v>
      </x:c>
      <x:c r="S164" s="8" t="n">
        <x:v>1632</x:v>
      </x:c>
      <x:c r="T164" s="8" t="n">
        <x:v>394</x:v>
      </x:c>
      <x:c r="U164" s="2" t="str">
        <x:v>2025年12月25日現在</x:v>
      </x:c>
      <x:c r="V164" s="2" t="str">
        <x:v>2025-12-25</x:v>
      </x:c>
      <x:c r="W164" s="2" t="str">
        <x:v>https://www.e-stat.go.jp/stat-search/file-download?statInfId=000032170294&amp;fileKind=0</x:v>
      </x:c>
      <x:c r="X164" s="2" t="str">
        <x:v>海上出入貨物!205行、コンテナ個数!40行</x:v>
      </x:c>
      <x:c r="Y164" s="2" t="str">
        <x:v>取得済</x:v>
      </x:c>
      <x:c r="Z164" s="9" t="n">
        <x:f>IF(AND(ISNUMBER(E164),COUNTIFS($A$2:$A$477,EDATE(A164,-12),$B$2:$B$477,B164,$E$2:$E$477,"&gt;0")=1),E164/SUMIFS($E$2:$E$477,$A$2:$A$477,EDATE(A164,-12),$B$2:$B$477,B164)-1,"")</x:f>
        <x:v>-0.04097113575995559</x:v>
      </x:c>
      <x:c r="AA164" s="10" t="n">
        <x:f>IF(COUNTIFS($A$2:$A$477,"&gt;="&amp;EDATE(A164,-2),$A$2:$A$477,"&lt;="&amp;A164,$B$2:$B$477,B164,$E$2:$E$477,"&gt;=0")=3,SUMIFS($E$2:$E$477,$A$2:$A$477,"&gt;="&amp;EDATE(A164,-2),$A$2:$A$477,"&lt;="&amp;A164,$B$2:$B$477,B164)/3,"")</x:f>
        <x:v>997178.3333333334</x:v>
      </x:c>
      <x:c r="AB164" s="9" t="n">
        <x:f>IF(AND(ISNUMBER(J164),COUNTIFS($A$2:$A$477,EDATE(A164,-12),$B$2:$B$477,B164,$J$2:$J$477,"&gt;0")=1),J164/SUMIFS($J$2:$J$477,$A$2:$A$477,EDATE(A164,-12),$B$2:$B$477,B164)-1,"")</x:f>
        <x:v>0.04045276777561457</x:v>
      </x:c>
    </x:row>
    <x:row r="165" ht="21" customHeight="1">
      <x:c r="A165" s="7" t="n">
        <x:v>44896</x:v>
      </x:c>
      <x:c r="B165" s="2" t="str">
        <x:v>横浜</x:v>
      </x:c>
      <x:c r="C165" s="2" t="str">
        <x:v>神奈川県</x:v>
      </x:c>
      <x:c r="D165" s="8" t="n">
        <x:v>9357810</x:v>
      </x:c>
      <x:c r="E165" s="8" t="n">
        <x:v>2587144</x:v>
      </x:c>
      <x:c r="F165" s="8" t="n">
        <x:v>4246214</x:v>
      </x:c>
      <x:c r="G165" s="8" t="n">
        <x:v>1101101</x:v>
      </x:c>
      <x:c r="H165" s="8" t="n">
        <x:v>1423351</x:v>
      </x:c>
      <x:c r="I165" s="8" t="n">
        <x:v>264927</x:v>
      </x:c>
      <x:c r="J165" s="8" t="n">
        <x:v>125379</x:v>
      </x:c>
      <x:c r="K165" s="8" t="n">
        <x:v>106691</x:v>
      </x:c>
      <x:c r="L165" s="8" t="n">
        <x:v>14861</x:v>
      </x:c>
      <x:c r="M165" s="8" t="n">
        <x:v>17996</x:v>
      </x:c>
      <x:c r="N165" s="8" t="n">
        <x:v>0</x:v>
      </x:c>
      <x:c r="O165" s="8" t="n">
        <x:v>0</x:v>
      </x:c>
      <x:c r="P165" s="8" t="n">
        <x:v>0</x:v>
      </x:c>
      <x:c r="Q165" s="8" t="n">
        <x:v>0</x:v>
      </x:c>
      <x:c r="R165" s="8" t="n">
        <x:v>0</x:v>
      </x:c>
      <x:c r="S165" s="8" t="n">
        <x:v>2237</x:v>
      </x:c>
      <x:c r="T165" s="8" t="n">
        <x:v>718</x:v>
      </x:c>
      <x:c r="U165" s="2" t="str">
        <x:v>2025年12月25日現在</x:v>
      </x:c>
      <x:c r="V165" s="2" t="str">
        <x:v>2025-12-25</x:v>
      </x:c>
      <x:c r="W165" s="2" t="str">
        <x:v>https://www.e-stat.go.jp/stat-search/file-download?statInfId=000032170294&amp;fileKind=0</x:v>
      </x:c>
      <x:c r="X165" s="2" t="str">
        <x:v>海上出入貨物!217行、コンテナ個数!42行</x:v>
      </x:c>
      <x:c r="Y165" s="2" t="str">
        <x:v>取得済</x:v>
      </x:c>
      <x:c r="Z165" s="9" t="n">
        <x:f>IF(AND(ISNUMBER(E165),COUNTIFS($A$2:$A$477,EDATE(A165,-12),$B$2:$B$477,B165,$E$2:$E$477,"&gt;0")=1),E165/SUMIFS($E$2:$E$477,$A$2:$A$477,EDATE(A165,-12),$B$2:$B$477,B165)-1,"")</x:f>
        <x:v>-0.046132961000549755</x:v>
      </x:c>
      <x:c r="AA165" s="10" t="n">
        <x:f>IF(COUNTIFS($A$2:$A$477,"&gt;="&amp;EDATE(A165,-2),$A$2:$A$477,"&lt;="&amp;A165,$B$2:$B$477,B165,$E$2:$E$477,"&gt;=0")=3,SUMIFS($E$2:$E$477,$A$2:$A$477,"&gt;="&amp;EDATE(A165,-2),$A$2:$A$477,"&lt;="&amp;A165,$B$2:$B$477,B165)/3,"")</x:f>
        <x:v>2496924.6666666665</x:v>
      </x:c>
      <x:c r="AB165" s="9" t="n">
        <x:f>IF(AND(ISNUMBER(J165),COUNTIFS($A$2:$A$477,EDATE(A165,-12),$B$2:$B$477,B165,$J$2:$J$477,"&gt;0")=1),J165/SUMIFS($J$2:$J$477,$A$2:$A$477,EDATE(A165,-12),$B$2:$B$477,B165)-1,"")</x:f>
        <x:v>0.01606197881634075</x:v>
      </x:c>
    </x:row>
    <x:row r="166" ht="21" customHeight="1">
      <x:c r="A166" s="7" t="n">
        <x:v>44896</x:v>
      </x:c>
      <x:c r="B166" s="2" t="str">
        <x:v>清水</x:v>
      </x:c>
      <x:c r="C166" s="2" t="str">
        <x:v>静岡県</x:v>
      </x:c>
      <x:c r="D166" s="8" t="n">
        <x:v>1541218</x:v>
      </x:c>
      <x:c r="E166" s="8" t="n">
        <x:v>317968</x:v>
      </x:c>
      <x:c r="F166" s="8" t="n">
        <x:v>606824</x:v>
      </x:c>
      <x:c r="G166" s="8" t="n">
        <x:v>177993</x:v>
      </x:c>
      <x:c r="H166" s="8" t="n">
        <x:v>438433</x:v>
      </x:c>
      <x:c r="I166" s="8" t="n">
        <x:v>46698</x:v>
      </x:c>
      <x:c r="J166" s="8" t="n">
        <x:v>18917</x:v>
      </x:c>
      <x:c r="K166" s="8" t="n">
        <x:v>17632</x:v>
      </x:c>
      <x:c r="L166" s="8" t="n">
        <x:v>4956</x:v>
      </x:c>
      <x:c r="M166" s="8" t="n">
        <x:v>5193</x:v>
      </x:c>
      <x:c r="N166" s="8" t="n">
        <x:v>0</x:v>
      </x:c>
      <x:c r="O166" s="8" t="n">
        <x:v>0</x:v>
      </x:c>
      <x:c r="P166" s="8" t="n">
        <x:v>2</x:v>
      </x:c>
      <x:c r="Q166" s="8" t="n">
        <x:v>7</x:v>
      </x:c>
      <x:c r="R166" s="8" t="n">
        <x:v>9</x:v>
      </x:c>
      <x:c r="S166" s="8" t="n">
        <x:v>487</x:v>
      </x:c>
      <x:c r="T166" s="8" t="n">
        <x:v>137</x:v>
      </x:c>
      <x:c r="U166" s="2" t="str">
        <x:v>2025年12月25日現在</x:v>
      </x:c>
      <x:c r="V166" s="2" t="str">
        <x:v>2025-12-25</x:v>
      </x:c>
      <x:c r="W166" s="2" t="str">
        <x:v>https://www.e-stat.go.jp/stat-search/file-download?statInfId=000032170294&amp;fileKind=0</x:v>
      </x:c>
      <x:c r="X166" s="2" t="str">
        <x:v>海上出入貨物!313行、コンテナ個数!58行</x:v>
      </x:c>
      <x:c r="Y166" s="2" t="str">
        <x:v>取得済</x:v>
      </x:c>
      <x:c r="Z166" s="9" t="n">
        <x:f>IF(AND(ISNUMBER(E166),COUNTIFS($A$2:$A$477,EDATE(A166,-12),$B$2:$B$477,B166,$E$2:$E$477,"&gt;0")=1),E166/SUMIFS($E$2:$E$477,$A$2:$A$477,EDATE(A166,-12),$B$2:$B$477,B166)-1,"")</x:f>
        <x:v>0.006552748038924028</x:v>
      </x:c>
      <x:c r="AA166" s="10" t="n">
        <x:f>IF(COUNTIFS($A$2:$A$477,"&gt;="&amp;EDATE(A166,-2),$A$2:$A$477,"&lt;="&amp;A166,$B$2:$B$477,B166,$E$2:$E$477,"&gt;=0")=3,SUMIFS($E$2:$E$477,$A$2:$A$477,"&gt;="&amp;EDATE(A166,-2),$A$2:$A$477,"&lt;="&amp;A166,$B$2:$B$477,B166)/3,"")</x:f>
        <x:v>308945.3333333333</x:v>
      </x:c>
      <x:c r="AB166" s="9" t="n">
        <x:f>IF(AND(ISNUMBER(J166),COUNTIFS($A$2:$A$477,EDATE(A166,-12),$B$2:$B$477,B166,$J$2:$J$477,"&gt;0")=1),J166/SUMIFS($J$2:$J$477,$A$2:$A$477,EDATE(A166,-12),$B$2:$B$477,B166)-1,"")</x:f>
        <x:v>0.008261379383861067</x:v>
      </x:c>
    </x:row>
    <x:row r="167" ht="21" customHeight="1">
      <x:c r="A167" s="7" t="n">
        <x:v>44896</x:v>
      </x:c>
      <x:c r="B167" s="2" t="str">
        <x:v>博多</x:v>
      </x:c>
      <x:c r="C167" s="2" t="str">
        <x:v>福岡県</x:v>
      </x:c>
      <x:c r="D167" s="8" t="n">
        <x:v>2805287</x:v>
      </x:c>
      <x:c r="E167" s="8" t="n">
        <x:v>585262</x:v>
      </x:c>
      <x:c r="F167" s="8" t="n">
        <x:v>739974</x:v>
      </x:c>
      <x:c r="G167" s="8" t="n">
        <x:v>452486</x:v>
      </x:c>
      <x:c r="H167" s="8" t="n">
        <x:v>1027565</x:v>
      </x:c>
      <x:c r="I167" s="8" t="n">
        <x:v>78134</x:v>
      </x:c>
      <x:c r="J167" s="8" t="n">
        <x:v>33659</x:v>
      </x:c>
      <x:c r="K167" s="8" t="n">
        <x:v>31285</x:v>
      </x:c>
      <x:c r="L167" s="8" t="n">
        <x:v>6375</x:v>
      </x:c>
      <x:c r="M167" s="8" t="n">
        <x:v>6815</x:v>
      </x:c>
      <x:c r="N167" s="8" t="n">
        <x:v>0</x:v>
      </x:c>
      <x:c r="O167" s="8" t="n">
        <x:v>0</x:v>
      </x:c>
      <x:c r="P167" s="8" t="n">
        <x:v>1444</x:v>
      </x:c>
      <x:c r="Q167" s="8" t="n">
        <x:v>1403</x:v>
      </x:c>
      <x:c r="R167" s="8" t="n">
        <x:v>2847</x:v>
      </x:c>
      <x:c r="S167" s="8" t="n">
        <x:v>1590</x:v>
      </x:c>
      <x:c r="T167" s="8" t="n">
        <x:v>221</x:v>
      </x:c>
      <x:c r="U167" s="2" t="str">
        <x:v>2025年12月25日現在</x:v>
      </x:c>
      <x:c r="V167" s="2" t="str">
        <x:v>2025-12-25</x:v>
      </x:c>
      <x:c r="W167" s="2" t="str">
        <x:v>https://www.e-stat.go.jp/stat-search/file-download?statInfId=000032170294&amp;fileKind=0</x:v>
      </x:c>
      <x:c r="X167" s="2" t="str">
        <x:v>海上出入貨物!745行、コンテナ個数!130行</x:v>
      </x:c>
      <x:c r="Y167" s="2" t="str">
        <x:v>取得済</x:v>
      </x:c>
      <x:c r="Z167" s="9" t="n">
        <x:f>IF(AND(ISNUMBER(E167),COUNTIFS($A$2:$A$477,EDATE(A167,-12),$B$2:$B$477,B167,$E$2:$E$477,"&gt;0")=1),E167/SUMIFS($E$2:$E$477,$A$2:$A$477,EDATE(A167,-12),$B$2:$B$477,B167)-1,"")</x:f>
        <x:v>-0.22979985076649956</x:v>
      </x:c>
      <x:c r="AA167" s="10" t="n">
        <x:f>IF(COUNTIFS($A$2:$A$477,"&gt;="&amp;EDATE(A167,-2),$A$2:$A$477,"&lt;="&amp;A167,$B$2:$B$477,B167,$E$2:$E$477,"&gt;=0")=3,SUMIFS($E$2:$E$477,$A$2:$A$477,"&gt;="&amp;EDATE(A167,-2),$A$2:$A$477,"&lt;="&amp;A167,$B$2:$B$477,B167)/3,"")</x:f>
        <x:v>640095.3333333334</x:v>
      </x:c>
      <x:c r="AB167" s="9" t="n">
        <x:f>IF(AND(ISNUMBER(J167),COUNTIFS($A$2:$A$477,EDATE(A167,-12),$B$2:$B$477,B167,$J$2:$J$477,"&gt;0")=1),J167/SUMIFS($J$2:$J$477,$A$2:$A$477,EDATE(A167,-12),$B$2:$B$477,B167)-1,"")</x:f>
        <x:v>0.0005945479948867849</x:v>
      </x:c>
    </x:row>
    <x:row r="168" ht="21" customHeight="1">
      <x:c r="A168" s="7" t="n">
        <x:v>44896</x:v>
      </x:c>
      <x:c r="B168" s="2" t="str">
        <x:v>熊本</x:v>
      </x:c>
      <x:c r="C168" s="2" t="str">
        <x:v>熊本県</x:v>
      </x:c>
      <x:c r="D168" s="8" t="n">
        <x:v>289438</x:v>
      </x:c>
      <x:c r="E168" s="8" t="n">
        <x:v>5609</x:v>
      </x:c>
      <x:c r="F168" s="8" t="n">
        <x:v>7940</x:v>
      </x:c>
      <x:c r="G168" s="8" t="n">
        <x:v>114854</x:v>
      </x:c>
      <x:c r="H168" s="8" t="n">
        <x:v>161035</x:v>
      </x:c>
      <x:c r="I168" s="8" t="n">
        <x:v>1064</x:v>
      </x:c>
      <x:c r="J168" s="8" t="n">
        <x:v>485</x:v>
      </x:c>
      <x:c r="K168" s="8" t="n">
        <x:v>489</x:v>
      </x:c>
      <x:c r="L168" s="8" t="n">
        <x:v>90</x:v>
      </x:c>
      <x:c r="M168" s="8" t="n">
        <x:v>0</x:v>
      </x:c>
      <x:c r="N168" s="8" t="n">
        <x:v>0</x:v>
      </x:c>
      <x:c r="O168" s="8" t="n">
        <x:v>0</x:v>
      </x:c>
      <x:c r="P168" s="8" t="n">
        <x:v>642</x:v>
      </x:c>
      <x:c r="Q168" s="8" t="n">
        <x:v>683</x:v>
      </x:c>
      <x:c r="R168" s="8" t="n">
        <x:v>1325</x:v>
      </x:c>
      <x:c r="S168" s="8" t="n">
        <x:v>36</x:v>
      </x:c>
      <x:c r="T168" s="8" t="n">
        <x:v>8</x:v>
      </x:c>
      <x:c r="U168" s="2" t="str">
        <x:v>2025年12月25日現在</x:v>
      </x:c>
      <x:c r="V168" s="2" t="str">
        <x:v>2025-12-25</x:v>
      </x:c>
      <x:c r="W168" s="2" t="str">
        <x:v>https://www.e-stat.go.jp/stat-search/file-download?statInfId=000032170294&amp;fileKind=0</x:v>
      </x:c>
      <x:c r="X168" s="2" t="str">
        <x:v>海上出入貨物!859行、コンテナ個数!149行</x:v>
      </x:c>
      <x:c r="Y168" s="2" t="str">
        <x:v>取得済</x:v>
      </x:c>
      <x:c r="Z168" s="9" t="n">
        <x:f>IF(AND(ISNUMBER(E168),COUNTIFS($A$2:$A$477,EDATE(A168,-12),$B$2:$B$477,B168,$E$2:$E$477,"&gt;0")=1),E168/SUMIFS($E$2:$E$477,$A$2:$A$477,EDATE(A168,-12),$B$2:$B$477,B168)-1,"")</x:f>
        <x:v>0.4752761704366124</x:v>
      </x:c>
      <x:c r="AA168" s="10" t="n">
        <x:f>IF(COUNTIFS($A$2:$A$477,"&gt;="&amp;EDATE(A168,-2),$A$2:$A$477,"&lt;="&amp;A168,$B$2:$B$477,B168,$E$2:$E$477,"&gt;=0")=3,SUMIFS($E$2:$E$477,$A$2:$A$477,"&gt;="&amp;EDATE(A168,-2),$A$2:$A$477,"&lt;="&amp;A168,$B$2:$B$477,B168)/3,"")</x:f>
        <x:v>5306.333333333333</x:v>
      </x:c>
      <x:c r="AB168" s="9" t="n">
        <x:f>IF(AND(ISNUMBER(J168),COUNTIFS($A$2:$A$477,EDATE(A168,-12),$B$2:$B$477,B168,$J$2:$J$477,"&gt;0")=1),J168/SUMIFS($J$2:$J$477,$A$2:$A$477,EDATE(A168,-12),$B$2:$B$477,B168)-1,"")</x:f>
        <x:v>0.8097014925373134</x:v>
      </x:c>
    </x:row>
    <x:row r="169" ht="21" customHeight="1">
      <x:c r="A169" s="7" t="n">
        <x:v>44896</x:v>
      </x:c>
      <x:c r="B169" s="2" t="str">
        <x:v>八代</x:v>
      </x:c>
      <x:c r="C169" s="2" t="str">
        <x:v>熊本県</x:v>
      </x:c>
      <x:c r="D169" s="8" t="n">
        <x:v>327879</x:v>
      </x:c>
      <x:c r="E169" s="8" t="n">
        <x:v>22933</x:v>
      </x:c>
      <x:c r="F169" s="8" t="n">
        <x:v>83247</x:v>
      </x:c>
      <x:c r="G169" s="8" t="n">
        <x:v>24293</x:v>
      </x:c>
      <x:c r="H169" s="8" t="n">
        <x:v>197406</x:v>
      </x:c>
      <x:c r="I169" s="8" t="n">
        <x:v>2653</x:v>
      </x:c>
      <x:c r="J169" s="8" t="n">
        <x:v>1303</x:v>
      </x:c>
      <x:c r="K169" s="8" t="n">
        <x:v>1066</x:v>
      </x:c>
      <x:c r="L169" s="8" t="n">
        <x:v>92</x:v>
      </x:c>
      <x:c r="M169" s="8" t="n">
        <x:v>192</x:v>
      </x:c>
      <x:c r="N169" s="8" t="n">
        <x:v>0</x:v>
      </x:c>
      <x:c r="O169" s="8" t="n">
        <x:v>0</x:v>
      </x:c>
      <x:c r="P169" s="8" t="n">
        <x:v>0</x:v>
      </x:c>
      <x:c r="Q169" s="8" t="n">
        <x:v>0</x:v>
      </x:c>
      <x:c r="R169" s="8" t="n">
        <x:v>0</x:v>
      </x:c>
      <x:c r="S169" s="8" t="n">
        <x:v>231</x:v>
      </x:c>
      <x:c r="T169" s="8" t="n">
        <x:v>29</x:v>
      </x:c>
      <x:c r="U169" s="2" t="str">
        <x:v>2025年12月25日現在</x:v>
      </x:c>
      <x:c r="V169" s="2" t="str">
        <x:v>2025-12-25</x:v>
      </x:c>
      <x:c r="W169" s="2" t="str">
        <x:v>https://www.e-stat.go.jp/stat-search/file-download?statInfId=000032170294&amp;fileKind=0</x:v>
      </x:c>
      <x:c r="X169" s="2" t="str">
        <x:v>海上出入貨物!847行、コンテナ個数!147行</x:v>
      </x:c>
      <x:c r="Y169" s="2" t="str">
        <x:v>取得済</x:v>
      </x:c>
      <x:c r="Z169" s="9" t="n">
        <x:f>IF(AND(ISNUMBER(E169),COUNTIFS($A$2:$A$477,EDATE(A169,-12),$B$2:$B$477,B169,$E$2:$E$477,"&gt;0")=1),E169/SUMIFS($E$2:$E$477,$A$2:$A$477,EDATE(A169,-12),$B$2:$B$477,B169)-1,"")</x:f>
        <x:v>-0.13931319196847436</x:v>
      </x:c>
      <x:c r="AA169" s="10" t="n">
        <x:f>IF(COUNTIFS($A$2:$A$477,"&gt;="&amp;EDATE(A169,-2),$A$2:$A$477,"&lt;="&amp;A169,$B$2:$B$477,B169,$E$2:$E$477,"&gt;=0")=3,SUMIFS($E$2:$E$477,$A$2:$A$477,"&gt;="&amp;EDATE(A169,-2),$A$2:$A$477,"&lt;="&amp;A169,$B$2:$B$477,B169)/3,"")</x:f>
        <x:v>21758</x:v>
      </x:c>
      <x:c r="AB169" s="9" t="n">
        <x:f>IF(AND(ISNUMBER(J169),COUNTIFS($A$2:$A$477,EDATE(A169,-12),$B$2:$B$477,B169,$J$2:$J$477,"&gt;0")=1),J169/SUMIFS($J$2:$J$477,$A$2:$A$477,EDATE(A169,-12),$B$2:$B$477,B169)-1,"")</x:f>
        <x:v>0.17387387387387387</x:v>
      </x:c>
    </x:row>
    <x:row r="170" ht="21" customHeight="1">
      <x:c r="A170" s="7" t="n">
        <x:v>44927</x:v>
      </x:c>
      <x:c r="B170" s="2" t="str">
        <x:v>仙台塩釜</x:v>
      </x:c>
      <x:c r="C170" s="2" t="str">
        <x:v>宮城県</x:v>
      </x:c>
      <x:c r="D170" s="8" t="n">
        <x:v>3225687</x:v>
      </x:c>
      <x:c r="E170" s="8" t="n">
        <x:v>139289</x:v>
      </x:c>
      <x:c r="F170" s="8" t="n">
        <x:v>1098598</x:v>
      </x:c>
      <x:c r="G170" s="8" t="n">
        <x:v>942304</x:v>
      </x:c>
      <x:c r="H170" s="8" t="n">
        <x:v>1045496</x:v>
      </x:c>
      <x:c r="I170" s="8" t="n">
        <x:v>17959</x:v>
      </x:c>
      <x:c r="J170" s="8" t="n">
        <x:v>3952</x:v>
      </x:c>
      <x:c r="K170" s="8" t="n">
        <x:v>5570</x:v>
      </x:c>
      <x:c r="L170" s="8" t="n">
        <x:v>4719</x:v>
      </x:c>
      <x:c r="M170" s="8" t="n">
        <x:v>3718</x:v>
      </x:c>
      <x:c r="N170" s="8" t="n">
        <x:v>0</x:v>
      </x:c>
      <x:c r="O170" s="8" t="n">
        <x:v>0</x:v>
      </x:c>
      <x:c r="P170" s="8" t="n">
        <x:v>434</x:v>
      </x:c>
      <x:c r="Q170" s="8" t="n">
        <x:v>462</x:v>
      </x:c>
      <x:c r="R170" s="8" t="n">
        <x:v>896</x:v>
      </x:c>
      <x:c r="S170" s="8" t="n">
        <x:v>1742</x:v>
      </x:c>
      <x:c r="T170" s="8" t="n">
        <x:v>92</x:v>
      </x:c>
      <x:c r="U170" s="2" t="str">
        <x:v>2025年12月25日現在</x:v>
      </x:c>
      <x:c r="V170" s="2" t="str">
        <x:v>2025-12-25</x:v>
      </x:c>
      <x:c r="W170" s="2" t="str">
        <x:v>https://www.e-stat.go.jp/stat-search/file-download?statInfId=000040024002&amp;fileKind=0</x:v>
      </x:c>
      <x:c r="X170" s="2" t="str">
        <x:v>海上出入貨物!139行、コンテナ個数!29行</x:v>
      </x:c>
      <x:c r="Y170" s="2" t="str">
        <x:v>取得済</x:v>
      </x:c>
      <x:c r="Z170" s="9" t="n">
        <x:f>IF(AND(ISNUMBER(E170),COUNTIFS($A$2:$A$477,EDATE(A170,-12),$B$2:$B$477,B170,$E$2:$E$477,"&gt;0")=1),E170/SUMIFS($E$2:$E$477,$A$2:$A$477,EDATE(A170,-12),$B$2:$B$477,B170)-1,"")</x:f>
        <x:v>-0.03478646515463346</x:v>
      </x:c>
      <x:c r="AA170" s="10" t="n">
        <x:f>IF(COUNTIFS($A$2:$A$477,"&gt;="&amp;EDATE(A170,-2),$A$2:$A$477,"&lt;="&amp;A170,$B$2:$B$477,B170,$E$2:$E$477,"&gt;=0")=3,SUMIFS($E$2:$E$477,$A$2:$A$477,"&gt;="&amp;EDATE(A170,-2),$A$2:$A$477,"&lt;="&amp;A170,$B$2:$B$477,B170)/3,"")</x:f>
        <x:v>119985.66666666667</x:v>
      </x:c>
      <x:c r="AB170" s="9" t="n">
        <x:f>IF(AND(ISNUMBER(J170),COUNTIFS($A$2:$A$477,EDATE(A170,-12),$B$2:$B$477,B170,$J$2:$J$477,"&gt;0")=1),J170/SUMIFS($J$2:$J$477,$A$2:$A$477,EDATE(A170,-12),$B$2:$B$477,B170)-1,"")</x:f>
        <x:v>-0.24952525636156475</x:v>
      </x:c>
    </x:row>
    <x:row r="171" ht="21" customHeight="1">
      <x:c r="A171" s="7" t="n">
        <x:v>44927</x:v>
      </x:c>
      <x:c r="B171" s="2" t="str">
        <x:v>東京</x:v>
      </x:c>
      <x:c r="C171" s="2" t="str">
        <x:v>東京都</x:v>
      </x:c>
      <x:c r="D171" s="8" t="n">
        <x:v>6336031</x:v>
      </x:c>
      <x:c r="E171" s="8" t="n">
        <x:v>773038</x:v>
      </x:c>
      <x:c r="F171" s="8" t="n">
        <x:v>2806950</x:v>
      </x:c>
      <x:c r="G171" s="8" t="n">
        <x:v>1063755</x:v>
      </x:c>
      <x:c r="H171" s="8" t="n">
        <x:v>1692288</x:v>
      </x:c>
      <x:c r="I171" s="8" t="n">
        <x:v>351482</x:v>
      </x:c>
      <x:c r="J171" s="8" t="n">
        <x:v>139506</x:v>
      </x:c>
      <x:c r="K171" s="8" t="n">
        <x:v>179990</x:v>
      </x:c>
      <x:c r="L171" s="8" t="n">
        <x:v>21537</x:v>
      </x:c>
      <x:c r="M171" s="8" t="n">
        <x:v>10449</x:v>
      </x:c>
      <x:c r="N171" s="8" t="n">
        <x:v>0</x:v>
      </x:c>
      <x:c r="O171" s="8" t="n">
        <x:v>0</x:v>
      </x:c>
      <x:c r="P171" s="8" t="n">
        <x:v>500</x:v>
      </x:c>
      <x:c r="Q171" s="8" t="n">
        <x:v>199</x:v>
      </x:c>
      <x:c r="R171" s="8" t="n">
        <x:v>699</x:v>
      </x:c>
      <x:c r="S171" s="8" t="n">
        <x:v>1503</x:v>
      </x:c>
      <x:c r="T171" s="8" t="n">
        <x:v>385</x:v>
      </x:c>
      <x:c r="U171" s="2" t="str">
        <x:v>2025年12月25日現在</x:v>
      </x:c>
      <x:c r="V171" s="2" t="str">
        <x:v>2025-12-25</x:v>
      </x:c>
      <x:c r="W171" s="2" t="str">
        <x:v>https://www.e-stat.go.jp/stat-search/file-download?statInfId=000040024002&amp;fileKind=0</x:v>
      </x:c>
      <x:c r="X171" s="2" t="str">
        <x:v>海上出入貨物!205行、コンテナ個数!40行</x:v>
      </x:c>
      <x:c r="Y171" s="2" t="str">
        <x:v>取得済</x:v>
      </x:c>
      <x:c r="Z171" s="9" t="n">
        <x:f>IF(AND(ISNUMBER(E171),COUNTIFS($A$2:$A$477,EDATE(A171,-12),$B$2:$B$477,B171,$E$2:$E$477,"&gt;0")=1),E171/SUMIFS($E$2:$E$477,$A$2:$A$477,EDATE(A171,-12),$B$2:$B$477,B171)-1,"")</x:f>
        <x:v>0.03670951432613845</x:v>
      </x:c>
      <x:c r="AA171" s="10" t="n">
        <x:f>IF(COUNTIFS($A$2:$A$477,"&gt;="&amp;EDATE(A171,-2),$A$2:$A$477,"&lt;="&amp;A171,$B$2:$B$477,B171,$E$2:$E$477,"&gt;=0")=3,SUMIFS($E$2:$E$477,$A$2:$A$477,"&gt;="&amp;EDATE(A171,-2),$A$2:$A$477,"&lt;="&amp;A171,$B$2:$B$477,B171)/3,"")</x:f>
        <x:v>901240</x:v>
      </x:c>
      <x:c r="AB171" s="9" t="n">
        <x:f>IF(AND(ISNUMBER(J171),COUNTIFS($A$2:$A$477,EDATE(A171,-12),$B$2:$B$477,B171,$J$2:$J$477,"&gt;0")=1),J171/SUMIFS($J$2:$J$477,$A$2:$A$477,EDATE(A171,-12),$B$2:$B$477,B171)-1,"")</x:f>
        <x:v>-0.13039196130254826</x:v>
      </x:c>
    </x:row>
    <x:row r="172" ht="21" customHeight="1">
      <x:c r="A172" s="7" t="n">
        <x:v>44927</x:v>
      </x:c>
      <x:c r="B172" s="2" t="str">
        <x:v>横浜</x:v>
      </x:c>
      <x:c r="C172" s="2" t="str">
        <x:v>神奈川県</x:v>
      </x:c>
      <x:c r="D172" s="8" t="n">
        <x:v>8011108</x:v>
      </x:c>
      <x:c r="E172" s="8" t="n">
        <x:v>1918303</x:v>
      </x:c>
      <x:c r="F172" s="8" t="n">
        <x:v>3691313</x:v>
      </x:c>
      <x:c r="G172" s="8" t="n">
        <x:v>1011491</x:v>
      </x:c>
      <x:c r="H172" s="8" t="n">
        <x:v>1390001</x:v>
      </x:c>
      <x:c r="I172" s="8" t="n">
        <x:v>218124</x:v>
      </x:c>
      <x:c r="J172" s="8" t="n">
        <x:v>98962</x:v>
      </x:c>
      <x:c r="K172" s="8" t="n">
        <x:v>97446</x:v>
      </x:c>
      <x:c r="L172" s="8" t="n">
        <x:v>11842</x:v>
      </x:c>
      <x:c r="M172" s="8" t="n">
        <x:v>9874</x:v>
      </x:c>
      <x:c r="N172" s="8" t="n">
        <x:v>0</x:v>
      </x:c>
      <x:c r="O172" s="8" t="n">
        <x:v>0</x:v>
      </x:c>
      <x:c r="P172" s="8" t="n">
        <x:v>0</x:v>
      </x:c>
      <x:c r="Q172" s="8" t="n">
        <x:v>0</x:v>
      </x:c>
      <x:c r="R172" s="8" t="n">
        <x:v>0</x:v>
      </x:c>
      <x:c r="S172" s="8" t="n">
        <x:v>2090</x:v>
      </x:c>
      <x:c r="T172" s="8" t="n">
        <x:v>683</x:v>
      </x:c>
      <x:c r="U172" s="2" t="str">
        <x:v>2025年12月25日現在</x:v>
      </x:c>
      <x:c r="V172" s="2" t="str">
        <x:v>2025-12-25</x:v>
      </x:c>
      <x:c r="W172" s="2" t="str">
        <x:v>https://www.e-stat.go.jp/stat-search/file-download?statInfId=000040024002&amp;fileKind=0</x:v>
      </x:c>
      <x:c r="X172" s="2" t="str">
        <x:v>海上出入貨物!217行、コンテナ個数!42行</x:v>
      </x:c>
      <x:c r="Y172" s="2" t="str">
        <x:v>取得済</x:v>
      </x:c>
      <x:c r="Z172" s="9" t="n">
        <x:f>IF(AND(ISNUMBER(E172),COUNTIFS($A$2:$A$477,EDATE(A172,-12),$B$2:$B$477,B172,$E$2:$E$477,"&gt;0")=1),E172/SUMIFS($E$2:$E$477,$A$2:$A$477,EDATE(A172,-12),$B$2:$B$477,B172)-1,"")</x:f>
        <x:v>-0.030277555633965836</x:v>
      </x:c>
      <x:c r="AA172" s="10" t="n">
        <x:f>IF(COUNTIFS($A$2:$A$477,"&gt;="&amp;EDATE(A172,-2),$A$2:$A$477,"&lt;="&amp;A172,$B$2:$B$477,B172,$E$2:$E$477,"&gt;=0")=3,SUMIFS($E$2:$E$477,$A$2:$A$477,"&gt;="&amp;EDATE(A172,-2),$A$2:$A$477,"&lt;="&amp;A172,$B$2:$B$477,B172)/3,"")</x:f>
        <x:v>2289957.3333333335</x:v>
      </x:c>
      <x:c r="AB172" s="9" t="n">
        <x:f>IF(AND(ISNUMBER(J172),COUNTIFS($A$2:$A$477,EDATE(A172,-12),$B$2:$B$477,B172,$J$2:$J$477,"&gt;0")=1),J172/SUMIFS($J$2:$J$477,$A$2:$A$477,EDATE(A172,-12),$B$2:$B$477,B172)-1,"")</x:f>
        <x:v>-0.008952892164717174</x:v>
      </x:c>
    </x:row>
    <x:row r="173" ht="21" customHeight="1">
      <x:c r="A173" s="7" t="n">
        <x:v>44927</x:v>
      </x:c>
      <x:c r="B173" s="2" t="str">
        <x:v>清水</x:v>
      </x:c>
      <x:c r="C173" s="2" t="str">
        <x:v>静岡県</x:v>
      </x:c>
      <x:c r="D173" s="8" t="n">
        <x:v>1298139</x:v>
      </x:c>
      <x:c r="E173" s="8" t="n">
        <x:v>224117</x:v>
      </x:c>
      <x:c r="F173" s="8" t="n">
        <x:v>567613</x:v>
      </x:c>
      <x:c r="G173" s="8" t="n">
        <x:v>140310</x:v>
      </x:c>
      <x:c r="H173" s="8" t="n">
        <x:v>366099</x:v>
      </x:c>
      <x:c r="I173" s="8" t="n">
        <x:v>39492</x:v>
      </x:c>
      <x:c r="J173" s="8" t="n">
        <x:v>13789</x:v>
      </x:c>
      <x:c r="K173" s="8" t="n">
        <x:v>17611</x:v>
      </x:c>
      <x:c r="L173" s="8" t="n">
        <x:v>4495</x:v>
      </x:c>
      <x:c r="M173" s="8" t="n">
        <x:v>3597</x:v>
      </x:c>
      <x:c r="N173" s="8" t="n">
        <x:v>0</x:v>
      </x:c>
      <x:c r="O173" s="8" t="n">
        <x:v>0</x:v>
      </x:c>
      <x:c r="P173" s="8" t="n">
        <x:v>0</x:v>
      </x:c>
      <x:c r="Q173" s="8" t="n">
        <x:v>2</x:v>
      </x:c>
      <x:c r="R173" s="8" t="n">
        <x:v>2</x:v>
      </x:c>
      <x:c r="S173" s="8" t="n">
        <x:v>474</x:v>
      </x:c>
      <x:c r="T173" s="8" t="n">
        <x:v>127</x:v>
      </x:c>
      <x:c r="U173" s="2" t="str">
        <x:v>2025年12月25日現在</x:v>
      </x:c>
      <x:c r="V173" s="2" t="str">
        <x:v>2025-12-25</x:v>
      </x:c>
      <x:c r="W173" s="2" t="str">
        <x:v>https://www.e-stat.go.jp/stat-search/file-download?statInfId=000040024002&amp;fileKind=0</x:v>
      </x:c>
      <x:c r="X173" s="2" t="str">
        <x:v>海上出入貨物!313行、コンテナ個数!58行</x:v>
      </x:c>
      <x:c r="Y173" s="2" t="str">
        <x:v>取得済</x:v>
      </x:c>
      <x:c r="Z173" s="9" t="n">
        <x:f>IF(AND(ISNUMBER(E173),COUNTIFS($A$2:$A$477,EDATE(A173,-12),$B$2:$B$477,B173,$E$2:$E$477,"&gt;0")=1),E173/SUMIFS($E$2:$E$477,$A$2:$A$477,EDATE(A173,-12),$B$2:$B$477,B173)-1,"")</x:f>
        <x:v>-0.1557409779251111</x:v>
      </x:c>
      <x:c r="AA173" s="10" t="n">
        <x:f>IF(COUNTIFS($A$2:$A$477,"&gt;="&amp;EDATE(A173,-2),$A$2:$A$477,"&lt;="&amp;A173,$B$2:$B$477,B173,$E$2:$E$477,"&gt;=0")=3,SUMIFS($E$2:$E$477,$A$2:$A$477,"&gt;="&amp;EDATE(A173,-2),$A$2:$A$477,"&lt;="&amp;A173,$B$2:$B$477,B173)/3,"")</x:f>
        <x:v>278785.3333333333</x:v>
      </x:c>
      <x:c r="AB173" s="9" t="n">
        <x:f>IF(AND(ISNUMBER(J173),COUNTIFS($A$2:$A$477,EDATE(A173,-12),$B$2:$B$477,B173,$J$2:$J$477,"&gt;0")=1),J173/SUMIFS($J$2:$J$477,$A$2:$A$477,EDATE(A173,-12),$B$2:$B$477,B173)-1,"")</x:f>
        <x:v>-0.19850034875610323</x:v>
      </x:c>
    </x:row>
    <x:row r="174" ht="21" customHeight="1">
      <x:c r="A174" s="7" t="n">
        <x:v>44927</x:v>
      </x:c>
      <x:c r="B174" s="2" t="str">
        <x:v>博多</x:v>
      </x:c>
      <x:c r="C174" s="2" t="str">
        <x:v>福岡県</x:v>
      </x:c>
      <x:c r="D174" s="8" t="n">
        <x:v>2564486</x:v>
      </x:c>
      <x:c r="E174" s="8" t="n">
        <x:v>454369</x:v>
      </x:c>
      <x:c r="F174" s="8" t="n">
        <x:v>830590</x:v>
      </x:c>
      <x:c r="G174" s="8" t="n">
        <x:v>395993</x:v>
      </x:c>
      <x:c r="H174" s="8" t="n">
        <x:v>883534</x:v>
      </x:c>
      <x:c r="I174" s="8" t="n">
        <x:v>74824</x:v>
      </x:c>
      <x:c r="J174" s="8" t="n">
        <x:v>29454</x:v>
      </x:c>
      <x:c r="K174" s="8" t="n">
        <x:v>33713</x:v>
      </x:c>
      <x:c r="L174" s="8" t="n">
        <x:v>5280</x:v>
      </x:c>
      <x:c r="M174" s="8" t="n">
        <x:v>6377</x:v>
      </x:c>
      <x:c r="N174" s="8" t="n">
        <x:v>0</x:v>
      </x:c>
      <x:c r="O174" s="8" t="n">
        <x:v>0</x:v>
      </x:c>
      <x:c r="P174" s="8" t="n">
        <x:v>1219</x:v>
      </x:c>
      <x:c r="Q174" s="8" t="n">
        <x:v>1206</x:v>
      </x:c>
      <x:c r="R174" s="8" t="n">
        <x:v>2425</x:v>
      </x:c>
      <x:c r="S174" s="8" t="n">
        <x:v>1505</x:v>
      </x:c>
      <x:c r="T174" s="8" t="n">
        <x:v>245</x:v>
      </x:c>
      <x:c r="U174" s="2" t="str">
        <x:v>2025年12月25日現在</x:v>
      </x:c>
      <x:c r="V174" s="2" t="str">
        <x:v>2025-12-25</x:v>
      </x:c>
      <x:c r="W174" s="2" t="str">
        <x:v>https://www.e-stat.go.jp/stat-search/file-download?statInfId=000040024002&amp;fileKind=0</x:v>
      </x:c>
      <x:c r="X174" s="2" t="str">
        <x:v>海上出入貨物!745行、コンテナ個数!130行</x:v>
      </x:c>
      <x:c r="Y174" s="2" t="str">
        <x:v>取得済</x:v>
      </x:c>
      <x:c r="Z174" s="9" t="n">
        <x:f>IF(AND(ISNUMBER(E174),COUNTIFS($A$2:$A$477,EDATE(A174,-12),$B$2:$B$477,B174,$E$2:$E$477,"&gt;0")=1),E174/SUMIFS($E$2:$E$477,$A$2:$A$477,EDATE(A174,-12),$B$2:$B$477,B174)-1,"")</x:f>
        <x:v>-0.2099208301961596</x:v>
      </x:c>
      <x:c r="AA174" s="10" t="n">
        <x:f>IF(COUNTIFS($A$2:$A$477,"&gt;="&amp;EDATE(A174,-2),$A$2:$A$477,"&lt;="&amp;A174,$B$2:$B$477,B174,$E$2:$E$477,"&gt;=0")=3,SUMIFS($E$2:$E$477,$A$2:$A$477,"&gt;="&amp;EDATE(A174,-2),$A$2:$A$477,"&lt;="&amp;A174,$B$2:$B$477,B174)/3,"")</x:f>
        <x:v>587149.3333333334</x:v>
      </x:c>
      <x:c r="AB174" s="9" t="n">
        <x:f>IF(AND(ISNUMBER(J174),COUNTIFS($A$2:$A$477,EDATE(A174,-12),$B$2:$B$477,B174,$J$2:$J$477,"&gt;0")=1),J174/SUMIFS($J$2:$J$477,$A$2:$A$477,EDATE(A174,-12),$B$2:$B$477,B174)-1,"")</x:f>
        <x:v>-0.09173887569767802</x:v>
      </x:c>
    </x:row>
    <x:row r="175" ht="21" customHeight="1">
      <x:c r="A175" s="7" t="n">
        <x:v>44927</x:v>
      </x:c>
      <x:c r="B175" s="2" t="str">
        <x:v>熊本</x:v>
      </x:c>
      <x:c r="C175" s="2" t="str">
        <x:v>熊本県</x:v>
      </x:c>
      <x:c r="D175" s="8" t="n">
        <x:v>252168</x:v>
      </x:c>
      <x:c r="E175" s="8" t="n">
        <x:v>3601</x:v>
      </x:c>
      <x:c r="F175" s="8" t="n">
        <x:v>7092</x:v>
      </x:c>
      <x:c r="G175" s="8" t="n">
        <x:v>96450</x:v>
      </x:c>
      <x:c r="H175" s="8" t="n">
        <x:v>145025</x:v>
      </x:c>
      <x:c r="I175" s="8" t="n">
        <x:v>768</x:v>
      </x:c>
      <x:c r="J175" s="8" t="n">
        <x:v>262</x:v>
      </x:c>
      <x:c r="K175" s="8" t="n">
        <x:v>418</x:v>
      </x:c>
      <x:c r="L175" s="8" t="n">
        <x:v>88</x:v>
      </x:c>
      <x:c r="M175" s="8" t="n">
        <x:v>0</x:v>
      </x:c>
      <x:c r="N175" s="8" t="n">
        <x:v>0</x:v>
      </x:c>
      <x:c r="O175" s="8" t="n">
        <x:v>0</x:v>
      </x:c>
      <x:c r="P175" s="8" t="n">
        <x:v>632</x:v>
      </x:c>
      <x:c r="Q175" s="8" t="n">
        <x:v>653</x:v>
      </x:c>
      <x:c r="R175" s="8" t="n">
        <x:v>1285</x:v>
      </x:c>
      <x:c r="S175" s="8" t="n">
        <x:v>29</x:v>
      </x:c>
      <x:c r="T175" s="8" t="n">
        <x:v>6</x:v>
      </x:c>
      <x:c r="U175" s="2" t="str">
        <x:v>2025年12月25日現在</x:v>
      </x:c>
      <x:c r="V175" s="2" t="str">
        <x:v>2025-12-25</x:v>
      </x:c>
      <x:c r="W175" s="2" t="str">
        <x:v>https://www.e-stat.go.jp/stat-search/file-download?statInfId=000040024002&amp;fileKind=0</x:v>
      </x:c>
      <x:c r="X175" s="2" t="str">
        <x:v>海上出入貨物!859行、コンテナ個数!149行</x:v>
      </x:c>
      <x:c r="Y175" s="2" t="str">
        <x:v>取得済</x:v>
      </x:c>
      <x:c r="Z175" s="9" t="n">
        <x:f>IF(AND(ISNUMBER(E175),COUNTIFS($A$2:$A$477,EDATE(A175,-12),$B$2:$B$477,B175,$E$2:$E$477,"&gt;0")=1),E175/SUMIFS($E$2:$E$477,$A$2:$A$477,EDATE(A175,-12),$B$2:$B$477,B175)-1,"")</x:f>
        <x:v>0.40884194053208134</x:v>
      </x:c>
      <x:c r="AA175" s="10" t="n">
        <x:f>IF(COUNTIFS($A$2:$A$477,"&gt;="&amp;EDATE(A175,-2),$A$2:$A$477,"&lt;="&amp;A175,$B$2:$B$477,B175,$E$2:$E$477,"&gt;=0")=3,SUMIFS($E$2:$E$477,$A$2:$A$477,"&gt;="&amp;EDATE(A175,-2),$A$2:$A$477,"&lt;="&amp;A175,$B$2:$B$477,B175)/3,"")</x:f>
        <x:v>4938</x:v>
      </x:c>
      <x:c r="AB175" s="9" t="n">
        <x:f>IF(AND(ISNUMBER(J175),COUNTIFS($A$2:$A$477,EDATE(A175,-12),$B$2:$B$477,B175,$J$2:$J$477,"&gt;0")=1),J175/SUMIFS($J$2:$J$477,$A$2:$A$477,EDATE(A175,-12),$B$2:$B$477,B175)-1,"")</x:f>
        <x:v>0.423913043478261</x:v>
      </x:c>
    </x:row>
    <x:row r="176" ht="21" customHeight="1">
      <x:c r="A176" s="7" t="n">
        <x:v>44927</x:v>
      </x:c>
      <x:c r="B176" s="2" t="str">
        <x:v>八代</x:v>
      </x:c>
      <x:c r="C176" s="2" t="str">
        <x:v>熊本県</x:v>
      </x:c>
      <x:c r="D176" s="8" t="n">
        <x:v>428385</x:v>
      </x:c>
      <x:c r="E176" s="8" t="n">
        <x:v>17941</x:v>
      </x:c>
      <x:c r="F176" s="8" t="n">
        <x:v>220366</x:v>
      </x:c>
      <x:c r="G176" s="8" t="n">
        <x:v>14229</x:v>
      </x:c>
      <x:c r="H176" s="8" t="n">
        <x:v>175849</x:v>
      </x:c>
      <x:c r="I176" s="8" t="n">
        <x:v>2110</x:v>
      </x:c>
      <x:c r="J176" s="8" t="n">
        <x:v>809</x:v>
      </x:c>
      <x:c r="K176" s="8" t="n">
        <x:v>846</x:v>
      </x:c>
      <x:c r="L176" s="8" t="n">
        <x:v>230</x:v>
      </x:c>
      <x:c r="M176" s="8" t="n">
        <x:v>225</x:v>
      </x:c>
      <x:c r="N176" s="8" t="n">
        <x:v>0</x:v>
      </x:c>
      <x:c r="O176" s="8" t="n">
        <x:v>0</x:v>
      </x:c>
      <x:c r="P176" s="8" t="n">
        <x:v>0</x:v>
      </x:c>
      <x:c r="Q176" s="8" t="n">
        <x:v>0</x:v>
      </x:c>
      <x:c r="R176" s="8" t="n">
        <x:v>0</x:v>
      </x:c>
      <x:c r="S176" s="8" t="n">
        <x:v>221</x:v>
      </x:c>
      <x:c r="T176" s="8" t="n">
        <x:v>32</x:v>
      </x:c>
      <x:c r="U176" s="2" t="str">
        <x:v>2025年12月25日現在</x:v>
      </x:c>
      <x:c r="V176" s="2" t="str">
        <x:v>2025-12-25</x:v>
      </x:c>
      <x:c r="W176" s="2" t="str">
        <x:v>https://www.e-stat.go.jp/stat-search/file-download?statInfId=000040024002&amp;fileKind=0</x:v>
      </x:c>
      <x:c r="X176" s="2" t="str">
        <x:v>海上出入貨物!847行、コンテナ個数!147行</x:v>
      </x:c>
      <x:c r="Y176" s="2" t="str">
        <x:v>取得済</x:v>
      </x:c>
      <x:c r="Z176" s="9" t="n">
        <x:f>IF(AND(ISNUMBER(E176),COUNTIFS($A$2:$A$477,EDATE(A176,-12),$B$2:$B$477,B176,$E$2:$E$477,"&gt;0")=1),E176/SUMIFS($E$2:$E$477,$A$2:$A$477,EDATE(A176,-12),$B$2:$B$477,B176)-1,"")</x:f>
        <x:v>0.592490679921889</x:v>
      </x:c>
      <x:c r="AA176" s="10" t="n">
        <x:f>IF(COUNTIFS($A$2:$A$477,"&gt;="&amp;EDATE(A176,-2),$A$2:$A$477,"&lt;="&amp;A176,$B$2:$B$477,B176,$E$2:$E$477,"&gt;=0")=3,SUMIFS($E$2:$E$477,$A$2:$A$477,"&gt;="&amp;EDATE(A176,-2),$A$2:$A$477,"&lt;="&amp;A176,$B$2:$B$477,B176)/3,"")</x:f>
        <x:v>18695.666666666668</x:v>
      </x:c>
      <x:c r="AB176" s="9" t="n">
        <x:f>IF(AND(ISNUMBER(J176),COUNTIFS($A$2:$A$477,EDATE(A176,-12),$B$2:$B$477,B176,$J$2:$J$477,"&gt;0")=1),J176/SUMIFS($J$2:$J$477,$A$2:$A$477,EDATE(A176,-12),$B$2:$B$477,B176)-1,"")</x:f>
        <x:v>-0.061484918793503485</x:v>
      </x:c>
    </x:row>
    <x:row r="177" ht="21" customHeight="1">
      <x:c r="A177" s="7" t="n">
        <x:v>44958</x:v>
      </x:c>
      <x:c r="B177" s="2" t="str">
        <x:v>仙台塩釜</x:v>
      </x:c>
      <x:c r="C177" s="2" t="str">
        <x:v>宮城県</x:v>
      </x:c>
      <x:c r="D177" s="8" t="n">
        <x:v>3374075</x:v>
      </x:c>
      <x:c r="E177" s="8" t="n">
        <x:v>191923</x:v>
      </x:c>
      <x:c r="F177" s="8" t="n">
        <x:v>1073563</x:v>
      </x:c>
      <x:c r="G177" s="8" t="n">
        <x:v>998201</x:v>
      </x:c>
      <x:c r="H177" s="8" t="n">
        <x:v>1110388</x:v>
      </x:c>
      <x:c r="I177" s="8" t="n">
        <x:v>18865</x:v>
      </x:c>
      <x:c r="J177" s="8" t="n">
        <x:v>5568</x:v>
      </x:c>
      <x:c r="K177" s="8" t="n">
        <x:v>4663</x:v>
      </x:c>
      <x:c r="L177" s="8" t="n">
        <x:v>4370</x:v>
      </x:c>
      <x:c r="M177" s="8" t="n">
        <x:v>4264</x:v>
      </x:c>
      <x:c r="N177" s="8" t="n">
        <x:v>0</x:v>
      </x:c>
      <x:c r="O177" s="8" t="n">
        <x:v>0</x:v>
      </x:c>
      <x:c r="P177" s="8" t="n">
        <x:v>443</x:v>
      </x:c>
      <x:c r="Q177" s="8" t="n">
        <x:v>469</x:v>
      </x:c>
      <x:c r="R177" s="8" t="n">
        <x:v>912</x:v>
      </x:c>
      <x:c r="S177" s="8" t="n">
        <x:v>1730</x:v>
      </x:c>
      <x:c r="T177" s="8" t="n">
        <x:v>97</x:v>
      </x:c>
      <x:c r="U177" s="2" t="str">
        <x:v>2025年12月25日現在</x:v>
      </x:c>
      <x:c r="V177" s="2" t="str">
        <x:v>2025-12-25</x:v>
      </x:c>
      <x:c r="W177" s="2" t="str">
        <x:v>https://www.e-stat.go.jp/stat-search/file-download?statInfId=000040024002&amp;fileKind=0</x:v>
      </x:c>
      <x:c r="X177" s="2" t="str">
        <x:v>海上出入貨物!139行、コンテナ個数!29行</x:v>
      </x:c>
      <x:c r="Y177" s="2" t="str">
        <x:v>取得済</x:v>
      </x:c>
      <x:c r="Z177" s="9" t="n">
        <x:f>IF(AND(ISNUMBER(E177),COUNTIFS($A$2:$A$477,EDATE(A177,-12),$B$2:$B$477,B177,$E$2:$E$477,"&gt;0")=1),E177/SUMIFS($E$2:$E$477,$A$2:$A$477,EDATE(A177,-12),$B$2:$B$477,B177)-1,"")</x:f>
        <x:v>-0.08128614100256581</x:v>
      </x:c>
      <x:c r="AA177" s="10" t="n">
        <x:f>IF(COUNTIFS($A$2:$A$477,"&gt;="&amp;EDATE(A177,-2),$A$2:$A$477,"&lt;="&amp;A177,$B$2:$B$477,B177,$E$2:$E$477,"&gt;=0")=3,SUMIFS($E$2:$E$477,$A$2:$A$477,"&gt;="&amp;EDATE(A177,-2),$A$2:$A$477,"&lt;="&amp;A177,$B$2:$B$477,B177)/3,"")</x:f>
        <x:v>145955</x:v>
      </x:c>
      <x:c r="AB177" s="9" t="n">
        <x:f>IF(AND(ISNUMBER(J177),COUNTIFS($A$2:$A$477,EDATE(A177,-12),$B$2:$B$477,B177,$J$2:$J$477,"&gt;0")=1),J177/SUMIFS($J$2:$J$477,$A$2:$A$477,EDATE(A177,-12),$B$2:$B$477,B177)-1,"")</x:f>
        <x:v>-0.01555869872701554</x:v>
      </x:c>
    </x:row>
    <x:row r="178" ht="21" customHeight="1">
      <x:c r="A178" s="7" t="n">
        <x:v>44958</x:v>
      </x:c>
      <x:c r="B178" s="2" t="str">
        <x:v>東京</x:v>
      </x:c>
      <x:c r="C178" s="2" t="str">
        <x:v>東京都</x:v>
      </x:c>
      <x:c r="D178" s="8" t="n">
        <x:v>6197255</x:v>
      </x:c>
      <x:c r="E178" s="8" t="n">
        <x:v>972748</x:v>
      </x:c>
      <x:c r="F178" s="8" t="n">
        <x:v>2312348</x:v>
      </x:c>
      <x:c r="G178" s="8" t="n">
        <x:v>1093398</x:v>
      </x:c>
      <x:c r="H178" s="8" t="n">
        <x:v>1818761</x:v>
      </x:c>
      <x:c r="I178" s="8" t="n">
        <x:v>336404</x:v>
      </x:c>
      <x:c r="J178" s="8" t="n">
        <x:v>143013</x:v>
      </x:c>
      <x:c r="K178" s="8" t="n">
        <x:v>154864</x:v>
      </x:c>
      <x:c r="L178" s="8" t="n">
        <x:v>26743</x:v>
      </x:c>
      <x:c r="M178" s="8" t="n">
        <x:v>11784</x:v>
      </x:c>
      <x:c r="N178" s="8" t="n">
        <x:v>0</x:v>
      </x:c>
      <x:c r="O178" s="8" t="n">
        <x:v>0</x:v>
      </x:c>
      <x:c r="P178" s="8" t="n">
        <x:v>421</x:v>
      </x:c>
      <x:c r="Q178" s="8" t="n">
        <x:v>207</x:v>
      </x:c>
      <x:c r="R178" s="8" t="n">
        <x:v>628</x:v>
      </x:c>
      <x:c r="S178" s="8" t="n">
        <x:v>1530</x:v>
      </x:c>
      <x:c r="T178" s="8" t="n">
        <x:v>364</x:v>
      </x:c>
      <x:c r="U178" s="2" t="str">
        <x:v>2025年12月25日現在</x:v>
      </x:c>
      <x:c r="V178" s="2" t="str">
        <x:v>2025-12-25</x:v>
      </x:c>
      <x:c r="W178" s="2" t="str">
        <x:v>https://www.e-stat.go.jp/stat-search/file-download?statInfId=000040024002&amp;fileKind=0</x:v>
      </x:c>
      <x:c r="X178" s="2" t="str">
        <x:v>海上出入貨物!205行、コンテナ個数!40行</x:v>
      </x:c>
      <x:c r="Y178" s="2" t="str">
        <x:v>取得済</x:v>
      </x:c>
      <x:c r="Z178" s="9" t="n">
        <x:f>IF(AND(ISNUMBER(E178),COUNTIFS($A$2:$A$477,EDATE(A178,-12),$B$2:$B$477,B178,$E$2:$E$477,"&gt;0")=1),E178/SUMIFS($E$2:$E$477,$A$2:$A$477,EDATE(A178,-12),$B$2:$B$477,B178)-1,"")</x:f>
        <x:v>0.035339446221309245</x:v>
      </x:c>
      <x:c r="AA178" s="10" t="n">
        <x:f>IF(COUNTIFS($A$2:$A$477,"&gt;="&amp;EDATE(A178,-2),$A$2:$A$477,"&lt;="&amp;A178,$B$2:$B$477,B178,$E$2:$E$477,"&gt;=0")=3,SUMIFS($E$2:$E$477,$A$2:$A$477,"&gt;="&amp;EDATE(A178,-2),$A$2:$A$477,"&lt;="&amp;A178,$B$2:$B$477,B178)/3,"")</x:f>
        <x:v>923365</x:v>
      </x:c>
      <x:c r="AB178" s="9" t="n">
        <x:f>IF(AND(ISNUMBER(J178),COUNTIFS($A$2:$A$477,EDATE(A178,-12),$B$2:$B$477,B178,$J$2:$J$477,"&gt;0")=1),J178/SUMIFS($J$2:$J$477,$A$2:$A$477,EDATE(A178,-12),$B$2:$B$477,B178)-1,"")</x:f>
        <x:v>-0.04693581063069785</x:v>
      </x:c>
    </x:row>
    <x:row r="179" ht="21" customHeight="1">
      <x:c r="A179" s="7" t="n">
        <x:v>44958</x:v>
      </x:c>
      <x:c r="B179" s="2" t="str">
        <x:v>横浜</x:v>
      </x:c>
      <x:c r="C179" s="2" t="str">
        <x:v>神奈川県</x:v>
      </x:c>
      <x:c r="D179" s="8" t="n">
        <x:v>7991139</x:v>
      </x:c>
      <x:c r="E179" s="8" t="n">
        <x:v>2288421</x:v>
      </x:c>
      <x:c r="F179" s="8" t="n">
        <x:v>3444909</x:v>
      </x:c>
      <x:c r="G179" s="8" t="n">
        <x:v>1002022</x:v>
      </x:c>
      <x:c r="H179" s="8" t="n">
        <x:v>1255787</x:v>
      </x:c>
      <x:c r="I179" s="8" t="n">
        <x:v>225537</x:v>
      </x:c>
      <x:c r="J179" s="8" t="n">
        <x:v>113267</x:v>
      </x:c>
      <x:c r="K179" s="8" t="n">
        <x:v>86240</x:v>
      </x:c>
      <x:c r="L179" s="8" t="n">
        <x:v>11853</x:v>
      </x:c>
      <x:c r="M179" s="8" t="n">
        <x:v>14177</x:v>
      </x:c>
      <x:c r="N179" s="8" t="n">
        <x:v>0</x:v>
      </x:c>
      <x:c r="O179" s="8" t="n">
        <x:v>0</x:v>
      </x:c>
      <x:c r="P179" s="8" t="n">
        <x:v>0</x:v>
      </x:c>
      <x:c r="Q179" s="8" t="n">
        <x:v>0</x:v>
      </x:c>
      <x:c r="R179" s="8" t="n">
        <x:v>0</x:v>
      </x:c>
      <x:c r="S179" s="8" t="n">
        <x:v>2001</x:v>
      </x:c>
      <x:c r="T179" s="8" t="n">
        <x:v>668</x:v>
      </x:c>
      <x:c r="U179" s="2" t="str">
        <x:v>2025年12月25日現在</x:v>
      </x:c>
      <x:c r="V179" s="2" t="str">
        <x:v>2025-12-25</x:v>
      </x:c>
      <x:c r="W179" s="2" t="str">
        <x:v>https://www.e-stat.go.jp/stat-search/file-download?statInfId=000040024002&amp;fileKind=0</x:v>
      </x:c>
      <x:c r="X179" s="2" t="str">
        <x:v>海上出入貨物!217行、コンテナ個数!42行</x:v>
      </x:c>
      <x:c r="Y179" s="2" t="str">
        <x:v>取得済</x:v>
      </x:c>
      <x:c r="Z179" s="9" t="n">
        <x:f>IF(AND(ISNUMBER(E179),COUNTIFS($A$2:$A$477,EDATE(A179,-12),$B$2:$B$477,B179,$E$2:$E$477,"&gt;0")=1),E179/SUMIFS($E$2:$E$477,$A$2:$A$477,EDATE(A179,-12),$B$2:$B$477,B179)-1,"")</x:f>
        <x:v>0.02032607866925451</x:v>
      </x:c>
      <x:c r="AA179" s="10" t="n">
        <x:f>IF(COUNTIFS($A$2:$A$477,"&gt;="&amp;EDATE(A179,-2),$A$2:$A$477,"&lt;="&amp;A179,$B$2:$B$477,B179,$E$2:$E$477,"&gt;=0")=3,SUMIFS($E$2:$E$477,$A$2:$A$477,"&gt;="&amp;EDATE(A179,-2),$A$2:$A$477,"&lt;="&amp;A179,$B$2:$B$477,B179)/3,"")</x:f>
        <x:v>2264622.6666666665</x:v>
      </x:c>
      <x:c r="AB179" s="9" t="n">
        <x:f>IF(AND(ISNUMBER(J179),COUNTIFS($A$2:$A$477,EDATE(A179,-12),$B$2:$B$477,B179,$J$2:$J$477,"&gt;0")=1),J179/SUMIFS($J$2:$J$477,$A$2:$A$477,EDATE(A179,-12),$B$2:$B$477,B179)-1,"")</x:f>
        <x:v>-0.01440107203146479</x:v>
      </x:c>
    </x:row>
    <x:row r="180" ht="21" customHeight="1">
      <x:c r="A180" s="7" t="n">
        <x:v>44958</x:v>
      </x:c>
      <x:c r="B180" s="2" t="str">
        <x:v>清水</x:v>
      </x:c>
      <x:c r="C180" s="2" t="str">
        <x:v>静岡県</x:v>
      </x:c>
      <x:c r="D180" s="8" t="n">
        <x:v>1356462</x:v>
      </x:c>
      <x:c r="E180" s="8" t="n">
        <x:v>294518</x:v>
      </x:c>
      <x:c r="F180" s="8" t="n">
        <x:v>517239</x:v>
      </x:c>
      <x:c r="G180" s="8" t="n">
        <x:v>177733</x:v>
      </x:c>
      <x:c r="H180" s="8" t="n">
        <x:v>366972</x:v>
      </x:c>
      <x:c r="I180" s="8" t="n">
        <x:v>40435</x:v>
      </x:c>
      <x:c r="J180" s="8" t="n">
        <x:v>17524</x:v>
      </x:c>
      <x:c r="K180" s="8" t="n">
        <x:v>14063</x:v>
      </x:c>
      <x:c r="L180" s="8" t="n">
        <x:v>4792</x:v>
      </x:c>
      <x:c r="M180" s="8" t="n">
        <x:v>4056</x:v>
      </x:c>
      <x:c r="N180" s="8" t="n">
        <x:v>0</x:v>
      </x:c>
      <x:c r="O180" s="8" t="n">
        <x:v>0</x:v>
      </x:c>
      <x:c r="P180" s="8" t="n">
        <x:v>0</x:v>
      </x:c>
      <x:c r="Q180" s="8" t="n">
        <x:v>1</x:v>
      </x:c>
      <x:c r="R180" s="8" t="n">
        <x:v>1</x:v>
      </x:c>
      <x:c r="S180" s="8" t="n">
        <x:v>452</x:v>
      </x:c>
      <x:c r="T180" s="8" t="n">
        <x:v>128</x:v>
      </x:c>
      <x:c r="U180" s="2" t="str">
        <x:v>2025年12月25日現在</x:v>
      </x:c>
      <x:c r="V180" s="2" t="str">
        <x:v>2025-12-25</x:v>
      </x:c>
      <x:c r="W180" s="2" t="str">
        <x:v>https://www.e-stat.go.jp/stat-search/file-download?statInfId=000040024002&amp;fileKind=0</x:v>
      </x:c>
      <x:c r="X180" s="2" t="str">
        <x:v>海上出入貨物!313行、コンテナ個数!58行</x:v>
      </x:c>
      <x:c r="Y180" s="2" t="str">
        <x:v>取得済</x:v>
      </x:c>
      <x:c r="Z180" s="9" t="n">
        <x:f>IF(AND(ISNUMBER(E180),COUNTIFS($A$2:$A$477,EDATE(A180,-12),$B$2:$B$477,B180,$E$2:$E$477,"&gt;0")=1),E180/SUMIFS($E$2:$E$477,$A$2:$A$477,EDATE(A180,-12),$B$2:$B$477,B180)-1,"")</x:f>
        <x:v>-0.14861966293758855</x:v>
      </x:c>
      <x:c r="AA180" s="10" t="n">
        <x:f>IF(COUNTIFS($A$2:$A$477,"&gt;="&amp;EDATE(A180,-2),$A$2:$A$477,"&lt;="&amp;A180,$B$2:$B$477,B180,$E$2:$E$477,"&gt;=0")=3,SUMIFS($E$2:$E$477,$A$2:$A$477,"&gt;="&amp;EDATE(A180,-2),$A$2:$A$477,"&lt;="&amp;A180,$B$2:$B$477,B180)/3,"")</x:f>
        <x:v>278867.6666666667</x:v>
      </x:c>
      <x:c r="AB180" s="9" t="n">
        <x:f>IF(AND(ISNUMBER(J180),COUNTIFS($A$2:$A$477,EDATE(A180,-12),$B$2:$B$477,B180,$J$2:$J$477,"&gt;0")=1),J180/SUMIFS($J$2:$J$477,$A$2:$A$477,EDATE(A180,-12),$B$2:$B$477,B180)-1,"")</x:f>
        <x:v>-0.11570873492455969</x:v>
      </x:c>
    </x:row>
    <x:row r="181" ht="21" customHeight="1">
      <x:c r="A181" s="7" t="n">
        <x:v>44958</x:v>
      </x:c>
      <x:c r="B181" s="2" t="str">
        <x:v>博多</x:v>
      </x:c>
      <x:c r="C181" s="2" t="str">
        <x:v>福岡県</x:v>
      </x:c>
      <x:c r="D181" s="8" t="n">
        <x:v>2571089</x:v>
      </x:c>
      <x:c r="E181" s="8" t="n">
        <x:v>576920</x:v>
      </x:c>
      <x:c r="F181" s="8" t="n">
        <x:v>639100</x:v>
      </x:c>
      <x:c r="G181" s="8" t="n">
        <x:v>422306</x:v>
      </x:c>
      <x:c r="H181" s="8" t="n">
        <x:v>932763</x:v>
      </x:c>
      <x:c r="I181" s="8" t="n">
        <x:v>72724</x:v>
      </x:c>
      <x:c r="J181" s="8" t="n">
        <x:v>32512</x:v>
      </x:c>
      <x:c r="K181" s="8" t="n">
        <x:v>28610</x:v>
      </x:c>
      <x:c r="L181" s="8" t="n">
        <x:v>5949</x:v>
      </x:c>
      <x:c r="M181" s="8" t="n">
        <x:v>5653</x:v>
      </x:c>
      <x:c r="N181" s="8" t="n">
        <x:v>0</x:v>
      </x:c>
      <x:c r="O181" s="8" t="n">
        <x:v>0</x:v>
      </x:c>
      <x:c r="P181" s="8" t="n">
        <x:v>1354</x:v>
      </x:c>
      <x:c r="Q181" s="8" t="n">
        <x:v>1259</x:v>
      </x:c>
      <x:c r="R181" s="8" t="n">
        <x:v>2613</x:v>
      </x:c>
      <x:c r="S181" s="8" t="n">
        <x:v>1453</x:v>
      </x:c>
      <x:c r="T181" s="8" t="n">
        <x:v>227</x:v>
      </x:c>
      <x:c r="U181" s="2" t="str">
        <x:v>2025年12月25日現在</x:v>
      </x:c>
      <x:c r="V181" s="2" t="str">
        <x:v>2025-12-25</x:v>
      </x:c>
      <x:c r="W181" s="2" t="str">
        <x:v>https://www.e-stat.go.jp/stat-search/file-download?statInfId=000040024002&amp;fileKind=0</x:v>
      </x:c>
      <x:c r="X181" s="2" t="str">
        <x:v>海上出入貨物!745行、コンテナ個数!130行</x:v>
      </x:c>
      <x:c r="Y181" s="2" t="str">
        <x:v>取得済</x:v>
      </x:c>
      <x:c r="Z181" s="9" t="n">
        <x:f>IF(AND(ISNUMBER(E181),COUNTIFS($A$2:$A$477,EDATE(A181,-12),$B$2:$B$477,B181,$E$2:$E$477,"&gt;0")=1),E181/SUMIFS($E$2:$E$477,$A$2:$A$477,EDATE(A181,-12),$B$2:$B$477,B181)-1,"")</x:f>
        <x:v>-0.12607608282372618</x:v>
      </x:c>
      <x:c r="AA181" s="10" t="n">
        <x:f>IF(COUNTIFS($A$2:$A$477,"&gt;="&amp;EDATE(A181,-2),$A$2:$A$477,"&lt;="&amp;A181,$B$2:$B$477,B181,$E$2:$E$477,"&gt;=0")=3,SUMIFS($E$2:$E$477,$A$2:$A$477,"&gt;="&amp;EDATE(A181,-2),$A$2:$A$477,"&lt;="&amp;A181,$B$2:$B$477,B181)/3,"")</x:f>
        <x:v>538850.3333333334</x:v>
      </x:c>
      <x:c r="AB181" s="9" t="n">
        <x:f>IF(AND(ISNUMBER(J181),COUNTIFS($A$2:$A$477,EDATE(A181,-12),$B$2:$B$477,B181,$J$2:$J$477,"&gt;0")=1),J181/SUMIFS($J$2:$J$477,$A$2:$A$477,EDATE(A181,-12),$B$2:$B$477,B181)-1,"")</x:f>
        <x:v>0.04958677685950419</x:v>
      </x:c>
    </x:row>
    <x:row r="182" ht="21" customHeight="1">
      <x:c r="A182" s="7" t="n">
        <x:v>44958</x:v>
      </x:c>
      <x:c r="B182" s="2" t="str">
        <x:v>熊本</x:v>
      </x:c>
      <x:c r="C182" s="2" t="str">
        <x:v>熊本県</x:v>
      </x:c>
      <x:c r="D182" s="8" t="n">
        <x:v>255434</x:v>
      </x:c>
      <x:c r="E182" s="8" t="n">
        <x:v>6610</x:v>
      </x:c>
      <x:c r="F182" s="8" t="n">
        <x:v>6765</x:v>
      </x:c>
      <x:c r="G182" s="8" t="n">
        <x:v>100115</x:v>
      </x:c>
      <x:c r="H182" s="8" t="n">
        <x:v>141944</x:v>
      </x:c>
      <x:c r="I182" s="8" t="n">
        <x:v>861</x:v>
      </x:c>
      <x:c r="J182" s="8" t="n">
        <x:v>394</x:v>
      </x:c>
      <x:c r="K182" s="8" t="n">
        <x:v>427</x:v>
      </x:c>
      <x:c r="L182" s="8" t="n">
        <x:v>40</x:v>
      </x:c>
      <x:c r="M182" s="8" t="n">
        <x:v>0</x:v>
      </x:c>
      <x:c r="N182" s="8" t="n">
        <x:v>0</x:v>
      </x:c>
      <x:c r="O182" s="8" t="n">
        <x:v>0</x:v>
      </x:c>
      <x:c r="P182" s="8" t="n">
        <x:v>614</x:v>
      </x:c>
      <x:c r="Q182" s="8" t="n">
        <x:v>643</x:v>
      </x:c>
      <x:c r="R182" s="8" t="n">
        <x:v>1257</x:v>
      </x:c>
      <x:c r="S182" s="8" t="n">
        <x:v>39</x:v>
      </x:c>
      <x:c r="T182" s="8" t="n">
        <x:v>9</x:v>
      </x:c>
      <x:c r="U182" s="2" t="str">
        <x:v>2025年12月25日現在</x:v>
      </x:c>
      <x:c r="V182" s="2" t="str">
        <x:v>2025-12-25</x:v>
      </x:c>
      <x:c r="W182" s="2" t="str">
        <x:v>https://www.e-stat.go.jp/stat-search/file-download?statInfId=000040024002&amp;fileKind=0</x:v>
      </x:c>
      <x:c r="X182" s="2" t="str">
        <x:v>海上出入貨物!859行、コンテナ個数!149行</x:v>
      </x:c>
      <x:c r="Y182" s="2" t="str">
        <x:v>取得済</x:v>
      </x:c>
      <x:c r="Z182" s="9" t="n">
        <x:f>IF(AND(ISNUMBER(E182),COUNTIFS($A$2:$A$477,EDATE(A182,-12),$B$2:$B$477,B182,$E$2:$E$477,"&gt;0")=1),E182/SUMIFS($E$2:$E$477,$A$2:$A$477,EDATE(A182,-12),$B$2:$B$477,B182)-1,"")</x:f>
        <x:v>0.3396838265099311</x:v>
      </x:c>
      <x:c r="AA182" s="10" t="n">
        <x:f>IF(COUNTIFS($A$2:$A$477,"&gt;="&amp;EDATE(A182,-2),$A$2:$A$477,"&lt;="&amp;A182,$B$2:$B$477,B182,$E$2:$E$477,"&gt;=0")=3,SUMIFS($E$2:$E$477,$A$2:$A$477,"&gt;="&amp;EDATE(A182,-2),$A$2:$A$477,"&lt;="&amp;A182,$B$2:$B$477,B182)/3,"")</x:f>
        <x:v>5273.333333333333</x:v>
      </x:c>
      <x:c r="AB182" s="9" t="n">
        <x:f>IF(AND(ISNUMBER(J182),COUNTIFS($A$2:$A$477,EDATE(A182,-12),$B$2:$B$477,B182,$J$2:$J$477,"&gt;0")=1),J182/SUMIFS($J$2:$J$477,$A$2:$A$477,EDATE(A182,-12),$B$2:$B$477,B182)-1,"")</x:f>
        <x:v>0.2875816993464053</x:v>
      </x:c>
    </x:row>
    <x:row r="183" ht="21" customHeight="1">
      <x:c r="A183" s="7" t="n">
        <x:v>44958</x:v>
      </x:c>
      <x:c r="B183" s="2" t="str">
        <x:v>八代</x:v>
      </x:c>
      <x:c r="C183" s="2" t="str">
        <x:v>熊本県</x:v>
      </x:c>
      <x:c r="D183" s="8" t="n">
        <x:v>331082</x:v>
      </x:c>
      <x:c r="E183" s="8" t="n">
        <x:v>18798</x:v>
      </x:c>
      <x:c r="F183" s="8" t="n">
        <x:v>109291</x:v>
      </x:c>
      <x:c r="G183" s="8" t="n">
        <x:v>19125</x:v>
      </x:c>
      <x:c r="H183" s="8" t="n">
        <x:v>183868</x:v>
      </x:c>
      <x:c r="I183" s="8" t="n">
        <x:v>3359</x:v>
      </x:c>
      <x:c r="J183" s="8" t="n">
        <x:v>1469</x:v>
      </x:c>
      <x:c r="K183" s="8" t="n">
        <x:v>1424</x:v>
      </x:c>
      <x:c r="L183" s="8" t="n">
        <x:v>230</x:v>
      </x:c>
      <x:c r="M183" s="8" t="n">
        <x:v>236</x:v>
      </x:c>
      <x:c r="N183" s="8" t="n">
        <x:v>0</x:v>
      </x:c>
      <x:c r="O183" s="8" t="n">
        <x:v>0</x:v>
      </x:c>
      <x:c r="P183" s="8" t="n">
        <x:v>0</x:v>
      </x:c>
      <x:c r="Q183" s="8" t="n">
        <x:v>0</x:v>
      </x:c>
      <x:c r="R183" s="8" t="n">
        <x:v>0</x:v>
      </x:c>
      <x:c r="S183" s="8" t="n">
        <x:v>224</x:v>
      </x:c>
      <x:c r="T183" s="8" t="n">
        <x:v>32</x:v>
      </x:c>
      <x:c r="U183" s="2" t="str">
        <x:v>2025年12月25日現在</x:v>
      </x:c>
      <x:c r="V183" s="2" t="str">
        <x:v>2025-12-25</x:v>
      </x:c>
      <x:c r="W183" s="2" t="str">
        <x:v>https://www.e-stat.go.jp/stat-search/file-download?statInfId=000040024002&amp;fileKind=0</x:v>
      </x:c>
      <x:c r="X183" s="2" t="str">
        <x:v>海上出入貨物!847行、コンテナ個数!147行</x:v>
      </x:c>
      <x:c r="Y183" s="2" t="str">
        <x:v>取得済</x:v>
      </x:c>
      <x:c r="Z183" s="9" t="n">
        <x:f>IF(AND(ISNUMBER(E183),COUNTIFS($A$2:$A$477,EDATE(A183,-12),$B$2:$B$477,B183,$E$2:$E$477,"&gt;0")=1),E183/SUMIFS($E$2:$E$477,$A$2:$A$477,EDATE(A183,-12),$B$2:$B$477,B183)-1,"")</x:f>
        <x:v>0.04805976806422829</x:v>
      </x:c>
      <x:c r="AA183" s="10" t="n">
        <x:f>IF(COUNTIFS($A$2:$A$477,"&gt;="&amp;EDATE(A183,-2),$A$2:$A$477,"&lt;="&amp;A183,$B$2:$B$477,B183,$E$2:$E$477,"&gt;=0")=3,SUMIFS($E$2:$E$477,$A$2:$A$477,"&gt;="&amp;EDATE(A183,-2),$A$2:$A$477,"&lt;="&amp;A183,$B$2:$B$477,B183)/3,"")</x:f>
        <x:v>19890.666666666668</x:v>
      </x:c>
      <x:c r="AB183" s="9" t="n">
        <x:f>IF(AND(ISNUMBER(J183),COUNTIFS($A$2:$A$477,EDATE(A183,-12),$B$2:$B$477,B183,$J$2:$J$477,"&gt;0")=1),J183/SUMIFS($J$2:$J$477,$A$2:$A$477,EDATE(A183,-12),$B$2:$B$477,B183)-1,"")</x:f>
        <x:v>0.8068880688806888</x:v>
      </x:c>
    </x:row>
    <x:row r="184" ht="21" customHeight="1">
      <x:c r="A184" s="7" t="n">
        <x:v>44986</x:v>
      </x:c>
      <x:c r="B184" s="2" t="str">
        <x:v>仙台塩釜</x:v>
      </x:c>
      <x:c r="C184" s="2" t="str">
        <x:v>宮城県</x:v>
      </x:c>
      <x:c r="D184" s="8" t="n">
        <x:v>3729091</x:v>
      </x:c>
      <x:c r="E184" s="8" t="n">
        <x:v>170451</x:v>
      </x:c>
      <x:c r="F184" s="8" t="n">
        <x:v>989187</x:v>
      </x:c>
      <x:c r="G184" s="8" t="n">
        <x:v>1197923</x:v>
      </x:c>
      <x:c r="H184" s="8" t="n">
        <x:v>1371530</x:v>
      </x:c>
      <x:c r="I184" s="8" t="n">
        <x:v>22528</x:v>
      </x:c>
      <x:c r="J184" s="8" t="n">
        <x:v>5285</x:v>
      </x:c>
      <x:c r="K184" s="8" t="n">
        <x:v>5417</x:v>
      </x:c>
      <x:c r="L184" s="8" t="n">
        <x:v>5939</x:v>
      </x:c>
      <x:c r="M184" s="8" t="n">
        <x:v>5887</x:v>
      </x:c>
      <x:c r="N184" s="8" t="n">
        <x:v>0</x:v>
      </x:c>
      <x:c r="O184" s="8" t="n">
        <x:v>0</x:v>
      </x:c>
      <x:c r="P184" s="8" t="n">
        <x:v>621</x:v>
      </x:c>
      <x:c r="Q184" s="8" t="n">
        <x:v>649</x:v>
      </x:c>
      <x:c r="R184" s="8" t="n">
        <x:v>1270</x:v>
      </x:c>
      <x:c r="S184" s="8" t="n">
        <x:v>2039</x:v>
      </x:c>
      <x:c r="T184" s="8" t="n">
        <x:v>106</x:v>
      </x:c>
      <x:c r="U184" s="2" t="str">
        <x:v>2025年12月25日現在</x:v>
      </x:c>
      <x:c r="V184" s="2" t="str">
        <x:v>2025-12-25</x:v>
      </x:c>
      <x:c r="W184" s="2" t="str">
        <x:v>https://www.e-stat.go.jp/stat-search/file-download?statInfId=000040024002&amp;fileKind=0</x:v>
      </x:c>
      <x:c r="X184" s="2" t="str">
        <x:v>海上出入貨物!139行、コンテナ個数!29行</x:v>
      </x:c>
      <x:c r="Y184" s="2" t="str">
        <x:v>取得済</x:v>
      </x:c>
      <x:c r="Z184" s="9" t="n">
        <x:f>IF(AND(ISNUMBER(E184),COUNTIFS($A$2:$A$477,EDATE(A184,-12),$B$2:$B$477,B184,$E$2:$E$477,"&gt;0")=1),E184/SUMIFS($E$2:$E$477,$A$2:$A$477,EDATE(A184,-12),$B$2:$B$477,B184)-1,"")</x:f>
        <x:v>0.3279033351251548</x:v>
      </x:c>
      <x:c r="AA184" s="10" t="n">
        <x:f>IF(COUNTIFS($A$2:$A$477,"&gt;="&amp;EDATE(A184,-2),$A$2:$A$477,"&lt;="&amp;A184,$B$2:$B$477,B184,$E$2:$E$477,"&gt;=0")=3,SUMIFS($E$2:$E$477,$A$2:$A$477,"&gt;="&amp;EDATE(A184,-2),$A$2:$A$477,"&lt;="&amp;A184,$B$2:$B$477,B184)/3,"")</x:f>
        <x:v>167221</x:v>
      </x:c>
      <x:c r="AB184" s="9" t="n">
        <x:f>IF(AND(ISNUMBER(J184),COUNTIFS($A$2:$A$477,EDATE(A184,-12),$B$2:$B$477,B184,$J$2:$J$477,"&gt;0")=1),J184/SUMIFS($J$2:$J$477,$A$2:$A$477,EDATE(A184,-12),$B$2:$B$477,B184)-1,"")</x:f>
        <x:v>-0.1661407384032818</x:v>
      </x:c>
    </x:row>
    <x:row r="185" ht="21" customHeight="1">
      <x:c r="A185" s="7" t="n">
        <x:v>44986</x:v>
      </x:c>
      <x:c r="B185" s="2" t="str">
        <x:v>東京</x:v>
      </x:c>
      <x:c r="C185" s="2" t="str">
        <x:v>東京都</x:v>
      </x:c>
      <x:c r="D185" s="8" t="n">
        <x:v>7463679</x:v>
      </x:c>
      <x:c r="E185" s="8" t="n">
        <x:v>964413</x:v>
      </x:c>
      <x:c r="F185" s="8" t="n">
        <x:v>3057345</x:v>
      </x:c>
      <x:c r="G185" s="8" t="n">
        <x:v>1335185</x:v>
      </x:c>
      <x:c r="H185" s="8" t="n">
        <x:v>2106736</x:v>
      </x:c>
      <x:c r="I185" s="8" t="n">
        <x:v>414194</x:v>
      </x:c>
      <x:c r="J185" s="8" t="n">
        <x:v>164622</x:v>
      </x:c>
      <x:c r="K185" s="8" t="n">
        <x:v>204035</x:v>
      </x:c>
      <x:c r="L185" s="8" t="n">
        <x:v>32363</x:v>
      </x:c>
      <x:c r="M185" s="8" t="n">
        <x:v>13174</x:v>
      </x:c>
      <x:c r="N185" s="8" t="n">
        <x:v>0</x:v>
      </x:c>
      <x:c r="O185" s="8" t="n">
        <x:v>0</x:v>
      </x:c>
      <x:c r="P185" s="8" t="n">
        <x:v>437</x:v>
      </x:c>
      <x:c r="Q185" s="8" t="n">
        <x:v>220</x:v>
      </x:c>
      <x:c r="R185" s="8" t="n">
        <x:v>657</x:v>
      </x:c>
      <x:c r="S185" s="8" t="n">
        <x:v>1811</x:v>
      </x:c>
      <x:c r="T185" s="8" t="n">
        <x:v>445</x:v>
      </x:c>
      <x:c r="U185" s="2" t="str">
        <x:v>2025年12月25日現在</x:v>
      </x:c>
      <x:c r="V185" s="2" t="str">
        <x:v>2025-12-25</x:v>
      </x:c>
      <x:c r="W185" s="2" t="str">
        <x:v>https://www.e-stat.go.jp/stat-search/file-download?statInfId=000040024002&amp;fileKind=0</x:v>
      </x:c>
      <x:c r="X185" s="2" t="str">
        <x:v>海上出入貨物!205行、コンテナ個数!40行</x:v>
      </x:c>
      <x:c r="Y185" s="2" t="str">
        <x:v>取得済</x:v>
      </x:c>
      <x:c r="Z185" s="9" t="n">
        <x:f>IF(AND(ISNUMBER(E185),COUNTIFS($A$2:$A$477,EDATE(A185,-12),$B$2:$B$477,B185,$E$2:$E$477,"&gt;0")=1),E185/SUMIFS($E$2:$E$477,$A$2:$A$477,EDATE(A185,-12),$B$2:$B$477,B185)-1,"")</x:f>
        <x:v>-0.12106757317123185</x:v>
      </x:c>
      <x:c r="AA185" s="10" t="n">
        <x:f>IF(COUNTIFS($A$2:$A$477,"&gt;="&amp;EDATE(A185,-2),$A$2:$A$477,"&lt;="&amp;A185,$B$2:$B$477,B185,$E$2:$E$477,"&gt;=0")=3,SUMIFS($E$2:$E$477,$A$2:$A$477,"&gt;="&amp;EDATE(A185,-2),$A$2:$A$477,"&lt;="&amp;A185,$B$2:$B$477,B185)/3,"")</x:f>
        <x:v>903399.6666666666</x:v>
      </x:c>
      <x:c r="AB185" s="9" t="n">
        <x:f>IF(AND(ISNUMBER(J185),COUNTIFS($A$2:$A$477,EDATE(A185,-12),$B$2:$B$477,B185,$J$2:$J$477,"&gt;0")=1),J185/SUMIFS($J$2:$J$477,$A$2:$A$477,EDATE(A185,-12),$B$2:$B$477,B185)-1,"")</x:f>
        <x:v>0.0034867418469979317</x:v>
      </x:c>
    </x:row>
    <x:row r="186" ht="21" customHeight="1">
      <x:c r="A186" s="7" t="n">
        <x:v>44986</x:v>
      </x:c>
      <x:c r="B186" s="2" t="str">
        <x:v>横浜</x:v>
      </x:c>
      <x:c r="C186" s="2" t="str">
        <x:v>神奈川県</x:v>
      </x:c>
      <x:c r="D186" s="8" t="n">
        <x:v>8981438</x:v>
      </x:c>
      <x:c r="E186" s="8" t="n">
        <x:v>2547378</x:v>
      </x:c>
      <x:c r="F186" s="8" t="n">
        <x:v>3406286</x:v>
      </x:c>
      <x:c r="G186" s="8" t="n">
        <x:v>1138148</x:v>
      </x:c>
      <x:c r="H186" s="8" t="n">
        <x:v>1889626</x:v>
      </x:c>
      <x:c r="I186" s="8" t="n">
        <x:v>262241</x:v>
      </x:c>
      <x:c r="J186" s="8" t="n">
        <x:v>122471</x:v>
      </x:c>
      <x:c r="K186" s="8" t="n">
        <x:v>110726</x:v>
      </x:c>
      <x:c r="L186" s="8" t="n">
        <x:v>13138</x:v>
      </x:c>
      <x:c r="M186" s="8" t="n">
        <x:v>15906</x:v>
      </x:c>
      <x:c r="N186" s="8" t="n">
        <x:v>0</x:v>
      </x:c>
      <x:c r="O186" s="8" t="n">
        <x:v>0</x:v>
      </x:c>
      <x:c r="P186" s="8" t="n">
        <x:v>0</x:v>
      </x:c>
      <x:c r="Q186" s="8" t="n">
        <x:v>0</x:v>
      </x:c>
      <x:c r="R186" s="8" t="n">
        <x:v>0</x:v>
      </x:c>
      <x:c r="S186" s="8" t="n">
        <x:v>2373</x:v>
      </x:c>
      <x:c r="T186" s="8" t="n">
        <x:v>779</x:v>
      </x:c>
      <x:c r="U186" s="2" t="str">
        <x:v>2025年12月25日現在</x:v>
      </x:c>
      <x:c r="V186" s="2" t="str">
        <x:v>2025-12-25</x:v>
      </x:c>
      <x:c r="W186" s="2" t="str">
        <x:v>https://www.e-stat.go.jp/stat-search/file-download?statInfId=000040024002&amp;fileKind=0</x:v>
      </x:c>
      <x:c r="X186" s="2" t="str">
        <x:v>海上出入貨物!217行、コンテナ個数!42行</x:v>
      </x:c>
      <x:c r="Y186" s="2" t="str">
        <x:v>取得済</x:v>
      </x:c>
      <x:c r="Z186" s="9" t="n">
        <x:f>IF(AND(ISNUMBER(E186),COUNTIFS($A$2:$A$477,EDATE(A186,-12),$B$2:$B$477,B186,$E$2:$E$477,"&gt;0")=1),E186/SUMIFS($E$2:$E$477,$A$2:$A$477,EDATE(A186,-12),$B$2:$B$477,B186)-1,"")</x:f>
        <x:v>-0.028191984288573835</x:v>
      </x:c>
      <x:c r="AA186" s="10" t="n">
        <x:f>IF(COUNTIFS($A$2:$A$477,"&gt;="&amp;EDATE(A186,-2),$A$2:$A$477,"&lt;="&amp;A186,$B$2:$B$477,B186,$E$2:$E$477,"&gt;=0")=3,SUMIFS($E$2:$E$477,$A$2:$A$477,"&gt;="&amp;EDATE(A186,-2),$A$2:$A$477,"&lt;="&amp;A186,$B$2:$B$477,B186)/3,"")</x:f>
        <x:v>2251367.3333333335</x:v>
      </x:c>
      <x:c r="AB186" s="9" t="n">
        <x:f>IF(AND(ISNUMBER(J186),COUNTIFS($A$2:$A$477,EDATE(A186,-12),$B$2:$B$477,B186,$J$2:$J$477,"&gt;0")=1),J186/SUMIFS($J$2:$J$477,$A$2:$A$477,EDATE(A186,-12),$B$2:$B$477,B186)-1,"")</x:f>
        <x:v>0.017040500253282298</x:v>
      </x:c>
    </x:row>
    <x:row r="187" ht="21" customHeight="1">
      <x:c r="A187" s="7" t="n">
        <x:v>44986</x:v>
      </x:c>
      <x:c r="B187" s="2" t="str">
        <x:v>清水</x:v>
      </x:c>
      <x:c r="C187" s="2" t="str">
        <x:v>静岡県</x:v>
      </x:c>
      <x:c r="D187" s="8" t="n">
        <x:v>1436987</x:v>
      </x:c>
      <x:c r="E187" s="8" t="n">
        <x:v>295463</x:v>
      </x:c>
      <x:c r="F187" s="8" t="n">
        <x:v>532399</x:v>
      </x:c>
      <x:c r="G187" s="8" t="n">
        <x:v>164851</x:v>
      </x:c>
      <x:c r="H187" s="8" t="n">
        <x:v>444274</x:v>
      </x:c>
      <x:c r="I187" s="8" t="n">
        <x:v>47159</x:v>
      </x:c>
      <x:c r="J187" s="8" t="n">
        <x:v>18629</x:v>
      </x:c>
      <x:c r="K187" s="8" t="n">
        <x:v>18909</x:v>
      </x:c>
      <x:c r="L187" s="8" t="n">
        <x:v>4466</x:v>
      </x:c>
      <x:c r="M187" s="8" t="n">
        <x:v>5155</x:v>
      </x:c>
      <x:c r="N187" s="8" t="n">
        <x:v>0</x:v>
      </x:c>
      <x:c r="O187" s="8" t="n">
        <x:v>0</x:v>
      </x:c>
      <x:c r="P187" s="8" t="n">
        <x:v>4</x:v>
      </x:c>
      <x:c r="Q187" s="8" t="n">
        <x:v>3</x:v>
      </x:c>
      <x:c r="R187" s="8" t="n">
        <x:v>7</x:v>
      </x:c>
      <x:c r="S187" s="8" t="n">
        <x:v>490</x:v>
      </x:c>
      <x:c r="T187" s="8" t="n">
        <x:v>149</x:v>
      </x:c>
      <x:c r="U187" s="2" t="str">
        <x:v>2025年12月25日現在</x:v>
      </x:c>
      <x:c r="V187" s="2" t="str">
        <x:v>2025-12-25</x:v>
      </x:c>
      <x:c r="W187" s="2" t="str">
        <x:v>https://www.e-stat.go.jp/stat-search/file-download?statInfId=000040024002&amp;fileKind=0</x:v>
      </x:c>
      <x:c r="X187" s="2" t="str">
        <x:v>海上出入貨物!313行、コンテナ個数!58行</x:v>
      </x:c>
      <x:c r="Y187" s="2" t="str">
        <x:v>取得済</x:v>
      </x:c>
      <x:c r="Z187" s="9" t="n">
        <x:f>IF(AND(ISNUMBER(E187),COUNTIFS($A$2:$A$477,EDATE(A187,-12),$B$2:$B$477,B187,$E$2:$E$477,"&gt;0")=1),E187/SUMIFS($E$2:$E$477,$A$2:$A$477,EDATE(A187,-12),$B$2:$B$477,B187)-1,"")</x:f>
        <x:v>-0.18074637667094595</x:v>
      </x:c>
      <x:c r="AA187" s="10" t="n">
        <x:f>IF(COUNTIFS($A$2:$A$477,"&gt;="&amp;EDATE(A187,-2),$A$2:$A$477,"&lt;="&amp;A187,$B$2:$B$477,B187,$E$2:$E$477,"&gt;=0")=3,SUMIFS($E$2:$E$477,$A$2:$A$477,"&gt;="&amp;EDATE(A187,-2),$A$2:$A$477,"&lt;="&amp;A187,$B$2:$B$477,B187)/3,"")</x:f>
        <x:v>271366</x:v>
      </x:c>
      <x:c r="AB187" s="9" t="n">
        <x:f>IF(AND(ISNUMBER(J187),COUNTIFS($A$2:$A$477,EDATE(A187,-12),$B$2:$B$477,B187,$J$2:$J$477,"&gt;0")=1),J187/SUMIFS($J$2:$J$477,$A$2:$A$477,EDATE(A187,-12),$B$2:$B$477,B187)-1,"")</x:f>
        <x:v>-0.1181120999810642</x:v>
      </x:c>
    </x:row>
    <x:row r="188" ht="21" customHeight="1">
      <x:c r="A188" s="7" t="n">
        <x:v>44986</x:v>
      </x:c>
      <x:c r="B188" s="2" t="str">
        <x:v>博多</x:v>
      </x:c>
      <x:c r="C188" s="2" t="str">
        <x:v>福岡県</x:v>
      </x:c>
      <x:c r="D188" s="8" t="n">
        <x:v>2972019</x:v>
      </x:c>
      <x:c r="E188" s="8" t="n">
        <x:v>601593</x:v>
      </x:c>
      <x:c r="F188" s="8" t="n">
        <x:v>871529</x:v>
      </x:c>
      <x:c r="G188" s="8" t="n">
        <x:v>480728</x:v>
      </x:c>
      <x:c r="H188" s="8" t="n">
        <x:v>1018169</x:v>
      </x:c>
      <x:c r="I188" s="8" t="n">
        <x:v>88011</x:v>
      </x:c>
      <x:c r="J188" s="8" t="n">
        <x:v>36577</x:v>
      </x:c>
      <x:c r="K188" s="8" t="n">
        <x:v>37655</x:v>
      </x:c>
      <x:c r="L188" s="8" t="n">
        <x:v>6069</x:v>
      </x:c>
      <x:c r="M188" s="8" t="n">
        <x:v>7710</x:v>
      </x:c>
      <x:c r="N188" s="8" t="n">
        <x:v>0</x:v>
      </x:c>
      <x:c r="O188" s="8" t="n">
        <x:v>0</x:v>
      </x:c>
      <x:c r="P188" s="8" t="n">
        <x:v>1613</x:v>
      </x:c>
      <x:c r="Q188" s="8" t="n">
        <x:v>1415</x:v>
      </x:c>
      <x:c r="R188" s="8" t="n">
        <x:v>3028</x:v>
      </x:c>
      <x:c r="S188" s="8" t="n">
        <x:v>1692</x:v>
      </x:c>
      <x:c r="T188" s="8" t="n">
        <x:v>278</x:v>
      </x:c>
      <x:c r="U188" s="2" t="str">
        <x:v>2025年12月25日現在</x:v>
      </x:c>
      <x:c r="V188" s="2" t="str">
        <x:v>2025-12-25</x:v>
      </x:c>
      <x:c r="W188" s="2" t="str">
        <x:v>https://www.e-stat.go.jp/stat-search/file-download?statInfId=000040024002&amp;fileKind=0</x:v>
      </x:c>
      <x:c r="X188" s="2" t="str">
        <x:v>海上出入貨物!745行、コンテナ個数!130行</x:v>
      </x:c>
      <x:c r="Y188" s="2" t="str">
        <x:v>取得済</x:v>
      </x:c>
      <x:c r="Z188" s="9" t="n">
        <x:f>IF(AND(ISNUMBER(E188),COUNTIFS($A$2:$A$477,EDATE(A188,-12),$B$2:$B$477,B188,$E$2:$E$477,"&gt;0")=1),E188/SUMIFS($E$2:$E$477,$A$2:$A$477,EDATE(A188,-12),$B$2:$B$477,B188)-1,"")</x:f>
        <x:v>-0.1648114417721308</x:v>
      </x:c>
      <x:c r="AA188" s="10" t="n">
        <x:f>IF(COUNTIFS($A$2:$A$477,"&gt;="&amp;EDATE(A188,-2),$A$2:$A$477,"&lt;="&amp;A188,$B$2:$B$477,B188,$E$2:$E$477,"&gt;=0")=3,SUMIFS($E$2:$E$477,$A$2:$A$477,"&gt;="&amp;EDATE(A188,-2),$A$2:$A$477,"&lt;="&amp;A188,$B$2:$B$477,B188)/3,"")</x:f>
        <x:v>544294</x:v>
      </x:c>
      <x:c r="AB188" s="9" t="n">
        <x:f>IF(AND(ISNUMBER(J188),COUNTIFS($A$2:$A$477,EDATE(A188,-12),$B$2:$B$477,B188,$J$2:$J$477,"&gt;0")=1),J188/SUMIFS($J$2:$J$477,$A$2:$A$477,EDATE(A188,-12),$B$2:$B$477,B188)-1,"")</x:f>
        <x:v>0.03251940719830637</x:v>
      </x:c>
    </x:row>
    <x:row r="189" ht="21" customHeight="1">
      <x:c r="A189" s="7" t="n">
        <x:v>44986</x:v>
      </x:c>
      <x:c r="B189" s="2" t="str">
        <x:v>熊本</x:v>
      </x:c>
      <x:c r="C189" s="2" t="str">
        <x:v>熊本県</x:v>
      </x:c>
      <x:c r="D189" s="8" t="n">
        <x:v>305390</x:v>
      </x:c>
      <x:c r="E189" s="8" t="n">
        <x:v>6748</x:v>
      </x:c>
      <x:c r="F189" s="8" t="n">
        <x:v>5819</x:v>
      </x:c>
      <x:c r="G189" s="8" t="n">
        <x:v>111709</x:v>
      </x:c>
      <x:c r="H189" s="8" t="n">
        <x:v>181114</x:v>
      </x:c>
      <x:c r="I189" s="8" t="n">
        <x:v>816</x:v>
      </x:c>
      <x:c r="J189" s="8" t="n">
        <x:v>407</x:v>
      </x:c>
      <x:c r="K189" s="8" t="n">
        <x:v>325</x:v>
      </x:c>
      <x:c r="L189" s="8" t="n">
        <x:v>60</x:v>
      </x:c>
      <x:c r="M189" s="8" t="n">
        <x:v>24</x:v>
      </x:c>
      <x:c r="N189" s="8" t="n">
        <x:v>0</x:v>
      </x:c>
      <x:c r="O189" s="8" t="n">
        <x:v>0</x:v>
      </x:c>
      <x:c r="P189" s="8" t="n">
        <x:v>731</x:v>
      </x:c>
      <x:c r="Q189" s="8" t="n">
        <x:v>766</x:v>
      </x:c>
      <x:c r="R189" s="8" t="n">
        <x:v>1497</x:v>
      </x:c>
      <x:c r="S189" s="8" t="n">
        <x:v>38</x:v>
      </x:c>
      <x:c r="T189" s="8" t="n">
        <x:v>8</x:v>
      </x:c>
      <x:c r="U189" s="2" t="str">
        <x:v>2025年12月25日現在</x:v>
      </x:c>
      <x:c r="V189" s="2" t="str">
        <x:v>2025-12-25</x:v>
      </x:c>
      <x:c r="W189" s="2" t="str">
        <x:v>https://www.e-stat.go.jp/stat-search/file-download?statInfId=000040024002&amp;fileKind=0</x:v>
      </x:c>
      <x:c r="X189" s="2" t="str">
        <x:v>海上出入貨物!859行、コンテナ個数!149行</x:v>
      </x:c>
      <x:c r="Y189" s="2" t="str">
        <x:v>取得済</x:v>
      </x:c>
      <x:c r="Z189" s="9" t="n">
        <x:f>IF(AND(ISNUMBER(E189),COUNTIFS($A$2:$A$477,EDATE(A189,-12),$B$2:$B$477,B189,$E$2:$E$477,"&gt;0")=1),E189/SUMIFS($E$2:$E$477,$A$2:$A$477,EDATE(A189,-12),$B$2:$B$477,B189)-1,"")</x:f>
        <x:v>0.6170620656601964</x:v>
      </x:c>
      <x:c r="AA189" s="10" t="n">
        <x:f>IF(COUNTIFS($A$2:$A$477,"&gt;="&amp;EDATE(A189,-2),$A$2:$A$477,"&lt;="&amp;A189,$B$2:$B$477,B189,$E$2:$E$477,"&gt;=0")=3,SUMIFS($E$2:$E$477,$A$2:$A$477,"&gt;="&amp;EDATE(A189,-2),$A$2:$A$477,"&lt;="&amp;A189,$B$2:$B$477,B189)/3,"")</x:f>
        <x:v>5653</x:v>
      </x:c>
      <x:c r="AB189" s="9" t="n">
        <x:f>IF(AND(ISNUMBER(J189),COUNTIFS($A$2:$A$477,EDATE(A189,-12),$B$2:$B$477,B189,$J$2:$J$477,"&gt;0")=1),J189/SUMIFS($J$2:$J$477,$A$2:$A$477,EDATE(A189,-12),$B$2:$B$477,B189)-1,"")</x:f>
        <x:v>0.9018691588785046</x:v>
      </x:c>
    </x:row>
    <x:row r="190" ht="21" customHeight="1">
      <x:c r="A190" s="7" t="n">
        <x:v>44986</x:v>
      </x:c>
      <x:c r="B190" s="2" t="str">
        <x:v>八代</x:v>
      </x:c>
      <x:c r="C190" s="2" t="str">
        <x:v>熊本県</x:v>
      </x:c>
      <x:c r="D190" s="8" t="n">
        <x:v>339135</x:v>
      </x:c>
      <x:c r="E190" s="8" t="n">
        <x:v>26124</x:v>
      </x:c>
      <x:c r="F190" s="8" t="n">
        <x:v>76869</x:v>
      </x:c>
      <x:c r="G190" s="8" t="n">
        <x:v>27569</x:v>
      </x:c>
      <x:c r="H190" s="8" t="n">
        <x:v>208573</x:v>
      </x:c>
      <x:c r="I190" s="8" t="n">
        <x:v>3651</x:v>
      </x:c>
      <x:c r="J190" s="8" t="n">
        <x:v>1802</x:v>
      </x:c>
      <x:c r="K190" s="8" t="n">
        <x:v>1328</x:v>
      </x:c>
      <x:c r="L190" s="8" t="n">
        <x:v>138</x:v>
      </x:c>
      <x:c r="M190" s="8" t="n">
        <x:v>383</x:v>
      </x:c>
      <x:c r="N190" s="8" t="n">
        <x:v>0</x:v>
      </x:c>
      <x:c r="O190" s="8" t="n">
        <x:v>0</x:v>
      </x:c>
      <x:c r="P190" s="8" t="n">
        <x:v>0</x:v>
      </x:c>
      <x:c r="Q190" s="8" t="n">
        <x:v>0</x:v>
      </x:c>
      <x:c r="R190" s="8" t="n">
        <x:v>0</x:v>
      </x:c>
      <x:c r="S190" s="8" t="n">
        <x:v>256</x:v>
      </x:c>
      <x:c r="T190" s="8" t="n">
        <x:v>38</x:v>
      </x:c>
      <x:c r="U190" s="2" t="str">
        <x:v>2025年12月25日現在</x:v>
      </x:c>
      <x:c r="V190" s="2" t="str">
        <x:v>2025-12-25</x:v>
      </x:c>
      <x:c r="W190" s="2" t="str">
        <x:v>https://www.e-stat.go.jp/stat-search/file-download?statInfId=000040024002&amp;fileKind=0</x:v>
      </x:c>
      <x:c r="X190" s="2" t="str">
        <x:v>海上出入貨物!847行、コンテナ個数!147行</x:v>
      </x:c>
      <x:c r="Y190" s="2" t="str">
        <x:v>取得済</x:v>
      </x:c>
      <x:c r="Z190" s="9" t="n">
        <x:f>IF(AND(ISNUMBER(E190),COUNTIFS($A$2:$A$477,EDATE(A190,-12),$B$2:$B$477,B190,$E$2:$E$477,"&gt;0")=1),E190/SUMIFS($E$2:$E$477,$A$2:$A$477,EDATE(A190,-12),$B$2:$B$477,B190)-1,"")</x:f>
        <x:v>0.8501416430594901</x:v>
      </x:c>
      <x:c r="AA190" s="10" t="n">
        <x:f>IF(COUNTIFS($A$2:$A$477,"&gt;="&amp;EDATE(A190,-2),$A$2:$A$477,"&lt;="&amp;A190,$B$2:$B$477,B190,$E$2:$E$477,"&gt;=0")=3,SUMIFS($E$2:$E$477,$A$2:$A$477,"&gt;="&amp;EDATE(A190,-2),$A$2:$A$477,"&lt;="&amp;A190,$B$2:$B$477,B190)/3,"")</x:f>
        <x:v>20954.333333333332</x:v>
      </x:c>
      <x:c r="AB190" s="9" t="n">
        <x:f>IF(AND(ISNUMBER(J190),COUNTIFS($A$2:$A$477,EDATE(A190,-12),$B$2:$B$477,B190,$J$2:$J$477,"&gt;0")=1),J190/SUMIFS($J$2:$J$477,$A$2:$A$477,EDATE(A190,-12),$B$2:$B$477,B190)-1,"")</x:f>
        <x:v>0.6352087114337568</x:v>
      </x:c>
    </x:row>
    <x:row r="191" ht="21" customHeight="1">
      <x:c r="A191" s="7" t="n">
        <x:v>45017</x:v>
      </x:c>
      <x:c r="B191" s="2" t="str">
        <x:v>仙台塩釜</x:v>
      </x:c>
      <x:c r="C191" s="2" t="str">
        <x:v>宮城県</x:v>
      </x:c>
      <x:c r="D191" s="8" t="n">
        <x:v>3416686</x:v>
      </x:c>
      <x:c r="E191" s="8" t="n">
        <x:v>91958</x:v>
      </x:c>
      <x:c r="F191" s="8" t="n">
        <x:v>969936</x:v>
      </x:c>
      <x:c r="G191" s="8" t="n">
        <x:v>1125438</x:v>
      </x:c>
      <x:c r="H191" s="8" t="n">
        <x:v>1229354</x:v>
      </x:c>
      <x:c r="I191" s="8" t="n">
        <x:v>19894</x:v>
      </x:c>
      <x:c r="J191" s="8" t="n">
        <x:v>4824</x:v>
      </x:c>
      <x:c r="K191" s="8" t="n">
        <x:v>4916</x:v>
      </x:c>
      <x:c r="L191" s="8" t="n">
        <x:v>5484</x:v>
      </x:c>
      <x:c r="M191" s="8" t="n">
        <x:v>4670</x:v>
      </x:c>
      <x:c r="N191" s="8" t="n">
        <x:v>0</x:v>
      </x:c>
      <x:c r="O191" s="8" t="n">
        <x:v>0</x:v>
      </x:c>
      <x:c r="P191" s="8" t="n">
        <x:v>612</x:v>
      </x:c>
      <x:c r="Q191" s="8" t="n">
        <x:v>645</x:v>
      </x:c>
      <x:c r="R191" s="8" t="n">
        <x:v>1257</x:v>
      </x:c>
      <x:c r="S191" s="8" t="n">
        <x:v>1970</x:v>
      </x:c>
      <x:c r="T191" s="8" t="n">
        <x:v>88</x:v>
      </x:c>
      <x:c r="U191" s="2" t="str">
        <x:v>2025年12月25日現在</x:v>
      </x:c>
      <x:c r="V191" s="2" t="str">
        <x:v>2025-12-25</x:v>
      </x:c>
      <x:c r="W191" s="2" t="str">
        <x:v>https://www.e-stat.go.jp/stat-search/file-download?statInfId=000040024002&amp;fileKind=0</x:v>
      </x:c>
      <x:c r="X191" s="2" t="str">
        <x:v>海上出入貨物!139行、コンテナ個数!29行</x:v>
      </x:c>
      <x:c r="Y191" s="2" t="str">
        <x:v>取得済</x:v>
      </x:c>
      <x:c r="Z191" s="9" t="n">
        <x:f>IF(AND(ISNUMBER(E191),COUNTIFS($A$2:$A$477,EDATE(A191,-12),$B$2:$B$477,B191,$E$2:$E$477,"&gt;0")=1),E191/SUMIFS($E$2:$E$477,$A$2:$A$477,EDATE(A191,-12),$B$2:$B$477,B191)-1,"")</x:f>
        <x:v>0.10060800459594033</x:v>
      </x:c>
      <x:c r="AA191" s="10" t="n">
        <x:f>IF(COUNTIFS($A$2:$A$477,"&gt;="&amp;EDATE(A191,-2),$A$2:$A$477,"&lt;="&amp;A191,$B$2:$B$477,B191,$E$2:$E$477,"&gt;=0")=3,SUMIFS($E$2:$E$477,$A$2:$A$477,"&gt;="&amp;EDATE(A191,-2),$A$2:$A$477,"&lt;="&amp;A191,$B$2:$B$477,B191)/3,"")</x:f>
        <x:v>151444</x:v>
      </x:c>
      <x:c r="AB191" s="9" t="n">
        <x:f>IF(AND(ISNUMBER(J191),COUNTIFS($A$2:$A$477,EDATE(A191,-12),$B$2:$B$477,B191,$J$2:$J$477,"&gt;0")=1),J191/SUMIFS($J$2:$J$477,$A$2:$A$477,EDATE(A191,-12),$B$2:$B$477,B191)-1,"")</x:f>
        <x:v>-0.08184240578606772</x:v>
      </x:c>
    </x:row>
    <x:row r="192" ht="21" customHeight="1">
      <x:c r="A192" s="7" t="n">
        <x:v>45017</x:v>
      </x:c>
      <x:c r="B192" s="2" t="str">
        <x:v>東京</x:v>
      </x:c>
      <x:c r="C192" s="2" t="str">
        <x:v>東京都</x:v>
      </x:c>
      <x:c r="D192" s="8" t="n">
        <x:v>6881323</x:v>
      </x:c>
      <x:c r="E192" s="8" t="n">
        <x:v>1036576</x:v>
      </x:c>
      <x:c r="F192" s="8" t="n">
        <x:v>2749556</x:v>
      </x:c>
      <x:c r="G192" s="8" t="n">
        <x:v>1166733</x:v>
      </x:c>
      <x:c r="H192" s="8" t="n">
        <x:v>1928458</x:v>
      </x:c>
      <x:c r="I192" s="8" t="n">
        <x:v>390084</x:v>
      </x:c>
      <x:c r="J192" s="8" t="n">
        <x:v>168050</x:v>
      </x:c>
      <x:c r="K192" s="8" t="n">
        <x:v>182122</x:v>
      </x:c>
      <x:c r="L192" s="8" t="n">
        <x:v>26835</x:v>
      </x:c>
      <x:c r="M192" s="8" t="n">
        <x:v>13077</x:v>
      </x:c>
      <x:c r="N192" s="8" t="n">
        <x:v>0</x:v>
      </x:c>
      <x:c r="O192" s="8" t="n">
        <x:v>0</x:v>
      </x:c>
      <x:c r="P192" s="8" t="n">
        <x:v>338</x:v>
      </x:c>
      <x:c r="Q192" s="8" t="n">
        <x:v>176</x:v>
      </x:c>
      <x:c r="R192" s="8" t="n">
        <x:v>514</x:v>
      </x:c>
      <x:c r="S192" s="8" t="n">
        <x:v>1577</x:v>
      </x:c>
      <x:c r="T192" s="8" t="n">
        <x:v>410</x:v>
      </x:c>
      <x:c r="U192" s="2" t="str">
        <x:v>2025年12月25日現在</x:v>
      </x:c>
      <x:c r="V192" s="2" t="str">
        <x:v>2025-12-25</x:v>
      </x:c>
      <x:c r="W192" s="2" t="str">
        <x:v>https://www.e-stat.go.jp/stat-search/file-download?statInfId=000040024002&amp;fileKind=0</x:v>
      </x:c>
      <x:c r="X192" s="2" t="str">
        <x:v>海上出入貨物!205行、コンテナ個数!40行</x:v>
      </x:c>
      <x:c r="Y192" s="2" t="str">
        <x:v>取得済</x:v>
      </x:c>
      <x:c r="Z192" s="9" t="n">
        <x:f>IF(AND(ISNUMBER(E192),COUNTIFS($A$2:$A$477,EDATE(A192,-12),$B$2:$B$477,B192,$E$2:$E$477,"&gt;0")=1),E192/SUMIFS($E$2:$E$477,$A$2:$A$477,EDATE(A192,-12),$B$2:$B$477,B192)-1,"")</x:f>
        <x:v>-0.029410497890421827</x:v>
      </x:c>
      <x:c r="AA192" s="10" t="n">
        <x:f>IF(COUNTIFS($A$2:$A$477,"&gt;="&amp;EDATE(A192,-2),$A$2:$A$477,"&lt;="&amp;A192,$B$2:$B$477,B192,$E$2:$E$477,"&gt;=0")=3,SUMIFS($E$2:$E$477,$A$2:$A$477,"&gt;="&amp;EDATE(A192,-2),$A$2:$A$477,"&lt;="&amp;A192,$B$2:$B$477,B192)/3,"")</x:f>
        <x:v>991245.6666666666</x:v>
      </x:c>
      <x:c r="AB192" s="9" t="n">
        <x:f>IF(AND(ISNUMBER(J192),COUNTIFS($A$2:$A$477,EDATE(A192,-12),$B$2:$B$477,B192,$J$2:$J$477,"&gt;0")=1),J192/SUMIFS($J$2:$J$477,$A$2:$A$477,EDATE(A192,-12),$B$2:$B$477,B192)-1,"")</x:f>
        <x:v>0.023166610855733794</x:v>
      </x:c>
    </x:row>
    <x:row r="193" ht="21" customHeight="1">
      <x:c r="A193" s="7" t="n">
        <x:v>45017</x:v>
      </x:c>
      <x:c r="B193" s="2" t="str">
        <x:v>横浜</x:v>
      </x:c>
      <x:c r="C193" s="2" t="str">
        <x:v>神奈川県</x:v>
      </x:c>
      <x:c r="D193" s="8" t="n">
        <x:v>7788551</x:v>
      </x:c>
      <x:c r="E193" s="8" t="n">
        <x:v>2257265</x:v>
      </x:c>
      <x:c r="F193" s="8" t="n">
        <x:v>3413434</x:v>
      </x:c>
      <x:c r="G193" s="8" t="n">
        <x:v>1011524</x:v>
      </x:c>
      <x:c r="H193" s="8" t="n">
        <x:v>1106328</x:v>
      </x:c>
      <x:c r="I193" s="8" t="n">
        <x:v>248285</x:v>
      </x:c>
      <x:c r="J193" s="8" t="n">
        <x:v>117422</x:v>
      </x:c>
      <x:c r="K193" s="8" t="n">
        <x:v>102634</x:v>
      </x:c>
      <x:c r="L193" s="8" t="n">
        <x:v>13287</x:v>
      </x:c>
      <x:c r="M193" s="8" t="n">
        <x:v>14942</x:v>
      </x:c>
      <x:c r="N193" s="8" t="n">
        <x:v>0</x:v>
      </x:c>
      <x:c r="O193" s="8" t="n">
        <x:v>0</x:v>
      </x:c>
      <x:c r="P193" s="8" t="n">
        <x:v>0</x:v>
      </x:c>
      <x:c r="Q193" s="8" t="n">
        <x:v>0</x:v>
      </x:c>
      <x:c r="R193" s="8" t="n">
        <x:v>0</x:v>
      </x:c>
      <x:c r="S193" s="8" t="n">
        <x:v>2011</x:v>
      </x:c>
      <x:c r="T193" s="8" t="n">
        <x:v>711</x:v>
      </x:c>
      <x:c r="U193" s="2" t="str">
        <x:v>2025年12月25日現在</x:v>
      </x:c>
      <x:c r="V193" s="2" t="str">
        <x:v>2025-12-25</x:v>
      </x:c>
      <x:c r="W193" s="2" t="str">
        <x:v>https://www.e-stat.go.jp/stat-search/file-download?statInfId=000040024002&amp;fileKind=0</x:v>
      </x:c>
      <x:c r="X193" s="2" t="str">
        <x:v>海上出入貨物!217行、コンテナ個数!42行</x:v>
      </x:c>
      <x:c r="Y193" s="2" t="str">
        <x:v>取得済</x:v>
      </x:c>
      <x:c r="Z193" s="9" t="n">
        <x:f>IF(AND(ISNUMBER(E193),COUNTIFS($A$2:$A$477,EDATE(A193,-12),$B$2:$B$477,B193,$E$2:$E$477,"&gt;0")=1),E193/SUMIFS($E$2:$E$477,$A$2:$A$477,EDATE(A193,-12),$B$2:$B$477,B193)-1,"")</x:f>
        <x:v>-0.09924033014133926</x:v>
      </x:c>
      <x:c r="AA193" s="10" t="n">
        <x:f>IF(COUNTIFS($A$2:$A$477,"&gt;="&amp;EDATE(A193,-2),$A$2:$A$477,"&lt;="&amp;A193,$B$2:$B$477,B193,$E$2:$E$477,"&gt;=0")=3,SUMIFS($E$2:$E$477,$A$2:$A$477,"&gt;="&amp;EDATE(A193,-2),$A$2:$A$477,"&lt;="&amp;A193,$B$2:$B$477,B193)/3,"")</x:f>
        <x:v>2364354.6666666665</x:v>
      </x:c>
      <x:c r="AB193" s="9" t="n">
        <x:f>IF(AND(ISNUMBER(J193),COUNTIFS($A$2:$A$477,EDATE(A193,-12),$B$2:$B$477,B193,$J$2:$J$477,"&gt;0")=1),J193/SUMIFS($J$2:$J$477,$A$2:$A$477,EDATE(A193,-12),$B$2:$B$477,B193)-1,"")</x:f>
        <x:v>-0.0157088251072961</x:v>
      </x:c>
    </x:row>
    <x:row r="194" ht="21" customHeight="1">
      <x:c r="A194" s="7" t="n">
        <x:v>45017</x:v>
      </x:c>
      <x:c r="B194" s="2" t="str">
        <x:v>清水</x:v>
      </x:c>
      <x:c r="C194" s="2" t="str">
        <x:v>静岡県</x:v>
      </x:c>
      <x:c r="D194" s="8" t="n">
        <x:v>1242208</x:v>
      </x:c>
      <x:c r="E194" s="8" t="n">
        <x:v>285134</x:v>
      </x:c>
      <x:c r="F194" s="8" t="n">
        <x:v>384120</x:v>
      </x:c>
      <x:c r="G194" s="8" t="n">
        <x:v>172689</x:v>
      </x:c>
      <x:c r="H194" s="8" t="n">
        <x:v>400265</x:v>
      </x:c>
      <x:c r="I194" s="8" t="n">
        <x:v>43790</x:v>
      </x:c>
      <x:c r="J194" s="8" t="n">
        <x:v>17749</x:v>
      </x:c>
      <x:c r="K194" s="8" t="n">
        <x:v>16608</x:v>
      </x:c>
      <x:c r="L194" s="8" t="n">
        <x:v>4701</x:v>
      </x:c>
      <x:c r="M194" s="8" t="n">
        <x:v>4732</x:v>
      </x:c>
      <x:c r="N194" s="8" t="n">
        <x:v>0</x:v>
      </x:c>
      <x:c r="O194" s="8" t="n">
        <x:v>0</x:v>
      </x:c>
      <x:c r="P194" s="8" t="n">
        <x:v>9</x:v>
      </x:c>
      <x:c r="Q194" s="8" t="n">
        <x:v>8</x:v>
      </x:c>
      <x:c r="R194" s="8" t="n">
        <x:v>17</x:v>
      </x:c>
      <x:c r="S194" s="8" t="n">
        <x:v>478</x:v>
      </x:c>
      <x:c r="T194" s="8" t="n">
        <x:v>155</x:v>
      </x:c>
      <x:c r="U194" s="2" t="str">
        <x:v>2025年12月25日現在</x:v>
      </x:c>
      <x:c r="V194" s="2" t="str">
        <x:v>2025-12-25</x:v>
      </x:c>
      <x:c r="W194" s="2" t="str">
        <x:v>https://www.e-stat.go.jp/stat-search/file-download?statInfId=000040024002&amp;fileKind=0</x:v>
      </x:c>
      <x:c r="X194" s="2" t="str">
        <x:v>海上出入貨物!313行、コンテナ個数!58行</x:v>
      </x:c>
      <x:c r="Y194" s="2" t="str">
        <x:v>取得済</x:v>
      </x:c>
      <x:c r="Z194" s="9" t="n">
        <x:f>IF(AND(ISNUMBER(E194),COUNTIFS($A$2:$A$477,EDATE(A194,-12),$B$2:$B$477,B194,$E$2:$E$477,"&gt;0")=1),E194/SUMIFS($E$2:$E$477,$A$2:$A$477,EDATE(A194,-12),$B$2:$B$477,B194)-1,"")</x:f>
        <x:v>-0.12115299854210781</x:v>
      </x:c>
      <x:c r="AA194" s="10" t="n">
        <x:f>IF(COUNTIFS($A$2:$A$477,"&gt;="&amp;EDATE(A194,-2),$A$2:$A$477,"&lt;="&amp;A194,$B$2:$B$477,B194,$E$2:$E$477,"&gt;=0")=3,SUMIFS($E$2:$E$477,$A$2:$A$477,"&gt;="&amp;EDATE(A194,-2),$A$2:$A$477,"&lt;="&amp;A194,$B$2:$B$477,B194)/3,"")</x:f>
        <x:v>291705</x:v>
      </x:c>
      <x:c r="AB194" s="9" t="n">
        <x:f>IF(AND(ISNUMBER(J194),COUNTIFS($A$2:$A$477,EDATE(A194,-12),$B$2:$B$477,B194,$J$2:$J$477,"&gt;0")=1),J194/SUMIFS($J$2:$J$477,$A$2:$A$477,EDATE(A194,-12),$B$2:$B$477,B194)-1,"")</x:f>
        <x:v>-0.08453682690323916</x:v>
      </x:c>
    </x:row>
    <x:row r="195" ht="21" customHeight="1">
      <x:c r="A195" s="7" t="n">
        <x:v>45017</x:v>
      </x:c>
      <x:c r="B195" s="2" t="str">
        <x:v>博多</x:v>
      </x:c>
      <x:c r="C195" s="2" t="str">
        <x:v>福岡県</x:v>
      </x:c>
      <x:c r="D195" s="8" t="n">
        <x:v>2877382</x:v>
      </x:c>
      <x:c r="E195" s="8" t="n">
        <x:v>716472</x:v>
      </x:c>
      <x:c r="F195" s="8" t="n">
        <x:v>753359</x:v>
      </x:c>
      <x:c r="G195" s="8" t="n">
        <x:v>449804</x:v>
      </x:c>
      <x:c r="H195" s="8" t="n">
        <x:v>957747</x:v>
      </x:c>
      <x:c r="I195" s="8" t="n">
        <x:v>84044</x:v>
      </x:c>
      <x:c r="J195" s="8" t="n">
        <x:v>36283</x:v>
      </x:c>
      <x:c r="K195" s="8" t="n">
        <x:v>33858</x:v>
      </x:c>
      <x:c r="L195" s="8" t="n">
        <x:v>7200</x:v>
      </x:c>
      <x:c r="M195" s="8" t="n">
        <x:v>6703</x:v>
      </x:c>
      <x:c r="N195" s="8" t="n">
        <x:v>0</x:v>
      </x:c>
      <x:c r="O195" s="8" t="n">
        <x:v>0</x:v>
      </x:c>
      <x:c r="P195" s="8" t="n">
        <x:v>1366</x:v>
      </x:c>
      <x:c r="Q195" s="8" t="n">
        <x:v>1292</x:v>
      </x:c>
      <x:c r="R195" s="8" t="n">
        <x:v>2658</x:v>
      </x:c>
      <x:c r="S195" s="8" t="n">
        <x:v>1583</x:v>
      </x:c>
      <x:c r="T195" s="8" t="n">
        <x:v>272</x:v>
      </x:c>
      <x:c r="U195" s="2" t="str">
        <x:v>2025年12月25日現在</x:v>
      </x:c>
      <x:c r="V195" s="2" t="str">
        <x:v>2025-12-25</x:v>
      </x:c>
      <x:c r="W195" s="2" t="str">
        <x:v>https://www.e-stat.go.jp/stat-search/file-download?statInfId=000040024002&amp;fileKind=0</x:v>
      </x:c>
      <x:c r="X195" s="2" t="str">
        <x:v>海上出入貨物!745行、コンテナ個数!130行</x:v>
      </x:c>
      <x:c r="Y195" s="2" t="str">
        <x:v>取得済</x:v>
      </x:c>
      <x:c r="Z195" s="9" t="n">
        <x:f>IF(AND(ISNUMBER(E195),COUNTIFS($A$2:$A$477,EDATE(A195,-12),$B$2:$B$477,B195,$E$2:$E$477,"&gt;0")=1),E195/SUMIFS($E$2:$E$477,$A$2:$A$477,EDATE(A195,-12),$B$2:$B$477,B195)-1,"")</x:f>
        <x:v>0.04046424090338774</x:v>
      </x:c>
      <x:c r="AA195" s="10" t="n">
        <x:f>IF(COUNTIFS($A$2:$A$477,"&gt;="&amp;EDATE(A195,-2),$A$2:$A$477,"&lt;="&amp;A195,$B$2:$B$477,B195,$E$2:$E$477,"&gt;=0")=3,SUMIFS($E$2:$E$477,$A$2:$A$477,"&gt;="&amp;EDATE(A195,-2),$A$2:$A$477,"&lt;="&amp;A195,$B$2:$B$477,B195)/3,"")</x:f>
        <x:v>631661.6666666666</x:v>
      </x:c>
      <x:c r="AB195" s="9" t="n">
        <x:f>IF(AND(ISNUMBER(J195),COUNTIFS($A$2:$A$477,EDATE(A195,-12),$B$2:$B$477,B195,$J$2:$J$477,"&gt;0")=1),J195/SUMIFS($J$2:$J$477,$A$2:$A$477,EDATE(A195,-12),$B$2:$B$477,B195)-1,"")</x:f>
        <x:v>0.10649263517428564</x:v>
      </x:c>
    </x:row>
    <x:row r="196" ht="21" customHeight="1">
      <x:c r="A196" s="7" t="n">
        <x:v>45017</x:v>
      </x:c>
      <x:c r="B196" s="2" t="str">
        <x:v>熊本</x:v>
      </x:c>
      <x:c r="C196" s="2" t="str">
        <x:v>熊本県</x:v>
      </x:c>
      <x:c r="D196" s="8" t="n">
        <x:v>256942</x:v>
      </x:c>
      <x:c r="E196" s="8" t="n">
        <x:v>5055</x:v>
      </x:c>
      <x:c r="F196" s="8" t="n">
        <x:v>5559</x:v>
      </x:c>
      <x:c r="G196" s="8" t="n">
        <x:v>101079</x:v>
      </x:c>
      <x:c r="H196" s="8" t="n">
        <x:v>145249</x:v>
      </x:c>
      <x:c r="I196" s="8" t="n">
        <x:v>656</x:v>
      </x:c>
      <x:c r="J196" s="8" t="n">
        <x:v>297</x:v>
      </x:c>
      <x:c r="K196" s="8" t="n">
        <x:v>289</x:v>
      </x:c>
      <x:c r="L196" s="8" t="n">
        <x:v>20</x:v>
      </x:c>
      <x:c r="M196" s="8" t="n">
        <x:v>50</x:v>
      </x:c>
      <x:c r="N196" s="8" t="n">
        <x:v>0</x:v>
      </x:c>
      <x:c r="O196" s="8" t="n">
        <x:v>0</x:v>
      </x:c>
      <x:c r="P196" s="8" t="n">
        <x:v>584</x:v>
      </x:c>
      <x:c r="Q196" s="8" t="n">
        <x:v>609</x:v>
      </x:c>
      <x:c r="R196" s="8" t="n">
        <x:v>1193</x:v>
      </x:c>
      <x:c r="S196" s="8" t="n">
        <x:v>36</x:v>
      </x:c>
      <x:c r="T196" s="8" t="n">
        <x:v>10</x:v>
      </x:c>
      <x:c r="U196" s="2" t="str">
        <x:v>2025年12月25日現在</x:v>
      </x:c>
      <x:c r="V196" s="2" t="str">
        <x:v>2025-12-25</x:v>
      </x:c>
      <x:c r="W196" s="2" t="str">
        <x:v>https://www.e-stat.go.jp/stat-search/file-download?statInfId=000040024002&amp;fileKind=0</x:v>
      </x:c>
      <x:c r="X196" s="2" t="str">
        <x:v>海上出入貨物!859行、コンテナ個数!149行</x:v>
      </x:c>
      <x:c r="Y196" s="2" t="str">
        <x:v>取得済</x:v>
      </x:c>
      <x:c r="Z196" s="9" t="n">
        <x:f>IF(AND(ISNUMBER(E196),COUNTIFS($A$2:$A$477,EDATE(A196,-12),$B$2:$B$477,B196,$E$2:$E$477,"&gt;0")=1),E196/SUMIFS($E$2:$E$477,$A$2:$A$477,EDATE(A196,-12),$B$2:$B$477,B196)-1,"")</x:f>
        <x:v>0.21193958283385284</x:v>
      </x:c>
      <x:c r="AA196" s="10" t="n">
        <x:f>IF(COUNTIFS($A$2:$A$477,"&gt;="&amp;EDATE(A196,-2),$A$2:$A$477,"&lt;="&amp;A196,$B$2:$B$477,B196,$E$2:$E$477,"&gt;=0")=3,SUMIFS($E$2:$E$477,$A$2:$A$477,"&gt;="&amp;EDATE(A196,-2),$A$2:$A$477,"&lt;="&amp;A196,$B$2:$B$477,B196)/3,"")</x:f>
        <x:v>6137.666666666667</x:v>
      </x:c>
      <x:c r="AB196" s="9" t="n">
        <x:f>IF(AND(ISNUMBER(J196),COUNTIFS($A$2:$A$477,EDATE(A196,-12),$B$2:$B$477,B196,$J$2:$J$477,"&gt;0")=1),J196/SUMIFS($J$2:$J$477,$A$2:$A$477,EDATE(A196,-12),$B$2:$B$477,B196)-1,"")</x:f>
        <x:v>0.08000000000000007</x:v>
      </x:c>
    </x:row>
    <x:row r="197" ht="21" customHeight="1">
      <x:c r="A197" s="7" t="n">
        <x:v>45017</x:v>
      </x:c>
      <x:c r="B197" s="2" t="str">
        <x:v>八代</x:v>
      </x:c>
      <x:c r="C197" s="2" t="str">
        <x:v>熊本県</x:v>
      </x:c>
      <x:c r="D197" s="8" t="n">
        <x:v>308706</x:v>
      </x:c>
      <x:c r="E197" s="8" t="n">
        <x:v>21796</x:v>
      </x:c>
      <x:c r="F197" s="8" t="n">
        <x:v>115004</x:v>
      </x:c>
      <x:c r="G197" s="8" t="n">
        <x:v>16126</x:v>
      </x:c>
      <x:c r="H197" s="8" t="n">
        <x:v>155780</x:v>
      </x:c>
      <x:c r="I197" s="8" t="n">
        <x:v>2071</x:v>
      </x:c>
      <x:c r="J197" s="8" t="n">
        <x:v>910</x:v>
      </x:c>
      <x:c r="K197" s="8" t="n">
        <x:v>877</x:v>
      </x:c>
      <x:c r="L197" s="8" t="n">
        <x:v>183</x:v>
      </x:c>
      <x:c r="M197" s="8" t="n">
        <x:v>101</x:v>
      </x:c>
      <x:c r="N197" s="8" t="n">
        <x:v>0</x:v>
      </x:c>
      <x:c r="O197" s="8" t="n">
        <x:v>0</x:v>
      </x:c>
      <x:c r="P197" s="8" t="n">
        <x:v>0</x:v>
      </x:c>
      <x:c r="Q197" s="8" t="n">
        <x:v>0</x:v>
      </x:c>
      <x:c r="R197" s="8" t="n">
        <x:v>0</x:v>
      </x:c>
      <x:c r="S197" s="8" t="n">
        <x:v>196</x:v>
      </x:c>
      <x:c r="T197" s="8" t="n">
        <x:v>38</x:v>
      </x:c>
      <x:c r="U197" s="2" t="str">
        <x:v>2025年12月25日現在</x:v>
      </x:c>
      <x:c r="V197" s="2" t="str">
        <x:v>2025-12-25</x:v>
      </x:c>
      <x:c r="W197" s="2" t="str">
        <x:v>https://www.e-stat.go.jp/stat-search/file-download?statInfId=000040024002&amp;fileKind=0</x:v>
      </x:c>
      <x:c r="X197" s="2" t="str">
        <x:v>海上出入貨物!847行、コンテナ個数!147行</x:v>
      </x:c>
      <x:c r="Y197" s="2" t="str">
        <x:v>取得済</x:v>
      </x:c>
      <x:c r="Z197" s="9" t="n">
        <x:f>IF(AND(ISNUMBER(E197),COUNTIFS($A$2:$A$477,EDATE(A197,-12),$B$2:$B$477,B197,$E$2:$E$477,"&gt;0")=1),E197/SUMIFS($E$2:$E$477,$A$2:$A$477,EDATE(A197,-12),$B$2:$B$477,B197)-1,"")</x:f>
        <x:v>0.2934543943979586</x:v>
      </x:c>
      <x:c r="AA197" s="10" t="n">
        <x:f>IF(COUNTIFS($A$2:$A$477,"&gt;="&amp;EDATE(A197,-2),$A$2:$A$477,"&lt;="&amp;A197,$B$2:$B$477,B197,$E$2:$E$477,"&gt;=0")=3,SUMIFS($E$2:$E$477,$A$2:$A$477,"&gt;="&amp;EDATE(A197,-2),$A$2:$A$477,"&lt;="&amp;A197,$B$2:$B$477,B197)/3,"")</x:f>
        <x:v>22239.333333333332</x:v>
      </x:c>
      <x:c r="AB197" s="9" t="n">
        <x:f>IF(AND(ISNUMBER(J197),COUNTIFS($A$2:$A$477,EDATE(A197,-12),$B$2:$B$477,B197,$J$2:$J$477,"&gt;0")=1),J197/SUMIFS($J$2:$J$477,$A$2:$A$477,EDATE(A197,-12),$B$2:$B$477,B197)-1,"")</x:f>
        <x:v>-0.06857727737973385</x:v>
      </x:c>
    </x:row>
    <x:row r="198" ht="21" customHeight="1">
      <x:c r="A198" s="7" t="n">
        <x:v>45047</x:v>
      </x:c>
      <x:c r="B198" s="2" t="str">
        <x:v>仙台塩釜</x:v>
      </x:c>
      <x:c r="C198" s="2" t="str">
        <x:v>宮城県</x:v>
      </x:c>
      <x:c r="D198" s="8" t="n">
        <x:v>3126258</x:v>
      </x:c>
      <x:c r="E198" s="8" t="n">
        <x:v>122347</x:v>
      </x:c>
      <x:c r="F198" s="8" t="n">
        <x:v>762070</x:v>
      </x:c>
      <x:c r="G198" s="8" t="n">
        <x:v>1036016</x:v>
      </x:c>
      <x:c r="H198" s="8" t="n">
        <x:v>1205825</x:v>
      </x:c>
      <x:c r="I198" s="8" t="n">
        <x:v>19063</x:v>
      </x:c>
      <x:c r="J198" s="8" t="n">
        <x:v>4935</x:v>
      </x:c>
      <x:c r="K198" s="8" t="n">
        <x:v>5401</x:v>
      </x:c>
      <x:c r="L198" s="8" t="n">
        <x:v>4484</x:v>
      </x:c>
      <x:c r="M198" s="8" t="n">
        <x:v>4243</x:v>
      </x:c>
      <x:c r="N198" s="8" t="n">
        <x:v>0</x:v>
      </x:c>
      <x:c r="O198" s="8" t="n">
        <x:v>0</x:v>
      </x:c>
      <x:c r="P198" s="8" t="n">
        <x:v>629</x:v>
      </x:c>
      <x:c r="Q198" s="8" t="n">
        <x:v>625</x:v>
      </x:c>
      <x:c r="R198" s="8" t="n">
        <x:v>1254</x:v>
      </x:c>
      <x:c r="S198" s="8" t="n">
        <x:v>2311</x:v>
      </x:c>
      <x:c r="T198" s="8" t="n">
        <x:v>94</x:v>
      </x:c>
      <x:c r="U198" s="2" t="str">
        <x:v>2025年12月25日現在</x:v>
      </x:c>
      <x:c r="V198" s="2" t="str">
        <x:v>2025-12-25</x:v>
      </x:c>
      <x:c r="W198" s="2" t="str">
        <x:v>https://www.e-stat.go.jp/stat-search/file-download?statInfId=000040024002&amp;fileKind=0</x:v>
      </x:c>
      <x:c r="X198" s="2" t="str">
        <x:v>海上出入貨物!139行、コンテナ個数!29行</x:v>
      </x:c>
      <x:c r="Y198" s="2" t="str">
        <x:v>取得済</x:v>
      </x:c>
      <x:c r="Z198" s="9" t="n">
        <x:f>IF(AND(ISNUMBER(E198),COUNTIFS($A$2:$A$477,EDATE(A198,-12),$B$2:$B$477,B198,$E$2:$E$477,"&gt;0")=1),E198/SUMIFS($E$2:$E$477,$A$2:$A$477,EDATE(A198,-12),$B$2:$B$477,B198)-1,"")</x:f>
        <x:v>0.2566712545450811</x:v>
      </x:c>
      <x:c r="AA198" s="10" t="n">
        <x:f>IF(COUNTIFS($A$2:$A$477,"&gt;="&amp;EDATE(A198,-2),$A$2:$A$477,"&lt;="&amp;A198,$B$2:$B$477,B198,$E$2:$E$477,"&gt;=0")=3,SUMIFS($E$2:$E$477,$A$2:$A$477,"&gt;="&amp;EDATE(A198,-2),$A$2:$A$477,"&lt;="&amp;A198,$B$2:$B$477,B198)/3,"")</x:f>
        <x:v>128252</x:v>
      </x:c>
      <x:c r="AB198" s="9" t="n">
        <x:f>IF(AND(ISNUMBER(J198),COUNTIFS($A$2:$A$477,EDATE(A198,-12),$B$2:$B$477,B198,$J$2:$J$477,"&gt;0")=1),J198/SUMIFS($J$2:$J$477,$A$2:$A$477,EDATE(A198,-12),$B$2:$B$477,B198)-1,"")</x:f>
        <x:v>-0.11638316920322289</x:v>
      </x:c>
    </x:row>
    <x:row r="199" ht="21" customHeight="1">
      <x:c r="A199" s="7" t="n">
        <x:v>45047</x:v>
      </x:c>
      <x:c r="B199" s="2" t="str">
        <x:v>東京</x:v>
      </x:c>
      <x:c r="C199" s="2" t="str">
        <x:v>東京都</x:v>
      </x:c>
      <x:c r="D199" s="8" t="n">
        <x:v>6662657</x:v>
      </x:c>
      <x:c r="E199" s="8" t="n">
        <x:v>866261</x:v>
      </x:c>
      <x:c r="F199" s="8" t="n">
        <x:v>2811743</x:v>
      </x:c>
      <x:c r="G199" s="8" t="n">
        <x:v>1120797</x:v>
      </x:c>
      <x:c r="H199" s="8" t="n">
        <x:v>1863856</x:v>
      </x:c>
      <x:c r="I199" s="8" t="n">
        <x:v>380831</x:v>
      </x:c>
      <x:c r="J199" s="8" t="n">
        <x:v>154772</x:v>
      </x:c>
      <x:c r="K199" s="8" t="n">
        <x:v>185861</x:v>
      </x:c>
      <x:c r="L199" s="8" t="n">
        <x:v>28379</x:v>
      </x:c>
      <x:c r="M199" s="8" t="n">
        <x:v>11819</x:v>
      </x:c>
      <x:c r="N199" s="8" t="n">
        <x:v>0</x:v>
      </x:c>
      <x:c r="O199" s="8" t="n">
        <x:v>0</x:v>
      </x:c>
      <x:c r="P199" s="8" t="n">
        <x:v>319</x:v>
      </x:c>
      <x:c r="Q199" s="8" t="n">
        <x:v>170</x:v>
      </x:c>
      <x:c r="R199" s="8" t="n">
        <x:v>489</x:v>
      </x:c>
      <x:c r="S199" s="8" t="n">
        <x:v>1621</x:v>
      </x:c>
      <x:c r="T199" s="8" t="n">
        <x:v>420</x:v>
      </x:c>
      <x:c r="U199" s="2" t="str">
        <x:v>2025年12月25日現在</x:v>
      </x:c>
      <x:c r="V199" s="2" t="str">
        <x:v>2025-12-25</x:v>
      </x:c>
      <x:c r="W199" s="2" t="str">
        <x:v>https://www.e-stat.go.jp/stat-search/file-download?statInfId=000040024002&amp;fileKind=0</x:v>
      </x:c>
      <x:c r="X199" s="2" t="str">
        <x:v>海上出入貨物!205行、コンテナ個数!40行</x:v>
      </x:c>
      <x:c r="Y199" s="2" t="str">
        <x:v>取得済</x:v>
      </x:c>
      <x:c r="Z199" s="9" t="n">
        <x:f>IF(AND(ISNUMBER(E199),COUNTIFS($A$2:$A$477,EDATE(A199,-12),$B$2:$B$477,B199,$E$2:$E$477,"&gt;0")=1),E199/SUMIFS($E$2:$E$477,$A$2:$A$477,EDATE(A199,-12),$B$2:$B$477,B199)-1,"")</x:f>
        <x:v>-0.04003488521567222</x:v>
      </x:c>
      <x:c r="AA199" s="10" t="n">
        <x:f>IF(COUNTIFS($A$2:$A$477,"&gt;="&amp;EDATE(A199,-2),$A$2:$A$477,"&lt;="&amp;A199,$B$2:$B$477,B199,$E$2:$E$477,"&gt;=0")=3,SUMIFS($E$2:$E$477,$A$2:$A$477,"&gt;="&amp;EDATE(A199,-2),$A$2:$A$477,"&lt;="&amp;A199,$B$2:$B$477,B199)/3,"")</x:f>
        <x:v>955750</x:v>
      </x:c>
      <x:c r="AB199" s="9" t="n">
        <x:f>IF(AND(ISNUMBER(J199),COUNTIFS($A$2:$A$477,EDATE(A199,-12),$B$2:$B$477,B199,$J$2:$J$477,"&gt;0")=1),J199/SUMIFS($J$2:$J$477,$A$2:$A$477,EDATE(A199,-12),$B$2:$B$477,B199)-1,"")</x:f>
        <x:v>-0.012076801307256302</x:v>
      </x:c>
    </x:row>
    <x:row r="200" ht="21" customHeight="1">
      <x:c r="A200" s="7" t="n">
        <x:v>45047</x:v>
      </x:c>
      <x:c r="B200" s="2" t="str">
        <x:v>横浜</x:v>
      </x:c>
      <x:c r="C200" s="2" t="str">
        <x:v>神奈川県</x:v>
      </x:c>
      <x:c r="D200" s="8" t="n">
        <x:v>8117744</x:v>
      </x:c>
      <x:c r="E200" s="8" t="n">
        <x:v>2258140</x:v>
      </x:c>
      <x:c r="F200" s="8" t="n">
        <x:v>3266065</x:v>
      </x:c>
      <x:c r="G200" s="8" t="n">
        <x:v>1109756</x:v>
      </x:c>
      <x:c r="H200" s="8" t="n">
        <x:v>1483783</x:v>
      </x:c>
      <x:c r="I200" s="8" t="n">
        <x:v>242670</x:v>
      </x:c>
      <x:c r="J200" s="8" t="n">
        <x:v>112623</x:v>
      </x:c>
      <x:c r="K200" s="8" t="n">
        <x:v>102297</x:v>
      </x:c>
      <x:c r="L200" s="8" t="n">
        <x:v>12917</x:v>
      </x:c>
      <x:c r="M200" s="8" t="n">
        <x:v>14833</x:v>
      </x:c>
      <x:c r="N200" s="8" t="n">
        <x:v>0</x:v>
      </x:c>
      <x:c r="O200" s="8" t="n">
        <x:v>0</x:v>
      </x:c>
      <x:c r="P200" s="8" t="n">
        <x:v>0</x:v>
      </x:c>
      <x:c r="Q200" s="8" t="n">
        <x:v>0</x:v>
      </x:c>
      <x:c r="R200" s="8" t="n">
        <x:v>0</x:v>
      </x:c>
      <x:c r="S200" s="8" t="n">
        <x:v>2094</x:v>
      </x:c>
      <x:c r="T200" s="8" t="n">
        <x:v>698</x:v>
      </x:c>
      <x:c r="U200" s="2" t="str">
        <x:v>2025年12月25日現在</x:v>
      </x:c>
      <x:c r="V200" s="2" t="str">
        <x:v>2025-12-25</x:v>
      </x:c>
      <x:c r="W200" s="2" t="str">
        <x:v>https://www.e-stat.go.jp/stat-search/file-download?statInfId=000040024002&amp;fileKind=0</x:v>
      </x:c>
      <x:c r="X200" s="2" t="str">
        <x:v>海上出入貨物!217行、コンテナ個数!42行</x:v>
      </x:c>
      <x:c r="Y200" s="2" t="str">
        <x:v>取得済</x:v>
      </x:c>
      <x:c r="Z200" s="9" t="n">
        <x:f>IF(AND(ISNUMBER(E200),COUNTIFS($A$2:$A$477,EDATE(A200,-12),$B$2:$B$477,B200,$E$2:$E$477,"&gt;0")=1),E200/SUMIFS($E$2:$E$477,$A$2:$A$477,EDATE(A200,-12),$B$2:$B$477,B200)-1,"")</x:f>
        <x:v>-0.08500905817287885</x:v>
      </x:c>
      <x:c r="AA200" s="10" t="n">
        <x:f>IF(COUNTIFS($A$2:$A$477,"&gt;="&amp;EDATE(A200,-2),$A$2:$A$477,"&lt;="&amp;A200,$B$2:$B$477,B200,$E$2:$E$477,"&gt;=0")=3,SUMIFS($E$2:$E$477,$A$2:$A$477,"&gt;="&amp;EDATE(A200,-2),$A$2:$A$477,"&lt;="&amp;A200,$B$2:$B$477,B200)/3,"")</x:f>
        <x:v>2354261</x:v>
      </x:c>
      <x:c r="AB200" s="9" t="n">
        <x:f>IF(AND(ISNUMBER(J200),COUNTIFS($A$2:$A$477,EDATE(A200,-12),$B$2:$B$477,B200,$J$2:$J$477,"&gt;0")=1),J200/SUMIFS($J$2:$J$477,$A$2:$A$477,EDATE(A200,-12),$B$2:$B$477,B200)-1,"")</x:f>
        <x:v>0.1077308940690469</x:v>
      </x:c>
    </x:row>
    <x:row r="201" ht="21" customHeight="1">
      <x:c r="A201" s="7" t="n">
        <x:v>45047</x:v>
      </x:c>
      <x:c r="B201" s="2" t="str">
        <x:v>清水</x:v>
      </x:c>
      <x:c r="C201" s="2" t="str">
        <x:v>静岡県</x:v>
      </x:c>
      <x:c r="D201" s="8" t="n">
        <x:v>1202746</x:v>
      </x:c>
      <x:c r="E201" s="8" t="n">
        <x:v>248341</x:v>
      </x:c>
      <x:c r="F201" s="8" t="n">
        <x:v>436797</x:v>
      </x:c>
      <x:c r="G201" s="8" t="n">
        <x:v>171708</x:v>
      </x:c>
      <x:c r="H201" s="8" t="n">
        <x:v>345900</x:v>
      </x:c>
      <x:c r="I201" s="8" t="n">
        <x:v>42476</x:v>
      </x:c>
      <x:c r="J201" s="8" t="n">
        <x:v>15669</x:v>
      </x:c>
      <x:c r="K201" s="8" t="n">
        <x:v>17542</x:v>
      </x:c>
      <x:c r="L201" s="8" t="n">
        <x:v>4763</x:v>
      </x:c>
      <x:c r="M201" s="8" t="n">
        <x:v>4502</x:v>
      </x:c>
      <x:c r="N201" s="8" t="n">
        <x:v>0</x:v>
      </x:c>
      <x:c r="O201" s="8" t="n">
        <x:v>0</x:v>
      </x:c>
      <x:c r="P201" s="8" t="n">
        <x:v>6</x:v>
      </x:c>
      <x:c r="Q201" s="8" t="n">
        <x:v>3</x:v>
      </x:c>
      <x:c r="R201" s="8" t="n">
        <x:v>9</x:v>
      </x:c>
      <x:c r="S201" s="8" t="n">
        <x:v>456</x:v>
      </x:c>
      <x:c r="T201" s="8" t="n">
        <x:v>141</x:v>
      </x:c>
      <x:c r="U201" s="2" t="str">
        <x:v>2025年12月25日現在</x:v>
      </x:c>
      <x:c r="V201" s="2" t="str">
        <x:v>2025-12-25</x:v>
      </x:c>
      <x:c r="W201" s="2" t="str">
        <x:v>https://www.e-stat.go.jp/stat-search/file-download?statInfId=000040024002&amp;fileKind=0</x:v>
      </x:c>
      <x:c r="X201" s="2" t="str">
        <x:v>海上出入貨物!313行、コンテナ個数!58行</x:v>
      </x:c>
      <x:c r="Y201" s="2" t="str">
        <x:v>取得済</x:v>
      </x:c>
      <x:c r="Z201" s="9" t="n">
        <x:f>IF(AND(ISNUMBER(E201),COUNTIFS($A$2:$A$477,EDATE(A201,-12),$B$2:$B$477,B201,$E$2:$E$477,"&gt;0")=1),E201/SUMIFS($E$2:$E$477,$A$2:$A$477,EDATE(A201,-12),$B$2:$B$477,B201)-1,"")</x:f>
        <x:v>-0.16280614222866485</x:v>
      </x:c>
      <x:c r="AA201" s="10" t="n">
        <x:f>IF(COUNTIFS($A$2:$A$477,"&gt;="&amp;EDATE(A201,-2),$A$2:$A$477,"&lt;="&amp;A201,$B$2:$B$477,B201,$E$2:$E$477,"&gt;=0")=3,SUMIFS($E$2:$E$477,$A$2:$A$477,"&gt;="&amp;EDATE(A201,-2),$A$2:$A$477,"&lt;="&amp;A201,$B$2:$B$477,B201)/3,"")</x:f>
        <x:v>276312.6666666667</x:v>
      </x:c>
      <x:c r="AB201" s="9" t="n">
        <x:f>IF(AND(ISNUMBER(J201),COUNTIFS($A$2:$A$477,EDATE(A201,-12),$B$2:$B$477,B201,$J$2:$J$477,"&gt;0")=1),J201/SUMIFS($J$2:$J$477,$A$2:$A$477,EDATE(A201,-12),$B$2:$B$477,B201)-1,"")</x:f>
        <x:v>-0.10031005971520446</x:v>
      </x:c>
    </x:row>
    <x:row r="202" ht="21" customHeight="1">
      <x:c r="A202" s="7" t="n">
        <x:v>45047</x:v>
      </x:c>
      <x:c r="B202" s="2" t="str">
        <x:v>博多</x:v>
      </x:c>
      <x:c r="C202" s="2" t="str">
        <x:v>福岡県</x:v>
      </x:c>
      <x:c r="D202" s="8" t="n">
        <x:v>2790760</x:v>
      </x:c>
      <x:c r="E202" s="8" t="n">
        <x:v>707588</x:v>
      </x:c>
      <x:c r="F202" s="8" t="n">
        <x:v>826037</x:v>
      </x:c>
      <x:c r="G202" s="8" t="n">
        <x:v>413682</x:v>
      </x:c>
      <x:c r="H202" s="8" t="n">
        <x:v>843453</x:v>
      </x:c>
      <x:c r="I202" s="8" t="n">
        <x:v>83350</x:v>
      </x:c>
      <x:c r="J202" s="8" t="n">
        <x:v>35222</x:v>
      </x:c>
      <x:c r="K202" s="8" t="n">
        <x:v>35706</x:v>
      </x:c>
      <x:c r="L202" s="8" t="n">
        <x:v>5700</x:v>
      </x:c>
      <x:c r="M202" s="8" t="n">
        <x:v>6722</x:v>
      </x:c>
      <x:c r="N202" s="8" t="n">
        <x:v>0</x:v>
      </x:c>
      <x:c r="O202" s="8" t="n">
        <x:v>0</x:v>
      </x:c>
      <x:c r="P202" s="8" t="n">
        <x:v>1289</x:v>
      </x:c>
      <x:c r="Q202" s="8" t="n">
        <x:v>1286</x:v>
      </x:c>
      <x:c r="R202" s="8" t="n">
        <x:v>2575</x:v>
      </x:c>
      <x:c r="S202" s="8" t="n">
        <x:v>1635</x:v>
      </x:c>
      <x:c r="T202" s="8" t="n">
        <x:v>270</x:v>
      </x:c>
      <x:c r="U202" s="2" t="str">
        <x:v>2025年12月25日現在</x:v>
      </x:c>
      <x:c r="V202" s="2" t="str">
        <x:v>2025-12-25</x:v>
      </x:c>
      <x:c r="W202" s="2" t="str">
        <x:v>https://www.e-stat.go.jp/stat-search/file-download?statInfId=000040024002&amp;fileKind=0</x:v>
      </x:c>
      <x:c r="X202" s="2" t="str">
        <x:v>海上出入貨物!745行、コンテナ個数!130行</x:v>
      </x:c>
      <x:c r="Y202" s="2" t="str">
        <x:v>取得済</x:v>
      </x:c>
      <x:c r="Z202" s="9" t="n">
        <x:f>IF(AND(ISNUMBER(E202),COUNTIFS($A$2:$A$477,EDATE(A202,-12),$B$2:$B$477,B202,$E$2:$E$477,"&gt;0")=1),E202/SUMIFS($E$2:$E$477,$A$2:$A$477,EDATE(A202,-12),$B$2:$B$477,B202)-1,"")</x:f>
        <x:v>0.24674345298820022</x:v>
      </x:c>
      <x:c r="AA202" s="10" t="n">
        <x:f>IF(COUNTIFS($A$2:$A$477,"&gt;="&amp;EDATE(A202,-2),$A$2:$A$477,"&lt;="&amp;A202,$B$2:$B$477,B202,$E$2:$E$477,"&gt;=0")=3,SUMIFS($E$2:$E$477,$A$2:$A$477,"&gt;="&amp;EDATE(A202,-2),$A$2:$A$477,"&lt;="&amp;A202,$B$2:$B$477,B202)/3,"")</x:f>
        <x:v>675217.6666666666</x:v>
      </x:c>
      <x:c r="AB202" s="9" t="n">
        <x:f>IF(AND(ISNUMBER(J202),COUNTIFS($A$2:$A$477,EDATE(A202,-12),$B$2:$B$477,B202,$J$2:$J$477,"&gt;0")=1),J202/SUMIFS($J$2:$J$477,$A$2:$A$477,EDATE(A202,-12),$B$2:$B$477,B202)-1,"")</x:f>
        <x:v>0.08492222393346682</x:v>
      </x:c>
    </x:row>
    <x:row r="203" ht="21" customHeight="1">
      <x:c r="A203" s="7" t="n">
        <x:v>45047</x:v>
      </x:c>
      <x:c r="B203" s="2" t="str">
        <x:v>熊本</x:v>
      </x:c>
      <x:c r="C203" s="2" t="str">
        <x:v>熊本県</x:v>
      </x:c>
      <x:c r="D203" s="8" t="n">
        <x:v>303826</x:v>
      </x:c>
      <x:c r="E203" s="8" t="n">
        <x:v>7567</x:v>
      </x:c>
      <x:c r="F203" s="8" t="n">
        <x:v>5185</x:v>
      </x:c>
      <x:c r="G203" s="8" t="n">
        <x:v>123240</x:v>
      </x:c>
      <x:c r="H203" s="8" t="n">
        <x:v>167834</x:v>
      </x:c>
      <x:c r="I203" s="8" t="n">
        <x:v>896</x:v>
      </x:c>
      <x:c r="J203" s="8" t="n">
        <x:v>372</x:v>
      </x:c>
      <x:c r="K203" s="8" t="n">
        <x:v>323</x:v>
      </x:c>
      <x:c r="L203" s="8" t="n">
        <x:v>26</x:v>
      </x:c>
      <x:c r="M203" s="8" t="n">
        <x:v>175</x:v>
      </x:c>
      <x:c r="N203" s="8" t="n">
        <x:v>0</x:v>
      </x:c>
      <x:c r="O203" s="8" t="n">
        <x:v>0</x:v>
      </x:c>
      <x:c r="P203" s="8" t="n">
        <x:v>561</x:v>
      </x:c>
      <x:c r="Q203" s="8" t="n">
        <x:v>587</x:v>
      </x:c>
      <x:c r="R203" s="8" t="n">
        <x:v>1148</x:v>
      </x:c>
      <x:c r="S203" s="8" t="n">
        <x:v>43</x:v>
      </x:c>
      <x:c r="T203" s="8" t="n">
        <x:v>8</x:v>
      </x:c>
      <x:c r="U203" s="2" t="str">
        <x:v>2025年12月25日現在</x:v>
      </x:c>
      <x:c r="V203" s="2" t="str">
        <x:v>2025-12-25</x:v>
      </x:c>
      <x:c r="W203" s="2" t="str">
        <x:v>https://www.e-stat.go.jp/stat-search/file-download?statInfId=000040024002&amp;fileKind=0</x:v>
      </x:c>
      <x:c r="X203" s="2" t="str">
        <x:v>海上出入貨物!859行、コンテナ個数!149行</x:v>
      </x:c>
      <x:c r="Y203" s="2" t="str">
        <x:v>取得済</x:v>
      </x:c>
      <x:c r="Z203" s="9" t="n">
        <x:f>IF(AND(ISNUMBER(E203),COUNTIFS($A$2:$A$477,EDATE(A203,-12),$B$2:$B$477,B203,$E$2:$E$477,"&gt;0")=1),E203/SUMIFS($E$2:$E$477,$A$2:$A$477,EDATE(A203,-12),$B$2:$B$477,B203)-1,"")</x:f>
        <x:v>0.8286611889801836</x:v>
      </x:c>
      <x:c r="AA203" s="10" t="n">
        <x:f>IF(COUNTIFS($A$2:$A$477,"&gt;="&amp;EDATE(A203,-2),$A$2:$A$477,"&lt;="&amp;A203,$B$2:$B$477,B203,$E$2:$E$477,"&gt;=0")=3,SUMIFS($E$2:$E$477,$A$2:$A$477,"&gt;="&amp;EDATE(A203,-2),$A$2:$A$477,"&lt;="&amp;A203,$B$2:$B$477,B203)/3,"")</x:f>
        <x:v>6456.666666666667</x:v>
      </x:c>
      <x:c r="AB203" s="9" t="n">
        <x:f>IF(AND(ISNUMBER(J203),COUNTIFS($A$2:$A$477,EDATE(A203,-12),$B$2:$B$477,B203,$J$2:$J$477,"&gt;0")=1),J203/SUMIFS($J$2:$J$477,$A$2:$A$477,EDATE(A203,-12),$B$2:$B$477,B203)-1,"")</x:f>
        <x:v>0.0362116991643453</x:v>
      </x:c>
    </x:row>
    <x:row r="204" ht="21" customHeight="1">
      <x:c r="A204" s="7" t="n">
        <x:v>45047</x:v>
      </x:c>
      <x:c r="B204" s="2" t="str">
        <x:v>八代</x:v>
      </x:c>
      <x:c r="C204" s="2" t="str">
        <x:v>熊本県</x:v>
      </x:c>
      <x:c r="D204" s="8" t="n">
        <x:v>399165</x:v>
      </x:c>
      <x:c r="E204" s="8" t="n">
        <x:v>26761</x:v>
      </x:c>
      <x:c r="F204" s="8" t="n">
        <x:v>198750</x:v>
      </x:c>
      <x:c r="G204" s="8" t="n">
        <x:v>19013</x:v>
      </x:c>
      <x:c r="H204" s="8" t="n">
        <x:v>154641</x:v>
      </x:c>
      <x:c r="I204" s="8" t="n">
        <x:v>2743</x:v>
      </x:c>
      <x:c r="J204" s="8" t="n">
        <x:v>1271</x:v>
      </x:c>
      <x:c r="K204" s="8" t="n">
        <x:v>1165</x:v>
      </x:c>
      <x:c r="L204" s="8" t="n">
        <x:v>52</x:v>
      </x:c>
      <x:c r="M204" s="8" t="n">
        <x:v>255</x:v>
      </x:c>
      <x:c r="N204" s="8" t="n">
        <x:v>0</x:v>
      </x:c>
      <x:c r="O204" s="8" t="n">
        <x:v>0</x:v>
      </x:c>
      <x:c r="P204" s="8" t="n">
        <x:v>0</x:v>
      </x:c>
      <x:c r="Q204" s="8" t="n">
        <x:v>0</x:v>
      </x:c>
      <x:c r="R204" s="8" t="n">
        <x:v>0</x:v>
      </x:c>
      <x:c r="S204" s="8" t="n">
        <x:v>219</x:v>
      </x:c>
      <x:c r="T204" s="8" t="n">
        <x:v>34</x:v>
      </x:c>
      <x:c r="U204" s="2" t="str">
        <x:v>2025年12月25日現在</x:v>
      </x:c>
      <x:c r="V204" s="2" t="str">
        <x:v>2025-12-25</x:v>
      </x:c>
      <x:c r="W204" s="2" t="str">
        <x:v>https://www.e-stat.go.jp/stat-search/file-download?statInfId=000040024002&amp;fileKind=0</x:v>
      </x:c>
      <x:c r="X204" s="2" t="str">
        <x:v>海上出入貨物!847行、コンテナ個数!147行</x:v>
      </x:c>
      <x:c r="Y204" s="2" t="str">
        <x:v>取得済</x:v>
      </x:c>
      <x:c r="Z204" s="9" t="n">
        <x:f>IF(AND(ISNUMBER(E204),COUNTIFS($A$2:$A$477,EDATE(A204,-12),$B$2:$B$477,B204,$E$2:$E$477,"&gt;0")=1),E204/SUMIFS($E$2:$E$477,$A$2:$A$477,EDATE(A204,-12),$B$2:$B$477,B204)-1,"")</x:f>
        <x:v>1.1951439586580266</x:v>
      </x:c>
      <x:c r="AA204" s="10" t="n">
        <x:f>IF(COUNTIFS($A$2:$A$477,"&gt;="&amp;EDATE(A204,-2),$A$2:$A$477,"&lt;="&amp;A204,$B$2:$B$477,B204,$E$2:$E$477,"&gt;=0")=3,SUMIFS($E$2:$E$477,$A$2:$A$477,"&gt;="&amp;EDATE(A204,-2),$A$2:$A$477,"&lt;="&amp;A204,$B$2:$B$477,B204)/3,"")</x:f>
        <x:v>24893.666666666668</x:v>
      </x:c>
      <x:c r="AB204" s="9" t="n">
        <x:f>IF(AND(ISNUMBER(J204),COUNTIFS($A$2:$A$477,EDATE(A204,-12),$B$2:$B$477,B204,$J$2:$J$477,"&gt;0")=1),J204/SUMIFS($J$2:$J$477,$A$2:$A$477,EDATE(A204,-12),$B$2:$B$477,B204)-1,"")</x:f>
        <x:v>0.1440144014401441</x:v>
      </x:c>
    </x:row>
    <x:row r="205" ht="21" customHeight="1">
      <x:c r="A205" s="7" t="n">
        <x:v>45078</x:v>
      </x:c>
      <x:c r="B205" s="2" t="str">
        <x:v>仙台塩釜</x:v>
      </x:c>
      <x:c r="C205" s="2" t="str">
        <x:v>宮城県</x:v>
      </x:c>
      <x:c r="D205" s="8" t="n">
        <x:v>2627891</x:v>
      </x:c>
      <x:c r="E205" s="8" t="n">
        <x:v>55251</x:v>
      </x:c>
      <x:c r="F205" s="8" t="n">
        <x:v>302731</x:v>
      </x:c>
      <x:c r="G205" s="8" t="n">
        <x:v>993676</x:v>
      </x:c>
      <x:c r="H205" s="8" t="n">
        <x:v>1276233</x:v>
      </x:c>
      <x:c r="I205" s="8" t="n">
        <x:v>21626</x:v>
      </x:c>
      <x:c r="J205" s="8" t="n">
        <x:v>5687</x:v>
      </x:c>
      <x:c r="K205" s="8" t="n">
        <x:v>4797</x:v>
      </x:c>
      <x:c r="L205" s="8" t="n">
        <x:v>5315</x:v>
      </x:c>
      <x:c r="M205" s="8" t="n">
        <x:v>5827</x:v>
      </x:c>
      <x:c r="N205" s="8" t="n">
        <x:v>0</x:v>
      </x:c>
      <x:c r="O205" s="8" t="n">
        <x:v>0</x:v>
      </x:c>
      <x:c r="P205" s="8" t="n">
        <x:v>583</x:v>
      </x:c>
      <x:c r="Q205" s="8" t="n">
        <x:v>623</x:v>
      </x:c>
      <x:c r="R205" s="8" t="n">
        <x:v>1206</x:v>
      </x:c>
      <x:c r="S205" s="8" t="n">
        <x:v>2180</x:v>
      </x:c>
      <x:c r="T205" s="8" t="n">
        <x:v>63</x:v>
      </x:c>
      <x:c r="U205" s="2" t="str">
        <x:v>2025年12月25日現在</x:v>
      </x:c>
      <x:c r="V205" s="2" t="str">
        <x:v>2025-12-25</x:v>
      </x:c>
      <x:c r="W205" s="2" t="str">
        <x:v>https://www.e-stat.go.jp/stat-search/file-download?statInfId=000040024002&amp;fileKind=0</x:v>
      </x:c>
      <x:c r="X205" s="2" t="str">
        <x:v>海上出入貨物!139行、コンテナ個数!29行</x:v>
      </x:c>
      <x:c r="Y205" s="2" t="str">
        <x:v>取得済</x:v>
      </x:c>
      <x:c r="Z205" s="9" t="n">
        <x:f>IF(AND(ISNUMBER(E205),COUNTIFS($A$2:$A$477,EDATE(A205,-12),$B$2:$B$477,B205,$E$2:$E$477,"&gt;0")=1),E205/SUMIFS($E$2:$E$477,$A$2:$A$477,EDATE(A205,-12),$B$2:$B$477,B205)-1,"")</x:f>
        <x:v>-0.340262934791694</x:v>
      </x:c>
      <x:c r="AA205" s="10" t="n">
        <x:f>IF(COUNTIFS($A$2:$A$477,"&gt;="&amp;EDATE(A205,-2),$A$2:$A$477,"&lt;="&amp;A205,$B$2:$B$477,B205,$E$2:$E$477,"&gt;=0")=3,SUMIFS($E$2:$E$477,$A$2:$A$477,"&gt;="&amp;EDATE(A205,-2),$A$2:$A$477,"&lt;="&amp;A205,$B$2:$B$477,B205)/3,"")</x:f>
        <x:v>89852</x:v>
      </x:c>
      <x:c r="AB205" s="9" t="n">
        <x:f>IF(AND(ISNUMBER(J205),COUNTIFS($A$2:$A$477,EDATE(A205,-12),$B$2:$B$477,B205,$J$2:$J$477,"&gt;0")=1),J205/SUMIFS($J$2:$J$477,$A$2:$A$477,EDATE(A205,-12),$B$2:$B$477,B205)-1,"")</x:f>
        <x:v>-0.006637554585152805</x:v>
      </x:c>
    </x:row>
    <x:row r="206" ht="21" customHeight="1">
      <x:c r="A206" s="7" t="n">
        <x:v>45078</x:v>
      </x:c>
      <x:c r="B206" s="2" t="str">
        <x:v>東京</x:v>
      </x:c>
      <x:c r="C206" s="2" t="str">
        <x:v>東京都</x:v>
      </x:c>
      <x:c r="D206" s="8" t="n">
        <x:v>6876596</x:v>
      </x:c>
      <x:c r="E206" s="8" t="n">
        <x:v>952580</x:v>
      </x:c>
      <x:c r="F206" s="8" t="n">
        <x:v>2735257</x:v>
      </x:c>
      <x:c r="G206" s="8" t="n">
        <x:v>1187572</x:v>
      </x:c>
      <x:c r="H206" s="8" t="n">
        <x:v>2001187</x:v>
      </x:c>
      <x:c r="I206" s="8" t="n">
        <x:v>382903</x:v>
      </x:c>
      <x:c r="J206" s="8" t="n">
        <x:v>156200</x:v>
      </x:c>
      <x:c r="K206" s="8" t="n">
        <x:v>182029</x:v>
      </x:c>
      <x:c r="L206" s="8" t="n">
        <x:v>32515</x:v>
      </x:c>
      <x:c r="M206" s="8" t="n">
        <x:v>12159</x:v>
      </x:c>
      <x:c r="N206" s="8" t="n">
        <x:v>0</x:v>
      </x:c>
      <x:c r="O206" s="8" t="n">
        <x:v>0</x:v>
      </x:c>
      <x:c r="P206" s="8" t="n">
        <x:v>348</x:v>
      </x:c>
      <x:c r="Q206" s="8" t="n">
        <x:v>179</x:v>
      </x:c>
      <x:c r="R206" s="8" t="n">
        <x:v>527</x:v>
      </x:c>
      <x:c r="S206" s="8" t="n">
        <x:v>1664</x:v>
      </x:c>
      <x:c r="T206" s="8" t="n">
        <x:v>418</x:v>
      </x:c>
      <x:c r="U206" s="2" t="str">
        <x:v>2025年12月25日現在</x:v>
      </x:c>
      <x:c r="V206" s="2" t="str">
        <x:v>2025-12-25</x:v>
      </x:c>
      <x:c r="W206" s="2" t="str">
        <x:v>https://www.e-stat.go.jp/stat-search/file-download?statInfId=000040024002&amp;fileKind=0</x:v>
      </x:c>
      <x:c r="X206" s="2" t="str">
        <x:v>海上出入貨物!205行、コンテナ個数!40行</x:v>
      </x:c>
      <x:c r="Y206" s="2" t="str">
        <x:v>取得済</x:v>
      </x:c>
      <x:c r="Z206" s="9" t="n">
        <x:f>IF(AND(ISNUMBER(E206),COUNTIFS($A$2:$A$477,EDATE(A206,-12),$B$2:$B$477,B206,$E$2:$E$477,"&gt;0")=1),E206/SUMIFS($E$2:$E$477,$A$2:$A$477,EDATE(A206,-12),$B$2:$B$477,B206)-1,"")</x:f>
        <x:v>-0.09337241894573545</x:v>
      </x:c>
      <x:c r="AA206" s="10" t="n">
        <x:f>IF(COUNTIFS($A$2:$A$477,"&gt;="&amp;EDATE(A206,-2),$A$2:$A$477,"&lt;="&amp;A206,$B$2:$B$477,B206,$E$2:$E$477,"&gt;=0")=3,SUMIFS($E$2:$E$477,$A$2:$A$477,"&gt;="&amp;EDATE(A206,-2),$A$2:$A$477,"&lt;="&amp;A206,$B$2:$B$477,B206)/3,"")</x:f>
        <x:v>951805.6666666666</x:v>
      </x:c>
      <x:c r="AB206" s="9" t="n">
        <x:f>IF(AND(ISNUMBER(J206),COUNTIFS($A$2:$A$477,EDATE(A206,-12),$B$2:$B$477,B206,$J$2:$J$477,"&gt;0")=1),J206/SUMIFS($J$2:$J$477,$A$2:$A$477,EDATE(A206,-12),$B$2:$B$477,B206)-1,"")</x:f>
        <x:v>-0.14981630153762415</x:v>
      </x:c>
    </x:row>
    <x:row r="207" ht="21" customHeight="1">
      <x:c r="A207" s="7" t="n">
        <x:v>45078</x:v>
      </x:c>
      <x:c r="B207" s="2" t="str">
        <x:v>横浜</x:v>
      </x:c>
      <x:c r="C207" s="2" t="str">
        <x:v>神奈川県</x:v>
      </x:c>
      <x:c r="D207" s="8" t="n">
        <x:v>8821887</x:v>
      </x:c>
      <x:c r="E207" s="8" t="n">
        <x:v>2611350</x:v>
      </x:c>
      <x:c r="F207" s="8" t="n">
        <x:v>3589329</x:v>
      </x:c>
      <x:c r="G207" s="8" t="n">
        <x:v>1166188</x:v>
      </x:c>
      <x:c r="H207" s="8" t="n">
        <x:v>1455020</x:v>
      </x:c>
      <x:c r="I207" s="8" t="n">
        <x:v>263265</x:v>
      </x:c>
      <x:c r="J207" s="8" t="n">
        <x:v>124326</x:v>
      </x:c>
      <x:c r="K207" s="8" t="n">
        <x:v>108627</x:v>
      </x:c>
      <x:c r="L207" s="8" t="n">
        <x:v>12915</x:v>
      </x:c>
      <x:c r="M207" s="8" t="n">
        <x:v>17397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2143</x:v>
      </x:c>
      <x:c r="T207" s="8" t="n">
        <x:v>738</x:v>
      </x:c>
      <x:c r="U207" s="2" t="str">
        <x:v>2025年12月25日現在</x:v>
      </x:c>
      <x:c r="V207" s="2" t="str">
        <x:v>2025-12-25</x:v>
      </x:c>
      <x:c r="W207" s="2" t="str">
        <x:v>https://www.e-stat.go.jp/stat-search/file-download?statInfId=000040024002&amp;fileKind=0</x:v>
      </x:c>
      <x:c r="X207" s="2" t="str">
        <x:v>海上出入貨物!217行、コンテナ個数!42行</x:v>
      </x:c>
      <x:c r="Y207" s="2" t="str">
        <x:v>取得済</x:v>
      </x:c>
      <x:c r="Z207" s="9" t="n">
        <x:f>IF(AND(ISNUMBER(E207),COUNTIFS($A$2:$A$477,EDATE(A207,-12),$B$2:$B$477,B207,$E$2:$E$477,"&gt;0")=1),E207/SUMIFS($E$2:$E$477,$A$2:$A$477,EDATE(A207,-12),$B$2:$B$477,B207)-1,"")</x:f>
        <x:v>0.030248800735714454</x:v>
      </x:c>
      <x:c r="AA207" s="10" t="n">
        <x:f>IF(COUNTIFS($A$2:$A$477,"&gt;="&amp;EDATE(A207,-2),$A$2:$A$477,"&lt;="&amp;A207,$B$2:$B$477,B207,$E$2:$E$477,"&gt;=0")=3,SUMIFS($E$2:$E$477,$A$2:$A$477,"&gt;="&amp;EDATE(A207,-2),$A$2:$A$477,"&lt;="&amp;A207,$B$2:$B$477,B207)/3,"")</x:f>
        <x:v>2375585</x:v>
      </x:c>
      <x:c r="AB207" s="9" t="n">
        <x:f>IF(AND(ISNUMBER(J207),COUNTIFS($A$2:$A$477,EDATE(A207,-12),$B$2:$B$477,B207,$J$2:$J$477,"&gt;0")=1),J207/SUMIFS($J$2:$J$477,$A$2:$A$477,EDATE(A207,-12),$B$2:$B$477,B207)-1,"")</x:f>
        <x:v>0.023731102401106652</x:v>
      </x:c>
    </x:row>
    <x:row r="208" ht="21" customHeight="1">
      <x:c r="A208" s="7" t="n">
        <x:v>45078</x:v>
      </x:c>
      <x:c r="B208" s="2" t="str">
        <x:v>清水</x:v>
      </x:c>
      <x:c r="C208" s="2" t="str">
        <x:v>静岡県</x:v>
      </x:c>
      <x:c r="D208" s="8" t="n">
        <x:v>1374946</x:v>
      </x:c>
      <x:c r="E208" s="8" t="n">
        <x:v>269031</x:v>
      </x:c>
      <x:c r="F208" s="8" t="n">
        <x:v>569982</x:v>
      </x:c>
      <x:c r="G208" s="8" t="n">
        <x:v>158749</x:v>
      </x:c>
      <x:c r="H208" s="8" t="n">
        <x:v>377184</x:v>
      </x:c>
      <x:c r="I208" s="8" t="n">
        <x:v>42733</x:v>
      </x:c>
      <x:c r="J208" s="8" t="n">
        <x:v>16807</x:v>
      </x:c>
      <x:c r="K208" s="8" t="n">
        <x:v>17716</x:v>
      </x:c>
      <x:c r="L208" s="8" t="n">
        <x:v>4219</x:v>
      </x:c>
      <x:c r="M208" s="8" t="n">
        <x:v>3991</x:v>
      </x:c>
      <x:c r="N208" s="8" t="n">
        <x:v>0</x:v>
      </x:c>
      <x:c r="O208" s="8" t="n">
        <x:v>0</x:v>
      </x:c>
      <x:c r="P208" s="8" t="n">
        <x:v>3</x:v>
      </x:c>
      <x:c r="Q208" s="8" t="n">
        <x:v>2</x:v>
      </x:c>
      <x:c r="R208" s="8" t="n">
        <x:v>5</x:v>
      </x:c>
      <x:c r="S208" s="8" t="n">
        <x:v>451</x:v>
      </x:c>
      <x:c r="T208" s="8" t="n">
        <x:v>148</x:v>
      </x:c>
      <x:c r="U208" s="2" t="str">
        <x:v>2025年12月25日現在</x:v>
      </x:c>
      <x:c r="V208" s="2" t="str">
        <x:v>2025-12-25</x:v>
      </x:c>
      <x:c r="W208" s="2" t="str">
        <x:v>https://www.e-stat.go.jp/stat-search/file-download?statInfId=000040024002&amp;fileKind=0</x:v>
      </x:c>
      <x:c r="X208" s="2" t="str">
        <x:v>海上出入貨物!313行、コンテナ個数!58行</x:v>
      </x:c>
      <x:c r="Y208" s="2" t="str">
        <x:v>取得済</x:v>
      </x:c>
      <x:c r="Z208" s="9" t="n">
        <x:f>IF(AND(ISNUMBER(E208),COUNTIFS($A$2:$A$477,EDATE(A208,-12),$B$2:$B$477,B208,$E$2:$E$477,"&gt;0")=1),E208/SUMIFS($E$2:$E$477,$A$2:$A$477,EDATE(A208,-12),$B$2:$B$477,B208)-1,"")</x:f>
        <x:v>-0.186728576999465</x:v>
      </x:c>
      <x:c r="AA208" s="10" t="n">
        <x:f>IF(COUNTIFS($A$2:$A$477,"&gt;="&amp;EDATE(A208,-2),$A$2:$A$477,"&lt;="&amp;A208,$B$2:$B$477,B208,$E$2:$E$477,"&gt;=0")=3,SUMIFS($E$2:$E$477,$A$2:$A$477,"&gt;="&amp;EDATE(A208,-2),$A$2:$A$477,"&lt;="&amp;A208,$B$2:$B$477,B208)/3,"")</x:f>
        <x:v>267502</x:v>
      </x:c>
      <x:c r="AB208" s="9" t="n">
        <x:f>IF(AND(ISNUMBER(J208),COUNTIFS($A$2:$A$477,EDATE(A208,-12),$B$2:$B$477,B208,$J$2:$J$477,"&gt;0")=1),J208/SUMIFS($J$2:$J$477,$A$2:$A$477,EDATE(A208,-12),$B$2:$B$477,B208)-1,"")</x:f>
        <x:v>-0.15206094546188387</x:v>
      </x:c>
    </x:row>
    <x:row r="209" ht="21" customHeight="1">
      <x:c r="A209" s="7" t="n">
        <x:v>45078</x:v>
      </x:c>
      <x:c r="B209" s="2" t="str">
        <x:v>博多</x:v>
      </x:c>
      <x:c r="C209" s="2" t="str">
        <x:v>福岡県</x:v>
      </x:c>
      <x:c r="D209" s="8" t="n">
        <x:v>3018203</x:v>
      </x:c>
      <x:c r="E209" s="8" t="n">
        <x:v>818670</x:v>
      </x:c>
      <x:c r="F209" s="8" t="n">
        <x:v>807530</x:v>
      </x:c>
      <x:c r="G209" s="8" t="n">
        <x:v>439471</x:v>
      </x:c>
      <x:c r="H209" s="8" t="n">
        <x:v>952532</x:v>
      </x:c>
      <x:c r="I209" s="8" t="n">
        <x:v>84368</x:v>
      </x:c>
      <x:c r="J209" s="8" t="n">
        <x:v>36751</x:v>
      </x:c>
      <x:c r="K209" s="8" t="n">
        <x:v>35241</x:v>
      </x:c>
      <x:c r="L209" s="8" t="n">
        <x:v>5763</x:v>
      </x:c>
      <x:c r="M209" s="8" t="n">
        <x:v>6613</x:v>
      </x:c>
      <x:c r="N209" s="8" t="n">
        <x:v>0</x:v>
      </x:c>
      <x:c r="O209" s="8" t="n">
        <x:v>0</x:v>
      </x:c>
      <x:c r="P209" s="8" t="n">
        <x:v>1455</x:v>
      </x:c>
      <x:c r="Q209" s="8" t="n">
        <x:v>1352</x:v>
      </x:c>
      <x:c r="R209" s="8" t="n">
        <x:v>2807</x:v>
      </x:c>
      <x:c r="S209" s="8" t="n">
        <x:v>1641</x:v>
      </x:c>
      <x:c r="T209" s="8" t="n">
        <x:v>284</x:v>
      </x:c>
      <x:c r="U209" s="2" t="str">
        <x:v>2025年12月25日現在</x:v>
      </x:c>
      <x:c r="V209" s="2" t="str">
        <x:v>2025-12-25</x:v>
      </x:c>
      <x:c r="W209" s="2" t="str">
        <x:v>https://www.e-stat.go.jp/stat-search/file-download?statInfId=000040024002&amp;fileKind=0</x:v>
      </x:c>
      <x:c r="X209" s="2" t="str">
        <x:v>海上出入貨物!745行、コンテナ個数!130行</x:v>
      </x:c>
      <x:c r="Y209" s="2" t="str">
        <x:v>取得済</x:v>
      </x:c>
      <x:c r="Z209" s="9" t="n">
        <x:f>IF(AND(ISNUMBER(E209),COUNTIFS($A$2:$A$477,EDATE(A209,-12),$B$2:$B$477,B209,$E$2:$E$477,"&gt;0")=1),E209/SUMIFS($E$2:$E$477,$A$2:$A$477,EDATE(A209,-12),$B$2:$B$477,B209)-1,"")</x:f>
        <x:v>0.12212980832492648</x:v>
      </x:c>
      <x:c r="AA209" s="10" t="n">
        <x:f>IF(COUNTIFS($A$2:$A$477,"&gt;="&amp;EDATE(A209,-2),$A$2:$A$477,"&lt;="&amp;A209,$B$2:$B$477,B209,$E$2:$E$477,"&gt;=0")=3,SUMIFS($E$2:$E$477,$A$2:$A$477,"&gt;="&amp;EDATE(A209,-2),$A$2:$A$477,"&lt;="&amp;A209,$B$2:$B$477,B209)/3,"")</x:f>
        <x:v>747576.6666666666</x:v>
      </x:c>
      <x:c r="AB209" s="9" t="n">
        <x:f>IF(AND(ISNUMBER(J209),COUNTIFS($A$2:$A$477,EDATE(A209,-12),$B$2:$B$477,B209,$J$2:$J$477,"&gt;0")=1),J209/SUMIFS($J$2:$J$477,$A$2:$A$477,EDATE(A209,-12),$B$2:$B$477,B209)-1,"")</x:f>
        <x:v>0.024846625766871133</x:v>
      </x:c>
    </x:row>
    <x:row r="210" ht="21" customHeight="1">
      <x:c r="A210" s="7" t="n">
        <x:v>45078</x:v>
      </x:c>
      <x:c r="B210" s="2" t="str">
        <x:v>熊本</x:v>
      </x:c>
      <x:c r="C210" s="2" t="str">
        <x:v>熊本県</x:v>
      </x:c>
      <x:c r="D210" s="8" t="n">
        <x:v>245145</x:v>
      </x:c>
      <x:c r="E210" s="8" t="n">
        <x:v>5667</x:v>
      </x:c>
      <x:c r="F210" s="8" t="n">
        <x:v>5152</x:v>
      </x:c>
      <x:c r="G210" s="8" t="n">
        <x:v>95270</x:v>
      </x:c>
      <x:c r="H210" s="8" t="n">
        <x:v>139056</x:v>
      </x:c>
      <x:c r="I210" s="8" t="n">
        <x:v>1032</x:v>
      </x:c>
      <x:c r="J210" s="8" t="n">
        <x:v>355</x:v>
      </x:c>
      <x:c r="K210" s="8" t="n">
        <x:v>329</x:v>
      </x:c>
      <x:c r="L210" s="8" t="n">
        <x:v>150</x:v>
      </x:c>
      <x:c r="M210" s="8" t="n">
        <x:v>198</x:v>
      </x:c>
      <x:c r="N210" s="8" t="n">
        <x:v>0</x:v>
      </x:c>
      <x:c r="O210" s="8" t="n">
        <x:v>0</x:v>
      </x:c>
      <x:c r="P210" s="8" t="n">
        <x:v>541</x:v>
      </x:c>
      <x:c r="Q210" s="8" t="n">
        <x:v>557</x:v>
      </x:c>
      <x:c r="R210" s="8" t="n">
        <x:v>1098</x:v>
      </x:c>
      <x:c r="S210" s="8" t="n">
        <x:v>44</x:v>
      </x:c>
      <x:c r="T210" s="8" t="n">
        <x:v>8</x:v>
      </x:c>
      <x:c r="U210" s="2" t="str">
        <x:v>2025年12月25日現在</x:v>
      </x:c>
      <x:c r="V210" s="2" t="str">
        <x:v>2025-12-25</x:v>
      </x:c>
      <x:c r="W210" s="2" t="str">
        <x:v>https://www.e-stat.go.jp/stat-search/file-download?statInfId=000040024002&amp;fileKind=0</x:v>
      </x:c>
      <x:c r="X210" s="2" t="str">
        <x:v>海上出入貨物!859行、コンテナ個数!149行</x:v>
      </x:c>
      <x:c r="Y210" s="2" t="str">
        <x:v>取得済</x:v>
      </x:c>
      <x:c r="Z210" s="9" t="n">
        <x:f>IF(AND(ISNUMBER(E210),COUNTIFS($A$2:$A$477,EDATE(A210,-12),$B$2:$B$477,B210,$E$2:$E$477,"&gt;0")=1),E210/SUMIFS($E$2:$E$477,$A$2:$A$477,EDATE(A210,-12),$B$2:$B$477,B210)-1,"")</x:f>
        <x:v>0.724064496501369</x:v>
      </x:c>
      <x:c r="AA210" s="10" t="n">
        <x:f>IF(COUNTIFS($A$2:$A$477,"&gt;="&amp;EDATE(A210,-2),$A$2:$A$477,"&lt;="&amp;A210,$B$2:$B$477,B210,$E$2:$E$477,"&gt;=0")=3,SUMIFS($E$2:$E$477,$A$2:$A$477,"&gt;="&amp;EDATE(A210,-2),$A$2:$A$477,"&lt;="&amp;A210,$B$2:$B$477,B210)/3,"")</x:f>
        <x:v>6096.333333333333</x:v>
      </x:c>
      <x:c r="AB210" s="9" t="n">
        <x:f>IF(AND(ISNUMBER(J210),COUNTIFS($A$2:$A$477,EDATE(A210,-12),$B$2:$B$477,B210,$J$2:$J$477,"&gt;0")=1),J210/SUMIFS($J$2:$J$477,$A$2:$A$477,EDATE(A210,-12),$B$2:$B$477,B210)-1,"")</x:f>
        <x:v>0.21160409556313997</x:v>
      </x:c>
    </x:row>
    <x:row r="211" ht="21" customHeight="1">
      <x:c r="A211" s="7" t="n">
        <x:v>45078</x:v>
      </x:c>
      <x:c r="B211" s="2" t="str">
        <x:v>八代</x:v>
      </x:c>
      <x:c r="C211" s="2" t="str">
        <x:v>熊本県</x:v>
      </x:c>
      <x:c r="D211" s="8" t="n">
        <x:v>264863</x:v>
      </x:c>
      <x:c r="E211" s="8" t="n">
        <x:v>17308</x:v>
      </x:c>
      <x:c r="F211" s="8" t="n">
        <x:v>90172</x:v>
      </x:c>
      <x:c r="G211" s="8" t="n">
        <x:v>15369</x:v>
      </x:c>
      <x:c r="H211" s="8" t="n">
        <x:v>142014</x:v>
      </x:c>
      <x:c r="I211" s="8" t="n">
        <x:v>1740</x:v>
      </x:c>
      <x:c r="J211" s="8" t="n">
        <x:v>673</x:v>
      </x:c>
      <x:c r="K211" s="8" t="n">
        <x:v>618</x:v>
      </x:c>
      <x:c r="L211" s="8" t="n">
        <x:v>181</x:v>
      </x:c>
      <x:c r="M211" s="8" t="n">
        <x:v>268</x:v>
      </x:c>
      <x:c r="N211" s="8" t="n">
        <x:v>0</x:v>
      </x:c>
      <x:c r="O211" s="8" t="n">
        <x:v>0</x:v>
      </x:c>
      <x:c r="P211" s="8" t="n">
        <x:v>0</x:v>
      </x:c>
      <x:c r="Q211" s="8" t="n">
        <x:v>0</x:v>
      </x:c>
      <x:c r="R211" s="8" t="n">
        <x:v>0</x:v>
      </x:c>
      <x:c r="S211" s="8" t="n">
        <x:v>201</x:v>
      </x:c>
      <x:c r="T211" s="8" t="n">
        <x:v>39</x:v>
      </x:c>
      <x:c r="U211" s="2" t="str">
        <x:v>2025年12月25日現在</x:v>
      </x:c>
      <x:c r="V211" s="2" t="str">
        <x:v>2025-12-25</x:v>
      </x:c>
      <x:c r="W211" s="2" t="str">
        <x:v>https://www.e-stat.go.jp/stat-search/file-download?statInfId=000040024002&amp;fileKind=0</x:v>
      </x:c>
      <x:c r="X211" s="2" t="str">
        <x:v>海上出入貨物!847行、コンテナ個数!147行</x:v>
      </x:c>
      <x:c r="Y211" s="2" t="str">
        <x:v>取得済</x:v>
      </x:c>
      <x:c r="Z211" s="9" t="n">
        <x:f>IF(AND(ISNUMBER(E211),COUNTIFS($A$2:$A$477,EDATE(A211,-12),$B$2:$B$477,B211,$E$2:$E$477,"&gt;0")=1),E211/SUMIFS($E$2:$E$477,$A$2:$A$477,EDATE(A211,-12),$B$2:$B$477,B211)-1,"")</x:f>
        <x:v>0.3408738766656336</x:v>
      </x:c>
      <x:c r="AA211" s="10" t="n">
        <x:f>IF(COUNTIFS($A$2:$A$477,"&gt;="&amp;EDATE(A211,-2),$A$2:$A$477,"&lt;="&amp;A211,$B$2:$B$477,B211,$E$2:$E$477,"&gt;=0")=3,SUMIFS($E$2:$E$477,$A$2:$A$477,"&gt;="&amp;EDATE(A211,-2),$A$2:$A$477,"&lt;="&amp;A211,$B$2:$B$477,B211)/3,"")</x:f>
        <x:v>21955</x:v>
      </x:c>
      <x:c r="AB211" s="9" t="n">
        <x:f>IF(AND(ISNUMBER(J211),COUNTIFS($A$2:$A$477,EDATE(A211,-12),$B$2:$B$477,B211,$J$2:$J$477,"&gt;0")=1),J211/SUMIFS($J$2:$J$477,$A$2:$A$477,EDATE(A211,-12),$B$2:$B$477,B211)-1,"")</x:f>
        <x:v>-0.37043966323666977</x:v>
      </x:c>
    </x:row>
    <x:row r="212" ht="21" customHeight="1">
      <x:c r="A212" s="7" t="n">
        <x:v>45108</x:v>
      </x:c>
      <x:c r="B212" s="2" t="str">
        <x:v>仙台塩釜</x:v>
      </x:c>
      <x:c r="C212" s="2" t="str">
        <x:v>宮城県</x:v>
      </x:c>
      <x:c r="D212" s="8" t="n">
        <x:v>3108005</x:v>
      </x:c>
      <x:c r="E212" s="8" t="n">
        <x:v>61888</x:v>
      </x:c>
      <x:c r="F212" s="8" t="n">
        <x:v>801516</x:v>
      </x:c>
      <x:c r="G212" s="8" t="n">
        <x:v>934444</x:v>
      </x:c>
      <x:c r="H212" s="8" t="n">
        <x:v>1310157</x:v>
      </x:c>
      <x:c r="I212" s="8" t="n">
        <x:v>20374</x:v>
      </x:c>
      <x:c r="J212" s="8" t="n">
        <x:v>4837</x:v>
      </x:c>
      <x:c r="K212" s="8" t="n">
        <x:v>5291</x:v>
      </x:c>
      <x:c r="L212" s="8" t="n">
        <x:v>5301</x:v>
      </x:c>
      <x:c r="M212" s="8" t="n">
        <x:v>4945</x:v>
      </x:c>
      <x:c r="N212" s="8" t="n">
        <x:v>0</x:v>
      </x:c>
      <x:c r="O212" s="8" t="n">
        <x:v>0</x:v>
      </x:c>
      <x:c r="P212" s="8" t="n">
        <x:v>549</x:v>
      </x:c>
      <x:c r="Q212" s="8" t="n">
        <x:v>590</x:v>
      </x:c>
      <x:c r="R212" s="8" t="n">
        <x:v>1139</x:v>
      </x:c>
      <x:c r="S212" s="8" t="n">
        <x:v>2093</x:v>
      </x:c>
      <x:c r="T212" s="8" t="n">
        <x:v>83</x:v>
      </x:c>
      <x:c r="U212" s="2" t="str">
        <x:v>2025年12月25日現在</x:v>
      </x:c>
      <x:c r="V212" s="2" t="str">
        <x:v>2025-12-25</x:v>
      </x:c>
      <x:c r="W212" s="2" t="str">
        <x:v>https://www.e-stat.go.jp/stat-search/file-download?statInfId=000040024002&amp;fileKind=0</x:v>
      </x:c>
      <x:c r="X212" s="2" t="str">
        <x:v>海上出入貨物!139行、コンテナ個数!29行</x:v>
      </x:c>
      <x:c r="Y212" s="2" t="str">
        <x:v>取得済</x:v>
      </x:c>
      <x:c r="Z212" s="9" t="n">
        <x:f>IF(AND(ISNUMBER(E212),COUNTIFS($A$2:$A$477,EDATE(A212,-12),$B$2:$B$477,B212,$E$2:$E$477,"&gt;0")=1),E212/SUMIFS($E$2:$E$477,$A$2:$A$477,EDATE(A212,-12),$B$2:$B$477,B212)-1,"")</x:f>
        <x:v>-0.6022110811158247</x:v>
      </x:c>
      <x:c r="AA212" s="10" t="n">
        <x:f>IF(COUNTIFS($A$2:$A$477,"&gt;="&amp;EDATE(A212,-2),$A$2:$A$477,"&lt;="&amp;A212,$B$2:$B$477,B212,$E$2:$E$477,"&gt;=0")=3,SUMIFS($E$2:$E$477,$A$2:$A$477,"&gt;="&amp;EDATE(A212,-2),$A$2:$A$477,"&lt;="&amp;A212,$B$2:$B$477,B212)/3,"")</x:f>
        <x:v>79828.66666666667</x:v>
      </x:c>
      <x:c r="AB212" s="9" t="n">
        <x:f>IF(AND(ISNUMBER(J212),COUNTIFS($A$2:$A$477,EDATE(A212,-12),$B$2:$B$477,B212,$J$2:$J$477,"&gt;0")=1),J212/SUMIFS($J$2:$J$477,$A$2:$A$477,EDATE(A212,-12),$B$2:$B$477,B212)-1,"")</x:f>
        <x:v>-0.1755582069200614</x:v>
      </x:c>
    </x:row>
    <x:row r="213" ht="21" customHeight="1">
      <x:c r="A213" s="7" t="n">
        <x:v>45108</x:v>
      </x:c>
      <x:c r="B213" s="2" t="str">
        <x:v>東京</x:v>
      </x:c>
      <x:c r="C213" s="2" t="str">
        <x:v>東京都</x:v>
      </x:c>
      <x:c r="D213" s="8" t="n">
        <x:v>7026693</x:v>
      </x:c>
      <x:c r="E213" s="8" t="n">
        <x:v>965082</x:v>
      </x:c>
      <x:c r="F213" s="8" t="n">
        <x:v>2758308</x:v>
      </x:c>
      <x:c r="G213" s="8" t="n">
        <x:v>1224705</x:v>
      </x:c>
      <x:c r="H213" s="8" t="n">
        <x:v>2078598</x:v>
      </x:c>
      <x:c r="I213" s="8" t="n">
        <x:v>381292</x:v>
      </x:c>
      <x:c r="J213" s="8" t="n">
        <x:v>152887</x:v>
      </x:c>
      <x:c r="K213" s="8" t="n">
        <x:v>182033</x:v>
      </x:c>
      <x:c r="L213" s="8" t="n">
        <x:v>33110</x:v>
      </x:c>
      <x:c r="M213" s="8" t="n">
        <x:v>13262</x:v>
      </x:c>
      <x:c r="N213" s="8" t="n">
        <x:v>0</x:v>
      </x:c>
      <x:c r="O213" s="8" t="n">
        <x:v>0</x:v>
      </x:c>
      <x:c r="P213" s="8" t="n">
        <x:v>268</x:v>
      </x:c>
      <x:c r="Q213" s="8" t="n">
        <x:v>163</x:v>
      </x:c>
      <x:c r="R213" s="8" t="n">
        <x:v>431</x:v>
      </x:c>
      <x:c r="S213" s="8" t="n">
        <x:v>1775</x:v>
      </x:c>
      <x:c r="T213" s="8" t="n">
        <x:v>426</x:v>
      </x:c>
      <x:c r="U213" s="2" t="str">
        <x:v>2025年12月25日現在</x:v>
      </x:c>
      <x:c r="V213" s="2" t="str">
        <x:v>2025-12-25</x:v>
      </x:c>
      <x:c r="W213" s="2" t="str">
        <x:v>https://www.e-stat.go.jp/stat-search/file-download?statInfId=000040024002&amp;fileKind=0</x:v>
      </x:c>
      <x:c r="X213" s="2" t="str">
        <x:v>海上出入貨物!205行、コンテナ個数!40行</x:v>
      </x:c>
      <x:c r="Y213" s="2" t="str">
        <x:v>取得済</x:v>
      </x:c>
      <x:c r="Z213" s="9" t="n">
        <x:f>IF(AND(ISNUMBER(E213),COUNTIFS($A$2:$A$477,EDATE(A213,-12),$B$2:$B$477,B213,$E$2:$E$477,"&gt;0")=1),E213/SUMIFS($E$2:$E$477,$A$2:$A$477,EDATE(A213,-12),$B$2:$B$477,B213)-1,"")</x:f>
        <x:v>-0.06847255026683818</x:v>
      </x:c>
      <x:c r="AA213" s="10" t="n">
        <x:f>IF(COUNTIFS($A$2:$A$477,"&gt;="&amp;EDATE(A213,-2),$A$2:$A$477,"&lt;="&amp;A213,$B$2:$B$477,B213,$E$2:$E$477,"&gt;=0")=3,SUMIFS($E$2:$E$477,$A$2:$A$477,"&gt;="&amp;EDATE(A213,-2),$A$2:$A$477,"&lt;="&amp;A213,$B$2:$B$477,B213)/3,"")</x:f>
        <x:v>927974.3333333334</x:v>
      </x:c>
      <x:c r="AB213" s="9" t="n">
        <x:f>IF(AND(ISNUMBER(J213),COUNTIFS($A$2:$A$477,EDATE(A213,-12),$B$2:$B$477,B213,$J$2:$J$477,"&gt;0")=1),J213/SUMIFS($J$2:$J$477,$A$2:$A$477,EDATE(A213,-12),$B$2:$B$477,B213)-1,"")</x:f>
        <x:v>-0.18504600164177354</x:v>
      </x:c>
    </x:row>
    <x:row r="214" ht="21" customHeight="1">
      <x:c r="A214" s="7" t="n">
        <x:v>45108</x:v>
      </x:c>
      <x:c r="B214" s="2" t="str">
        <x:v>横浜</x:v>
      </x:c>
      <x:c r="C214" s="2" t="str">
        <x:v>神奈川県</x:v>
      </x:c>
      <x:c r="D214" s="8" t="n">
        <x:v>8239577</x:v>
      </x:c>
      <x:c r="E214" s="8" t="n">
        <x:v>2533655</x:v>
      </x:c>
      <x:c r="F214" s="8" t="n">
        <x:v>3133701</x:v>
      </x:c>
      <x:c r="G214" s="8" t="n">
        <x:v>1035377</x:v>
      </x:c>
      <x:c r="H214" s="8" t="n">
        <x:v>1536844</x:v>
      </x:c>
      <x:c r="I214" s="8" t="n">
        <x:v>262183</x:v>
      </x:c>
      <x:c r="J214" s="8" t="n">
        <x:v>120160</x:v>
      </x:c>
      <x:c r="K214" s="8" t="n">
        <x:v>109908</x:v>
      </x:c>
      <x:c r="L214" s="8" t="n">
        <x:v>15741</x:v>
      </x:c>
      <x:c r="M214" s="8" t="n">
        <x:v>16374</x:v>
      </x:c>
      <x:c r="N214" s="8" t="n">
        <x:v>0</x:v>
      </x:c>
      <x:c r="O214" s="8" t="n">
        <x:v>0</x:v>
      </x:c>
      <x:c r="P214" s="8" t="n">
        <x:v>0</x:v>
      </x:c>
      <x:c r="Q214" s="8" t="n">
        <x:v>0</x:v>
      </x:c>
      <x:c r="R214" s="8" t="n">
        <x:v>0</x:v>
      </x:c>
      <x:c r="S214" s="8" t="n">
        <x:v>2174</x:v>
      </x:c>
      <x:c r="T214" s="8" t="n">
        <x:v>744</x:v>
      </x:c>
      <x:c r="U214" s="2" t="str">
        <x:v>2025年12月25日現在</x:v>
      </x:c>
      <x:c r="V214" s="2" t="str">
        <x:v>2025-12-25</x:v>
      </x:c>
      <x:c r="W214" s="2" t="str">
        <x:v>https://www.e-stat.go.jp/stat-search/file-download?statInfId=000040024002&amp;fileKind=0</x:v>
      </x:c>
      <x:c r="X214" s="2" t="str">
        <x:v>海上出入貨物!217行、コンテナ個数!42行</x:v>
      </x:c>
      <x:c r="Y214" s="2" t="str">
        <x:v>取得済</x:v>
      </x:c>
      <x:c r="Z214" s="9" t="n">
        <x:f>IF(AND(ISNUMBER(E214),COUNTIFS($A$2:$A$477,EDATE(A214,-12),$B$2:$B$477,B214,$E$2:$E$477,"&gt;0")=1),E214/SUMIFS($E$2:$E$477,$A$2:$A$477,EDATE(A214,-12),$B$2:$B$477,B214)-1,"")</x:f>
        <x:v>0.04812300864674435</x:v>
      </x:c>
      <x:c r="AA214" s="10" t="n">
        <x:f>IF(COUNTIFS($A$2:$A$477,"&gt;="&amp;EDATE(A214,-2),$A$2:$A$477,"&lt;="&amp;A214,$B$2:$B$477,B214,$E$2:$E$477,"&gt;=0")=3,SUMIFS($E$2:$E$477,$A$2:$A$477,"&gt;="&amp;EDATE(A214,-2),$A$2:$A$477,"&lt;="&amp;A214,$B$2:$B$477,B214)/3,"")</x:f>
        <x:v>2467715</x:v>
      </x:c>
      <x:c r="AB214" s="9" t="n">
        <x:f>IF(AND(ISNUMBER(J214),COUNTIFS($A$2:$A$477,EDATE(A214,-12),$B$2:$B$477,B214,$J$2:$J$477,"&gt;0")=1),J214/SUMIFS($J$2:$J$477,$A$2:$A$477,EDATE(A214,-12),$B$2:$B$477,B214)-1,"")</x:f>
        <x:v>-0.041174593041812924</x:v>
      </x:c>
    </x:row>
    <x:row r="215" ht="21" customHeight="1">
      <x:c r="A215" s="7" t="n">
        <x:v>45108</x:v>
      </x:c>
      <x:c r="B215" s="2" t="str">
        <x:v>清水</x:v>
      </x:c>
      <x:c r="C215" s="2" t="str">
        <x:v>静岡県</x:v>
      </x:c>
      <x:c r="D215" s="8" t="n">
        <x:v>1367297</x:v>
      </x:c>
      <x:c r="E215" s="8" t="n">
        <x:v>290777</x:v>
      </x:c>
      <x:c r="F215" s="8" t="n">
        <x:v>516171</x:v>
      </x:c>
      <x:c r="G215" s="8" t="n">
        <x:v>162152</x:v>
      </x:c>
      <x:c r="H215" s="8" t="n">
        <x:v>398197</x:v>
      </x:c>
      <x:c r="I215" s="8" t="n">
        <x:v>42786</x:v>
      </x:c>
      <x:c r="J215" s="8" t="n">
        <x:v>17636</x:v>
      </x:c>
      <x:c r="K215" s="8" t="n">
        <x:v>16901</x:v>
      </x:c>
      <x:c r="L215" s="8" t="n">
        <x:v>3920</x:v>
      </x:c>
      <x:c r="M215" s="8" t="n">
        <x:v>4329</x:v>
      </x:c>
      <x:c r="N215" s="8" t="n">
        <x:v>0</x:v>
      </x:c>
      <x:c r="O215" s="8" t="n">
        <x:v>0</x:v>
      </x:c>
      <x:c r="P215" s="8" t="n">
        <x:v>7</x:v>
      </x:c>
      <x:c r="Q215" s="8" t="n">
        <x:v>9</x:v>
      </x:c>
      <x:c r="R215" s="8" t="n">
        <x:v>16</x:v>
      </x:c>
      <x:c r="S215" s="8" t="n">
        <x:v>471</x:v>
      </x:c>
      <x:c r="T215" s="8" t="n">
        <x:v>147</x:v>
      </x:c>
      <x:c r="U215" s="2" t="str">
        <x:v>2025年12月25日現在</x:v>
      </x:c>
      <x:c r="V215" s="2" t="str">
        <x:v>2025-12-25</x:v>
      </x:c>
      <x:c r="W215" s="2" t="str">
        <x:v>https://www.e-stat.go.jp/stat-search/file-download?statInfId=000040024002&amp;fileKind=0</x:v>
      </x:c>
      <x:c r="X215" s="2" t="str">
        <x:v>海上出入貨物!313行、コンテナ個数!58行</x:v>
      </x:c>
      <x:c r="Y215" s="2" t="str">
        <x:v>取得済</x:v>
      </x:c>
      <x:c r="Z215" s="9" t="n">
        <x:f>IF(AND(ISNUMBER(E215),COUNTIFS($A$2:$A$477,EDATE(A215,-12),$B$2:$B$477,B215,$E$2:$E$477,"&gt;0")=1),E215/SUMIFS($E$2:$E$477,$A$2:$A$477,EDATE(A215,-12),$B$2:$B$477,B215)-1,"")</x:f>
        <x:v>-0.07813926651110881</x:v>
      </x:c>
      <x:c r="AA215" s="10" t="n">
        <x:f>IF(COUNTIFS($A$2:$A$477,"&gt;="&amp;EDATE(A215,-2),$A$2:$A$477,"&lt;="&amp;A215,$B$2:$B$477,B215,$E$2:$E$477,"&gt;=0")=3,SUMIFS($E$2:$E$477,$A$2:$A$477,"&gt;="&amp;EDATE(A215,-2),$A$2:$A$477,"&lt;="&amp;A215,$B$2:$B$477,B215)/3,"")</x:f>
        <x:v>269383</x:v>
      </x:c>
      <x:c r="AB215" s="9" t="n">
        <x:f>IF(AND(ISNUMBER(J215),COUNTIFS($A$2:$A$477,EDATE(A215,-12),$B$2:$B$477,B215,$J$2:$J$477,"&gt;0")=1),J215/SUMIFS($J$2:$J$477,$A$2:$A$477,EDATE(A215,-12),$B$2:$B$477,B215)-1,"")</x:f>
        <x:v>-0.07790442329812819</x:v>
      </x:c>
    </x:row>
    <x:row r="216" ht="21" customHeight="1">
      <x:c r="A216" s="7" t="n">
        <x:v>45108</x:v>
      </x:c>
      <x:c r="B216" s="2" t="str">
        <x:v>博多</x:v>
      </x:c>
      <x:c r="C216" s="2" t="str">
        <x:v>福岡県</x:v>
      </x:c>
      <x:c r="D216" s="8" t="n">
        <x:v>2981976</x:v>
      </x:c>
      <x:c r="E216" s="8" t="n">
        <x:v>781992</x:v>
      </x:c>
      <x:c r="F216" s="8" t="n">
        <x:v>788742</x:v>
      </x:c>
      <x:c r="G216" s="8" t="n">
        <x:v>486463</x:v>
      </x:c>
      <x:c r="H216" s="8" t="n">
        <x:v>924779</x:v>
      </x:c>
      <x:c r="I216" s="8" t="n">
        <x:v>81532</x:v>
      </x:c>
      <x:c r="J216" s="8" t="n">
        <x:v>34740</x:v>
      </x:c>
      <x:c r="K216" s="8" t="n">
        <x:v>34469</x:v>
      </x:c>
      <x:c r="L216" s="8" t="n">
        <x:v>6737</x:v>
      </x:c>
      <x:c r="M216" s="8" t="n">
        <x:v>5586</x:v>
      </x:c>
      <x:c r="N216" s="8" t="n">
        <x:v>0</x:v>
      </x:c>
      <x:c r="O216" s="8" t="n">
        <x:v>0</x:v>
      </x:c>
      <x:c r="P216" s="8" t="n">
        <x:v>1377</x:v>
      </x:c>
      <x:c r="Q216" s="8" t="n">
        <x:v>1371</x:v>
      </x:c>
      <x:c r="R216" s="8" t="n">
        <x:v>2748</x:v>
      </x:c>
      <x:c r="S216" s="8" t="n">
        <x:v>1702</x:v>
      </x:c>
      <x:c r="T216" s="8" t="n">
        <x:v>286</x:v>
      </x:c>
      <x:c r="U216" s="2" t="str">
        <x:v>2025年12月25日現在</x:v>
      </x:c>
      <x:c r="V216" s="2" t="str">
        <x:v>2025-12-25</x:v>
      </x:c>
      <x:c r="W216" s="2" t="str">
        <x:v>https://www.e-stat.go.jp/stat-search/file-download?statInfId=000040024002&amp;fileKind=0</x:v>
      </x:c>
      <x:c r="X216" s="2" t="str">
        <x:v>海上出入貨物!745行、コンテナ個数!130行</x:v>
      </x:c>
      <x:c r="Y216" s="2" t="str">
        <x:v>取得済</x:v>
      </x:c>
      <x:c r="Z216" s="9" t="n">
        <x:f>IF(AND(ISNUMBER(E216),COUNTIFS($A$2:$A$477,EDATE(A216,-12),$B$2:$B$477,B216,$E$2:$E$477,"&gt;0")=1),E216/SUMIFS($E$2:$E$477,$A$2:$A$477,EDATE(A216,-12),$B$2:$B$477,B216)-1,"")</x:f>
        <x:v>0.0059469827070541825</x:v>
      </x:c>
      <x:c r="AA216" s="10" t="n">
        <x:f>IF(COUNTIFS($A$2:$A$477,"&gt;="&amp;EDATE(A216,-2),$A$2:$A$477,"&lt;="&amp;A216,$B$2:$B$477,B216,$E$2:$E$477,"&gt;=0")=3,SUMIFS($E$2:$E$477,$A$2:$A$477,"&gt;="&amp;EDATE(A216,-2),$A$2:$A$477,"&lt;="&amp;A216,$B$2:$B$477,B216)/3,"")</x:f>
        <x:v>769416.6666666666</x:v>
      </x:c>
      <x:c r="AB216" s="9" t="n">
        <x:f>IF(AND(ISNUMBER(J216),COUNTIFS($A$2:$A$477,EDATE(A216,-12),$B$2:$B$477,B216,$J$2:$J$477,"&gt;0")=1),J216/SUMIFS($J$2:$J$477,$A$2:$A$477,EDATE(A216,-12),$B$2:$B$477,B216)-1,"")</x:f>
        <x:v>0.0447806081020119</x:v>
      </x:c>
    </x:row>
    <x:row r="217" ht="21" customHeight="1">
      <x:c r="A217" s="7" t="n">
        <x:v>45108</x:v>
      </x:c>
      <x:c r="B217" s="2" t="str">
        <x:v>熊本</x:v>
      </x:c>
      <x:c r="C217" s="2" t="str">
        <x:v>熊本県</x:v>
      </x:c>
      <x:c r="D217" s="8" t="n">
        <x:v>258642</x:v>
      </x:c>
      <x:c r="E217" s="8" t="n">
        <x:v>3903</x:v>
      </x:c>
      <x:c r="F217" s="8" t="n">
        <x:v>3830</x:v>
      </x:c>
      <x:c r="G217" s="8" t="n">
        <x:v>106525</x:v>
      </x:c>
      <x:c r="H217" s="8" t="n">
        <x:v>144384</x:v>
      </x:c>
      <x:c r="I217" s="8" t="n">
        <x:v>779</x:v>
      </x:c>
      <x:c r="J217" s="8" t="n">
        <x:v>240</x:v>
      </x:c>
      <x:c r="K217" s="8" t="n">
        <x:v>205</x:v>
      </x:c>
      <x:c r="L217" s="8" t="n">
        <x:v>165</x:v>
      </x:c>
      <x:c r="M217" s="8" t="n">
        <x:v>169</x:v>
      </x:c>
      <x:c r="N217" s="8" t="n">
        <x:v>0</x:v>
      </x:c>
      <x:c r="O217" s="8" t="n">
        <x:v>0</x:v>
      </x:c>
      <x:c r="P217" s="8" t="n">
        <x:v>605</x:v>
      </x:c>
      <x:c r="Q217" s="8" t="n">
        <x:v>617</x:v>
      </x:c>
      <x:c r="R217" s="8" t="n">
        <x:v>1222</x:v>
      </x:c>
      <x:c r="S217" s="8" t="n">
        <x:v>45</x:v>
      </x:c>
      <x:c r="T217" s="8" t="n">
        <x:v>7</x:v>
      </x:c>
      <x:c r="U217" s="2" t="str">
        <x:v>2025年12月25日現在</x:v>
      </x:c>
      <x:c r="V217" s="2" t="str">
        <x:v>2025-12-25</x:v>
      </x:c>
      <x:c r="W217" s="2" t="str">
        <x:v>https://www.e-stat.go.jp/stat-search/file-download?statInfId=000040024002&amp;fileKind=0</x:v>
      </x:c>
      <x:c r="X217" s="2" t="str">
        <x:v>海上出入貨物!859行、コンテナ個数!149行</x:v>
      </x:c>
      <x:c r="Y217" s="2" t="str">
        <x:v>取得済</x:v>
      </x:c>
      <x:c r="Z217" s="9" t="n">
        <x:f>IF(AND(ISNUMBER(E217),COUNTIFS($A$2:$A$477,EDATE(A217,-12),$B$2:$B$477,B217,$E$2:$E$477,"&gt;0")=1),E217/SUMIFS($E$2:$E$477,$A$2:$A$477,EDATE(A217,-12),$B$2:$B$477,B217)-1,"")</x:f>
        <x:v>-0.06894083969465647</x:v>
      </x:c>
      <x:c r="AA217" s="10" t="n">
        <x:f>IF(COUNTIFS($A$2:$A$477,"&gt;="&amp;EDATE(A217,-2),$A$2:$A$477,"&lt;="&amp;A217,$B$2:$B$477,B217,$E$2:$E$477,"&gt;=0")=3,SUMIFS($E$2:$E$477,$A$2:$A$477,"&gt;="&amp;EDATE(A217,-2),$A$2:$A$477,"&lt;="&amp;A217,$B$2:$B$477,B217)/3,"")</x:f>
        <x:v>5712.333333333333</x:v>
      </x:c>
      <x:c r="AB217" s="9" t="n">
        <x:f>IF(AND(ISNUMBER(J217),COUNTIFS($A$2:$A$477,EDATE(A217,-12),$B$2:$B$477,B217,$J$2:$J$477,"&gt;0")=1),J217/SUMIFS($J$2:$J$477,$A$2:$A$477,EDATE(A217,-12),$B$2:$B$477,B217)-1,"")</x:f>
        <x:v>0.1594202898550725</x:v>
      </x:c>
    </x:row>
    <x:row r="218" ht="21" customHeight="1">
      <x:c r="A218" s="7" t="n">
        <x:v>45108</x:v>
      </x:c>
      <x:c r="B218" s="2" t="str">
        <x:v>八代</x:v>
      </x:c>
      <x:c r="C218" s="2" t="str">
        <x:v>熊本県</x:v>
      </x:c>
      <x:c r="D218" s="8" t="n">
        <x:v>334595</x:v>
      </x:c>
      <x:c r="E218" s="8" t="n">
        <x:v>31025</x:v>
      </x:c>
      <x:c r="F218" s="8" t="n">
        <x:v>148957</x:v>
      </x:c>
      <x:c r="G218" s="8" t="n">
        <x:v>19402</x:v>
      </x:c>
      <x:c r="H218" s="8" t="n">
        <x:v>135211</x:v>
      </x:c>
      <x:c r="I218" s="8" t="n">
        <x:v>1793</x:v>
      </x:c>
      <x:c r="J218" s="8" t="n">
        <x:v>569</x:v>
      </x:c>
      <x:c r="K218" s="8" t="n">
        <x:v>769</x:v>
      </x:c>
      <x:c r="L218" s="8" t="n">
        <x:v>351</x:v>
      </x:c>
      <x:c r="M218" s="8" t="n">
        <x:v>104</x:v>
      </x:c>
      <x:c r="N218" s="8" t="n">
        <x:v>0</x:v>
      </x:c>
      <x:c r="O218" s="8" t="n">
        <x:v>0</x:v>
      </x:c>
      <x:c r="P218" s="8" t="n">
        <x:v>0</x:v>
      </x:c>
      <x:c r="Q218" s="8" t="n">
        <x:v>0</x:v>
      </x:c>
      <x:c r="R218" s="8" t="n">
        <x:v>0</x:v>
      </x:c>
      <x:c r="S218" s="8" t="n">
        <x:v>202</x:v>
      </x:c>
      <x:c r="T218" s="8" t="n">
        <x:v>46</x:v>
      </x:c>
      <x:c r="U218" s="2" t="str">
        <x:v>2025年12月25日現在</x:v>
      </x:c>
      <x:c r="V218" s="2" t="str">
        <x:v>2025-12-25</x:v>
      </x:c>
      <x:c r="W218" s="2" t="str">
        <x:v>https://www.e-stat.go.jp/stat-search/file-download?statInfId=000040024002&amp;fileKind=0</x:v>
      </x:c>
      <x:c r="X218" s="2" t="str">
        <x:v>海上出入貨物!847行、コンテナ個数!147行</x:v>
      </x:c>
      <x:c r="Y218" s="2" t="str">
        <x:v>取得済</x:v>
      </x:c>
      <x:c r="Z218" s="9" t="n">
        <x:f>IF(AND(ISNUMBER(E218),COUNTIFS($A$2:$A$477,EDATE(A218,-12),$B$2:$B$477,B218,$E$2:$E$477,"&gt;0")=1),E218/SUMIFS($E$2:$E$477,$A$2:$A$477,EDATE(A218,-12),$B$2:$B$477,B218)-1,"")</x:f>
        <x:v>0.4189343699977133</x:v>
      </x:c>
      <x:c r="AA218" s="10" t="n">
        <x:f>IF(COUNTIFS($A$2:$A$477,"&gt;="&amp;EDATE(A218,-2),$A$2:$A$477,"&lt;="&amp;A218,$B$2:$B$477,B218,$E$2:$E$477,"&gt;=0")=3,SUMIFS($E$2:$E$477,$A$2:$A$477,"&gt;="&amp;EDATE(A218,-2),$A$2:$A$477,"&lt;="&amp;A218,$B$2:$B$477,B218)/3,"")</x:f>
        <x:v>25031.333333333332</x:v>
      </x:c>
      <x:c r="AB218" s="9" t="n">
        <x:f>IF(AND(ISNUMBER(J218),COUNTIFS($A$2:$A$477,EDATE(A218,-12),$B$2:$B$477,B218,$J$2:$J$477,"&gt;0")=1),J218/SUMIFS($J$2:$J$477,$A$2:$A$477,EDATE(A218,-12),$B$2:$B$477,B218)-1,"")</x:f>
        <x:v>-0.39209401709401714</x:v>
      </x:c>
    </x:row>
    <x:row r="219" ht="21" customHeight="1">
      <x:c r="A219" s="7" t="n">
        <x:v>45139</x:v>
      </x:c>
      <x:c r="B219" s="2" t="str">
        <x:v>仙台塩釜</x:v>
      </x:c>
      <x:c r="C219" s="2" t="str">
        <x:v>宮城県</x:v>
      </x:c>
      <x:c r="D219" s="8" t="n">
        <x:v>2993527</x:v>
      </x:c>
      <x:c r="E219" s="8" t="n">
        <x:v>59485</x:v>
      </x:c>
      <x:c r="F219" s="8" t="n">
        <x:v>887596</x:v>
      </x:c>
      <x:c r="G219" s="8" t="n">
        <x:v>931650</x:v>
      </x:c>
      <x:c r="H219" s="8" t="n">
        <x:v>1114796</x:v>
      </x:c>
      <x:c r="I219" s="8" t="n">
        <x:v>17431</x:v>
      </x:c>
      <x:c r="J219" s="8" t="n">
        <x:v>3893</x:v>
      </x:c>
      <x:c r="K219" s="8" t="n">
        <x:v>4579</x:v>
      </x:c>
      <x:c r="L219" s="8" t="n">
        <x:v>4361</x:v>
      </x:c>
      <x:c r="M219" s="8" t="n">
        <x:v>4598</x:v>
      </x:c>
      <x:c r="N219" s="8" t="n">
        <x:v>0</x:v>
      </x:c>
      <x:c r="O219" s="8" t="n">
        <x:v>0</x:v>
      </x:c>
      <x:c r="P219" s="8" t="n">
        <x:v>565</x:v>
      </x:c>
      <x:c r="Q219" s="8" t="n">
        <x:v>578</x:v>
      </x:c>
      <x:c r="R219" s="8" t="n">
        <x:v>1143</x:v>
      </x:c>
      <x:c r="S219" s="8" t="n">
        <x:v>2202</x:v>
      </x:c>
      <x:c r="T219" s="8" t="n">
        <x:v>81</x:v>
      </x:c>
      <x:c r="U219" s="2" t="str">
        <x:v>2025年12月25日現在</x:v>
      </x:c>
      <x:c r="V219" s="2" t="str">
        <x:v>2025-12-25</x:v>
      </x:c>
      <x:c r="W219" s="2" t="str">
        <x:v>https://www.e-stat.go.jp/stat-search/file-download?statInfId=000040024002&amp;fileKind=0</x:v>
      </x:c>
      <x:c r="X219" s="2" t="str">
        <x:v>海上出入貨物!139行、コンテナ個数!29行</x:v>
      </x:c>
      <x:c r="Y219" s="2" t="str">
        <x:v>取得済</x:v>
      </x:c>
      <x:c r="Z219" s="9" t="n">
        <x:f>IF(AND(ISNUMBER(E219),COUNTIFS($A$2:$A$477,EDATE(A219,-12),$B$2:$B$477,B219,$E$2:$E$477,"&gt;0")=1),E219/SUMIFS($E$2:$E$477,$A$2:$A$477,EDATE(A219,-12),$B$2:$B$477,B219)-1,"")</x:f>
        <x:v>-0.4403834575148642</x:v>
      </x:c>
      <x:c r="AA219" s="10" t="n">
        <x:f>IF(COUNTIFS($A$2:$A$477,"&gt;="&amp;EDATE(A219,-2),$A$2:$A$477,"&lt;="&amp;A219,$B$2:$B$477,B219,$E$2:$E$477,"&gt;=0")=3,SUMIFS($E$2:$E$477,$A$2:$A$477,"&gt;="&amp;EDATE(A219,-2),$A$2:$A$477,"&lt;="&amp;A219,$B$2:$B$477,B219)/3,"")</x:f>
        <x:v>58874.666666666664</x:v>
      </x:c>
      <x:c r="AB219" s="9" t="n">
        <x:f>IF(AND(ISNUMBER(J219),COUNTIFS($A$2:$A$477,EDATE(A219,-12),$B$2:$B$477,B219,$J$2:$J$477,"&gt;0")=1),J219/SUMIFS($J$2:$J$477,$A$2:$A$477,EDATE(A219,-12),$B$2:$B$477,B219)-1,"")</x:f>
        <x:v>-0.2967846820809249</x:v>
      </x:c>
    </x:row>
    <x:row r="220" ht="21" customHeight="1">
      <x:c r="A220" s="7" t="n">
        <x:v>45139</x:v>
      </x:c>
      <x:c r="B220" s="2" t="str">
        <x:v>東京</x:v>
      </x:c>
      <x:c r="C220" s="2" t="str">
        <x:v>東京都</x:v>
      </x:c>
      <x:c r="D220" s="8" t="n">
        <x:v>6533897</x:v>
      </x:c>
      <x:c r="E220" s="8" t="n">
        <x:v>889602</x:v>
      </x:c>
      <x:c r="F220" s="8" t="n">
        <x:v>2766070</x:v>
      </x:c>
      <x:c r="G220" s="8" t="n">
        <x:v>1075744</x:v>
      </x:c>
      <x:c r="H220" s="8" t="n">
        <x:v>1802481</x:v>
      </x:c>
      <x:c r="I220" s="8" t="n">
        <x:v>366348</x:v>
      </x:c>
      <x:c r="J220" s="8" t="n">
        <x:v>143863</x:v>
      </x:c>
      <x:c r="K220" s="8" t="n">
        <x:v>184818</x:v>
      </x:c>
      <x:c r="L220" s="8" t="n">
        <x:v>26998</x:v>
      </x:c>
      <x:c r="M220" s="8" t="n">
        <x:v>10669</x:v>
      </x:c>
      <x:c r="N220" s="8" t="n">
        <x:v>0</x:v>
      </x:c>
      <x:c r="O220" s="8" t="n">
        <x:v>0</x:v>
      </x:c>
      <x:c r="P220" s="8" t="n">
        <x:v>302</x:v>
      </x:c>
      <x:c r="Q220" s="8" t="n">
        <x:v>153</x:v>
      </x:c>
      <x:c r="R220" s="8" t="n">
        <x:v>455</x:v>
      </x:c>
      <x:c r="S220" s="8" t="n">
        <x:v>1604</x:v>
      </x:c>
      <x:c r="T220" s="8" t="n">
        <x:v>407</x:v>
      </x:c>
      <x:c r="U220" s="2" t="str">
        <x:v>2025年12月25日現在</x:v>
      </x:c>
      <x:c r="V220" s="2" t="str">
        <x:v>2025-12-25</x:v>
      </x:c>
      <x:c r="W220" s="2" t="str">
        <x:v>https://www.e-stat.go.jp/stat-search/file-download?statInfId=000040024002&amp;fileKind=0</x:v>
      </x:c>
      <x:c r="X220" s="2" t="str">
        <x:v>海上出入貨物!205行、コンテナ個数!40行</x:v>
      </x:c>
      <x:c r="Y220" s="2" t="str">
        <x:v>取得済</x:v>
      </x:c>
      <x:c r="Z220" s="9" t="n">
        <x:f>IF(AND(ISNUMBER(E220),COUNTIFS($A$2:$A$477,EDATE(A220,-12),$B$2:$B$477,B220,$E$2:$E$477,"&gt;0")=1),E220/SUMIFS($E$2:$E$477,$A$2:$A$477,EDATE(A220,-12),$B$2:$B$477,B220)-1,"")</x:f>
        <x:v>-0.05182748756165878</x:v>
      </x:c>
      <x:c r="AA220" s="10" t="n">
        <x:f>IF(COUNTIFS($A$2:$A$477,"&gt;="&amp;EDATE(A220,-2),$A$2:$A$477,"&lt;="&amp;A220,$B$2:$B$477,B220,$E$2:$E$477,"&gt;=0")=3,SUMIFS($E$2:$E$477,$A$2:$A$477,"&gt;="&amp;EDATE(A220,-2),$A$2:$A$477,"&lt;="&amp;A220,$B$2:$B$477,B220)/3,"")</x:f>
        <x:v>935754.6666666666</x:v>
      </x:c>
      <x:c r="AB220" s="9" t="n">
        <x:f>IF(AND(ISNUMBER(J220),COUNTIFS($A$2:$A$477,EDATE(A220,-12),$B$2:$B$477,B220,$J$2:$J$477,"&gt;0")=1),J220/SUMIFS($J$2:$J$477,$A$2:$A$477,EDATE(A220,-12),$B$2:$B$477,B220)-1,"")</x:f>
        <x:v>-0.23462064342450373</x:v>
      </x:c>
    </x:row>
    <x:row r="221" ht="21" customHeight="1">
      <x:c r="A221" s="7" t="n">
        <x:v>45139</x:v>
      </x:c>
      <x:c r="B221" s="2" t="str">
        <x:v>横浜</x:v>
      </x:c>
      <x:c r="C221" s="2" t="str">
        <x:v>神奈川県</x:v>
      </x:c>
      <x:c r="D221" s="8" t="n">
        <x:v>7962765</x:v>
      </x:c>
      <x:c r="E221" s="8" t="n">
        <x:v>2410816</x:v>
      </x:c>
      <x:c r="F221" s="8" t="n">
        <x:v>3564980</x:v>
      </x:c>
      <x:c r="G221" s="8" t="n">
        <x:v>895822</x:v>
      </x:c>
      <x:c r="H221" s="8" t="n">
        <x:v>1091147</x:v>
      </x:c>
      <x:c r="I221" s="8" t="n">
        <x:v>243014</x:v>
      </x:c>
      <x:c r="J221" s="8" t="n">
        <x:v>111599</x:v>
      </x:c>
      <x:c r="K221" s="8" t="n">
        <x:v>105314</x:v>
      </x:c>
      <x:c r="L221" s="8" t="n">
        <x:v>12544</x:v>
      </x:c>
      <x:c r="M221" s="8" t="n">
        <x:v>13557</x:v>
      </x:c>
      <x:c r="N221" s="8" t="n">
        <x:v>0</x:v>
      </x:c>
      <x:c r="O221" s="8" t="n">
        <x:v>0</x:v>
      </x:c>
      <x:c r="P221" s="8" t="n">
        <x:v>0</x:v>
      </x:c>
      <x:c r="Q221" s="8" t="n">
        <x:v>0</x:v>
      </x:c>
      <x:c r="R221" s="8" t="n">
        <x:v>0</x:v>
      </x:c>
      <x:c r="S221" s="8" t="n">
        <x:v>1926</x:v>
      </x:c>
      <x:c r="T221" s="8" t="n">
        <x:v>719</x:v>
      </x:c>
      <x:c r="U221" s="2" t="str">
        <x:v>2025年12月25日現在</x:v>
      </x:c>
      <x:c r="V221" s="2" t="str">
        <x:v>2025-12-25</x:v>
      </x:c>
      <x:c r="W221" s="2" t="str">
        <x:v>https://www.e-stat.go.jp/stat-search/file-download?statInfId=000040024002&amp;fileKind=0</x:v>
      </x:c>
      <x:c r="X221" s="2" t="str">
        <x:v>海上出入貨物!217行、コンテナ個数!42行</x:v>
      </x:c>
      <x:c r="Y221" s="2" t="str">
        <x:v>取得済</x:v>
      </x:c>
      <x:c r="Z221" s="9" t="n">
        <x:f>IF(AND(ISNUMBER(E221),COUNTIFS($A$2:$A$477,EDATE(A221,-12),$B$2:$B$477,B221,$E$2:$E$477,"&gt;0")=1),E221/SUMIFS($E$2:$E$477,$A$2:$A$477,EDATE(A221,-12),$B$2:$B$477,B221)-1,"")</x:f>
        <x:v>0.0320167943480032</x:v>
      </x:c>
      <x:c r="AA221" s="10" t="n">
        <x:f>IF(COUNTIFS($A$2:$A$477,"&gt;="&amp;EDATE(A221,-2),$A$2:$A$477,"&lt;="&amp;A221,$B$2:$B$477,B221,$E$2:$E$477,"&gt;=0")=3,SUMIFS($E$2:$E$477,$A$2:$A$477,"&gt;="&amp;EDATE(A221,-2),$A$2:$A$477,"&lt;="&amp;A221,$B$2:$B$477,B221)/3,"")</x:f>
        <x:v>2518607</x:v>
      </x:c>
      <x:c r="AB221" s="9" t="n">
        <x:f>IF(AND(ISNUMBER(J221),COUNTIFS($A$2:$A$477,EDATE(A221,-12),$B$2:$B$477,B221,$J$2:$J$477,"&gt;0")=1),J221/SUMIFS($J$2:$J$477,$A$2:$A$477,EDATE(A221,-12),$B$2:$B$477,B221)-1,"")</x:f>
        <x:v>-0.05042331418847057</x:v>
      </x:c>
    </x:row>
    <x:row r="222" ht="21" customHeight="1">
      <x:c r="A222" s="7" t="n">
        <x:v>45139</x:v>
      </x:c>
      <x:c r="B222" s="2" t="str">
        <x:v>清水</x:v>
      </x:c>
      <x:c r="C222" s="2" t="str">
        <x:v>静岡県</x:v>
      </x:c>
      <x:c r="D222" s="8" t="n">
        <x:v>1309171</x:v>
      </x:c>
      <x:c r="E222" s="8" t="n">
        <x:v>233952</x:v>
      </x:c>
      <x:c r="F222" s="8" t="n">
        <x:v>558638</x:v>
      </x:c>
      <x:c r="G222" s="8" t="n">
        <x:v>143374</x:v>
      </x:c>
      <x:c r="H222" s="8" t="n">
        <x:v>373207</x:v>
      </x:c>
      <x:c r="I222" s="8" t="n">
        <x:v>37186</x:v>
      </x:c>
      <x:c r="J222" s="8" t="n">
        <x:v>14663</x:v>
      </x:c>
      <x:c r="K222" s="8" t="n">
        <x:v>14973</x:v>
      </x:c>
      <x:c r="L222" s="8" t="n">
        <x:v>3268</x:v>
      </x:c>
      <x:c r="M222" s="8" t="n">
        <x:v>4282</x:v>
      </x:c>
      <x:c r="N222" s="8" t="n">
        <x:v>0</x:v>
      </x:c>
      <x:c r="O222" s="8" t="n">
        <x:v>0</x:v>
      </x:c>
      <x:c r="P222" s="8" t="n">
        <x:v>6</x:v>
      </x:c>
      <x:c r="Q222" s="8" t="n">
        <x:v>6</x:v>
      </x:c>
      <x:c r="R222" s="8" t="n">
        <x:v>12</x:v>
      </x:c>
      <x:c r="S222" s="8" t="n">
        <x:v>412</x:v>
      </x:c>
      <x:c r="T222" s="8" t="n">
        <x:v>132</x:v>
      </x:c>
      <x:c r="U222" s="2" t="str">
        <x:v>2025年12月25日現在</x:v>
      </x:c>
      <x:c r="V222" s="2" t="str">
        <x:v>2025-12-25</x:v>
      </x:c>
      <x:c r="W222" s="2" t="str">
        <x:v>https://www.e-stat.go.jp/stat-search/file-download?statInfId=000040024002&amp;fileKind=0</x:v>
      </x:c>
      <x:c r="X222" s="2" t="str">
        <x:v>海上出入貨物!313行、コンテナ個数!58行</x:v>
      </x:c>
      <x:c r="Y222" s="2" t="str">
        <x:v>取得済</x:v>
      </x:c>
      <x:c r="Z222" s="9" t="n">
        <x:f>IF(AND(ISNUMBER(E222),COUNTIFS($A$2:$A$477,EDATE(A222,-12),$B$2:$B$477,B222,$E$2:$E$477,"&gt;0")=1),E222/SUMIFS($E$2:$E$477,$A$2:$A$477,EDATE(A222,-12),$B$2:$B$477,B222)-1,"")</x:f>
        <x:v>-0.1315135923735703</x:v>
      </x:c>
      <x:c r="AA222" s="10" t="n">
        <x:f>IF(COUNTIFS($A$2:$A$477,"&gt;="&amp;EDATE(A222,-2),$A$2:$A$477,"&lt;="&amp;A222,$B$2:$B$477,B222,$E$2:$E$477,"&gt;=0")=3,SUMIFS($E$2:$E$477,$A$2:$A$477,"&gt;="&amp;EDATE(A222,-2),$A$2:$A$477,"&lt;="&amp;A222,$B$2:$B$477,B222)/3,"")</x:f>
        <x:v>264586.6666666667</x:v>
      </x:c>
      <x:c r="AB222" s="9" t="n">
        <x:f>IF(AND(ISNUMBER(J222),COUNTIFS($A$2:$A$477,EDATE(A222,-12),$B$2:$B$477,B222,$J$2:$J$477,"&gt;0")=1),J222/SUMIFS($J$2:$J$477,$A$2:$A$477,EDATE(A222,-12),$B$2:$B$477,B222)-1,"")</x:f>
        <x:v>-0.11764351907570103</x:v>
      </x:c>
    </x:row>
    <x:row r="223" ht="21" customHeight="1">
      <x:c r="A223" s="7" t="n">
        <x:v>45139</x:v>
      </x:c>
      <x:c r="B223" s="2" t="str">
        <x:v>博多</x:v>
      </x:c>
      <x:c r="C223" s="2" t="str">
        <x:v>福岡県</x:v>
      </x:c>
      <x:c r="D223" s="8" t="n">
        <x:v>2727859</x:v>
      </x:c>
      <x:c r="E223" s="8" t="n">
        <x:v>676589</x:v>
      </x:c>
      <x:c r="F223" s="8" t="n">
        <x:v>789746</x:v>
      </x:c>
      <x:c r="G223" s="8" t="n">
        <x:v>381018</x:v>
      </x:c>
      <x:c r="H223" s="8" t="n">
        <x:v>880506</x:v>
      </x:c>
      <x:c r="I223" s="8" t="n">
        <x:v>76559</x:v>
      </x:c>
      <x:c r="J223" s="8" t="n">
        <x:v>31070</x:v>
      </x:c>
      <x:c r="K223" s="8" t="n">
        <x:v>33883</x:v>
      </x:c>
      <x:c r="L223" s="8" t="n">
        <x:v>5822</x:v>
      </x:c>
      <x:c r="M223" s="8" t="n">
        <x:v>5784</x:v>
      </x:c>
      <x:c r="N223" s="8" t="n">
        <x:v>0</x:v>
      </x:c>
      <x:c r="O223" s="8" t="n">
        <x:v>0</x:v>
      </x:c>
      <x:c r="P223" s="8" t="n">
        <x:v>1290</x:v>
      </x:c>
      <x:c r="Q223" s="8" t="n">
        <x:v>1321</x:v>
      </x:c>
      <x:c r="R223" s="8" t="n">
        <x:v>2611</x:v>
      </x:c>
      <x:c r="S223" s="8" t="n">
        <x:v>1600</x:v>
      </x:c>
      <x:c r="T223" s="8" t="n">
        <x:v>272</x:v>
      </x:c>
      <x:c r="U223" s="2" t="str">
        <x:v>2025年12月25日現在</x:v>
      </x:c>
      <x:c r="V223" s="2" t="str">
        <x:v>2025-12-25</x:v>
      </x:c>
      <x:c r="W223" s="2" t="str">
        <x:v>https://www.e-stat.go.jp/stat-search/file-download?statInfId=000040024002&amp;fileKind=0</x:v>
      </x:c>
      <x:c r="X223" s="2" t="str">
        <x:v>海上出入貨物!745行、コンテナ個数!130行</x:v>
      </x:c>
      <x:c r="Y223" s="2" t="str">
        <x:v>取得済</x:v>
      </x:c>
      <x:c r="Z223" s="9" t="n">
        <x:f>IF(AND(ISNUMBER(E223),COUNTIFS($A$2:$A$477,EDATE(A223,-12),$B$2:$B$477,B223,$E$2:$E$477,"&gt;0")=1),E223/SUMIFS($E$2:$E$477,$A$2:$A$477,EDATE(A223,-12),$B$2:$B$477,B223)-1,"")</x:f>
        <x:v>0.01977792414694335</x:v>
      </x:c>
      <x:c r="AA223" s="10" t="n">
        <x:f>IF(COUNTIFS($A$2:$A$477,"&gt;="&amp;EDATE(A223,-2),$A$2:$A$477,"&lt;="&amp;A223,$B$2:$B$477,B223,$E$2:$E$477,"&gt;=0")=3,SUMIFS($E$2:$E$477,$A$2:$A$477,"&gt;="&amp;EDATE(A223,-2),$A$2:$A$477,"&lt;="&amp;A223,$B$2:$B$477,B223)/3,"")</x:f>
        <x:v>759083.6666666666</x:v>
      </x:c>
      <x:c r="AB223" s="9" t="n">
        <x:f>IF(AND(ISNUMBER(J223),COUNTIFS($A$2:$A$477,EDATE(A223,-12),$B$2:$B$477,B223,$J$2:$J$477,"&gt;0")=1),J223/SUMIFS($J$2:$J$477,$A$2:$A$477,EDATE(A223,-12),$B$2:$B$477,B223)-1,"")</x:f>
        <x:v>-0.0819914315260748</x:v>
      </x:c>
    </x:row>
    <x:row r="224" ht="21" customHeight="1">
      <x:c r="A224" s="7" t="n">
        <x:v>45139</x:v>
      </x:c>
      <x:c r="B224" s="2" t="str">
        <x:v>熊本</x:v>
      </x:c>
      <x:c r="C224" s="2" t="str">
        <x:v>熊本県</x:v>
      </x:c>
      <x:c r="D224" s="8" t="n">
        <x:v>282860</x:v>
      </x:c>
      <x:c r="E224" s="8" t="n">
        <x:v>4444</x:v>
      </x:c>
      <x:c r="F224" s="8" t="n">
        <x:v>7169</x:v>
      </x:c>
      <x:c r="G224" s="8" t="n">
        <x:v>115041</x:v>
      </x:c>
      <x:c r="H224" s="8" t="n">
        <x:v>156206</x:v>
      </x:c>
      <x:c r="I224" s="8" t="n">
        <x:v>904</x:v>
      </x:c>
      <x:c r="J224" s="8" t="n">
        <x:v>231</x:v>
      </x:c>
      <x:c r="K224" s="8" t="n">
        <x:v>366</x:v>
      </x:c>
      <x:c r="L224" s="8" t="n">
        <x:v>162</x:v>
      </x:c>
      <x:c r="M224" s="8" t="n">
        <x:v>145</x:v>
      </x:c>
      <x:c r="N224" s="8" t="n">
        <x:v>0</x:v>
      </x:c>
      <x:c r="O224" s="8" t="n">
        <x:v>0</x:v>
      </x:c>
      <x:c r="P224" s="8" t="n">
        <x:v>494</x:v>
      </x:c>
      <x:c r="Q224" s="8" t="n">
        <x:v>494</x:v>
      </x:c>
      <x:c r="R224" s="8" t="n">
        <x:v>988</x:v>
      </x:c>
      <x:c r="S224" s="8" t="n">
        <x:v>37</x:v>
      </x:c>
      <x:c r="T224" s="8" t="n">
        <x:v>7</x:v>
      </x:c>
      <x:c r="U224" s="2" t="str">
        <x:v>2025年12月25日現在</x:v>
      </x:c>
      <x:c r="V224" s="2" t="str">
        <x:v>2025-12-25</x:v>
      </x:c>
      <x:c r="W224" s="2" t="str">
        <x:v>https://www.e-stat.go.jp/stat-search/file-download?statInfId=000040024002&amp;fileKind=0</x:v>
      </x:c>
      <x:c r="X224" s="2" t="str">
        <x:v>海上出入貨物!859行、コンテナ個数!149行</x:v>
      </x:c>
      <x:c r="Y224" s="2" t="str">
        <x:v>取得済</x:v>
      </x:c>
      <x:c r="Z224" s="9" t="n">
        <x:f>IF(AND(ISNUMBER(E224),COUNTIFS($A$2:$A$477,EDATE(A224,-12),$B$2:$B$477,B224,$E$2:$E$477,"&gt;0")=1),E224/SUMIFS($E$2:$E$477,$A$2:$A$477,EDATE(A224,-12),$B$2:$B$477,B224)-1,"")</x:f>
        <x:v>-0.07647547797173737</x:v>
      </x:c>
      <x:c r="AA224" s="10" t="n">
        <x:f>IF(COUNTIFS($A$2:$A$477,"&gt;="&amp;EDATE(A224,-2),$A$2:$A$477,"&lt;="&amp;A224,$B$2:$B$477,B224,$E$2:$E$477,"&gt;=0")=3,SUMIFS($E$2:$E$477,$A$2:$A$477,"&gt;="&amp;EDATE(A224,-2),$A$2:$A$477,"&lt;="&amp;A224,$B$2:$B$477,B224)/3,"")</x:f>
        <x:v>4671.333333333333</x:v>
      </x:c>
      <x:c r="AB224" s="9" t="n">
        <x:f>IF(AND(ISNUMBER(J224),COUNTIFS($A$2:$A$477,EDATE(A224,-12),$B$2:$B$477,B224,$J$2:$J$477,"&gt;0")=1),J224/SUMIFS($J$2:$J$477,$A$2:$A$477,EDATE(A224,-12),$B$2:$B$477,B224)-1,"")</x:f>
        <x:v>0.008733624454148492</x:v>
      </x:c>
    </x:row>
    <x:row r="225" ht="21" customHeight="1">
      <x:c r="A225" s="7" t="n">
        <x:v>45139</x:v>
      </x:c>
      <x:c r="B225" s="2" t="str">
        <x:v>八代</x:v>
      </x:c>
      <x:c r="C225" s="2" t="str">
        <x:v>熊本県</x:v>
      </x:c>
      <x:c r="D225" s="8" t="n">
        <x:v>315508</x:v>
      </x:c>
      <x:c r="E225" s="8" t="n">
        <x:v>17545</x:v>
      </x:c>
      <x:c r="F225" s="8" t="n">
        <x:v>150851</x:v>
      </x:c>
      <x:c r="G225" s="8" t="n">
        <x:v>20272</x:v>
      </x:c>
      <x:c r="H225" s="8" t="n">
        <x:v>126840</x:v>
      </x:c>
      <x:c r="I225" s="8" t="n">
        <x:v>1464</x:v>
      </x:c>
      <x:c r="J225" s="8" t="n">
        <x:v>688</x:v>
      </x:c>
      <x:c r="K225" s="8" t="n">
        <x:v>642</x:v>
      </x:c>
      <x:c r="L225" s="8" t="n">
        <x:v>84</x:v>
      </x:c>
      <x:c r="M225" s="8" t="n">
        <x:v>50</x:v>
      </x:c>
      <x:c r="N225" s="8" t="n">
        <x:v>0</x:v>
      </x:c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193</x:v>
      </x:c>
      <x:c r="T225" s="8" t="n">
        <x:v>36</x:v>
      </x:c>
      <x:c r="U225" s="2" t="str">
        <x:v>2025年12月25日現在</x:v>
      </x:c>
      <x:c r="V225" s="2" t="str">
        <x:v>2025-12-25</x:v>
      </x:c>
      <x:c r="W225" s="2" t="str">
        <x:v>https://www.e-stat.go.jp/stat-search/file-download?statInfId=000040024002&amp;fileKind=0</x:v>
      </x:c>
      <x:c r="X225" s="2" t="str">
        <x:v>海上出入貨物!847行、コンテナ個数!147行</x:v>
      </x:c>
      <x:c r="Y225" s="2" t="str">
        <x:v>取得済</x:v>
      </x:c>
      <x:c r="Z225" s="9" t="n">
        <x:f>IF(AND(ISNUMBER(E225),COUNTIFS($A$2:$A$477,EDATE(A225,-12),$B$2:$B$477,B225,$E$2:$E$477,"&gt;0")=1),E225/SUMIFS($E$2:$E$477,$A$2:$A$477,EDATE(A225,-12),$B$2:$B$477,B225)-1,"")</x:f>
        <x:v>-0.43015362629510534</x:v>
      </x:c>
      <x:c r="AA225" s="10" t="n">
        <x:f>IF(COUNTIFS($A$2:$A$477,"&gt;="&amp;EDATE(A225,-2),$A$2:$A$477,"&lt;="&amp;A225,$B$2:$B$477,B225,$E$2:$E$477,"&gt;=0")=3,SUMIFS($E$2:$E$477,$A$2:$A$477,"&gt;="&amp;EDATE(A225,-2),$A$2:$A$477,"&lt;="&amp;A225,$B$2:$B$477,B225)/3,"")</x:f>
        <x:v>21959.333333333332</x:v>
      </x:c>
      <x:c r="AB225" s="9" t="n">
        <x:f>IF(AND(ISNUMBER(J225),COUNTIFS($A$2:$A$477,EDATE(A225,-12),$B$2:$B$477,B225,$J$2:$J$477,"&gt;0")=1),J225/SUMIFS($J$2:$J$477,$A$2:$A$477,EDATE(A225,-12),$B$2:$B$477,B225)-1,"")</x:f>
        <x:v>-0.4641744548286605</x:v>
      </x:c>
    </x:row>
    <x:row r="226" ht="21" customHeight="1">
      <x:c r="A226" s="7" t="n">
        <x:v>45170</x:v>
      </x:c>
      <x:c r="B226" s="2" t="str">
        <x:v>仙台塩釜</x:v>
      </x:c>
      <x:c r="C226" s="2" t="str">
        <x:v>宮城県</x:v>
      </x:c>
      <x:c r="D226" s="8" t="n">
        <x:v>3273963</x:v>
      </x:c>
      <x:c r="E226" s="8" t="n">
        <x:v>110489</x:v>
      </x:c>
      <x:c r="F226" s="8" t="n">
        <x:v>889994</x:v>
      </x:c>
      <x:c r="G226" s="8" t="n">
        <x:v>1059696</x:v>
      </x:c>
      <x:c r="H226" s="8" t="n">
        <x:v>1213784</x:v>
      </x:c>
      <x:c r="I226" s="8" t="n">
        <x:v>20789</x:v>
      </x:c>
      <x:c r="J226" s="8" t="n">
        <x:v>5089</x:v>
      </x:c>
      <x:c r="K226" s="8" t="n">
        <x:v>4959</x:v>
      </x:c>
      <x:c r="L226" s="8" t="n">
        <x:v>5484</x:v>
      </x:c>
      <x:c r="M226" s="8" t="n">
        <x:v>5257</x:v>
      </x:c>
      <x:c r="N226" s="8" t="n">
        <x:v>0</x:v>
      </x:c>
      <x:c r="O226" s="8" t="n">
        <x:v>0</x:v>
      </x:c>
      <x:c r="P226" s="8" t="n">
        <x:v>614</x:v>
      </x:c>
      <x:c r="Q226" s="8" t="n">
        <x:v>602</x:v>
      </x:c>
      <x:c r="R226" s="8" t="n">
        <x:v>1216</x:v>
      </x:c>
      <x:c r="S226" s="8" t="n">
        <x:v>2158</x:v>
      </x:c>
      <x:c r="T226" s="8" t="n">
        <x:v>84</x:v>
      </x:c>
      <x:c r="U226" s="2" t="str">
        <x:v>2025年12月25日現在</x:v>
      </x:c>
      <x:c r="V226" s="2" t="str">
        <x:v>2025-12-25</x:v>
      </x:c>
      <x:c r="W226" s="2" t="str">
        <x:v>https://www.e-stat.go.jp/stat-search/file-download?statInfId=000040024002&amp;fileKind=0</x:v>
      </x:c>
      <x:c r="X226" s="2" t="str">
        <x:v>海上出入貨物!139行、コンテナ個数!29行</x:v>
      </x:c>
      <x:c r="Y226" s="2" t="str">
        <x:v>取得済</x:v>
      </x:c>
      <x:c r="Z226" s="9" t="n">
        <x:f>IF(AND(ISNUMBER(E226),COUNTIFS($A$2:$A$477,EDATE(A226,-12),$B$2:$B$477,B226,$E$2:$E$477,"&gt;0")=1),E226/SUMIFS($E$2:$E$477,$A$2:$A$477,EDATE(A226,-12),$B$2:$B$477,B226)-1,"")</x:f>
        <x:v>0.26687229114591693</x:v>
      </x:c>
      <x:c r="AA226" s="10" t="n">
        <x:f>IF(COUNTIFS($A$2:$A$477,"&gt;="&amp;EDATE(A226,-2),$A$2:$A$477,"&lt;="&amp;A226,$B$2:$B$477,B226,$E$2:$E$477,"&gt;=0")=3,SUMIFS($E$2:$E$477,$A$2:$A$477,"&gt;="&amp;EDATE(A226,-2),$A$2:$A$477,"&lt;="&amp;A226,$B$2:$B$477,B226)/3,"")</x:f>
        <x:v>77287.33333333333</x:v>
      </x:c>
      <x:c r="AB226" s="9" t="n">
        <x:f>IF(AND(ISNUMBER(J226),COUNTIFS($A$2:$A$477,EDATE(A226,-12),$B$2:$B$477,B226,$J$2:$J$477,"&gt;0")=1),J226/SUMIFS($J$2:$J$477,$A$2:$A$477,EDATE(A226,-12),$B$2:$B$477,B226)-1,"")</x:f>
        <x:v>-0.10151836158192096</x:v>
      </x:c>
    </x:row>
    <x:row r="227" ht="21" customHeight="1">
      <x:c r="A227" s="7" t="n">
        <x:v>45170</x:v>
      </x:c>
      <x:c r="B227" s="2" t="str">
        <x:v>東京</x:v>
      </x:c>
      <x:c r="C227" s="2" t="str">
        <x:v>東京都</x:v>
      </x:c>
      <x:c r="D227" s="8" t="n">
        <x:v>7028349</x:v>
      </x:c>
      <x:c r="E227" s="8" t="n">
        <x:v>929758</x:v>
      </x:c>
      <x:c r="F227" s="8" t="n">
        <x:v>2824172</x:v>
      </x:c>
      <x:c r="G227" s="8" t="n">
        <x:v>1205490</x:v>
      </x:c>
      <x:c r="H227" s="8" t="n">
        <x:v>2068929</x:v>
      </x:c>
      <x:c r="I227" s="8" t="n">
        <x:v>388367</x:v>
      </x:c>
      <x:c r="J227" s="8" t="n">
        <x:v>163705</x:v>
      </x:c>
      <x:c r="K227" s="8" t="n">
        <x:v>183135</x:v>
      </x:c>
      <x:c r="L227" s="8" t="n">
        <x:v>28534</x:v>
      </x:c>
      <x:c r="M227" s="8" t="n">
        <x:v>12993</x:v>
      </x:c>
      <x:c r="N227" s="8" t="n">
        <x:v>0</x:v>
      </x:c>
      <x:c r="O227" s="8" t="n">
        <x:v>0</x:v>
      </x:c>
      <x:c r="P227" s="8" t="n">
        <x:v>414</x:v>
      </x:c>
      <x:c r="Q227" s="8" t="n">
        <x:v>193</x:v>
      </x:c>
      <x:c r="R227" s="8" t="n">
        <x:v>607</x:v>
      </x:c>
      <x:c r="S227" s="8" t="n">
        <x:v>1698</x:v>
      </x:c>
      <x:c r="T227" s="8" t="n">
        <x:v>414</x:v>
      </x:c>
      <x:c r="U227" s="2" t="str">
        <x:v>2025年12月25日現在</x:v>
      </x:c>
      <x:c r="V227" s="2" t="str">
        <x:v>2025-12-25</x:v>
      </x:c>
      <x:c r="W227" s="2" t="str">
        <x:v>https://www.e-stat.go.jp/stat-search/file-download?statInfId=000040024002&amp;fileKind=0</x:v>
      </x:c>
      <x:c r="X227" s="2" t="str">
        <x:v>海上出入貨物!205行、コンテナ個数!40行</x:v>
      </x:c>
      <x:c r="Y227" s="2" t="str">
        <x:v>取得済</x:v>
      </x:c>
      <x:c r="Z227" s="9" t="n">
        <x:f>IF(AND(ISNUMBER(E227),COUNTIFS($A$2:$A$477,EDATE(A227,-12),$B$2:$B$477,B227,$E$2:$E$477,"&gt;0")=1),E227/SUMIFS($E$2:$E$477,$A$2:$A$477,EDATE(A227,-12),$B$2:$B$477,B227)-1,"")</x:f>
        <x:v>0.012955035969263617</x:v>
      </x:c>
      <x:c r="AA227" s="10" t="n">
        <x:f>IF(COUNTIFS($A$2:$A$477,"&gt;="&amp;EDATE(A227,-2),$A$2:$A$477,"&lt;="&amp;A227,$B$2:$B$477,B227,$E$2:$E$477,"&gt;=0")=3,SUMIFS($E$2:$E$477,$A$2:$A$477,"&gt;="&amp;EDATE(A227,-2),$A$2:$A$477,"&lt;="&amp;A227,$B$2:$B$477,B227)/3,"")</x:f>
        <x:v>928147.3333333334</x:v>
      </x:c>
      <x:c r="AB227" s="9" t="n">
        <x:f>IF(AND(ISNUMBER(J227),COUNTIFS($A$2:$A$477,EDATE(A227,-12),$B$2:$B$477,B227,$J$2:$J$477,"&gt;0")=1),J227/SUMIFS($J$2:$J$477,$A$2:$A$477,EDATE(A227,-12),$B$2:$B$477,B227)-1,"")</x:f>
        <x:v>0.0029591599171681082</x:v>
      </x:c>
    </x:row>
    <x:row r="228" ht="21" customHeight="1">
      <x:c r="A228" s="7" t="n">
        <x:v>45170</x:v>
      </x:c>
      <x:c r="B228" s="2" t="str">
        <x:v>横浜</x:v>
      </x:c>
      <x:c r="C228" s="2" t="str">
        <x:v>神奈川県</x:v>
      </x:c>
      <x:c r="D228" s="8" t="n">
        <x:v>8728185</x:v>
      </x:c>
      <x:c r="E228" s="8" t="n">
        <x:v>2756603</x:v>
      </x:c>
      <x:c r="F228" s="8" t="n">
        <x:v>3413631</x:v>
      </x:c>
      <x:c r="G228" s="8" t="n">
        <x:v>1039068</x:v>
      </x:c>
      <x:c r="H228" s="8" t="n">
        <x:v>1518883</x:v>
      </x:c>
      <x:c r="I228" s="8" t="n">
        <x:v>254648</x:v>
      </x:c>
      <x:c r="J228" s="8" t="n">
        <x:v>122535</x:v>
      </x:c>
      <x:c r="K228" s="8" t="n">
        <x:v>103487</x:v>
      </x:c>
      <x:c r="L228" s="8" t="n">
        <x:v>12939</x:v>
      </x:c>
      <x:c r="M228" s="8" t="n">
        <x:v>15687</x:v>
      </x:c>
      <x:c r="N228" s="8" t="n">
        <x:v>0</x:v>
      </x:c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2138</x:v>
      </x:c>
      <x:c r="T228" s="8" t="n">
        <x:v>774</x:v>
      </x:c>
      <x:c r="U228" s="2" t="str">
        <x:v>2025年12月25日現在</x:v>
      </x:c>
      <x:c r="V228" s="2" t="str">
        <x:v>2025-12-25</x:v>
      </x:c>
      <x:c r="W228" s="2" t="str">
        <x:v>https://www.e-stat.go.jp/stat-search/file-download?statInfId=000040024002&amp;fileKind=0</x:v>
      </x:c>
      <x:c r="X228" s="2" t="str">
        <x:v>海上出入貨物!217行、コンテナ個数!42行</x:v>
      </x:c>
      <x:c r="Y228" s="2" t="str">
        <x:v>取得済</x:v>
      </x:c>
      <x:c r="Z228" s="9" t="n">
        <x:f>IF(AND(ISNUMBER(E228),COUNTIFS($A$2:$A$477,EDATE(A228,-12),$B$2:$B$477,B228,$E$2:$E$477,"&gt;0")=1),E228/SUMIFS($E$2:$E$477,$A$2:$A$477,EDATE(A228,-12),$B$2:$B$477,B228)-1,"")</x:f>
        <x:v>0.18371527998447257</x:v>
      </x:c>
      <x:c r="AA228" s="10" t="n">
        <x:f>IF(COUNTIFS($A$2:$A$477,"&gt;="&amp;EDATE(A228,-2),$A$2:$A$477,"&lt;="&amp;A228,$B$2:$B$477,B228,$E$2:$E$477,"&gt;=0")=3,SUMIFS($E$2:$E$477,$A$2:$A$477,"&gt;="&amp;EDATE(A228,-2),$A$2:$A$477,"&lt;="&amp;A228,$B$2:$B$477,B228)/3,"")</x:f>
        <x:v>2567024.6666666665</x:v>
      </x:c>
      <x:c r="AB228" s="9" t="n">
        <x:f>IF(AND(ISNUMBER(J228),COUNTIFS($A$2:$A$477,EDATE(A228,-12),$B$2:$B$477,B228,$J$2:$J$477,"&gt;0")=1),J228/SUMIFS($J$2:$J$477,$A$2:$A$477,EDATE(A228,-12),$B$2:$B$477,B228)-1,"")</x:f>
        <x:v>0.08684275881643377</x:v>
      </x:c>
    </x:row>
    <x:row r="229" ht="21" customHeight="1">
      <x:c r="A229" s="7" t="n">
        <x:v>45170</x:v>
      </x:c>
      <x:c r="B229" s="2" t="str">
        <x:v>清水</x:v>
      </x:c>
      <x:c r="C229" s="2" t="str">
        <x:v>静岡県</x:v>
      </x:c>
      <x:c r="D229" s="8" t="n">
        <x:v>1239376</x:v>
      </x:c>
      <x:c r="E229" s="8" t="n">
        <x:v>290047</x:v>
      </x:c>
      <x:c r="F229" s="8" t="n">
        <x:v>412944</x:v>
      </x:c>
      <x:c r="G229" s="8" t="n">
        <x:v>148403</x:v>
      </x:c>
      <x:c r="H229" s="8" t="n">
        <x:v>387982</x:v>
      </x:c>
      <x:c r="I229" s="8" t="n">
        <x:v>43849</x:v>
      </x:c>
      <x:c r="J229" s="8" t="n">
        <x:v>17194</x:v>
      </x:c>
      <x:c r="K229" s="8" t="n">
        <x:v>18876</x:v>
      </x:c>
      <x:c r="L229" s="8" t="n">
        <x:v>4358</x:v>
      </x:c>
      <x:c r="M229" s="8" t="n">
        <x:v>3421</x:v>
      </x:c>
      <x:c r="N229" s="8" t="n">
        <x:v>0</x:v>
      </x:c>
      <x:c r="O229" s="8" t="n">
        <x:v>0</x:v>
      </x:c>
      <x:c r="P229" s="8" t="n">
        <x:v>3</x:v>
      </x:c>
      <x:c r="Q229" s="8" t="n">
        <x:v>3</x:v>
      </x:c>
      <x:c r="R229" s="8" t="n">
        <x:v>6</x:v>
      </x:c>
      <x:c r="S229" s="8" t="n">
        <x:v>456</x:v>
      </x:c>
      <x:c r="T229" s="8" t="n">
        <x:v>146</x:v>
      </x:c>
      <x:c r="U229" s="2" t="str">
        <x:v>2025年12月25日現在</x:v>
      </x:c>
      <x:c r="V229" s="2" t="str">
        <x:v>2025-12-25</x:v>
      </x:c>
      <x:c r="W229" s="2" t="str">
        <x:v>https://www.e-stat.go.jp/stat-search/file-download?statInfId=000040024002&amp;fileKind=0</x:v>
      </x:c>
      <x:c r="X229" s="2" t="str">
        <x:v>海上出入貨物!313行、コンテナ個数!58行</x:v>
      </x:c>
      <x:c r="Y229" s="2" t="str">
        <x:v>取得済</x:v>
      </x:c>
      <x:c r="Z229" s="9" t="n">
        <x:f>IF(AND(ISNUMBER(E229),COUNTIFS($A$2:$A$477,EDATE(A229,-12),$B$2:$B$477,B229,$E$2:$E$477,"&gt;0")=1),E229/SUMIFS($E$2:$E$477,$A$2:$A$477,EDATE(A229,-12),$B$2:$B$477,B229)-1,"")</x:f>
        <x:v>0.005526030237161583</x:v>
      </x:c>
      <x:c r="AA229" s="10" t="n">
        <x:f>IF(COUNTIFS($A$2:$A$477,"&gt;="&amp;EDATE(A229,-2),$A$2:$A$477,"&lt;="&amp;A229,$B$2:$B$477,B229,$E$2:$E$477,"&gt;=0")=3,SUMIFS($E$2:$E$477,$A$2:$A$477,"&gt;="&amp;EDATE(A229,-2),$A$2:$A$477,"&lt;="&amp;A229,$B$2:$B$477,B229)/3,"")</x:f>
        <x:v>271592</x:v>
      </x:c>
      <x:c r="AB229" s="9" t="n">
        <x:f>IF(AND(ISNUMBER(J229),COUNTIFS($A$2:$A$477,EDATE(A229,-12),$B$2:$B$477,B229,$J$2:$J$477,"&gt;0")=1),J229/SUMIFS($J$2:$J$477,$A$2:$A$477,EDATE(A229,-12),$B$2:$B$477,B229)-1,"")</x:f>
        <x:v>-0.023512039981826494</x:v>
      </x:c>
    </x:row>
    <x:row r="230" ht="21" customHeight="1">
      <x:c r="A230" s="7" t="n">
        <x:v>45170</x:v>
      </x:c>
      <x:c r="B230" s="2" t="str">
        <x:v>博多</x:v>
      </x:c>
      <x:c r="C230" s="2" t="str">
        <x:v>福岡県</x:v>
      </x:c>
      <x:c r="D230" s="8" t="n">
        <x:v>2947350</x:v>
      </x:c>
      <x:c r="E230" s="8" t="n">
        <x:v>787410</x:v>
      </x:c>
      <x:c r="F230" s="8" t="n">
        <x:v>796750</x:v>
      </x:c>
      <x:c r="G230" s="8" t="n">
        <x:v>422830</x:v>
      </x:c>
      <x:c r="H230" s="8" t="n">
        <x:v>940360</x:v>
      </x:c>
      <x:c r="I230" s="8" t="n">
        <x:v>82252</x:v>
      </x:c>
      <x:c r="J230" s="8" t="n">
        <x:v>34866</x:v>
      </x:c>
      <x:c r="K230" s="8" t="n">
        <x:v>34868</x:v>
      </x:c>
      <x:c r="L230" s="8" t="n">
        <x:v>5874</x:v>
      </x:c>
      <x:c r="M230" s="8" t="n">
        <x:v>6644</x:v>
      </x:c>
      <x:c r="N230" s="8" t="n">
        <x:v>0</x:v>
      </x:c>
      <x:c r="O230" s="8" t="n">
        <x:v>0</x:v>
      </x:c>
      <x:c r="P230" s="8" t="n">
        <x:v>1324</x:v>
      </x:c>
      <x:c r="Q230" s="8" t="n">
        <x:v>1331</x:v>
      </x:c>
      <x:c r="R230" s="8" t="n">
        <x:v>2655</x:v>
      </x:c>
      <x:c r="S230" s="8" t="n">
        <x:v>1607</x:v>
      </x:c>
      <x:c r="T230" s="8" t="n">
        <x:v>268</x:v>
      </x:c>
      <x:c r="U230" s="2" t="str">
        <x:v>2025年12月25日現在</x:v>
      </x:c>
      <x:c r="V230" s="2" t="str">
        <x:v>2025-12-25</x:v>
      </x:c>
      <x:c r="W230" s="2" t="str">
        <x:v>https://www.e-stat.go.jp/stat-search/file-download?statInfId=000040024002&amp;fileKind=0</x:v>
      </x:c>
      <x:c r="X230" s="2" t="str">
        <x:v>海上出入貨物!745行、コンテナ個数!130行</x:v>
      </x:c>
      <x:c r="Y230" s="2" t="str">
        <x:v>取得済</x:v>
      </x:c>
      <x:c r="Z230" s="9" t="n">
        <x:f>IF(AND(ISNUMBER(E230),COUNTIFS($A$2:$A$477,EDATE(A230,-12),$B$2:$B$477,B230,$E$2:$E$477,"&gt;0")=1),E230/SUMIFS($E$2:$E$477,$A$2:$A$477,EDATE(A230,-12),$B$2:$B$477,B230)-1,"")</x:f>
        <x:v>0.17804677716886363</x:v>
      </x:c>
      <x:c r="AA230" s="10" t="n">
        <x:f>IF(COUNTIFS($A$2:$A$477,"&gt;="&amp;EDATE(A230,-2),$A$2:$A$477,"&lt;="&amp;A230,$B$2:$B$477,B230,$E$2:$E$477,"&gt;=0")=3,SUMIFS($E$2:$E$477,$A$2:$A$477,"&gt;="&amp;EDATE(A230,-2),$A$2:$A$477,"&lt;="&amp;A230,$B$2:$B$477,B230)/3,"")</x:f>
        <x:v>748663.6666666666</x:v>
      </x:c>
      <x:c r="AB230" s="9" t="n">
        <x:f>IF(AND(ISNUMBER(J230),COUNTIFS($A$2:$A$477,EDATE(A230,-12),$B$2:$B$477,B230,$J$2:$J$477,"&gt;0")=1),J230/SUMIFS($J$2:$J$477,$A$2:$A$477,EDATE(A230,-12),$B$2:$B$477,B230)-1,"")</x:f>
        <x:v>0.19867982260116213</x:v>
      </x:c>
    </x:row>
    <x:row r="231" ht="21" customHeight="1">
      <x:c r="A231" s="7" t="n">
        <x:v>45170</x:v>
      </x:c>
      <x:c r="B231" s="2" t="str">
        <x:v>熊本</x:v>
      </x:c>
      <x:c r="C231" s="2" t="str">
        <x:v>熊本県</x:v>
      </x:c>
      <x:c r="D231" s="8" t="n">
        <x:v>279078</x:v>
      </x:c>
      <x:c r="E231" s="8" t="n">
        <x:v>3513</x:v>
      </x:c>
      <x:c r="F231" s="8" t="n">
        <x:v>4843</x:v>
      </x:c>
      <x:c r="G231" s="8" t="n">
        <x:v>112546</x:v>
      </x:c>
      <x:c r="H231" s="8" t="n">
        <x:v>158176</x:v>
      </x:c>
      <x:c r="I231" s="8" t="n">
        <x:v>1031</x:v>
      </x:c>
      <x:c r="J231" s="8" t="n">
        <x:v>241</x:v>
      </x:c>
      <x:c r="K231" s="8" t="n">
        <x:v>256</x:v>
      </x:c>
      <x:c r="L231" s="8" t="n">
        <x:v>292</x:v>
      </x:c>
      <x:c r="M231" s="8" t="n">
        <x:v>242</x:v>
      </x:c>
      <x:c r="N231" s="8" t="n">
        <x:v>0</x:v>
      </x:c>
      <x:c r="O231" s="8" t="n">
        <x:v>0</x:v>
      </x:c>
      <x:c r="P231" s="8" t="n">
        <x:v>598</x:v>
      </x:c>
      <x:c r="Q231" s="8" t="n">
        <x:v>577</x:v>
      </x:c>
      <x:c r="R231" s="8" t="n">
        <x:v>1175</x:v>
      </x:c>
      <x:c r="S231" s="8" t="n">
        <x:v>46</x:v>
      </x:c>
      <x:c r="T231" s="8" t="n">
        <x:v>8</x:v>
      </x:c>
      <x:c r="U231" s="2" t="str">
        <x:v>2025年12月25日現在</x:v>
      </x:c>
      <x:c r="V231" s="2" t="str">
        <x:v>2025-12-25</x:v>
      </x:c>
      <x:c r="W231" s="2" t="str">
        <x:v>https://www.e-stat.go.jp/stat-search/file-download?statInfId=000040024002&amp;fileKind=0</x:v>
      </x:c>
      <x:c r="X231" s="2" t="str">
        <x:v>海上出入貨物!859行、コンテナ個数!149行</x:v>
      </x:c>
      <x:c r="Y231" s="2" t="str">
        <x:v>取得済</x:v>
      </x:c>
      <x:c r="Z231" s="9" t="n">
        <x:f>IF(AND(ISNUMBER(E231),COUNTIFS($A$2:$A$477,EDATE(A231,-12),$B$2:$B$477,B231,$E$2:$E$477,"&gt;0")=1),E231/SUMIFS($E$2:$E$477,$A$2:$A$477,EDATE(A231,-12),$B$2:$B$477,B231)-1,"")</x:f>
        <x:v>-0.13981390793339865</x:v>
      </x:c>
      <x:c r="AA231" s="10" t="n">
        <x:f>IF(COUNTIFS($A$2:$A$477,"&gt;="&amp;EDATE(A231,-2),$A$2:$A$477,"&lt;="&amp;A231,$B$2:$B$477,B231,$E$2:$E$477,"&gt;=0")=3,SUMIFS($E$2:$E$477,$A$2:$A$477,"&gt;="&amp;EDATE(A231,-2),$A$2:$A$477,"&lt;="&amp;A231,$B$2:$B$477,B231)/3,"")</x:f>
        <x:v>3953.3333333333335</x:v>
      </x:c>
      <x:c r="AB231" s="9" t="n">
        <x:f>IF(AND(ISNUMBER(J231),COUNTIFS($A$2:$A$477,EDATE(A231,-12),$B$2:$B$477,B231,$J$2:$J$477,"&gt;0")=1),J231/SUMIFS($J$2:$J$477,$A$2:$A$477,EDATE(A231,-12),$B$2:$B$477,B231)-1,"")</x:f>
        <x:v>-0.05490196078431375</x:v>
      </x:c>
    </x:row>
    <x:row r="232" ht="21" customHeight="1">
      <x:c r="A232" s="7" t="n">
        <x:v>45170</x:v>
      </x:c>
      <x:c r="B232" s="2" t="str">
        <x:v>八代</x:v>
      </x:c>
      <x:c r="C232" s="2" t="str">
        <x:v>熊本県</x:v>
      </x:c>
      <x:c r="D232" s="8" t="n">
        <x:v>292660</x:v>
      </x:c>
      <x:c r="E232" s="8" t="n">
        <x:v>22593</x:v>
      </x:c>
      <x:c r="F232" s="8" t="n">
        <x:v>100389</x:v>
      </x:c>
      <x:c r="G232" s="8" t="n">
        <x:v>16382</x:v>
      </x:c>
      <x:c r="H232" s="8" t="n">
        <x:v>153296</x:v>
      </x:c>
      <x:c r="I232" s="8" t="n">
        <x:v>2663</x:v>
      </x:c>
      <x:c r="J232" s="8" t="n">
        <x:v>1096</x:v>
      </x:c>
      <x:c r="K232" s="8" t="n">
        <x:v>1103</x:v>
      </x:c>
      <x:c r="L232" s="8" t="n">
        <x:v>216</x:v>
      </x:c>
      <x:c r="M232" s="8" t="n">
        <x:v>248</x:v>
      </x:c>
      <x:c r="N232" s="8" t="n">
        <x:v>0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212</x:v>
      </x:c>
      <x:c r="T232" s="8" t="n">
        <x:v>34</x:v>
      </x:c>
      <x:c r="U232" s="2" t="str">
        <x:v>2025年12月25日現在</x:v>
      </x:c>
      <x:c r="V232" s="2" t="str">
        <x:v>2025-12-25</x:v>
      </x:c>
      <x:c r="W232" s="2" t="str">
        <x:v>https://www.e-stat.go.jp/stat-search/file-download?statInfId=000040024002&amp;fileKind=0</x:v>
      </x:c>
      <x:c r="X232" s="2" t="str">
        <x:v>海上出入貨物!847行、コンテナ個数!147行</x:v>
      </x:c>
      <x:c r="Y232" s="2" t="str">
        <x:v>取得済</x:v>
      </x:c>
      <x:c r="Z232" s="9" t="n">
        <x:f>IF(AND(ISNUMBER(E232),COUNTIFS($A$2:$A$477,EDATE(A232,-12),$B$2:$B$477,B232,$E$2:$E$477,"&gt;0")=1),E232/SUMIFS($E$2:$E$477,$A$2:$A$477,EDATE(A232,-12),$B$2:$B$477,B232)-1,"")</x:f>
        <x:v>0.22422107829856408</x:v>
      </x:c>
      <x:c r="AA232" s="10" t="n">
        <x:f>IF(COUNTIFS($A$2:$A$477,"&gt;="&amp;EDATE(A232,-2),$A$2:$A$477,"&lt;="&amp;A232,$B$2:$B$477,B232,$E$2:$E$477,"&gt;=0")=3,SUMIFS($E$2:$E$477,$A$2:$A$477,"&gt;="&amp;EDATE(A232,-2),$A$2:$A$477,"&lt;="&amp;A232,$B$2:$B$477,B232)/3,"")</x:f>
        <x:v>23721</x:v>
      </x:c>
      <x:c r="AB232" s="9" t="n">
        <x:f>IF(AND(ISNUMBER(J232),COUNTIFS($A$2:$A$477,EDATE(A232,-12),$B$2:$B$477,B232,$J$2:$J$477,"&gt;0")=1),J232/SUMIFS($J$2:$J$477,$A$2:$A$477,EDATE(A232,-12),$B$2:$B$477,B232)-1,"")</x:f>
        <x:v>0.477088948787062</x:v>
      </x:c>
    </x:row>
    <x:row r="233" ht="21" customHeight="1">
      <x:c r="A233" s="7" t="n">
        <x:v>45200</x:v>
      </x:c>
      <x:c r="B233" s="2" t="str">
        <x:v>仙台塩釜</x:v>
      </x:c>
      <x:c r="C233" s="2" t="str">
        <x:v>宮城県</x:v>
      </x:c>
      <x:c r="D233" s="8" t="n">
        <x:v>3381103</x:v>
      </x:c>
      <x:c r="E233" s="8" t="n">
        <x:v>108610</x:v>
      </x:c>
      <x:c r="F233" s="8" t="n">
        <x:v>967846</x:v>
      </x:c>
      <x:c r="G233" s="8" t="n">
        <x:v>1027193</x:v>
      </x:c>
      <x:c r="H233" s="8" t="n">
        <x:v>1277454</x:v>
      </x:c>
      <x:c r="I233" s="8" t="n">
        <x:v>20118</x:v>
      </x:c>
      <x:c r="J233" s="8" t="n">
        <x:v>5126</x:v>
      </x:c>
      <x:c r="K233" s="8" t="n">
        <x:v>5509</x:v>
      </x:c>
      <x:c r="L233" s="8" t="n">
        <x:v>4921</x:v>
      </x:c>
      <x:c r="M233" s="8" t="n">
        <x:v>4562</x:v>
      </x:c>
      <x:c r="N233" s="8" t="n">
        <x:v>0</x:v>
      </x:c>
      <x:c r="O233" s="8" t="n">
        <x:v>0</x:v>
      </x:c>
      <x:c r="P233" s="8" t="n">
        <x:v>618</x:v>
      </x:c>
      <x:c r="Q233" s="8" t="n">
        <x:v>625</x:v>
      </x:c>
      <x:c r="R233" s="8" t="n">
        <x:v>1243</x:v>
      </x:c>
      <x:c r="S233" s="8" t="n">
        <x:v>2383</x:v>
      </x:c>
      <x:c r="T233" s="8" t="n">
        <x:v>98</x:v>
      </x:c>
      <x:c r="U233" s="2" t="str">
        <x:v>2025年12月25日現在</x:v>
      </x:c>
      <x:c r="V233" s="2" t="str">
        <x:v>2025-12-25</x:v>
      </x:c>
      <x:c r="W233" s="2" t="str">
        <x:v>https://www.e-stat.go.jp/stat-search/file-download?statInfId=000040024002&amp;fileKind=0</x:v>
      </x:c>
      <x:c r="X233" s="2" t="str">
        <x:v>海上出入貨物!139行、コンテナ個数!29行</x:v>
      </x:c>
      <x:c r="Y233" s="2" t="str">
        <x:v>取得済</x:v>
      </x:c>
      <x:c r="Z233" s="9" t="n">
        <x:f>IF(AND(ISNUMBER(E233),COUNTIFS($A$2:$A$477,EDATE(A233,-12),$B$2:$B$477,B233,$E$2:$E$477,"&gt;0")=1),E233/SUMIFS($E$2:$E$477,$A$2:$A$477,EDATE(A233,-12),$B$2:$B$477,B233)-1,"")</x:f>
        <x:v>-0.24591575307750524</x:v>
      </x:c>
      <x:c r="AA233" s="10" t="n">
        <x:f>IF(COUNTIFS($A$2:$A$477,"&gt;="&amp;EDATE(A233,-2),$A$2:$A$477,"&lt;="&amp;A233,$B$2:$B$477,B233,$E$2:$E$477,"&gt;=0")=3,SUMIFS($E$2:$E$477,$A$2:$A$477,"&gt;="&amp;EDATE(A233,-2),$A$2:$A$477,"&lt;="&amp;A233,$B$2:$B$477,B233)/3,"")</x:f>
        <x:v>92861.33333333333</x:v>
      </x:c>
      <x:c r="AB233" s="9" t="n">
        <x:f>IF(AND(ISNUMBER(J233),COUNTIFS($A$2:$A$477,EDATE(A233,-12),$B$2:$B$477,B233,$J$2:$J$477,"&gt;0")=1),J233/SUMIFS($J$2:$J$477,$A$2:$A$477,EDATE(A233,-12),$B$2:$B$477,B233)-1,"")</x:f>
        <x:v>-0.22215477996965094</x:v>
      </x:c>
    </x:row>
    <x:row r="234" ht="21" customHeight="1">
      <x:c r="A234" s="7" t="n">
        <x:v>45200</x:v>
      </x:c>
      <x:c r="B234" s="2" t="str">
        <x:v>東京</x:v>
      </x:c>
      <x:c r="C234" s="2" t="str">
        <x:v>東京都</x:v>
      </x:c>
      <x:c r="D234" s="8" t="n">
        <x:v>7103880</x:v>
      </x:c>
      <x:c r="E234" s="8" t="n">
        <x:v>1014075</x:v>
      </x:c>
      <x:c r="F234" s="8" t="n">
        <x:v>2817467</x:v>
      </x:c>
      <x:c r="G234" s="8" t="n">
        <x:v>1202125</x:v>
      </x:c>
      <x:c r="H234" s="8" t="n">
        <x:v>2070213</x:v>
      </x:c>
      <x:c r="I234" s="8" t="n">
        <x:v>395296</x:v>
      </x:c>
      <x:c r="J234" s="8" t="n">
        <x:v>170792</x:v>
      </x:c>
      <x:c r="K234" s="8" t="n">
        <x:v>181888</x:v>
      </x:c>
      <x:c r="L234" s="8" t="n">
        <x:v>29211</x:v>
      </x:c>
      <x:c r="M234" s="8" t="n">
        <x:v>13405</x:v>
      </x:c>
      <x:c r="N234" s="8" t="n">
        <x:v>0</x:v>
      </x:c>
      <x:c r="O234" s="8" t="n">
        <x:v>0</x:v>
      </x:c>
      <x:c r="P234" s="8" t="n">
        <x:v>327</x:v>
      </x:c>
      <x:c r="Q234" s="8" t="n">
        <x:v>199</x:v>
      </x:c>
      <x:c r="R234" s="8" t="n">
        <x:v>526</x:v>
      </x:c>
      <x:c r="S234" s="8" t="n">
        <x:v>1709</x:v>
      </x:c>
      <x:c r="T234" s="8" t="n">
        <x:v>418</x:v>
      </x:c>
      <x:c r="U234" s="2" t="str">
        <x:v>2025年12月25日現在</x:v>
      </x:c>
      <x:c r="V234" s="2" t="str">
        <x:v>2025-12-25</x:v>
      </x:c>
      <x:c r="W234" s="2" t="str">
        <x:v>https://www.e-stat.go.jp/stat-search/file-download?statInfId=000040024002&amp;fileKind=0</x:v>
      </x:c>
      <x:c r="X234" s="2" t="str">
        <x:v>海上出入貨物!205行、コンテナ個数!40行</x:v>
      </x:c>
      <x:c r="Y234" s="2" t="str">
        <x:v>取得済</x:v>
      </x:c>
      <x:c r="Z234" s="9" t="n">
        <x:f>IF(AND(ISNUMBER(E234),COUNTIFS($A$2:$A$477,EDATE(A234,-12),$B$2:$B$477,B234,$E$2:$E$477,"&gt;0")=1),E234/SUMIFS($E$2:$E$477,$A$2:$A$477,EDATE(A234,-12),$B$2:$B$477,B234)-1,"")</x:f>
        <x:v>-0.04409470492141698</x:v>
      </x:c>
      <x:c r="AA234" s="10" t="n">
        <x:f>IF(COUNTIFS($A$2:$A$477,"&gt;="&amp;EDATE(A234,-2),$A$2:$A$477,"&lt;="&amp;A234,$B$2:$B$477,B234,$E$2:$E$477,"&gt;=0")=3,SUMIFS($E$2:$E$477,$A$2:$A$477,"&gt;="&amp;EDATE(A234,-2),$A$2:$A$477,"&lt;="&amp;A234,$B$2:$B$477,B234)/3,"")</x:f>
        <x:v>944478.3333333334</x:v>
      </x:c>
      <x:c r="AB234" s="9" t="n">
        <x:f>IF(AND(ISNUMBER(J234),COUNTIFS($A$2:$A$477,EDATE(A234,-12),$B$2:$B$477,B234,$J$2:$J$477,"&gt;0")=1),J234/SUMIFS($J$2:$J$477,$A$2:$A$477,EDATE(A234,-12),$B$2:$B$477,B234)-1,"")</x:f>
        <x:v>-0.0824540668314172</x:v>
      </x:c>
    </x:row>
    <x:row r="235" ht="21" customHeight="1">
      <x:c r="A235" s="7" t="n">
        <x:v>45200</x:v>
      </x:c>
      <x:c r="B235" s="2" t="str">
        <x:v>横浜</x:v>
      </x:c>
      <x:c r="C235" s="2" t="str">
        <x:v>神奈川県</x:v>
      </x:c>
      <x:c r="D235" s="8" t="n">
        <x:v>8689193</x:v>
      </x:c>
      <x:c r="E235" s="8" t="n">
        <x:v>2654175</x:v>
      </x:c>
      <x:c r="F235" s="8" t="n">
        <x:v>3708979</x:v>
      </x:c>
      <x:c r="G235" s="8" t="n">
        <x:v>943543</x:v>
      </x:c>
      <x:c r="H235" s="8" t="n">
        <x:v>1382496</x:v>
      </x:c>
      <x:c r="I235" s="8" t="n">
        <x:v>272740</x:v>
      </x:c>
      <x:c r="J235" s="8" t="n">
        <x:v>131521</x:v>
      </x:c>
      <x:c r="K235" s="8" t="n">
        <x:v>113510</x:v>
      </x:c>
      <x:c r="L235" s="8" t="n">
        <x:v>11470</x:v>
      </x:c>
      <x:c r="M235" s="8" t="n">
        <x:v>16239</x:v>
      </x:c>
      <x:c r="N235" s="8" t="n">
        <x:v>0</x:v>
      </x:c>
      <x:c r="O235" s="8" t="n">
        <x:v>0</x:v>
      </x:c>
      <x:c r="P235" s="8" t="n">
        <x:v>0</x:v>
      </x:c>
      <x:c r="Q235" s="8" t="n">
        <x:v>0</x:v>
      </x:c>
      <x:c r="R235" s="8" t="n">
        <x:v>0</x:v>
      </x:c>
      <x:c r="S235" s="8" t="n">
        <x:v>2154</x:v>
      </x:c>
      <x:c r="T235" s="8" t="n">
        <x:v>744</x:v>
      </x:c>
      <x:c r="U235" s="2" t="str">
        <x:v>2025年12月25日現在</x:v>
      </x:c>
      <x:c r="V235" s="2" t="str">
        <x:v>2025-12-25</x:v>
      </x:c>
      <x:c r="W235" s="2" t="str">
        <x:v>https://www.e-stat.go.jp/stat-search/file-download?statInfId=000040024002&amp;fileKind=0</x:v>
      </x:c>
      <x:c r="X235" s="2" t="str">
        <x:v>海上出入貨物!217行、コンテナ個数!42行</x:v>
      </x:c>
      <x:c r="Y235" s="2" t="str">
        <x:v>取得済</x:v>
      </x:c>
      <x:c r="Z235" s="9" t="n">
        <x:f>IF(AND(ISNUMBER(E235),COUNTIFS($A$2:$A$477,EDATE(A235,-12),$B$2:$B$477,B235,$E$2:$E$477,"&gt;0")=1),E235/SUMIFS($E$2:$E$477,$A$2:$A$477,EDATE(A235,-12),$B$2:$B$477,B235)-1,"")</x:f>
        <x:v>0.04527795116975586</x:v>
      </x:c>
      <x:c r="AA235" s="10" t="n">
        <x:f>IF(COUNTIFS($A$2:$A$477,"&gt;="&amp;EDATE(A235,-2),$A$2:$A$477,"&lt;="&amp;A235,$B$2:$B$477,B235,$E$2:$E$477,"&gt;=0")=3,SUMIFS($E$2:$E$477,$A$2:$A$477,"&gt;="&amp;EDATE(A235,-2),$A$2:$A$477,"&lt;="&amp;A235,$B$2:$B$477,B235)/3,"")</x:f>
        <x:v>2607198</x:v>
      </x:c>
      <x:c r="AB235" s="9" t="n">
        <x:f>IF(AND(ISNUMBER(J235),COUNTIFS($A$2:$A$477,EDATE(A235,-12),$B$2:$B$477,B235,$J$2:$J$477,"&gt;0")=1),J235/SUMIFS($J$2:$J$477,$A$2:$A$477,EDATE(A235,-12),$B$2:$B$477,B235)-1,"")</x:f>
        <x:v>0.030478488768402645</x:v>
      </x:c>
    </x:row>
    <x:row r="236" ht="21" customHeight="1">
      <x:c r="A236" s="7" t="n">
        <x:v>45200</x:v>
      </x:c>
      <x:c r="B236" s="2" t="str">
        <x:v>清水</x:v>
      </x:c>
      <x:c r="C236" s="2" t="str">
        <x:v>静岡県</x:v>
      </x:c>
      <x:c r="D236" s="8" t="n">
        <x:v>1311256</x:v>
      </x:c>
      <x:c r="E236" s="8" t="n">
        <x:v>317157</x:v>
      </x:c>
      <x:c r="F236" s="8" t="n">
        <x:v>447095</x:v>
      </x:c>
      <x:c r="G236" s="8" t="n">
        <x:v>146826</x:v>
      </x:c>
      <x:c r="H236" s="8" t="n">
        <x:v>400178</x:v>
      </x:c>
      <x:c r="I236" s="8" t="n">
        <x:v>43176</x:v>
      </x:c>
      <x:c r="J236" s="8" t="n">
        <x:v>18291</x:v>
      </x:c>
      <x:c r="K236" s="8" t="n">
        <x:v>17322</x:v>
      </x:c>
      <x:c r="L236" s="8" t="n">
        <x:v>4322</x:v>
      </x:c>
      <x:c r="M236" s="8" t="n">
        <x:v>3241</x:v>
      </x:c>
      <x:c r="N236" s="8" t="n">
        <x:v>0</x:v>
      </x:c>
      <x:c r="O236" s="8" t="n">
        <x:v>0</x:v>
      </x:c>
      <x:c r="P236" s="8" t="n">
        <x:v>2</x:v>
      </x:c>
      <x:c r="Q236" s="8" t="n">
        <x:v>5</x:v>
      </x:c>
      <x:c r="R236" s="8" t="n">
        <x:v>7</x:v>
      </x:c>
      <x:c r="S236" s="8" t="n">
        <x:v>455</x:v>
      </x:c>
      <x:c r="T236" s="8" t="n">
        <x:v>152</x:v>
      </x:c>
      <x:c r="U236" s="2" t="str">
        <x:v>2025年12月25日現在</x:v>
      </x:c>
      <x:c r="V236" s="2" t="str">
        <x:v>2025-12-25</x:v>
      </x:c>
      <x:c r="W236" s="2" t="str">
        <x:v>https://www.e-stat.go.jp/stat-search/file-download?statInfId=000040024002&amp;fileKind=0</x:v>
      </x:c>
      <x:c r="X236" s="2" t="str">
        <x:v>海上出入貨物!313行、コンテナ個数!58行</x:v>
      </x:c>
      <x:c r="Y236" s="2" t="str">
        <x:v>取得済</x:v>
      </x:c>
      <x:c r="Z236" s="9" t="n">
        <x:f>IF(AND(ISNUMBER(E236),COUNTIFS($A$2:$A$477,EDATE(A236,-12),$B$2:$B$477,B236,$E$2:$E$477,"&gt;0")=1),E236/SUMIFS($E$2:$E$477,$A$2:$A$477,EDATE(A236,-12),$B$2:$B$477,B236)-1,"")</x:f>
        <x:v>0.008137394825761257</x:v>
      </x:c>
      <x:c r="AA236" s="10" t="n">
        <x:f>IF(COUNTIFS($A$2:$A$477,"&gt;="&amp;EDATE(A236,-2),$A$2:$A$477,"&lt;="&amp;A236,$B$2:$B$477,B236,$E$2:$E$477,"&gt;=0")=3,SUMIFS($E$2:$E$477,$A$2:$A$477,"&gt;="&amp;EDATE(A236,-2),$A$2:$A$477,"&lt;="&amp;A236,$B$2:$B$477,B236)/3,"")</x:f>
        <x:v>280385.3333333333</x:v>
      </x:c>
      <x:c r="AB236" s="9" t="n">
        <x:f>IF(AND(ISNUMBER(J236),COUNTIFS($A$2:$A$477,EDATE(A236,-12),$B$2:$B$477,B236,$J$2:$J$477,"&gt;0")=1),J236/SUMIFS($J$2:$J$477,$A$2:$A$477,EDATE(A236,-12),$B$2:$B$477,B236)-1,"")</x:f>
        <x:v>-0.055509656098316595</x:v>
      </x:c>
    </x:row>
    <x:row r="237" ht="21" customHeight="1">
      <x:c r="A237" s="7" t="n">
        <x:v>45200</x:v>
      </x:c>
      <x:c r="B237" s="2" t="str">
        <x:v>博多</x:v>
      </x:c>
      <x:c r="C237" s="2" t="str">
        <x:v>福岡県</x:v>
      </x:c>
      <x:c r="D237" s="8" t="n">
        <x:v>3085347</x:v>
      </x:c>
      <x:c r="E237" s="8" t="n">
        <x:v>791015</x:v>
      </x:c>
      <x:c r="F237" s="8" t="n">
        <x:v>872319</x:v>
      </x:c>
      <x:c r="G237" s="8" t="n">
        <x:v>471696</x:v>
      </x:c>
      <x:c r="H237" s="8" t="n">
        <x:v>950317</x:v>
      </x:c>
      <x:c r="I237" s="8" t="n">
        <x:v>85659</x:v>
      </x:c>
      <x:c r="J237" s="8" t="n">
        <x:v>36500</x:v>
      </x:c>
      <x:c r="K237" s="8" t="n">
        <x:v>36354</x:v>
      </x:c>
      <x:c r="L237" s="8" t="n">
        <x:v>6047</x:v>
      </x:c>
      <x:c r="M237" s="8" t="n">
        <x:v>6758</x:v>
      </x:c>
      <x:c r="N237" s="8" t="n">
        <x:v>0</x:v>
      </x:c>
      <x:c r="O237" s="8" t="n">
        <x:v>0</x:v>
      </x:c>
      <x:c r="P237" s="8" t="n">
        <x:v>1565</x:v>
      </x:c>
      <x:c r="Q237" s="8" t="n">
        <x:v>1482</x:v>
      </x:c>
      <x:c r="R237" s="8" t="n">
        <x:v>3047</x:v>
      </x:c>
      <x:c r="S237" s="8" t="n">
        <x:v>1698</x:v>
      </x:c>
      <x:c r="T237" s="8" t="n">
        <x:v>292</x:v>
      </x:c>
      <x:c r="U237" s="2" t="str">
        <x:v>2025年12月25日現在</x:v>
      </x:c>
      <x:c r="V237" s="2" t="str">
        <x:v>2025-12-25</x:v>
      </x:c>
      <x:c r="W237" s="2" t="str">
        <x:v>https://www.e-stat.go.jp/stat-search/file-download?statInfId=000040024002&amp;fileKind=0</x:v>
      </x:c>
      <x:c r="X237" s="2" t="str">
        <x:v>海上出入貨物!745行、コンテナ個数!130行</x:v>
      </x:c>
      <x:c r="Y237" s="2" t="str">
        <x:v>取得済</x:v>
      </x:c>
      <x:c r="Z237" s="9" t="n">
        <x:f>IF(AND(ISNUMBER(E237),COUNTIFS($A$2:$A$477,EDATE(A237,-12),$B$2:$B$477,B237,$E$2:$E$477,"&gt;0")=1),E237/SUMIFS($E$2:$E$477,$A$2:$A$477,EDATE(A237,-12),$B$2:$B$477,B237)-1,"")</x:f>
        <x:v>0.28996407412178926</x:v>
      </x:c>
      <x:c r="AA237" s="10" t="n">
        <x:f>IF(COUNTIFS($A$2:$A$477,"&gt;="&amp;EDATE(A237,-2),$A$2:$A$477,"&lt;="&amp;A237,$B$2:$B$477,B237,$E$2:$E$477,"&gt;=0")=3,SUMIFS($E$2:$E$477,$A$2:$A$477,"&gt;="&amp;EDATE(A237,-2),$A$2:$A$477,"&lt;="&amp;A237,$B$2:$B$477,B237)/3,"")</x:f>
        <x:v>751671.3333333334</x:v>
      </x:c>
      <x:c r="AB237" s="9" t="n">
        <x:f>IF(AND(ISNUMBER(J237),COUNTIFS($A$2:$A$477,EDATE(A237,-12),$B$2:$B$477,B237,$J$2:$J$477,"&gt;0")=1),J237/SUMIFS($J$2:$J$477,$A$2:$A$477,EDATE(A237,-12),$B$2:$B$477,B237)-1,"")</x:f>
        <x:v>0</x:v>
      </x:c>
    </x:row>
    <x:row r="238" ht="21" customHeight="1">
      <x:c r="A238" s="7" t="n">
        <x:v>45200</x:v>
      </x:c>
      <x:c r="B238" s="2" t="str">
        <x:v>熊本</x:v>
      </x:c>
      <x:c r="C238" s="2" t="str">
        <x:v>熊本県</x:v>
      </x:c>
      <x:c r="D238" s="8" t="n">
        <x:v>295624</x:v>
      </x:c>
      <x:c r="E238" s="8" t="n">
        <x:v>3736</x:v>
      </x:c>
      <x:c r="F238" s="8" t="n">
        <x:v>5202</x:v>
      </x:c>
      <x:c r="G238" s="8" t="n">
        <x:v>119033</x:v>
      </x:c>
      <x:c r="H238" s="8" t="n">
        <x:v>167653</x:v>
      </x:c>
      <x:c r="I238" s="8" t="n">
        <x:v>1099</x:v>
      </x:c>
      <x:c r="J238" s="8" t="n">
        <x:v>227</x:v>
      </x:c>
      <x:c r="K238" s="8" t="n">
        <x:v>249</x:v>
      </x:c>
      <x:c r="L238" s="8" t="n">
        <x:v>396</x:v>
      </x:c>
      <x:c r="M238" s="8" t="n">
        <x:v>227</x:v>
      </x:c>
      <x:c r="N238" s="8" t="n">
        <x:v>0</x:v>
      </x:c>
      <x:c r="O238" s="8" t="n">
        <x:v>0</x:v>
      </x:c>
      <x:c r="P238" s="8" t="n">
        <x:v>584</x:v>
      </x:c>
      <x:c r="Q238" s="8" t="n">
        <x:v>598</x:v>
      </x:c>
      <x:c r="R238" s="8" t="n">
        <x:v>1182</x:v>
      </x:c>
      <x:c r="S238" s="8" t="n">
        <x:v>47</x:v>
      </x:c>
      <x:c r="T238" s="8" t="n">
        <x:v>8</x:v>
      </x:c>
      <x:c r="U238" s="2" t="str">
        <x:v>2025年12月25日現在</x:v>
      </x:c>
      <x:c r="V238" s="2" t="str">
        <x:v>2025-12-25</x:v>
      </x:c>
      <x:c r="W238" s="2" t="str">
        <x:v>https://www.e-stat.go.jp/stat-search/file-download?statInfId=000040024002&amp;fileKind=0</x:v>
      </x:c>
      <x:c r="X238" s="2" t="str">
        <x:v>海上出入貨物!859行、コンテナ個数!149行</x:v>
      </x:c>
      <x:c r="Y238" s="2" t="str">
        <x:v>取得済</x:v>
      </x:c>
      <x:c r="Z238" s="9" t="n">
        <x:f>IF(AND(ISNUMBER(E238),COUNTIFS($A$2:$A$477,EDATE(A238,-12),$B$2:$B$477,B238,$E$2:$E$477,"&gt;0")=1),E238/SUMIFS($E$2:$E$477,$A$2:$A$477,EDATE(A238,-12),$B$2:$B$477,B238)-1,"")</x:f>
        <x:v>-0.2061198470038249</x:v>
      </x:c>
      <x:c r="AA238" s="10" t="n">
        <x:f>IF(COUNTIFS($A$2:$A$477,"&gt;="&amp;EDATE(A238,-2),$A$2:$A$477,"&lt;="&amp;A238,$B$2:$B$477,B238,$E$2:$E$477,"&gt;=0")=3,SUMIFS($E$2:$E$477,$A$2:$A$477,"&gt;="&amp;EDATE(A238,-2),$A$2:$A$477,"&lt;="&amp;A238,$B$2:$B$477,B238)/3,"")</x:f>
        <x:v>3897.6666666666665</x:v>
      </x:c>
      <x:c r="AB238" s="9" t="n">
        <x:f>IF(AND(ISNUMBER(J238),COUNTIFS($A$2:$A$477,EDATE(A238,-12),$B$2:$B$477,B238,$J$2:$J$477,"&gt;0")=1),J238/SUMIFS($J$2:$J$477,$A$2:$A$477,EDATE(A238,-12),$B$2:$B$477,B238)-1,"")</x:f>
        <x:v>-0.1950354609929078</x:v>
      </x:c>
    </x:row>
    <x:row r="239" ht="21" customHeight="1">
      <x:c r="A239" s="7" t="n">
        <x:v>45200</x:v>
      </x:c>
      <x:c r="B239" s="2" t="str">
        <x:v>八代</x:v>
      </x:c>
      <x:c r="C239" s="2" t="str">
        <x:v>熊本県</x:v>
      </x:c>
      <x:c r="D239" s="8" t="n">
        <x:v>297526</x:v>
      </x:c>
      <x:c r="E239" s="8" t="n">
        <x:v>20467</x:v>
      </x:c>
      <x:c r="F239" s="8" t="n">
        <x:v>110230</x:v>
      </x:c>
      <x:c r="G239" s="8" t="n">
        <x:v>23185</x:v>
      </x:c>
      <x:c r="H239" s="8" t="n">
        <x:v>143644</x:v>
      </x:c>
      <x:c r="I239" s="8" t="n">
        <x:v>1668</x:v>
      </x:c>
      <x:c r="J239" s="8" t="n">
        <x:v>792</x:v>
      </x:c>
      <x:c r="K239" s="8" t="n">
        <x:v>674</x:v>
      </x:c>
      <x:c r="L239" s="8" t="n">
        <x:v>80</x:v>
      </x:c>
      <x:c r="M239" s="8" t="n">
        <x:v>122</x:v>
      </x:c>
      <x:c r="N239" s="8" t="n">
        <x:v>0</x:v>
      </x:c>
      <x:c r="O239" s="8" t="n">
        <x:v>0</x:v>
      </x:c>
      <x:c r="P239" s="8" t="n">
        <x:v>0</x:v>
      </x:c>
      <x:c r="Q239" s="8" t="n">
        <x:v>0</x:v>
      </x:c>
      <x:c r="R239" s="8" t="n">
        <x:v>0</x:v>
      </x:c>
      <x:c r="S239" s="8" t="n">
        <x:v>227</x:v>
      </x:c>
      <x:c r="T239" s="8" t="n">
        <x:v>43</x:v>
      </x:c>
      <x:c r="U239" s="2" t="str">
        <x:v>2025年12月25日現在</x:v>
      </x:c>
      <x:c r="V239" s="2" t="str">
        <x:v>2025-12-25</x:v>
      </x:c>
      <x:c r="W239" s="2" t="str">
        <x:v>https://www.e-stat.go.jp/stat-search/file-download?statInfId=000040024002&amp;fileKind=0</x:v>
      </x:c>
      <x:c r="X239" s="2" t="str">
        <x:v>海上出入貨物!847行、コンテナ個数!147行</x:v>
      </x:c>
      <x:c r="Y239" s="2" t="str">
        <x:v>取得済</x:v>
      </x:c>
      <x:c r="Z239" s="9" t="n">
        <x:f>IF(AND(ISNUMBER(E239),COUNTIFS($A$2:$A$477,EDATE(A239,-12),$B$2:$B$477,B239,$E$2:$E$477,"&gt;0")=1),E239/SUMIFS($E$2:$E$477,$A$2:$A$477,EDATE(A239,-12),$B$2:$B$477,B239)-1,"")</x:f>
        <x:v>-0.24553966381598347</x:v>
      </x:c>
      <x:c r="AA239" s="10" t="n">
        <x:f>IF(COUNTIFS($A$2:$A$477,"&gt;="&amp;EDATE(A239,-2),$A$2:$A$477,"&lt;="&amp;A239,$B$2:$B$477,B239,$E$2:$E$477,"&gt;=0")=3,SUMIFS($E$2:$E$477,$A$2:$A$477,"&gt;="&amp;EDATE(A239,-2),$A$2:$A$477,"&lt;="&amp;A239,$B$2:$B$477,B239)/3,"")</x:f>
        <x:v>20201.666666666668</x:v>
      </x:c>
      <x:c r="AB239" s="9" t="n">
        <x:f>IF(AND(ISNUMBER(J239),COUNTIFS($A$2:$A$477,EDATE(A239,-12),$B$2:$B$477,B239,$J$2:$J$477,"&gt;0")=1),J239/SUMIFS($J$2:$J$477,$A$2:$A$477,EDATE(A239,-12),$B$2:$B$477,B239)-1,"")</x:f>
        <x:v>-0.23772858517805584</x:v>
      </x:c>
    </x:row>
    <x:row r="240" ht="21" customHeight="1">
      <x:c r="A240" s="7" t="n">
        <x:v>45231</x:v>
      </x:c>
      <x:c r="B240" s="2" t="str">
        <x:v>仙台塩釜</x:v>
      </x:c>
      <x:c r="C240" s="2" t="str">
        <x:v>宮城県</x:v>
      </x:c>
      <x:c r="D240" s="8" t="n">
        <x:v>3440169</x:v>
      </x:c>
      <x:c r="E240" s="8" t="n">
        <x:v>133902</x:v>
      </x:c>
      <x:c r="F240" s="8" t="n">
        <x:v>908665</x:v>
      </x:c>
      <x:c r="G240" s="8" t="n">
        <x:v>1136425</x:v>
      </x:c>
      <x:c r="H240" s="8" t="n">
        <x:v>1261177</x:v>
      </x:c>
      <x:c r="I240" s="8" t="n">
        <x:v>18329</x:v>
      </x:c>
      <x:c r="J240" s="8" t="n">
        <x:v>4530</x:v>
      </x:c>
      <x:c r="K240" s="8" t="n">
        <x:v>4933</x:v>
      </x:c>
      <x:c r="L240" s="8" t="n">
        <x:v>4380</x:v>
      </x:c>
      <x:c r="M240" s="8" t="n">
        <x:v>4486</x:v>
      </x:c>
      <x:c r="N240" s="8" t="n">
        <x:v>0</x:v>
      </x:c>
      <x:c r="O240" s="8" t="n">
        <x:v>0</x:v>
      </x:c>
      <x:c r="P240" s="8" t="n">
        <x:v>594</x:v>
      </x:c>
      <x:c r="Q240" s="8" t="n">
        <x:v>587</x:v>
      </x:c>
      <x:c r="R240" s="8" t="n">
        <x:v>1181</x:v>
      </x:c>
      <x:c r="S240" s="8" t="n">
        <x:v>2244</x:v>
      </x:c>
      <x:c r="T240" s="8" t="n">
        <x:v>89</x:v>
      </x:c>
      <x:c r="U240" s="2" t="str">
        <x:v>2025年12月25日現在</x:v>
      </x:c>
      <x:c r="V240" s="2" t="str">
        <x:v>2025-12-25</x:v>
      </x:c>
      <x:c r="W240" s="2" t="str">
        <x:v>https://www.e-stat.go.jp/stat-search/file-download?statInfId=000040024002&amp;fileKind=0</x:v>
      </x:c>
      <x:c r="X240" s="2" t="str">
        <x:v>海上出入貨物!139行、コンテナ個数!29行</x:v>
      </x:c>
      <x:c r="Y240" s="2" t="str">
        <x:v>取得済</x:v>
      </x:c>
      <x:c r="Z240" s="9" t="n">
        <x:f>IF(AND(ISNUMBER(E240),COUNTIFS($A$2:$A$477,EDATE(A240,-12),$B$2:$B$477,B240,$E$2:$E$477,"&gt;0")=1),E240/SUMIFS($E$2:$E$477,$A$2:$A$477,EDATE(A240,-12),$B$2:$B$477,B240)-1,"")</x:f>
        <x:v>0.17442441783975782</x:v>
      </x:c>
      <x:c r="AA240" s="10" t="n">
        <x:f>IF(COUNTIFS($A$2:$A$477,"&gt;="&amp;EDATE(A240,-2),$A$2:$A$477,"&lt;="&amp;A240,$B$2:$B$477,B240,$E$2:$E$477,"&gt;=0")=3,SUMIFS($E$2:$E$477,$A$2:$A$477,"&gt;="&amp;EDATE(A240,-2),$A$2:$A$477,"&lt;="&amp;A240,$B$2:$B$477,B240)/3,"")</x:f>
        <x:v>117667</x:v>
      </x:c>
      <x:c r="AB240" s="9" t="n">
        <x:f>IF(AND(ISNUMBER(J240),COUNTIFS($A$2:$A$477,EDATE(A240,-12),$B$2:$B$477,B240,$J$2:$J$477,"&gt;0")=1),J240/SUMIFS($J$2:$J$477,$A$2:$A$477,EDATE(A240,-12),$B$2:$B$477,B240)-1,"")</x:f>
        <x:v>-0.2856016401198549</x:v>
      </x:c>
    </x:row>
    <x:row r="241" ht="21" customHeight="1">
      <x:c r="A241" s="7" t="n">
        <x:v>45231</x:v>
      </x:c>
      <x:c r="B241" s="2" t="str">
        <x:v>東京</x:v>
      </x:c>
      <x:c r="C241" s="2" t="str">
        <x:v>東京都</x:v>
      </x:c>
      <x:c r="D241" s="8" t="n">
        <x:v>7038582</x:v>
      </x:c>
      <x:c r="E241" s="8" t="n">
        <x:v>903330</x:v>
      </x:c>
      <x:c r="F241" s="8" t="n">
        <x:v>2908477</x:v>
      </x:c>
      <x:c r="G241" s="8" t="n">
        <x:v>1185755</x:v>
      </x:c>
      <x:c r="H241" s="8" t="n">
        <x:v>2041020</x:v>
      </x:c>
      <x:c r="I241" s="8" t="n">
        <x:v>391631</x:v>
      </x:c>
      <x:c r="J241" s="8" t="n">
        <x:v>163402</x:v>
      </x:c>
      <x:c r="K241" s="8" t="n">
        <x:v>187073</x:v>
      </x:c>
      <x:c r="L241" s="8" t="n">
        <x:v>28546</x:v>
      </x:c>
      <x:c r="M241" s="8" t="n">
        <x:v>12610</x:v>
      </x:c>
      <x:c r="N241" s="8" t="n">
        <x:v>0</x:v>
      </x:c>
      <x:c r="O241" s="8" t="n">
        <x:v>0</x:v>
      </x:c>
      <x:c r="P241" s="8" t="n">
        <x:v>492</x:v>
      </x:c>
      <x:c r="Q241" s="8" t="n">
        <x:v>267</x:v>
      </x:c>
      <x:c r="R241" s="8" t="n">
        <x:v>759</x:v>
      </x:c>
      <x:c r="S241" s="8" t="n">
        <x:v>1608</x:v>
      </x:c>
      <x:c r="T241" s="8" t="n">
        <x:v>418</x:v>
      </x:c>
      <x:c r="U241" s="2" t="str">
        <x:v>2025年12月25日現在</x:v>
      </x:c>
      <x:c r="V241" s="2" t="str">
        <x:v>2025-12-25</x:v>
      </x:c>
      <x:c r="W241" s="2" t="str">
        <x:v>https://www.e-stat.go.jp/stat-search/file-download?statInfId=000040024002&amp;fileKind=0</x:v>
      </x:c>
      <x:c r="X241" s="2" t="str">
        <x:v>海上出入貨物!205行、コンテナ個数!40行</x:v>
      </x:c>
      <x:c r="Y241" s="2" t="str">
        <x:v>取得済</x:v>
      </x:c>
      <x:c r="Z241" s="9" t="n">
        <x:f>IF(AND(ISNUMBER(E241),COUNTIFS($A$2:$A$477,EDATE(A241,-12),$B$2:$B$477,B241,$E$2:$E$477,"&gt;0")=1),E241/SUMIFS($E$2:$E$477,$A$2:$A$477,EDATE(A241,-12),$B$2:$B$477,B241)-1,"")</x:f>
        <x:v>-0.0033573374317196203</x:v>
      </x:c>
      <x:c r="AA241" s="10" t="n">
        <x:f>IF(COUNTIFS($A$2:$A$477,"&gt;="&amp;EDATE(A241,-2),$A$2:$A$477,"&lt;="&amp;A241,$B$2:$B$477,B241,$E$2:$E$477,"&gt;=0")=3,SUMIFS($E$2:$E$477,$A$2:$A$477,"&gt;="&amp;EDATE(A241,-2),$A$2:$A$477,"&lt;="&amp;A241,$B$2:$B$477,B241)/3,"")</x:f>
        <x:v>949054.3333333334</x:v>
      </x:c>
      <x:c r="AB241" s="9" t="n">
        <x:f>IF(AND(ISNUMBER(J241),COUNTIFS($A$2:$A$477,EDATE(A241,-12),$B$2:$B$477,B241,$J$2:$J$477,"&gt;0")=1),J241/SUMIFS($J$2:$J$477,$A$2:$A$477,EDATE(A241,-12),$B$2:$B$477,B241)-1,"")</x:f>
        <x:v>-0.024250132865170193</x:v>
      </x:c>
    </x:row>
    <x:row r="242" ht="21" customHeight="1">
      <x:c r="A242" s="7" t="n">
        <x:v>45231</x:v>
      </x:c>
      <x:c r="B242" s="2" t="str">
        <x:v>横浜</x:v>
      </x:c>
      <x:c r="C242" s="2" t="str">
        <x:v>神奈川県</x:v>
      </x:c>
      <x:c r="D242" s="8" t="n">
        <x:v>8458979</x:v>
      </x:c>
      <x:c r="E242" s="8" t="n">
        <x:v>2442660</x:v>
      </x:c>
      <x:c r="F242" s="8" t="n">
        <x:v>3559133</x:v>
      </x:c>
      <x:c r="G242" s="8" t="n">
        <x:v>933532</x:v>
      </x:c>
      <x:c r="H242" s="8" t="n">
        <x:v>1523654</x:v>
      </x:c>
      <x:c r="I242" s="8" t="n">
        <x:v>254196</x:v>
      </x:c>
      <x:c r="J242" s="8" t="n">
        <x:v>118859</x:v>
      </x:c>
      <x:c r="K242" s="8" t="n">
        <x:v>107355</x:v>
      </x:c>
      <x:c r="L242" s="8" t="n">
        <x:v>13564</x:v>
      </x:c>
      <x:c r="M242" s="8" t="n">
        <x:v>14418</x:v>
      </x:c>
      <x:c r="N242" s="8" t="n">
        <x:v>0</x:v>
      </x:c>
      <x:c r="O242" s="8" t="n">
        <x:v>0</x:v>
      </x:c>
      <x:c r="P242" s="8" t="n">
        <x:v>0</x:v>
      </x:c>
      <x:c r="Q242" s="8" t="n">
        <x:v>0</x:v>
      </x:c>
      <x:c r="R242" s="8" t="n">
        <x:v>0</x:v>
      </x:c>
      <x:c r="S242" s="8" t="n">
        <x:v>2118</x:v>
      </x:c>
      <x:c r="T242" s="8" t="n">
        <x:v>702</x:v>
      </x:c>
      <x:c r="U242" s="2" t="str">
        <x:v>2025年12月25日現在</x:v>
      </x:c>
      <x:c r="V242" s="2" t="str">
        <x:v>2025-12-25</x:v>
      </x:c>
      <x:c r="W242" s="2" t="str">
        <x:v>https://www.e-stat.go.jp/stat-search/file-download?statInfId=000040024002&amp;fileKind=0</x:v>
      </x:c>
      <x:c r="X242" s="2" t="str">
        <x:v>海上出入貨物!217行、コンテナ個数!42行</x:v>
      </x:c>
      <x:c r="Y242" s="2" t="str">
        <x:v>取得済</x:v>
      </x:c>
      <x:c r="Z242" s="9" t="n">
        <x:f>IF(AND(ISNUMBER(E242),COUNTIFS($A$2:$A$477,EDATE(A242,-12),$B$2:$B$477,B242,$E$2:$E$477,"&gt;0")=1),E242/SUMIFS($E$2:$E$477,$A$2:$A$477,EDATE(A242,-12),$B$2:$B$477,B242)-1,"")</x:f>
        <x:v>0.03308838301066852</x:v>
      </x:c>
      <x:c r="AA242" s="10" t="n">
        <x:f>IF(COUNTIFS($A$2:$A$477,"&gt;="&amp;EDATE(A242,-2),$A$2:$A$477,"&lt;="&amp;A242,$B$2:$B$477,B242,$E$2:$E$477,"&gt;=0")=3,SUMIFS($E$2:$E$477,$A$2:$A$477,"&gt;="&amp;EDATE(A242,-2),$A$2:$A$477,"&lt;="&amp;A242,$B$2:$B$477,B242)/3,"")</x:f>
        <x:v>2617812.6666666665</x:v>
      </x:c>
      <x:c r="AB242" s="9" t="n">
        <x:f>IF(AND(ISNUMBER(J242),COUNTIFS($A$2:$A$477,EDATE(A242,-12),$B$2:$B$477,B242,$J$2:$J$477,"&gt;0")=1),J242/SUMIFS($J$2:$J$477,$A$2:$A$477,EDATE(A242,-12),$B$2:$B$477,B242)-1,"")</x:f>
        <x:v>0.030679581342513584</x:v>
      </x:c>
    </x:row>
    <x:row r="243" ht="21" customHeight="1">
      <x:c r="A243" s="7" t="n">
        <x:v>45231</x:v>
      </x:c>
      <x:c r="B243" s="2" t="str">
        <x:v>清水</x:v>
      </x:c>
      <x:c r="C243" s="2" t="str">
        <x:v>静岡県</x:v>
      </x:c>
      <x:c r="D243" s="8" t="n">
        <x:v>1291117</x:v>
      </x:c>
      <x:c r="E243" s="8" t="n">
        <x:v>287740</x:v>
      </x:c>
      <x:c r="F243" s="8" t="n">
        <x:v>464348</x:v>
      </x:c>
      <x:c r="G243" s="8" t="n">
        <x:v>148694</x:v>
      </x:c>
      <x:c r="H243" s="8" t="n">
        <x:v>390335</x:v>
      </x:c>
      <x:c r="I243" s="8" t="n">
        <x:v>43210</x:v>
      </x:c>
      <x:c r="J243" s="8" t="n">
        <x:v>17478</x:v>
      </x:c>
      <x:c r="K243" s="8" t="n">
        <x:v>18100</x:v>
      </x:c>
      <x:c r="L243" s="8" t="n">
        <x:v>4057</x:v>
      </x:c>
      <x:c r="M243" s="8" t="n">
        <x:v>3575</x:v>
      </x:c>
      <x:c r="N243" s="8" t="n">
        <x:v>0</x:v>
      </x:c>
      <x:c r="O243" s="8" t="n">
        <x:v>0</x:v>
      </x:c>
      <x:c r="P243" s="8" t="n">
        <x:v>8</x:v>
      </x:c>
      <x:c r="Q243" s="8" t="n">
        <x:v>6</x:v>
      </x:c>
      <x:c r="R243" s="8" t="n">
        <x:v>14</x:v>
      </x:c>
      <x:c r="S243" s="8" t="n">
        <x:v>425</x:v>
      </x:c>
      <x:c r="T243" s="8" t="n">
        <x:v>138</x:v>
      </x:c>
      <x:c r="U243" s="2" t="str">
        <x:v>2025年12月25日現在</x:v>
      </x:c>
      <x:c r="V243" s="2" t="str">
        <x:v>2025-12-25</x:v>
      </x:c>
      <x:c r="W243" s="2" t="str">
        <x:v>https://www.e-stat.go.jp/stat-search/file-download?statInfId=000040024002&amp;fileKind=0</x:v>
      </x:c>
      <x:c r="X243" s="2" t="str">
        <x:v>海上出入貨物!313行、コンテナ個数!58行</x:v>
      </x:c>
      <x:c r="Y243" s="2" t="str">
        <x:v>取得済</x:v>
      </x:c>
      <x:c r="Z243" s="9" t="n">
        <x:f>IF(AND(ISNUMBER(E243),COUNTIFS($A$2:$A$477,EDATE(A243,-12),$B$2:$B$477,B243,$E$2:$E$477,"&gt;0")=1),E243/SUMIFS($E$2:$E$477,$A$2:$A$477,EDATE(A243,-12),$B$2:$B$477,B243)-1,"")</x:f>
        <x:v>-0.022193828138008853</x:v>
      </x:c>
      <x:c r="AA243" s="10" t="n">
        <x:f>IF(COUNTIFS($A$2:$A$477,"&gt;="&amp;EDATE(A243,-2),$A$2:$A$477,"&lt;="&amp;A243,$B$2:$B$477,B243,$E$2:$E$477,"&gt;=0")=3,SUMIFS($E$2:$E$477,$A$2:$A$477,"&gt;="&amp;EDATE(A243,-2),$A$2:$A$477,"&lt;="&amp;A243,$B$2:$B$477,B243)/3,"")</x:f>
        <x:v>298314.6666666667</x:v>
      </x:c>
      <x:c r="AB243" s="9" t="n">
        <x:f>IF(AND(ISNUMBER(J243),COUNTIFS($A$2:$A$477,EDATE(A243,-12),$B$2:$B$477,B243,$J$2:$J$477,"&gt;0")=1),J243/SUMIFS($J$2:$J$477,$A$2:$A$477,EDATE(A243,-12),$B$2:$B$477,B243)-1,"")</x:f>
        <x:v>-0.017261737419173473</x:v>
      </x:c>
    </x:row>
    <x:row r="244" ht="21" customHeight="1">
      <x:c r="A244" s="7" t="n">
        <x:v>45231</x:v>
      </x:c>
      <x:c r="B244" s="2" t="str">
        <x:v>博多</x:v>
      </x:c>
      <x:c r="C244" s="2" t="str">
        <x:v>福岡県</x:v>
      </x:c>
      <x:c r="D244" s="8" t="n">
        <x:v>3114693</x:v>
      </x:c>
      <x:c r="E244" s="8" t="n">
        <x:v>818517</x:v>
      </x:c>
      <x:c r="F244" s="8" t="n">
        <x:v>878787</x:v>
      </x:c>
      <x:c r="G244" s="8" t="n">
        <x:v>472966</x:v>
      </x:c>
      <x:c r="H244" s="8" t="n">
        <x:v>944423</x:v>
      </x:c>
      <x:c r="I244" s="8" t="n">
        <x:v>86445</x:v>
      </x:c>
      <x:c r="J244" s="8" t="n">
        <x:v>37248</x:v>
      </x:c>
      <x:c r="K244" s="8" t="n">
        <x:v>37518</x:v>
      </x:c>
      <x:c r="L244" s="8" t="n">
        <x:v>5567</x:v>
      </x:c>
      <x:c r="M244" s="8" t="n">
        <x:v>6112</x:v>
      </x:c>
      <x:c r="N244" s="8" t="n">
        <x:v>0</x:v>
      </x:c>
      <x:c r="O244" s="8" t="n">
        <x:v>0</x:v>
      </x:c>
      <x:c r="P244" s="8" t="n">
        <x:v>1422</x:v>
      </x:c>
      <x:c r="Q244" s="8" t="n">
        <x:v>1419</x:v>
      </x:c>
      <x:c r="R244" s="8" t="n">
        <x:v>2841</x:v>
      </x:c>
      <x:c r="S244" s="8" t="n">
        <x:v>1595</x:v>
      </x:c>
      <x:c r="T244" s="8" t="n">
        <x:v>274</x:v>
      </x:c>
      <x:c r="U244" s="2" t="str">
        <x:v>2025年12月25日現在</x:v>
      </x:c>
      <x:c r="V244" s="2" t="str">
        <x:v>2025-12-25</x:v>
      </x:c>
      <x:c r="W244" s="2" t="str">
        <x:v>https://www.e-stat.go.jp/stat-search/file-download?statInfId=000040024002&amp;fileKind=0</x:v>
      </x:c>
      <x:c r="X244" s="2" t="str">
        <x:v>海上出入貨物!745行、コンテナ個数!130行</x:v>
      </x:c>
      <x:c r="Y244" s="2" t="str">
        <x:v>取得済</x:v>
      </x:c>
      <x:c r="Z244" s="9" t="n">
        <x:f>IF(AND(ISNUMBER(E244),COUNTIFS($A$2:$A$477,EDATE(A244,-12),$B$2:$B$477,B244,$E$2:$E$477,"&gt;0")=1),E244/SUMIFS($E$2:$E$477,$A$2:$A$477,EDATE(A244,-12),$B$2:$B$477,B244)-1,"")</x:f>
        <x:v>0.13396747375027185</x:v>
      </x:c>
      <x:c r="AA244" s="10" t="n">
        <x:f>IF(COUNTIFS($A$2:$A$477,"&gt;="&amp;EDATE(A244,-2),$A$2:$A$477,"&lt;="&amp;A244,$B$2:$B$477,B244,$E$2:$E$477,"&gt;=0")=3,SUMIFS($E$2:$E$477,$A$2:$A$477,"&gt;="&amp;EDATE(A244,-2),$A$2:$A$477,"&lt;="&amp;A244,$B$2:$B$477,B244)/3,"")</x:f>
        <x:v>798980.6666666666</x:v>
      </x:c>
      <x:c r="AB244" s="9" t="n">
        <x:f>IF(AND(ISNUMBER(J244),COUNTIFS($A$2:$A$477,EDATE(A244,-12),$B$2:$B$477,B244,$J$2:$J$477,"&gt;0")=1),J244/SUMIFS($J$2:$J$477,$A$2:$A$477,EDATE(A244,-12),$B$2:$B$477,B244)-1,"")</x:f>
        <x:v>0.07943315848958177</x:v>
      </x:c>
    </x:row>
    <x:row r="245" ht="21" customHeight="1">
      <x:c r="A245" s="7" t="n">
        <x:v>45231</x:v>
      </x:c>
      <x:c r="B245" s="2" t="str">
        <x:v>熊本</x:v>
      </x:c>
      <x:c r="C245" s="2" t="str">
        <x:v>熊本県</x:v>
      </x:c>
      <x:c r="D245" s="8" t="n">
        <x:v>330619</x:v>
      </x:c>
      <x:c r="E245" s="8" t="n">
        <x:v>3443</x:v>
      </x:c>
      <x:c r="F245" s="8" t="n">
        <x:v>4520</x:v>
      </x:c>
      <x:c r="G245" s="8" t="n">
        <x:v>133593</x:v>
      </x:c>
      <x:c r="H245" s="8" t="n">
        <x:v>189063</x:v>
      </x:c>
      <x:c r="I245" s="8" t="n">
        <x:v>911</x:v>
      </x:c>
      <x:c r="J245" s="8" t="n">
        <x:v>200</x:v>
      </x:c>
      <x:c r="K245" s="8" t="n">
        <x:v>219</x:v>
      </x:c>
      <x:c r="L245" s="8" t="n">
        <x:v>199</x:v>
      </x:c>
      <x:c r="M245" s="8" t="n">
        <x:v>293</x:v>
      </x:c>
      <x:c r="N245" s="8" t="n">
        <x:v>0</x:v>
      </x:c>
      <x:c r="O245" s="8" t="n">
        <x:v>0</x:v>
      </x:c>
      <x:c r="P245" s="8" t="n">
        <x:v>719</x:v>
      </x:c>
      <x:c r="Q245" s="8" t="n">
        <x:v>747</x:v>
      </x:c>
      <x:c r="R245" s="8" t="n">
        <x:v>1466</x:v>
      </x:c>
      <x:c r="S245" s="8" t="n">
        <x:v>46</x:v>
      </x:c>
      <x:c r="T245" s="8" t="n">
        <x:v>7</x:v>
      </x:c>
      <x:c r="U245" s="2" t="str">
        <x:v>2025年12月25日現在</x:v>
      </x:c>
      <x:c r="V245" s="2" t="str">
        <x:v>2025-12-25</x:v>
      </x:c>
      <x:c r="W245" s="2" t="str">
        <x:v>https://www.e-stat.go.jp/stat-search/file-download?statInfId=000040024002&amp;fileKind=0</x:v>
      </x:c>
      <x:c r="X245" s="2" t="str">
        <x:v>海上出入貨物!859行、コンテナ個数!149行</x:v>
      </x:c>
      <x:c r="Y245" s="2" t="str">
        <x:v>取得済</x:v>
      </x:c>
      <x:c r="Z245" s="9" t="n">
        <x:f>IF(AND(ISNUMBER(E245),COUNTIFS($A$2:$A$477,EDATE(A245,-12),$B$2:$B$477,B245,$E$2:$E$477,"&gt;0")=1),E245/SUMIFS($E$2:$E$477,$A$2:$A$477,EDATE(A245,-12),$B$2:$B$477,B245)-1,"")</x:f>
        <x:v>-0.3856174161313347</x:v>
      </x:c>
      <x:c r="AA245" s="10" t="n">
        <x:f>IF(COUNTIFS($A$2:$A$477,"&gt;="&amp;EDATE(A245,-2),$A$2:$A$477,"&lt;="&amp;A245,$B$2:$B$477,B245,$E$2:$E$477,"&gt;=0")=3,SUMIFS($E$2:$E$477,$A$2:$A$477,"&gt;="&amp;EDATE(A245,-2),$A$2:$A$477,"&lt;="&amp;A245,$B$2:$B$477,B245)/3,"")</x:f>
        <x:v>3564</x:v>
      </x:c>
      <x:c r="AB245" s="9" t="n">
        <x:f>IF(AND(ISNUMBER(J245),COUNTIFS($A$2:$A$477,EDATE(A245,-12),$B$2:$B$477,B245,$J$2:$J$477,"&gt;0")=1),J245/SUMIFS($J$2:$J$477,$A$2:$A$477,EDATE(A245,-12),$B$2:$B$477,B245)-1,"")</x:f>
        <x:v>-0.32659932659932656</x:v>
      </x:c>
    </x:row>
    <x:row r="246" ht="21" customHeight="1">
      <x:c r="A246" s="7" t="n">
        <x:v>45231</x:v>
      </x:c>
      <x:c r="B246" s="2" t="str">
        <x:v>八代</x:v>
      </x:c>
      <x:c r="C246" s="2" t="str">
        <x:v>熊本県</x:v>
      </x:c>
      <x:c r="D246" s="8" t="n">
        <x:v>309617</x:v>
      </x:c>
      <x:c r="E246" s="8" t="n">
        <x:v>25646</x:v>
      </x:c>
      <x:c r="F246" s="8" t="n">
        <x:v>104851</x:v>
      </x:c>
      <x:c r="G246" s="8" t="n">
        <x:v>19308</x:v>
      </x:c>
      <x:c r="H246" s="8" t="n">
        <x:v>159812</x:v>
      </x:c>
      <x:c r="I246" s="8" t="n">
        <x:v>2013</x:v>
      </x:c>
      <x:c r="J246" s="8" t="n">
        <x:v>944</x:v>
      </x:c>
      <x:c r="K246" s="8" t="n">
        <x:v>826</x:v>
      </x:c>
      <x:c r="L246" s="8" t="n">
        <x:v>166</x:v>
      </x:c>
      <x:c r="M246" s="8" t="n">
        <x:v>77</x:v>
      </x:c>
      <x:c r="N246" s="8" t="n">
        <x:v>0</x:v>
      </x:c>
      <x:c r="O246" s="8" t="n">
        <x:v>0</x:v>
      </x:c>
      <x:c r="P246" s="8" t="n">
        <x:v>0</x:v>
      </x:c>
      <x:c r="Q246" s="8" t="n">
        <x:v>0</x:v>
      </x:c>
      <x:c r="R246" s="8" t="n">
        <x:v>0</x:v>
      </x:c>
      <x:c r="S246" s="8" t="n">
        <x:v>243</x:v>
      </x:c>
      <x:c r="T246" s="8" t="n">
        <x:v>45</x:v>
      </x:c>
      <x:c r="U246" s="2" t="str">
        <x:v>2025年12月25日現在</x:v>
      </x:c>
      <x:c r="V246" s="2" t="str">
        <x:v>2025-12-25</x:v>
      </x:c>
      <x:c r="W246" s="2" t="str">
        <x:v>https://www.e-stat.go.jp/stat-search/file-download?statInfId=000040024002&amp;fileKind=0</x:v>
      </x:c>
      <x:c r="X246" s="2" t="str">
        <x:v>海上出入貨物!847行、コンテナ個数!147行</x:v>
      </x:c>
      <x:c r="Y246" s="2" t="str">
        <x:v>取得済</x:v>
      </x:c>
      <x:c r="Z246" s="9" t="n">
        <x:f>IF(AND(ISNUMBER(E246),COUNTIFS($A$2:$A$477,EDATE(A246,-12),$B$2:$B$477,B246,$E$2:$E$477,"&gt;0")=1),E246/SUMIFS($E$2:$E$477,$A$2:$A$477,EDATE(A246,-12),$B$2:$B$477,B246)-1,"")</x:f>
        <x:v>0.6857950437126141</x:v>
      </x:c>
      <x:c r="AA246" s="10" t="n">
        <x:f>IF(COUNTIFS($A$2:$A$477,"&gt;="&amp;EDATE(A246,-2),$A$2:$A$477,"&lt;="&amp;A246,$B$2:$B$477,B246,$E$2:$E$477,"&gt;=0")=3,SUMIFS($E$2:$E$477,$A$2:$A$477,"&gt;="&amp;EDATE(A246,-2),$A$2:$A$477,"&lt;="&amp;A246,$B$2:$B$477,B246)/3,"")</x:f>
        <x:v>22902</x:v>
      </x:c>
      <x:c r="AB246" s="9" t="n">
        <x:f>IF(AND(ISNUMBER(J246),COUNTIFS($A$2:$A$477,EDATE(A246,-12),$B$2:$B$477,B246,$J$2:$J$477,"&gt;0")=1),J246/SUMIFS($J$2:$J$477,$A$2:$A$477,EDATE(A246,-12),$B$2:$B$477,B246)-1,"")</x:f>
        <x:v>0.13734939759036147</x:v>
      </x:c>
    </x:row>
    <x:row r="247" ht="21" customHeight="1">
      <x:c r="A247" s="7" t="n">
        <x:v>45261</x:v>
      </x:c>
      <x:c r="B247" s="2" t="str">
        <x:v>仙台塩釜</x:v>
      </x:c>
      <x:c r="C247" s="2" t="str">
        <x:v>宮城県</x:v>
      </x:c>
      <x:c r="D247" s="8" t="n">
        <x:v>3584989</x:v>
      </x:c>
      <x:c r="E247" s="8" t="n">
        <x:v>153388</x:v>
      </x:c>
      <x:c r="F247" s="8" t="n">
        <x:v>1091663</x:v>
      </x:c>
      <x:c r="G247" s="8" t="n">
        <x:v>1119817</x:v>
      </x:c>
      <x:c r="H247" s="8" t="n">
        <x:v>1220121</x:v>
      </x:c>
      <x:c r="I247" s="8" t="n">
        <x:v>21255</x:v>
      </x:c>
      <x:c r="J247" s="8" t="n">
        <x:v>5493</x:v>
      </x:c>
      <x:c r="K247" s="8" t="n">
        <x:v>5718</x:v>
      </x:c>
      <x:c r="L247" s="8" t="n">
        <x:v>5366</x:v>
      </x:c>
      <x:c r="M247" s="8" t="n">
        <x:v>4678</x:v>
      </x:c>
      <x:c r="N247" s="8" t="n">
        <x:v>0</x:v>
      </x:c>
      <x:c r="O247" s="8" t="n">
        <x:v>0</x:v>
      </x:c>
      <x:c r="P247" s="8" t="n">
        <x:v>615</x:v>
      </x:c>
      <x:c r="Q247" s="8" t="n">
        <x:v>625</x:v>
      </x:c>
      <x:c r="R247" s="8" t="n">
        <x:v>1240</x:v>
      </x:c>
      <x:c r="S247" s="8" t="n">
        <x:v>1936</x:v>
      </x:c>
      <x:c r="T247" s="8" t="n">
        <x:v>91</x:v>
      </x:c>
      <x:c r="U247" s="2" t="str">
        <x:v>2025年12月25日現在</x:v>
      </x:c>
      <x:c r="V247" s="2" t="str">
        <x:v>2025-12-25</x:v>
      </x:c>
      <x:c r="W247" s="2" t="str">
        <x:v>https://www.e-stat.go.jp/stat-search/file-download?statInfId=000040024002&amp;fileKind=0</x:v>
      </x:c>
      <x:c r="X247" s="2" t="str">
        <x:v>海上出入貨物!139行、コンテナ個数!29行</x:v>
      </x:c>
      <x:c r="Y247" s="2" t="str">
        <x:v>取得済</x:v>
      </x:c>
      <x:c r="Z247" s="9" t="n">
        <x:f>IF(AND(ISNUMBER(E247),COUNTIFS($A$2:$A$477,EDATE(A247,-12),$B$2:$B$477,B247,$E$2:$E$477,"&gt;0")=1),E247/SUMIFS($E$2:$E$477,$A$2:$A$477,EDATE(A247,-12),$B$2:$B$477,B247)-1,"")</x:f>
        <x:v>0.4381967689610231</x:v>
      </x:c>
      <x:c r="AA247" s="10" t="n">
        <x:f>IF(COUNTIFS($A$2:$A$477,"&gt;="&amp;EDATE(A247,-2),$A$2:$A$477,"&lt;="&amp;A247,$B$2:$B$477,B247,$E$2:$E$477,"&gt;=0")=3,SUMIFS($E$2:$E$477,$A$2:$A$477,"&gt;="&amp;EDATE(A247,-2),$A$2:$A$477,"&lt;="&amp;A247,$B$2:$B$477,B247)/3,"")</x:f>
        <x:v>131966.66666666666</x:v>
      </x:c>
      <x:c r="AB247" s="9" t="n">
        <x:f>IF(AND(ISNUMBER(J247),COUNTIFS($A$2:$A$477,EDATE(A247,-12),$B$2:$B$477,B247,$J$2:$J$477,"&gt;0")=1),J247/SUMIFS($J$2:$J$477,$A$2:$A$477,EDATE(A247,-12),$B$2:$B$477,B247)-1,"")</x:f>
        <x:v>-0.08587119321018477</x:v>
      </x:c>
    </x:row>
    <x:row r="248" ht="21" customHeight="1">
      <x:c r="A248" s="7" t="n">
        <x:v>45261</x:v>
      </x:c>
      <x:c r="B248" s="2" t="str">
        <x:v>東京</x:v>
      </x:c>
      <x:c r="C248" s="2" t="str">
        <x:v>東京都</x:v>
      </x:c>
      <x:c r="D248" s="8" t="n">
        <x:v>6911739</x:v>
      </x:c>
      <x:c r="E248" s="8" t="n">
        <x:v>1034099</x:v>
      </x:c>
      <x:c r="F248" s="8" t="n">
        <x:v>2642645</x:v>
      </x:c>
      <x:c r="G248" s="8" t="n">
        <x:v>1094604</x:v>
      </x:c>
      <x:c r="H248" s="8" t="n">
        <x:v>2140391</x:v>
      </x:c>
      <x:c r="I248" s="8" t="n">
        <x:v>392025</x:v>
      </x:c>
      <x:c r="J248" s="8" t="n">
        <x:v>177869</x:v>
      </x:c>
      <x:c r="K248" s="8" t="n">
        <x:v>175947</x:v>
      </x:c>
      <x:c r="L248" s="8" t="n">
        <x:v>25554</x:v>
      </x:c>
      <x:c r="M248" s="8" t="n">
        <x:v>12655</x:v>
      </x:c>
      <x:c r="N248" s="8" t="n">
        <x:v>0</x:v>
      </x:c>
      <x:c r="O248" s="8" t="n">
        <x:v>0</x:v>
      </x:c>
      <x:c r="P248" s="8" t="n">
        <x:v>527</x:v>
      </x:c>
      <x:c r="Q248" s="8" t="n">
        <x:v>184</x:v>
      </x:c>
      <x:c r="R248" s="8" t="n">
        <x:v>711</x:v>
      </x:c>
      <x:c r="S248" s="8" t="n">
        <x:v>1696</x:v>
      </x:c>
      <x:c r="T248" s="8" t="n">
        <x:v>418</x:v>
      </x:c>
      <x:c r="U248" s="2" t="str">
        <x:v>2025年12月25日現在</x:v>
      </x:c>
      <x:c r="V248" s="2" t="str">
        <x:v>2025-12-25</x:v>
      </x:c>
      <x:c r="W248" s="2" t="str">
        <x:v>https://www.e-stat.go.jp/stat-search/file-download?statInfId=000040024002&amp;fileKind=0</x:v>
      </x:c>
      <x:c r="X248" s="2" t="str">
        <x:v>海上出入貨物!205行、コンテナ個数!40行</x:v>
      </x:c>
      <x:c r="Y248" s="2" t="str">
        <x:v>取得済</x:v>
      </x:c>
      <x:c r="Z248" s="9" t="n">
        <x:f>IF(AND(ISNUMBER(E248),COUNTIFS($A$2:$A$477,EDATE(A248,-12),$B$2:$B$477,B248,$E$2:$E$477,"&gt;0")=1),E248/SUMIFS($E$2:$E$477,$A$2:$A$477,EDATE(A248,-12),$B$2:$B$477,B248)-1,"")</x:f>
        <x:v>0.009557662775588227</x:v>
      </x:c>
      <x:c r="AA248" s="10" t="n">
        <x:f>IF(COUNTIFS($A$2:$A$477,"&gt;="&amp;EDATE(A248,-2),$A$2:$A$477,"&lt;="&amp;A248,$B$2:$B$477,B248,$E$2:$E$477,"&gt;=0")=3,SUMIFS($E$2:$E$477,$A$2:$A$477,"&gt;="&amp;EDATE(A248,-2),$A$2:$A$477,"&lt;="&amp;A248,$B$2:$B$477,B248)/3,"")</x:f>
        <x:v>983834.6666666666</x:v>
      </x:c>
      <x:c r="AB248" s="9" t="n">
        <x:f>IF(AND(ISNUMBER(J248),COUNTIFS($A$2:$A$477,EDATE(A248,-12),$B$2:$B$477,B248,$J$2:$J$477,"&gt;0")=1),J248/SUMIFS($J$2:$J$477,$A$2:$A$477,EDATE(A248,-12),$B$2:$B$477,B248)-1,"")</x:f>
        <x:v>-0.018236712975995273</x:v>
      </x:c>
    </x:row>
    <x:row r="249" ht="21" customHeight="1">
      <x:c r="A249" s="7" t="n">
        <x:v>45261</x:v>
      </x:c>
      <x:c r="B249" s="2" t="str">
        <x:v>横浜</x:v>
      </x:c>
      <x:c r="C249" s="2" t="str">
        <x:v>神奈川県</x:v>
      </x:c>
      <x:c r="D249" s="8" t="n">
        <x:v>9165428</x:v>
      </x:c>
      <x:c r="E249" s="8" t="n">
        <x:v>2799748</x:v>
      </x:c>
      <x:c r="F249" s="8" t="n">
        <x:v>3753712</x:v>
      </x:c>
      <x:c r="G249" s="8" t="n">
        <x:v>882682</x:v>
      </x:c>
      <x:c r="H249" s="8" t="n">
        <x:v>1729286</x:v>
      </x:c>
      <x:c r="I249" s="8" t="n">
        <x:v>274097</x:v>
      </x:c>
      <x:c r="J249" s="8" t="n">
        <x:v>133158</x:v>
      </x:c>
      <x:c r="K249" s="8" t="n">
        <x:v>111985</x:v>
      </x:c>
      <x:c r="L249" s="8" t="n">
        <x:v>12393</x:v>
      </x:c>
      <x:c r="M249" s="8" t="n">
        <x:v>16561</x:v>
      </x:c>
      <x:c r="N249" s="8" t="n">
        <x:v>0</x:v>
      </x:c>
      <x:c r="O249" s="8" t="n">
        <x:v>0</x:v>
      </x:c>
      <x:c r="P249" s="8" t="n">
        <x:v>0</x:v>
      </x:c>
      <x:c r="Q249" s="8" t="n">
        <x:v>0</x:v>
      </x:c>
      <x:c r="R249" s="8" t="n">
        <x:v>0</x:v>
      </x:c>
      <x:c r="S249" s="8" t="n">
        <x:v>2220</x:v>
      </x:c>
      <x:c r="T249" s="8" t="n">
        <x:v>723</x:v>
      </x:c>
      <x:c r="U249" s="2" t="str">
        <x:v>2025年12月25日現在</x:v>
      </x:c>
      <x:c r="V249" s="2" t="str">
        <x:v>2025-12-25</x:v>
      </x:c>
      <x:c r="W249" s="2" t="str">
        <x:v>https://www.e-stat.go.jp/stat-search/file-download?statInfId=000040024002&amp;fileKind=0</x:v>
      </x:c>
      <x:c r="X249" s="2" t="str">
        <x:v>海上出入貨物!217行、コンテナ個数!42行</x:v>
      </x:c>
      <x:c r="Y249" s="2" t="str">
        <x:v>取得済</x:v>
      </x:c>
      <x:c r="Z249" s="9" t="n">
        <x:f>IF(AND(ISNUMBER(E249),COUNTIFS($A$2:$A$477,EDATE(A249,-12),$B$2:$B$477,B249,$E$2:$E$477,"&gt;0")=1),E249/SUMIFS($E$2:$E$477,$A$2:$A$477,EDATE(A249,-12),$B$2:$B$477,B249)-1,"")</x:f>
        <x:v>0.08217710340050655</x:v>
      </x:c>
      <x:c r="AA249" s="10" t="n">
        <x:f>IF(COUNTIFS($A$2:$A$477,"&gt;="&amp;EDATE(A249,-2),$A$2:$A$477,"&lt;="&amp;A249,$B$2:$B$477,B249,$E$2:$E$477,"&gt;=0")=3,SUMIFS($E$2:$E$477,$A$2:$A$477,"&gt;="&amp;EDATE(A249,-2),$A$2:$A$477,"&lt;="&amp;A249,$B$2:$B$477,B249)/3,"")</x:f>
        <x:v>2632194.3333333335</x:v>
      </x:c>
      <x:c r="AB249" s="9" t="n">
        <x:f>IF(AND(ISNUMBER(J249),COUNTIFS($A$2:$A$477,EDATE(A249,-12),$B$2:$B$477,B249,$J$2:$J$477,"&gt;0")=1),J249/SUMIFS($J$2:$J$477,$A$2:$A$477,EDATE(A249,-12),$B$2:$B$477,B249)-1,"")</x:f>
        <x:v>0.062043882946904994</x:v>
      </x:c>
    </x:row>
    <x:row r="250" ht="21" customHeight="1">
      <x:c r="A250" s="7" t="n">
        <x:v>45261</x:v>
      </x:c>
      <x:c r="B250" s="2" t="str">
        <x:v>清水</x:v>
      </x:c>
      <x:c r="C250" s="2" t="str">
        <x:v>静岡県</x:v>
      </x:c>
      <x:c r="D250" s="8" t="n">
        <x:v>1381010</x:v>
      </x:c>
      <x:c r="E250" s="8" t="n">
        <x:v>290048</x:v>
      </x:c>
      <x:c r="F250" s="8" t="n">
        <x:v>511833</x:v>
      </x:c>
      <x:c r="G250" s="8" t="n">
        <x:v>186138</x:v>
      </x:c>
      <x:c r="H250" s="8" t="n">
        <x:v>392991</x:v>
      </x:c>
      <x:c r="I250" s="8" t="n">
        <x:v>47016</x:v>
      </x:c>
      <x:c r="J250" s="8" t="n">
        <x:v>18858</x:v>
      </x:c>
      <x:c r="K250" s="8" t="n">
        <x:v>17590</x:v>
      </x:c>
      <x:c r="L250" s="8" t="n">
        <x:v>5865</x:v>
      </x:c>
      <x:c r="M250" s="8" t="n">
        <x:v>4703</x:v>
      </x:c>
      <x:c r="N250" s="8" t="n">
        <x:v>0</x:v>
      </x:c>
      <x:c r="O250" s="8" t="n">
        <x:v>0</x:v>
      </x:c>
      <x:c r="P250" s="8" t="n">
        <x:v>4</x:v>
      </x:c>
      <x:c r="Q250" s="8" t="n">
        <x:v>3</x:v>
      </x:c>
      <x:c r="R250" s="8" t="n">
        <x:v>7</x:v>
      </x:c>
      <x:c r="S250" s="8" t="n">
        <x:v>431</x:v>
      </x:c>
      <x:c r="T250" s="8" t="n">
        <x:v>131</x:v>
      </x:c>
      <x:c r="U250" s="2" t="str">
        <x:v>2025年12月25日現在</x:v>
      </x:c>
      <x:c r="V250" s="2" t="str">
        <x:v>2025-12-25</x:v>
      </x:c>
      <x:c r="W250" s="2" t="str">
        <x:v>https://www.e-stat.go.jp/stat-search/file-download?statInfId=000040024002&amp;fileKind=0</x:v>
      </x:c>
      <x:c r="X250" s="2" t="str">
        <x:v>海上出入貨物!313行、コンテナ個数!58行</x:v>
      </x:c>
      <x:c r="Y250" s="2" t="str">
        <x:v>取得済</x:v>
      </x:c>
      <x:c r="Z250" s="9" t="n">
        <x:f>IF(AND(ISNUMBER(E250),COUNTIFS($A$2:$A$477,EDATE(A250,-12),$B$2:$B$477,B250,$E$2:$E$477,"&gt;0")=1),E250/SUMIFS($E$2:$E$477,$A$2:$A$477,EDATE(A250,-12),$B$2:$B$477,B250)-1,"")</x:f>
        <x:v>-0.08780757812106876</x:v>
      </x:c>
      <x:c r="AA250" s="10" t="n">
        <x:f>IF(COUNTIFS($A$2:$A$477,"&gt;="&amp;EDATE(A250,-2),$A$2:$A$477,"&lt;="&amp;A250,$B$2:$B$477,B250,$E$2:$E$477,"&gt;=0")=3,SUMIFS($E$2:$E$477,$A$2:$A$477,"&gt;="&amp;EDATE(A250,-2),$A$2:$A$477,"&lt;="&amp;A250,$B$2:$B$477,B250)/3,"")</x:f>
        <x:v>298315</x:v>
      </x:c>
      <x:c r="AB250" s="9" t="n">
        <x:f>IF(AND(ISNUMBER(J250),COUNTIFS($A$2:$A$477,EDATE(A250,-12),$B$2:$B$477,B250,$J$2:$J$477,"&gt;0")=1),J250/SUMIFS($J$2:$J$477,$A$2:$A$477,EDATE(A250,-12),$B$2:$B$477,B250)-1,"")</x:f>
        <x:v>-0.003118887772902701</x:v>
      </x:c>
    </x:row>
    <x:row r="251" ht="21" customHeight="1">
      <x:c r="A251" s="7" t="n">
        <x:v>45261</x:v>
      </x:c>
      <x:c r="B251" s="2" t="str">
        <x:v>博多</x:v>
      </x:c>
      <x:c r="C251" s="2" t="str">
        <x:v>福岡県</x:v>
      </x:c>
      <x:c r="D251" s="8" t="n">
        <x:v>2831913</x:v>
      </x:c>
      <x:c r="E251" s="8" t="n">
        <x:v>758231</x:v>
      </x:c>
      <x:c r="F251" s="8" t="n">
        <x:v>687335</x:v>
      </x:c>
      <x:c r="G251" s="8" t="n">
        <x:v>444221</x:v>
      </x:c>
      <x:c r="H251" s="8" t="n">
        <x:v>942126</x:v>
      </x:c>
      <x:c r="I251" s="8" t="n">
        <x:v>81686</x:v>
      </x:c>
      <x:c r="J251" s="8" t="n">
        <x:v>36964</x:v>
      </x:c>
      <x:c r="K251" s="8" t="n">
        <x:v>32030</x:v>
      </x:c>
      <x:c r="L251" s="8" t="n">
        <x:v>6282</x:v>
      </x:c>
      <x:c r="M251" s="8" t="n">
        <x:v>6410</x:v>
      </x:c>
      <x:c r="N251" s="8" t="n">
        <x:v>0</x:v>
      </x:c>
      <x:c r="O251" s="8" t="n">
        <x:v>0</x:v>
      </x:c>
      <x:c r="P251" s="8" t="n">
        <x:v>1369</x:v>
      </x:c>
      <x:c r="Q251" s="8" t="n">
        <x:v>1432</x:v>
      </x:c>
      <x:c r="R251" s="8" t="n">
        <x:v>2801</x:v>
      </x:c>
      <x:c r="S251" s="8" t="n">
        <x:v>1581</x:v>
      </x:c>
      <x:c r="T251" s="8" t="n">
        <x:v>240</x:v>
      </x:c>
      <x:c r="U251" s="2" t="str">
        <x:v>2025年12月25日現在</x:v>
      </x:c>
      <x:c r="V251" s="2" t="str">
        <x:v>2025-12-25</x:v>
      </x:c>
      <x:c r="W251" s="2" t="str">
        <x:v>https://www.e-stat.go.jp/stat-search/file-download?statInfId=000040024002&amp;fileKind=0</x:v>
      </x:c>
      <x:c r="X251" s="2" t="str">
        <x:v>海上出入貨物!745行、コンテナ個数!130行</x:v>
      </x:c>
      <x:c r="Y251" s="2" t="str">
        <x:v>取得済</x:v>
      </x:c>
      <x:c r="Z251" s="9" t="n">
        <x:f>IF(AND(ISNUMBER(E251),COUNTIFS($A$2:$A$477,EDATE(A251,-12),$B$2:$B$477,B251,$E$2:$E$477,"&gt;0")=1),E251/SUMIFS($E$2:$E$477,$A$2:$A$477,EDATE(A251,-12),$B$2:$B$477,B251)-1,"")</x:f>
        <x:v>0.2955411422576555</x:v>
      </x:c>
      <x:c r="AA251" s="10" t="n">
        <x:f>IF(COUNTIFS($A$2:$A$477,"&gt;="&amp;EDATE(A251,-2),$A$2:$A$477,"&lt;="&amp;A251,$B$2:$B$477,B251,$E$2:$E$477,"&gt;=0")=3,SUMIFS($E$2:$E$477,$A$2:$A$477,"&gt;="&amp;EDATE(A251,-2),$A$2:$A$477,"&lt;="&amp;A251,$B$2:$B$477,B251)/3,"")</x:f>
        <x:v>789254.3333333334</x:v>
      </x:c>
      <x:c r="AB251" s="9" t="n">
        <x:f>IF(AND(ISNUMBER(J251),COUNTIFS($A$2:$A$477,EDATE(A251,-12),$B$2:$B$477,B251,$J$2:$J$477,"&gt;0")=1),J251/SUMIFS($J$2:$J$477,$A$2:$A$477,EDATE(A251,-12),$B$2:$B$477,B251)-1,"")</x:f>
        <x:v>0.0981906770848806</x:v>
      </x:c>
    </x:row>
    <x:row r="252" ht="21" customHeight="1">
      <x:c r="A252" s="7" t="n">
        <x:v>45261</x:v>
      </x:c>
      <x:c r="B252" s="2" t="str">
        <x:v>熊本</x:v>
      </x:c>
      <x:c r="C252" s="2" t="str">
        <x:v>熊本県</x:v>
      </x:c>
      <x:c r="D252" s="8" t="n">
        <x:v>288024</x:v>
      </x:c>
      <x:c r="E252" s="8" t="n">
        <x:v>2598</x:v>
      </x:c>
      <x:c r="F252" s="8" t="n">
        <x:v>4066</x:v>
      </x:c>
      <x:c r="G252" s="8" t="n">
        <x:v>116350</x:v>
      </x:c>
      <x:c r="H252" s="8" t="n">
        <x:v>165010</x:v>
      </x:c>
      <x:c r="I252" s="8" t="n">
        <x:v>945</x:v>
      </x:c>
      <x:c r="J252" s="8" t="n">
        <x:v>150</x:v>
      </x:c>
      <x:c r="K252" s="8" t="n">
        <x:v>209</x:v>
      </x:c>
      <x:c r="L252" s="8" t="n">
        <x:v>317</x:v>
      </x:c>
      <x:c r="M252" s="8" t="n">
        <x:v>269</x:v>
      </x:c>
      <x:c r="N252" s="8" t="n">
        <x:v>0</x:v>
      </x:c>
      <x:c r="O252" s="8" t="n">
        <x:v>0</x:v>
      </x:c>
      <x:c r="P252" s="8" t="n">
        <x:v>647</x:v>
      </x:c>
      <x:c r="Q252" s="8" t="n">
        <x:v>661</x:v>
      </x:c>
      <x:c r="R252" s="8" t="n">
        <x:v>1308</x:v>
      </x:c>
      <x:c r="S252" s="8" t="n">
        <x:v>39</x:v>
      </x:c>
      <x:c r="T252" s="8" t="n">
        <x:v>6</x:v>
      </x:c>
      <x:c r="U252" s="2" t="str">
        <x:v>2025年12月25日現在</x:v>
      </x:c>
      <x:c r="V252" s="2" t="str">
        <x:v>2025-12-25</x:v>
      </x:c>
      <x:c r="W252" s="2" t="str">
        <x:v>https://www.e-stat.go.jp/stat-search/file-download?statInfId=000040024002&amp;fileKind=0</x:v>
      </x:c>
      <x:c r="X252" s="2" t="str">
        <x:v>海上出入貨物!859行、コンテナ個数!149行</x:v>
      </x:c>
      <x:c r="Y252" s="2" t="str">
        <x:v>取得済</x:v>
      </x:c>
      <x:c r="Z252" s="9" t="n">
        <x:f>IF(AND(ISNUMBER(E252),COUNTIFS($A$2:$A$477,EDATE(A252,-12),$B$2:$B$477,B252,$E$2:$E$477,"&gt;0")=1),E252/SUMIFS($E$2:$E$477,$A$2:$A$477,EDATE(A252,-12),$B$2:$B$477,B252)-1,"")</x:f>
        <x:v>-0.5368158316990551</x:v>
      </x:c>
      <x:c r="AA252" s="10" t="n">
        <x:f>IF(COUNTIFS($A$2:$A$477,"&gt;="&amp;EDATE(A252,-2),$A$2:$A$477,"&lt;="&amp;A252,$B$2:$B$477,B252,$E$2:$E$477,"&gt;=0")=3,SUMIFS($E$2:$E$477,$A$2:$A$477,"&gt;="&amp;EDATE(A252,-2),$A$2:$A$477,"&lt;="&amp;A252,$B$2:$B$477,B252)/3,"")</x:f>
        <x:v>3259</x:v>
      </x:c>
      <x:c r="AB252" s="9" t="n">
        <x:f>IF(AND(ISNUMBER(J252),COUNTIFS($A$2:$A$477,EDATE(A252,-12),$B$2:$B$477,B252,$J$2:$J$477,"&gt;0")=1),J252/SUMIFS($J$2:$J$477,$A$2:$A$477,EDATE(A252,-12),$B$2:$B$477,B252)-1,"")</x:f>
        <x:v>-0.6907216494845361</x:v>
      </x:c>
    </x:row>
    <x:row r="253" ht="21" customHeight="1">
      <x:c r="A253" s="7" t="n">
        <x:v>45261</x:v>
      </x:c>
      <x:c r="B253" s="2" t="str">
        <x:v>八代</x:v>
      </x:c>
      <x:c r="C253" s="2" t="str">
        <x:v>熊本県</x:v>
      </x:c>
      <x:c r="D253" s="8" t="n">
        <x:v>356431</x:v>
      </x:c>
      <x:c r="E253" s="8" t="n">
        <x:v>23422</x:v>
      </x:c>
      <x:c r="F253" s="8" t="n">
        <x:v>150784</x:v>
      </x:c>
      <x:c r="G253" s="8" t="n">
        <x:v>16268</x:v>
      </x:c>
      <x:c r="H253" s="8" t="n">
        <x:v>165957</x:v>
      </x:c>
      <x:c r="I253" s="8" t="n">
        <x:v>1697</x:v>
      </x:c>
      <x:c r="J253" s="8" t="n">
        <x:v>825</x:v>
      </x:c>
      <x:c r="K253" s="8" t="n">
        <x:v>766</x:v>
      </x:c>
      <x:c r="L253" s="8" t="n">
        <x:v>9</x:v>
      </x:c>
      <x:c r="M253" s="8" t="n">
        <x:v>97</x:v>
      </x:c>
      <x:c r="N253" s="8" t="n">
        <x:v>0</x:v>
      </x:c>
      <x:c r="O253" s="8" t="n">
        <x:v>0</x:v>
      </x:c>
      <x:c r="P253" s="8" t="n">
        <x:v>0</x:v>
      </x:c>
      <x:c r="Q253" s="8" t="n">
        <x:v>0</x:v>
      </x:c>
      <x:c r="R253" s="8" t="n">
        <x:v>0</x:v>
      </x:c>
      <x:c r="S253" s="8" t="n">
        <x:v>246</x:v>
      </x:c>
      <x:c r="T253" s="8" t="n">
        <x:v>38</x:v>
      </x:c>
      <x:c r="U253" s="2" t="str">
        <x:v>2025年12月25日現在</x:v>
      </x:c>
      <x:c r="V253" s="2" t="str">
        <x:v>2025-12-25</x:v>
      </x:c>
      <x:c r="W253" s="2" t="str">
        <x:v>https://www.e-stat.go.jp/stat-search/file-download?statInfId=000040024002&amp;fileKind=0</x:v>
      </x:c>
      <x:c r="X253" s="2" t="str">
        <x:v>海上出入貨物!847行、コンテナ個数!147行</x:v>
      </x:c>
      <x:c r="Y253" s="2" t="str">
        <x:v>取得済</x:v>
      </x:c>
      <x:c r="Z253" s="9" t="n">
        <x:f>IF(AND(ISNUMBER(E253),COUNTIFS($A$2:$A$477,EDATE(A253,-12),$B$2:$B$477,B253,$E$2:$E$477,"&gt;0")=1),E253/SUMIFS($E$2:$E$477,$A$2:$A$477,EDATE(A253,-12),$B$2:$B$477,B253)-1,"")</x:f>
        <x:v>0.02132298434570279</x:v>
      </x:c>
      <x:c r="AA253" s="10" t="n">
        <x:f>IF(COUNTIFS($A$2:$A$477,"&gt;="&amp;EDATE(A253,-2),$A$2:$A$477,"&lt;="&amp;A253,$B$2:$B$477,B253,$E$2:$E$477,"&gt;=0")=3,SUMIFS($E$2:$E$477,$A$2:$A$477,"&gt;="&amp;EDATE(A253,-2),$A$2:$A$477,"&lt;="&amp;A253,$B$2:$B$477,B253)/3,"")</x:f>
        <x:v>23178.333333333332</x:v>
      </x:c>
      <x:c r="AB253" s="9" t="n">
        <x:f>IF(AND(ISNUMBER(J253),COUNTIFS($A$2:$A$477,EDATE(A253,-12),$B$2:$B$477,B253,$J$2:$J$477,"&gt;0")=1),J253/SUMIFS($J$2:$J$477,$A$2:$A$477,EDATE(A253,-12),$B$2:$B$477,B253)-1,"")</x:f>
        <x:v>-0.3668457405986185</x:v>
      </x:c>
    </x:row>
    <x:row r="254" ht="21" customHeight="1">
      <x:c r="A254" s="7" t="n">
        <x:v>45292</x:v>
      </x:c>
      <x:c r="B254" s="2" t="str">
        <x:v>仙台塩釜</x:v>
      </x:c>
      <x:c r="C254" s="2" t="str">
        <x:v>宮城県</x:v>
      </x:c>
      <x:c r="D254" s="8" t="n">
        <x:v>3110007</x:v>
      </x:c>
      <x:c r="E254" s="8" t="n">
        <x:v>163740</x:v>
      </x:c>
      <x:c r="F254" s="8" t="n">
        <x:v>1216463</x:v>
      </x:c>
      <x:c r="G254" s="8" t="n">
        <x:v>814531</x:v>
      </x:c>
      <x:c r="H254" s="8" t="n">
        <x:v>915273</x:v>
      </x:c>
      <x:c r="I254" s="8" t="n">
        <x:v>18279</x:v>
      </x:c>
      <x:c r="J254" s="8" t="n">
        <x:v>4512</x:v>
      </x:c>
      <x:c r="K254" s="8" t="n">
        <x:v>4705</x:v>
      </x:c>
      <x:c r="L254" s="8" t="n">
        <x:v>4653</x:v>
      </x:c>
      <x:c r="M254" s="8" t="n">
        <x:v>4409</x:v>
      </x:c>
      <x:c r="N254" s="8" t="n">
        <x:v>0</x:v>
      </x:c>
      <x:c r="O254" s="8" t="n">
        <x:v>0</x:v>
      </x:c>
      <x:c r="P254" s="8" t="n">
        <x:v>365</x:v>
      </x:c>
      <x:c r="Q254" s="8" t="n">
        <x:v>351</x:v>
      </x:c>
      <x:c r="R254" s="8" t="n">
        <x:v>716</x:v>
      </x:c>
      <x:c r="S254" s="8" t="n">
        <x:v>1797</x:v>
      </x:c>
      <x:c r="T254" s="8" t="n">
        <x:v>85</x:v>
      </x:c>
      <x:c r="U254" s="2" t="str">
        <x:v>2025年12月25日現在</x:v>
      </x:c>
      <x:c r="V254" s="2" t="str">
        <x:v>2025-12-25</x:v>
      </x:c>
      <x:c r="W254" s="2" t="str">
        <x:v>https://www.e-stat.go.jp/stat-search/file-download?statInfId=000040146718&amp;fileKind=0</x:v>
      </x:c>
      <x:c r="X254" s="2" t="str">
        <x:v>海上出入貨物!139行、コンテナ個数!29行</x:v>
      </x:c>
      <x:c r="Y254" s="2" t="str">
        <x:v>取得済</x:v>
      </x:c>
      <x:c r="Z254" s="9" t="n">
        <x:f>IF(AND(ISNUMBER(E254),COUNTIFS($A$2:$A$477,EDATE(A254,-12),$B$2:$B$477,B254,$E$2:$E$477,"&gt;0")=1),E254/SUMIFS($E$2:$E$477,$A$2:$A$477,EDATE(A254,-12),$B$2:$B$477,B254)-1,"")</x:f>
        <x:v>0.17554150004666558</x:v>
      </x:c>
      <x:c r="AA254" s="10" t="n">
        <x:f>IF(COUNTIFS($A$2:$A$477,"&gt;="&amp;EDATE(A254,-2),$A$2:$A$477,"&lt;="&amp;A254,$B$2:$B$477,B254,$E$2:$E$477,"&gt;=0")=3,SUMIFS($E$2:$E$477,$A$2:$A$477,"&gt;="&amp;EDATE(A254,-2),$A$2:$A$477,"&lt;="&amp;A254,$B$2:$B$477,B254)/3,"")</x:f>
        <x:v>150343.33333333334</x:v>
      </x:c>
      <x:c r="AB254" s="9" t="n">
        <x:f>IF(AND(ISNUMBER(J254),COUNTIFS($A$2:$A$477,EDATE(A254,-12),$B$2:$B$477,B254,$J$2:$J$477,"&gt;0")=1),J254/SUMIFS($J$2:$J$477,$A$2:$A$477,EDATE(A254,-12),$B$2:$B$477,B254)-1,"")</x:f>
        <x:v>0.1417004048582995</x:v>
      </x:c>
    </x:row>
    <x:row r="255" ht="21" customHeight="1">
      <x:c r="A255" s="7" t="n">
        <x:v>45292</x:v>
      </x:c>
      <x:c r="B255" s="2" t="str">
        <x:v>東京</x:v>
      </x:c>
      <x:c r="C255" s="2" t="str">
        <x:v>東京都</x:v>
      </x:c>
      <x:c r="D255" s="8" t="n">
        <x:v>6211380</x:v>
      </x:c>
      <x:c r="E255" s="8" t="n">
        <x:v>744727</x:v>
      </x:c>
      <x:c r="F255" s="8" t="n">
        <x:v>2613641</x:v>
      </x:c>
      <x:c r="G255" s="8" t="n">
        <x:v>1077140</x:v>
      </x:c>
      <x:c r="H255" s="8" t="n">
        <x:v>1775872</x:v>
      </x:c>
      <x:c r="I255" s="8" t="n">
        <x:v>343903</x:v>
      </x:c>
      <x:c r="J255" s="8" t="n">
        <x:v>134816</x:v>
      </x:c>
      <x:c r="K255" s="8" t="n">
        <x:v>175222</x:v>
      </x:c>
      <x:c r="L255" s="8" t="n">
        <x:v>23130</x:v>
      </x:c>
      <x:c r="M255" s="8" t="n">
        <x:v>10735</x:v>
      </x:c>
      <x:c r="N255" s="8" t="n">
        <x:v>0</x:v>
      </x:c>
      <x:c r="O255" s="8" t="n">
        <x:v>0</x:v>
      </x:c>
      <x:c r="P255" s="8" t="n">
        <x:v>589</x:v>
      </x:c>
      <x:c r="Q255" s="8" t="n">
        <x:v>164</x:v>
      </x:c>
      <x:c r="R255" s="8" t="n">
        <x:v>753</x:v>
      </x:c>
      <x:c r="S255" s="8" t="n">
        <x:v>1481</x:v>
      </x:c>
      <x:c r="T255" s="8" t="n">
        <x:v>391</x:v>
      </x:c>
      <x:c r="U255" s="2" t="str">
        <x:v>2025年12月25日現在</x:v>
      </x:c>
      <x:c r="V255" s="2" t="str">
        <x:v>2025-12-25</x:v>
      </x:c>
      <x:c r="W255" s="2" t="str">
        <x:v>https://www.e-stat.go.jp/stat-search/file-download?statInfId=000040146718&amp;fileKind=0</x:v>
      </x:c>
      <x:c r="X255" s="2" t="str">
        <x:v>海上出入貨物!205行、コンテナ個数!40行</x:v>
      </x:c>
      <x:c r="Y255" s="2" t="str">
        <x:v>取得済</x:v>
      </x:c>
      <x:c r="Z255" s="9" t="n">
        <x:f>IF(AND(ISNUMBER(E255),COUNTIFS($A$2:$A$477,EDATE(A255,-12),$B$2:$B$477,B255,$E$2:$E$477,"&gt;0")=1),E255/SUMIFS($E$2:$E$477,$A$2:$A$477,EDATE(A255,-12),$B$2:$B$477,B255)-1,"")</x:f>
        <x:v>-0.03662303793603938</x:v>
      </x:c>
      <x:c r="AA255" s="10" t="n">
        <x:f>IF(COUNTIFS($A$2:$A$477,"&gt;="&amp;EDATE(A255,-2),$A$2:$A$477,"&lt;="&amp;A255,$B$2:$B$477,B255,$E$2:$E$477,"&gt;=0")=3,SUMIFS($E$2:$E$477,$A$2:$A$477,"&gt;="&amp;EDATE(A255,-2),$A$2:$A$477,"&lt;="&amp;A255,$B$2:$B$477,B255)/3,"")</x:f>
        <x:v>894052</x:v>
      </x:c>
      <x:c r="AB255" s="9" t="n">
        <x:f>IF(AND(ISNUMBER(J255),COUNTIFS($A$2:$A$477,EDATE(A255,-12),$B$2:$B$477,B255,$J$2:$J$477,"&gt;0")=1),J255/SUMIFS($J$2:$J$477,$A$2:$A$477,EDATE(A255,-12),$B$2:$B$477,B255)-1,"")</x:f>
        <x:v>-0.03361862572219121</x:v>
      </x:c>
    </x:row>
    <x:row r="256" ht="21" customHeight="1">
      <x:c r="A256" s="7" t="n">
        <x:v>45292</x:v>
      </x:c>
      <x:c r="B256" s="2" t="str">
        <x:v>横浜</x:v>
      </x:c>
      <x:c r="C256" s="2" t="str">
        <x:v>神奈川県</x:v>
      </x:c>
      <x:c r="D256" s="8" t="n">
        <x:v>8329899</x:v>
      </x:c>
      <x:c r="E256" s="8" t="n">
        <x:v>1932311</x:v>
      </x:c>
      <x:c r="F256" s="8" t="n">
        <x:v>3917780</x:v>
      </x:c>
      <x:c r="G256" s="8" t="n">
        <x:v>980293</x:v>
      </x:c>
      <x:c r="H256" s="8" t="n">
        <x:v>1499515</x:v>
      </x:c>
      <x:c r="I256" s="8" t="n">
        <x:v>219220</x:v>
      </x:c>
      <x:c r="J256" s="8" t="n">
        <x:v>100034</x:v>
      </x:c>
      <x:c r="K256" s="8" t="n">
        <x:v>97024</x:v>
      </x:c>
      <x:c r="L256" s="8" t="n">
        <x:v>10530</x:v>
      </x:c>
      <x:c r="M256" s="8" t="n">
        <x:v>11632</x:v>
      </x:c>
      <x:c r="N256" s="8" t="n">
        <x:v>0</x:v>
      </x:c>
      <x:c r="O256" s="8" t="n">
        <x:v>0</x:v>
      </x:c>
      <x:c r="P256" s="8" t="n">
        <x:v>0</x:v>
      </x:c>
      <x:c r="Q256" s="8" t="n">
        <x:v>0</x:v>
      </x:c>
      <x:c r="R256" s="8" t="n">
        <x:v>0</x:v>
      </x:c>
      <x:c r="S256" s="8" t="n">
        <x:v>2078</x:v>
      </x:c>
      <x:c r="T256" s="8" t="n">
        <x:v>654</x:v>
      </x:c>
      <x:c r="U256" s="2" t="str">
        <x:v>2025年12月25日現在</x:v>
      </x:c>
      <x:c r="V256" s="2" t="str">
        <x:v>2025-12-25</x:v>
      </x:c>
      <x:c r="W256" s="2" t="str">
        <x:v>https://www.e-stat.go.jp/stat-search/file-download?statInfId=000040146718&amp;fileKind=0</x:v>
      </x:c>
      <x:c r="X256" s="2" t="str">
        <x:v>海上出入貨物!217行、コンテナ個数!42行</x:v>
      </x:c>
      <x:c r="Y256" s="2" t="str">
        <x:v>取得済</x:v>
      </x:c>
      <x:c r="Z256" s="9" t="n">
        <x:f>IF(AND(ISNUMBER(E256),COUNTIFS($A$2:$A$477,EDATE(A256,-12),$B$2:$B$477,B256,$E$2:$E$477,"&gt;0")=1),E256/SUMIFS($E$2:$E$477,$A$2:$A$477,EDATE(A256,-12),$B$2:$B$477,B256)-1,"")</x:f>
        <x:v>0.007302287490558168</x:v>
      </x:c>
      <x:c r="AA256" s="10" t="n">
        <x:f>IF(COUNTIFS($A$2:$A$477,"&gt;="&amp;EDATE(A256,-2),$A$2:$A$477,"&lt;="&amp;A256,$B$2:$B$477,B256,$E$2:$E$477,"&gt;=0")=3,SUMIFS($E$2:$E$477,$A$2:$A$477,"&gt;="&amp;EDATE(A256,-2),$A$2:$A$477,"&lt;="&amp;A256,$B$2:$B$477,B256)/3,"")</x:f>
        <x:v>2391573</x:v>
      </x:c>
      <x:c r="AB256" s="9" t="n">
        <x:f>IF(AND(ISNUMBER(J256),COUNTIFS($A$2:$A$477,EDATE(A256,-12),$B$2:$B$477,B256,$J$2:$J$477,"&gt;0")=1),J256/SUMIFS($J$2:$J$477,$A$2:$A$477,EDATE(A256,-12),$B$2:$B$477,B256)-1,"")</x:f>
        <x:v>0.010832440734827475</x:v>
      </x:c>
    </x:row>
    <x:row r="257" ht="21" customHeight="1">
      <x:c r="A257" s="7" t="n">
        <x:v>45292</x:v>
      </x:c>
      <x:c r="B257" s="2" t="str">
        <x:v>清水</x:v>
      </x:c>
      <x:c r="C257" s="2" t="str">
        <x:v>静岡県</x:v>
      </x:c>
      <x:c r="D257" s="8" t="n">
        <x:v>1220494</x:v>
      </x:c>
      <x:c r="E257" s="8" t="n">
        <x:v>208255</x:v>
      </x:c>
      <x:c r="F257" s="8" t="n">
        <x:v>511673</x:v>
      </x:c>
      <x:c r="G257" s="8" t="n">
        <x:v>127856</x:v>
      </x:c>
      <x:c r="H257" s="8" t="n">
        <x:v>372710</x:v>
      </x:c>
      <x:c r="I257" s="8" t="n">
        <x:v>37513</x:v>
      </x:c>
      <x:c r="J257" s="8" t="n">
        <x:v>13544</x:v>
      </x:c>
      <x:c r="K257" s="8" t="n">
        <x:v>15943</x:v>
      </x:c>
      <x:c r="L257" s="8" t="n">
        <x:v>4103</x:v>
      </x:c>
      <x:c r="M257" s="8" t="n">
        <x:v>3923</x:v>
      </x:c>
      <x:c r="N257" s="8" t="n">
        <x:v>0</x:v>
      </x:c>
      <x:c r="O257" s="8" t="n">
        <x:v>0</x:v>
      </x:c>
      <x:c r="P257" s="8" t="n">
        <x:v>1</x:v>
      </x:c>
      <x:c r="Q257" s="8" t="n">
        <x:v>1</x:v>
      </x:c>
      <x:c r="R257" s="8" t="n">
        <x:v>2</x:v>
      </x:c>
      <x:c r="S257" s="8" t="n">
        <x:v>396</x:v>
      </x:c>
      <x:c r="T257" s="8" t="n">
        <x:v>123</x:v>
      </x:c>
      <x:c r="U257" s="2" t="str">
        <x:v>2025年12月25日現在</x:v>
      </x:c>
      <x:c r="V257" s="2" t="str">
        <x:v>2025-12-25</x:v>
      </x:c>
      <x:c r="W257" s="2" t="str">
        <x:v>https://www.e-stat.go.jp/stat-search/file-download?statInfId=000040146718&amp;fileKind=0</x:v>
      </x:c>
      <x:c r="X257" s="2" t="str">
        <x:v>海上出入貨物!313行、コンテナ個数!58行</x:v>
      </x:c>
      <x:c r="Y257" s="2" t="str">
        <x:v>取得済</x:v>
      </x:c>
      <x:c r="Z257" s="9" t="n">
        <x:f>IF(AND(ISNUMBER(E257),COUNTIFS($A$2:$A$477,EDATE(A257,-12),$B$2:$B$477,B257,$E$2:$E$477,"&gt;0")=1),E257/SUMIFS($E$2:$E$477,$A$2:$A$477,EDATE(A257,-12),$B$2:$B$477,B257)-1,"")</x:f>
        <x:v>-0.070775532422797</x:v>
      </x:c>
      <x:c r="AA257" s="10" t="n">
        <x:f>IF(COUNTIFS($A$2:$A$477,"&gt;="&amp;EDATE(A257,-2),$A$2:$A$477,"&lt;="&amp;A257,$B$2:$B$477,B257,$E$2:$E$477,"&gt;=0")=3,SUMIFS($E$2:$E$477,$A$2:$A$477,"&gt;="&amp;EDATE(A257,-2),$A$2:$A$477,"&lt;="&amp;A257,$B$2:$B$477,B257)/3,"")</x:f>
        <x:v>262014.33333333334</x:v>
      </x:c>
      <x:c r="AB257" s="9" t="n">
        <x:f>IF(AND(ISNUMBER(J257),COUNTIFS($A$2:$A$477,EDATE(A257,-12),$B$2:$B$477,B257,$J$2:$J$477,"&gt;0")=1),J257/SUMIFS($J$2:$J$477,$A$2:$A$477,EDATE(A257,-12),$B$2:$B$477,B257)-1,"")</x:f>
        <x:v>-0.01776778591631012</x:v>
      </x:c>
    </x:row>
    <x:row r="258" ht="21" customHeight="1">
      <x:c r="A258" s="7" t="n">
        <x:v>45292</x:v>
      </x:c>
      <x:c r="B258" s="2" t="str">
        <x:v>博多</x:v>
      </x:c>
      <x:c r="C258" s="2" t="str">
        <x:v>福岡県</x:v>
      </x:c>
      <x:c r="D258" s="8" t="n">
        <x:v>2690466</x:v>
      </x:c>
      <x:c r="E258" s="8" t="n">
        <x:v>591298</x:v>
      </x:c>
      <x:c r="F258" s="8" t="n">
        <x:v>833169</x:v>
      </x:c>
      <x:c r="G258" s="8" t="n">
        <x:v>370982</x:v>
      </x:c>
      <x:c r="H258" s="8" t="n">
        <x:v>895017</x:v>
      </x:c>
      <x:c r="I258" s="8" t="n">
        <x:v>74982</x:v>
      </x:c>
      <x:c r="J258" s="8" t="n">
        <x:v>29198</x:v>
      </x:c>
      <x:c r="K258" s="8" t="n">
        <x:v>35289</x:v>
      </x:c>
      <x:c r="L258" s="8" t="n">
        <x:v>5108</x:v>
      </x:c>
      <x:c r="M258" s="8" t="n">
        <x:v>5387</x:v>
      </x:c>
      <x:c r="N258" s="8" t="n">
        <x:v>0</x:v>
      </x:c>
      <x:c r="O258" s="8" t="n">
        <x:v>0</x:v>
      </x:c>
      <x:c r="P258" s="8" t="n">
        <x:v>1689</x:v>
      </x:c>
      <x:c r="Q258" s="8" t="n">
        <x:v>1783</x:v>
      </x:c>
      <x:c r="R258" s="8" t="n">
        <x:v>3472</x:v>
      </x:c>
      <x:c r="S258" s="8" t="n">
        <x:v>1495</x:v>
      </x:c>
      <x:c r="T258" s="8" t="n">
        <x:v>242</x:v>
      </x:c>
      <x:c r="U258" s="2" t="str">
        <x:v>2025年12月25日現在</x:v>
      </x:c>
      <x:c r="V258" s="2" t="str">
        <x:v>2025-12-25</x:v>
      </x:c>
      <x:c r="W258" s="2" t="str">
        <x:v>https://www.e-stat.go.jp/stat-search/file-download?statInfId=000040146718&amp;fileKind=0</x:v>
      </x:c>
      <x:c r="X258" s="2" t="str">
        <x:v>海上出入貨物!745行、コンテナ個数!130行</x:v>
      </x:c>
      <x:c r="Y258" s="2" t="str">
        <x:v>取得済</x:v>
      </x:c>
      <x:c r="Z258" s="9" t="n">
        <x:f>IF(AND(ISNUMBER(E258),COUNTIFS($A$2:$A$477,EDATE(A258,-12),$B$2:$B$477,B258,$E$2:$E$477,"&gt;0")=1),E258/SUMIFS($E$2:$E$477,$A$2:$A$477,EDATE(A258,-12),$B$2:$B$477,B258)-1,"")</x:f>
        <x:v>0.30136078825800183</x:v>
      </x:c>
      <x:c r="AA258" s="10" t="n">
        <x:f>IF(COUNTIFS($A$2:$A$477,"&gt;="&amp;EDATE(A258,-2),$A$2:$A$477,"&lt;="&amp;A258,$B$2:$B$477,B258,$E$2:$E$477,"&gt;=0")=3,SUMIFS($E$2:$E$477,$A$2:$A$477,"&gt;="&amp;EDATE(A258,-2),$A$2:$A$477,"&lt;="&amp;A258,$B$2:$B$477,B258)/3,"")</x:f>
        <x:v>722682</x:v>
      </x:c>
      <x:c r="AB258" s="9" t="n">
        <x:f>IF(AND(ISNUMBER(J258),COUNTIFS($A$2:$A$477,EDATE(A258,-12),$B$2:$B$477,B258,$J$2:$J$477,"&gt;0")=1),J258/SUMIFS($J$2:$J$477,$A$2:$A$477,EDATE(A258,-12),$B$2:$B$477,B258)-1,"")</x:f>
        <x:v>-0.008691518978746537</x:v>
      </x:c>
    </x:row>
    <x:row r="259" ht="21" customHeight="1">
      <x:c r="A259" s="7" t="n">
        <x:v>45292</x:v>
      </x:c>
      <x:c r="B259" s="2" t="str">
        <x:v>熊本</x:v>
      </x:c>
      <x:c r="C259" s="2" t="str">
        <x:v>熊本県</x:v>
      </x:c>
      <x:c r="D259" s="8" t="n">
        <x:v>275073</x:v>
      </x:c>
      <x:c r="E259" s="8" t="n">
        <x:v>2767</x:v>
      </x:c>
      <x:c r="F259" s="8" t="n">
        <x:v>4981</x:v>
      </x:c>
      <x:c r="G259" s="8" t="n">
        <x:v>100420</x:v>
      </x:c>
      <x:c r="H259" s="8" t="n">
        <x:v>166905</x:v>
      </x:c>
      <x:c r="I259" s="8" t="n">
        <x:v>1023</x:v>
      </x:c>
      <x:c r="J259" s="8" t="n">
        <x:v>175</x:v>
      </x:c>
      <x:c r="K259" s="8" t="n">
        <x:v>256</x:v>
      </x:c>
      <x:c r="L259" s="8" t="n">
        <x:v>255</x:v>
      </x:c>
      <x:c r="M259" s="8" t="n">
        <x:v>337</x:v>
      </x:c>
      <x:c r="N259" s="8" t="n">
        <x:v>0</x:v>
      </x:c>
      <x:c r="O259" s="8" t="n">
        <x:v>0</x:v>
      </x:c>
      <x:c r="P259" s="8" t="n">
        <x:v>597</x:v>
      </x:c>
      <x:c r="Q259" s="8" t="n">
        <x:v>623</x:v>
      </x:c>
      <x:c r="R259" s="8" t="n">
        <x:v>1220</x:v>
      </x:c>
      <x:c r="S259" s="8" t="n">
        <x:v>40</x:v>
      </x:c>
      <x:c r="T259" s="8" t="n">
        <x:v>6</x:v>
      </x:c>
      <x:c r="U259" s="2" t="str">
        <x:v>2025年12月25日現在</x:v>
      </x:c>
      <x:c r="V259" s="2" t="str">
        <x:v>2025-12-25</x:v>
      </x:c>
      <x:c r="W259" s="2" t="str">
        <x:v>https://www.e-stat.go.jp/stat-search/file-download?statInfId=000040146718&amp;fileKind=0</x:v>
      </x:c>
      <x:c r="X259" s="2" t="str">
        <x:v>海上出入貨物!859行、コンテナ個数!149行</x:v>
      </x:c>
      <x:c r="Y259" s="2" t="str">
        <x:v>取得済</x:v>
      </x:c>
      <x:c r="Z259" s="9" t="n">
        <x:f>IF(AND(ISNUMBER(E259),COUNTIFS($A$2:$A$477,EDATE(A259,-12),$B$2:$B$477,B259,$E$2:$E$477,"&gt;0")=1),E259/SUMIFS($E$2:$E$477,$A$2:$A$477,EDATE(A259,-12),$B$2:$B$477,B259)-1,"")</x:f>
        <x:v>-0.23160233268536523</x:v>
      </x:c>
      <x:c r="AA259" s="10" t="n">
        <x:f>IF(COUNTIFS($A$2:$A$477,"&gt;="&amp;EDATE(A259,-2),$A$2:$A$477,"&lt;="&amp;A259,$B$2:$B$477,B259,$E$2:$E$477,"&gt;=0")=3,SUMIFS($E$2:$E$477,$A$2:$A$477,"&gt;="&amp;EDATE(A259,-2),$A$2:$A$477,"&lt;="&amp;A259,$B$2:$B$477,B259)/3,"")</x:f>
        <x:v>2936</x:v>
      </x:c>
      <x:c r="AB259" s="9" t="n">
        <x:f>IF(AND(ISNUMBER(J259),COUNTIFS($A$2:$A$477,EDATE(A259,-12),$B$2:$B$477,B259,$J$2:$J$477,"&gt;0")=1),J259/SUMIFS($J$2:$J$477,$A$2:$A$477,EDATE(A259,-12),$B$2:$B$477,B259)-1,"")</x:f>
        <x:v>-0.33206106870229013</x:v>
      </x:c>
    </x:row>
    <x:row r="260" ht="21" customHeight="1">
      <x:c r="A260" s="7" t="n">
        <x:v>45292</x:v>
      </x:c>
      <x:c r="B260" s="2" t="str">
        <x:v>八代</x:v>
      </x:c>
      <x:c r="C260" s="2" t="str">
        <x:v>熊本県</x:v>
      </x:c>
      <x:c r="D260" s="8" t="n">
        <x:v>253428</x:v>
      </x:c>
      <x:c r="E260" s="8" t="n">
        <x:v>10525</x:v>
      </x:c>
      <x:c r="F260" s="8" t="n">
        <x:v>72851</x:v>
      </x:c>
      <x:c r="G260" s="8" t="n">
        <x:v>18861</x:v>
      </x:c>
      <x:c r="H260" s="8" t="n">
        <x:v>151191</x:v>
      </x:c>
      <x:c r="I260" s="8" t="n">
        <x:v>1374</x:v>
      </x:c>
      <x:c r="J260" s="8" t="n">
        <x:v>631</x:v>
      </x:c>
      <x:c r="K260" s="8" t="n">
        <x:v>624</x:v>
      </x:c>
      <x:c r="L260" s="8" t="n">
        <x:v>73</x:v>
      </x:c>
      <x:c r="M260" s="8" t="n">
        <x:v>46</x:v>
      </x:c>
      <x:c r="N260" s="8" t="n">
        <x:v>0</x:v>
      </x:c>
      <x:c r="O260" s="8" t="n">
        <x:v>0</x:v>
      </x:c>
      <x:c r="P260" s="8" t="n">
        <x:v>0</x:v>
      </x:c>
      <x:c r="Q260" s="8" t="n">
        <x:v>0</x:v>
      </x:c>
      <x:c r="R260" s="8" t="n">
        <x:v>0</x:v>
      </x:c>
      <x:c r="S260" s="8" t="n">
        <x:v>192</x:v>
      </x:c>
      <x:c r="T260" s="8" t="n">
        <x:v>25</x:v>
      </x:c>
      <x:c r="U260" s="2" t="str">
        <x:v>2025年12月25日現在</x:v>
      </x:c>
      <x:c r="V260" s="2" t="str">
        <x:v>2025-12-25</x:v>
      </x:c>
      <x:c r="W260" s="2" t="str">
        <x:v>https://www.e-stat.go.jp/stat-search/file-download?statInfId=000040146718&amp;fileKind=0</x:v>
      </x:c>
      <x:c r="X260" s="2" t="str">
        <x:v>海上出入貨物!847行、コンテナ個数!147行</x:v>
      </x:c>
      <x:c r="Y260" s="2" t="str">
        <x:v>取得済</x:v>
      </x:c>
      <x:c r="Z260" s="9" t="n">
        <x:f>IF(AND(ISNUMBER(E260),COUNTIFS($A$2:$A$477,EDATE(A260,-12),$B$2:$B$477,B260,$E$2:$E$477,"&gt;0")=1),E260/SUMIFS($E$2:$E$477,$A$2:$A$477,EDATE(A260,-12),$B$2:$B$477,B260)-1,"")</x:f>
        <x:v>-0.4133548854578898</x:v>
      </x:c>
      <x:c r="AA260" s="10" t="n">
        <x:f>IF(COUNTIFS($A$2:$A$477,"&gt;="&amp;EDATE(A260,-2),$A$2:$A$477,"&lt;="&amp;A260,$B$2:$B$477,B260,$E$2:$E$477,"&gt;=0")=3,SUMIFS($E$2:$E$477,$A$2:$A$477,"&gt;="&amp;EDATE(A260,-2),$A$2:$A$477,"&lt;="&amp;A260,$B$2:$B$477,B260)/3,"")</x:f>
        <x:v>19864.333333333332</x:v>
      </x:c>
      <x:c r="AB260" s="9" t="n">
        <x:f>IF(AND(ISNUMBER(J260),COUNTIFS($A$2:$A$477,EDATE(A260,-12),$B$2:$B$477,B260,$J$2:$J$477,"&gt;0")=1),J260/SUMIFS($J$2:$J$477,$A$2:$A$477,EDATE(A260,-12),$B$2:$B$477,B260)-1,"")</x:f>
        <x:v>-0.2200247218788628</x:v>
      </x:c>
    </x:row>
    <x:row r="261" ht="21" customHeight="1">
      <x:c r="A261" s="7" t="n">
        <x:v>45323</x:v>
      </x:c>
      <x:c r="B261" s="2" t="str">
        <x:v>仙台塩釜</x:v>
      </x:c>
      <x:c r="C261" s="2" t="str">
        <x:v>宮城県</x:v>
      </x:c>
      <x:c r="D261" s="8" t="n">
        <x:v>3026674</x:v>
      </x:c>
      <x:c r="E261" s="8" t="n">
        <x:v>162362</x:v>
      </x:c>
      <x:c r="F261" s="8" t="n">
        <x:v>927472</x:v>
      </x:c>
      <x:c r="G261" s="8" t="n">
        <x:v>905493</x:v>
      </x:c>
      <x:c r="H261" s="8" t="n">
        <x:v>1031347</x:v>
      </x:c>
      <x:c r="I261" s="8" t="n">
        <x:v>17231</x:v>
      </x:c>
      <x:c r="J261" s="8" t="n">
        <x:v>4311</x:v>
      </x:c>
      <x:c r="K261" s="8" t="n">
        <x:v>4536</x:v>
      </x:c>
      <x:c r="L261" s="8" t="n">
        <x:v>4159</x:v>
      </x:c>
      <x:c r="M261" s="8" t="n">
        <x:v>4225</x:v>
      </x:c>
      <x:c r="N261" s="8" t="n">
        <x:v>0</x:v>
      </x:c>
      <x:c r="O261" s="8" t="n">
        <x:v>0</x:v>
      </x:c>
      <x:c r="P261" s="8" t="n">
        <x:v>374</x:v>
      </x:c>
      <x:c r="Q261" s="8" t="n">
        <x:v>428</x:v>
      </x:c>
      <x:c r="R261" s="8" t="n">
        <x:v>802</x:v>
      </x:c>
      <x:c r="S261" s="8" t="n">
        <x:v>1830</x:v>
      </x:c>
      <x:c r="T261" s="8" t="n">
        <x:v>85</x:v>
      </x:c>
      <x:c r="U261" s="2" t="str">
        <x:v>2025年12月25日現在</x:v>
      </x:c>
      <x:c r="V261" s="2" t="str">
        <x:v>2025-12-25</x:v>
      </x:c>
      <x:c r="W261" s="2" t="str">
        <x:v>https://www.e-stat.go.jp/stat-search/file-download?statInfId=000040146718&amp;fileKind=0</x:v>
      </x:c>
      <x:c r="X261" s="2" t="str">
        <x:v>海上出入貨物!139行、コンテナ個数!29行</x:v>
      </x:c>
      <x:c r="Y261" s="2" t="str">
        <x:v>取得済</x:v>
      </x:c>
      <x:c r="Z261" s="9" t="n">
        <x:f>IF(AND(ISNUMBER(E261),COUNTIFS($A$2:$A$477,EDATE(A261,-12),$B$2:$B$477,B261,$E$2:$E$477,"&gt;0")=1),E261/SUMIFS($E$2:$E$477,$A$2:$A$477,EDATE(A261,-12),$B$2:$B$477,B261)-1,"")</x:f>
        <x:v>-0.15402531223459404</x:v>
      </x:c>
      <x:c r="AA261" s="10" t="n">
        <x:f>IF(COUNTIFS($A$2:$A$477,"&gt;="&amp;EDATE(A261,-2),$A$2:$A$477,"&lt;="&amp;A261,$B$2:$B$477,B261,$E$2:$E$477,"&gt;=0")=3,SUMIFS($E$2:$E$477,$A$2:$A$477,"&gt;="&amp;EDATE(A261,-2),$A$2:$A$477,"&lt;="&amp;A261,$B$2:$B$477,B261)/3,"")</x:f>
        <x:v>159830</x:v>
      </x:c>
      <x:c r="AB261" s="9" t="n">
        <x:f>IF(AND(ISNUMBER(J261),COUNTIFS($A$2:$A$477,EDATE(A261,-12),$B$2:$B$477,B261,$J$2:$J$477,"&gt;0")=1),J261/SUMIFS($J$2:$J$477,$A$2:$A$477,EDATE(A261,-12),$B$2:$B$477,B261)-1,"")</x:f>
        <x:v>-0.22575431034482762</x:v>
      </x:c>
    </x:row>
    <x:row r="262" ht="21" customHeight="1">
      <x:c r="A262" s="7" t="n">
        <x:v>45323</x:v>
      </x:c>
      <x:c r="B262" s="2" t="str">
        <x:v>東京</x:v>
      </x:c>
      <x:c r="C262" s="2" t="str">
        <x:v>東京都</x:v>
      </x:c>
      <x:c r="D262" s="8" t="n">
        <x:v>6412823</x:v>
      </x:c>
      <x:c r="E262" s="8" t="n">
        <x:v>988576</x:v>
      </x:c>
      <x:c r="F262" s="8" t="n">
        <x:v>2456051</x:v>
      </x:c>
      <x:c r="G262" s="8" t="n">
        <x:v>1073791</x:v>
      </x:c>
      <x:c r="H262" s="8" t="n">
        <x:v>1894405</x:v>
      </x:c>
      <x:c r="I262" s="8" t="n">
        <x:v>345825</x:v>
      </x:c>
      <x:c r="J262" s="8" t="n">
        <x:v>145715</x:v>
      </x:c>
      <x:c r="K262" s="8" t="n">
        <x:v>165205</x:v>
      </x:c>
      <x:c r="L262" s="8" t="n">
        <x:v>23852</x:v>
      </x:c>
      <x:c r="M262" s="8" t="n">
        <x:v>11053</x:v>
      </x:c>
      <x:c r="N262" s="8" t="n">
        <x:v>0</x:v>
      </x:c>
      <x:c r="O262" s="8" t="n">
        <x:v>0</x:v>
      </x:c>
      <x:c r="P262" s="8" t="n">
        <x:v>504</x:v>
      </x:c>
      <x:c r="Q262" s="8" t="n">
        <x:v>188</x:v>
      </x:c>
      <x:c r="R262" s="8" t="n">
        <x:v>692</x:v>
      </x:c>
      <x:c r="S262" s="8" t="n">
        <x:v>1535</x:v>
      </x:c>
      <x:c r="T262" s="8" t="n">
        <x:v>359</x:v>
      </x:c>
      <x:c r="U262" s="2" t="str">
        <x:v>2025年12月25日現在</x:v>
      </x:c>
      <x:c r="V262" s="2" t="str">
        <x:v>2025-12-25</x:v>
      </x:c>
      <x:c r="W262" s="2" t="str">
        <x:v>https://www.e-stat.go.jp/stat-search/file-download?statInfId=000040146718&amp;fileKind=0</x:v>
      </x:c>
      <x:c r="X262" s="2" t="str">
        <x:v>海上出入貨物!205行、コンテナ個数!40行</x:v>
      </x:c>
      <x:c r="Y262" s="2" t="str">
        <x:v>取得済</x:v>
      </x:c>
      <x:c r="Z262" s="9" t="n">
        <x:f>IF(AND(ISNUMBER(E262),COUNTIFS($A$2:$A$477,EDATE(A262,-12),$B$2:$B$477,B262,$E$2:$E$477,"&gt;0")=1),E262/SUMIFS($E$2:$E$477,$A$2:$A$477,EDATE(A262,-12),$B$2:$B$477,B262)-1,"")</x:f>
        <x:v>0.016271428982634673</x:v>
      </x:c>
      <x:c r="AA262" s="10" t="n">
        <x:f>IF(COUNTIFS($A$2:$A$477,"&gt;="&amp;EDATE(A262,-2),$A$2:$A$477,"&lt;="&amp;A262,$B$2:$B$477,B262,$E$2:$E$477,"&gt;=0")=3,SUMIFS($E$2:$E$477,$A$2:$A$477,"&gt;="&amp;EDATE(A262,-2),$A$2:$A$477,"&lt;="&amp;A262,$B$2:$B$477,B262)/3,"")</x:f>
        <x:v>922467.3333333334</x:v>
      </x:c>
      <x:c r="AB262" s="9" t="n">
        <x:f>IF(AND(ISNUMBER(J262),COUNTIFS($A$2:$A$477,EDATE(A262,-12),$B$2:$B$477,B262,$J$2:$J$477,"&gt;0")=1),J262/SUMIFS($J$2:$J$477,$A$2:$A$477,EDATE(A262,-12),$B$2:$B$477,B262)-1,"")</x:f>
        <x:v>0.018893387314439902</x:v>
      </x:c>
    </x:row>
    <x:row r="263" ht="21" customHeight="1">
      <x:c r="A263" s="7" t="n">
        <x:v>45323</x:v>
      </x:c>
      <x:c r="B263" s="2" t="str">
        <x:v>横浜</x:v>
      </x:c>
      <x:c r="C263" s="2" t="str">
        <x:v>神奈川県</x:v>
      </x:c>
      <x:c r="D263" s="8" t="n">
        <x:v>7787056</x:v>
      </x:c>
      <x:c r="E263" s="8" t="n">
        <x:v>2256454</x:v>
      </x:c>
      <x:c r="F263" s="8" t="n">
        <x:v>3297964</x:v>
      </x:c>
      <x:c r="G263" s="8" t="n">
        <x:v>854120</x:v>
      </x:c>
      <x:c r="H263" s="8" t="n">
        <x:v>1378518</x:v>
      </x:c>
      <x:c r="I263" s="8" t="n">
        <x:v>239633</x:v>
      </x:c>
      <x:c r="J263" s="8" t="n">
        <x:v>112709</x:v>
      </x:c>
      <x:c r="K263" s="8" t="n">
        <x:v>102683</x:v>
      </x:c>
      <x:c r="L263" s="8" t="n">
        <x:v>10116</x:v>
      </x:c>
      <x:c r="M263" s="8" t="n">
        <x:v>14125</x:v>
      </x:c>
      <x:c r="N263" s="8" t="n">
        <x:v>0</x:v>
      </x:c>
      <x:c r="O263" s="8" t="n">
        <x:v>0</x:v>
      </x:c>
      <x:c r="P263" s="8" t="n">
        <x:v>0</x:v>
      </x:c>
      <x:c r="Q263" s="8" t="n">
        <x:v>0</x:v>
      </x:c>
      <x:c r="R263" s="8" t="n">
        <x:v>0</x:v>
      </x:c>
      <x:c r="S263" s="8" t="n">
        <x:v>1943</x:v>
      </x:c>
      <x:c r="T263" s="8" t="n">
        <x:v>673</x:v>
      </x:c>
      <x:c r="U263" s="2" t="str">
        <x:v>2025年12月25日現在</x:v>
      </x:c>
      <x:c r="V263" s="2" t="str">
        <x:v>2025-12-25</x:v>
      </x:c>
      <x:c r="W263" s="2" t="str">
        <x:v>https://www.e-stat.go.jp/stat-search/file-download?statInfId=000040146718&amp;fileKind=0</x:v>
      </x:c>
      <x:c r="X263" s="2" t="str">
        <x:v>海上出入貨物!217行、コンテナ個数!42行</x:v>
      </x:c>
      <x:c r="Y263" s="2" t="str">
        <x:v>取得済</x:v>
      </x:c>
      <x:c r="Z263" s="9" t="n">
        <x:f>IF(AND(ISNUMBER(E263),COUNTIFS($A$2:$A$477,EDATE(A263,-12),$B$2:$B$477,B263,$E$2:$E$477,"&gt;0")=1),E263/SUMIFS($E$2:$E$477,$A$2:$A$477,EDATE(A263,-12),$B$2:$B$477,B263)-1,"")</x:f>
        <x:v>-0.013969020560465006</x:v>
      </x:c>
      <x:c r="AA263" s="10" t="n">
        <x:f>IF(COUNTIFS($A$2:$A$477,"&gt;="&amp;EDATE(A263,-2),$A$2:$A$477,"&lt;="&amp;A263,$B$2:$B$477,B263,$E$2:$E$477,"&gt;=0")=3,SUMIFS($E$2:$E$477,$A$2:$A$477,"&gt;="&amp;EDATE(A263,-2),$A$2:$A$477,"&lt;="&amp;A263,$B$2:$B$477,B263)/3,"")</x:f>
        <x:v>2329504.3333333335</x:v>
      </x:c>
      <x:c r="AB263" s="9" t="n">
        <x:f>IF(AND(ISNUMBER(J263),COUNTIFS($A$2:$A$477,EDATE(A263,-12),$B$2:$B$477,B263,$J$2:$J$477,"&gt;0")=1),J263/SUMIFS($J$2:$J$477,$A$2:$A$477,EDATE(A263,-12),$B$2:$B$477,B263)-1,"")</x:f>
        <x:v>-0.004926412812204739</x:v>
      </x:c>
    </x:row>
    <x:row r="264" ht="21" customHeight="1">
      <x:c r="A264" s="7" t="n">
        <x:v>45323</x:v>
      </x:c>
      <x:c r="B264" s="2" t="str">
        <x:v>清水</x:v>
      </x:c>
      <x:c r="C264" s="2" t="str">
        <x:v>静岡県</x:v>
      </x:c>
      <x:c r="D264" s="8" t="n">
        <x:v>1373562</x:v>
      </x:c>
      <x:c r="E264" s="8" t="n">
        <x:v>263970</x:v>
      </x:c>
      <x:c r="F264" s="8" t="n">
        <x:v>552614</x:v>
      </x:c>
      <x:c r="G264" s="8" t="n">
        <x:v>165918</x:v>
      </x:c>
      <x:c r="H264" s="8" t="n">
        <x:v>391060</x:v>
      </x:c>
      <x:c r="I264" s="8" t="n">
        <x:v>40034</x:v>
      </x:c>
      <x:c r="J264" s="8" t="n">
        <x:v>15644</x:v>
      </x:c>
      <x:c r="K264" s="8" t="n">
        <x:v>16035</x:v>
      </x:c>
      <x:c r="L264" s="8" t="n">
        <x:v>4885</x:v>
      </x:c>
      <x:c r="M264" s="8" t="n">
        <x:v>3470</x:v>
      </x:c>
      <x:c r="N264" s="8" t="n">
        <x:v>0</x:v>
      </x:c>
      <x:c r="O264" s="8" t="n">
        <x:v>0</x:v>
      </x:c>
      <x:c r="P264" s="8" t="n">
        <x:v>6</x:v>
      </x:c>
      <x:c r="Q264" s="8" t="n">
        <x:v>7</x:v>
      </x:c>
      <x:c r="R264" s="8" t="n">
        <x:v>13</x:v>
      </x:c>
      <x:c r="S264" s="8" t="n">
        <x:v>443</x:v>
      </x:c>
      <x:c r="T264" s="8" t="n">
        <x:v>123</x:v>
      </x:c>
      <x:c r="U264" s="2" t="str">
        <x:v>2025年12月25日現在</x:v>
      </x:c>
      <x:c r="V264" s="2" t="str">
        <x:v>2025-12-25</x:v>
      </x:c>
      <x:c r="W264" s="2" t="str">
        <x:v>https://www.e-stat.go.jp/stat-search/file-download?statInfId=000040146718&amp;fileKind=0</x:v>
      </x:c>
      <x:c r="X264" s="2" t="str">
        <x:v>海上出入貨物!313行、コンテナ個数!58行</x:v>
      </x:c>
      <x:c r="Y264" s="2" t="str">
        <x:v>取得済</x:v>
      </x:c>
      <x:c r="Z264" s="9" t="n">
        <x:f>IF(AND(ISNUMBER(E264),COUNTIFS($A$2:$A$477,EDATE(A264,-12),$B$2:$B$477,B264,$E$2:$E$477,"&gt;0")=1),E264/SUMIFS($E$2:$E$477,$A$2:$A$477,EDATE(A264,-12),$B$2:$B$477,B264)-1,"")</x:f>
        <x:v>-0.10372201359509436</x:v>
      </x:c>
      <x:c r="AA264" s="10" t="n">
        <x:f>IF(COUNTIFS($A$2:$A$477,"&gt;="&amp;EDATE(A264,-2),$A$2:$A$477,"&lt;="&amp;A264,$B$2:$B$477,B264,$E$2:$E$477,"&gt;=0")=3,SUMIFS($E$2:$E$477,$A$2:$A$477,"&gt;="&amp;EDATE(A264,-2),$A$2:$A$477,"&lt;="&amp;A264,$B$2:$B$477,B264)/3,"")</x:f>
        <x:v>254091</x:v>
      </x:c>
      <x:c r="AB264" s="9" t="n">
        <x:f>IF(AND(ISNUMBER(J264),COUNTIFS($A$2:$A$477,EDATE(A264,-12),$B$2:$B$477,B264,$J$2:$J$477,"&gt;0")=1),J264/SUMIFS($J$2:$J$477,$A$2:$A$477,EDATE(A264,-12),$B$2:$B$477,B264)-1,"")</x:f>
        <x:v>-0.10728144259301531</x:v>
      </x:c>
    </x:row>
    <x:row r="265" ht="21" customHeight="1">
      <x:c r="A265" s="7" t="n">
        <x:v>45323</x:v>
      </x:c>
      <x:c r="B265" s="2" t="str">
        <x:v>博多</x:v>
      </x:c>
      <x:c r="C265" s="2" t="str">
        <x:v>福岡県</x:v>
      </x:c>
      <x:c r="D265" s="8" t="n">
        <x:v>2637789</x:v>
      </x:c>
      <x:c r="E265" s="8" t="n">
        <x:v>656121</x:v>
      </x:c>
      <x:c r="F265" s="8" t="n">
        <x:v>648009</x:v>
      </x:c>
      <x:c r="G265" s="8" t="n">
        <x:v>415464</x:v>
      </x:c>
      <x:c r="H265" s="8" t="n">
        <x:v>918195</x:v>
      </x:c>
      <x:c r="I265" s="8" t="n">
        <x:v>73510</x:v>
      </x:c>
      <x:c r="J265" s="8" t="n">
        <x:v>30472</x:v>
      </x:c>
      <x:c r="K265" s="8" t="n">
        <x:v>31638</x:v>
      </x:c>
      <x:c r="L265" s="8" t="n">
        <x:v>5916</x:v>
      </x:c>
      <x:c r="M265" s="8" t="n">
        <x:v>5484</x:v>
      </x:c>
      <x:c r="N265" s="8" t="n">
        <x:v>0</x:v>
      </x:c>
      <x:c r="O265" s="8" t="n">
        <x:v>0</x:v>
      </x:c>
      <x:c r="P265" s="8" t="n">
        <x:v>1764</x:v>
      </x:c>
      <x:c r="Q265" s="8" t="n">
        <x:v>1763</x:v>
      </x:c>
      <x:c r="R265" s="8" t="n">
        <x:v>3527</x:v>
      </x:c>
      <x:c r="S265" s="8" t="n">
        <x:v>1477</x:v>
      </x:c>
      <x:c r="T265" s="8" t="n">
        <x:v>233</x:v>
      </x:c>
      <x:c r="U265" s="2" t="str">
        <x:v>2025年12月25日現在</x:v>
      </x:c>
      <x:c r="V265" s="2" t="str">
        <x:v>2025-12-25</x:v>
      </x:c>
      <x:c r="W265" s="2" t="str">
        <x:v>https://www.e-stat.go.jp/stat-search/file-download?statInfId=000040146718&amp;fileKind=0</x:v>
      </x:c>
      <x:c r="X265" s="2" t="str">
        <x:v>海上出入貨物!745行、コンテナ個数!130行</x:v>
      </x:c>
      <x:c r="Y265" s="2" t="str">
        <x:v>取得済</x:v>
      </x:c>
      <x:c r="Z265" s="9" t="n">
        <x:f>IF(AND(ISNUMBER(E265),COUNTIFS($A$2:$A$477,EDATE(A265,-12),$B$2:$B$477,B265,$E$2:$E$477,"&gt;0")=1),E265/SUMIFS($E$2:$E$477,$A$2:$A$477,EDATE(A265,-12),$B$2:$B$477,B265)-1,"")</x:f>
        <x:v>0.1372824655064826</x:v>
      </x:c>
      <x:c r="AA265" s="10" t="n">
        <x:f>IF(COUNTIFS($A$2:$A$477,"&gt;="&amp;EDATE(A265,-2),$A$2:$A$477,"&lt;="&amp;A265,$B$2:$B$477,B265,$E$2:$E$477,"&gt;=0")=3,SUMIFS($E$2:$E$477,$A$2:$A$477,"&gt;="&amp;EDATE(A265,-2),$A$2:$A$477,"&lt;="&amp;A265,$B$2:$B$477,B265)/3,"")</x:f>
        <x:v>668550</x:v>
      </x:c>
      <x:c r="AB265" s="9" t="n">
        <x:f>IF(AND(ISNUMBER(J265),COUNTIFS($A$2:$A$477,EDATE(A265,-12),$B$2:$B$477,B265,$J$2:$J$477,"&gt;0")=1),J265/SUMIFS($J$2:$J$477,$A$2:$A$477,EDATE(A265,-12),$B$2:$B$477,B265)-1,"")</x:f>
        <x:v>-0.06274606299212604</x:v>
      </x:c>
    </x:row>
    <x:row r="266" ht="21" customHeight="1">
      <x:c r="A266" s="7" t="n">
        <x:v>45323</x:v>
      </x:c>
      <x:c r="B266" s="2" t="str">
        <x:v>熊本</x:v>
      </x:c>
      <x:c r="C266" s="2" t="str">
        <x:v>熊本県</x:v>
      </x:c>
      <x:c r="D266" s="8" t="n">
        <x:v>308623</x:v>
      </x:c>
      <x:c r="E266" s="8" t="n">
        <x:v>3850</x:v>
      </x:c>
      <x:c r="F266" s="8" t="n">
        <x:v>4036</x:v>
      </x:c>
      <x:c r="G266" s="8" t="n">
        <x:v>113690</x:v>
      </x:c>
      <x:c r="H266" s="8" t="n">
        <x:v>187047</x:v>
      </x:c>
      <x:c r="I266" s="8" t="n">
        <x:v>1049</x:v>
      </x:c>
      <x:c r="J266" s="8" t="n">
        <x:v>196</x:v>
      </x:c>
      <x:c r="K266" s="8" t="n">
        <x:v>255</x:v>
      </x:c>
      <x:c r="L266" s="8" t="n">
        <x:v>377</x:v>
      </x:c>
      <x:c r="M266" s="8" t="n">
        <x:v>221</x:v>
      </x:c>
      <x:c r="N266" s="8" t="n">
        <x:v>0</x:v>
      </x:c>
      <x:c r="O266" s="8" t="n">
        <x:v>0</x:v>
      </x:c>
      <x:c r="P266" s="8" t="n">
        <x:v>707</x:v>
      </x:c>
      <x:c r="Q266" s="8" t="n">
        <x:v>728</x:v>
      </x:c>
      <x:c r="R266" s="8" t="n">
        <x:v>1435</x:v>
      </x:c>
      <x:c r="S266" s="8" t="n">
        <x:v>37</x:v>
      </x:c>
      <x:c r="T266" s="8" t="n">
        <x:v>7</x:v>
      </x:c>
      <x:c r="U266" s="2" t="str">
        <x:v>2025年12月25日現在</x:v>
      </x:c>
      <x:c r="V266" s="2" t="str">
        <x:v>2025-12-25</x:v>
      </x:c>
      <x:c r="W266" s="2" t="str">
        <x:v>https://www.e-stat.go.jp/stat-search/file-download?statInfId=000040146718&amp;fileKind=0</x:v>
      </x:c>
      <x:c r="X266" s="2" t="str">
        <x:v>海上出入貨物!859行、コンテナ個数!149行</x:v>
      </x:c>
      <x:c r="Y266" s="2" t="str">
        <x:v>取得済</x:v>
      </x:c>
      <x:c r="Z266" s="9" t="n">
        <x:f>IF(AND(ISNUMBER(E266),COUNTIFS($A$2:$A$477,EDATE(A266,-12),$B$2:$B$477,B266,$E$2:$E$477,"&gt;0")=1),E266/SUMIFS($E$2:$E$477,$A$2:$A$477,EDATE(A266,-12),$B$2:$B$477,B266)-1,"")</x:f>
        <x:v>-0.4175491679273827</x:v>
      </x:c>
      <x:c r="AA266" s="10" t="n">
        <x:f>IF(COUNTIFS($A$2:$A$477,"&gt;="&amp;EDATE(A266,-2),$A$2:$A$477,"&lt;="&amp;A266,$B$2:$B$477,B266,$E$2:$E$477,"&gt;=0")=3,SUMIFS($E$2:$E$477,$A$2:$A$477,"&gt;="&amp;EDATE(A266,-2),$A$2:$A$477,"&lt;="&amp;A266,$B$2:$B$477,B266)/3,"")</x:f>
        <x:v>3071.6666666666665</x:v>
      </x:c>
      <x:c r="AB266" s="9" t="n">
        <x:f>IF(AND(ISNUMBER(J266),COUNTIFS($A$2:$A$477,EDATE(A266,-12),$B$2:$B$477,B266,$J$2:$J$477,"&gt;0")=1),J266/SUMIFS($J$2:$J$477,$A$2:$A$477,EDATE(A266,-12),$B$2:$B$477,B266)-1,"")</x:f>
        <x:v>-0.5025380710659899</x:v>
      </x:c>
    </x:row>
    <x:row r="267" ht="21" customHeight="1">
      <x:c r="A267" s="7" t="n">
        <x:v>45323</x:v>
      </x:c>
      <x:c r="B267" s="2" t="str">
        <x:v>八代</x:v>
      </x:c>
      <x:c r="C267" s="2" t="str">
        <x:v>熊本県</x:v>
      </x:c>
      <x:c r="D267" s="8" t="n">
        <x:v>298023</x:v>
      </x:c>
      <x:c r="E267" s="8" t="n">
        <x:v>18665</x:v>
      </x:c>
      <x:c r="F267" s="8" t="n">
        <x:v>147633</x:v>
      </x:c>
      <x:c r="G267" s="8" t="n">
        <x:v>15036</x:v>
      </x:c>
      <x:c r="H267" s="8" t="n">
        <x:v>116689</x:v>
      </x:c>
      <x:c r="I267" s="8" t="n">
        <x:v>1542</x:v>
      </x:c>
      <x:c r="J267" s="8" t="n">
        <x:v>677</x:v>
      </x:c>
      <x:c r="K267" s="8" t="n">
        <x:v>829</x:v>
      </x:c>
      <x:c r="L267" s="8" t="n">
        <x:v>3</x:v>
      </x:c>
      <x:c r="M267" s="8" t="n">
        <x:v>33</x:v>
      </x:c>
      <x:c r="N267" s="8" t="n">
        <x:v>0</x:v>
      </x:c>
      <x:c r="O267" s="8" t="n">
        <x:v>0</x:v>
      </x:c>
      <x:c r="P267" s="8" t="n">
        <x:v>0</x:v>
      </x:c>
      <x:c r="Q267" s="8" t="n">
        <x:v>0</x:v>
      </x:c>
      <x:c r="R267" s="8" t="n">
        <x:v>0</x:v>
      </x:c>
      <x:c r="S267" s="8" t="n">
        <x:v>222</x:v>
      </x:c>
      <x:c r="T267" s="8" t="n">
        <x:v>64</x:v>
      </x:c>
      <x:c r="U267" s="2" t="str">
        <x:v>2025年12月25日現在</x:v>
      </x:c>
      <x:c r="V267" s="2" t="str">
        <x:v>2025-12-25</x:v>
      </x:c>
      <x:c r="W267" s="2" t="str">
        <x:v>https://www.e-stat.go.jp/stat-search/file-download?statInfId=000040146718&amp;fileKind=0</x:v>
      </x:c>
      <x:c r="X267" s="2" t="str">
        <x:v>海上出入貨物!847行、コンテナ個数!147行</x:v>
      </x:c>
      <x:c r="Y267" s="2" t="str">
        <x:v>取得済</x:v>
      </x:c>
      <x:c r="Z267" s="9" t="n">
        <x:f>IF(AND(ISNUMBER(E267),COUNTIFS($A$2:$A$477,EDATE(A267,-12),$B$2:$B$477,B267,$E$2:$E$477,"&gt;0")=1),E267/SUMIFS($E$2:$E$477,$A$2:$A$477,EDATE(A267,-12),$B$2:$B$477,B267)-1,"")</x:f>
        <x:v>-0.007075220768166801</x:v>
      </x:c>
      <x:c r="AA267" s="10" t="n">
        <x:f>IF(COUNTIFS($A$2:$A$477,"&gt;="&amp;EDATE(A267,-2),$A$2:$A$477,"&lt;="&amp;A267,$B$2:$B$477,B267,$E$2:$E$477,"&gt;=0")=3,SUMIFS($E$2:$E$477,$A$2:$A$477,"&gt;="&amp;EDATE(A267,-2),$A$2:$A$477,"&lt;="&amp;A267,$B$2:$B$477,B267)/3,"")</x:f>
        <x:v>17537.333333333332</x:v>
      </x:c>
      <x:c r="AB267" s="9" t="n">
        <x:f>IF(AND(ISNUMBER(J267),COUNTIFS($A$2:$A$477,EDATE(A267,-12),$B$2:$B$477,B267,$J$2:$J$477,"&gt;0")=1),J267/SUMIFS($J$2:$J$477,$A$2:$A$477,EDATE(A267,-12),$B$2:$B$477,B267)-1,"")</x:f>
        <x:v>-0.539142273655548</x:v>
      </x:c>
    </x:row>
    <x:row r="268" ht="21" customHeight="1">
      <x:c r="A268" s="7" t="n">
        <x:v>45352</x:v>
      </x:c>
      <x:c r="B268" s="2" t="str">
        <x:v>仙台塩釜</x:v>
      </x:c>
      <x:c r="C268" s="2" t="str">
        <x:v>宮城県</x:v>
      </x:c>
      <x:c r="D268" s="8" t="n">
        <x:v>3540067</x:v>
      </x:c>
      <x:c r="E268" s="8" t="n">
        <x:v>189279</x:v>
      </x:c>
      <x:c r="F268" s="8" t="n">
        <x:v>1084325</x:v>
      </x:c>
      <x:c r="G268" s="8" t="n">
        <x:v>1090787</x:v>
      </x:c>
      <x:c r="H268" s="8" t="n">
        <x:v>1175676</x:v>
      </x:c>
      <x:c r="I268" s="8" t="n">
        <x:v>21230</x:v>
      </x:c>
      <x:c r="J268" s="8" t="n">
        <x:v>5438</x:v>
      </x:c>
      <x:c r="K268" s="8" t="n">
        <x:v>5534</x:v>
      </x:c>
      <x:c r="L268" s="8" t="n">
        <x:v>4898</x:v>
      </x:c>
      <x:c r="M268" s="8" t="n">
        <x:v>5360</x:v>
      </x:c>
      <x:c r="N268" s="8" t="n">
        <x:v>0</x:v>
      </x:c>
      <x:c r="O268" s="8" t="n">
        <x:v>0</x:v>
      </x:c>
      <x:c r="P268" s="8" t="n">
        <x:v>606</x:v>
      </x:c>
      <x:c r="Q268" s="8" t="n">
        <x:v>605</x:v>
      </x:c>
      <x:c r="R268" s="8" t="n">
        <x:v>1211</x:v>
      </x:c>
      <x:c r="S268" s="8" t="n">
        <x:v>1961</x:v>
      </x:c>
      <x:c r="T268" s="8" t="n">
        <x:v>88</x:v>
      </x:c>
      <x:c r="U268" s="2" t="str">
        <x:v>2025年12月25日現在</x:v>
      </x:c>
      <x:c r="V268" s="2" t="str">
        <x:v>2025-12-25</x:v>
      </x:c>
      <x:c r="W268" s="2" t="str">
        <x:v>https://www.e-stat.go.jp/stat-search/file-download?statInfId=000040146718&amp;fileKind=0</x:v>
      </x:c>
      <x:c r="X268" s="2" t="str">
        <x:v>海上出入貨物!139行、コンテナ個数!29行</x:v>
      </x:c>
      <x:c r="Y268" s="2" t="str">
        <x:v>取得済</x:v>
      </x:c>
      <x:c r="Z268" s="9" t="n">
        <x:f>IF(AND(ISNUMBER(E268),COUNTIFS($A$2:$A$477,EDATE(A268,-12),$B$2:$B$477,B268,$E$2:$E$477,"&gt;0")=1),E268/SUMIFS($E$2:$E$477,$A$2:$A$477,EDATE(A268,-12),$B$2:$B$477,B268)-1,"")</x:f>
        <x:v>0.11045989756586927</x:v>
      </x:c>
      <x:c r="AA268" s="10" t="n">
        <x:f>IF(COUNTIFS($A$2:$A$477,"&gt;="&amp;EDATE(A268,-2),$A$2:$A$477,"&lt;="&amp;A268,$B$2:$B$477,B268,$E$2:$E$477,"&gt;=0")=3,SUMIFS($E$2:$E$477,$A$2:$A$477,"&gt;="&amp;EDATE(A268,-2),$A$2:$A$477,"&lt;="&amp;A268,$B$2:$B$477,B268)/3,"")</x:f>
        <x:v>171793.66666666666</x:v>
      </x:c>
      <x:c r="AB268" s="9" t="n">
        <x:f>IF(AND(ISNUMBER(J268),COUNTIFS($A$2:$A$477,EDATE(A268,-12),$B$2:$B$477,B268,$J$2:$J$477,"&gt;0")=1),J268/SUMIFS($J$2:$J$477,$A$2:$A$477,EDATE(A268,-12),$B$2:$B$477,B268)-1,"")</x:f>
        <x:v>0.028949858088930913</x:v>
      </x:c>
    </x:row>
    <x:row r="269" ht="21" customHeight="1">
      <x:c r="A269" s="7" t="n">
        <x:v>45352</x:v>
      </x:c>
      <x:c r="B269" s="2" t="str">
        <x:v>東京</x:v>
      </x:c>
      <x:c r="C269" s="2" t="str">
        <x:v>東京都</x:v>
      </x:c>
      <x:c r="D269" s="8" t="n">
        <x:v>7170489</x:v>
      </x:c>
      <x:c r="E269" s="8" t="n">
        <x:v>951198</x:v>
      </x:c>
      <x:c r="F269" s="8" t="n">
        <x:v>2844723</x:v>
      </x:c>
      <x:c r="G269" s="8" t="n">
        <x:v>1225134</x:v>
      </x:c>
      <x:c r="H269" s="8" t="n">
        <x:v>2149434</x:v>
      </x:c>
      <x:c r="I269" s="8" t="n">
        <x:v>392198</x:v>
      </x:c>
      <x:c r="J269" s="8" t="n">
        <x:v>155179</x:v>
      </x:c>
      <x:c r="K269" s="8" t="n">
        <x:v>190617</x:v>
      </x:c>
      <x:c r="L269" s="8" t="n">
        <x:v>33166</x:v>
      </x:c>
      <x:c r="M269" s="8" t="n">
        <x:v>13236</x:v>
      </x:c>
      <x:c r="N269" s="8" t="n">
        <x:v>0</x:v>
      </x:c>
      <x:c r="O269" s="8" t="n">
        <x:v>0</x:v>
      </x:c>
      <x:c r="P269" s="8" t="n">
        <x:v>504</x:v>
      </x:c>
      <x:c r="Q269" s="8" t="n">
        <x:v>233</x:v>
      </x:c>
      <x:c r="R269" s="8" t="n">
        <x:v>737</x:v>
      </x:c>
      <x:c r="S269" s="8" t="n">
        <x:v>1685</x:v>
      </x:c>
      <x:c r="T269" s="8" t="n">
        <x:v>422</x:v>
      </x:c>
      <x:c r="U269" s="2" t="str">
        <x:v>2025年12月25日現在</x:v>
      </x:c>
      <x:c r="V269" s="2" t="str">
        <x:v>2025-12-25</x:v>
      </x:c>
      <x:c r="W269" s="2" t="str">
        <x:v>https://www.e-stat.go.jp/stat-search/file-download?statInfId=000040146718&amp;fileKind=0</x:v>
      </x:c>
      <x:c r="X269" s="2" t="str">
        <x:v>海上出入貨物!205行、コンテナ個数!40行</x:v>
      </x:c>
      <x:c r="Y269" s="2" t="str">
        <x:v>取得済</x:v>
      </x:c>
      <x:c r="Z269" s="9" t="n">
        <x:f>IF(AND(ISNUMBER(E269),COUNTIFS($A$2:$A$477,EDATE(A269,-12),$B$2:$B$477,B269,$E$2:$E$477,"&gt;0")=1),E269/SUMIFS($E$2:$E$477,$A$2:$A$477,EDATE(A269,-12),$B$2:$B$477,B269)-1,"")</x:f>
        <x:v>-0.013702635696532517</x:v>
      </x:c>
      <x:c r="AA269" s="10" t="n">
        <x:f>IF(COUNTIFS($A$2:$A$477,"&gt;="&amp;EDATE(A269,-2),$A$2:$A$477,"&lt;="&amp;A269,$B$2:$B$477,B269,$E$2:$E$477,"&gt;=0")=3,SUMIFS($E$2:$E$477,$A$2:$A$477,"&gt;="&amp;EDATE(A269,-2),$A$2:$A$477,"&lt;="&amp;A269,$B$2:$B$477,B269)/3,"")</x:f>
        <x:v>894833.6666666666</x:v>
      </x:c>
      <x:c r="AB269" s="9" t="n">
        <x:f>IF(AND(ISNUMBER(J269),COUNTIFS($A$2:$A$477,EDATE(A269,-12),$B$2:$B$477,B269,$J$2:$J$477,"&gt;0")=1),J269/SUMIFS($J$2:$J$477,$A$2:$A$477,EDATE(A269,-12),$B$2:$B$477,B269)-1,"")</x:f>
        <x:v>-0.05736171350123309</x:v>
      </x:c>
    </x:row>
    <x:row r="270" ht="21" customHeight="1">
      <x:c r="A270" s="7" t="n">
        <x:v>45352</x:v>
      </x:c>
      <x:c r="B270" s="2" t="str">
        <x:v>横浜</x:v>
      </x:c>
      <x:c r="C270" s="2" t="str">
        <x:v>神奈川県</x:v>
      </x:c>
      <x:c r="D270" s="8" t="n">
        <x:v>8846671</x:v>
      </x:c>
      <x:c r="E270" s="8" t="n">
        <x:v>2593461</x:v>
      </x:c>
      <x:c r="F270" s="8" t="n">
        <x:v>3721563</x:v>
      </x:c>
      <x:c r="G270" s="8" t="n">
        <x:v>995913</x:v>
      </x:c>
      <x:c r="H270" s="8" t="n">
        <x:v>1535734</x:v>
      </x:c>
      <x:c r="I270" s="8" t="n">
        <x:v>275468</x:v>
      </x:c>
      <x:c r="J270" s="8" t="n">
        <x:v>131642</x:v>
      </x:c>
      <x:c r="K270" s="8" t="n">
        <x:v>114609</x:v>
      </x:c>
      <x:c r="L270" s="8" t="n">
        <x:v>12463</x:v>
      </x:c>
      <x:c r="M270" s="8" t="n">
        <x:v>16754</x:v>
      </x:c>
      <x:c r="N270" s="8" t="n">
        <x:v>0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2156</x:v>
      </x:c>
      <x:c r="T270" s="8" t="n">
        <x:v>760</x:v>
      </x:c>
      <x:c r="U270" s="2" t="str">
        <x:v>2025年12月25日現在</x:v>
      </x:c>
      <x:c r="V270" s="2" t="str">
        <x:v>2025-12-25</x:v>
      </x:c>
      <x:c r="W270" s="2" t="str">
        <x:v>https://www.e-stat.go.jp/stat-search/file-download?statInfId=000040146718&amp;fileKind=0</x:v>
      </x:c>
      <x:c r="X270" s="2" t="str">
        <x:v>海上出入貨物!217行、コンテナ個数!42行</x:v>
      </x:c>
      <x:c r="Y270" s="2" t="str">
        <x:v>取得済</x:v>
      </x:c>
      <x:c r="Z270" s="9" t="n">
        <x:f>IF(AND(ISNUMBER(E270),COUNTIFS($A$2:$A$477,EDATE(A270,-12),$B$2:$B$477,B270,$E$2:$E$477,"&gt;0")=1),E270/SUMIFS($E$2:$E$477,$A$2:$A$477,EDATE(A270,-12),$B$2:$B$477,B270)-1,"")</x:f>
        <x:v>0.018090365858541624</x:v>
      </x:c>
      <x:c r="AA270" s="10" t="n">
        <x:f>IF(COUNTIFS($A$2:$A$477,"&gt;="&amp;EDATE(A270,-2),$A$2:$A$477,"&lt;="&amp;A270,$B$2:$B$477,B270,$E$2:$E$477,"&gt;=0")=3,SUMIFS($E$2:$E$477,$A$2:$A$477,"&gt;="&amp;EDATE(A270,-2),$A$2:$A$477,"&lt;="&amp;A270,$B$2:$B$477,B270)/3,"")</x:f>
        <x:v>2260742</x:v>
      </x:c>
      <x:c r="AB270" s="9" t="n">
        <x:f>IF(AND(ISNUMBER(J270),COUNTIFS($A$2:$A$477,EDATE(A270,-12),$B$2:$B$477,B270,$J$2:$J$477,"&gt;0")=1),J270/SUMIFS($J$2:$J$477,$A$2:$A$477,EDATE(A270,-12),$B$2:$B$477,B270)-1,"")</x:f>
        <x:v>0.07488303353446946</x:v>
      </x:c>
    </x:row>
    <x:row r="271" ht="21" customHeight="1">
      <x:c r="A271" s="7" t="n">
        <x:v>45352</x:v>
      </x:c>
      <x:c r="B271" s="2" t="str">
        <x:v>清水</x:v>
      </x:c>
      <x:c r="C271" s="2" t="str">
        <x:v>静岡県</x:v>
      </x:c>
      <x:c r="D271" s="8" t="n">
        <x:v>1256603</x:v>
      </x:c>
      <x:c r="E271" s="8" t="n">
        <x:v>263847</x:v>
      </x:c>
      <x:c r="F271" s="8" t="n">
        <x:v>434321</x:v>
      </x:c>
      <x:c r="G271" s="8" t="n">
        <x:v>160494</x:v>
      </x:c>
      <x:c r="H271" s="8" t="n">
        <x:v>397941</x:v>
      </x:c>
      <x:c r="I271" s="8" t="n">
        <x:v>43388</x:v>
      </x:c>
      <x:c r="J271" s="8" t="n">
        <x:v>15605</x:v>
      </x:c>
      <x:c r="K271" s="8" t="n">
        <x:v>17350</x:v>
      </x:c>
      <x:c r="L271" s="8" t="n">
        <x:v>5286</x:v>
      </x:c>
      <x:c r="M271" s="8" t="n">
        <x:v>5147</x:v>
      </x:c>
      <x:c r="N271" s="8" t="n">
        <x:v>0</x:v>
      </x:c>
      <x:c r="O271" s="8" t="n">
        <x:v>0</x:v>
      </x:c>
      <x:c r="P271" s="8" t="n">
        <x:v>4</x:v>
      </x:c>
      <x:c r="Q271" s="8" t="n">
        <x:v>1</x:v>
      </x:c>
      <x:c r="R271" s="8" t="n">
        <x:v>5</x:v>
      </x:c>
      <x:c r="S271" s="8" t="n">
        <x:v>454</x:v>
      </x:c>
      <x:c r="T271" s="8" t="n">
        <x:v>137</x:v>
      </x:c>
      <x:c r="U271" s="2" t="str">
        <x:v>2025年12月25日現在</x:v>
      </x:c>
      <x:c r="V271" s="2" t="str">
        <x:v>2025-12-25</x:v>
      </x:c>
      <x:c r="W271" s="2" t="str">
        <x:v>https://www.e-stat.go.jp/stat-search/file-download?statInfId=000040146718&amp;fileKind=0</x:v>
      </x:c>
      <x:c r="X271" s="2" t="str">
        <x:v>海上出入貨物!313行、コンテナ個数!58行</x:v>
      </x:c>
      <x:c r="Y271" s="2" t="str">
        <x:v>取得済</x:v>
      </x:c>
      <x:c r="Z271" s="9" t="n">
        <x:f>IF(AND(ISNUMBER(E271),COUNTIFS($A$2:$A$477,EDATE(A271,-12),$B$2:$B$477,B271,$E$2:$E$477,"&gt;0")=1),E271/SUMIFS($E$2:$E$477,$A$2:$A$477,EDATE(A271,-12),$B$2:$B$477,B271)-1,"")</x:f>
        <x:v>-0.10700493801254307</x:v>
      </x:c>
      <x:c r="AA271" s="10" t="n">
        <x:f>IF(COUNTIFS($A$2:$A$477,"&gt;="&amp;EDATE(A271,-2),$A$2:$A$477,"&lt;="&amp;A271,$B$2:$B$477,B271,$E$2:$E$477,"&gt;=0")=3,SUMIFS($E$2:$E$477,$A$2:$A$477,"&gt;="&amp;EDATE(A271,-2),$A$2:$A$477,"&lt;="&amp;A271,$B$2:$B$477,B271)/3,"")</x:f>
        <x:v>245357.33333333334</x:v>
      </x:c>
      <x:c r="AB271" s="9" t="n">
        <x:f>IF(AND(ISNUMBER(J271),COUNTIFS($A$2:$A$477,EDATE(A271,-12),$B$2:$B$477,B271,$J$2:$J$477,"&gt;0")=1),J271/SUMIFS($J$2:$J$477,$A$2:$A$477,EDATE(A271,-12),$B$2:$B$477,B271)-1,"")</x:f>
        <x:v>-0.16232755381394603</x:v>
      </x:c>
    </x:row>
    <x:row r="272" ht="21" customHeight="1">
      <x:c r="A272" s="7" t="n">
        <x:v>45352</x:v>
      </x:c>
      <x:c r="B272" s="2" t="str">
        <x:v>博多</x:v>
      </x:c>
      <x:c r="C272" s="2" t="str">
        <x:v>福岡県</x:v>
      </x:c>
      <x:c r="D272" s="8" t="n">
        <x:v>3181624</x:v>
      </x:c>
      <x:c r="E272" s="8" t="n">
        <x:v>804825</x:v>
      </x:c>
      <x:c r="F272" s="8" t="n">
        <x:v>899577</x:v>
      </x:c>
      <x:c r="G272" s="8" t="n">
        <x:v>485175</x:v>
      </x:c>
      <x:c r="H272" s="8" t="n">
        <x:v>992047</x:v>
      </x:c>
      <x:c r="I272" s="8" t="n">
        <x:v>89250</x:v>
      </x:c>
      <x:c r="J272" s="8" t="n">
        <x:v>38277</x:v>
      </x:c>
      <x:c r="K272" s="8" t="n">
        <x:v>37351</x:v>
      </x:c>
      <x:c r="L272" s="8" t="n">
        <x:v>7108</x:v>
      </x:c>
      <x:c r="M272" s="8" t="n">
        <x:v>6514</x:v>
      </x:c>
      <x:c r="N272" s="8" t="n">
        <x:v>0</x:v>
      </x:c>
      <x:c r="O272" s="8" t="n">
        <x:v>0</x:v>
      </x:c>
      <x:c r="P272" s="8" t="n">
        <x:v>1997</x:v>
      </x:c>
      <x:c r="Q272" s="8" t="n">
        <x:v>2037</x:v>
      </x:c>
      <x:c r="R272" s="8" t="n">
        <x:v>4034</x:v>
      </x:c>
      <x:c r="S272" s="8" t="n">
        <x:v>1660</x:v>
      </x:c>
      <x:c r="T272" s="8" t="n">
        <x:v>286</x:v>
      </x:c>
      <x:c r="U272" s="2" t="str">
        <x:v>2025年12月25日現在</x:v>
      </x:c>
      <x:c r="V272" s="2" t="str">
        <x:v>2025-12-25</x:v>
      </x:c>
      <x:c r="W272" s="2" t="str">
        <x:v>https://www.e-stat.go.jp/stat-search/file-download?statInfId=000040146718&amp;fileKind=0</x:v>
      </x:c>
      <x:c r="X272" s="2" t="str">
        <x:v>海上出入貨物!745行、コンテナ個数!130行</x:v>
      </x:c>
      <x:c r="Y272" s="2" t="str">
        <x:v>取得済</x:v>
      </x:c>
      <x:c r="Z272" s="9" t="n">
        <x:f>IF(AND(ISNUMBER(E272),COUNTIFS($A$2:$A$477,EDATE(A272,-12),$B$2:$B$477,B272,$E$2:$E$477,"&gt;0")=1),E272/SUMIFS($E$2:$E$477,$A$2:$A$477,EDATE(A272,-12),$B$2:$B$477,B272)-1,"")</x:f>
        <x:v>0.3378230797233346</x:v>
      </x:c>
      <x:c r="AA272" s="10" t="n">
        <x:f>IF(COUNTIFS($A$2:$A$477,"&gt;="&amp;EDATE(A272,-2),$A$2:$A$477,"&lt;="&amp;A272,$B$2:$B$477,B272,$E$2:$E$477,"&gt;=0")=3,SUMIFS($E$2:$E$477,$A$2:$A$477,"&gt;="&amp;EDATE(A272,-2),$A$2:$A$477,"&lt;="&amp;A272,$B$2:$B$477,B272)/3,"")</x:f>
        <x:v>684081.3333333334</x:v>
      </x:c>
      <x:c r="AB272" s="9" t="n">
        <x:f>IF(AND(ISNUMBER(J272),COUNTIFS($A$2:$A$477,EDATE(A272,-12),$B$2:$B$477,B272,$J$2:$J$477,"&gt;0")=1),J272/SUMIFS($J$2:$J$477,$A$2:$A$477,EDATE(A272,-12),$B$2:$B$477,B272)-1,"")</x:f>
        <x:v>0.04647729447466986</x:v>
      </x:c>
    </x:row>
    <x:row r="273" ht="21" customHeight="1">
      <x:c r="A273" s="7" t="n">
        <x:v>45352</x:v>
      </x:c>
      <x:c r="B273" s="2" t="str">
        <x:v>熊本</x:v>
      </x:c>
      <x:c r="C273" s="2" t="str">
        <x:v>熊本県</x:v>
      </x:c>
      <x:c r="D273" s="8" t="n">
        <x:v>306880</x:v>
      </x:c>
      <x:c r="E273" s="8" t="n">
        <x:v>5720</x:v>
      </x:c>
      <x:c r="F273" s="8" t="n">
        <x:v>5221</x:v>
      </x:c>
      <x:c r="G273" s="8" t="n">
        <x:v>113234</x:v>
      </x:c>
      <x:c r="H273" s="8" t="n">
        <x:v>182705</x:v>
      </x:c>
      <x:c r="I273" s="8" t="n">
        <x:v>1279</x:v>
      </x:c>
      <x:c r="J273" s="8" t="n">
        <x:v>304</x:v>
      </x:c>
      <x:c r="K273" s="8" t="n">
        <x:v>257</x:v>
      </x:c>
      <x:c r="L273" s="8" t="n">
        <x:v>371</x:v>
      </x:c>
      <x:c r="M273" s="8" t="n">
        <x:v>347</x:v>
      </x:c>
      <x:c r="N273" s="8" t="n">
        <x:v>0</x:v>
      </x:c>
      <x:c r="O273" s="8" t="n">
        <x:v>0</x:v>
      </x:c>
      <x:c r="P273" s="8" t="n">
        <x:v>667</x:v>
      </x:c>
      <x:c r="Q273" s="8" t="n">
        <x:v>689</x:v>
      </x:c>
      <x:c r="R273" s="8" t="n">
        <x:v>1356</x:v>
      </x:c>
      <x:c r="S273" s="8" t="n">
        <x:v>38</x:v>
      </x:c>
      <x:c r="T273" s="8" t="n">
        <x:v>7</x:v>
      </x:c>
      <x:c r="U273" s="2" t="str">
        <x:v>2025年12月25日現在</x:v>
      </x:c>
      <x:c r="V273" s="2" t="str">
        <x:v>2025-12-25</x:v>
      </x:c>
      <x:c r="W273" s="2" t="str">
        <x:v>https://www.e-stat.go.jp/stat-search/file-download?statInfId=000040146718&amp;fileKind=0</x:v>
      </x:c>
      <x:c r="X273" s="2" t="str">
        <x:v>海上出入貨物!859行、コンテナ個数!149行</x:v>
      </x:c>
      <x:c r="Y273" s="2" t="str">
        <x:v>取得済</x:v>
      </x:c>
      <x:c r="Z273" s="9" t="n">
        <x:f>IF(AND(ISNUMBER(E273),COUNTIFS($A$2:$A$477,EDATE(A273,-12),$B$2:$B$477,B273,$E$2:$E$477,"&gt;0")=1),E273/SUMIFS($E$2:$E$477,$A$2:$A$477,EDATE(A273,-12),$B$2:$B$477,B273)-1,"")</x:f>
        <x:v>-0.15234143449911086</x:v>
      </x:c>
      <x:c r="AA273" s="10" t="n">
        <x:f>IF(COUNTIFS($A$2:$A$477,"&gt;="&amp;EDATE(A273,-2),$A$2:$A$477,"&lt;="&amp;A273,$B$2:$B$477,B273,$E$2:$E$477,"&gt;=0")=3,SUMIFS($E$2:$E$477,$A$2:$A$477,"&gt;="&amp;EDATE(A273,-2),$A$2:$A$477,"&lt;="&amp;A273,$B$2:$B$477,B273)/3,"")</x:f>
        <x:v>4112.333333333333</x:v>
      </x:c>
      <x:c r="AB273" s="9" t="n">
        <x:f>IF(AND(ISNUMBER(J273),COUNTIFS($A$2:$A$477,EDATE(A273,-12),$B$2:$B$477,B273,$J$2:$J$477,"&gt;0")=1),J273/SUMIFS($J$2:$J$477,$A$2:$A$477,EDATE(A273,-12),$B$2:$B$477,B273)-1,"")</x:f>
        <x:v>-0.2530712530712531</x:v>
      </x:c>
    </x:row>
    <x:row r="274" ht="21" customHeight="1">
      <x:c r="A274" s="7" t="n">
        <x:v>45352</x:v>
      </x:c>
      <x:c r="B274" s="2" t="str">
        <x:v>八代</x:v>
      </x:c>
      <x:c r="C274" s="2" t="str">
        <x:v>熊本県</x:v>
      </x:c>
      <x:c r="D274" s="8" t="n">
        <x:v>319480</x:v>
      </x:c>
      <x:c r="E274" s="8" t="n">
        <x:v>26675</x:v>
      </x:c>
      <x:c r="F274" s="8" t="n">
        <x:v>131513</x:v>
      </x:c>
      <x:c r="G274" s="8" t="n">
        <x:v>30947</x:v>
      </x:c>
      <x:c r="H274" s="8" t="n">
        <x:v>130345</x:v>
      </x:c>
      <x:c r="I274" s="8" t="n">
        <x:v>2014</x:v>
      </x:c>
      <x:c r="J274" s="8" t="n">
        <x:v>722</x:v>
      </x:c>
      <x:c r="K274" s="8" t="n">
        <x:v>524</x:v>
      </x:c>
      <x:c r="L274" s="8" t="n">
        <x:v>246</x:v>
      </x:c>
      <x:c r="M274" s="8" t="n">
        <x:v>522</x:v>
      </x:c>
      <x:c r="N274" s="8" t="n">
        <x:v>0</x:v>
      </x:c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216</x:v>
      </x:c>
      <x:c r="T274" s="8" t="n">
        <x:v>35</x:v>
      </x:c>
      <x:c r="U274" s="2" t="str">
        <x:v>2025年12月25日現在</x:v>
      </x:c>
      <x:c r="V274" s="2" t="str">
        <x:v>2025-12-25</x:v>
      </x:c>
      <x:c r="W274" s="2" t="str">
        <x:v>https://www.e-stat.go.jp/stat-search/file-download?statInfId=000040146718&amp;fileKind=0</x:v>
      </x:c>
      <x:c r="X274" s="2" t="str">
        <x:v>海上出入貨物!847行、コンテナ個数!147行</x:v>
      </x:c>
      <x:c r="Y274" s="2" t="str">
        <x:v>取得済</x:v>
      </x:c>
      <x:c r="Z274" s="9" t="n">
        <x:f>IF(AND(ISNUMBER(E274),COUNTIFS($A$2:$A$477,EDATE(A274,-12),$B$2:$B$477,B274,$E$2:$E$477,"&gt;0")=1),E274/SUMIFS($E$2:$E$477,$A$2:$A$477,EDATE(A274,-12),$B$2:$B$477,B274)-1,"")</x:f>
        <x:v>0.021091716429336937</x:v>
      </x:c>
      <x:c r="AA274" s="10" t="n">
        <x:f>IF(COUNTIFS($A$2:$A$477,"&gt;="&amp;EDATE(A274,-2),$A$2:$A$477,"&lt;="&amp;A274,$B$2:$B$477,B274,$E$2:$E$477,"&gt;=0")=3,SUMIFS($E$2:$E$477,$A$2:$A$477,"&gt;="&amp;EDATE(A274,-2),$A$2:$A$477,"&lt;="&amp;A274,$B$2:$B$477,B274)/3,"")</x:f>
        <x:v>18621.666666666668</x:v>
      </x:c>
      <x:c r="AB274" s="9" t="n">
        <x:f>IF(AND(ISNUMBER(J274),COUNTIFS($A$2:$A$477,EDATE(A274,-12),$B$2:$B$477,B274,$J$2:$J$477,"&gt;0")=1),J274/SUMIFS($J$2:$J$477,$A$2:$A$477,EDATE(A274,-12),$B$2:$B$477,B274)-1,"")</x:f>
        <x:v>-0.5993340732519423</x:v>
      </x:c>
    </x:row>
    <x:row r="275" ht="21" customHeight="1">
      <x:c r="A275" s="7" t="n">
        <x:v>45383</x:v>
      </x:c>
      <x:c r="B275" s="2" t="str">
        <x:v>仙台塩釜</x:v>
      </x:c>
      <x:c r="C275" s="2" t="str">
        <x:v>宮城県</x:v>
      </x:c>
      <x:c r="D275" s="8" t="n">
        <x:v>3857246</x:v>
      </x:c>
      <x:c r="E275" s="8" t="n">
        <x:v>141893</x:v>
      </x:c>
      <x:c r="F275" s="8" t="n">
        <x:v>1290437</x:v>
      </x:c>
      <x:c r="G275" s="8" t="n">
        <x:v>1260155</x:v>
      </x:c>
      <x:c r="H275" s="8" t="n">
        <x:v>1164761</x:v>
      </x:c>
      <x:c r="I275" s="8" t="n">
        <x:v>20933</x:v>
      </x:c>
      <x:c r="J275" s="8" t="n">
        <x:v>5424</x:v>
      </x:c>
      <x:c r="K275" s="8" t="n">
        <x:v>5329</x:v>
      </x:c>
      <x:c r="L275" s="8" t="n">
        <x:v>5266</x:v>
      </x:c>
      <x:c r="M275" s="8" t="n">
        <x:v>4914</x:v>
      </x:c>
      <x:c r="N275" s="8" t="n">
        <x:v>0</x:v>
      </x:c>
      <x:c r="O275" s="8" t="n">
        <x:v>0</x:v>
      </x:c>
      <x:c r="P275" s="8" t="n">
        <x:v>600</x:v>
      </x:c>
      <x:c r="Q275" s="8" t="n">
        <x:v>637</x:v>
      </x:c>
      <x:c r="R275" s="8" t="n">
        <x:v>1237</x:v>
      </x:c>
      <x:c r="S275" s="8" t="n">
        <x:v>2068</x:v>
      </x:c>
      <x:c r="T275" s="8" t="n">
        <x:v>96</x:v>
      </x:c>
      <x:c r="U275" s="2" t="str">
        <x:v>2025年12月25日現在</x:v>
      </x:c>
      <x:c r="V275" s="2" t="str">
        <x:v>2025-12-25</x:v>
      </x:c>
      <x:c r="W275" s="2" t="str">
        <x:v>https://www.e-stat.go.jp/stat-search/file-download?statInfId=000040146718&amp;fileKind=0</x:v>
      </x:c>
      <x:c r="X275" s="2" t="str">
        <x:v>海上出入貨物!139行、コンテナ個数!29行</x:v>
      </x:c>
      <x:c r="Y275" s="2" t="str">
        <x:v>取得済</x:v>
      </x:c>
      <x:c r="Z275" s="9" t="n">
        <x:f>IF(AND(ISNUMBER(E275),COUNTIFS($A$2:$A$477,EDATE(A275,-12),$B$2:$B$477,B275,$E$2:$E$477,"&gt;0")=1),E275/SUMIFS($E$2:$E$477,$A$2:$A$477,EDATE(A275,-12),$B$2:$B$477,B275)-1,"")</x:f>
        <x:v>0.5430196394005959</x:v>
      </x:c>
      <x:c r="AA275" s="10" t="n">
        <x:f>IF(COUNTIFS($A$2:$A$477,"&gt;="&amp;EDATE(A275,-2),$A$2:$A$477,"&lt;="&amp;A275,$B$2:$B$477,B275,$E$2:$E$477,"&gt;=0")=3,SUMIFS($E$2:$E$477,$A$2:$A$477,"&gt;="&amp;EDATE(A275,-2),$A$2:$A$477,"&lt;="&amp;A275,$B$2:$B$477,B275)/3,"")</x:f>
        <x:v>164511.33333333334</x:v>
      </x:c>
      <x:c r="AB275" s="9" t="n">
        <x:f>IF(AND(ISNUMBER(J275),COUNTIFS($A$2:$A$477,EDATE(A275,-12),$B$2:$B$477,B275,$J$2:$J$477,"&gt;0")=1),J275/SUMIFS($J$2:$J$477,$A$2:$A$477,EDATE(A275,-12),$B$2:$B$477,B275)-1,"")</x:f>
        <x:v>0.12437810945273631</x:v>
      </x:c>
    </x:row>
    <x:row r="276" ht="21" customHeight="1">
      <x:c r="A276" s="7" t="n">
        <x:v>45383</x:v>
      </x:c>
      <x:c r="B276" s="2" t="str">
        <x:v>東京</x:v>
      </x:c>
      <x:c r="C276" s="2" t="str">
        <x:v>東京都</x:v>
      </x:c>
      <x:c r="D276" s="8" t="n">
        <x:v>7236574</x:v>
      </x:c>
      <x:c r="E276" s="8" t="n">
        <x:v>1021438</x:v>
      </x:c>
      <x:c r="F276" s="8" t="n">
        <x:v>2927801</x:v>
      </x:c>
      <x:c r="G276" s="8" t="n">
        <x:v>1202794</x:v>
      </x:c>
      <x:c r="H276" s="8" t="n">
        <x:v>2084541</x:v>
      </x:c>
      <x:c r="I276" s="8" t="n">
        <x:v>404187</x:v>
      </x:c>
      <x:c r="J276" s="8" t="n">
        <x:v>160630</x:v>
      </x:c>
      <x:c r="K276" s="8" t="n">
        <x:v>196168</x:v>
      </x:c>
      <x:c r="L276" s="8" t="n">
        <x:v>33818</x:v>
      </x:c>
      <x:c r="M276" s="8" t="n">
        <x:v>13571</x:v>
      </x:c>
      <x:c r="N276" s="8" t="n">
        <x:v>0</x:v>
      </x:c>
      <x:c r="O276" s="8" t="n">
        <x:v>0</x:v>
      </x:c>
      <x:c r="P276" s="8" t="n">
        <x:v>420</x:v>
      </x:c>
      <x:c r="Q276" s="8" t="n">
        <x:v>244</x:v>
      </x:c>
      <x:c r="R276" s="8" t="n">
        <x:v>664</x:v>
      </x:c>
      <x:c r="S276" s="8" t="n">
        <x:v>1691</x:v>
      </x:c>
      <x:c r="T276" s="8" t="n">
        <x:v>434</x:v>
      </x:c>
      <x:c r="U276" s="2" t="str">
        <x:v>2025年12月25日現在</x:v>
      </x:c>
      <x:c r="V276" s="2" t="str">
        <x:v>2025-12-25</x:v>
      </x:c>
      <x:c r="W276" s="2" t="str">
        <x:v>https://www.e-stat.go.jp/stat-search/file-download?statInfId=000040146718&amp;fileKind=0</x:v>
      </x:c>
      <x:c r="X276" s="2" t="str">
        <x:v>海上出入貨物!205行、コンテナ個数!40行</x:v>
      </x:c>
      <x:c r="Y276" s="2" t="str">
        <x:v>取得済</x:v>
      </x:c>
      <x:c r="Z276" s="9" t="n">
        <x:f>IF(AND(ISNUMBER(E276),COUNTIFS($A$2:$A$477,EDATE(A276,-12),$B$2:$B$477,B276,$E$2:$E$477,"&gt;0")=1),E276/SUMIFS($E$2:$E$477,$A$2:$A$477,EDATE(A276,-12),$B$2:$B$477,B276)-1,"")</x:f>
        <x:v>-0.014603849597135232</x:v>
      </x:c>
      <x:c r="AA276" s="10" t="n">
        <x:f>IF(COUNTIFS($A$2:$A$477,"&gt;="&amp;EDATE(A276,-2),$A$2:$A$477,"&lt;="&amp;A276,$B$2:$B$477,B276,$E$2:$E$477,"&gt;=0")=3,SUMIFS($E$2:$E$477,$A$2:$A$477,"&gt;="&amp;EDATE(A276,-2),$A$2:$A$477,"&lt;="&amp;A276,$B$2:$B$477,B276)/3,"")</x:f>
        <x:v>987070.6666666666</x:v>
      </x:c>
      <x:c r="AB276" s="9" t="n">
        <x:f>IF(AND(ISNUMBER(J276),COUNTIFS($A$2:$A$477,EDATE(A276,-12),$B$2:$B$477,B276,$J$2:$J$477,"&gt;0")=1),J276/SUMIFS($J$2:$J$477,$A$2:$A$477,EDATE(A276,-12),$B$2:$B$477,B276)-1,"")</x:f>
        <x:v>-0.04415352573638798</x:v>
      </x:c>
    </x:row>
    <x:row r="277" ht="21" customHeight="1">
      <x:c r="A277" s="7" t="n">
        <x:v>45383</x:v>
      </x:c>
      <x:c r="B277" s="2" t="str">
        <x:v>横浜</x:v>
      </x:c>
      <x:c r="C277" s="2" t="str">
        <x:v>神奈川県</x:v>
      </x:c>
      <x:c r="D277" s="8" t="n">
        <x:v>8058997</x:v>
      </x:c>
      <x:c r="E277" s="8" t="n">
        <x:v>2422802</x:v>
      </x:c>
      <x:c r="F277" s="8" t="n">
        <x:v>3151708</x:v>
      </x:c>
      <x:c r="G277" s="8" t="n">
        <x:v>796667</x:v>
      </x:c>
      <x:c r="H277" s="8" t="n">
        <x:v>1687820</x:v>
      </x:c>
      <x:c r="I277" s="8" t="n">
        <x:v>261514</x:v>
      </x:c>
      <x:c r="J277" s="8" t="n">
        <x:v>128733</x:v>
      </x:c>
      <x:c r="K277" s="8" t="n">
        <x:v>104619</x:v>
      </x:c>
      <x:c r="L277" s="8" t="n">
        <x:v>10841</x:v>
      </x:c>
      <x:c r="M277" s="8" t="n">
        <x:v>17321</x:v>
      </x:c>
      <x:c r="N277" s="8" t="n">
        <x:v>0</x:v>
      </x:c>
      <x:c r="O277" s="8" t="n">
        <x:v>0</x:v>
      </x:c>
      <x:c r="P277" s="8" t="n">
        <x:v>0</x:v>
      </x:c>
      <x:c r="Q277" s="8" t="n">
        <x:v>0</x:v>
      </x:c>
      <x:c r="R277" s="8" t="n">
        <x:v>0</x:v>
      </x:c>
      <x:c r="S277" s="8" t="n">
        <x:v>2033</x:v>
      </x:c>
      <x:c r="T277" s="8" t="n">
        <x:v>706</x:v>
      </x:c>
      <x:c r="U277" s="2" t="str">
        <x:v>2025年12月25日現在</x:v>
      </x:c>
      <x:c r="V277" s="2" t="str">
        <x:v>2025-12-25</x:v>
      </x:c>
      <x:c r="W277" s="2" t="str">
        <x:v>https://www.e-stat.go.jp/stat-search/file-download?statInfId=000040146718&amp;fileKind=0</x:v>
      </x:c>
      <x:c r="X277" s="2" t="str">
        <x:v>海上出入貨物!217行、コンテナ個数!42行</x:v>
      </x:c>
      <x:c r="Y277" s="2" t="str">
        <x:v>取得済</x:v>
      </x:c>
      <x:c r="Z277" s="9" t="n">
        <x:f>IF(AND(ISNUMBER(E277),COUNTIFS($A$2:$A$477,EDATE(A277,-12),$B$2:$B$477,B277,$E$2:$E$477,"&gt;0")=1),E277/SUMIFS($E$2:$E$477,$A$2:$A$477,EDATE(A277,-12),$B$2:$B$477,B277)-1,"")</x:f>
        <x:v>0.07333520875927291</x:v>
      </x:c>
      <x:c r="AA277" s="10" t="n">
        <x:f>IF(COUNTIFS($A$2:$A$477,"&gt;="&amp;EDATE(A277,-2),$A$2:$A$477,"&lt;="&amp;A277,$B$2:$B$477,B277,$E$2:$E$477,"&gt;=0")=3,SUMIFS($E$2:$E$477,$A$2:$A$477,"&gt;="&amp;EDATE(A277,-2),$A$2:$A$477,"&lt;="&amp;A277,$B$2:$B$477,B277)/3,"")</x:f>
        <x:v>2424239</x:v>
      </x:c>
      <x:c r="AB277" s="9" t="n">
        <x:f>IF(AND(ISNUMBER(J277),COUNTIFS($A$2:$A$477,EDATE(A277,-12),$B$2:$B$477,B277,$J$2:$J$477,"&gt;0")=1),J277/SUMIFS($J$2:$J$477,$A$2:$A$477,EDATE(A277,-12),$B$2:$B$477,B277)-1,"")</x:f>
        <x:v>0.09632777503363932</x:v>
      </x:c>
    </x:row>
    <x:row r="278" ht="21" customHeight="1">
      <x:c r="A278" s="7" t="n">
        <x:v>45383</x:v>
      </x:c>
      <x:c r="B278" s="2" t="str">
        <x:v>清水</x:v>
      </x:c>
      <x:c r="C278" s="2" t="str">
        <x:v>静岡県</x:v>
      </x:c>
      <x:c r="D278" s="8" t="n">
        <x:v>1417524</x:v>
      </x:c>
      <x:c r="E278" s="8" t="n">
        <x:v>249637</x:v>
      </x:c>
      <x:c r="F278" s="8" t="n">
        <x:v>594566</x:v>
      </x:c>
      <x:c r="G278" s="8" t="n">
        <x:v>192486</x:v>
      </x:c>
      <x:c r="H278" s="8" t="n">
        <x:v>380835</x:v>
      </x:c>
      <x:c r="I278" s="8" t="n">
        <x:v>43242</x:v>
      </x:c>
      <x:c r="J278" s="8" t="n">
        <x:v>15315</x:v>
      </x:c>
      <x:c r="K278" s="8" t="n">
        <x:v>16791</x:v>
      </x:c>
      <x:c r="L278" s="8" t="n">
        <x:v>5954</x:v>
      </x:c>
      <x:c r="M278" s="8" t="n">
        <x:v>5182</x:v>
      </x:c>
      <x:c r="N278" s="8" t="n">
        <x:v>0</x:v>
      </x:c>
      <x:c r="O278" s="8" t="n">
        <x:v>0</x:v>
      </x:c>
      <x:c r="P278" s="8" t="n">
        <x:v>10</x:v>
      </x:c>
      <x:c r="Q278" s="8" t="n">
        <x:v>5</x:v>
      </x:c>
      <x:c r="R278" s="8" t="n">
        <x:v>15</x:v>
      </x:c>
      <x:c r="S278" s="8" t="n">
        <x:v>498</x:v>
      </x:c>
      <x:c r="T278" s="8" t="n">
        <x:v>161</x:v>
      </x:c>
      <x:c r="U278" s="2" t="str">
        <x:v>2025年12月25日現在</x:v>
      </x:c>
      <x:c r="V278" s="2" t="str">
        <x:v>2025-12-25</x:v>
      </x:c>
      <x:c r="W278" s="2" t="str">
        <x:v>https://www.e-stat.go.jp/stat-search/file-download?statInfId=000040146718&amp;fileKind=0</x:v>
      </x:c>
      <x:c r="X278" s="2" t="str">
        <x:v>海上出入貨物!313行、コンテナ個数!58行</x:v>
      </x:c>
      <x:c r="Y278" s="2" t="str">
        <x:v>取得済</x:v>
      </x:c>
      <x:c r="Z278" s="9" t="n">
        <x:f>IF(AND(ISNUMBER(E278),COUNTIFS($A$2:$A$477,EDATE(A278,-12),$B$2:$B$477,B278,$E$2:$E$477,"&gt;0")=1),E278/SUMIFS($E$2:$E$477,$A$2:$A$477,EDATE(A278,-12),$B$2:$B$477,B278)-1,"")</x:f>
        <x:v>-0.12449234395056363</x:v>
      </x:c>
      <x:c r="AA278" s="10" t="n">
        <x:f>IF(COUNTIFS($A$2:$A$477,"&gt;="&amp;EDATE(A278,-2),$A$2:$A$477,"&lt;="&amp;A278,$B$2:$B$477,B278,$E$2:$E$477,"&gt;=0")=3,SUMIFS($E$2:$E$477,$A$2:$A$477,"&gt;="&amp;EDATE(A278,-2),$A$2:$A$477,"&lt;="&amp;A278,$B$2:$B$477,B278)/3,"")</x:f>
        <x:v>259151.33333333334</x:v>
      </x:c>
      <x:c r="AB278" s="9" t="n">
        <x:f>IF(AND(ISNUMBER(J278),COUNTIFS($A$2:$A$477,EDATE(A278,-12),$B$2:$B$477,B278,$J$2:$J$477,"&gt;0")=1),J278/SUMIFS($J$2:$J$477,$A$2:$A$477,EDATE(A278,-12),$B$2:$B$477,B278)-1,"")</x:f>
        <x:v>-0.13713448644994086</x:v>
      </x:c>
    </x:row>
    <x:row r="279" ht="21" customHeight="1">
      <x:c r="A279" s="7" t="n">
        <x:v>45383</x:v>
      </x:c>
      <x:c r="B279" s="2" t="str">
        <x:v>博多</x:v>
      </x:c>
      <x:c r="C279" s="2" t="str">
        <x:v>福岡県</x:v>
      </x:c>
      <x:c r="D279" s="8" t="n">
        <x:v>3056750</x:v>
      </x:c>
      <x:c r="E279" s="8" t="n">
        <x:v>718083</x:v>
      </x:c>
      <x:c r="F279" s="8" t="n">
        <x:v>832056</x:v>
      </x:c>
      <x:c r="G279" s="8" t="n">
        <x:v>523195</x:v>
      </x:c>
      <x:c r="H279" s="8" t="n">
        <x:v>983416</x:v>
      </x:c>
      <x:c r="I279" s="8" t="n">
        <x:v>81048</x:v>
      </x:c>
      <x:c r="J279" s="8" t="n">
        <x:v>33141</x:v>
      </x:c>
      <x:c r="K279" s="8" t="n">
        <x:v>34310</x:v>
      </x:c>
      <x:c r="L279" s="8" t="n">
        <x:v>6412</x:v>
      </x:c>
      <x:c r="M279" s="8" t="n">
        <x:v>7185</x:v>
      </x:c>
      <x:c r="N279" s="8" t="n">
        <x:v>0</x:v>
      </x:c>
      <x:c r="O279" s="8" t="n">
        <x:v>0</x:v>
      </x:c>
      <x:c r="P279" s="8" t="n">
        <x:v>1456</x:v>
      </x:c>
      <x:c r="Q279" s="8" t="n">
        <x:v>1551</x:v>
      </x:c>
      <x:c r="R279" s="8" t="n">
        <x:v>3007</x:v>
      </x:c>
      <x:c r="S279" s="8" t="n">
        <x:v>1633</x:v>
      </x:c>
      <x:c r="T279" s="8" t="n">
        <x:v>279</x:v>
      </x:c>
      <x:c r="U279" s="2" t="str">
        <x:v>2025年12月25日現在</x:v>
      </x:c>
      <x:c r="V279" s="2" t="str">
        <x:v>2025-12-25</x:v>
      </x:c>
      <x:c r="W279" s="2" t="str">
        <x:v>https://www.e-stat.go.jp/stat-search/file-download?statInfId=000040146718&amp;fileKind=0</x:v>
      </x:c>
      <x:c r="X279" s="2" t="str">
        <x:v>海上出入貨物!745行、コンテナ個数!130行</x:v>
      </x:c>
      <x:c r="Y279" s="2" t="str">
        <x:v>取得済</x:v>
      </x:c>
      <x:c r="Z279" s="9" t="n">
        <x:f>IF(AND(ISNUMBER(E279),COUNTIFS($A$2:$A$477,EDATE(A279,-12),$B$2:$B$477,B279,$E$2:$E$477,"&gt;0")=1),E279/SUMIFS($E$2:$E$477,$A$2:$A$477,EDATE(A279,-12),$B$2:$B$477,B279)-1,"")</x:f>
        <x:v>0.0022485177369109266</x:v>
      </x:c>
      <x:c r="AA279" s="10" t="n">
        <x:f>IF(COUNTIFS($A$2:$A$477,"&gt;="&amp;EDATE(A279,-2),$A$2:$A$477,"&lt;="&amp;A279,$B$2:$B$477,B279,$E$2:$E$477,"&gt;=0")=3,SUMIFS($E$2:$E$477,$A$2:$A$477,"&gt;="&amp;EDATE(A279,-2),$A$2:$A$477,"&lt;="&amp;A279,$B$2:$B$477,B279)/3,"")</x:f>
        <x:v>726343</x:v>
      </x:c>
      <x:c r="AB279" s="9" t="n">
        <x:f>IF(AND(ISNUMBER(J279),COUNTIFS($A$2:$A$477,EDATE(A279,-12),$B$2:$B$477,B279,$J$2:$J$477,"&gt;0")=1),J279/SUMIFS($J$2:$J$477,$A$2:$A$477,EDATE(A279,-12),$B$2:$B$477,B279)-1,"")</x:f>
        <x:v>-0.08659702891161147</x:v>
      </x:c>
    </x:row>
    <x:row r="280" ht="21" customHeight="1">
      <x:c r="A280" s="7" t="n">
        <x:v>45383</x:v>
      </x:c>
      <x:c r="B280" s="2" t="str">
        <x:v>熊本</x:v>
      </x:c>
      <x:c r="C280" s="2" t="str">
        <x:v>熊本県</x:v>
      </x:c>
      <x:c r="D280" s="8" t="n">
        <x:v>298199</x:v>
      </x:c>
      <x:c r="E280" s="8" t="n">
        <x:v>3393</x:v>
      </x:c>
      <x:c r="F280" s="8" t="n">
        <x:v>4769</x:v>
      </x:c>
      <x:c r="G280" s="8" t="n">
        <x:v>115283</x:v>
      </x:c>
      <x:c r="H280" s="8" t="n">
        <x:v>174754</x:v>
      </x:c>
      <x:c r="I280" s="8" t="n">
        <x:v>1118</x:v>
      </x:c>
      <x:c r="J280" s="8" t="n">
        <x:v>251</x:v>
      </x:c>
      <x:c r="K280" s="8" t="n">
        <x:v>258</x:v>
      </x:c>
      <x:c r="L280" s="8" t="n">
        <x:v>301</x:v>
      </x:c>
      <x:c r="M280" s="8" t="n">
        <x:v>308</x:v>
      </x:c>
      <x:c r="N280" s="8" t="n">
        <x:v>0</x:v>
      </x:c>
      <x:c r="O280" s="8" t="n">
        <x:v>0</x:v>
      </x:c>
      <x:c r="P280" s="8" t="n">
        <x:v>679</x:v>
      </x:c>
      <x:c r="Q280" s="8" t="n">
        <x:v>686</x:v>
      </x:c>
      <x:c r="R280" s="8" t="n">
        <x:v>1365</x:v>
      </x:c>
      <x:c r="S280" s="8" t="n">
        <x:v>33</x:v>
      </x:c>
      <x:c r="T280" s="8" t="n">
        <x:v>8</x:v>
      </x:c>
      <x:c r="U280" s="2" t="str">
        <x:v>2025年12月25日現在</x:v>
      </x:c>
      <x:c r="V280" s="2" t="str">
        <x:v>2025-12-25</x:v>
      </x:c>
      <x:c r="W280" s="2" t="str">
        <x:v>https://www.e-stat.go.jp/stat-search/file-download?statInfId=000040146718&amp;fileKind=0</x:v>
      </x:c>
      <x:c r="X280" s="2" t="str">
        <x:v>海上出入貨物!859行、コンテナ個数!149行</x:v>
      </x:c>
      <x:c r="Y280" s="2" t="str">
        <x:v>取得済</x:v>
      </x:c>
      <x:c r="Z280" s="9" t="n">
        <x:f>IF(AND(ISNUMBER(E280),COUNTIFS($A$2:$A$477,EDATE(A280,-12),$B$2:$B$477,B280,$E$2:$E$477,"&gt;0")=1),E280/SUMIFS($E$2:$E$477,$A$2:$A$477,EDATE(A280,-12),$B$2:$B$477,B280)-1,"")</x:f>
        <x:v>-0.3287833827893175</x:v>
      </x:c>
      <x:c r="AA280" s="10" t="n">
        <x:f>IF(COUNTIFS($A$2:$A$477,"&gt;="&amp;EDATE(A280,-2),$A$2:$A$477,"&lt;="&amp;A280,$B$2:$B$477,B280,$E$2:$E$477,"&gt;=0")=3,SUMIFS($E$2:$E$477,$A$2:$A$477,"&gt;="&amp;EDATE(A280,-2),$A$2:$A$477,"&lt;="&amp;A280,$B$2:$B$477,B280)/3,"")</x:f>
        <x:v>4321</x:v>
      </x:c>
      <x:c r="AB280" s="9" t="n">
        <x:f>IF(AND(ISNUMBER(J280),COUNTIFS($A$2:$A$477,EDATE(A280,-12),$B$2:$B$477,B280,$J$2:$J$477,"&gt;0")=1),J280/SUMIFS($J$2:$J$477,$A$2:$A$477,EDATE(A280,-12),$B$2:$B$477,B280)-1,"")</x:f>
        <x:v>-0.15488215488215484</x:v>
      </x:c>
    </x:row>
    <x:row r="281" ht="21" customHeight="1">
      <x:c r="A281" s="7" t="n">
        <x:v>45383</x:v>
      </x:c>
      <x:c r="B281" s="2" t="str">
        <x:v>八代</x:v>
      </x:c>
      <x:c r="C281" s="2" t="str">
        <x:v>熊本県</x:v>
      </x:c>
      <x:c r="D281" s="8" t="n">
        <x:v>347470</x:v>
      </x:c>
      <x:c r="E281" s="8" t="n">
        <x:v>34027</x:v>
      </x:c>
      <x:c r="F281" s="8" t="n">
        <x:v>135454</x:v>
      </x:c>
      <x:c r="G281" s="8" t="n">
        <x:v>16803</x:v>
      </x:c>
      <x:c r="H281" s="8" t="n">
        <x:v>161186</x:v>
      </x:c>
      <x:c r="I281" s="8" t="n">
        <x:v>2589</x:v>
      </x:c>
      <x:c r="J281" s="8" t="n">
        <x:v>1175</x:v>
      </x:c>
      <x:c r="K281" s="8" t="n">
        <x:v>883</x:v>
      </x:c>
      <x:c r="L281" s="8" t="n">
        <x:v>39</x:v>
      </x:c>
      <x:c r="M281" s="8" t="n">
        <x:v>492</x:v>
      </x:c>
      <x:c r="N281" s="8" t="n">
        <x:v>0</x:v>
      </x:c>
      <x:c r="O281" s="8" t="n">
        <x:v>0</x:v>
      </x:c>
      <x:c r="P281" s="8" t="n">
        <x:v>0</x:v>
      </x:c>
      <x:c r="Q281" s="8" t="n">
        <x:v>0</x:v>
      </x:c>
      <x:c r="R281" s="8" t="n">
        <x:v>0</x:v>
      </x:c>
      <x:c r="S281" s="8" t="n">
        <x:v>241</x:v>
      </x:c>
      <x:c r="T281" s="8" t="n">
        <x:v>36</x:v>
      </x:c>
      <x:c r="U281" s="2" t="str">
        <x:v>2025年12月25日現在</x:v>
      </x:c>
      <x:c r="V281" s="2" t="str">
        <x:v>2025-12-25</x:v>
      </x:c>
      <x:c r="W281" s="2" t="str">
        <x:v>https://www.e-stat.go.jp/stat-search/file-download?statInfId=000040146718&amp;fileKind=0</x:v>
      </x:c>
      <x:c r="X281" s="2" t="str">
        <x:v>海上出入貨物!847行、コンテナ個数!147行</x:v>
      </x:c>
      <x:c r="Y281" s="2" t="str">
        <x:v>取得済</x:v>
      </x:c>
      <x:c r="Z281" s="9" t="n">
        <x:f>IF(AND(ISNUMBER(E281),COUNTIFS($A$2:$A$477,EDATE(A281,-12),$B$2:$B$477,B281,$E$2:$E$477,"&gt;0")=1),E281/SUMIFS($E$2:$E$477,$A$2:$A$477,EDATE(A281,-12),$B$2:$B$477,B281)-1,"")</x:f>
        <x:v>0.5611580106441549</x:v>
      </x:c>
      <x:c r="AA281" s="10" t="n">
        <x:f>IF(COUNTIFS($A$2:$A$477,"&gt;="&amp;EDATE(A281,-2),$A$2:$A$477,"&lt;="&amp;A281,$B$2:$B$477,B281,$E$2:$E$477,"&gt;=0")=3,SUMIFS($E$2:$E$477,$A$2:$A$477,"&gt;="&amp;EDATE(A281,-2),$A$2:$A$477,"&lt;="&amp;A281,$B$2:$B$477,B281)/3,"")</x:f>
        <x:v>26455.666666666668</x:v>
      </x:c>
      <x:c r="AB281" s="9" t="n">
        <x:f>IF(AND(ISNUMBER(J281),COUNTIFS($A$2:$A$477,EDATE(A281,-12),$B$2:$B$477,B281,$J$2:$J$477,"&gt;0")=1),J281/SUMIFS($J$2:$J$477,$A$2:$A$477,EDATE(A281,-12),$B$2:$B$477,B281)-1,"")</x:f>
        <x:v>0.2912087912087913</x:v>
      </x:c>
    </x:row>
    <x:row r="282" ht="21" customHeight="1">
      <x:c r="A282" s="7" t="n">
        <x:v>45413</x:v>
      </x:c>
      <x:c r="B282" s="2" t="str">
        <x:v>仙台塩釜</x:v>
      </x:c>
      <x:c r="C282" s="2" t="str">
        <x:v>宮城県</x:v>
      </x:c>
      <x:c r="D282" s="8" t="n">
        <x:v>3409297</x:v>
      </x:c>
      <x:c r="E282" s="8" t="n">
        <x:v>165514</x:v>
      </x:c>
      <x:c r="F282" s="8" t="n">
        <x:v>977378</x:v>
      </x:c>
      <x:c r="G282" s="8" t="n">
        <x:v>1176376</x:v>
      </x:c>
      <x:c r="H282" s="8" t="n">
        <x:v>1090029</x:v>
      </x:c>
      <x:c r="I282" s="8" t="n">
        <x:v>20481</x:v>
      </x:c>
      <x:c r="J282" s="8" t="n">
        <x:v>5794</x:v>
      </x:c>
      <x:c r="K282" s="8" t="n">
        <x:v>5758</x:v>
      </x:c>
      <x:c r="L282" s="8" t="n">
        <x:v>4357</x:v>
      </x:c>
      <x:c r="M282" s="8" t="n">
        <x:v>4572</x:v>
      </x:c>
      <x:c r="N282" s="8" t="n">
        <x:v>0</x:v>
      </x:c>
      <x:c r="O282" s="8" t="n">
        <x:v>0</x:v>
      </x:c>
      <x:c r="P282" s="8" t="n">
        <x:v>629</x:v>
      </x:c>
      <x:c r="Q282" s="8" t="n">
        <x:v>640</x:v>
      </x:c>
      <x:c r="R282" s="8" t="n">
        <x:v>1269</x:v>
      </x:c>
      <x:c r="S282" s="8" t="n">
        <x:v>2210</x:v>
      </x:c>
      <x:c r="T282" s="8" t="n">
        <x:v>86</x:v>
      </x:c>
      <x:c r="U282" s="2" t="str">
        <x:v>2025年12月25日現在</x:v>
      </x:c>
      <x:c r="V282" s="2" t="str">
        <x:v>2025-12-25</x:v>
      </x:c>
      <x:c r="W282" s="2" t="str">
        <x:v>https://www.e-stat.go.jp/stat-search/file-download?statInfId=000040146718&amp;fileKind=0</x:v>
      </x:c>
      <x:c r="X282" s="2" t="str">
        <x:v>海上出入貨物!139行、コンテナ個数!29行</x:v>
      </x:c>
      <x:c r="Y282" s="2" t="str">
        <x:v>取得済</x:v>
      </x:c>
      <x:c r="Z282" s="9" t="n">
        <x:f>IF(AND(ISNUMBER(E282),COUNTIFS($A$2:$A$477,EDATE(A282,-12),$B$2:$B$477,B282,$E$2:$E$477,"&gt;0")=1),E282/SUMIFS($E$2:$E$477,$A$2:$A$477,EDATE(A282,-12),$B$2:$B$477,B282)-1,"")</x:f>
        <x:v>0.3528243438743901</x:v>
      </x:c>
      <x:c r="AA282" s="10" t="n">
        <x:f>IF(COUNTIFS($A$2:$A$477,"&gt;="&amp;EDATE(A282,-2),$A$2:$A$477,"&lt;="&amp;A282,$B$2:$B$477,B282,$E$2:$E$477,"&gt;=0")=3,SUMIFS($E$2:$E$477,$A$2:$A$477,"&gt;="&amp;EDATE(A282,-2),$A$2:$A$477,"&lt;="&amp;A282,$B$2:$B$477,B282)/3,"")</x:f>
        <x:v>165562</x:v>
      </x:c>
      <x:c r="AB282" s="9" t="n">
        <x:f>IF(AND(ISNUMBER(J282),COUNTIFS($A$2:$A$477,EDATE(A282,-12),$B$2:$B$477,B282,$J$2:$J$477,"&gt;0")=1),J282/SUMIFS($J$2:$J$477,$A$2:$A$477,EDATE(A282,-12),$B$2:$B$477,B282)-1,"")</x:f>
        <x:v>0.1740628166160081</x:v>
      </x:c>
    </x:row>
    <x:row r="283" ht="21" customHeight="1">
      <x:c r="A283" s="7" t="n">
        <x:v>45413</x:v>
      </x:c>
      <x:c r="B283" s="2" t="str">
        <x:v>東京</x:v>
      </x:c>
      <x:c r="C283" s="2" t="str">
        <x:v>東京都</x:v>
      </x:c>
      <x:c r="D283" s="8" t="n">
        <x:v>6705643</x:v>
      </x:c>
      <x:c r="E283" s="8" t="n">
        <x:v>847421</x:v>
      </x:c>
      <x:c r="F283" s="8" t="n">
        <x:v>2851723</x:v>
      </x:c>
      <x:c r="G283" s="8" t="n">
        <x:v>1099846</x:v>
      </x:c>
      <x:c r="H283" s="8" t="n">
        <x:v>1906653</x:v>
      </x:c>
      <x:c r="I283" s="8" t="n">
        <x:v>384433</x:v>
      </x:c>
      <x:c r="J283" s="8" t="n">
        <x:v>153589</x:v>
      </x:c>
      <x:c r="K283" s="8" t="n">
        <x:v>189371</x:v>
      </x:c>
      <x:c r="L283" s="8" t="n">
        <x:v>30415</x:v>
      </x:c>
      <x:c r="M283" s="8" t="n">
        <x:v>11058</x:v>
      </x:c>
      <x:c r="N283" s="8" t="n">
        <x:v>0</x:v>
      </x:c>
      <x:c r="O283" s="8" t="n">
        <x:v>0</x:v>
      </x:c>
      <x:c r="P283" s="8" t="n">
        <x:v>419</x:v>
      </x:c>
      <x:c r="Q283" s="8" t="n">
        <x:v>195</x:v>
      </x:c>
      <x:c r="R283" s="8" t="n">
        <x:v>614</x:v>
      </x:c>
      <x:c r="S283" s="8" t="n">
        <x:v>1615</x:v>
      </x:c>
      <x:c r="T283" s="8" t="n">
        <x:v>414</x:v>
      </x:c>
      <x:c r="U283" s="2" t="str">
        <x:v>2025年12月25日現在</x:v>
      </x:c>
      <x:c r="V283" s="2" t="str">
        <x:v>2025-12-25</x:v>
      </x:c>
      <x:c r="W283" s="2" t="str">
        <x:v>https://www.e-stat.go.jp/stat-search/file-download?statInfId=000040146718&amp;fileKind=0</x:v>
      </x:c>
      <x:c r="X283" s="2" t="str">
        <x:v>海上出入貨物!205行、コンテナ個数!40行</x:v>
      </x:c>
      <x:c r="Y283" s="2" t="str">
        <x:v>取得済</x:v>
      </x:c>
      <x:c r="Z283" s="9" t="n">
        <x:f>IF(AND(ISNUMBER(E283),COUNTIFS($A$2:$A$477,EDATE(A283,-12),$B$2:$B$477,B283,$E$2:$E$477,"&gt;0")=1),E283/SUMIFS($E$2:$E$477,$A$2:$A$477,EDATE(A283,-12),$B$2:$B$477,B283)-1,"")</x:f>
        <x:v>-0.02174864157569134</x:v>
      </x:c>
      <x:c r="AA283" s="10" t="n">
        <x:f>IF(COUNTIFS($A$2:$A$477,"&gt;="&amp;EDATE(A283,-2),$A$2:$A$477,"&lt;="&amp;A283,$B$2:$B$477,B283,$E$2:$E$477,"&gt;=0")=3,SUMIFS($E$2:$E$477,$A$2:$A$477,"&gt;="&amp;EDATE(A283,-2),$A$2:$A$477,"&lt;="&amp;A283,$B$2:$B$477,B283)/3,"")</x:f>
        <x:v>940019</x:v>
      </x:c>
      <x:c r="AB283" s="9" t="n">
        <x:f>IF(AND(ISNUMBER(J283),COUNTIFS($A$2:$A$477,EDATE(A283,-12),$B$2:$B$477,B283,$J$2:$J$477,"&gt;0")=1),J283/SUMIFS($J$2:$J$477,$A$2:$A$477,EDATE(A283,-12),$B$2:$B$477,B283)-1,"")</x:f>
        <x:v>-0.007643501408523545</x:v>
      </x:c>
    </x:row>
    <x:row r="284" ht="21" customHeight="1">
      <x:c r="A284" s="7" t="n">
        <x:v>45413</x:v>
      </x:c>
      <x:c r="B284" s="2" t="str">
        <x:v>横浜</x:v>
      </x:c>
      <x:c r="C284" s="2" t="str">
        <x:v>神奈川県</x:v>
      </x:c>
      <x:c r="D284" s="8" t="n">
        <x:v>8265583</x:v>
      </x:c>
      <x:c r="E284" s="8" t="n">
        <x:v>2228812</x:v>
      </x:c>
      <x:c r="F284" s="8" t="n">
        <x:v>3419405</x:v>
      </x:c>
      <x:c r="G284" s="8" t="n">
        <x:v>977013</x:v>
      </x:c>
      <x:c r="H284" s="8" t="n">
        <x:v>1640353</x:v>
      </x:c>
      <x:c r="I284" s="8" t="n">
        <x:v>249527</x:v>
      </x:c>
      <x:c r="J284" s="8" t="n">
        <x:v>118836</x:v>
      </x:c>
      <x:c r="K284" s="8" t="n">
        <x:v>106600</x:v>
      </x:c>
      <x:c r="L284" s="8" t="n">
        <x:v>9572</x:v>
      </x:c>
      <x:c r="M284" s="8" t="n">
        <x:v>14519</x:v>
      </x:c>
      <x:c r="N284" s="8" t="n">
        <x:v>0</x:v>
      </x:c>
      <x:c r="O284" s="8" t="n">
        <x:v>0</x:v>
      </x:c>
      <x:c r="P284" s="8" t="n">
        <x:v>0</x:v>
      </x:c>
      <x:c r="Q284" s="8" t="n">
        <x:v>0</x:v>
      </x:c>
      <x:c r="R284" s="8" t="n">
        <x:v>0</x:v>
      </x:c>
      <x:c r="S284" s="8" t="n">
        <x:v>1948</x:v>
      </x:c>
      <x:c r="T284" s="8" t="n">
        <x:v>702</x:v>
      </x:c>
      <x:c r="U284" s="2" t="str">
        <x:v>2025年12月25日現在</x:v>
      </x:c>
      <x:c r="V284" s="2" t="str">
        <x:v>2025-12-25</x:v>
      </x:c>
      <x:c r="W284" s="2" t="str">
        <x:v>https://www.e-stat.go.jp/stat-search/file-download?statInfId=000040146718&amp;fileKind=0</x:v>
      </x:c>
      <x:c r="X284" s="2" t="str">
        <x:v>海上出入貨物!217行、コンテナ個数!42行</x:v>
      </x:c>
      <x:c r="Y284" s="2" t="str">
        <x:v>取得済</x:v>
      </x:c>
      <x:c r="Z284" s="9" t="n">
        <x:f>IF(AND(ISNUMBER(E284),COUNTIFS($A$2:$A$477,EDATE(A284,-12),$B$2:$B$477,B284,$E$2:$E$477,"&gt;0")=1),E284/SUMIFS($E$2:$E$477,$A$2:$A$477,EDATE(A284,-12),$B$2:$B$477,B284)-1,"")</x:f>
        <x:v>-0.012987680126121504</x:v>
      </x:c>
      <x:c r="AA284" s="10" t="n">
        <x:f>IF(COUNTIFS($A$2:$A$477,"&gt;="&amp;EDATE(A284,-2),$A$2:$A$477,"&lt;="&amp;A284,$B$2:$B$477,B284,$E$2:$E$477,"&gt;=0")=3,SUMIFS($E$2:$E$477,$A$2:$A$477,"&gt;="&amp;EDATE(A284,-2),$A$2:$A$477,"&lt;="&amp;A284,$B$2:$B$477,B284)/3,"")</x:f>
        <x:v>2415025</x:v>
      </x:c>
      <x:c r="AB284" s="9" t="n">
        <x:f>IF(AND(ISNUMBER(J284),COUNTIFS($A$2:$A$477,EDATE(A284,-12),$B$2:$B$477,B284,$J$2:$J$477,"&gt;0")=1),J284/SUMIFS($J$2:$J$477,$A$2:$A$477,EDATE(A284,-12),$B$2:$B$477,B284)-1,"")</x:f>
        <x:v>0.05516635145574167</x:v>
      </x:c>
    </x:row>
    <x:row r="285" ht="21" customHeight="1">
      <x:c r="A285" s="7" t="n">
        <x:v>45413</x:v>
      </x:c>
      <x:c r="B285" s="2" t="str">
        <x:v>清水</x:v>
      </x:c>
      <x:c r="C285" s="2" t="str">
        <x:v>静岡県</x:v>
      </x:c>
      <x:c r="D285" s="8" t="n">
        <x:v>1317065</x:v>
      </x:c>
      <x:c r="E285" s="8" t="n">
        <x:v>261564</x:v>
      </x:c>
      <x:c r="F285" s="8" t="n">
        <x:v>568463</x:v>
      </x:c>
      <x:c r="G285" s="8" t="n">
        <x:v>144379</x:v>
      </x:c>
      <x:c r="H285" s="8" t="n">
        <x:v>342659</x:v>
      </x:c>
      <x:c r="I285" s="8" t="n">
        <x:v>42471</x:v>
      </x:c>
      <x:c r="J285" s="8" t="n">
        <x:v>17243</x:v>
      </x:c>
      <x:c r="K285" s="8" t="n">
        <x:v>17582</x:v>
      </x:c>
      <x:c r="L285" s="8" t="n">
        <x:v>3893</x:v>
      </x:c>
      <x:c r="M285" s="8" t="n">
        <x:v>3753</x:v>
      </x:c>
      <x:c r="N285" s="8" t="n">
        <x:v>0</x:v>
      </x:c>
      <x:c r="O285" s="8" t="n">
        <x:v>0</x:v>
      </x:c>
      <x:c r="P285" s="8" t="n">
        <x:v>4</x:v>
      </x:c>
      <x:c r="Q285" s="8" t="n">
        <x:v>2</x:v>
      </x:c>
      <x:c r="R285" s="8" t="n">
        <x:v>6</x:v>
      </x:c>
      <x:c r="S285" s="8" t="n">
        <x:v>443</x:v>
      </x:c>
      <x:c r="T285" s="8" t="n">
        <x:v>138</x:v>
      </x:c>
      <x:c r="U285" s="2" t="str">
        <x:v>2025年12月25日現在</x:v>
      </x:c>
      <x:c r="V285" s="2" t="str">
        <x:v>2025-12-25</x:v>
      </x:c>
      <x:c r="W285" s="2" t="str">
        <x:v>https://www.e-stat.go.jp/stat-search/file-download?statInfId=000040146718&amp;fileKind=0</x:v>
      </x:c>
      <x:c r="X285" s="2" t="str">
        <x:v>海上出入貨物!313行、コンテナ個数!58行</x:v>
      </x:c>
      <x:c r="Y285" s="2" t="str">
        <x:v>取得済</x:v>
      </x:c>
      <x:c r="Z285" s="9" t="n">
        <x:f>IF(AND(ISNUMBER(E285),COUNTIFS($A$2:$A$477,EDATE(A285,-12),$B$2:$B$477,B285,$E$2:$E$477,"&gt;0")=1),E285/SUMIFS($E$2:$E$477,$A$2:$A$477,EDATE(A285,-12),$B$2:$B$477,B285)-1,"")</x:f>
        <x:v>0.053245336050028014</x:v>
      </x:c>
      <x:c r="AA285" s="10" t="n">
        <x:f>IF(COUNTIFS($A$2:$A$477,"&gt;="&amp;EDATE(A285,-2),$A$2:$A$477,"&lt;="&amp;A285,$B$2:$B$477,B285,$E$2:$E$477,"&gt;=0")=3,SUMIFS($E$2:$E$477,$A$2:$A$477,"&gt;="&amp;EDATE(A285,-2),$A$2:$A$477,"&lt;="&amp;A285,$B$2:$B$477,B285)/3,"")</x:f>
        <x:v>258349.33333333334</x:v>
      </x:c>
      <x:c r="AB285" s="9" t="n">
        <x:f>IF(AND(ISNUMBER(J285),COUNTIFS($A$2:$A$477,EDATE(A285,-12),$B$2:$B$477,B285,$J$2:$J$477,"&gt;0")=1),J285/SUMIFS($J$2:$J$477,$A$2:$A$477,EDATE(A285,-12),$B$2:$B$477,B285)-1,"")</x:f>
        <x:v>0.10045312400280815</x:v>
      </x:c>
    </x:row>
    <x:row r="286" ht="21" customHeight="1">
      <x:c r="A286" s="7" t="n">
        <x:v>45413</x:v>
      </x:c>
      <x:c r="B286" s="2" t="str">
        <x:v>博多</x:v>
      </x:c>
      <x:c r="C286" s="2" t="str">
        <x:v>福岡県</x:v>
      </x:c>
      <x:c r="D286" s="8" t="n">
        <x:v>2976172</x:v>
      </x:c>
      <x:c r="E286" s="8" t="n">
        <x:v>735936</x:v>
      </x:c>
      <x:c r="F286" s="8" t="n">
        <x:v>884539</x:v>
      </x:c>
      <x:c r="G286" s="8" t="n">
        <x:v>451618</x:v>
      </x:c>
      <x:c r="H286" s="8" t="n">
        <x:v>904079</x:v>
      </x:c>
      <x:c r="I286" s="8" t="n">
        <x:v>81781</x:v>
      </x:c>
      <x:c r="J286" s="8" t="n">
        <x:v>35338</x:v>
      </x:c>
      <x:c r="K286" s="8" t="n">
        <x:v>34905</x:v>
      </x:c>
      <x:c r="L286" s="8" t="n">
        <x:v>5292</x:v>
      </x:c>
      <x:c r="M286" s="8" t="n">
        <x:v>6246</x:v>
      </x:c>
      <x:c r="N286" s="8" t="n">
        <x:v>0</x:v>
      </x:c>
      <x:c r="O286" s="8" t="n">
        <x:v>0</x:v>
      </x:c>
      <x:c r="P286" s="8" t="n">
        <x:v>1802</x:v>
      </x:c>
      <x:c r="Q286" s="8" t="n">
        <x:v>1875</x:v>
      </x:c>
      <x:c r="R286" s="8" t="n">
        <x:v>3677</x:v>
      </x:c>
      <x:c r="S286" s="8" t="n">
        <x:v>1630</x:v>
      </x:c>
      <x:c r="T286" s="8" t="n">
        <x:v>283</x:v>
      </x:c>
      <x:c r="U286" s="2" t="str">
        <x:v>2025年12月25日現在</x:v>
      </x:c>
      <x:c r="V286" s="2" t="str">
        <x:v>2025-12-25</x:v>
      </x:c>
      <x:c r="W286" s="2" t="str">
        <x:v>https://www.e-stat.go.jp/stat-search/file-download?statInfId=000040146718&amp;fileKind=0</x:v>
      </x:c>
      <x:c r="X286" s="2" t="str">
        <x:v>海上出入貨物!745行、コンテナ個数!130行</x:v>
      </x:c>
      <x:c r="Y286" s="2" t="str">
        <x:v>取得済</x:v>
      </x:c>
      <x:c r="Z286" s="9" t="n">
        <x:f>IF(AND(ISNUMBER(E286),COUNTIFS($A$2:$A$477,EDATE(A286,-12),$B$2:$B$477,B286,$E$2:$E$477,"&gt;0")=1),E286/SUMIFS($E$2:$E$477,$A$2:$A$477,EDATE(A286,-12),$B$2:$B$477,B286)-1,"")</x:f>
        <x:v>0.040062861439142505</x:v>
      </x:c>
      <x:c r="AA286" s="10" t="n">
        <x:f>IF(COUNTIFS($A$2:$A$477,"&gt;="&amp;EDATE(A286,-2),$A$2:$A$477,"&lt;="&amp;A286,$B$2:$B$477,B286,$E$2:$E$477,"&gt;=0")=3,SUMIFS($E$2:$E$477,$A$2:$A$477,"&gt;="&amp;EDATE(A286,-2),$A$2:$A$477,"&lt;="&amp;A286,$B$2:$B$477,B286)/3,"")</x:f>
        <x:v>752948</x:v>
      </x:c>
      <x:c r="AB286" s="9" t="n">
        <x:f>IF(AND(ISNUMBER(J286),COUNTIFS($A$2:$A$477,EDATE(A286,-12),$B$2:$B$477,B286,$J$2:$J$477,"&gt;0")=1),J286/SUMIFS($J$2:$J$477,$A$2:$A$477,EDATE(A286,-12),$B$2:$B$477,B286)-1,"")</x:f>
        <x:v>0.003293396172846519</x:v>
      </x:c>
    </x:row>
    <x:row r="287" ht="21" customHeight="1">
      <x:c r="A287" s="7" t="n">
        <x:v>45413</x:v>
      </x:c>
      <x:c r="B287" s="2" t="str">
        <x:v>熊本</x:v>
      </x:c>
      <x:c r="C287" s="2" t="str">
        <x:v>熊本県</x:v>
      </x:c>
      <x:c r="D287" s="8" t="n">
        <x:v>355783</x:v>
      </x:c>
      <x:c r="E287" s="8" t="n">
        <x:v>3068</x:v>
      </x:c>
      <x:c r="F287" s="8" t="n">
        <x:v>4066</x:v>
      </x:c>
      <x:c r="G287" s="8" t="n">
        <x:v>149385</x:v>
      </x:c>
      <x:c r="H287" s="8" t="n">
        <x:v>199264</x:v>
      </x:c>
      <x:c r="I287" s="8" t="n">
        <x:v>858</x:v>
      </x:c>
      <x:c r="J287" s="8" t="n">
        <x:v>218</x:v>
      </x:c>
      <x:c r="K287" s="8" t="n">
        <x:v>219</x:v>
      </x:c>
      <x:c r="L287" s="8" t="n">
        <x:v>204</x:v>
      </x:c>
      <x:c r="M287" s="8" t="n">
        <x:v>217</x:v>
      </x:c>
      <x:c r="N287" s="8" t="n">
        <x:v>0</x:v>
      </x:c>
      <x:c r="O287" s="8" t="n">
        <x:v>0</x:v>
      </x:c>
      <x:c r="P287" s="8" t="n">
        <x:v>646</x:v>
      </x:c>
      <x:c r="Q287" s="8" t="n">
        <x:v>657</x:v>
      </x:c>
      <x:c r="R287" s="8" t="n">
        <x:v>1303</x:v>
      </x:c>
      <x:c r="S287" s="8" t="n">
        <x:v>45</x:v>
      </x:c>
      <x:c r="T287" s="8" t="n">
        <x:v>8</x:v>
      </x:c>
      <x:c r="U287" s="2" t="str">
        <x:v>2025年12月25日現在</x:v>
      </x:c>
      <x:c r="V287" s="2" t="str">
        <x:v>2025-12-25</x:v>
      </x:c>
      <x:c r="W287" s="2" t="str">
        <x:v>https://www.e-stat.go.jp/stat-search/file-download?statInfId=000040146718&amp;fileKind=0</x:v>
      </x:c>
      <x:c r="X287" s="2" t="str">
        <x:v>海上出入貨物!859行、コンテナ個数!149行</x:v>
      </x:c>
      <x:c r="Y287" s="2" t="str">
        <x:v>取得済</x:v>
      </x:c>
      <x:c r="Z287" s="9" t="n">
        <x:f>IF(AND(ISNUMBER(E287),COUNTIFS($A$2:$A$477,EDATE(A287,-12),$B$2:$B$477,B287,$E$2:$E$477,"&gt;0")=1),E287/SUMIFS($E$2:$E$477,$A$2:$A$477,EDATE(A287,-12),$B$2:$B$477,B287)-1,"")</x:f>
        <x:v>-0.5945553059336592</x:v>
      </x:c>
      <x:c r="AA287" s="10" t="n">
        <x:f>IF(COUNTIFS($A$2:$A$477,"&gt;="&amp;EDATE(A287,-2),$A$2:$A$477,"&lt;="&amp;A287,$B$2:$B$477,B287,$E$2:$E$477,"&gt;=0")=3,SUMIFS($E$2:$E$477,$A$2:$A$477,"&gt;="&amp;EDATE(A287,-2),$A$2:$A$477,"&lt;="&amp;A287,$B$2:$B$477,B287)/3,"")</x:f>
        <x:v>4060.3333333333335</x:v>
      </x:c>
      <x:c r="AB287" s="9" t="n">
        <x:f>IF(AND(ISNUMBER(J287),COUNTIFS($A$2:$A$477,EDATE(A287,-12),$B$2:$B$477,B287,$J$2:$J$477,"&gt;0")=1),J287/SUMIFS($J$2:$J$477,$A$2:$A$477,EDATE(A287,-12),$B$2:$B$477,B287)-1,"")</x:f>
        <x:v>-0.4139784946236559</x:v>
      </x:c>
    </x:row>
    <x:row r="288" ht="21" customHeight="1">
      <x:c r="A288" s="7" t="n">
        <x:v>45413</x:v>
      </x:c>
      <x:c r="B288" s="2" t="str">
        <x:v>八代</x:v>
      </x:c>
      <x:c r="C288" s="2" t="str">
        <x:v>熊本県</x:v>
      </x:c>
      <x:c r="D288" s="8" t="n">
        <x:v>374602</x:v>
      </x:c>
      <x:c r="E288" s="8" t="n">
        <x:v>22806</x:v>
      </x:c>
      <x:c r="F288" s="8" t="n">
        <x:v>182447</x:v>
      </x:c>
      <x:c r="G288" s="8" t="n">
        <x:v>24631</x:v>
      </x:c>
      <x:c r="H288" s="8" t="n">
        <x:v>144718</x:v>
      </x:c>
      <x:c r="I288" s="8" t="n">
        <x:v>2001</x:v>
      </x:c>
      <x:c r="J288" s="8" t="n">
        <x:v>927</x:v>
      </x:c>
      <x:c r="K288" s="8" t="n">
        <x:v>844</x:v>
      </x:c>
      <x:c r="L288" s="8" t="n">
        <x:v>54</x:v>
      </x:c>
      <x:c r="M288" s="8" t="n">
        <x:v>176</x:v>
      </x:c>
      <x:c r="N288" s="8" t="n">
        <x:v>0</x:v>
      </x:c>
      <x:c r="O288" s="8" t="n">
        <x:v>0</x:v>
      </x:c>
      <x:c r="P288" s="8" t="n">
        <x:v>0</x:v>
      </x:c>
      <x:c r="Q288" s="8" t="n">
        <x:v>0</x:v>
      </x:c>
      <x:c r="R288" s="8" t="n">
        <x:v>0</x:v>
      </x:c>
      <x:c r="S288" s="8" t="n">
        <x:v>201</x:v>
      </x:c>
      <x:c r="T288" s="8" t="n">
        <x:v>36</x:v>
      </x:c>
      <x:c r="U288" s="2" t="str">
        <x:v>2025年12月25日現在</x:v>
      </x:c>
      <x:c r="V288" s="2" t="str">
        <x:v>2025-12-25</x:v>
      </x:c>
      <x:c r="W288" s="2" t="str">
        <x:v>https://www.e-stat.go.jp/stat-search/file-download?statInfId=000040146718&amp;fileKind=0</x:v>
      </x:c>
      <x:c r="X288" s="2" t="str">
        <x:v>海上出入貨物!847行、コンテナ個数!147行</x:v>
      </x:c>
      <x:c r="Y288" s="2" t="str">
        <x:v>取得済</x:v>
      </x:c>
      <x:c r="Z288" s="9" t="n">
        <x:f>IF(AND(ISNUMBER(E288),COUNTIFS($A$2:$A$477,EDATE(A288,-12),$B$2:$B$477,B288,$E$2:$E$477,"&gt;0")=1),E288/SUMIFS($E$2:$E$477,$A$2:$A$477,EDATE(A288,-12),$B$2:$B$477,B288)-1,"")</x:f>
        <x:v>-0.14778969395762487</x:v>
      </x:c>
      <x:c r="AA288" s="10" t="n">
        <x:f>IF(COUNTIFS($A$2:$A$477,"&gt;="&amp;EDATE(A288,-2),$A$2:$A$477,"&lt;="&amp;A288,$B$2:$B$477,B288,$E$2:$E$477,"&gt;=0")=3,SUMIFS($E$2:$E$477,$A$2:$A$477,"&gt;="&amp;EDATE(A288,-2),$A$2:$A$477,"&lt;="&amp;A288,$B$2:$B$477,B288)/3,"")</x:f>
        <x:v>27836</x:v>
      </x:c>
      <x:c r="AB288" s="9" t="n">
        <x:f>IF(AND(ISNUMBER(J288),COUNTIFS($A$2:$A$477,EDATE(A288,-12),$B$2:$B$477,B288,$J$2:$J$477,"&gt;0")=1),J288/SUMIFS($J$2:$J$477,$A$2:$A$477,EDATE(A288,-12),$B$2:$B$477,B288)-1,"")</x:f>
        <x:v>-0.27065302911093625</x:v>
      </x:c>
    </x:row>
    <x:row r="289" ht="21" customHeight="1">
      <x:c r="A289" s="7" t="n">
        <x:v>45444</x:v>
      </x:c>
      <x:c r="B289" s="2" t="str">
        <x:v>仙台塩釜</x:v>
      </x:c>
      <x:c r="C289" s="2" t="str">
        <x:v>宮城県</x:v>
      </x:c>
      <x:c r="D289" s="8" t="n">
        <x:v>3152039</x:v>
      </x:c>
      <x:c r="E289" s="8" t="n">
        <x:v>98220</x:v>
      </x:c>
      <x:c r="F289" s="8" t="n">
        <x:v>837395</x:v>
      </x:c>
      <x:c r="G289" s="8" t="n">
        <x:v>1097096</x:v>
      </x:c>
      <x:c r="H289" s="8" t="n">
        <x:v>1119328</x:v>
      </x:c>
      <x:c r="I289" s="8" t="n">
        <x:v>19330</x:v>
      </x:c>
      <x:c r="J289" s="8" t="n">
        <x:v>4422</x:v>
      </x:c>
      <x:c r="K289" s="8" t="n">
        <x:v>4665</x:v>
      </x:c>
      <x:c r="L289" s="8" t="n">
        <x:v>5506</x:v>
      </x:c>
      <x:c r="M289" s="8" t="n">
        <x:v>4737</x:v>
      </x:c>
      <x:c r="N289" s="8" t="n">
        <x:v>0</x:v>
      </x:c>
      <x:c r="O289" s="8" t="n">
        <x:v>0</x:v>
      </x:c>
      <x:c r="P289" s="8" t="n">
        <x:v>587</x:v>
      </x:c>
      <x:c r="Q289" s="8" t="n">
        <x:v>631</x:v>
      </x:c>
      <x:c r="R289" s="8" t="n">
        <x:v>1218</x:v>
      </x:c>
      <x:c r="S289" s="8" t="n">
        <x:v>2180</x:v>
      </x:c>
      <x:c r="T289" s="8" t="n">
        <x:v>77</x:v>
      </x:c>
      <x:c r="U289" s="2" t="str">
        <x:v>2025年12月25日現在</x:v>
      </x:c>
      <x:c r="V289" s="2" t="str">
        <x:v>2025-12-25</x:v>
      </x:c>
      <x:c r="W289" s="2" t="str">
        <x:v>https://www.e-stat.go.jp/stat-search/file-download?statInfId=000040146718&amp;fileKind=0</x:v>
      </x:c>
      <x:c r="X289" s="2" t="str">
        <x:v>海上出入貨物!139行、コンテナ個数!29行</x:v>
      </x:c>
      <x:c r="Y289" s="2" t="str">
        <x:v>取得済</x:v>
      </x:c>
      <x:c r="Z289" s="9" t="n">
        <x:f>IF(AND(ISNUMBER(E289),COUNTIFS($A$2:$A$477,EDATE(A289,-12),$B$2:$B$477,B289,$E$2:$E$477,"&gt;0")=1),E289/SUMIFS($E$2:$E$477,$A$2:$A$477,EDATE(A289,-12),$B$2:$B$477,B289)-1,"")</x:f>
        <x:v>0.7777053808980834</x:v>
      </x:c>
      <x:c r="AA289" s="10" t="n">
        <x:f>IF(COUNTIFS($A$2:$A$477,"&gt;="&amp;EDATE(A289,-2),$A$2:$A$477,"&lt;="&amp;A289,$B$2:$B$477,B289,$E$2:$E$477,"&gt;=0")=3,SUMIFS($E$2:$E$477,$A$2:$A$477,"&gt;="&amp;EDATE(A289,-2),$A$2:$A$477,"&lt;="&amp;A289,$B$2:$B$477,B289)/3,"")</x:f>
        <x:v>135209</x:v>
      </x:c>
      <x:c r="AB289" s="9" t="n">
        <x:f>IF(AND(ISNUMBER(J289),COUNTIFS($A$2:$A$477,EDATE(A289,-12),$B$2:$B$477,B289,$J$2:$J$477,"&gt;0")=1),J289/SUMIFS($J$2:$J$477,$A$2:$A$477,EDATE(A289,-12),$B$2:$B$477,B289)-1,"")</x:f>
        <x:v>-0.22243713733075432</x:v>
      </x:c>
    </x:row>
    <x:row r="290" ht="21" customHeight="1">
      <x:c r="A290" s="7" t="n">
        <x:v>45444</x:v>
      </x:c>
      <x:c r="B290" s="2" t="str">
        <x:v>東京</x:v>
      </x:c>
      <x:c r="C290" s="2" t="str">
        <x:v>東京都</x:v>
      </x:c>
      <x:c r="D290" s="8" t="n">
        <x:v>7080543</x:v>
      </x:c>
      <x:c r="E290" s="8" t="n">
        <x:v>993438</x:v>
      </x:c>
      <x:c r="F290" s="8" t="n">
        <x:v>2888797</x:v>
      </x:c>
      <x:c r="G290" s="8" t="n">
        <x:v>1177455</x:v>
      </x:c>
      <x:c r="H290" s="8" t="n">
        <x:v>2020853</x:v>
      </x:c>
      <x:c r="I290" s="8" t="n">
        <x:v>400542</x:v>
      </x:c>
      <x:c r="J290" s="8" t="n">
        <x:v>163546</x:v>
      </x:c>
      <x:c r="K290" s="8" t="n">
        <x:v>189974</x:v>
      </x:c>
      <x:c r="L290" s="8" t="n">
        <x:v>33362</x:v>
      </x:c>
      <x:c r="M290" s="8" t="n">
        <x:v>13660</x:v>
      </x:c>
      <x:c r="N290" s="8" t="n">
        <x:v>0</x:v>
      </x:c>
      <x:c r="O290" s="8" t="n">
        <x:v>0</x:v>
      </x:c>
      <x:c r="P290" s="8" t="n">
        <x:v>361</x:v>
      </x:c>
      <x:c r="Q290" s="8" t="n">
        <x:v>197</x:v>
      </x:c>
      <x:c r="R290" s="8" t="n">
        <x:v>558</x:v>
      </x:c>
      <x:c r="S290" s="8" t="n">
        <x:v>1673</x:v>
      </x:c>
      <x:c r="T290" s="8" t="n">
        <x:v>411</x:v>
      </x:c>
      <x:c r="U290" s="2" t="str">
        <x:v>2025年12月25日現在</x:v>
      </x:c>
      <x:c r="V290" s="2" t="str">
        <x:v>2025-12-25</x:v>
      </x:c>
      <x:c r="W290" s="2" t="str">
        <x:v>https://www.e-stat.go.jp/stat-search/file-download?statInfId=000040146718&amp;fileKind=0</x:v>
      </x:c>
      <x:c r="X290" s="2" t="str">
        <x:v>海上出入貨物!205行、コンテナ個数!40行</x:v>
      </x:c>
      <x:c r="Y290" s="2" t="str">
        <x:v>取得済</x:v>
      </x:c>
      <x:c r="Z290" s="9" t="n">
        <x:f>IF(AND(ISNUMBER(E290),COUNTIFS($A$2:$A$477,EDATE(A290,-12),$B$2:$B$477,B290,$E$2:$E$477,"&gt;0")=1),E290/SUMIFS($E$2:$E$477,$A$2:$A$477,EDATE(A290,-12),$B$2:$B$477,B290)-1,"")</x:f>
        <x:v>0.04289193558546267</x:v>
      </x:c>
      <x:c r="AA290" s="10" t="n">
        <x:f>IF(COUNTIFS($A$2:$A$477,"&gt;="&amp;EDATE(A290,-2),$A$2:$A$477,"&lt;="&amp;A290,$B$2:$B$477,B290,$E$2:$E$477,"&gt;=0")=3,SUMIFS($E$2:$E$477,$A$2:$A$477,"&gt;="&amp;EDATE(A290,-2),$A$2:$A$477,"&lt;="&amp;A290,$B$2:$B$477,B290)/3,"")</x:f>
        <x:v>954099</x:v>
      </x:c>
      <x:c r="AB290" s="9" t="n">
        <x:f>IF(AND(ISNUMBER(J290),COUNTIFS($A$2:$A$477,EDATE(A290,-12),$B$2:$B$477,B290,$J$2:$J$477,"&gt;0")=1),J290/SUMIFS($J$2:$J$477,$A$2:$A$477,EDATE(A290,-12),$B$2:$B$477,B290)-1,"")</x:f>
        <x:v>0.047029449423815706</x:v>
      </x:c>
    </x:row>
    <x:row r="291" ht="21" customHeight="1">
      <x:c r="A291" s="7" t="n">
        <x:v>45444</x:v>
      </x:c>
      <x:c r="B291" s="2" t="str">
        <x:v>横浜</x:v>
      </x:c>
      <x:c r="C291" s="2" t="str">
        <x:v>神奈川県</x:v>
      </x:c>
      <x:c r="D291" s="8" t="n">
        <x:v>8514280</x:v>
      </x:c>
      <x:c r="E291" s="8" t="n">
        <x:v>2484495</x:v>
      </x:c>
      <x:c r="F291" s="8" t="n">
        <x:v>3296761</x:v>
      </x:c>
      <x:c r="G291" s="8" t="n">
        <x:v>1014928</x:v>
      </x:c>
      <x:c r="H291" s="8" t="n">
        <x:v>1718096</x:v>
      </x:c>
      <x:c r="I291" s="8" t="n">
        <x:v>259075</x:v>
      </x:c>
      <x:c r="J291" s="8" t="n">
        <x:v>125780</x:v>
      </x:c>
      <x:c r="K291" s="8" t="n">
        <x:v>105622</x:v>
      </x:c>
      <x:c r="L291" s="8" t="n">
        <x:v>10192</x:v>
      </x:c>
      <x:c r="M291" s="8" t="n">
        <x:v>17481</x:v>
      </x:c>
      <x:c r="N291" s="8" t="n">
        <x:v>0</x:v>
      </x:c>
      <x:c r="O291" s="8" t="n">
        <x:v>0</x:v>
      </x:c>
      <x:c r="P291" s="8" t="n">
        <x:v>0</x:v>
      </x:c>
      <x:c r="Q291" s="8" t="n">
        <x:v>0</x:v>
      </x:c>
      <x:c r="R291" s="8" t="n">
        <x:v>0</x:v>
      </x:c>
      <x:c r="S291" s="8" t="n">
        <x:v>2084</x:v>
      </x:c>
      <x:c r="T291" s="8" t="n">
        <x:v>712</x:v>
      </x:c>
      <x:c r="U291" s="2" t="str">
        <x:v>2025年12月25日現在</x:v>
      </x:c>
      <x:c r="V291" s="2" t="str">
        <x:v>2025-12-25</x:v>
      </x:c>
      <x:c r="W291" s="2" t="str">
        <x:v>https://www.e-stat.go.jp/stat-search/file-download?statInfId=000040146718&amp;fileKind=0</x:v>
      </x:c>
      <x:c r="X291" s="2" t="str">
        <x:v>海上出入貨物!217行、コンテナ個数!42行</x:v>
      </x:c>
      <x:c r="Y291" s="2" t="str">
        <x:v>取得済</x:v>
      </x:c>
      <x:c r="Z291" s="9" t="n">
        <x:f>IF(AND(ISNUMBER(E291),COUNTIFS($A$2:$A$477,EDATE(A291,-12),$B$2:$B$477,B291,$E$2:$E$477,"&gt;0")=1),E291/SUMIFS($E$2:$E$477,$A$2:$A$477,EDATE(A291,-12),$B$2:$B$477,B291)-1,"")</x:f>
        <x:v>-0.04857832155781494</x:v>
      </x:c>
      <x:c r="AA291" s="10" t="n">
        <x:f>IF(COUNTIFS($A$2:$A$477,"&gt;="&amp;EDATE(A291,-2),$A$2:$A$477,"&lt;="&amp;A291,$B$2:$B$477,B291,$E$2:$E$477,"&gt;=0")=3,SUMIFS($E$2:$E$477,$A$2:$A$477,"&gt;="&amp;EDATE(A291,-2),$A$2:$A$477,"&lt;="&amp;A291,$B$2:$B$477,B291)/3,"")</x:f>
        <x:v>2378703</x:v>
      </x:c>
      <x:c r="AB291" s="9" t="n">
        <x:f>IF(AND(ISNUMBER(J291),COUNTIFS($A$2:$A$477,EDATE(A291,-12),$B$2:$B$477,B291,$J$2:$J$477,"&gt;0")=1),J291/SUMIFS($J$2:$J$477,$A$2:$A$477,EDATE(A291,-12),$B$2:$B$477,B291)-1,"")</x:f>
        <x:v>0.011695059762238058</x:v>
      </x:c>
    </x:row>
    <x:row r="292" ht="21" customHeight="1">
      <x:c r="A292" s="7" t="n">
        <x:v>45444</x:v>
      </x:c>
      <x:c r="B292" s="2" t="str">
        <x:v>清水</x:v>
      </x:c>
      <x:c r="C292" s="2" t="str">
        <x:v>静岡県</x:v>
      </x:c>
      <x:c r="D292" s="8" t="n">
        <x:v>1155110</x:v>
      </x:c>
      <x:c r="E292" s="8" t="n">
        <x:v>262007</x:v>
      </x:c>
      <x:c r="F292" s="8" t="n">
        <x:v>397554</x:v>
      </x:c>
      <x:c r="G292" s="8" t="n">
        <x:v>162857</x:v>
      </x:c>
      <x:c r="H292" s="8" t="n">
        <x:v>332692</x:v>
      </x:c>
      <x:c r="I292" s="8" t="n">
        <x:v>43929</x:v>
      </x:c>
      <x:c r="J292" s="8" t="n">
        <x:v>16719</x:v>
      </x:c>
      <x:c r="K292" s="8" t="n">
        <x:v>17533</x:v>
      </x:c>
      <x:c r="L292" s="8" t="n">
        <x:v>5416</x:v>
      </x:c>
      <x:c r="M292" s="8" t="n">
        <x:v>4261</x:v>
      </x:c>
      <x:c r="N292" s="8" t="n">
        <x:v>0</x:v>
      </x:c>
      <x:c r="O292" s="8" t="n">
        <x:v>0</x:v>
      </x:c>
      <x:c r="P292" s="8" t="n">
        <x:v>3</x:v>
      </x:c>
      <x:c r="Q292" s="8" t="n">
        <x:v>3</x:v>
      </x:c>
      <x:c r="R292" s="8" t="n">
        <x:v>6</x:v>
      </x:c>
      <x:c r="S292" s="8" t="n">
        <x:v>485</x:v>
      </x:c>
      <x:c r="T292" s="8" t="n">
        <x:v>141</x:v>
      </x:c>
      <x:c r="U292" s="2" t="str">
        <x:v>2025年12月25日現在</x:v>
      </x:c>
      <x:c r="V292" s="2" t="str">
        <x:v>2025-12-25</x:v>
      </x:c>
      <x:c r="W292" s="2" t="str">
        <x:v>https://www.e-stat.go.jp/stat-search/file-download?statInfId=000040146718&amp;fileKind=0</x:v>
      </x:c>
      <x:c r="X292" s="2" t="str">
        <x:v>海上出入貨物!313行、コンテナ個数!58行</x:v>
      </x:c>
      <x:c r="Y292" s="2" t="str">
        <x:v>取得済</x:v>
      </x:c>
      <x:c r="Z292" s="9" t="n">
        <x:f>IF(AND(ISNUMBER(E292),COUNTIFS($A$2:$A$477,EDATE(A292,-12),$B$2:$B$477,B292,$E$2:$E$477,"&gt;0")=1),E292/SUMIFS($E$2:$E$477,$A$2:$A$477,EDATE(A292,-12),$B$2:$B$477,B292)-1,"")</x:f>
        <x:v>-0.026108515375551478</x:v>
      </x:c>
      <x:c r="AA292" s="10" t="n">
        <x:f>IF(COUNTIFS($A$2:$A$477,"&gt;="&amp;EDATE(A292,-2),$A$2:$A$477,"&lt;="&amp;A292,$B$2:$B$477,B292,$E$2:$E$477,"&gt;=0")=3,SUMIFS($E$2:$E$477,$A$2:$A$477,"&gt;="&amp;EDATE(A292,-2),$A$2:$A$477,"&lt;="&amp;A292,$B$2:$B$477,B292)/3,"")</x:f>
        <x:v>257736</x:v>
      </x:c>
      <x:c r="AB292" s="9" t="n">
        <x:f>IF(AND(ISNUMBER(J292),COUNTIFS($A$2:$A$477,EDATE(A292,-12),$B$2:$B$477,B292,$J$2:$J$477,"&gt;0")=1),J292/SUMIFS($J$2:$J$477,$A$2:$A$477,EDATE(A292,-12),$B$2:$B$477,B292)-1,"")</x:f>
        <x:v>-0.00523591360742548</x:v>
      </x:c>
    </x:row>
    <x:row r="293" ht="21" customHeight="1">
      <x:c r="A293" s="7" t="n">
        <x:v>45444</x:v>
      </x:c>
      <x:c r="B293" s="2" t="str">
        <x:v>博多</x:v>
      </x:c>
      <x:c r="C293" s="2" t="str">
        <x:v>福岡県</x:v>
      </x:c>
      <x:c r="D293" s="8" t="n">
        <x:v>3044311</x:v>
      </x:c>
      <x:c r="E293" s="8" t="n">
        <x:v>749108</x:v>
      </x:c>
      <x:c r="F293" s="8" t="n">
        <x:v>809736</x:v>
      </x:c>
      <x:c r="G293" s="8" t="n">
        <x:v>466803</x:v>
      </x:c>
      <x:c r="H293" s="8" t="n">
        <x:v>1018664</x:v>
      </x:c>
      <x:c r="I293" s="8" t="n">
        <x:v>79418</x:v>
      </x:c>
      <x:c r="J293" s="8" t="n">
        <x:v>34029</x:v>
      </x:c>
      <x:c r="K293" s="8" t="n">
        <x:v>33024</x:v>
      </x:c>
      <x:c r="L293" s="8" t="n">
        <x:v>5672</x:v>
      </x:c>
      <x:c r="M293" s="8" t="n">
        <x:v>6693</x:v>
      </x:c>
      <x:c r="N293" s="8" t="n">
        <x:v>0</x:v>
      </x:c>
      <x:c r="O293" s="8" t="n">
        <x:v>0</x:v>
      </x:c>
      <x:c r="P293" s="8" t="n">
        <x:v>1837</x:v>
      </x:c>
      <x:c r="Q293" s="8" t="n">
        <x:v>1919</x:v>
      </x:c>
      <x:c r="R293" s="8" t="n">
        <x:v>3756</x:v>
      </x:c>
      <x:c r="S293" s="8" t="n">
        <x:v>1595</x:v>
      </x:c>
      <x:c r="T293" s="8" t="n">
        <x:v>257</x:v>
      </x:c>
      <x:c r="U293" s="2" t="str">
        <x:v>2025年12月25日現在</x:v>
      </x:c>
      <x:c r="V293" s="2" t="str">
        <x:v>2025-12-25</x:v>
      </x:c>
      <x:c r="W293" s="2" t="str">
        <x:v>https://www.e-stat.go.jp/stat-search/file-download?statInfId=000040146718&amp;fileKind=0</x:v>
      </x:c>
      <x:c r="X293" s="2" t="str">
        <x:v>海上出入貨物!745行、コンテナ個数!130行</x:v>
      </x:c>
      <x:c r="Y293" s="2" t="str">
        <x:v>取得済</x:v>
      </x:c>
      <x:c r="Z293" s="9" t="n">
        <x:f>IF(AND(ISNUMBER(E293),COUNTIFS($A$2:$A$477,EDATE(A293,-12),$B$2:$B$477,B293,$E$2:$E$477,"&gt;0")=1),E293/SUMIFS($E$2:$E$477,$A$2:$A$477,EDATE(A293,-12),$B$2:$B$477,B293)-1,"")</x:f>
        <x:v>-0.08496952373972422</x:v>
      </x:c>
      <x:c r="AA293" s="10" t="n">
        <x:f>IF(COUNTIFS($A$2:$A$477,"&gt;="&amp;EDATE(A293,-2),$A$2:$A$477,"&lt;="&amp;A293,$B$2:$B$477,B293,$E$2:$E$477,"&gt;=0")=3,SUMIFS($E$2:$E$477,$A$2:$A$477,"&gt;="&amp;EDATE(A293,-2),$A$2:$A$477,"&lt;="&amp;A293,$B$2:$B$477,B293)/3,"")</x:f>
        <x:v>734375.6666666666</x:v>
      </x:c>
      <x:c r="AB293" s="9" t="n">
        <x:f>IF(AND(ISNUMBER(J293),COUNTIFS($A$2:$A$477,EDATE(A293,-12),$B$2:$B$477,B293,$J$2:$J$477,"&gt;0")=1),J293/SUMIFS($J$2:$J$477,$A$2:$A$477,EDATE(A293,-12),$B$2:$B$477,B293)-1,"")</x:f>
        <x:v>-0.07406601180920247</x:v>
      </x:c>
    </x:row>
    <x:row r="294" ht="21" customHeight="1">
      <x:c r="A294" s="7" t="n">
        <x:v>45444</x:v>
      </x:c>
      <x:c r="B294" s="2" t="str">
        <x:v>熊本</x:v>
      </x:c>
      <x:c r="C294" s="2" t="str">
        <x:v>熊本県</x:v>
      </x:c>
      <x:c r="D294" s="8" t="n">
        <x:v>269815</x:v>
      </x:c>
      <x:c r="E294" s="8" t="n">
        <x:v>2356</x:v>
      </x:c>
      <x:c r="F294" s="8" t="n">
        <x:v>3878</x:v>
      </x:c>
      <x:c r="G294" s="8" t="n">
        <x:v>109203</x:v>
      </x:c>
      <x:c r="H294" s="8" t="n">
        <x:v>154378</x:v>
      </x:c>
      <x:c r="I294" s="8" t="n">
        <x:v>1081</x:v>
      </x:c>
      <x:c r="J294" s="8" t="n">
        <x:v>164</x:v>
      </x:c>
      <x:c r="K294" s="8" t="n">
        <x:v>198</x:v>
      </x:c>
      <x:c r="L294" s="8" t="n">
        <x:v>423</x:v>
      </x:c>
      <x:c r="M294" s="8" t="n">
        <x:v>296</x:v>
      </x:c>
      <x:c r="N294" s="8" t="n">
        <x:v>0</x:v>
      </x:c>
      <x:c r="O294" s="8" t="n">
        <x:v>0</x:v>
      </x:c>
      <x:c r="P294" s="8" t="n">
        <x:v>671</x:v>
      </x:c>
      <x:c r="Q294" s="8" t="n">
        <x:v>676</x:v>
      </x:c>
      <x:c r="R294" s="8" t="n">
        <x:v>1347</x:v>
      </x:c>
      <x:c r="S294" s="8" t="n">
        <x:v>36</x:v>
      </x:c>
      <x:c r="T294" s="8" t="n">
        <x:v>7</x:v>
      </x:c>
      <x:c r="U294" s="2" t="str">
        <x:v>2025年12月25日現在</x:v>
      </x:c>
      <x:c r="V294" s="2" t="str">
        <x:v>2025-12-25</x:v>
      </x:c>
      <x:c r="W294" s="2" t="str">
        <x:v>https://www.e-stat.go.jp/stat-search/file-download?statInfId=000040146718&amp;fileKind=0</x:v>
      </x:c>
      <x:c r="X294" s="2" t="str">
        <x:v>海上出入貨物!859行、コンテナ個数!149行</x:v>
      </x:c>
      <x:c r="Y294" s="2" t="str">
        <x:v>取得済</x:v>
      </x:c>
      <x:c r="Z294" s="9" t="n">
        <x:f>IF(AND(ISNUMBER(E294),COUNTIFS($A$2:$A$477,EDATE(A294,-12),$B$2:$B$477,B294,$E$2:$E$477,"&gt;0")=1),E294/SUMIFS($E$2:$E$477,$A$2:$A$477,EDATE(A294,-12),$B$2:$B$477,B294)-1,"")</x:f>
        <x:v>-0.5842597494265043</x:v>
      </x:c>
      <x:c r="AA294" s="10" t="n">
        <x:f>IF(COUNTIFS($A$2:$A$477,"&gt;="&amp;EDATE(A294,-2),$A$2:$A$477,"&lt;="&amp;A294,$B$2:$B$477,B294,$E$2:$E$477,"&gt;=0")=3,SUMIFS($E$2:$E$477,$A$2:$A$477,"&gt;="&amp;EDATE(A294,-2),$A$2:$A$477,"&lt;="&amp;A294,$B$2:$B$477,B294)/3,"")</x:f>
        <x:v>2939</x:v>
      </x:c>
      <x:c r="AB294" s="9" t="n">
        <x:f>IF(AND(ISNUMBER(J294),COUNTIFS($A$2:$A$477,EDATE(A294,-12),$B$2:$B$477,B294,$J$2:$J$477,"&gt;0")=1),J294/SUMIFS($J$2:$J$477,$A$2:$A$477,EDATE(A294,-12),$B$2:$B$477,B294)-1,"")</x:f>
        <x:v>-0.5380281690140845</x:v>
      </x:c>
    </x:row>
    <x:row r="295" ht="21" customHeight="1">
      <x:c r="A295" s="7" t="n">
        <x:v>45444</x:v>
      </x:c>
      <x:c r="B295" s="2" t="str">
        <x:v>八代</x:v>
      </x:c>
      <x:c r="C295" s="2" t="str">
        <x:v>熊本県</x:v>
      </x:c>
      <x:c r="D295" s="8" t="n">
        <x:v>313862</x:v>
      </x:c>
      <x:c r="E295" s="8" t="n">
        <x:v>24742</x:v>
      </x:c>
      <x:c r="F295" s="8" t="n">
        <x:v>121977</x:v>
      </x:c>
      <x:c r="G295" s="8" t="n">
        <x:v>20862</x:v>
      </x:c>
      <x:c r="H295" s="8" t="n">
        <x:v>146281</x:v>
      </x:c>
      <x:c r="I295" s="8" t="n">
        <x:v>1558</x:v>
      </x:c>
      <x:c r="J295" s="8" t="n">
        <x:v>755</x:v>
      </x:c>
      <x:c r="K295" s="8" t="n">
        <x:v>508</x:v>
      </x:c>
      <x:c r="L295" s="8" t="n">
        <x:v>67</x:v>
      </x:c>
      <x:c r="M295" s="8" t="n">
        <x:v>228</x:v>
      </x:c>
      <x:c r="N295" s="8" t="n">
        <x:v>0</x:v>
      </x:c>
      <x:c r="O295" s="8" t="n">
        <x:v>0</x:v>
      </x:c>
      <x:c r="P295" s="8" t="n">
        <x:v>0</x:v>
      </x:c>
      <x:c r="Q295" s="8" t="n">
        <x:v>0</x:v>
      </x:c>
      <x:c r="R295" s="8" t="n">
        <x:v>0</x:v>
      </x:c>
      <x:c r="S295" s="8" t="n">
        <x:v>196</x:v>
      </x:c>
      <x:c r="T295" s="8" t="n">
        <x:v>34</x:v>
      </x:c>
      <x:c r="U295" s="2" t="str">
        <x:v>2025年12月25日現在</x:v>
      </x:c>
      <x:c r="V295" s="2" t="str">
        <x:v>2025-12-25</x:v>
      </x:c>
      <x:c r="W295" s="2" t="str">
        <x:v>https://www.e-stat.go.jp/stat-search/file-download?statInfId=000040146718&amp;fileKind=0</x:v>
      </x:c>
      <x:c r="X295" s="2" t="str">
        <x:v>海上出入貨物!847行、コンテナ個数!147行</x:v>
      </x:c>
      <x:c r="Y295" s="2" t="str">
        <x:v>取得済</x:v>
      </x:c>
      <x:c r="Z295" s="9" t="n">
        <x:f>IF(AND(ISNUMBER(E295),COUNTIFS($A$2:$A$477,EDATE(A295,-12),$B$2:$B$477,B295,$E$2:$E$477,"&gt;0")=1),E295/SUMIFS($E$2:$E$477,$A$2:$A$477,EDATE(A295,-12),$B$2:$B$477,B295)-1,"")</x:f>
        <x:v>0.4295123642246359</x:v>
      </x:c>
      <x:c r="AA295" s="10" t="n">
        <x:f>IF(COUNTIFS($A$2:$A$477,"&gt;="&amp;EDATE(A295,-2),$A$2:$A$477,"&lt;="&amp;A295,$B$2:$B$477,B295,$E$2:$E$477,"&gt;=0")=3,SUMIFS($E$2:$E$477,$A$2:$A$477,"&gt;="&amp;EDATE(A295,-2),$A$2:$A$477,"&lt;="&amp;A295,$B$2:$B$477,B295)/3,"")</x:f>
        <x:v>27191.666666666668</x:v>
      </x:c>
      <x:c r="AB295" s="9" t="n">
        <x:f>IF(AND(ISNUMBER(J295),COUNTIFS($A$2:$A$477,EDATE(A295,-12),$B$2:$B$477,B295,$J$2:$J$477,"&gt;0")=1),J295/SUMIFS($J$2:$J$477,$A$2:$A$477,EDATE(A295,-12),$B$2:$B$477,B295)-1,"")</x:f>
        <x:v>0.12184249628528976</x:v>
      </x:c>
    </x:row>
    <x:row r="296" ht="21" customHeight="1">
      <x:c r="A296" s="7" t="n">
        <x:v>45474</x:v>
      </x:c>
      <x:c r="B296" s="2" t="str">
        <x:v>仙台塩釜</x:v>
      </x:c>
      <x:c r="C296" s="2" t="str">
        <x:v>宮城県</x:v>
      </x:c>
      <x:c r="D296" s="8" t="n">
        <x:v>3217897</x:v>
      </x:c>
      <x:c r="E296" s="8" t="n">
        <x:v>82092</x:v>
      </x:c>
      <x:c r="F296" s="8" t="n">
        <x:v>912026</x:v>
      </x:c>
      <x:c r="G296" s="8" t="n">
        <x:v>1041023</x:v>
      </x:c>
      <x:c r="H296" s="8" t="n">
        <x:v>1182756</x:v>
      </x:c>
      <x:c r="I296" s="8" t="n">
        <x:v>20973</x:v>
      </x:c>
      <x:c r="J296" s="8" t="n">
        <x:v>5000</x:v>
      </x:c>
      <x:c r="K296" s="8" t="n">
        <x:v>4922</x:v>
      </x:c>
      <x:c r="L296" s="8" t="n">
        <x:v>5403</x:v>
      </x:c>
      <x:c r="M296" s="8" t="n">
        <x:v>5648</x:v>
      </x:c>
      <x:c r="N296" s="8" t="n">
        <x:v>0</x:v>
      </x:c>
      <x:c r="O296" s="8" t="n">
        <x:v>0</x:v>
      </x:c>
      <x:c r="P296" s="8" t="n">
        <x:v>616</x:v>
      </x:c>
      <x:c r="Q296" s="8" t="n">
        <x:v>696</x:v>
      </x:c>
      <x:c r="R296" s="8" t="n">
        <x:v>1312</x:v>
      </x:c>
      <x:c r="S296" s="8" t="n">
        <x:v>2152</x:v>
      </x:c>
      <x:c r="T296" s="8" t="n">
        <x:v>82</x:v>
      </x:c>
      <x:c r="U296" s="2" t="str">
        <x:v>2025年12月25日現在</x:v>
      </x:c>
      <x:c r="V296" s="2" t="str">
        <x:v>2025-12-25</x:v>
      </x:c>
      <x:c r="W296" s="2" t="str">
        <x:v>https://www.e-stat.go.jp/stat-search/file-download?statInfId=000040146718&amp;fileKind=0</x:v>
      </x:c>
      <x:c r="X296" s="2" t="str">
        <x:v>海上出入貨物!139行、コンテナ個数!29行</x:v>
      </x:c>
      <x:c r="Y296" s="2" t="str">
        <x:v>取得済</x:v>
      </x:c>
      <x:c r="Z296" s="9" t="n">
        <x:f>IF(AND(ISNUMBER(E296),COUNTIFS($A$2:$A$477,EDATE(A296,-12),$B$2:$B$477,B296,$E$2:$E$477,"&gt;0")=1),E296/SUMIFS($E$2:$E$477,$A$2:$A$477,EDATE(A296,-12),$B$2:$B$477,B296)-1,"")</x:f>
        <x:v>0.3264607032057911</x:v>
      </x:c>
      <x:c r="AA296" s="10" t="n">
        <x:f>IF(COUNTIFS($A$2:$A$477,"&gt;="&amp;EDATE(A296,-2),$A$2:$A$477,"&lt;="&amp;A296,$B$2:$B$477,B296,$E$2:$E$477,"&gt;=0")=3,SUMIFS($E$2:$E$477,$A$2:$A$477,"&gt;="&amp;EDATE(A296,-2),$A$2:$A$477,"&lt;="&amp;A296,$B$2:$B$477,B296)/3,"")</x:f>
        <x:v>115275.33333333333</x:v>
      </x:c>
      <x:c r="AB296" s="9" t="n">
        <x:f>IF(AND(ISNUMBER(J296),COUNTIFS($A$2:$A$477,EDATE(A296,-12),$B$2:$B$477,B296,$J$2:$J$477,"&gt;0")=1),J296/SUMIFS($J$2:$J$477,$A$2:$A$477,EDATE(A296,-12),$B$2:$B$477,B296)-1,"")</x:f>
        <x:v>0.0336985734959685</x:v>
      </x:c>
    </x:row>
    <x:row r="297" ht="21" customHeight="1">
      <x:c r="A297" s="7" t="n">
        <x:v>45474</x:v>
      </x:c>
      <x:c r="B297" s="2" t="str">
        <x:v>東京</x:v>
      </x:c>
      <x:c r="C297" s="2" t="str">
        <x:v>東京都</x:v>
      </x:c>
      <x:c r="D297" s="8" t="n">
        <x:v>7116333</x:v>
      </x:c>
      <x:c r="E297" s="8" t="n">
        <x:v>944687</x:v>
      </x:c>
      <x:c r="F297" s="8" t="n">
        <x:v>2850491</x:v>
      </x:c>
      <x:c r="G297" s="8" t="n">
        <x:v>1245417</x:v>
      </x:c>
      <x:c r="H297" s="8" t="n">
        <x:v>2075738</x:v>
      </x:c>
      <x:c r="I297" s="8" t="n">
        <x:v>394198</x:v>
      </x:c>
      <x:c r="J297" s="8" t="n">
        <x:v>156453</x:v>
      </x:c>
      <x:c r="K297" s="8" t="n">
        <x:v>190399</x:v>
      </x:c>
      <x:c r="L297" s="8" t="n">
        <x:v>33622</x:v>
      </x:c>
      <x:c r="M297" s="8" t="n">
        <x:v>13724</x:v>
      </x:c>
      <x:c r="N297" s="8" t="n">
        <x:v>0</x:v>
      </x:c>
      <x:c r="O297" s="8" t="n">
        <x:v>0</x:v>
      </x:c>
      <x:c r="P297" s="8" t="n">
        <x:v>495</x:v>
      </x:c>
      <x:c r="Q297" s="8" t="n">
        <x:v>211</x:v>
      </x:c>
      <x:c r="R297" s="8" t="n">
        <x:v>706</x:v>
      </x:c>
      <x:c r="S297" s="8" t="n">
        <x:v>1730</x:v>
      </x:c>
      <x:c r="T297" s="8" t="n">
        <x:v>404</x:v>
      </x:c>
      <x:c r="U297" s="2" t="str">
        <x:v>2025年12月25日現在</x:v>
      </x:c>
      <x:c r="V297" s="2" t="str">
        <x:v>2025-12-25</x:v>
      </x:c>
      <x:c r="W297" s="2" t="str">
        <x:v>https://www.e-stat.go.jp/stat-search/file-download?statInfId=000040146718&amp;fileKind=0</x:v>
      </x:c>
      <x:c r="X297" s="2" t="str">
        <x:v>海上出入貨物!205行、コンテナ個数!40行</x:v>
      </x:c>
      <x:c r="Y297" s="2" t="str">
        <x:v>取得済</x:v>
      </x:c>
      <x:c r="Z297" s="9" t="n">
        <x:f>IF(AND(ISNUMBER(E297),COUNTIFS($A$2:$A$477,EDATE(A297,-12),$B$2:$B$477,B297,$E$2:$E$477,"&gt;0")=1),E297/SUMIFS($E$2:$E$477,$A$2:$A$477,EDATE(A297,-12),$B$2:$B$477,B297)-1,"")</x:f>
        <x:v>-0.021132919275253292</x:v>
      </x:c>
      <x:c r="AA297" s="10" t="n">
        <x:f>IF(COUNTIFS($A$2:$A$477,"&gt;="&amp;EDATE(A297,-2),$A$2:$A$477,"&lt;="&amp;A297,$B$2:$B$477,B297,$E$2:$E$477,"&gt;=0")=3,SUMIFS($E$2:$E$477,$A$2:$A$477,"&gt;="&amp;EDATE(A297,-2),$A$2:$A$477,"&lt;="&amp;A297,$B$2:$B$477,B297)/3,"")</x:f>
        <x:v>928515.3333333334</x:v>
      </x:c>
      <x:c r="AB297" s="9" t="n">
        <x:f>IF(AND(ISNUMBER(J297),COUNTIFS($A$2:$A$477,EDATE(A297,-12),$B$2:$B$477,B297,$J$2:$J$477,"&gt;0")=1),J297/SUMIFS($J$2:$J$477,$A$2:$A$477,EDATE(A297,-12),$B$2:$B$477,B297)-1,"")</x:f>
        <x:v>0.023324416072000975</x:v>
      </x:c>
    </x:row>
    <x:row r="298" ht="21" customHeight="1">
      <x:c r="A298" s="7" t="n">
        <x:v>45474</x:v>
      </x:c>
      <x:c r="B298" s="2" t="str">
        <x:v>横浜</x:v>
      </x:c>
      <x:c r="C298" s="2" t="str">
        <x:v>神奈川県</x:v>
      </x:c>
      <x:c r="D298" s="8" t="n">
        <x:v>9028870</x:v>
      </x:c>
      <x:c r="E298" s="8" t="n">
        <x:v>2525728</x:v>
      </x:c>
      <x:c r="F298" s="8" t="n">
        <x:v>3777030</x:v>
      </x:c>
      <x:c r="G298" s="8" t="n">
        <x:v>1216894</x:v>
      </x:c>
      <x:c r="H298" s="8" t="n">
        <x:v>1509218</x:v>
      </x:c>
      <x:c r="I298" s="8" t="n">
        <x:v>268197</x:v>
      </x:c>
      <x:c r="J298" s="8" t="n">
        <x:v>126148</x:v>
      </x:c>
      <x:c r="K298" s="8" t="n">
        <x:v>112129</x:v>
      </x:c>
      <x:c r="L298" s="8" t="n">
        <x:v>11733</x:v>
      </x:c>
      <x:c r="M298" s="8" t="n">
        <x:v>18187</x:v>
      </x:c>
      <x:c r="N298" s="8" t="n">
        <x:v>0</x:v>
      </x:c>
      <x:c r="O298" s="8" t="n">
        <x:v>0</x:v>
      </x:c>
      <x:c r="P298" s="8" t="n">
        <x:v>0</x:v>
      </x:c>
      <x:c r="Q298" s="8" t="n">
        <x:v>0</x:v>
      </x:c>
      <x:c r="R298" s="8" t="n">
        <x:v>0</x:v>
      </x:c>
      <x:c r="S298" s="8" t="n">
        <x:v>2174</x:v>
      </x:c>
      <x:c r="T298" s="8" t="n">
        <x:v>728</x:v>
      </x:c>
      <x:c r="U298" s="2" t="str">
        <x:v>2025年12月25日現在</x:v>
      </x:c>
      <x:c r="V298" s="2" t="str">
        <x:v>2025-12-25</x:v>
      </x:c>
      <x:c r="W298" s="2" t="str">
        <x:v>https://www.e-stat.go.jp/stat-search/file-download?statInfId=000040146718&amp;fileKind=0</x:v>
      </x:c>
      <x:c r="X298" s="2" t="str">
        <x:v>海上出入貨物!217行、コンテナ個数!42行</x:v>
      </x:c>
      <x:c r="Y298" s="2" t="str">
        <x:v>取得済</x:v>
      </x:c>
      <x:c r="Z298" s="9" t="n">
        <x:f>IF(AND(ISNUMBER(E298),COUNTIFS($A$2:$A$477,EDATE(A298,-12),$B$2:$B$477,B298,$E$2:$E$477,"&gt;0")=1),E298/SUMIFS($E$2:$E$477,$A$2:$A$477,EDATE(A298,-12),$B$2:$B$477,B298)-1,"")</x:f>
        <x:v>-0.0031286816871278766</x:v>
      </x:c>
      <x:c r="AA298" s="10" t="n">
        <x:f>IF(COUNTIFS($A$2:$A$477,"&gt;="&amp;EDATE(A298,-2),$A$2:$A$477,"&lt;="&amp;A298,$B$2:$B$477,B298,$E$2:$E$477,"&gt;=0")=3,SUMIFS($E$2:$E$477,$A$2:$A$477,"&gt;="&amp;EDATE(A298,-2),$A$2:$A$477,"&lt;="&amp;A298,$B$2:$B$477,B298)/3,"")</x:f>
        <x:v>2413011.6666666665</x:v>
      </x:c>
      <x:c r="AB298" s="9" t="n">
        <x:f>IF(AND(ISNUMBER(J298),COUNTIFS($A$2:$A$477,EDATE(A298,-12),$B$2:$B$477,B298,$J$2:$J$477,"&gt;0")=1),J298/SUMIFS($J$2:$J$477,$A$2:$A$477,EDATE(A298,-12),$B$2:$B$477,B298)-1,"")</x:f>
        <x:v>0.04983355525965383</x:v>
      </x:c>
    </x:row>
    <x:row r="299" ht="21" customHeight="1">
      <x:c r="A299" s="7" t="n">
        <x:v>45474</x:v>
      </x:c>
      <x:c r="B299" s="2" t="str">
        <x:v>清水</x:v>
      </x:c>
      <x:c r="C299" s="2" t="str">
        <x:v>静岡県</x:v>
      </x:c>
      <x:c r="D299" s="8" t="n">
        <x:v>1197467</x:v>
      </x:c>
      <x:c r="E299" s="8" t="n">
        <x:v>283369</x:v>
      </x:c>
      <x:c r="F299" s="8" t="n">
        <x:v>393456</x:v>
      </x:c>
      <x:c r="G299" s="8" t="n">
        <x:v>193575</x:v>
      </x:c>
      <x:c r="H299" s="8" t="n">
        <x:v>327067</x:v>
      </x:c>
      <x:c r="I299" s="8" t="n">
        <x:v>44819</x:v>
      </x:c>
      <x:c r="J299" s="8" t="n">
        <x:v>17199</x:v>
      </x:c>
      <x:c r="K299" s="8" t="n">
        <x:v>17479</x:v>
      </x:c>
      <x:c r="L299" s="8" t="n">
        <x:v>5587</x:v>
      </x:c>
      <x:c r="M299" s="8" t="n">
        <x:v>4554</x:v>
      </x:c>
      <x:c r="N299" s="8" t="n">
        <x:v>0</x:v>
      </x:c>
      <x:c r="O299" s="8" t="n">
        <x:v>0</x:v>
      </x:c>
      <x:c r="P299" s="8" t="n">
        <x:v>3</x:v>
      </x:c>
      <x:c r="Q299" s="8" t="n">
        <x:v>4</x:v>
      </x:c>
      <x:c r="R299" s="8" t="n">
        <x:v>7</x:v>
      </x:c>
      <x:c r="S299" s="8" t="n">
        <x:v>477</x:v>
      </x:c>
      <x:c r="T299" s="8" t="n">
        <x:v>137</x:v>
      </x:c>
      <x:c r="U299" s="2" t="str">
        <x:v>2025年12月25日現在</x:v>
      </x:c>
      <x:c r="V299" s="2" t="str">
        <x:v>2025-12-25</x:v>
      </x:c>
      <x:c r="W299" s="2" t="str">
        <x:v>https://www.e-stat.go.jp/stat-search/file-download?statInfId=000040146718&amp;fileKind=0</x:v>
      </x:c>
      <x:c r="X299" s="2" t="str">
        <x:v>海上出入貨物!313行、コンテナ個数!58行</x:v>
      </x:c>
      <x:c r="Y299" s="2" t="str">
        <x:v>取得済</x:v>
      </x:c>
      <x:c r="Z299" s="9" t="n">
        <x:f>IF(AND(ISNUMBER(E299),COUNTIFS($A$2:$A$477,EDATE(A299,-12),$B$2:$B$477,B299,$E$2:$E$477,"&gt;0")=1),E299/SUMIFS($E$2:$E$477,$A$2:$A$477,EDATE(A299,-12),$B$2:$B$477,B299)-1,"")</x:f>
        <x:v>-0.025476567954136664</x:v>
      </x:c>
      <x:c r="AA299" s="10" t="n">
        <x:f>IF(COUNTIFS($A$2:$A$477,"&gt;="&amp;EDATE(A299,-2),$A$2:$A$477,"&lt;="&amp;A299,$B$2:$B$477,B299,$E$2:$E$477,"&gt;=0")=3,SUMIFS($E$2:$E$477,$A$2:$A$477,"&gt;="&amp;EDATE(A299,-2),$A$2:$A$477,"&lt;="&amp;A299,$B$2:$B$477,B299)/3,"")</x:f>
        <x:v>268980</x:v>
      </x:c>
      <x:c r="AB299" s="9" t="n">
        <x:f>IF(AND(ISNUMBER(J299),COUNTIFS($A$2:$A$477,EDATE(A299,-12),$B$2:$B$477,B299,$J$2:$J$477,"&gt;0")=1),J299/SUMIFS($J$2:$J$477,$A$2:$A$477,EDATE(A299,-12),$B$2:$B$477,B299)-1,"")</x:f>
        <x:v>-0.024778861419823106</x:v>
      </x:c>
    </x:row>
    <x:row r="300" ht="21" customHeight="1">
      <x:c r="A300" s="7" t="n">
        <x:v>45474</x:v>
      </x:c>
      <x:c r="B300" s="2" t="str">
        <x:v>博多</x:v>
      </x:c>
      <x:c r="C300" s="2" t="str">
        <x:v>福岡県</x:v>
      </x:c>
      <x:c r="D300" s="8" t="n">
        <x:v>3006898</x:v>
      </x:c>
      <x:c r="E300" s="8" t="n">
        <x:v>754796</x:v>
      </x:c>
      <x:c r="F300" s="8" t="n">
        <x:v>731836</x:v>
      </x:c>
      <x:c r="G300" s="8" t="n">
        <x:v>522247</x:v>
      </x:c>
      <x:c r="H300" s="8" t="n">
        <x:v>998019</x:v>
      </x:c>
      <x:c r="I300" s="8" t="n">
        <x:v>73076</x:v>
      </x:c>
      <x:c r="J300" s="8" t="n">
        <x:v>30164</x:v>
      </x:c>
      <x:c r="K300" s="8" t="n">
        <x:v>30566</x:v>
      </x:c>
      <x:c r="L300" s="8" t="n">
        <x:v>6159</x:v>
      </x:c>
      <x:c r="M300" s="8" t="n">
        <x:v>6187</x:v>
      </x:c>
      <x:c r="N300" s="8" t="n">
        <x:v>0</x:v>
      </x:c>
      <x:c r="O300" s="8" t="n">
        <x:v>0</x:v>
      </x:c>
      <x:c r="P300" s="8" t="n">
        <x:v>2140</x:v>
      </x:c>
      <x:c r="Q300" s="8" t="n">
        <x:v>2244</x:v>
      </x:c>
      <x:c r="R300" s="8" t="n">
        <x:v>4384</x:v>
      </x:c>
      <x:c r="S300" s="8" t="n">
        <x:v>1644</x:v>
      </x:c>
      <x:c r="T300" s="8" t="n">
        <x:v>256</x:v>
      </x:c>
      <x:c r="U300" s="2" t="str">
        <x:v>2025年12月25日現在</x:v>
      </x:c>
      <x:c r="V300" s="2" t="str">
        <x:v>2025-12-25</x:v>
      </x:c>
      <x:c r="W300" s="2" t="str">
        <x:v>https://www.e-stat.go.jp/stat-search/file-download?statInfId=000040146718&amp;fileKind=0</x:v>
      </x:c>
      <x:c r="X300" s="2" t="str">
        <x:v>海上出入貨物!745行、コンテナ個数!130行</x:v>
      </x:c>
      <x:c r="Y300" s="2" t="str">
        <x:v>取得済</x:v>
      </x:c>
      <x:c r="Z300" s="9" t="n">
        <x:f>IF(AND(ISNUMBER(E300),COUNTIFS($A$2:$A$477,EDATE(A300,-12),$B$2:$B$477,B300,$E$2:$E$477,"&gt;0")=1),E300/SUMIFS($E$2:$E$477,$A$2:$A$477,EDATE(A300,-12),$B$2:$B$477,B300)-1,"")</x:f>
        <x:v>-0.03477784938976358</x:v>
      </x:c>
      <x:c r="AA300" s="10" t="n">
        <x:f>IF(COUNTIFS($A$2:$A$477,"&gt;="&amp;EDATE(A300,-2),$A$2:$A$477,"&lt;="&amp;A300,$B$2:$B$477,B300,$E$2:$E$477,"&gt;=0")=3,SUMIFS($E$2:$E$477,$A$2:$A$477,"&gt;="&amp;EDATE(A300,-2),$A$2:$A$477,"&lt;="&amp;A300,$B$2:$B$477,B300)/3,"")</x:f>
        <x:v>746613.3333333334</x:v>
      </x:c>
      <x:c r="AB300" s="9" t="n">
        <x:f>IF(AND(ISNUMBER(J300),COUNTIFS($A$2:$A$477,EDATE(A300,-12),$B$2:$B$477,B300,$J$2:$J$477,"&gt;0")=1),J300/SUMIFS($J$2:$J$477,$A$2:$A$477,EDATE(A300,-12),$B$2:$B$477,B300)-1,"")</x:f>
        <x:v>-0.13172135866436385</x:v>
      </x:c>
    </x:row>
    <x:row r="301" ht="21" customHeight="1">
      <x:c r="A301" s="7" t="n">
        <x:v>45474</x:v>
      </x:c>
      <x:c r="B301" s="2" t="str">
        <x:v>熊本</x:v>
      </x:c>
      <x:c r="C301" s="2" t="str">
        <x:v>熊本県</x:v>
      </x:c>
      <x:c r="D301" s="8" t="n">
        <x:v>310908</x:v>
      </x:c>
      <x:c r="E301" s="8" t="n">
        <x:v>3556</x:v>
      </x:c>
      <x:c r="F301" s="8" t="n">
        <x:v>5917</x:v>
      </x:c>
      <x:c r="G301" s="8" t="n">
        <x:v>125721</x:v>
      </x:c>
      <x:c r="H301" s="8" t="n">
        <x:v>175714</x:v>
      </x:c>
      <x:c r="I301" s="8" t="n">
        <x:v>1047</x:v>
      </x:c>
      <x:c r="J301" s="8" t="n">
        <x:v>224</x:v>
      </x:c>
      <x:c r="K301" s="8" t="n">
        <x:v>288</x:v>
      </x:c>
      <x:c r="L301" s="8" t="n">
        <x:v>269</x:v>
      </x:c>
      <x:c r="M301" s="8" t="n">
        <x:v>266</x:v>
      </x:c>
      <x:c r="N301" s="8" t="n">
        <x:v>0</x:v>
      </x:c>
      <x:c r="O301" s="8" t="n">
        <x:v>0</x:v>
      </x:c>
      <x:c r="P301" s="8" t="n">
        <x:v>674</x:v>
      </x:c>
      <x:c r="Q301" s="8" t="n">
        <x:v>655</x:v>
      </x:c>
      <x:c r="R301" s="8" t="n">
        <x:v>1329</x:v>
      </x:c>
      <x:c r="S301" s="8" t="n">
        <x:v>47</x:v>
      </x:c>
      <x:c r="T301" s="8" t="n">
        <x:v>10</x:v>
      </x:c>
      <x:c r="U301" s="2" t="str">
        <x:v>2025年12月25日現在</x:v>
      </x:c>
      <x:c r="V301" s="2" t="str">
        <x:v>2025-12-25</x:v>
      </x:c>
      <x:c r="W301" s="2" t="str">
        <x:v>https://www.e-stat.go.jp/stat-search/file-download?statInfId=000040146718&amp;fileKind=0</x:v>
      </x:c>
      <x:c r="X301" s="2" t="str">
        <x:v>海上出入貨物!859行、コンテナ個数!149行</x:v>
      </x:c>
      <x:c r="Y301" s="2" t="str">
        <x:v>取得済</x:v>
      </x:c>
      <x:c r="Z301" s="9" t="n">
        <x:f>IF(AND(ISNUMBER(E301),COUNTIFS($A$2:$A$477,EDATE(A301,-12),$B$2:$B$477,B301,$E$2:$E$477,"&gt;0")=1),E301/SUMIFS($E$2:$E$477,$A$2:$A$477,EDATE(A301,-12),$B$2:$B$477,B301)-1,"")</x:f>
        <x:v>-0.08890596976684606</x:v>
      </x:c>
      <x:c r="AA301" s="10" t="n">
        <x:f>IF(COUNTIFS($A$2:$A$477,"&gt;="&amp;EDATE(A301,-2),$A$2:$A$477,"&lt;="&amp;A301,$B$2:$B$477,B301,$E$2:$E$477,"&gt;=0")=3,SUMIFS($E$2:$E$477,$A$2:$A$477,"&gt;="&amp;EDATE(A301,-2),$A$2:$A$477,"&lt;="&amp;A301,$B$2:$B$477,B301)/3,"")</x:f>
        <x:v>2993.3333333333335</x:v>
      </x:c>
      <x:c r="AB301" s="9" t="n">
        <x:f>IF(AND(ISNUMBER(J301),COUNTIFS($A$2:$A$477,EDATE(A301,-12),$B$2:$B$477,B301,$J$2:$J$477,"&gt;0")=1),J301/SUMIFS($J$2:$J$477,$A$2:$A$477,EDATE(A301,-12),$B$2:$B$477,B301)-1,"")</x:f>
        <x:v>-0.06666666666666665</x:v>
      </x:c>
    </x:row>
    <x:row r="302" ht="21" customHeight="1">
      <x:c r="A302" s="7" t="n">
        <x:v>45474</x:v>
      </x:c>
      <x:c r="B302" s="2" t="str">
        <x:v>八代</x:v>
      </x:c>
      <x:c r="C302" s="2" t="str">
        <x:v>熊本県</x:v>
      </x:c>
      <x:c r="D302" s="8" t="n">
        <x:v>339004</x:v>
      </x:c>
      <x:c r="E302" s="8" t="n">
        <x:v>19426</x:v>
      </x:c>
      <x:c r="F302" s="8" t="n">
        <x:v>155479</x:v>
      </x:c>
      <x:c r="G302" s="8" t="n">
        <x:v>29466</x:v>
      </x:c>
      <x:c r="H302" s="8" t="n">
        <x:v>134633</x:v>
      </x:c>
      <x:c r="I302" s="8" t="n">
        <x:v>1330</x:v>
      </x:c>
      <x:c r="J302" s="8" t="n">
        <x:v>611</x:v>
      </x:c>
      <x:c r="K302" s="8" t="n">
        <x:v>669</x:v>
      </x:c>
      <x:c r="L302" s="8" t="n">
        <x:v>38</x:v>
      </x:c>
      <x:c r="M302" s="8" t="n">
        <x:v>12</x:v>
      </x:c>
      <x:c r="N302" s="8" t="n">
        <x:v>0</x:v>
      </x:c>
      <x:c r="O302" s="8" t="n">
        <x:v>0</x:v>
      </x:c>
      <x:c r="P302" s="8" t="n">
        <x:v>0</x:v>
      </x:c>
      <x:c r="Q302" s="8" t="n">
        <x:v>0</x:v>
      </x:c>
      <x:c r="R302" s="8" t="n">
        <x:v>0</x:v>
      </x:c>
      <x:c r="S302" s="8" t="n">
        <x:v>208</x:v>
      </x:c>
      <x:c r="T302" s="8" t="n">
        <x:v>35</x:v>
      </x:c>
      <x:c r="U302" s="2" t="str">
        <x:v>2025年12月25日現在</x:v>
      </x:c>
      <x:c r="V302" s="2" t="str">
        <x:v>2025-12-25</x:v>
      </x:c>
      <x:c r="W302" s="2" t="str">
        <x:v>https://www.e-stat.go.jp/stat-search/file-download?statInfId=000040146718&amp;fileKind=0</x:v>
      </x:c>
      <x:c r="X302" s="2" t="str">
        <x:v>海上出入貨物!847行、コンテナ個数!147行</x:v>
      </x:c>
      <x:c r="Y302" s="2" t="str">
        <x:v>取得済</x:v>
      </x:c>
      <x:c r="Z302" s="9" t="n">
        <x:f>IF(AND(ISNUMBER(E302),COUNTIFS($A$2:$A$477,EDATE(A302,-12),$B$2:$B$477,B302,$E$2:$E$477,"&gt;0")=1),E302/SUMIFS($E$2:$E$477,$A$2:$A$477,EDATE(A302,-12),$B$2:$B$477,B302)-1,"")</x:f>
        <x:v>-0.37385979049153906</x:v>
      </x:c>
      <x:c r="AA302" s="10" t="n">
        <x:f>IF(COUNTIFS($A$2:$A$477,"&gt;="&amp;EDATE(A302,-2),$A$2:$A$477,"&lt;="&amp;A302,$B$2:$B$477,B302,$E$2:$E$477,"&gt;=0")=3,SUMIFS($E$2:$E$477,$A$2:$A$477,"&gt;="&amp;EDATE(A302,-2),$A$2:$A$477,"&lt;="&amp;A302,$B$2:$B$477,B302)/3,"")</x:f>
        <x:v>22324.666666666668</x:v>
      </x:c>
      <x:c r="AB302" s="9" t="n">
        <x:f>IF(AND(ISNUMBER(J302),COUNTIFS($A$2:$A$477,EDATE(A302,-12),$B$2:$B$477,B302,$J$2:$J$477,"&gt;0")=1),J302/SUMIFS($J$2:$J$477,$A$2:$A$477,EDATE(A302,-12),$B$2:$B$477,B302)-1,"")</x:f>
        <x:v>0.07381370826010536</x:v>
      </x:c>
    </x:row>
    <x:row r="303" ht="21" customHeight="1">
      <x:c r="A303" s="7" t="n">
        <x:v>45505</x:v>
      </x:c>
      <x:c r="B303" s="2" t="str">
        <x:v>仙台塩釜</x:v>
      </x:c>
      <x:c r="C303" s="2" t="str">
        <x:v>宮城県</x:v>
      </x:c>
      <x:c r="D303" s="8" t="n">
        <x:v>3036723</x:v>
      </x:c>
      <x:c r="E303" s="8" t="n">
        <x:v>66012</x:v>
      </x:c>
      <x:c r="F303" s="8" t="n">
        <x:v>850289</x:v>
      </x:c>
      <x:c r="G303" s="8" t="n">
        <x:v>978892</x:v>
      </x:c>
      <x:c r="H303" s="8" t="n">
        <x:v>1141530</x:v>
      </x:c>
      <x:c r="I303" s="8" t="n">
        <x:v>17835</x:v>
      </x:c>
      <x:c r="J303" s="8" t="n">
        <x:v>4639</x:v>
      </x:c>
      <x:c r="K303" s="8" t="n">
        <x:v>4981</x:v>
      </x:c>
      <x:c r="L303" s="8" t="n">
        <x:v>4265</x:v>
      </x:c>
      <x:c r="M303" s="8" t="n">
        <x:v>3950</x:v>
      </x:c>
      <x:c r="N303" s="8" t="n">
        <x:v>0</x:v>
      </x:c>
      <x:c r="O303" s="8" t="n">
        <x:v>0</x:v>
      </x:c>
      <x:c r="P303" s="8" t="n">
        <x:v>584</x:v>
      </x:c>
      <x:c r="Q303" s="8" t="n">
        <x:v>652</x:v>
      </x:c>
      <x:c r="R303" s="8" t="n">
        <x:v>1236</x:v>
      </x:c>
      <x:c r="S303" s="8" t="n">
        <x:v>2136</x:v>
      </x:c>
      <x:c r="T303" s="8" t="n">
        <x:v>77</x:v>
      </x:c>
      <x:c r="U303" s="2" t="str">
        <x:v>2025年12月25日現在</x:v>
      </x:c>
      <x:c r="V303" s="2" t="str">
        <x:v>2025-12-25</x:v>
      </x:c>
      <x:c r="W303" s="2" t="str">
        <x:v>https://www.e-stat.go.jp/stat-search/file-download?statInfId=000040146718&amp;fileKind=0</x:v>
      </x:c>
      <x:c r="X303" s="2" t="str">
        <x:v>海上出入貨物!139行、コンテナ個数!29行</x:v>
      </x:c>
      <x:c r="Y303" s="2" t="str">
        <x:v>取得済</x:v>
      </x:c>
      <x:c r="Z303" s="9" t="n">
        <x:f>IF(AND(ISNUMBER(E303),COUNTIFS($A$2:$A$477,EDATE(A303,-12),$B$2:$B$477,B303,$E$2:$E$477,"&gt;0")=1),E303/SUMIFS($E$2:$E$477,$A$2:$A$477,EDATE(A303,-12),$B$2:$B$477,B303)-1,"")</x:f>
        <x:v>0.1097251407917963</x:v>
      </x:c>
      <x:c r="AA303" s="10" t="n">
        <x:f>IF(COUNTIFS($A$2:$A$477,"&gt;="&amp;EDATE(A303,-2),$A$2:$A$477,"&lt;="&amp;A303,$B$2:$B$477,B303,$E$2:$E$477,"&gt;=0")=3,SUMIFS($E$2:$E$477,$A$2:$A$477,"&gt;="&amp;EDATE(A303,-2),$A$2:$A$477,"&lt;="&amp;A303,$B$2:$B$477,B303)/3,"")</x:f>
        <x:v>82108</x:v>
      </x:c>
      <x:c r="AB303" s="9" t="n">
        <x:f>IF(AND(ISNUMBER(J303),COUNTIFS($A$2:$A$477,EDATE(A303,-12),$B$2:$B$477,B303,$J$2:$J$477,"&gt;0")=1),J303/SUMIFS($J$2:$J$477,$A$2:$A$477,EDATE(A303,-12),$B$2:$B$477,B303)-1,"")</x:f>
        <x:v>0.19162599537631642</x:v>
      </x:c>
    </x:row>
    <x:row r="304" ht="21" customHeight="1">
      <x:c r="A304" s="7" t="n">
        <x:v>45505</x:v>
      </x:c>
      <x:c r="B304" s="2" t="str">
        <x:v>東京</x:v>
      </x:c>
      <x:c r="C304" s="2" t="str">
        <x:v>東京都</x:v>
      </x:c>
      <x:c r="D304" s="8" t="n">
        <x:v>6376869</x:v>
      </x:c>
      <x:c r="E304" s="8" t="n">
        <x:v>866356</x:v>
      </x:c>
      <x:c r="F304" s="8" t="n">
        <x:v>2814868</x:v>
      </x:c>
      <x:c r="G304" s="8" t="n">
        <x:v>944965</x:v>
      </x:c>
      <x:c r="H304" s="8" t="n">
        <x:v>1750680</x:v>
      </x:c>
      <x:c r="I304" s="8" t="n">
        <x:v>383483</x:v>
      </x:c>
      <x:c r="J304" s="8" t="n">
        <x:v>149991</x:v>
      </x:c>
      <x:c r="K304" s="8" t="n">
        <x:v>191104</x:v>
      </x:c>
      <x:c r="L304" s="8" t="n">
        <x:v>31802</x:v>
      </x:c>
      <x:c r="M304" s="8" t="n">
        <x:v>10586</x:v>
      </x:c>
      <x:c r="N304" s="8" t="n">
        <x:v>0</x:v>
      </x:c>
      <x:c r="O304" s="8" t="n">
        <x:v>0</x:v>
      </x:c>
      <x:c r="P304" s="8" t="n">
        <x:v>369</x:v>
      </x:c>
      <x:c r="Q304" s="8" t="n">
        <x:v>194</x:v>
      </x:c>
      <x:c r="R304" s="8" t="n">
        <x:v>563</x:v>
      </x:c>
      <x:c r="S304" s="8" t="n">
        <x:v>1552</x:v>
      </x:c>
      <x:c r="T304" s="8" t="n">
        <x:v>395</x:v>
      </x:c>
      <x:c r="U304" s="2" t="str">
        <x:v>2025年12月25日現在</x:v>
      </x:c>
      <x:c r="V304" s="2" t="str">
        <x:v>2025-12-25</x:v>
      </x:c>
      <x:c r="W304" s="2" t="str">
        <x:v>https://www.e-stat.go.jp/stat-search/file-download?statInfId=000040146718&amp;fileKind=0</x:v>
      </x:c>
      <x:c r="X304" s="2" t="str">
        <x:v>海上出入貨物!205行、コンテナ個数!40行</x:v>
      </x:c>
      <x:c r="Y304" s="2" t="str">
        <x:v>取得済</x:v>
      </x:c>
      <x:c r="Z304" s="9" t="n">
        <x:f>IF(AND(ISNUMBER(E304),COUNTIFS($A$2:$A$477,EDATE(A304,-12),$B$2:$B$477,B304,$E$2:$E$477,"&gt;0")=1),E304/SUMIFS($E$2:$E$477,$A$2:$A$477,EDATE(A304,-12),$B$2:$B$477,B304)-1,"")</x:f>
        <x:v>-0.026130786576469056</x:v>
      </x:c>
      <x:c r="AA304" s="10" t="n">
        <x:f>IF(COUNTIFS($A$2:$A$477,"&gt;="&amp;EDATE(A304,-2),$A$2:$A$477,"&lt;="&amp;A304,$B$2:$B$477,B304,$E$2:$E$477,"&gt;=0")=3,SUMIFS($E$2:$E$477,$A$2:$A$477,"&gt;="&amp;EDATE(A304,-2),$A$2:$A$477,"&lt;="&amp;A304,$B$2:$B$477,B304)/3,"")</x:f>
        <x:v>934827</x:v>
      </x:c>
      <x:c r="AB304" s="9" t="n">
        <x:f>IF(AND(ISNUMBER(J304),COUNTIFS($A$2:$A$477,EDATE(A304,-12),$B$2:$B$477,B304,$J$2:$J$477,"&gt;0")=1),J304/SUMIFS($J$2:$J$477,$A$2:$A$477,EDATE(A304,-12),$B$2:$B$477,B304)-1,"")</x:f>
        <x:v>0.04259608099372314</x:v>
      </x:c>
    </x:row>
    <x:row r="305" ht="21" customHeight="1">
      <x:c r="A305" s="7" t="n">
        <x:v>45505</x:v>
      </x:c>
      <x:c r="B305" s="2" t="str">
        <x:v>横浜</x:v>
      </x:c>
      <x:c r="C305" s="2" t="str">
        <x:v>神奈川県</x:v>
      </x:c>
      <x:c r="D305" s="8" t="n">
        <x:v>8594513</x:v>
      </x:c>
      <x:c r="E305" s="8" t="n">
        <x:v>2304394</x:v>
      </x:c>
      <x:c r="F305" s="8" t="n">
        <x:v>3621053</x:v>
      </x:c>
      <x:c r="G305" s="8" t="n">
        <x:v>985743</x:v>
      </x:c>
      <x:c r="H305" s="8" t="n">
        <x:v>1683323</x:v>
      </x:c>
      <x:c r="I305" s="8" t="n">
        <x:v>242736</x:v>
      </x:c>
      <x:c r="J305" s="8" t="n">
        <x:v>115249</x:v>
      </x:c>
      <x:c r="K305" s="8" t="n">
        <x:v>102698</x:v>
      </x:c>
      <x:c r="L305" s="8" t="n">
        <x:v>10037</x:v>
      </x:c>
      <x:c r="M305" s="8" t="n">
        <x:v>14752</x:v>
      </x:c>
      <x:c r="N305" s="8" t="n">
        <x:v>0</x:v>
      </x:c>
      <x:c r="O305" s="8" t="n">
        <x:v>0</x:v>
      </x:c>
      <x:c r="P305" s="8" t="n">
        <x:v>0</x:v>
      </x:c>
      <x:c r="Q305" s="8" t="n">
        <x:v>0</x:v>
      </x:c>
      <x:c r="R305" s="8" t="n">
        <x:v>0</x:v>
      </x:c>
      <x:c r="S305" s="8" t="n">
        <x:v>1925</x:v>
      </x:c>
      <x:c r="T305" s="8" t="n">
        <x:v>696</x:v>
      </x:c>
      <x:c r="U305" s="2" t="str">
        <x:v>2025年12月25日現在</x:v>
      </x:c>
      <x:c r="V305" s="2" t="str">
        <x:v>2025-12-25</x:v>
      </x:c>
      <x:c r="W305" s="2" t="str">
        <x:v>https://www.e-stat.go.jp/stat-search/file-download?statInfId=000040146718&amp;fileKind=0</x:v>
      </x:c>
      <x:c r="X305" s="2" t="str">
        <x:v>海上出入貨物!217行、コンテナ個数!42行</x:v>
      </x:c>
      <x:c r="Y305" s="2" t="str">
        <x:v>取得済</x:v>
      </x:c>
      <x:c r="Z305" s="9" t="n">
        <x:f>IF(AND(ISNUMBER(E305),COUNTIFS($A$2:$A$477,EDATE(A305,-12),$B$2:$B$477,B305,$E$2:$E$477,"&gt;0")=1),E305/SUMIFS($E$2:$E$477,$A$2:$A$477,EDATE(A305,-12),$B$2:$B$477,B305)-1,"")</x:f>
        <x:v>-0.044143559690992595</x:v>
      </x:c>
      <x:c r="AA305" s="10" t="n">
        <x:f>IF(COUNTIFS($A$2:$A$477,"&gt;="&amp;EDATE(A305,-2),$A$2:$A$477,"&lt;="&amp;A305,$B$2:$B$477,B305,$E$2:$E$477,"&gt;=0")=3,SUMIFS($E$2:$E$477,$A$2:$A$477,"&gt;="&amp;EDATE(A305,-2),$A$2:$A$477,"&lt;="&amp;A305,$B$2:$B$477,B305)/3,"")</x:f>
        <x:v>2438205.6666666665</x:v>
      </x:c>
      <x:c r="AB305" s="9" t="n">
        <x:f>IF(AND(ISNUMBER(J305),COUNTIFS($A$2:$A$477,EDATE(A305,-12),$B$2:$B$477,B305,$J$2:$J$477,"&gt;0")=1),J305/SUMIFS($J$2:$J$477,$A$2:$A$477,EDATE(A305,-12),$B$2:$B$477,B305)-1,"")</x:f>
        <x:v>0.03270638625794131</x:v>
      </x:c>
    </x:row>
    <x:row r="306" ht="21" customHeight="1">
      <x:c r="A306" s="7" t="n">
        <x:v>45505</x:v>
      </x:c>
      <x:c r="B306" s="2" t="str">
        <x:v>清水</x:v>
      </x:c>
      <x:c r="C306" s="2" t="str">
        <x:v>静岡県</x:v>
      </x:c>
      <x:c r="D306" s="8" t="n">
        <x:v>1178985</x:v>
      </x:c>
      <x:c r="E306" s="8" t="n">
        <x:v>210317</x:v>
      </x:c>
      <x:c r="F306" s="8" t="n">
        <x:v>555393</x:v>
      </x:c>
      <x:c r="G306" s="8" t="n">
        <x:v>131744</x:v>
      </x:c>
      <x:c r="H306" s="8" t="n">
        <x:v>281531</x:v>
      </x:c>
      <x:c r="I306" s="8" t="n">
        <x:v>36616</x:v>
      </x:c>
      <x:c r="J306" s="8" t="n">
        <x:v>13489</x:v>
      </x:c>
      <x:c r="K306" s="8" t="n">
        <x:v>16116</x:v>
      </x:c>
      <x:c r="L306" s="8" t="n">
        <x:v>3362</x:v>
      </x:c>
      <x:c r="M306" s="8" t="n">
        <x:v>3649</x:v>
      </x:c>
      <x:c r="N306" s="8" t="n">
        <x:v>0</x:v>
      </x:c>
      <x:c r="O306" s="8" t="n">
        <x:v>0</x:v>
      </x:c>
      <x:c r="P306" s="8" t="n">
        <x:v>1</x:v>
      </x:c>
      <x:c r="Q306" s="8" t="n">
        <x:v>1</x:v>
      </x:c>
      <x:c r="R306" s="8" t="n">
        <x:v>2</x:v>
      </x:c>
      <x:c r="S306" s="8" t="n">
        <x:v>367</x:v>
      </x:c>
      <x:c r="T306" s="8" t="n">
        <x:v>123</x:v>
      </x:c>
      <x:c r="U306" s="2" t="str">
        <x:v>2025年12月25日現在</x:v>
      </x:c>
      <x:c r="V306" s="2" t="str">
        <x:v>2025-12-25</x:v>
      </x:c>
      <x:c r="W306" s="2" t="str">
        <x:v>https://www.e-stat.go.jp/stat-search/file-download?statInfId=000040146718&amp;fileKind=0</x:v>
      </x:c>
      <x:c r="X306" s="2" t="str">
        <x:v>海上出入貨物!313行、コンテナ個数!58行</x:v>
      </x:c>
      <x:c r="Y306" s="2" t="str">
        <x:v>取得済</x:v>
      </x:c>
      <x:c r="Z306" s="9" t="n">
        <x:f>IF(AND(ISNUMBER(E306),COUNTIFS($A$2:$A$477,EDATE(A306,-12),$B$2:$B$477,B306,$E$2:$E$477,"&gt;0")=1),E306/SUMIFS($E$2:$E$477,$A$2:$A$477,EDATE(A306,-12),$B$2:$B$477,B306)-1,"")</x:f>
        <x:v>-0.10102499658049513</x:v>
      </x:c>
      <x:c r="AA306" s="10" t="n">
        <x:f>IF(COUNTIFS($A$2:$A$477,"&gt;="&amp;EDATE(A306,-2),$A$2:$A$477,"&lt;="&amp;A306,$B$2:$B$477,B306,$E$2:$E$477,"&gt;=0")=3,SUMIFS($E$2:$E$477,$A$2:$A$477,"&gt;="&amp;EDATE(A306,-2),$A$2:$A$477,"&lt;="&amp;A306,$B$2:$B$477,B306)/3,"")</x:f>
        <x:v>251897.66666666666</x:v>
      </x:c>
      <x:c r="AB306" s="9" t="n">
        <x:f>IF(AND(ISNUMBER(J306),COUNTIFS($A$2:$A$477,EDATE(A306,-12),$B$2:$B$477,B306,$J$2:$J$477,"&gt;0")=1),J306/SUMIFS($J$2:$J$477,$A$2:$A$477,EDATE(A306,-12),$B$2:$B$477,B306)-1,"")</x:f>
        <x:v>-0.08006547091318283</x:v>
      </x:c>
    </x:row>
    <x:row r="307" ht="21" customHeight="1">
      <x:c r="A307" s="7" t="n">
        <x:v>45505</x:v>
      </x:c>
      <x:c r="B307" s="2" t="str">
        <x:v>博多</x:v>
      </x:c>
      <x:c r="C307" s="2" t="str">
        <x:v>福岡県</x:v>
      </x:c>
      <x:c r="D307" s="8" t="n">
        <x:v>2649465</x:v>
      </x:c>
      <x:c r="E307" s="8" t="n">
        <x:v>561128</x:v>
      </x:c>
      <x:c r="F307" s="8" t="n">
        <x:v>787581</x:v>
      </x:c>
      <x:c r="G307" s="8" t="n">
        <x:v>432574</x:v>
      </x:c>
      <x:c r="H307" s="8" t="n">
        <x:v>868182</x:v>
      </x:c>
      <x:c r="I307" s="8" t="n">
        <x:v>74187</x:v>
      </x:c>
      <x:c r="J307" s="8" t="n">
        <x:v>29808</x:v>
      </x:c>
      <x:c r="K307" s="8" t="n">
        <x:v>33247</x:v>
      </x:c>
      <x:c r="L307" s="8" t="n">
        <x:v>5178</x:v>
      </x:c>
      <x:c r="M307" s="8" t="n">
        <x:v>5954</x:v>
      </x:c>
      <x:c r="N307" s="8" t="n">
        <x:v>0</x:v>
      </x:c>
      <x:c r="O307" s="8" t="n">
        <x:v>0</x:v>
      </x:c>
      <x:c r="P307" s="8" t="n">
        <x:v>1851</x:v>
      </x:c>
      <x:c r="Q307" s="8" t="n">
        <x:v>1866</x:v>
      </x:c>
      <x:c r="R307" s="8" t="n">
        <x:v>3717</x:v>
      </x:c>
      <x:c r="S307" s="8" t="n">
        <x:v>1555</x:v>
      </x:c>
      <x:c r="T307" s="8" t="n">
        <x:v>260</x:v>
      </x:c>
      <x:c r="U307" s="2" t="str">
        <x:v>2025年12月25日現在</x:v>
      </x:c>
      <x:c r="V307" s="2" t="str">
        <x:v>2025-12-25</x:v>
      </x:c>
      <x:c r="W307" s="2" t="str">
        <x:v>https://www.e-stat.go.jp/stat-search/file-download?statInfId=000040146718&amp;fileKind=0</x:v>
      </x:c>
      <x:c r="X307" s="2" t="str">
        <x:v>海上出入貨物!745行、コンテナ個数!130行</x:v>
      </x:c>
      <x:c r="Y307" s="2" t="str">
        <x:v>取得済</x:v>
      </x:c>
      <x:c r="Z307" s="9" t="n">
        <x:f>IF(AND(ISNUMBER(E307),COUNTIFS($A$2:$A$477,EDATE(A307,-12),$B$2:$B$477,B307,$E$2:$E$477,"&gt;0")=1),E307/SUMIFS($E$2:$E$477,$A$2:$A$477,EDATE(A307,-12),$B$2:$B$477,B307)-1,"")</x:f>
        <x:v>-0.17065160681004277</x:v>
      </x:c>
      <x:c r="AA307" s="10" t="n">
        <x:f>IF(COUNTIFS($A$2:$A$477,"&gt;="&amp;EDATE(A307,-2),$A$2:$A$477,"&lt;="&amp;A307,$B$2:$B$477,B307,$E$2:$E$477,"&gt;=0")=3,SUMIFS($E$2:$E$477,$A$2:$A$477,"&gt;="&amp;EDATE(A307,-2),$A$2:$A$477,"&lt;="&amp;A307,$B$2:$B$477,B307)/3,"")</x:f>
        <x:v>688344</x:v>
      </x:c>
      <x:c r="AB307" s="9" t="n">
        <x:f>IF(AND(ISNUMBER(J307),COUNTIFS($A$2:$A$477,EDATE(A307,-12),$B$2:$B$477,B307,$J$2:$J$477,"&gt;0")=1),J307/SUMIFS($J$2:$J$477,$A$2:$A$477,EDATE(A307,-12),$B$2:$B$477,B307)-1,"")</x:f>
        <x:v>-0.040617959446411334</x:v>
      </x:c>
    </x:row>
    <x:row r="308" ht="21" customHeight="1">
      <x:c r="A308" s="7" t="n">
        <x:v>45505</x:v>
      </x:c>
      <x:c r="B308" s="2" t="str">
        <x:v>熊本</x:v>
      </x:c>
      <x:c r="C308" s="2" t="str">
        <x:v>熊本県</x:v>
      </x:c>
      <x:c r="D308" s="8" t="n">
        <x:v>302117</x:v>
      </x:c>
      <x:c r="E308" s="8" t="n">
        <x:v>4190</x:v>
      </x:c>
      <x:c r="F308" s="8" t="n">
        <x:v>4408</x:v>
      </x:c>
      <x:c r="G308" s="8" t="n">
        <x:v>121663</x:v>
      </x:c>
      <x:c r="H308" s="8" t="n">
        <x:v>171856</x:v>
      </x:c>
      <x:c r="I308" s="8" t="n">
        <x:v>930</x:v>
      </x:c>
      <x:c r="J308" s="8" t="n">
        <x:v>245</x:v>
      </x:c>
      <x:c r="K308" s="8" t="n">
        <x:v>233</x:v>
      </x:c>
      <x:c r="L308" s="8" t="n">
        <x:v>171</x:v>
      </x:c>
      <x:c r="M308" s="8" t="n">
        <x:v>281</x:v>
      </x:c>
      <x:c r="N308" s="8" t="n">
        <x:v>0</x:v>
      </x:c>
      <x:c r="O308" s="8" t="n">
        <x:v>0</x:v>
      </x:c>
      <x:c r="P308" s="8" t="n">
        <x:v>582</x:v>
      </x:c>
      <x:c r="Q308" s="8" t="n">
        <x:v>588</x:v>
      </x:c>
      <x:c r="R308" s="8" t="n">
        <x:v>1170</x:v>
      </x:c>
      <x:c r="S308" s="8" t="n">
        <x:v>35</x:v>
      </x:c>
      <x:c r="T308" s="8" t="n">
        <x:v>7</x:v>
      </x:c>
      <x:c r="U308" s="2" t="str">
        <x:v>2025年12月25日現在</x:v>
      </x:c>
      <x:c r="V308" s="2" t="str">
        <x:v>2025-12-25</x:v>
      </x:c>
      <x:c r="W308" s="2" t="str">
        <x:v>https://www.e-stat.go.jp/stat-search/file-download?statInfId=000040146718&amp;fileKind=0</x:v>
      </x:c>
      <x:c r="X308" s="2" t="str">
        <x:v>海上出入貨物!859行、コンテナ個数!149行</x:v>
      </x:c>
      <x:c r="Y308" s="2" t="str">
        <x:v>取得済</x:v>
      </x:c>
      <x:c r="Z308" s="9" t="n">
        <x:f>IF(AND(ISNUMBER(E308),COUNTIFS($A$2:$A$477,EDATE(A308,-12),$B$2:$B$477,B308,$E$2:$E$477,"&gt;0")=1),E308/SUMIFS($E$2:$E$477,$A$2:$A$477,EDATE(A308,-12),$B$2:$B$477,B308)-1,"")</x:f>
        <x:v>-0.057155715571557186</x:v>
      </x:c>
      <x:c r="AA308" s="10" t="n">
        <x:f>IF(COUNTIFS($A$2:$A$477,"&gt;="&amp;EDATE(A308,-2),$A$2:$A$477,"&lt;="&amp;A308,$B$2:$B$477,B308,$E$2:$E$477,"&gt;=0")=3,SUMIFS($E$2:$E$477,$A$2:$A$477,"&gt;="&amp;EDATE(A308,-2),$A$2:$A$477,"&lt;="&amp;A308,$B$2:$B$477,B308)/3,"")</x:f>
        <x:v>3367.3333333333335</x:v>
      </x:c>
      <x:c r="AB308" s="9" t="n">
        <x:f>IF(AND(ISNUMBER(J308),COUNTIFS($A$2:$A$477,EDATE(A308,-12),$B$2:$B$477,B308,$J$2:$J$477,"&gt;0")=1),J308/SUMIFS($J$2:$J$477,$A$2:$A$477,EDATE(A308,-12),$B$2:$B$477,B308)-1,"")</x:f>
        <x:v>0.06060606060606055</x:v>
      </x:c>
    </x:row>
    <x:row r="309" ht="21" customHeight="1">
      <x:c r="A309" s="7" t="n">
        <x:v>45505</x:v>
      </x:c>
      <x:c r="B309" s="2" t="str">
        <x:v>八代</x:v>
      </x:c>
      <x:c r="C309" s="2" t="str">
        <x:v>熊本県</x:v>
      </x:c>
      <x:c r="D309" s="8" t="n">
        <x:v>320618</x:v>
      </x:c>
      <x:c r="E309" s="8" t="n">
        <x:v>20898</x:v>
      </x:c>
      <x:c r="F309" s="8" t="n">
        <x:v>114258</x:v>
      </x:c>
      <x:c r="G309" s="8" t="n">
        <x:v>28854</x:v>
      </x:c>
      <x:c r="H309" s="8" t="n">
        <x:v>156608</x:v>
      </x:c>
      <x:c r="I309" s="8" t="n">
        <x:v>1245</x:v>
      </x:c>
      <x:c r="J309" s="8" t="n">
        <x:v>598</x:v>
      </x:c>
      <x:c r="K309" s="8" t="n">
        <x:v>498</x:v>
      </x:c>
      <x:c r="L309" s="8" t="n">
        <x:v>61</x:v>
      </x:c>
      <x:c r="M309" s="8" t="n">
        <x:v>88</x:v>
      </x:c>
      <x:c r="N309" s="8" t="n">
        <x:v>0</x:v>
      </x:c>
      <x:c r="O309" s="8" t="n">
        <x:v>0</x:v>
      </x:c>
      <x:c r="P309" s="8" t="n">
        <x:v>0</x:v>
      </x:c>
      <x:c r="Q309" s="8" t="n">
        <x:v>0</x:v>
      </x:c>
      <x:c r="R309" s="8" t="n">
        <x:v>0</x:v>
      </x:c>
      <x:c r="S309" s="8" t="n">
        <x:v>222</x:v>
      </x:c>
      <x:c r="T309" s="8" t="n">
        <x:v>32</x:v>
      </x:c>
      <x:c r="U309" s="2" t="str">
        <x:v>2025年12月25日現在</x:v>
      </x:c>
      <x:c r="V309" s="2" t="str">
        <x:v>2025-12-25</x:v>
      </x:c>
      <x:c r="W309" s="2" t="str">
        <x:v>https://www.e-stat.go.jp/stat-search/file-download?statInfId=000040146718&amp;fileKind=0</x:v>
      </x:c>
      <x:c r="X309" s="2" t="str">
        <x:v>海上出入貨物!847行、コンテナ個数!147行</x:v>
      </x:c>
      <x:c r="Y309" s="2" t="str">
        <x:v>取得済</x:v>
      </x:c>
      <x:c r="Z309" s="9" t="n">
        <x:f>IF(AND(ISNUMBER(E309),COUNTIFS($A$2:$A$477,EDATE(A309,-12),$B$2:$B$477,B309,$E$2:$E$477,"&gt;0")=1),E309/SUMIFS($E$2:$E$477,$A$2:$A$477,EDATE(A309,-12),$B$2:$B$477,B309)-1,"")</x:f>
        <x:v>0.19110857794243374</x:v>
      </x:c>
      <x:c r="AA309" s="10" t="n">
        <x:f>IF(COUNTIFS($A$2:$A$477,"&gt;="&amp;EDATE(A309,-2),$A$2:$A$477,"&lt;="&amp;A309,$B$2:$B$477,B309,$E$2:$E$477,"&gt;=0")=3,SUMIFS($E$2:$E$477,$A$2:$A$477,"&gt;="&amp;EDATE(A309,-2),$A$2:$A$477,"&lt;="&amp;A309,$B$2:$B$477,B309)/3,"")</x:f>
        <x:v>21688.666666666668</x:v>
      </x:c>
      <x:c r="AB309" s="9" t="n">
        <x:f>IF(AND(ISNUMBER(J309),COUNTIFS($A$2:$A$477,EDATE(A309,-12),$B$2:$B$477,B309,$J$2:$J$477,"&gt;0")=1),J309/SUMIFS($J$2:$J$477,$A$2:$A$477,EDATE(A309,-12),$B$2:$B$477,B309)-1,"")</x:f>
        <x:v>-0.1308139534883721</x:v>
      </x:c>
    </x:row>
    <x:row r="310" ht="21" customHeight="1">
      <x:c r="A310" s="7" t="n">
        <x:v>45536</x:v>
      </x:c>
      <x:c r="B310" s="2" t="str">
        <x:v>仙台塩釜</x:v>
      </x:c>
      <x:c r="C310" s="2" t="str">
        <x:v>宮城県</x:v>
      </x:c>
      <x:c r="D310" s="8" t="n">
        <x:v>3542522</x:v>
      </x:c>
      <x:c r="E310" s="8" t="n">
        <x:v>112394</x:v>
      </x:c>
      <x:c r="F310" s="8" t="n">
        <x:v>1060000</x:v>
      </x:c>
      <x:c r="G310" s="8" t="n">
        <x:v>1229789</x:v>
      </x:c>
      <x:c r="H310" s="8" t="n">
        <x:v>1140339</x:v>
      </x:c>
      <x:c r="I310" s="8" t="n">
        <x:v>20166</x:v>
      </x:c>
      <x:c r="J310" s="8" t="n">
        <x:v>5307</x:v>
      </x:c>
      <x:c r="K310" s="8" t="n">
        <x:v>5601</x:v>
      </x:c>
      <x:c r="L310" s="8" t="n">
        <x:v>4701</x:v>
      </x:c>
      <x:c r="M310" s="8" t="n">
        <x:v>4557</x:v>
      </x:c>
      <x:c r="N310" s="8" t="n">
        <x:v>0</x:v>
      </x:c>
      <x:c r="O310" s="8" t="n">
        <x:v>0</x:v>
      </x:c>
      <x:c r="P310" s="8" t="n">
        <x:v>646</x:v>
      </x:c>
      <x:c r="Q310" s="8" t="n">
        <x:v>693</x:v>
      </x:c>
      <x:c r="R310" s="8" t="n">
        <x:v>1339</x:v>
      </x:c>
      <x:c r="S310" s="8" t="n">
        <x:v>1937</x:v>
      </x:c>
      <x:c r="T310" s="8" t="n">
        <x:v>86</x:v>
      </x:c>
      <x:c r="U310" s="2" t="str">
        <x:v>2025年12月25日現在</x:v>
      </x:c>
      <x:c r="V310" s="2" t="str">
        <x:v>2025-12-25</x:v>
      </x:c>
      <x:c r="W310" s="2" t="str">
        <x:v>https://www.e-stat.go.jp/stat-search/file-download?statInfId=000040146718&amp;fileKind=0</x:v>
      </x:c>
      <x:c r="X310" s="2" t="str">
        <x:v>海上出入貨物!139行、コンテナ個数!29行</x:v>
      </x:c>
      <x:c r="Y310" s="2" t="str">
        <x:v>取得済</x:v>
      </x:c>
      <x:c r="Z310" s="9" t="n">
        <x:f>IF(AND(ISNUMBER(E310),COUNTIFS($A$2:$A$477,EDATE(A310,-12),$B$2:$B$477,B310,$E$2:$E$477,"&gt;0")=1),E310/SUMIFS($E$2:$E$477,$A$2:$A$477,EDATE(A310,-12),$B$2:$B$477,B310)-1,"")</x:f>
        <x:v>0.01724153535646078</x:v>
      </x:c>
      <x:c r="AA310" s="10" t="n">
        <x:f>IF(COUNTIFS($A$2:$A$477,"&gt;="&amp;EDATE(A310,-2),$A$2:$A$477,"&lt;="&amp;A310,$B$2:$B$477,B310,$E$2:$E$477,"&gt;=0")=3,SUMIFS($E$2:$E$477,$A$2:$A$477,"&gt;="&amp;EDATE(A310,-2),$A$2:$A$477,"&lt;="&amp;A310,$B$2:$B$477,B310)/3,"")</x:f>
        <x:v>86832.66666666667</x:v>
      </x:c>
      <x:c r="AB310" s="9" t="n">
        <x:f>IF(AND(ISNUMBER(J310),COUNTIFS($A$2:$A$477,EDATE(A310,-12),$B$2:$B$477,B310,$J$2:$J$477,"&gt;0")=1),J310/SUMIFS($J$2:$J$477,$A$2:$A$477,EDATE(A310,-12),$B$2:$B$477,B310)-1,"")</x:f>
        <x:v>0.04283749263116521</x:v>
      </x:c>
    </x:row>
    <x:row r="311" ht="21" customHeight="1">
      <x:c r="A311" s="7" t="n">
        <x:v>45536</x:v>
      </x:c>
      <x:c r="B311" s="2" t="str">
        <x:v>東京</x:v>
      </x:c>
      <x:c r="C311" s="2" t="str">
        <x:v>東京都</x:v>
      </x:c>
      <x:c r="D311" s="8" t="n">
        <x:v>6977828</x:v>
      </x:c>
      <x:c r="E311" s="8" t="n">
        <x:v>888664</x:v>
      </x:c>
      <x:c r="F311" s="8" t="n">
        <x:v>2895340</x:v>
      </x:c>
      <x:c r="G311" s="8" t="n">
        <x:v>1220731</x:v>
      </x:c>
      <x:c r="H311" s="8" t="n">
        <x:v>1973093</x:v>
      </x:c>
      <x:c r="I311" s="8" t="n">
        <x:v>402923</x:v>
      </x:c>
      <x:c r="J311" s="8" t="n">
        <x:v>160475</x:v>
      </x:c>
      <x:c r="K311" s="8" t="n">
        <x:v>197964</x:v>
      </x:c>
      <x:c r="L311" s="8" t="n">
        <x:v>32602</x:v>
      </x:c>
      <x:c r="M311" s="8" t="n">
        <x:v>11882</x:v>
      </x:c>
      <x:c r="N311" s="8" t="n">
        <x:v>0</x:v>
      </x:c>
      <x:c r="O311" s="8" t="n">
        <x:v>0</x:v>
      </x:c>
      <x:c r="P311" s="8" t="n">
        <x:v>528</x:v>
      </x:c>
      <x:c r="Q311" s="8" t="n">
        <x:v>208</x:v>
      </x:c>
      <x:c r="R311" s="8" t="n">
        <x:v>736</x:v>
      </x:c>
      <x:c r="S311" s="8" t="n">
        <x:v>1590</x:v>
      </x:c>
      <x:c r="T311" s="8" t="n">
        <x:v>393</x:v>
      </x:c>
      <x:c r="U311" s="2" t="str">
        <x:v>2025年12月25日現在</x:v>
      </x:c>
      <x:c r="V311" s="2" t="str">
        <x:v>2025-12-25</x:v>
      </x:c>
      <x:c r="W311" s="2" t="str">
        <x:v>https://www.e-stat.go.jp/stat-search/file-download?statInfId=000040146718&amp;fileKind=0</x:v>
      </x:c>
      <x:c r="X311" s="2" t="str">
        <x:v>海上出入貨物!205行、コンテナ個数!40行</x:v>
      </x:c>
      <x:c r="Y311" s="2" t="str">
        <x:v>取得済</x:v>
      </x:c>
      <x:c r="Z311" s="9" t="n">
        <x:f>IF(AND(ISNUMBER(E311),COUNTIFS($A$2:$A$477,EDATE(A311,-12),$B$2:$B$477,B311,$E$2:$E$477,"&gt;0")=1),E311/SUMIFS($E$2:$E$477,$A$2:$A$477,EDATE(A311,-12),$B$2:$B$477,B311)-1,"")</x:f>
        <x:v>-0.044198597914726245</x:v>
      </x:c>
      <x:c r="AA311" s="10" t="n">
        <x:f>IF(COUNTIFS($A$2:$A$477,"&gt;="&amp;EDATE(A311,-2),$A$2:$A$477,"&lt;="&amp;A311,$B$2:$B$477,B311,$E$2:$E$477,"&gt;=0")=3,SUMIFS($E$2:$E$477,$A$2:$A$477,"&gt;="&amp;EDATE(A311,-2),$A$2:$A$477,"&lt;="&amp;A311,$B$2:$B$477,B311)/3,"")</x:f>
        <x:v>899902.3333333334</x:v>
      </x:c>
      <x:c r="AB311" s="9" t="n">
        <x:f>IF(AND(ISNUMBER(J311),COUNTIFS($A$2:$A$477,EDATE(A311,-12),$B$2:$B$477,B311,$J$2:$J$477,"&gt;0")=1),J311/SUMIFS($J$2:$J$477,$A$2:$A$477,EDATE(A311,-12),$B$2:$B$477,B311)-1,"")</x:f>
        <x:v>-0.01973061299288359</x:v>
      </x:c>
    </x:row>
    <x:row r="312" ht="21" customHeight="1">
      <x:c r="A312" s="7" t="n">
        <x:v>45536</x:v>
      </x:c>
      <x:c r="B312" s="2" t="str">
        <x:v>横浜</x:v>
      </x:c>
      <x:c r="C312" s="2" t="str">
        <x:v>神奈川県</x:v>
      </x:c>
      <x:c r="D312" s="8" t="n">
        <x:v>8171365</x:v>
      </x:c>
      <x:c r="E312" s="8" t="n">
        <x:v>2446545</x:v>
      </x:c>
      <x:c r="F312" s="8" t="n">
        <x:v>3572097</x:v>
      </x:c>
      <x:c r="G312" s="8" t="n">
        <x:v>774074</x:v>
      </x:c>
      <x:c r="H312" s="8" t="n">
        <x:v>1378649</x:v>
      </x:c>
      <x:c r="I312" s="8" t="n">
        <x:v>262992</x:v>
      </x:c>
      <x:c r="J312" s="8" t="n">
        <x:v>122547</x:v>
      </x:c>
      <x:c r="K312" s="8" t="n">
        <x:v>114003</x:v>
      </x:c>
      <x:c r="L312" s="8" t="n">
        <x:v>11425</x:v>
      </x:c>
      <x:c r="M312" s="8" t="n">
        <x:v>15017</x:v>
      </x:c>
      <x:c r="N312" s="8" t="n">
        <x:v>0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1950</x:v>
      </x:c>
      <x:c r="T312" s="8" t="n">
        <x:v>688</x:v>
      </x:c>
      <x:c r="U312" s="2" t="str">
        <x:v>2025年12月25日現在</x:v>
      </x:c>
      <x:c r="V312" s="2" t="str">
        <x:v>2025-12-25</x:v>
      </x:c>
      <x:c r="W312" s="2" t="str">
        <x:v>https://www.e-stat.go.jp/stat-search/file-download?statInfId=000040146718&amp;fileKind=0</x:v>
      </x:c>
      <x:c r="X312" s="2" t="str">
        <x:v>海上出入貨物!217行、コンテナ個数!42行</x:v>
      </x:c>
      <x:c r="Y312" s="2" t="str">
        <x:v>取得済</x:v>
      </x:c>
      <x:c r="Z312" s="9" t="n">
        <x:f>IF(AND(ISNUMBER(E312),COUNTIFS($A$2:$A$477,EDATE(A312,-12),$B$2:$B$477,B312,$E$2:$E$477,"&gt;0")=1),E312/SUMIFS($E$2:$E$477,$A$2:$A$477,EDATE(A312,-12),$B$2:$B$477,B312)-1,"")</x:f>
        <x:v>-0.11247829302950041</x:v>
      </x:c>
      <x:c r="AA312" s="10" t="n">
        <x:f>IF(COUNTIFS($A$2:$A$477,"&gt;="&amp;EDATE(A312,-2),$A$2:$A$477,"&lt;="&amp;A312,$B$2:$B$477,B312,$E$2:$E$477,"&gt;=0")=3,SUMIFS($E$2:$E$477,$A$2:$A$477,"&gt;="&amp;EDATE(A312,-2),$A$2:$A$477,"&lt;="&amp;A312,$B$2:$B$477,B312)/3,"")</x:f>
        <x:v>2425555.6666666665</x:v>
      </x:c>
      <x:c r="AB312" s="9" t="n">
        <x:f>IF(AND(ISNUMBER(J312),COUNTIFS($A$2:$A$477,EDATE(A312,-12),$B$2:$B$477,B312,$J$2:$J$477,"&gt;0")=1),J312/SUMIFS($J$2:$J$477,$A$2:$A$477,EDATE(A312,-12),$B$2:$B$477,B312)-1,"")</x:f>
        <x:v>0.00009793120332957095</x:v>
      </x:c>
    </x:row>
    <x:row r="313" ht="21" customHeight="1">
      <x:c r="A313" s="7" t="n">
        <x:v>45536</x:v>
      </x:c>
      <x:c r="B313" s="2" t="str">
        <x:v>清水</x:v>
      </x:c>
      <x:c r="C313" s="2" t="str">
        <x:v>静岡県</x:v>
      </x:c>
      <x:c r="D313" s="8" t="n">
        <x:v>1362631</x:v>
      </x:c>
      <x:c r="E313" s="8" t="n">
        <x:v>323521</x:v>
      </x:c>
      <x:c r="F313" s="8" t="n">
        <x:v>566170</x:v>
      </x:c>
      <x:c r="G313" s="8" t="n">
        <x:v>171835</x:v>
      </x:c>
      <x:c r="H313" s="8" t="n">
        <x:v>301105</x:v>
      </x:c>
      <x:c r="I313" s="8" t="n">
        <x:v>46032</x:v>
      </x:c>
      <x:c r="J313" s="8" t="n">
        <x:v>18249</x:v>
      </x:c>
      <x:c r="K313" s="8" t="n">
        <x:v>18201</x:v>
      </x:c>
      <x:c r="L313" s="8" t="n">
        <x:v>4573</x:v>
      </x:c>
      <x:c r="M313" s="8" t="n">
        <x:v>5009</x:v>
      </x:c>
      <x:c r="N313" s="8" t="n">
        <x:v>0</x:v>
      </x:c>
      <x:c r="O313" s="8" t="n">
        <x:v>0</x:v>
      </x:c>
      <x:c r="P313" s="8" t="n">
        <x:v>4</x:v>
      </x:c>
      <x:c r="Q313" s="8" t="n">
        <x:v>2</x:v>
      </x:c>
      <x:c r="R313" s="8" t="n">
        <x:v>6</x:v>
      </x:c>
      <x:c r="S313" s="8" t="n">
        <x:v>416</x:v>
      </x:c>
      <x:c r="T313" s="8" t="n">
        <x:v>148</x:v>
      </x:c>
      <x:c r="U313" s="2" t="str">
        <x:v>2025年12月25日現在</x:v>
      </x:c>
      <x:c r="V313" s="2" t="str">
        <x:v>2025-12-25</x:v>
      </x:c>
      <x:c r="W313" s="2" t="str">
        <x:v>https://www.e-stat.go.jp/stat-search/file-download?statInfId=000040146718&amp;fileKind=0</x:v>
      </x:c>
      <x:c r="X313" s="2" t="str">
        <x:v>海上出入貨物!313行、コンテナ個数!58行</x:v>
      </x:c>
      <x:c r="Y313" s="2" t="str">
        <x:v>取得済</x:v>
      </x:c>
      <x:c r="Z313" s="9" t="n">
        <x:f>IF(AND(ISNUMBER(E313),COUNTIFS($A$2:$A$477,EDATE(A313,-12),$B$2:$B$477,B313,$E$2:$E$477,"&gt;0")=1),E313/SUMIFS($E$2:$E$477,$A$2:$A$477,EDATE(A313,-12),$B$2:$B$477,B313)-1,"")</x:f>
        <x:v>0.11540888200877797</x:v>
      </x:c>
      <x:c r="AA313" s="10" t="n">
        <x:f>IF(COUNTIFS($A$2:$A$477,"&gt;="&amp;EDATE(A313,-2),$A$2:$A$477,"&lt;="&amp;A313,$B$2:$B$477,B313,$E$2:$E$477,"&gt;=0")=3,SUMIFS($E$2:$E$477,$A$2:$A$477,"&gt;="&amp;EDATE(A313,-2),$A$2:$A$477,"&lt;="&amp;A313,$B$2:$B$477,B313)/3,"")</x:f>
        <x:v>272402.3333333333</x:v>
      </x:c>
      <x:c r="AB313" s="9" t="n">
        <x:f>IF(AND(ISNUMBER(J313),COUNTIFS($A$2:$A$477,EDATE(A313,-12),$B$2:$B$477,B313,$J$2:$J$477,"&gt;0")=1),J313/SUMIFS($J$2:$J$477,$A$2:$A$477,EDATE(A313,-12),$B$2:$B$477,B313)-1,"")</x:f>
        <x:v>0.06135861346981497</x:v>
      </x:c>
    </x:row>
    <x:row r="314" ht="21" customHeight="1">
      <x:c r="A314" s="7" t="n">
        <x:v>45536</x:v>
      </x:c>
      <x:c r="B314" s="2" t="str">
        <x:v>博多</x:v>
      </x:c>
      <x:c r="C314" s="2" t="str">
        <x:v>福岡県</x:v>
      </x:c>
      <x:c r="D314" s="8" t="n">
        <x:v>2859184</x:v>
      </x:c>
      <x:c r="E314" s="8" t="n">
        <x:v>663878</x:v>
      </x:c>
      <x:c r="F314" s="8" t="n">
        <x:v>805408</x:v>
      </x:c>
      <x:c r="G314" s="8" t="n">
        <x:v>452389</x:v>
      </x:c>
      <x:c r="H314" s="8" t="n">
        <x:v>937509</x:v>
      </x:c>
      <x:c r="I314" s="8" t="n">
        <x:v>77693</x:v>
      </x:c>
      <x:c r="J314" s="8" t="n">
        <x:v>33841</x:v>
      </x:c>
      <x:c r="K314" s="8" t="n">
        <x:v>31928</x:v>
      </x:c>
      <x:c r="L314" s="8" t="n">
        <x:v>5427</x:v>
      </x:c>
      <x:c r="M314" s="8" t="n">
        <x:v>6497</x:v>
      </x:c>
      <x:c r="N314" s="8" t="n">
        <x:v>0</x:v>
      </x:c>
      <x:c r="O314" s="8" t="n">
        <x:v>0</x:v>
      </x:c>
      <x:c r="P314" s="8" t="n">
        <x:v>1898</x:v>
      </x:c>
      <x:c r="Q314" s="8" t="n">
        <x:v>2027</x:v>
      </x:c>
      <x:c r="R314" s="8" t="n">
        <x:v>3925</x:v>
      </x:c>
      <x:c r="S314" s="8" t="n">
        <x:v>1569</x:v>
      </x:c>
      <x:c r="T314" s="8" t="n">
        <x:v>246</x:v>
      </x:c>
      <x:c r="U314" s="2" t="str">
        <x:v>2025年12月25日現在</x:v>
      </x:c>
      <x:c r="V314" s="2" t="str">
        <x:v>2025-12-25</x:v>
      </x:c>
      <x:c r="W314" s="2" t="str">
        <x:v>https://www.e-stat.go.jp/stat-search/file-download?statInfId=000040146718&amp;fileKind=0</x:v>
      </x:c>
      <x:c r="X314" s="2" t="str">
        <x:v>海上出入貨物!745行、コンテナ個数!130行</x:v>
      </x:c>
      <x:c r="Y314" s="2" t="str">
        <x:v>取得済</x:v>
      </x:c>
      <x:c r="Z314" s="9" t="n">
        <x:f>IF(AND(ISNUMBER(E314),COUNTIFS($A$2:$A$477,EDATE(A314,-12),$B$2:$B$477,B314,$E$2:$E$477,"&gt;0")=1),E314/SUMIFS($E$2:$E$477,$A$2:$A$477,EDATE(A314,-12),$B$2:$B$477,B314)-1,"")</x:f>
        <x:v>-0.15688396134161364</x:v>
      </x:c>
      <x:c r="AA314" s="10" t="n">
        <x:f>IF(COUNTIFS($A$2:$A$477,"&gt;="&amp;EDATE(A314,-2),$A$2:$A$477,"&lt;="&amp;A314,$B$2:$B$477,B314,$E$2:$E$477,"&gt;=0")=3,SUMIFS($E$2:$E$477,$A$2:$A$477,"&gt;="&amp;EDATE(A314,-2),$A$2:$A$477,"&lt;="&amp;A314,$B$2:$B$477,B314)/3,"")</x:f>
        <x:v>659934</x:v>
      </x:c>
      <x:c r="AB314" s="9" t="n">
        <x:f>IF(AND(ISNUMBER(J314),COUNTIFS($A$2:$A$477,EDATE(A314,-12),$B$2:$B$477,B314,$J$2:$J$477,"&gt;0")=1),J314/SUMIFS($J$2:$J$477,$A$2:$A$477,EDATE(A314,-12),$B$2:$B$477,B314)-1,"")</x:f>
        <x:v>-0.029398267653301224</x:v>
      </x:c>
    </x:row>
    <x:row r="315" ht="21" customHeight="1">
      <x:c r="A315" s="7" t="n">
        <x:v>45536</x:v>
      </x:c>
      <x:c r="B315" s="2" t="str">
        <x:v>熊本</x:v>
      </x:c>
      <x:c r="C315" s="2" t="str">
        <x:v>熊本県</x:v>
      </x:c>
      <x:c r="D315" s="8" t="n">
        <x:v>406576</x:v>
      </x:c>
      <x:c r="E315" s="8" t="n">
        <x:v>2037</x:v>
      </x:c>
      <x:c r="F315" s="8" t="n">
        <x:v>4564</x:v>
      </x:c>
      <x:c r="G315" s="8" t="n">
        <x:v>164681</x:v>
      </x:c>
      <x:c r="H315" s="8" t="n">
        <x:v>235294</x:v>
      </x:c>
      <x:c r="I315" s="8" t="n">
        <x:v>981</x:v>
      </x:c>
      <x:c r="J315" s="8" t="n">
        <x:v>138</x:v>
      </x:c>
      <x:c r="K315" s="8" t="n">
        <x:v>202</x:v>
      </x:c>
      <x:c r="L315" s="8" t="n">
        <x:v>346</x:v>
      </x:c>
      <x:c r="M315" s="8" t="n">
        <x:v>295</x:v>
      </x:c>
      <x:c r="N315" s="8" t="n">
        <x:v>0</x:v>
      </x:c>
      <x:c r="O315" s="8" t="n">
        <x:v>0</x:v>
      </x:c>
      <x:c r="P315" s="8" t="n">
        <x:v>1401</x:v>
      </x:c>
      <x:c r="Q315" s="8" t="n">
        <x:v>1401</x:v>
      </x:c>
      <x:c r="R315" s="8" t="n">
        <x:v>2802</x:v>
      </x:c>
      <x:c r="S315" s="8" t="n">
        <x:v>41</x:v>
      </x:c>
      <x:c r="T315" s="8" t="n">
        <x:v>7</x:v>
      </x:c>
      <x:c r="U315" s="2" t="str">
        <x:v>2025年12月25日現在</x:v>
      </x:c>
      <x:c r="V315" s="2" t="str">
        <x:v>2025-12-25</x:v>
      </x:c>
      <x:c r="W315" s="2" t="str">
        <x:v>https://www.e-stat.go.jp/stat-search/file-download?statInfId=000040146718&amp;fileKind=0</x:v>
      </x:c>
      <x:c r="X315" s="2" t="str">
        <x:v>海上出入貨物!859行、コンテナ個数!149行</x:v>
      </x:c>
      <x:c r="Y315" s="2" t="str">
        <x:v>取得済</x:v>
      </x:c>
      <x:c r="Z315" s="9" t="n">
        <x:f>IF(AND(ISNUMBER(E315),COUNTIFS($A$2:$A$477,EDATE(A315,-12),$B$2:$B$477,B315,$E$2:$E$477,"&gt;0")=1),E315/SUMIFS($E$2:$E$477,$A$2:$A$477,EDATE(A315,-12),$B$2:$B$477,B315)-1,"")</x:f>
        <x:v>-0.4201537147736977</x:v>
      </x:c>
      <x:c r="AA315" s="10" t="n">
        <x:f>IF(COUNTIFS($A$2:$A$477,"&gt;="&amp;EDATE(A315,-2),$A$2:$A$477,"&lt;="&amp;A315,$B$2:$B$477,B315,$E$2:$E$477,"&gt;=0")=3,SUMIFS($E$2:$E$477,$A$2:$A$477,"&gt;="&amp;EDATE(A315,-2),$A$2:$A$477,"&lt;="&amp;A315,$B$2:$B$477,B315)/3,"")</x:f>
        <x:v>3261</x:v>
      </x:c>
      <x:c r="AB315" s="9" t="n">
        <x:f>IF(AND(ISNUMBER(J315),COUNTIFS($A$2:$A$477,EDATE(A315,-12),$B$2:$B$477,B315,$J$2:$J$477,"&gt;0")=1),J315/SUMIFS($J$2:$J$477,$A$2:$A$477,EDATE(A315,-12),$B$2:$B$477,B315)-1,"")</x:f>
        <x:v>-0.4273858921161826</x:v>
      </x:c>
    </x:row>
    <x:row r="316" ht="21" customHeight="1">
      <x:c r="A316" s="7" t="n">
        <x:v>45536</x:v>
      </x:c>
      <x:c r="B316" s="2" t="str">
        <x:v>八代</x:v>
      </x:c>
      <x:c r="C316" s="2" t="str">
        <x:v>熊本県</x:v>
      </x:c>
      <x:c r="D316" s="8" t="n">
        <x:v>318432</x:v>
      </x:c>
      <x:c r="E316" s="8" t="n">
        <x:v>18793</x:v>
      </x:c>
      <x:c r="F316" s="8" t="n">
        <x:v>135260</x:v>
      </x:c>
      <x:c r="G316" s="8" t="n">
        <x:v>25967</x:v>
      </x:c>
      <x:c r="H316" s="8" t="n">
        <x:v>138412</x:v>
      </x:c>
      <x:c r="I316" s="8" t="n">
        <x:v>1679</x:v>
      </x:c>
      <x:c r="J316" s="8" t="n">
        <x:v>761</x:v>
      </x:c>
      <x:c r="K316" s="8" t="n">
        <x:v>575</x:v>
      </x:c>
      <x:c r="L316" s="8" t="n">
        <x:v>125</x:v>
      </x:c>
      <x:c r="M316" s="8" t="n">
        <x:v>218</x:v>
      </x:c>
      <x:c r="N316" s="8" t="n">
        <x:v>0</x:v>
      </x:c>
      <x:c r="O316" s="8" t="n">
        <x:v>0</x:v>
      </x:c>
      <x:c r="P316" s="8" t="n">
        <x:v>0</x:v>
      </x:c>
      <x:c r="Q316" s="8" t="n">
        <x:v>0</x:v>
      </x:c>
      <x:c r="R316" s="8" t="n">
        <x:v>0</x:v>
      </x:c>
      <x:c r="S316" s="8" t="n">
        <x:v>212</x:v>
      </x:c>
      <x:c r="T316" s="8" t="n">
        <x:v>25</x:v>
      </x:c>
      <x:c r="U316" s="2" t="str">
        <x:v>2025年12月25日現在</x:v>
      </x:c>
      <x:c r="V316" s="2" t="str">
        <x:v>2025-12-25</x:v>
      </x:c>
      <x:c r="W316" s="2" t="str">
        <x:v>https://www.e-stat.go.jp/stat-search/file-download?statInfId=000040146718&amp;fileKind=0</x:v>
      </x:c>
      <x:c r="X316" s="2" t="str">
        <x:v>海上出入貨物!847行、コンテナ個数!147行</x:v>
      </x:c>
      <x:c r="Y316" s="2" t="str">
        <x:v>取得済</x:v>
      </x:c>
      <x:c r="Z316" s="9" t="n">
        <x:f>IF(AND(ISNUMBER(E316),COUNTIFS($A$2:$A$477,EDATE(A316,-12),$B$2:$B$477,B316,$E$2:$E$477,"&gt;0")=1),E316/SUMIFS($E$2:$E$477,$A$2:$A$477,EDATE(A316,-12),$B$2:$B$477,B316)-1,"")</x:f>
        <x:v>-0.1681936883105387</x:v>
      </x:c>
      <x:c r="AA316" s="10" t="n">
        <x:f>IF(COUNTIFS($A$2:$A$477,"&gt;="&amp;EDATE(A316,-2),$A$2:$A$477,"&lt;="&amp;A316,$B$2:$B$477,B316,$E$2:$E$477,"&gt;=0")=3,SUMIFS($E$2:$E$477,$A$2:$A$477,"&gt;="&amp;EDATE(A316,-2),$A$2:$A$477,"&lt;="&amp;A316,$B$2:$B$477,B316)/3,"")</x:f>
        <x:v>19705.666666666668</x:v>
      </x:c>
      <x:c r="AB316" s="9" t="n">
        <x:f>IF(AND(ISNUMBER(J316),COUNTIFS($A$2:$A$477,EDATE(A316,-12),$B$2:$B$477,B316,$J$2:$J$477,"&gt;0")=1),J316/SUMIFS($J$2:$J$477,$A$2:$A$477,EDATE(A316,-12),$B$2:$B$477,B316)-1,"")</x:f>
        <x:v>-0.30565693430656937</x:v>
      </x:c>
    </x:row>
    <x:row r="317" ht="21" customHeight="1">
      <x:c r="A317" s="7" t="n">
        <x:v>45566</x:v>
      </x:c>
      <x:c r="B317" s="2" t="str">
        <x:v>仙台塩釜</x:v>
      </x:c>
      <x:c r="C317" s="2" t="str">
        <x:v>宮城県</x:v>
      </x:c>
      <x:c r="D317" s="8" t="n">
        <x:v>3722996</x:v>
      </x:c>
      <x:c r="E317" s="8" t="n">
        <x:v>137768</x:v>
      </x:c>
      <x:c r="F317" s="8" t="n">
        <x:v>939119</x:v>
      </x:c>
      <x:c r="G317" s="8" t="n">
        <x:v>1257725</x:v>
      </x:c>
      <x:c r="H317" s="8" t="n">
        <x:v>1388384</x:v>
      </x:c>
      <x:c r="I317" s="8" t="n">
        <x:v>19939</x:v>
      </x:c>
      <x:c r="J317" s="8" t="n">
        <x:v>4687</x:v>
      </x:c>
      <x:c r="K317" s="8" t="n">
        <x:v>5651</x:v>
      </x:c>
      <x:c r="L317" s="8" t="n">
        <x:v>5123</x:v>
      </x:c>
      <x:c r="M317" s="8" t="n">
        <x:v>4478</x:v>
      </x:c>
      <x:c r="N317" s="8" t="n">
        <x:v>0</x:v>
      </x:c>
      <x:c r="O317" s="8" t="n">
        <x:v>0</x:v>
      </x:c>
      <x:c r="P317" s="8" t="n">
        <x:v>650</x:v>
      </x:c>
      <x:c r="Q317" s="8" t="n">
        <x:v>705</x:v>
      </x:c>
      <x:c r="R317" s="8" t="n">
        <x:v>1355</x:v>
      </x:c>
      <x:c r="S317" s="8" t="n">
        <x:v>2325</x:v>
      </x:c>
      <x:c r="T317" s="8" t="n">
        <x:v>88</x:v>
      </x:c>
      <x:c r="U317" s="2" t="str">
        <x:v>2025年12月25日現在</x:v>
      </x:c>
      <x:c r="V317" s="2" t="str">
        <x:v>2025-12-25</x:v>
      </x:c>
      <x:c r="W317" s="2" t="str">
        <x:v>https://www.e-stat.go.jp/stat-search/file-download?statInfId=000040146718&amp;fileKind=0</x:v>
      </x:c>
      <x:c r="X317" s="2" t="str">
        <x:v>海上出入貨物!139行、コンテナ個数!29行</x:v>
      </x:c>
      <x:c r="Y317" s="2" t="str">
        <x:v>取得済</x:v>
      </x:c>
      <x:c r="Z317" s="9" t="n">
        <x:f>IF(AND(ISNUMBER(E317),COUNTIFS($A$2:$A$477,EDATE(A317,-12),$B$2:$B$477,B317,$E$2:$E$477,"&gt;0")=1),E317/SUMIFS($E$2:$E$477,$A$2:$A$477,EDATE(A317,-12),$B$2:$B$477,B317)-1,"")</x:f>
        <x:v>0.2684651505386244</x:v>
      </x:c>
      <x:c r="AA317" s="10" t="n">
        <x:f>IF(COUNTIFS($A$2:$A$477,"&gt;="&amp;EDATE(A317,-2),$A$2:$A$477,"&lt;="&amp;A317,$B$2:$B$477,B317,$E$2:$E$477,"&gt;=0")=3,SUMIFS($E$2:$E$477,$A$2:$A$477,"&gt;="&amp;EDATE(A317,-2),$A$2:$A$477,"&lt;="&amp;A317,$B$2:$B$477,B317)/3,"")</x:f>
        <x:v>105391.33333333333</x:v>
      </x:c>
      <x:c r="AB317" s="9" t="n">
        <x:f>IF(AND(ISNUMBER(J317),COUNTIFS($A$2:$A$477,EDATE(A317,-12),$B$2:$B$477,B317,$J$2:$J$477,"&gt;0")=1),J317/SUMIFS($J$2:$J$477,$A$2:$A$477,EDATE(A317,-12),$B$2:$B$477,B317)-1,"")</x:f>
        <x:v>-0.08564182598517367</x:v>
      </x:c>
    </x:row>
    <x:row r="318" ht="21" customHeight="1">
      <x:c r="A318" s="7" t="n">
        <x:v>45566</x:v>
      </x:c>
      <x:c r="B318" s="2" t="str">
        <x:v>東京</x:v>
      </x:c>
      <x:c r="C318" s="2" t="str">
        <x:v>東京都</x:v>
      </x:c>
      <x:c r="D318" s="8" t="n">
        <x:v>7380138</x:v>
      </x:c>
      <x:c r="E318" s="8" t="n">
        <x:v>935324</x:v>
      </x:c>
      <x:c r="F318" s="8" t="n">
        <x:v>2999024</x:v>
      </x:c>
      <x:c r="G318" s="8" t="n">
        <x:v>1335133</x:v>
      </x:c>
      <x:c r="H318" s="8" t="n">
        <x:v>2110657</x:v>
      </x:c>
      <x:c r="I318" s="8" t="n">
        <x:v>414907</x:v>
      </x:c>
      <x:c r="J318" s="8" t="n">
        <x:v>164925</x:v>
      </x:c>
      <x:c r="K318" s="8" t="n">
        <x:v>199945</x:v>
      </x:c>
      <x:c r="L318" s="8" t="n">
        <x:v>36426</x:v>
      </x:c>
      <x:c r="M318" s="8" t="n">
        <x:v>13611</x:v>
      </x:c>
      <x:c r="N318" s="8" t="n">
        <x:v>0</x:v>
      </x:c>
      <x:c r="O318" s="8" t="n">
        <x:v>0</x:v>
      </x:c>
      <x:c r="P318" s="8" t="n">
        <x:v>741</x:v>
      </x:c>
      <x:c r="Q318" s="8" t="n">
        <x:v>519</x:v>
      </x:c>
      <x:c r="R318" s="8" t="n">
        <x:v>1260</x:v>
      </x:c>
      <x:c r="S318" s="8" t="n">
        <x:v>1669</x:v>
      </x:c>
      <x:c r="T318" s="8" t="n">
        <x:v>413</x:v>
      </x:c>
      <x:c r="U318" s="2" t="str">
        <x:v>2025年12月25日現在</x:v>
      </x:c>
      <x:c r="V318" s="2" t="str">
        <x:v>2025-12-25</x:v>
      </x:c>
      <x:c r="W318" s="2" t="str">
        <x:v>https://www.e-stat.go.jp/stat-search/file-download?statInfId=000040146718&amp;fileKind=0</x:v>
      </x:c>
      <x:c r="X318" s="2" t="str">
        <x:v>海上出入貨物!205行、コンテナ個数!40行</x:v>
      </x:c>
      <x:c r="Y318" s="2" t="str">
        <x:v>取得済</x:v>
      </x:c>
      <x:c r="Z318" s="9" t="n">
        <x:f>IF(AND(ISNUMBER(E318),COUNTIFS($A$2:$A$477,EDATE(A318,-12),$B$2:$B$477,B318,$E$2:$E$477,"&gt;0")=1),E318/SUMIFS($E$2:$E$477,$A$2:$A$477,EDATE(A318,-12),$B$2:$B$477,B318)-1,"")</x:f>
        <x:v>-0.07765796415452508</x:v>
      </x:c>
      <x:c r="AA318" s="10" t="n">
        <x:f>IF(COUNTIFS($A$2:$A$477,"&gt;="&amp;EDATE(A318,-2),$A$2:$A$477,"&lt;="&amp;A318,$B$2:$B$477,B318,$E$2:$E$477,"&gt;=0")=3,SUMIFS($E$2:$E$477,$A$2:$A$477,"&gt;="&amp;EDATE(A318,-2),$A$2:$A$477,"&lt;="&amp;A318,$B$2:$B$477,B318)/3,"")</x:f>
        <x:v>896781.3333333334</x:v>
      </x:c>
      <x:c r="AB318" s="9" t="n">
        <x:f>IF(AND(ISNUMBER(J318),COUNTIFS($A$2:$A$477,EDATE(A318,-12),$B$2:$B$477,B318,$J$2:$J$477,"&gt;0")=1),J318/SUMIFS($J$2:$J$477,$A$2:$A$477,EDATE(A318,-12),$B$2:$B$477,B318)-1,"")</x:f>
        <x:v>-0.03435172607616277</x:v>
      </x:c>
    </x:row>
    <x:row r="319" ht="21" customHeight="1">
      <x:c r="A319" s="7" t="n">
        <x:v>45566</x:v>
      </x:c>
      <x:c r="B319" s="2" t="str">
        <x:v>横浜</x:v>
      </x:c>
      <x:c r="C319" s="2" t="str">
        <x:v>神奈川県</x:v>
      </x:c>
      <x:c r="D319" s="8" t="n">
        <x:v>8195436</x:v>
      </x:c>
      <x:c r="E319" s="8" t="n">
        <x:v>2594960</x:v>
      </x:c>
      <x:c r="F319" s="8" t="n">
        <x:v>3411393</x:v>
      </x:c>
      <x:c r="G319" s="8" t="n">
        <x:v>781229</x:v>
      </x:c>
      <x:c r="H319" s="8" t="n">
        <x:v>1407854</x:v>
      </x:c>
      <x:c r="I319" s="8" t="n">
        <x:v>266288</x:v>
      </x:c>
      <x:c r="J319" s="8" t="n">
        <x:v>131195</x:v>
      </x:c>
      <x:c r="K319" s="8" t="n">
        <x:v>105588</x:v>
      </x:c>
      <x:c r="L319" s="8" t="n">
        <x:v>11449</x:v>
      </x:c>
      <x:c r="M319" s="8" t="n">
        <x:v>18056</x:v>
      </x:c>
      <x:c r="N319" s="8" t="n">
        <x:v>0</x:v>
      </x:c>
      <x:c r="O319" s="8" t="n">
        <x:v>0</x:v>
      </x:c>
      <x:c r="P319" s="8" t="n">
        <x:v>0</x:v>
      </x:c>
      <x:c r="Q319" s="8" t="n">
        <x:v>0</x:v>
      </x:c>
      <x:c r="R319" s="8" t="n">
        <x:v>0</x:v>
      </x:c>
      <x:c r="S319" s="8" t="n">
        <x:v>2079</x:v>
      </x:c>
      <x:c r="T319" s="8" t="n">
        <x:v>737</x:v>
      </x:c>
      <x:c r="U319" s="2" t="str">
        <x:v>2025年12月25日現在</x:v>
      </x:c>
      <x:c r="V319" s="2" t="str">
        <x:v>2025-12-25</x:v>
      </x:c>
      <x:c r="W319" s="2" t="str">
        <x:v>https://www.e-stat.go.jp/stat-search/file-download?statInfId=000040146718&amp;fileKind=0</x:v>
      </x:c>
      <x:c r="X319" s="2" t="str">
        <x:v>海上出入貨物!217行、コンテナ個数!42行</x:v>
      </x:c>
      <x:c r="Y319" s="2" t="str">
        <x:v>取得済</x:v>
      </x:c>
      <x:c r="Z319" s="9" t="n">
        <x:f>IF(AND(ISNUMBER(E319),COUNTIFS($A$2:$A$477,EDATE(A319,-12),$B$2:$B$477,B319,$E$2:$E$477,"&gt;0")=1),E319/SUMIFS($E$2:$E$477,$A$2:$A$477,EDATE(A319,-12),$B$2:$B$477,B319)-1,"")</x:f>
        <x:v>-0.02231013403411608</x:v>
      </x:c>
      <x:c r="AA319" s="10" t="n">
        <x:f>IF(COUNTIFS($A$2:$A$477,"&gt;="&amp;EDATE(A319,-2),$A$2:$A$477,"&lt;="&amp;A319,$B$2:$B$477,B319,$E$2:$E$477,"&gt;=0")=3,SUMIFS($E$2:$E$477,$A$2:$A$477,"&gt;="&amp;EDATE(A319,-2),$A$2:$A$477,"&lt;="&amp;A319,$B$2:$B$477,B319)/3,"")</x:f>
        <x:v>2448633</x:v>
      </x:c>
      <x:c r="AB319" s="9" t="n">
        <x:f>IF(AND(ISNUMBER(J319),COUNTIFS($A$2:$A$477,EDATE(A319,-12),$B$2:$B$477,B319,$J$2:$J$477,"&gt;0")=1),J319/SUMIFS($J$2:$J$477,$A$2:$A$477,EDATE(A319,-12),$B$2:$B$477,B319)-1,"")</x:f>
        <x:v>-0.0024786916157876204</x:v>
      </x:c>
    </x:row>
    <x:row r="320" ht="21" customHeight="1">
      <x:c r="A320" s="7" t="n">
        <x:v>45566</x:v>
      </x:c>
      <x:c r="B320" s="2" t="str">
        <x:v>清水</x:v>
      </x:c>
      <x:c r="C320" s="2" t="str">
        <x:v>静岡県</x:v>
      </x:c>
      <x:c r="D320" s="8" t="n">
        <x:v>1141352</x:v>
      </x:c>
      <x:c r="E320" s="8" t="n">
        <x:v>280215</x:v>
      </x:c>
      <x:c r="F320" s="8" t="n">
        <x:v>366188</x:v>
      </x:c>
      <x:c r="G320" s="8" t="n">
        <x:v>153539</x:v>
      </x:c>
      <x:c r="H320" s="8" t="n">
        <x:v>341410</x:v>
      </x:c>
      <x:c r="I320" s="8" t="n">
        <x:v>44616</x:v>
      </x:c>
      <x:c r="J320" s="8" t="n">
        <x:v>17504</x:v>
      </x:c>
      <x:c r="K320" s="8" t="n">
        <x:v>18594</x:v>
      </x:c>
      <x:c r="L320" s="8" t="n">
        <x:v>4258</x:v>
      </x:c>
      <x:c r="M320" s="8" t="n">
        <x:v>4260</x:v>
      </x:c>
      <x:c r="N320" s="8" t="n">
        <x:v>0</x:v>
      </x:c>
      <x:c r="O320" s="8" t="n">
        <x:v>0</x:v>
      </x:c>
      <x:c r="P320" s="8" t="n">
        <x:v>4</x:v>
      </x:c>
      <x:c r="Q320" s="8" t="n">
        <x:v>2</x:v>
      </x:c>
      <x:c r="R320" s="8" t="n">
        <x:v>6</x:v>
      </x:c>
      <x:c r="S320" s="8" t="n">
        <x:v>429</x:v>
      </x:c>
      <x:c r="T320" s="8" t="n">
        <x:v>132</x:v>
      </x:c>
      <x:c r="U320" s="2" t="str">
        <x:v>2025年12月25日現在</x:v>
      </x:c>
      <x:c r="V320" s="2" t="str">
        <x:v>2025-12-25</x:v>
      </x:c>
      <x:c r="W320" s="2" t="str">
        <x:v>https://www.e-stat.go.jp/stat-search/file-download?statInfId=000040146718&amp;fileKind=0</x:v>
      </x:c>
      <x:c r="X320" s="2" t="str">
        <x:v>海上出入貨物!313行、コンテナ個数!58行</x:v>
      </x:c>
      <x:c r="Y320" s="2" t="str">
        <x:v>取得済</x:v>
      </x:c>
      <x:c r="Z320" s="9" t="n">
        <x:f>IF(AND(ISNUMBER(E320),COUNTIFS($A$2:$A$477,EDATE(A320,-12),$B$2:$B$477,B320,$E$2:$E$477,"&gt;0")=1),E320/SUMIFS($E$2:$E$477,$A$2:$A$477,EDATE(A320,-12),$B$2:$B$477,B320)-1,"")</x:f>
        <x:v>-0.11647858946830747</x:v>
      </x:c>
      <x:c r="AA320" s="10" t="n">
        <x:f>IF(COUNTIFS($A$2:$A$477,"&gt;="&amp;EDATE(A320,-2),$A$2:$A$477,"&lt;="&amp;A320,$B$2:$B$477,B320,$E$2:$E$477,"&gt;=0")=3,SUMIFS($E$2:$E$477,$A$2:$A$477,"&gt;="&amp;EDATE(A320,-2),$A$2:$A$477,"&lt;="&amp;A320,$B$2:$B$477,B320)/3,"")</x:f>
        <x:v>271351</x:v>
      </x:c>
      <x:c r="AB320" s="9" t="n">
        <x:f>IF(AND(ISNUMBER(J320),COUNTIFS($A$2:$A$477,EDATE(A320,-12),$B$2:$B$477,B320,$J$2:$J$477,"&gt;0")=1),J320/SUMIFS($J$2:$J$477,$A$2:$A$477,EDATE(A320,-12),$B$2:$B$477,B320)-1,"")</x:f>
        <x:v>-0.043026625116177386</x:v>
      </x:c>
    </x:row>
    <x:row r="321" ht="21" customHeight="1">
      <x:c r="A321" s="7" t="n">
        <x:v>45566</x:v>
      </x:c>
      <x:c r="B321" s="2" t="str">
        <x:v>博多</x:v>
      </x:c>
      <x:c r="C321" s="2" t="str">
        <x:v>福岡県</x:v>
      </x:c>
      <x:c r="D321" s="8" t="n">
        <x:v>3122150</x:v>
      </x:c>
      <x:c r="E321" s="8" t="n">
        <x:v>731873</x:v>
      </x:c>
      <x:c r="F321" s="8" t="n">
        <x:v>913115</x:v>
      </x:c>
      <x:c r="G321" s="8" t="n">
        <x:v>520941</x:v>
      </x:c>
      <x:c r="H321" s="8" t="n">
        <x:v>956221</x:v>
      </x:c>
      <x:c r="I321" s="8" t="n">
        <x:v>84849</x:v>
      </x:c>
      <x:c r="J321" s="8" t="n">
        <x:v>35718</x:v>
      </x:c>
      <x:c r="K321" s="8" t="n">
        <x:v>36892</x:v>
      </x:c>
      <x:c r="L321" s="8" t="n">
        <x:v>6054</x:v>
      </x:c>
      <x:c r="M321" s="8" t="n">
        <x:v>6185</x:v>
      </x:c>
      <x:c r="N321" s="8" t="n">
        <x:v>0</x:v>
      </x:c>
      <x:c r="O321" s="8" t="n">
        <x:v>0</x:v>
      </x:c>
      <x:c r="P321" s="8" t="n">
        <x:v>2009</x:v>
      </x:c>
      <x:c r="Q321" s="8" t="n">
        <x:v>2093</x:v>
      </x:c>
      <x:c r="R321" s="8" t="n">
        <x:v>4102</x:v>
      </x:c>
      <x:c r="S321" s="8" t="n">
        <x:v>1585</x:v>
      </x:c>
      <x:c r="T321" s="8" t="n">
        <x:v>253</x:v>
      </x:c>
      <x:c r="U321" s="2" t="str">
        <x:v>2025年12月25日現在</x:v>
      </x:c>
      <x:c r="V321" s="2" t="str">
        <x:v>2025-12-25</x:v>
      </x:c>
      <x:c r="W321" s="2" t="str">
        <x:v>https://www.e-stat.go.jp/stat-search/file-download?statInfId=000040146718&amp;fileKind=0</x:v>
      </x:c>
      <x:c r="X321" s="2" t="str">
        <x:v>海上出入貨物!745行、コンテナ個数!130行</x:v>
      </x:c>
      <x:c r="Y321" s="2" t="str">
        <x:v>取得済</x:v>
      </x:c>
      <x:c r="Z321" s="9" t="n">
        <x:f>IF(AND(ISNUMBER(E321),COUNTIFS($A$2:$A$477,EDATE(A321,-12),$B$2:$B$477,B321,$E$2:$E$477,"&gt;0")=1),E321/SUMIFS($E$2:$E$477,$A$2:$A$477,EDATE(A321,-12),$B$2:$B$477,B321)-1,"")</x:f>
        <x:v>-0.07476722944571212</x:v>
      </x:c>
      <x:c r="AA321" s="10" t="n">
        <x:f>IF(COUNTIFS($A$2:$A$477,"&gt;="&amp;EDATE(A321,-2),$A$2:$A$477,"&lt;="&amp;A321,$B$2:$B$477,B321,$E$2:$E$477,"&gt;=0")=3,SUMIFS($E$2:$E$477,$A$2:$A$477,"&gt;="&amp;EDATE(A321,-2),$A$2:$A$477,"&lt;="&amp;A321,$B$2:$B$477,B321)/3,"")</x:f>
        <x:v>652293</x:v>
      </x:c>
      <x:c r="AB321" s="9" t="n">
        <x:f>IF(AND(ISNUMBER(J321),COUNTIFS($A$2:$A$477,EDATE(A321,-12),$B$2:$B$477,B321,$J$2:$J$477,"&gt;0")=1),J321/SUMIFS($J$2:$J$477,$A$2:$A$477,EDATE(A321,-12),$B$2:$B$477,B321)-1,"")</x:f>
        <x:v>-0.021424657534246605</x:v>
      </x:c>
    </x:row>
    <x:row r="322" ht="21" customHeight="1">
      <x:c r="A322" s="7" t="n">
        <x:v>45566</x:v>
      </x:c>
      <x:c r="B322" s="2" t="str">
        <x:v>熊本</x:v>
      </x:c>
      <x:c r="C322" s="2" t="str">
        <x:v>熊本県</x:v>
      </x:c>
      <x:c r="D322" s="8" t="n">
        <x:v>293769</x:v>
      </x:c>
      <x:c r="E322" s="8" t="n">
        <x:v>2971</x:v>
      </x:c>
      <x:c r="F322" s="8" t="n">
        <x:v>2989</x:v>
      </x:c>
      <x:c r="G322" s="8" t="n">
        <x:v>108241</x:v>
      </x:c>
      <x:c r="H322" s="8" t="n">
        <x:v>179568</x:v>
      </x:c>
      <x:c r="I322" s="8" t="n">
        <x:v>1172</x:v>
      </x:c>
      <x:c r="J322" s="8" t="n">
        <x:v>203</x:v>
      </x:c>
      <x:c r="K322" s="8" t="n">
        <x:v>155</x:v>
      </x:c>
      <x:c r="L322" s="8" t="n">
        <x:v>478</x:v>
      </x:c>
      <x:c r="M322" s="8" t="n">
        <x:v>336</x:v>
      </x:c>
      <x:c r="N322" s="8" t="n">
        <x:v>0</x:v>
      </x:c>
      <x:c r="O322" s="8" t="n">
        <x:v>0</x:v>
      </x:c>
      <x:c r="P322" s="8" t="n">
        <x:v>469</x:v>
      </x:c>
      <x:c r="Q322" s="8" t="n">
        <x:v>464</x:v>
      </x:c>
      <x:c r="R322" s="8" t="n">
        <x:v>933</x:v>
      </x:c>
      <x:c r="S322" s="8" t="n">
        <x:v>41</x:v>
      </x:c>
      <x:c r="T322" s="8" t="n">
        <x:v>8</x:v>
      </x:c>
      <x:c r="U322" s="2" t="str">
        <x:v>2025年12月25日現在</x:v>
      </x:c>
      <x:c r="V322" s="2" t="str">
        <x:v>2025-12-25</x:v>
      </x:c>
      <x:c r="W322" s="2" t="str">
        <x:v>https://www.e-stat.go.jp/stat-search/file-download?statInfId=000040146718&amp;fileKind=0</x:v>
      </x:c>
      <x:c r="X322" s="2" t="str">
        <x:v>海上出入貨物!859行、コンテナ個数!149行</x:v>
      </x:c>
      <x:c r="Y322" s="2" t="str">
        <x:v>取得済</x:v>
      </x:c>
      <x:c r="Z322" s="9" t="n">
        <x:f>IF(AND(ISNUMBER(E322),COUNTIFS($A$2:$A$477,EDATE(A322,-12),$B$2:$B$477,B322,$E$2:$E$477,"&gt;0")=1),E322/SUMIFS($E$2:$E$477,$A$2:$A$477,EDATE(A322,-12),$B$2:$B$477,B322)-1,"")</x:f>
        <x:v>-0.20476445396145615</x:v>
      </x:c>
      <x:c r="AA322" s="10" t="n">
        <x:f>IF(COUNTIFS($A$2:$A$477,"&gt;="&amp;EDATE(A322,-2),$A$2:$A$477,"&lt;="&amp;A322,$B$2:$B$477,B322,$E$2:$E$477,"&gt;=0")=3,SUMIFS($E$2:$E$477,$A$2:$A$477,"&gt;="&amp;EDATE(A322,-2),$A$2:$A$477,"&lt;="&amp;A322,$B$2:$B$477,B322)/3,"")</x:f>
        <x:v>3066</x:v>
      </x:c>
      <x:c r="AB322" s="9" t="n">
        <x:f>IF(AND(ISNUMBER(J322),COUNTIFS($A$2:$A$477,EDATE(A322,-12),$B$2:$B$477,B322,$J$2:$J$477,"&gt;0")=1),J322/SUMIFS($J$2:$J$477,$A$2:$A$477,EDATE(A322,-12),$B$2:$B$477,B322)-1,"")</x:f>
        <x:v>-0.10572687224669608</x:v>
      </x:c>
    </x:row>
    <x:row r="323" ht="21" customHeight="1">
      <x:c r="A323" s="7" t="n">
        <x:v>45566</x:v>
      </x:c>
      <x:c r="B323" s="2" t="str">
        <x:v>八代</x:v>
      </x:c>
      <x:c r="C323" s="2" t="str">
        <x:v>熊本県</x:v>
      </x:c>
      <x:c r="D323" s="8" t="n">
        <x:v>371367</x:v>
      </x:c>
      <x:c r="E323" s="8" t="n">
        <x:v>15642</x:v>
      </x:c>
      <x:c r="F323" s="8" t="n">
        <x:v>166869</x:v>
      </x:c>
      <x:c r="G323" s="8" t="n">
        <x:v>27140</x:v>
      </x:c>
      <x:c r="H323" s="8" t="n">
        <x:v>161716</x:v>
      </x:c>
      <x:c r="I323" s="8" t="n">
        <x:v>1483</x:v>
      </x:c>
      <x:c r="J323" s="8" t="n">
        <x:v>740</x:v>
      </x:c>
      <x:c r="K323" s="8" t="n">
        <x:v>489</x:v>
      </x:c>
      <x:c r="L323" s="8" t="n">
        <x:v>21</x:v>
      </x:c>
      <x:c r="M323" s="8" t="n">
        <x:v>233</x:v>
      </x:c>
      <x:c r="N323" s="8" t="n">
        <x:v>0</x:v>
      </x:c>
      <x:c r="O323" s="8" t="n">
        <x:v>0</x:v>
      </x:c>
      <x:c r="P323" s="8" t="n">
        <x:v>0</x:v>
      </x:c>
      <x:c r="Q323" s="8" t="n">
        <x:v>0</x:v>
      </x:c>
      <x:c r="R323" s="8" t="n">
        <x:v>0</x:v>
      </x:c>
      <x:c r="S323" s="8" t="n">
        <x:v>230</x:v>
      </x:c>
      <x:c r="T323" s="8" t="n">
        <x:v>35</x:v>
      </x:c>
      <x:c r="U323" s="2" t="str">
        <x:v>2025年12月25日現在</x:v>
      </x:c>
      <x:c r="V323" s="2" t="str">
        <x:v>2025-12-25</x:v>
      </x:c>
      <x:c r="W323" s="2" t="str">
        <x:v>https://www.e-stat.go.jp/stat-search/file-download?statInfId=000040146718&amp;fileKind=0</x:v>
      </x:c>
      <x:c r="X323" s="2" t="str">
        <x:v>海上出入貨物!847行、コンテナ個数!147行</x:v>
      </x:c>
      <x:c r="Y323" s="2" t="str">
        <x:v>取得済</x:v>
      </x:c>
      <x:c r="Z323" s="9" t="n">
        <x:f>IF(AND(ISNUMBER(E323),COUNTIFS($A$2:$A$477,EDATE(A323,-12),$B$2:$B$477,B323,$E$2:$E$477,"&gt;0")=1),E323/SUMIFS($E$2:$E$477,$A$2:$A$477,EDATE(A323,-12),$B$2:$B$477,B323)-1,"")</x:f>
        <x:v>-0.2357453461670005</x:v>
      </x:c>
      <x:c r="AA323" s="10" t="n">
        <x:f>IF(COUNTIFS($A$2:$A$477,"&gt;="&amp;EDATE(A323,-2),$A$2:$A$477,"&lt;="&amp;A323,$B$2:$B$477,B323,$E$2:$E$477,"&gt;=0")=3,SUMIFS($E$2:$E$477,$A$2:$A$477,"&gt;="&amp;EDATE(A323,-2),$A$2:$A$477,"&lt;="&amp;A323,$B$2:$B$477,B323)/3,"")</x:f>
        <x:v>18444.333333333332</x:v>
      </x:c>
      <x:c r="AB323" s="9" t="n">
        <x:f>IF(AND(ISNUMBER(J323),COUNTIFS($A$2:$A$477,EDATE(A323,-12),$B$2:$B$477,B323,$J$2:$J$477,"&gt;0")=1),J323/SUMIFS($J$2:$J$477,$A$2:$A$477,EDATE(A323,-12),$B$2:$B$477,B323)-1,"")</x:f>
        <x:v>-0.06565656565656564</x:v>
      </x:c>
    </x:row>
    <x:row r="324" ht="21" customHeight="1">
      <x:c r="A324" s="7" t="n">
        <x:v>45597</x:v>
      </x:c>
      <x:c r="B324" s="2" t="str">
        <x:v>仙台塩釜</x:v>
      </x:c>
      <x:c r="C324" s="2" t="str">
        <x:v>宮城県</x:v>
      </x:c>
      <x:c r="D324" s="8" t="n">
        <x:v>3599226</x:v>
      </x:c>
      <x:c r="E324" s="8" t="n">
        <x:v>143566</x:v>
      </x:c>
      <x:c r="F324" s="8" t="n">
        <x:v>1220957</x:v>
      </x:c>
      <x:c r="G324" s="8" t="n">
        <x:v>1160619</x:v>
      </x:c>
      <x:c r="H324" s="8" t="n">
        <x:v>1074084</x:v>
      </x:c>
      <x:c r="I324" s="8" t="n">
        <x:v>21540</x:v>
      </x:c>
      <x:c r="J324" s="8" t="n">
        <x:v>5953</x:v>
      </x:c>
      <x:c r="K324" s="8" t="n">
        <x:v>6484</x:v>
      </x:c>
      <x:c r="L324" s="8" t="n">
        <x:v>4492</x:v>
      </x:c>
      <x:c r="M324" s="8" t="n">
        <x:v>4611</x:v>
      </x:c>
      <x:c r="N324" s="8" t="n">
        <x:v>0</x:v>
      </x:c>
      <x:c r="O324" s="8" t="n">
        <x:v>0</x:v>
      </x:c>
      <x:c r="P324" s="8" t="n">
        <x:v>637</x:v>
      </x:c>
      <x:c r="Q324" s="8" t="n">
        <x:v>681</x:v>
      </x:c>
      <x:c r="R324" s="8" t="n">
        <x:v>1318</x:v>
      </x:c>
      <x:c r="S324" s="8" t="n">
        <x:v>2225</x:v>
      </x:c>
      <x:c r="T324" s="8" t="n">
        <x:v>85</x:v>
      </x:c>
      <x:c r="U324" s="2" t="str">
        <x:v>2025年12月25日現在</x:v>
      </x:c>
      <x:c r="V324" s="2" t="str">
        <x:v>2025-12-25</x:v>
      </x:c>
      <x:c r="W324" s="2" t="str">
        <x:v>https://www.e-stat.go.jp/stat-search/file-download?statInfId=000040146718&amp;fileKind=0</x:v>
      </x:c>
      <x:c r="X324" s="2" t="str">
        <x:v>海上出入貨物!139行、コンテナ個数!29行</x:v>
      </x:c>
      <x:c r="Y324" s="2" t="str">
        <x:v>取得済</x:v>
      </x:c>
      <x:c r="Z324" s="9" t="n">
        <x:f>IF(AND(ISNUMBER(E324),COUNTIFS($A$2:$A$477,EDATE(A324,-12),$B$2:$B$477,B324,$E$2:$E$477,"&gt;0")=1),E324/SUMIFS($E$2:$E$477,$A$2:$A$477,EDATE(A324,-12),$B$2:$B$477,B324)-1,"")</x:f>
        <x:v>0.0721721856282953</x:v>
      </x:c>
      <x:c r="AA324" s="10" t="n">
        <x:f>IF(COUNTIFS($A$2:$A$477,"&gt;="&amp;EDATE(A324,-2),$A$2:$A$477,"&lt;="&amp;A324,$B$2:$B$477,B324,$E$2:$E$477,"&gt;=0")=3,SUMIFS($E$2:$E$477,$A$2:$A$477,"&gt;="&amp;EDATE(A324,-2),$A$2:$A$477,"&lt;="&amp;A324,$B$2:$B$477,B324)/3,"")</x:f>
        <x:v>131242.66666666666</x:v>
      </x:c>
      <x:c r="AB324" s="9" t="n">
        <x:f>IF(AND(ISNUMBER(J324),COUNTIFS($A$2:$A$477,EDATE(A324,-12),$B$2:$B$477,B324,$J$2:$J$477,"&gt;0")=1),J324/SUMIFS($J$2:$J$477,$A$2:$A$477,EDATE(A324,-12),$B$2:$B$477,B324)-1,"")</x:f>
        <x:v>0.3141280353200884</x:v>
      </x:c>
    </x:row>
    <x:row r="325" ht="21" customHeight="1">
      <x:c r="A325" s="7" t="n">
        <x:v>45597</x:v>
      </x:c>
      <x:c r="B325" s="2" t="str">
        <x:v>東京</x:v>
      </x:c>
      <x:c r="C325" s="2" t="str">
        <x:v>東京都</x:v>
      </x:c>
      <x:c r="D325" s="8" t="n">
        <x:v>7028083</x:v>
      </x:c>
      <x:c r="E325" s="8" t="n">
        <x:v>833782</x:v>
      </x:c>
      <x:c r="F325" s="8" t="n">
        <x:v>2905992</x:v>
      </x:c>
      <x:c r="G325" s="8" t="n">
        <x:v>1246295</x:v>
      </x:c>
      <x:c r="H325" s="8" t="n">
        <x:v>2042014</x:v>
      </x:c>
      <x:c r="I325" s="8" t="n">
        <x:v>407342</x:v>
      </x:c>
      <x:c r="J325" s="8" t="n">
        <x:v>163232</x:v>
      </x:c>
      <x:c r="K325" s="8" t="n">
        <x:v>197433</x:v>
      </x:c>
      <x:c r="L325" s="8" t="n">
        <x:v>34900</x:v>
      </x:c>
      <x:c r="M325" s="8" t="n">
        <x:v>11777</x:v>
      </x:c>
      <x:c r="N325" s="8" t="n">
        <x:v>0</x:v>
      </x:c>
      <x:c r="O325" s="8" t="n">
        <x:v>0</x:v>
      </x:c>
      <x:c r="P325" s="8" t="n">
        <x:v>631</x:v>
      </x:c>
      <x:c r="Q325" s="8" t="n">
        <x:v>411</x:v>
      </x:c>
      <x:c r="R325" s="8" t="n">
        <x:v>1042</x:v>
      </x:c>
      <x:c r="S325" s="8" t="n">
        <x:v>1598</x:v>
      </x:c>
      <x:c r="T325" s="8" t="n">
        <x:v>390</x:v>
      </x:c>
      <x:c r="U325" s="2" t="str">
        <x:v>2025年12月25日現在</x:v>
      </x:c>
      <x:c r="V325" s="2" t="str">
        <x:v>2025-12-25</x:v>
      </x:c>
      <x:c r="W325" s="2" t="str">
        <x:v>https://www.e-stat.go.jp/stat-search/file-download?statInfId=000040146718&amp;fileKind=0</x:v>
      </x:c>
      <x:c r="X325" s="2" t="str">
        <x:v>海上出入貨物!205行、コンテナ個数!40行</x:v>
      </x:c>
      <x:c r="Y325" s="2" t="str">
        <x:v>取得済</x:v>
      </x:c>
      <x:c r="Z325" s="9" t="n">
        <x:f>IF(AND(ISNUMBER(E325),COUNTIFS($A$2:$A$477,EDATE(A325,-12),$B$2:$B$477,B325,$E$2:$E$477,"&gt;0")=1),E325/SUMIFS($E$2:$E$477,$A$2:$A$477,EDATE(A325,-12),$B$2:$B$477,B325)-1,"")</x:f>
        <x:v>-0.0769906900025461</x:v>
      </x:c>
      <x:c r="AA325" s="10" t="n">
        <x:f>IF(COUNTIFS($A$2:$A$477,"&gt;="&amp;EDATE(A325,-2),$A$2:$A$477,"&lt;="&amp;A325,$B$2:$B$477,B325,$E$2:$E$477,"&gt;=0")=3,SUMIFS($E$2:$E$477,$A$2:$A$477,"&gt;="&amp;EDATE(A325,-2),$A$2:$A$477,"&lt;="&amp;A325,$B$2:$B$477,B325)/3,"")</x:f>
        <x:v>885923.3333333334</x:v>
      </x:c>
      <x:c r="AB325" s="9" t="n">
        <x:f>IF(AND(ISNUMBER(J325),COUNTIFS($A$2:$A$477,EDATE(A325,-12),$B$2:$B$477,B325,$J$2:$J$477,"&gt;0")=1),J325/SUMIFS($J$2:$J$477,$A$2:$A$477,EDATE(A325,-12),$B$2:$B$477,B325)-1,"")</x:f>
        <x:v>-0.0010403789427302357</x:v>
      </x:c>
    </x:row>
    <x:row r="326" ht="21" customHeight="1">
      <x:c r="A326" s="7" t="n">
        <x:v>45597</x:v>
      </x:c>
      <x:c r="B326" s="2" t="str">
        <x:v>横浜</x:v>
      </x:c>
      <x:c r="C326" s="2" t="str">
        <x:v>神奈川県</x:v>
      </x:c>
      <x:c r="D326" s="8" t="n">
        <x:v>8272188</x:v>
      </x:c>
      <x:c r="E326" s="8" t="n">
        <x:v>2433520</x:v>
      </x:c>
      <x:c r="F326" s="8" t="n">
        <x:v>3382435</x:v>
      </x:c>
      <x:c r="G326" s="8" t="n">
        <x:v>721069</x:v>
      </x:c>
      <x:c r="H326" s="8" t="n">
        <x:v>1735164</x:v>
      </x:c>
      <x:c r="I326" s="8" t="n">
        <x:v>252182</x:v>
      </x:c>
      <x:c r="J326" s="8" t="n">
        <x:v>121121</x:v>
      </x:c>
      <x:c r="K326" s="8" t="n">
        <x:v>104890</x:v>
      </x:c>
      <x:c r="L326" s="8" t="n">
        <x:v>10088</x:v>
      </x:c>
      <x:c r="M326" s="8" t="n">
        <x:v>16083</x:v>
      </x:c>
      <x:c r="N326" s="8" t="n">
        <x:v>0</x:v>
      </x:c>
      <x:c r="O326" s="8" t="n">
        <x:v>0</x:v>
      </x:c>
      <x:c r="P326" s="8" t="n">
        <x:v>0</x:v>
      </x:c>
      <x:c r="Q326" s="8" t="n">
        <x:v>0</x:v>
      </x:c>
      <x:c r="R326" s="8" t="n">
        <x:v>0</x:v>
      </x:c>
      <x:c r="S326" s="8" t="n">
        <x:v>2084</x:v>
      </x:c>
      <x:c r="T326" s="8" t="n">
        <x:v>702</x:v>
      </x:c>
      <x:c r="U326" s="2" t="str">
        <x:v>2025年12月25日現在</x:v>
      </x:c>
      <x:c r="V326" s="2" t="str">
        <x:v>2025-12-25</x:v>
      </x:c>
      <x:c r="W326" s="2" t="str">
        <x:v>https://www.e-stat.go.jp/stat-search/file-download?statInfId=000040146718&amp;fileKind=0</x:v>
      </x:c>
      <x:c r="X326" s="2" t="str">
        <x:v>海上出入貨物!217行、コンテナ個数!42行</x:v>
      </x:c>
      <x:c r="Y326" s="2" t="str">
        <x:v>取得済</x:v>
      </x:c>
      <x:c r="Z326" s="9" t="n">
        <x:f>IF(AND(ISNUMBER(E326),COUNTIFS($A$2:$A$477,EDATE(A326,-12),$B$2:$B$477,B326,$E$2:$E$477,"&gt;0")=1),E326/SUMIFS($E$2:$E$477,$A$2:$A$477,EDATE(A326,-12),$B$2:$B$477,B326)-1,"")</x:f>
        <x:v>-0.0037418224394717425</x:v>
      </x:c>
      <x:c r="AA326" s="10" t="n">
        <x:f>IF(COUNTIFS($A$2:$A$477,"&gt;="&amp;EDATE(A326,-2),$A$2:$A$477,"&lt;="&amp;A326,$B$2:$B$477,B326,$E$2:$E$477,"&gt;=0")=3,SUMIFS($E$2:$E$477,$A$2:$A$477,"&gt;="&amp;EDATE(A326,-2),$A$2:$A$477,"&lt;="&amp;A326,$B$2:$B$477,B326)/3,"")</x:f>
        <x:v>2491675</x:v>
      </x:c>
      <x:c r="AB326" s="9" t="n">
        <x:f>IF(AND(ISNUMBER(J326),COUNTIFS($A$2:$A$477,EDATE(A326,-12),$B$2:$B$477,B326,$J$2:$J$477,"&gt;0")=1),J326/SUMIFS($J$2:$J$477,$A$2:$A$477,EDATE(A326,-12),$B$2:$B$477,B326)-1,"")</x:f>
        <x:v>0.019030952641365007</x:v>
      </x:c>
    </x:row>
    <x:row r="327" ht="21" customHeight="1">
      <x:c r="A327" s="7" t="n">
        <x:v>45597</x:v>
      </x:c>
      <x:c r="B327" s="2" t="str">
        <x:v>清水</x:v>
      </x:c>
      <x:c r="C327" s="2" t="str">
        <x:v>静岡県</x:v>
      </x:c>
      <x:c r="D327" s="8" t="n">
        <x:v>1356271</x:v>
      </x:c>
      <x:c r="E327" s="8" t="n">
        <x:v>241191</x:v>
      </x:c>
      <x:c r="F327" s="8" t="n">
        <x:v>623478</x:v>
      </x:c>
      <x:c r="G327" s="8" t="n">
        <x:v>142119</x:v>
      </x:c>
      <x:c r="H327" s="8" t="n">
        <x:v>349483</x:v>
      </x:c>
      <x:c r="I327" s="8" t="n">
        <x:v>42166</x:v>
      </x:c>
      <x:c r="J327" s="8" t="n">
        <x:v>16339</x:v>
      </x:c>
      <x:c r="K327" s="8" t="n">
        <x:v>16889</x:v>
      </x:c>
      <x:c r="L327" s="8" t="n">
        <x:v>4696</x:v>
      </x:c>
      <x:c r="M327" s="8" t="n">
        <x:v>4242</x:v>
      </x:c>
      <x:c r="N327" s="8" t="n">
        <x:v>0</x:v>
      </x:c>
      <x:c r="O327" s="8" t="n">
        <x:v>0</x:v>
      </x:c>
      <x:c r="P327" s="8" t="n">
        <x:v>3</x:v>
      </x:c>
      <x:c r="Q327" s="8" t="n">
        <x:v>2</x:v>
      </x:c>
      <x:c r="R327" s="8" t="n">
        <x:v>5</x:v>
      </x:c>
      <x:c r="S327" s="8" t="n">
        <x:v>407</x:v>
      </x:c>
      <x:c r="T327" s="8" t="n">
        <x:v>122</x:v>
      </x:c>
      <x:c r="U327" s="2" t="str">
        <x:v>2025年12月25日現在</x:v>
      </x:c>
      <x:c r="V327" s="2" t="str">
        <x:v>2025-12-25</x:v>
      </x:c>
      <x:c r="W327" s="2" t="str">
        <x:v>https://www.e-stat.go.jp/stat-search/file-download?statInfId=000040146718&amp;fileKind=0</x:v>
      </x:c>
      <x:c r="X327" s="2" t="str">
        <x:v>海上出入貨物!313行、コンテナ個数!58行</x:v>
      </x:c>
      <x:c r="Y327" s="2" t="str">
        <x:v>取得済</x:v>
      </x:c>
      <x:c r="Z327" s="9" t="n">
        <x:f>IF(AND(ISNUMBER(E327),COUNTIFS($A$2:$A$477,EDATE(A327,-12),$B$2:$B$477,B327,$E$2:$E$477,"&gt;0")=1),E327/SUMIFS($E$2:$E$477,$A$2:$A$477,EDATE(A327,-12),$B$2:$B$477,B327)-1,"")</x:f>
        <x:v>-0.16177451866268155</x:v>
      </x:c>
      <x:c r="AA327" s="10" t="n">
        <x:f>IF(COUNTIFS($A$2:$A$477,"&gt;="&amp;EDATE(A327,-2),$A$2:$A$477,"&lt;="&amp;A327,$B$2:$B$477,B327,$E$2:$E$477,"&gt;=0")=3,SUMIFS($E$2:$E$477,$A$2:$A$477,"&gt;="&amp;EDATE(A327,-2),$A$2:$A$477,"&lt;="&amp;A327,$B$2:$B$477,B327)/3,"")</x:f>
        <x:v>281642.3333333333</x:v>
      </x:c>
      <x:c r="AB327" s="9" t="n">
        <x:f>IF(AND(ISNUMBER(J327),COUNTIFS($A$2:$A$477,EDATE(A327,-12),$B$2:$B$477,B327,$J$2:$J$477,"&gt;0")=1),J327/SUMIFS($J$2:$J$477,$A$2:$A$477,EDATE(A327,-12),$B$2:$B$477,B327)-1,"")</x:f>
        <x:v>-0.06516763931799974</x:v>
      </x:c>
    </x:row>
    <x:row r="328" ht="21" customHeight="1">
      <x:c r="A328" s="7" t="n">
        <x:v>45597</x:v>
      </x:c>
      <x:c r="B328" s="2" t="str">
        <x:v>博多</x:v>
      </x:c>
      <x:c r="C328" s="2" t="str">
        <x:v>福岡県</x:v>
      </x:c>
      <x:c r="D328" s="8" t="n">
        <x:v>2932355</x:v>
      </x:c>
      <x:c r="E328" s="8" t="n">
        <x:v>673930</x:v>
      </x:c>
      <x:c r="F328" s="8" t="n">
        <x:v>788686</x:v>
      </x:c>
      <x:c r="G328" s="8" t="n">
        <x:v>511469</x:v>
      </x:c>
      <x:c r="H328" s="8" t="n">
        <x:v>958270</x:v>
      </x:c>
      <x:c r="I328" s="8" t="n">
        <x:v>76044</x:v>
      </x:c>
      <x:c r="J328" s="8" t="n">
        <x:v>30210</x:v>
      </x:c>
      <x:c r="K328" s="8" t="n">
        <x:v>33199</x:v>
      </x:c>
      <x:c r="L328" s="8" t="n">
        <x:v>6011</x:v>
      </x:c>
      <x:c r="M328" s="8" t="n">
        <x:v>6624</x:v>
      </x:c>
      <x:c r="N328" s="8" t="n">
        <x:v>0</x:v>
      </x:c>
      <x:c r="O328" s="8" t="n">
        <x:v>0</x:v>
      </x:c>
      <x:c r="P328" s="8" t="n">
        <x:v>1789</x:v>
      </x:c>
      <x:c r="Q328" s="8" t="n">
        <x:v>1915</x:v>
      </x:c>
      <x:c r="R328" s="8" t="n">
        <x:v>3704</x:v>
      </x:c>
      <x:c r="S328" s="8" t="n">
        <x:v>1492</x:v>
      </x:c>
      <x:c r="T328" s="8" t="n">
        <x:v>229</x:v>
      </x:c>
      <x:c r="U328" s="2" t="str">
        <x:v>2025年12月25日現在</x:v>
      </x:c>
      <x:c r="V328" s="2" t="str">
        <x:v>2025-12-25</x:v>
      </x:c>
      <x:c r="W328" s="2" t="str">
        <x:v>https://www.e-stat.go.jp/stat-search/file-download?statInfId=000040146718&amp;fileKind=0</x:v>
      </x:c>
      <x:c r="X328" s="2" t="str">
        <x:v>海上出入貨物!745行、コンテナ個数!130行</x:v>
      </x:c>
      <x:c r="Y328" s="2" t="str">
        <x:v>取得済</x:v>
      </x:c>
      <x:c r="Z328" s="9" t="n">
        <x:f>IF(AND(ISNUMBER(E328),COUNTIFS($A$2:$A$477,EDATE(A328,-12),$B$2:$B$477,B328,$E$2:$E$477,"&gt;0")=1),E328/SUMIFS($E$2:$E$477,$A$2:$A$477,EDATE(A328,-12),$B$2:$B$477,B328)-1,"")</x:f>
        <x:v>-0.17664507884381142</x:v>
      </x:c>
      <x:c r="AA328" s="10" t="n">
        <x:f>IF(COUNTIFS($A$2:$A$477,"&gt;="&amp;EDATE(A328,-2),$A$2:$A$477,"&lt;="&amp;A328,$B$2:$B$477,B328,$E$2:$E$477,"&gt;=0")=3,SUMIFS($E$2:$E$477,$A$2:$A$477,"&gt;="&amp;EDATE(A328,-2),$A$2:$A$477,"&lt;="&amp;A328,$B$2:$B$477,B328)/3,"")</x:f>
        <x:v>689893.6666666666</x:v>
      </x:c>
      <x:c r="AB328" s="9" t="n">
        <x:f>IF(AND(ISNUMBER(J328),COUNTIFS($A$2:$A$477,EDATE(A328,-12),$B$2:$B$477,B328,$J$2:$J$477,"&gt;0")=1),J328/SUMIFS($J$2:$J$477,$A$2:$A$477,EDATE(A328,-12),$B$2:$B$477,B328)-1,"")</x:f>
        <x:v>-0.1889497422680413</x:v>
      </x:c>
    </x:row>
    <x:row r="329" ht="21" customHeight="1">
      <x:c r="A329" s="7" t="n">
        <x:v>45597</x:v>
      </x:c>
      <x:c r="B329" s="2" t="str">
        <x:v>熊本</x:v>
      </x:c>
      <x:c r="C329" s="2" t="str">
        <x:v>熊本県</x:v>
      </x:c>
      <x:c r="D329" s="8" t="n">
        <x:v>297040</x:v>
      </x:c>
      <x:c r="E329" s="8" t="n">
        <x:v>2932</x:v>
      </x:c>
      <x:c r="F329" s="8" t="n">
        <x:v>4775</x:v>
      </x:c>
      <x:c r="G329" s="8" t="n">
        <x:v>115686</x:v>
      </x:c>
      <x:c r="H329" s="8" t="n">
        <x:v>173647</x:v>
      </x:c>
      <x:c r="I329" s="8" t="n">
        <x:v>1117</x:v>
      </x:c>
      <x:c r="J329" s="8" t="n">
        <x:v>181</x:v>
      </x:c>
      <x:c r="K329" s="8" t="n">
        <x:v>211</x:v>
      </x:c>
      <x:c r="L329" s="8" t="n">
        <x:v>299</x:v>
      </x:c>
      <x:c r="M329" s="8" t="n">
        <x:v>426</x:v>
      </x:c>
      <x:c r="N329" s="8" t="n">
        <x:v>0</x:v>
      </x:c>
      <x:c r="O329" s="8" t="n">
        <x:v>0</x:v>
      </x:c>
      <x:c r="P329" s="8" t="n">
        <x:v>504</x:v>
      </x:c>
      <x:c r="Q329" s="8" t="n">
        <x:v>490</x:v>
      </x:c>
      <x:c r="R329" s="8" t="n">
        <x:v>994</x:v>
      </x:c>
      <x:c r="S329" s="8" t="n">
        <x:v>33</x:v>
      </x:c>
      <x:c r="T329" s="8" t="n">
        <x:v>7</x:v>
      </x:c>
      <x:c r="U329" s="2" t="str">
        <x:v>2025年12月25日現在</x:v>
      </x:c>
      <x:c r="V329" s="2" t="str">
        <x:v>2025-12-25</x:v>
      </x:c>
      <x:c r="W329" s="2" t="str">
        <x:v>https://www.e-stat.go.jp/stat-search/file-download?statInfId=000040146718&amp;fileKind=0</x:v>
      </x:c>
      <x:c r="X329" s="2" t="str">
        <x:v>海上出入貨物!859行、コンテナ個数!149行</x:v>
      </x:c>
      <x:c r="Y329" s="2" t="str">
        <x:v>取得済</x:v>
      </x:c>
      <x:c r="Z329" s="9" t="n">
        <x:f>IF(AND(ISNUMBER(E329),COUNTIFS($A$2:$A$477,EDATE(A329,-12),$B$2:$B$477,B329,$E$2:$E$477,"&gt;0")=1),E329/SUMIFS($E$2:$E$477,$A$2:$A$477,EDATE(A329,-12),$B$2:$B$477,B329)-1,"")</x:f>
        <x:v>-0.1484170781295382</x:v>
      </x:c>
      <x:c r="AA329" s="10" t="n">
        <x:f>IF(COUNTIFS($A$2:$A$477,"&gt;="&amp;EDATE(A329,-2),$A$2:$A$477,"&lt;="&amp;A329,$B$2:$B$477,B329,$E$2:$E$477,"&gt;=0")=3,SUMIFS($E$2:$E$477,$A$2:$A$477,"&gt;="&amp;EDATE(A329,-2),$A$2:$A$477,"&lt;="&amp;A329,$B$2:$B$477,B329)/3,"")</x:f>
        <x:v>2646.6666666666665</x:v>
      </x:c>
      <x:c r="AB329" s="9" t="n">
        <x:f>IF(AND(ISNUMBER(J329),COUNTIFS($A$2:$A$477,EDATE(A329,-12),$B$2:$B$477,B329,$J$2:$J$477,"&gt;0")=1),J329/SUMIFS($J$2:$J$477,$A$2:$A$477,EDATE(A329,-12),$B$2:$B$477,B329)-1,"")</x:f>
        <x:v>-0.09499999999999997</x:v>
      </x:c>
    </x:row>
    <x:row r="330" ht="21" customHeight="1">
      <x:c r="A330" s="7" t="n">
        <x:v>45597</x:v>
      </x:c>
      <x:c r="B330" s="2" t="str">
        <x:v>八代</x:v>
      </x:c>
      <x:c r="C330" s="2" t="str">
        <x:v>熊本県</x:v>
      </x:c>
      <x:c r="D330" s="8" t="n">
        <x:v>304742</x:v>
      </x:c>
      <x:c r="E330" s="8" t="n">
        <x:v>19148</x:v>
      </x:c>
      <x:c r="F330" s="8" t="n">
        <x:v>135220</x:v>
      </x:c>
      <x:c r="G330" s="8" t="n">
        <x:v>19960</x:v>
      </x:c>
      <x:c r="H330" s="8" t="n">
        <x:v>130414</x:v>
      </x:c>
      <x:c r="I330" s="8" t="n">
        <x:v>1505</x:v>
      </x:c>
      <x:c r="J330" s="8" t="n">
        <x:v>686</x:v>
      </x:c>
      <x:c r="K330" s="8" t="n">
        <x:v>517</x:v>
      </x:c>
      <x:c r="L330" s="8" t="n">
        <x:v>12</x:v>
      </x:c>
      <x:c r="M330" s="8" t="n">
        <x:v>290</x:v>
      </x:c>
      <x:c r="N330" s="8" t="n">
        <x:v>0</x:v>
      </x:c>
      <x:c r="O330" s="8" t="n">
        <x:v>0</x:v>
      </x:c>
      <x:c r="P330" s="8" t="n">
        <x:v>0</x:v>
      </x:c>
      <x:c r="Q330" s="8" t="n">
        <x:v>0</x:v>
      </x:c>
      <x:c r="R330" s="8" t="n">
        <x:v>0</x:v>
      </x:c>
      <x:c r="S330" s="8" t="n">
        <x:v>201</x:v>
      </x:c>
      <x:c r="T330" s="8" t="n">
        <x:v>29</x:v>
      </x:c>
      <x:c r="U330" s="2" t="str">
        <x:v>2025年12月25日現在</x:v>
      </x:c>
      <x:c r="V330" s="2" t="str">
        <x:v>2025-12-25</x:v>
      </x:c>
      <x:c r="W330" s="2" t="str">
        <x:v>https://www.e-stat.go.jp/stat-search/file-download?statInfId=000040146718&amp;fileKind=0</x:v>
      </x:c>
      <x:c r="X330" s="2" t="str">
        <x:v>海上出入貨物!847行、コンテナ個数!147行</x:v>
      </x:c>
      <x:c r="Y330" s="2" t="str">
        <x:v>取得済</x:v>
      </x:c>
      <x:c r="Z330" s="9" t="n">
        <x:f>IF(AND(ISNUMBER(E330),COUNTIFS($A$2:$A$477,EDATE(A330,-12),$B$2:$B$477,B330,$E$2:$E$477,"&gt;0")=1),E330/SUMIFS($E$2:$E$477,$A$2:$A$477,EDATE(A330,-12),$B$2:$B$477,B330)-1,"")</x:f>
        <x:v>-0.2533728456679404</x:v>
      </x:c>
      <x:c r="AA330" s="10" t="n">
        <x:f>IF(COUNTIFS($A$2:$A$477,"&gt;="&amp;EDATE(A330,-2),$A$2:$A$477,"&lt;="&amp;A330,$B$2:$B$477,B330,$E$2:$E$477,"&gt;=0")=3,SUMIFS($E$2:$E$477,$A$2:$A$477,"&gt;="&amp;EDATE(A330,-2),$A$2:$A$477,"&lt;="&amp;A330,$B$2:$B$477,B330)/3,"")</x:f>
        <x:v>17861</x:v>
      </x:c>
      <x:c r="AB330" s="9" t="n">
        <x:f>IF(AND(ISNUMBER(J330),COUNTIFS($A$2:$A$477,EDATE(A330,-12),$B$2:$B$477,B330,$J$2:$J$477,"&gt;0")=1),J330/SUMIFS($J$2:$J$477,$A$2:$A$477,EDATE(A330,-12),$B$2:$B$477,B330)-1,"")</x:f>
        <x:v>-0.27330508474576276</x:v>
      </x:c>
    </x:row>
    <x:row r="331" ht="21" customHeight="1">
      <x:c r="A331" s="7" t="n">
        <x:v>45627</x:v>
      </x:c>
      <x:c r="B331" s="2" t="str">
        <x:v>仙台塩釜</x:v>
      </x:c>
      <x:c r="C331" s="2" t="str">
        <x:v>宮城県</x:v>
      </x:c>
      <x:c r="D331" s="8" t="n">
        <x:v>3426670</x:v>
      </x:c>
      <x:c r="E331" s="8" t="n">
        <x:v>85770</x:v>
      </x:c>
      <x:c r="F331" s="8" t="n">
        <x:v>1114311</x:v>
      </x:c>
      <x:c r="G331" s="8" t="n">
        <x:v>1080345</x:v>
      </x:c>
      <x:c r="H331" s="8" t="n">
        <x:v>1146244</x:v>
      </x:c>
      <x:c r="I331" s="8" t="n">
        <x:v>21368</x:v>
      </x:c>
      <x:c r="J331" s="8" t="n">
        <x:v>6183</x:v>
      </x:c>
      <x:c r="K331" s="8" t="n">
        <x:v>5661</x:v>
      </x:c>
      <x:c r="L331" s="8" t="n">
        <x:v>4806</x:v>
      </x:c>
      <x:c r="M331" s="8" t="n">
        <x:v>4718</x:v>
      </x:c>
      <x:c r="N331" s="8" t="n">
        <x:v>0</x:v>
      </x:c>
      <x:c r="O331" s="8" t="n">
        <x:v>0</x:v>
      </x:c>
      <x:c r="P331" s="8" t="n">
        <x:v>596</x:v>
      </x:c>
      <x:c r="Q331" s="8" t="n">
        <x:v>614</x:v>
      </x:c>
      <x:c r="R331" s="8" t="n">
        <x:v>1210</x:v>
      </x:c>
      <x:c r="S331" s="8" t="n">
        <x:v>1887</x:v>
      </x:c>
      <x:c r="T331" s="8" t="n">
        <x:v>85</x:v>
      </x:c>
      <x:c r="U331" s="2" t="str">
        <x:v>2025年12月25日現在</x:v>
      </x:c>
      <x:c r="V331" s="2" t="str">
        <x:v>2025-12-25</x:v>
      </x:c>
      <x:c r="W331" s="2" t="str">
        <x:v>https://www.e-stat.go.jp/stat-search/file-download?statInfId=000040146718&amp;fileKind=0</x:v>
      </x:c>
      <x:c r="X331" s="2" t="str">
        <x:v>海上出入貨物!139行、コンテナ個数!29行</x:v>
      </x:c>
      <x:c r="Y331" s="2" t="str">
        <x:v>取得済</x:v>
      </x:c>
      <x:c r="Z331" s="9" t="n">
        <x:f>IF(AND(ISNUMBER(E331),COUNTIFS($A$2:$A$477,EDATE(A331,-12),$B$2:$B$477,B331,$E$2:$E$477,"&gt;0")=1),E331/SUMIFS($E$2:$E$477,$A$2:$A$477,EDATE(A331,-12),$B$2:$B$477,B331)-1,"")</x:f>
        <x:v>-0.4408297911179493</x:v>
      </x:c>
      <x:c r="AA331" s="10" t="n">
        <x:f>IF(COUNTIFS($A$2:$A$477,"&gt;="&amp;EDATE(A331,-2),$A$2:$A$477,"&lt;="&amp;A331,$B$2:$B$477,B331,$E$2:$E$477,"&gt;=0")=3,SUMIFS($E$2:$E$477,$A$2:$A$477,"&gt;="&amp;EDATE(A331,-2),$A$2:$A$477,"&lt;="&amp;A331,$B$2:$B$477,B331)/3,"")</x:f>
        <x:v>122368</x:v>
      </x:c>
      <x:c r="AB331" s="9" t="n">
        <x:f>IF(AND(ISNUMBER(J331),COUNTIFS($A$2:$A$477,EDATE(A331,-12),$B$2:$B$477,B331,$J$2:$J$477,"&gt;0")=1),J331/SUMIFS($J$2:$J$477,$A$2:$A$477,EDATE(A331,-12),$B$2:$B$477,B331)-1,"")</x:f>
        <x:v>0.12561441835062803</x:v>
      </x:c>
    </x:row>
    <x:row r="332" ht="21" customHeight="1">
      <x:c r="A332" s="7" t="n">
        <x:v>45627</x:v>
      </x:c>
      <x:c r="B332" s="2" t="str">
        <x:v>東京</x:v>
      </x:c>
      <x:c r="C332" s="2" t="str">
        <x:v>東京都</x:v>
      </x:c>
      <x:c r="D332" s="8" t="n">
        <x:v>7209463</x:v>
      </x:c>
      <x:c r="E332" s="8" t="n">
        <x:v>1113900</x:v>
      </x:c>
      <x:c r="F332" s="8" t="n">
        <x:v>2915957</x:v>
      </x:c>
      <x:c r="G332" s="8" t="n">
        <x:v>1140556</x:v>
      </x:c>
      <x:c r="H332" s="8" t="n">
        <x:v>2039050</x:v>
      </x:c>
      <x:c r="I332" s="8" t="n">
        <x:v>426737</x:v>
      </x:c>
      <x:c r="J332" s="8" t="n">
        <x:v>180257</x:v>
      </x:c>
      <x:c r="K332" s="8" t="n">
        <x:v>197112</x:v>
      </x:c>
      <x:c r="L332" s="8" t="n">
        <x:v>36760</x:v>
      </x:c>
      <x:c r="M332" s="8" t="n">
        <x:v>12608</x:v>
      </x:c>
      <x:c r="N332" s="8" t="n">
        <x:v>0</x:v>
      </x:c>
      <x:c r="O332" s="8" t="n">
        <x:v>0</x:v>
      </x:c>
      <x:c r="P332" s="8" t="n">
        <x:v>437</x:v>
      </x:c>
      <x:c r="Q332" s="8" t="n">
        <x:v>166</x:v>
      </x:c>
      <x:c r="R332" s="8" t="n">
        <x:v>603</x:v>
      </x:c>
      <x:c r="S332" s="8" t="n">
        <x:v>1651</x:v>
      </x:c>
      <x:c r="T332" s="8" t="n">
        <x:v>418</x:v>
      </x:c>
      <x:c r="U332" s="2" t="str">
        <x:v>2025年12月25日現在</x:v>
      </x:c>
      <x:c r="V332" s="2" t="str">
        <x:v>2025-12-25</x:v>
      </x:c>
      <x:c r="W332" s="2" t="str">
        <x:v>https://www.e-stat.go.jp/stat-search/file-download?statInfId=000040146718&amp;fileKind=0</x:v>
      </x:c>
      <x:c r="X332" s="2" t="str">
        <x:v>海上出入貨物!205行、コンテナ個数!40行</x:v>
      </x:c>
      <x:c r="Y332" s="2" t="str">
        <x:v>取得済</x:v>
      </x:c>
      <x:c r="Z332" s="9" t="n">
        <x:f>IF(AND(ISNUMBER(E332),COUNTIFS($A$2:$A$477,EDATE(A332,-12),$B$2:$B$477,B332,$E$2:$E$477,"&gt;0")=1),E332/SUMIFS($E$2:$E$477,$A$2:$A$477,EDATE(A332,-12),$B$2:$B$477,B332)-1,"")</x:f>
        <x:v>0.07716959401372603</x:v>
      </x:c>
      <x:c r="AA332" s="10" t="n">
        <x:f>IF(COUNTIFS($A$2:$A$477,"&gt;="&amp;EDATE(A332,-2),$A$2:$A$477,"&lt;="&amp;A332,$B$2:$B$477,B332,$E$2:$E$477,"&gt;=0")=3,SUMIFS($E$2:$E$477,$A$2:$A$477,"&gt;="&amp;EDATE(A332,-2),$A$2:$A$477,"&lt;="&amp;A332,$B$2:$B$477,B332)/3,"")</x:f>
        <x:v>961002</x:v>
      </x:c>
      <x:c r="AB332" s="9" t="n">
        <x:f>IF(AND(ISNUMBER(J332),COUNTIFS($A$2:$A$477,EDATE(A332,-12),$B$2:$B$477,B332,$J$2:$J$477,"&gt;0")=1),J332/SUMIFS($J$2:$J$477,$A$2:$A$477,EDATE(A332,-12),$B$2:$B$477,B332)-1,"")</x:f>
        <x:v>0.013425610983364145</x:v>
      </x:c>
    </x:row>
    <x:row r="333" ht="21" customHeight="1">
      <x:c r="A333" s="7" t="n">
        <x:v>45627</x:v>
      </x:c>
      <x:c r="B333" s="2" t="str">
        <x:v>横浜</x:v>
      </x:c>
      <x:c r="C333" s="2" t="str">
        <x:v>神奈川県</x:v>
      </x:c>
      <x:c r="D333" s="8" t="n">
        <x:v>9160640</x:v>
      </x:c>
      <x:c r="E333" s="8" t="n">
        <x:v>2791030</x:v>
      </x:c>
      <x:c r="F333" s="8" t="n">
        <x:v>3640662</x:v>
      </x:c>
      <x:c r="G333" s="8" t="n">
        <x:v>761662</x:v>
      </x:c>
      <x:c r="H333" s="8" t="n">
        <x:v>1967286</x:v>
      </x:c>
      <x:c r="I333" s="8" t="n">
        <x:v>278541</x:v>
      </x:c>
      <x:c r="J333" s="8" t="n">
        <x:v>142100</x:v>
      </x:c>
      <x:c r="K333" s="8" t="n">
        <x:v>108655</x:v>
      </x:c>
      <x:c r="L333" s="8" t="n">
        <x:v>9234</x:v>
      </x:c>
      <x:c r="M333" s="8" t="n">
        <x:v>18552</x:v>
      </x:c>
      <x:c r="N333" s="8" t="n">
        <x:v>0</x:v>
      </x:c>
      <x:c r="O333" s="8" t="n">
        <x:v>0</x:v>
      </x:c>
      <x:c r="P333" s="8" t="n">
        <x:v>0</x:v>
      </x:c>
      <x:c r="Q333" s="8" t="n">
        <x:v>0</x:v>
      </x:c>
      <x:c r="R333" s="8" t="n">
        <x:v>0</x:v>
      </x:c>
      <x:c r="S333" s="8" t="n">
        <x:v>2120</x:v>
      </x:c>
      <x:c r="T333" s="8" t="n">
        <x:v>725</x:v>
      </x:c>
      <x:c r="U333" s="2" t="str">
        <x:v>2025年12月25日現在</x:v>
      </x:c>
      <x:c r="V333" s="2" t="str">
        <x:v>2025-12-25</x:v>
      </x:c>
      <x:c r="W333" s="2" t="str">
        <x:v>https://www.e-stat.go.jp/stat-search/file-download?statInfId=000040146718&amp;fileKind=0</x:v>
      </x:c>
      <x:c r="X333" s="2" t="str">
        <x:v>海上出入貨物!217行、コンテナ個数!42行</x:v>
      </x:c>
      <x:c r="Y333" s="2" t="str">
        <x:v>取得済</x:v>
      </x:c>
      <x:c r="Z333" s="9" t="n">
        <x:f>IF(AND(ISNUMBER(E333),COUNTIFS($A$2:$A$477,EDATE(A333,-12),$B$2:$B$477,B333,$E$2:$E$477,"&gt;0")=1),E333/SUMIFS($E$2:$E$477,$A$2:$A$477,EDATE(A333,-12),$B$2:$B$477,B333)-1,"")</x:f>
        <x:v>-0.0031138516752221568</x:v>
      </x:c>
      <x:c r="AA333" s="10" t="n">
        <x:f>IF(COUNTIFS($A$2:$A$477,"&gt;="&amp;EDATE(A333,-2),$A$2:$A$477,"&lt;="&amp;A333,$B$2:$B$477,B333,$E$2:$E$477,"&gt;=0")=3,SUMIFS($E$2:$E$477,$A$2:$A$477,"&gt;="&amp;EDATE(A333,-2),$A$2:$A$477,"&lt;="&amp;A333,$B$2:$B$477,B333)/3,"")</x:f>
        <x:v>2606503.3333333335</x:v>
      </x:c>
      <x:c r="AB333" s="9" t="n">
        <x:f>IF(AND(ISNUMBER(J333),COUNTIFS($A$2:$A$477,EDATE(A333,-12),$B$2:$B$477,B333,$J$2:$J$477,"&gt;0")=1),J333/SUMIFS($J$2:$J$477,$A$2:$A$477,EDATE(A333,-12),$B$2:$B$477,B333)-1,"")</x:f>
        <x:v>0.06715330659817664</x:v>
      </x:c>
    </x:row>
    <x:row r="334" ht="21" customHeight="1">
      <x:c r="A334" s="7" t="n">
        <x:v>45627</x:v>
      </x:c>
      <x:c r="B334" s="2" t="str">
        <x:v>清水</x:v>
      </x:c>
      <x:c r="C334" s="2" t="str">
        <x:v>静岡県</x:v>
      </x:c>
      <x:c r="D334" s="8" t="n">
        <x:v>1369894</x:v>
      </x:c>
      <x:c r="E334" s="8" t="n">
        <x:v>324502</x:v>
      </x:c>
      <x:c r="F334" s="8" t="n">
        <x:v>550423</x:v>
      </x:c>
      <x:c r="G334" s="8" t="n">
        <x:v>171913</x:v>
      </x:c>
      <x:c r="H334" s="8" t="n">
        <x:v>323056</x:v>
      </x:c>
      <x:c r="I334" s="8" t="n">
        <x:v>49479</x:v>
      </x:c>
      <x:c r="J334" s="8" t="n">
        <x:v>19678</x:v>
      </x:c>
      <x:c r="K334" s="8" t="n">
        <x:v>18377</x:v>
      </x:c>
      <x:c r="L334" s="8" t="n">
        <x:v>5860</x:v>
      </x:c>
      <x:c r="M334" s="8" t="n">
        <x:v>5564</x:v>
      </x:c>
      <x:c r="N334" s="8" t="n">
        <x:v>0</x:v>
      </x:c>
      <x:c r="O334" s="8" t="n">
        <x:v>0</x:v>
      </x:c>
      <x:c r="P334" s="8" t="n">
        <x:v>1</x:v>
      </x:c>
      <x:c r="Q334" s="8" t="n">
        <x:v>3</x:v>
      </x:c>
      <x:c r="R334" s="8" t="n">
        <x:v>4</x:v>
      </x:c>
      <x:c r="S334" s="8" t="n">
        <x:v>444</x:v>
      </x:c>
      <x:c r="T334" s="8" t="n">
        <x:v>136</x:v>
      </x:c>
      <x:c r="U334" s="2" t="str">
        <x:v>2025年12月25日現在</x:v>
      </x:c>
      <x:c r="V334" s="2" t="str">
        <x:v>2025-12-25</x:v>
      </x:c>
      <x:c r="W334" s="2" t="str">
        <x:v>https://www.e-stat.go.jp/stat-search/file-download?statInfId=000040146718&amp;fileKind=0</x:v>
      </x:c>
      <x:c r="X334" s="2" t="str">
        <x:v>海上出入貨物!313行、コンテナ個数!58行</x:v>
      </x:c>
      <x:c r="Y334" s="2" t="str">
        <x:v>取得済</x:v>
      </x:c>
      <x:c r="Z334" s="9" t="n">
        <x:f>IF(AND(ISNUMBER(E334),COUNTIFS($A$2:$A$477,EDATE(A334,-12),$B$2:$B$477,B334,$E$2:$E$477,"&gt;0")=1),E334/SUMIFS($E$2:$E$477,$A$2:$A$477,EDATE(A334,-12),$B$2:$B$477,B334)-1,"")</x:f>
        <x:v>0.11878723521624002</x:v>
      </x:c>
      <x:c r="AA334" s="10" t="n">
        <x:f>IF(COUNTIFS($A$2:$A$477,"&gt;="&amp;EDATE(A334,-2),$A$2:$A$477,"&lt;="&amp;A334,$B$2:$B$477,B334,$E$2:$E$477,"&gt;=0")=3,SUMIFS($E$2:$E$477,$A$2:$A$477,"&gt;="&amp;EDATE(A334,-2),$A$2:$A$477,"&lt;="&amp;A334,$B$2:$B$477,B334)/3,"")</x:f>
        <x:v>281969.3333333333</x:v>
      </x:c>
      <x:c r="AB334" s="9" t="n">
        <x:f>IF(AND(ISNUMBER(J334),COUNTIFS($A$2:$A$477,EDATE(A334,-12),$B$2:$B$477,B334,$J$2:$J$477,"&gt;0")=1),J334/SUMIFS($J$2:$J$477,$A$2:$A$477,EDATE(A334,-12),$B$2:$B$477,B334)-1,"")</x:f>
        <x:v>0.04348287199066703</x:v>
      </x:c>
    </x:row>
    <x:row r="335" ht="21" customHeight="1">
      <x:c r="A335" s="7" t="n">
        <x:v>45627</x:v>
      </x:c>
      <x:c r="B335" s="2" t="str">
        <x:v>博多</x:v>
      </x:c>
      <x:c r="C335" s="2" t="str">
        <x:v>福岡県</x:v>
      </x:c>
      <x:c r="D335" s="8" t="n">
        <x:v>3172934</x:v>
      </x:c>
      <x:c r="E335" s="8" t="n">
        <x:v>753868</x:v>
      </x:c>
      <x:c r="F335" s="8" t="n">
        <x:v>851903</x:v>
      </x:c>
      <x:c r="G335" s="8" t="n">
        <x:v>545407</x:v>
      </x:c>
      <x:c r="H335" s="8" t="n">
        <x:v>1021756</x:v>
      </x:c>
      <x:c r="I335" s="8" t="n">
        <x:v>87436</x:v>
      </x:c>
      <x:c r="J335" s="8" t="n">
        <x:v>38229</x:v>
      </x:c>
      <x:c r="K335" s="8" t="n">
        <x:v>36431</x:v>
      </x:c>
      <x:c r="L335" s="8" t="n">
        <x:v>6657</x:v>
      </x:c>
      <x:c r="M335" s="8" t="n">
        <x:v>6119</x:v>
      </x:c>
      <x:c r="N335" s="8" t="n">
        <x:v>0</x:v>
      </x:c>
      <x:c r="O335" s="8" t="n">
        <x:v>0</x:v>
      </x:c>
      <x:c r="P335" s="8" t="n">
        <x:v>1946</x:v>
      </x:c>
      <x:c r="Q335" s="8" t="n">
        <x:v>2050</x:v>
      </x:c>
      <x:c r="R335" s="8" t="n">
        <x:v>3996</x:v>
      </x:c>
      <x:c r="S335" s="8" t="n">
        <x:v>1600</x:v>
      </x:c>
      <x:c r="T335" s="8" t="n">
        <x:v>223</x:v>
      </x:c>
      <x:c r="U335" s="2" t="str">
        <x:v>2025年12月25日現在</x:v>
      </x:c>
      <x:c r="V335" s="2" t="str">
        <x:v>2025-12-25</x:v>
      </x:c>
      <x:c r="W335" s="2" t="str">
        <x:v>https://www.e-stat.go.jp/stat-search/file-download?statInfId=000040146718&amp;fileKind=0</x:v>
      </x:c>
      <x:c r="X335" s="2" t="str">
        <x:v>海上出入貨物!745行、コンテナ個数!130行</x:v>
      </x:c>
      <x:c r="Y335" s="2" t="str">
        <x:v>取得済</x:v>
      </x:c>
      <x:c r="Z335" s="9" t="n">
        <x:f>IF(AND(ISNUMBER(E335),COUNTIFS($A$2:$A$477,EDATE(A335,-12),$B$2:$B$477,B335,$E$2:$E$477,"&gt;0")=1),E335/SUMIFS($E$2:$E$477,$A$2:$A$477,EDATE(A335,-12),$B$2:$B$477,B335)-1,"")</x:f>
        <x:v>-0.0057541830919600745</x:v>
      </x:c>
      <x:c r="AA335" s="10" t="n">
        <x:f>IF(COUNTIFS($A$2:$A$477,"&gt;="&amp;EDATE(A335,-2),$A$2:$A$477,"&lt;="&amp;A335,$B$2:$B$477,B335,$E$2:$E$477,"&gt;=0")=3,SUMIFS($E$2:$E$477,$A$2:$A$477,"&gt;="&amp;EDATE(A335,-2),$A$2:$A$477,"&lt;="&amp;A335,$B$2:$B$477,B335)/3,"")</x:f>
        <x:v>719890.3333333334</x:v>
      </x:c>
      <x:c r="AB335" s="9" t="n">
        <x:f>IF(AND(ISNUMBER(J335),COUNTIFS($A$2:$A$477,EDATE(A335,-12),$B$2:$B$477,B335,$J$2:$J$477,"&gt;0")=1),J335/SUMIFS($J$2:$J$477,$A$2:$A$477,EDATE(A335,-12),$B$2:$B$477,B335)-1,"")</x:f>
        <x:v>0.03422248674385897</x:v>
      </x:c>
    </x:row>
    <x:row r="336" ht="21" customHeight="1">
      <x:c r="A336" s="7" t="n">
        <x:v>45627</x:v>
      </x:c>
      <x:c r="B336" s="2" t="str">
        <x:v>熊本</x:v>
      </x:c>
      <x:c r="C336" s="2" t="str">
        <x:v>熊本県</x:v>
      </x:c>
      <x:c r="D336" s="8" t="n">
        <x:v>295976</x:v>
      </x:c>
      <x:c r="E336" s="8" t="n">
        <x:v>3814</x:v>
      </x:c>
      <x:c r="F336" s="8" t="n">
        <x:v>4060</x:v>
      </x:c>
      <x:c r="G336" s="8" t="n">
        <x:v>112851</x:v>
      </x:c>
      <x:c r="H336" s="8" t="n">
        <x:v>175251</x:v>
      </x:c>
      <x:c r="I336" s="8" t="n">
        <x:v>1194</x:v>
      </x:c>
      <x:c r="J336" s="8" t="n">
        <x:v>248</x:v>
      </x:c>
      <x:c r="K336" s="8" t="n">
        <x:v>230</x:v>
      </x:c>
      <x:c r="L336" s="8" t="n">
        <x:v>436</x:v>
      </x:c>
      <x:c r="M336" s="8" t="n">
        <x:v>280</x:v>
      </x:c>
      <x:c r="N336" s="8" t="n">
        <x:v>0</x:v>
      </x:c>
      <x:c r="O336" s="8" t="n">
        <x:v>0</x:v>
      </x:c>
      <x:c r="P336" s="8" t="n">
        <x:v>622</x:v>
      </x:c>
      <x:c r="Q336" s="8" t="n">
        <x:v>627</x:v>
      </x:c>
      <x:c r="R336" s="8" t="n">
        <x:v>1249</x:v>
      </x:c>
      <x:c r="S336" s="8" t="n">
        <x:v>41</x:v>
      </x:c>
      <x:c r="T336" s="8" t="n">
        <x:v>8</x:v>
      </x:c>
      <x:c r="U336" s="2" t="str">
        <x:v>2025年12月25日現在</x:v>
      </x:c>
      <x:c r="V336" s="2" t="str">
        <x:v>2025-12-25</x:v>
      </x:c>
      <x:c r="W336" s="2" t="str">
        <x:v>https://www.e-stat.go.jp/stat-search/file-download?statInfId=000040146718&amp;fileKind=0</x:v>
      </x:c>
      <x:c r="X336" s="2" t="str">
        <x:v>海上出入貨物!859行、コンテナ個数!149行</x:v>
      </x:c>
      <x:c r="Y336" s="2" t="str">
        <x:v>取得済</x:v>
      </x:c>
      <x:c r="Z336" s="9" t="n">
        <x:f>IF(AND(ISNUMBER(E336),COUNTIFS($A$2:$A$477,EDATE(A336,-12),$B$2:$B$477,B336,$E$2:$E$477,"&gt;0")=1),E336/SUMIFS($E$2:$E$477,$A$2:$A$477,EDATE(A336,-12),$B$2:$B$477,B336)-1,"")</x:f>
        <x:v>0.4680523479599692</x:v>
      </x:c>
      <x:c r="AA336" s="10" t="n">
        <x:f>IF(COUNTIFS($A$2:$A$477,"&gt;="&amp;EDATE(A336,-2),$A$2:$A$477,"&lt;="&amp;A336,$B$2:$B$477,B336,$E$2:$E$477,"&gt;=0")=3,SUMIFS($E$2:$E$477,$A$2:$A$477,"&gt;="&amp;EDATE(A336,-2),$A$2:$A$477,"&lt;="&amp;A336,$B$2:$B$477,B336)/3,"")</x:f>
        <x:v>3239</x:v>
      </x:c>
      <x:c r="AB336" s="9" t="n">
        <x:f>IF(AND(ISNUMBER(J336),COUNTIFS($A$2:$A$477,EDATE(A336,-12),$B$2:$B$477,B336,$J$2:$J$477,"&gt;0")=1),J336/SUMIFS($J$2:$J$477,$A$2:$A$477,EDATE(A336,-12),$B$2:$B$477,B336)-1,"")</x:f>
        <x:v>0.6533333333333333</x:v>
      </x:c>
    </x:row>
    <x:row r="337" ht="21" customHeight="1">
      <x:c r="A337" s="7" t="n">
        <x:v>45627</x:v>
      </x:c>
      <x:c r="B337" s="2" t="str">
        <x:v>八代</x:v>
      </x:c>
      <x:c r="C337" s="2" t="str">
        <x:v>熊本県</x:v>
      </x:c>
      <x:c r="D337" s="8" t="n">
        <x:v>311853</x:v>
      </x:c>
      <x:c r="E337" s="8" t="n">
        <x:v>29355</x:v>
      </x:c>
      <x:c r="F337" s="8" t="n">
        <x:v>60739</x:v>
      </x:c>
      <x:c r="G337" s="8" t="n">
        <x:v>23635</x:v>
      </x:c>
      <x:c r="H337" s="8" t="n">
        <x:v>198124</x:v>
      </x:c>
      <x:c r="I337" s="8" t="n">
        <x:v>1775</x:v>
      </x:c>
      <x:c r="J337" s="8" t="n">
        <x:v>793</x:v>
      </x:c>
      <x:c r="K337" s="8" t="n">
        <x:v>549</x:v>
      </x:c>
      <x:c r="L337" s="8" t="n">
        <x:v>54</x:v>
      </x:c>
      <x:c r="M337" s="8" t="n">
        <x:v>379</x:v>
      </x:c>
      <x:c r="N337" s="8" t="n">
        <x:v>0</x:v>
      </x:c>
      <x:c r="O337" s="8" t="n">
        <x:v>0</x:v>
      </x:c>
      <x:c r="P337" s="8" t="n">
        <x:v>0</x:v>
      </x:c>
      <x:c r="Q337" s="8" t="n">
        <x:v>0</x:v>
      </x:c>
      <x:c r="R337" s="8" t="n">
        <x:v>0</x:v>
      </x:c>
      <x:c r="S337" s="8" t="n">
        <x:v>255</x:v>
      </x:c>
      <x:c r="T337" s="8" t="n">
        <x:v>27</x:v>
      </x:c>
      <x:c r="U337" s="2" t="str">
        <x:v>2025年12月25日現在</x:v>
      </x:c>
      <x:c r="V337" s="2" t="str">
        <x:v>2025-12-25</x:v>
      </x:c>
      <x:c r="W337" s="2" t="str">
        <x:v>https://www.e-stat.go.jp/stat-search/file-download?statInfId=000040146718&amp;fileKind=0</x:v>
      </x:c>
      <x:c r="X337" s="2" t="str">
        <x:v>海上出入貨物!847行、コンテナ個数!147行</x:v>
      </x:c>
      <x:c r="Y337" s="2" t="str">
        <x:v>取得済</x:v>
      </x:c>
      <x:c r="Z337" s="9" t="n">
        <x:f>IF(AND(ISNUMBER(E337),COUNTIFS($A$2:$A$477,EDATE(A337,-12),$B$2:$B$477,B337,$E$2:$E$477,"&gt;0")=1),E337/SUMIFS($E$2:$E$477,$A$2:$A$477,EDATE(A337,-12),$B$2:$B$477,B337)-1,"")</x:f>
        <x:v>0.25330885492272226</x:v>
      </x:c>
      <x:c r="AA337" s="10" t="n">
        <x:f>IF(COUNTIFS($A$2:$A$477,"&gt;="&amp;EDATE(A337,-2),$A$2:$A$477,"&lt;="&amp;A337,$B$2:$B$477,B337,$E$2:$E$477,"&gt;=0")=3,SUMIFS($E$2:$E$477,$A$2:$A$477,"&gt;="&amp;EDATE(A337,-2),$A$2:$A$477,"&lt;="&amp;A337,$B$2:$B$477,B337)/3,"")</x:f>
        <x:v>21381.666666666668</x:v>
      </x:c>
      <x:c r="AB337" s="9" t="n">
        <x:f>IF(AND(ISNUMBER(J337),COUNTIFS($A$2:$A$477,EDATE(A337,-12),$B$2:$B$477,B337,$J$2:$J$477,"&gt;0")=1),J337/SUMIFS($J$2:$J$477,$A$2:$A$477,EDATE(A337,-12),$B$2:$B$477,B337)-1,"")</x:f>
        <x:v>-0.038787878787878816</x:v>
      </x:c>
    </x:row>
    <x:row r="338" ht="21" customHeight="1">
      <x:c r="A338" s="7" t="n">
        <x:v>45658</x:v>
      </x:c>
      <x:c r="B338" s="2" t="str">
        <x:v>仙台塩釜</x:v>
      </x:c>
      <x:c r="C338" s="2" t="str">
        <x:v>宮城県</x:v>
      </x:c>
      <x:c r="D338" s="8" t="n">
        <x:v>3231851</x:v>
      </x:c>
      <x:c r="E338" s="8" t="n">
        <x:v>142508</x:v>
      </x:c>
      <x:c r="F338" s="8" t="n">
        <x:v>1086890</x:v>
      </x:c>
      <x:c r="G338" s="8" t="n">
        <x:v>998993</x:v>
      </x:c>
      <x:c r="H338" s="8" t="n">
        <x:v>1003460</x:v>
      </x:c>
      <x:c r="I338" s="8" t="n">
        <x:v>17341</x:v>
      </x:c>
      <x:c r="J338" s="8" t="n">
        <x:v>4274</x:v>
      </x:c>
      <x:c r="K338" s="8" t="n">
        <x:v>5675</x:v>
      </x:c>
      <x:c r="L338" s="8" t="n">
        <x:v>3889</x:v>
      </x:c>
      <x:c r="M338" s="8" t="n">
        <x:v>3503</x:v>
      </x:c>
      <x:c r="N338" s="8" t="n">
        <x:v>0</x:v>
      </x:c>
      <x:c r="O338" s="8" t="n">
        <x:v>0</x:v>
      </x:c>
      <x:c r="P338" s="8" t="n">
        <x:v>488</x:v>
      </x:c>
      <x:c r="Q338" s="8" t="n">
        <x:v>523</x:v>
      </x:c>
      <x:c r="R338" s="8" t="n">
        <x:v>1011</x:v>
      </x:c>
      <x:c r="S338" s="8" t="n">
        <x:v>1855</x:v>
      </x:c>
      <x:c r="T338" s="8" t="n">
        <x:v>90</x:v>
      </x:c>
      <x:c r="U338" s="2" t="str">
        <x:v>2026年9月4日現在</x:v>
      </x:c>
      <x:c r="V338" s="2" t="str">
        <x:v>2026-09-11</x:v>
      </x:c>
      <x:c r="W338" s="2" t="str">
        <x:v>https://www.e-stat.go.jp/stat-search/file-download?statInfId=000040251292&amp;fileKind=0</x:v>
      </x:c>
      <x:c r="X338" s="2" t="str">
        <x:v>海上出入貨物!145行、コンテナ個数!30行</x:v>
      </x:c>
      <x:c r="Y338" s="2" t="str">
        <x:v>取得済</x:v>
      </x:c>
      <x:c r="Z338" s="9" t="n">
        <x:f>IF(AND(ISNUMBER(E338),COUNTIFS($A$2:$A$477,EDATE(A338,-12),$B$2:$B$477,B338,$E$2:$E$477,"&gt;0")=1),E338/SUMIFS($E$2:$E$477,$A$2:$A$477,EDATE(A338,-12),$B$2:$B$477,B338)-1,"")</x:f>
        <x:v>-0.12966898741907906</x:v>
      </x:c>
      <x:c r="AA338" s="10" t="n">
        <x:f>IF(COUNTIFS($A$2:$A$477,"&gt;="&amp;EDATE(A338,-2),$A$2:$A$477,"&lt;="&amp;A338,$B$2:$B$477,B338,$E$2:$E$477,"&gt;=0")=3,SUMIFS($E$2:$E$477,$A$2:$A$477,"&gt;="&amp;EDATE(A338,-2),$A$2:$A$477,"&lt;="&amp;A338,$B$2:$B$477,B338)/3,"")</x:f>
        <x:v>123948</x:v>
      </x:c>
      <x:c r="AB338" s="9" t="n">
        <x:f>IF(AND(ISNUMBER(J338),COUNTIFS($A$2:$A$477,EDATE(A338,-12),$B$2:$B$477,B338,$J$2:$J$477,"&gt;0")=1),J338/SUMIFS($J$2:$J$477,$A$2:$A$477,EDATE(A338,-12),$B$2:$B$477,B338)-1,"")</x:f>
        <x:v>-0.05274822695035464</x:v>
      </x:c>
    </x:row>
    <x:row r="339" ht="21" customHeight="1">
      <x:c r="A339" s="7" t="n">
        <x:v>45658</x:v>
      </x:c>
      <x:c r="B339" s="2" t="str">
        <x:v>東京</x:v>
      </x:c>
      <x:c r="C339" s="2" t="str">
        <x:v>東京都</x:v>
      </x:c>
      <x:c r="D339" s="8" t="n">
        <x:v>6425196</x:v>
      </x:c>
      <x:c r="E339" s="8" t="n">
        <x:v>550001</x:v>
      </x:c>
      <x:c r="F339" s="8" t="n">
        <x:v>2892320</x:v>
      </x:c>
      <x:c r="G339" s="8" t="n">
        <x:v>1143840</x:v>
      </x:c>
      <x:c r="H339" s="8" t="n">
        <x:v>1839035</x:v>
      </x:c>
      <x:c r="I339" s="8" t="n">
        <x:v>365758</x:v>
      </x:c>
      <x:c r="J339" s="8" t="n">
        <x:v>133545</x:v>
      </x:c>
      <x:c r="K339" s="8" t="n">
        <x:v>196816</x:v>
      </x:c>
      <x:c r="L339" s="8" t="n">
        <x:v>25299</x:v>
      </x:c>
      <x:c r="M339" s="8" t="n">
        <x:v>10098</x:v>
      </x:c>
      <x:c r="N339" s="8" t="n">
        <x:v>0</x:v>
      </x:c>
      <x:c r="O339" s="8" t="n">
        <x:v>0</x:v>
      </x:c>
      <x:c r="P339" s="8" t="n">
        <x:v>575</x:v>
      </x:c>
      <x:c r="Q339" s="8" t="n">
        <x:v>237</x:v>
      </x:c>
      <x:c r="R339" s="8" t="n">
        <x:v>812</x:v>
      </x:c>
      <x:c r="S339" s="8" t="n">
        <x:v>1471</x:v>
      </x:c>
      <x:c r="T339" s="8" t="n">
        <x:v>345</x:v>
      </x:c>
      <x:c r="U339" s="2" t="str">
        <x:v>2026年9月4日現在</x:v>
      </x:c>
      <x:c r="V339" s="2" t="str">
        <x:v>2026-09-11</x:v>
      </x:c>
      <x:c r="W339" s="2" t="str">
        <x:v>https://www.e-stat.go.jp/stat-search/file-download?statInfId=000040251292&amp;fileKind=0</x:v>
      </x:c>
      <x:c r="X339" s="2" t="str">
        <x:v>海上出入貨物!211行、コンテナ個数!41行</x:v>
      </x:c>
      <x:c r="Y339" s="2" t="str">
        <x:v>取得済</x:v>
      </x:c>
      <x:c r="Z339" s="9" t="n">
        <x:f>IF(AND(ISNUMBER(E339),COUNTIFS($A$2:$A$477,EDATE(A339,-12),$B$2:$B$477,B339,$E$2:$E$477,"&gt;0")=1),E339/SUMIFS($E$2:$E$477,$A$2:$A$477,EDATE(A339,-12),$B$2:$B$477,B339)-1,"")</x:f>
        <x:v>-0.26147299614489605</x:v>
      </x:c>
      <x:c r="AA339" s="10" t="n">
        <x:f>IF(COUNTIFS($A$2:$A$477,"&gt;="&amp;EDATE(A339,-2),$A$2:$A$477,"&lt;="&amp;A339,$B$2:$B$477,B339,$E$2:$E$477,"&gt;=0")=3,SUMIFS($E$2:$E$477,$A$2:$A$477,"&gt;="&amp;EDATE(A339,-2),$A$2:$A$477,"&lt;="&amp;A339,$B$2:$B$477,B339)/3,"")</x:f>
        <x:v>832561</x:v>
      </x:c>
      <x:c r="AB339" s="9" t="n">
        <x:f>IF(AND(ISNUMBER(J339),COUNTIFS($A$2:$A$477,EDATE(A339,-12),$B$2:$B$477,B339,$J$2:$J$477,"&gt;0")=1),J339/SUMIFS($J$2:$J$477,$A$2:$A$477,EDATE(A339,-12),$B$2:$B$477,B339)-1,"")</x:f>
        <x:v>-0.009427664372181344</x:v>
      </x:c>
    </x:row>
    <x:row r="340" ht="21" customHeight="1">
      <x:c r="A340" s="7" t="n">
        <x:v>45658</x:v>
      </x:c>
      <x:c r="B340" s="2" t="str">
        <x:v>横浜</x:v>
      </x:c>
      <x:c r="C340" s="2" t="str">
        <x:v>神奈川県</x:v>
      </x:c>
      <x:c r="D340" s="8" t="n">
        <x:v>7606315</x:v>
      </x:c>
      <x:c r="E340" s="8" t="n">
        <x:v>1728050</x:v>
      </x:c>
      <x:c r="F340" s="8" t="n">
        <x:v>3282545</x:v>
      </x:c>
      <x:c r="G340" s="8" t="n">
        <x:v>809405</x:v>
      </x:c>
      <x:c r="H340" s="8" t="n">
        <x:v>1786315</x:v>
      </x:c>
      <x:c r="I340" s="8" t="n">
        <x:v>223522</x:v>
      </x:c>
      <x:c r="J340" s="8" t="n">
        <x:v>96386</x:v>
      </x:c>
      <x:c r="K340" s="8" t="n">
        <x:v>103456</x:v>
      </x:c>
      <x:c r="L340" s="8" t="n">
        <x:v>11132</x:v>
      </x:c>
      <x:c r="M340" s="8" t="n">
        <x:v>12548</x:v>
      </x:c>
      <x:c r="N340" s="8" t="n">
        <x:v>0</x:v>
      </x:c>
      <x:c r="O340" s="8" t="n">
        <x:v>0</x:v>
      </x:c>
      <x:c r="P340" s="8" t="n">
        <x:v>0</x:v>
      </x:c>
      <x:c r="Q340" s="8" t="n">
        <x:v>0</x:v>
      </x:c>
      <x:c r="R340" s="8" t="n">
        <x:v>0</x:v>
      </x:c>
      <x:c r="S340" s="8" t="n">
        <x:v>1952</x:v>
      </x:c>
      <x:c r="T340" s="8" t="n">
        <x:v>625</x:v>
      </x:c>
      <x:c r="U340" s="2" t="str">
        <x:v>2026年9月4日現在</x:v>
      </x:c>
      <x:c r="V340" s="2" t="str">
        <x:v>2026-09-11</x:v>
      </x:c>
      <x:c r="W340" s="2" t="str">
        <x:v>https://www.e-stat.go.jp/stat-search/file-download?statInfId=000040251292&amp;fileKind=0</x:v>
      </x:c>
      <x:c r="X340" s="2" t="str">
        <x:v>海上出入貨物!223行、コンテナ個数!43行</x:v>
      </x:c>
      <x:c r="Y340" s="2" t="str">
        <x:v>取得済</x:v>
      </x:c>
      <x:c r="Z340" s="9" t="n">
        <x:f>IF(AND(ISNUMBER(E340),COUNTIFS($A$2:$A$477,EDATE(A340,-12),$B$2:$B$477,B340,$E$2:$E$477,"&gt;0")=1),E340/SUMIFS($E$2:$E$477,$A$2:$A$477,EDATE(A340,-12),$B$2:$B$477,B340)-1,"")</x:f>
        <x:v>-0.10570813911425236</x:v>
      </x:c>
      <x:c r="AA340" s="10" t="n">
        <x:f>IF(COUNTIFS($A$2:$A$477,"&gt;="&amp;EDATE(A340,-2),$A$2:$A$477,"&lt;="&amp;A340,$B$2:$B$477,B340,$E$2:$E$477,"&gt;=0")=3,SUMIFS($E$2:$E$477,$A$2:$A$477,"&gt;="&amp;EDATE(A340,-2),$A$2:$A$477,"&lt;="&amp;A340,$B$2:$B$477,B340)/3,"")</x:f>
        <x:v>2317533.3333333335</x:v>
      </x:c>
      <x:c r="AB340" s="9" t="n">
        <x:f>IF(AND(ISNUMBER(J340),COUNTIFS($A$2:$A$477,EDATE(A340,-12),$B$2:$B$477,B340,$J$2:$J$477,"&gt;0")=1),J340/SUMIFS($J$2:$J$477,$A$2:$A$477,EDATE(A340,-12),$B$2:$B$477,B340)-1,"")</x:f>
        <x:v>-0.036467601015654716</x:v>
      </x:c>
    </x:row>
    <x:row r="341" ht="21" customHeight="1">
      <x:c r="A341" s="7" t="n">
        <x:v>45658</x:v>
      </x:c>
      <x:c r="B341" s="2" t="str">
        <x:v>清水</x:v>
      </x:c>
      <x:c r="C341" s="2" t="str">
        <x:v>静岡県</x:v>
      </x:c>
      <x:c r="D341" s="8" t="n">
        <x:v>1069722</x:v>
      </x:c>
      <x:c r="E341" s="8" t="n">
        <x:v>204347</x:v>
      </x:c>
      <x:c r="F341" s="8" t="n">
        <x:v>401224</x:v>
      </x:c>
      <x:c r="G341" s="8" t="n">
        <x:v>145263</x:v>
      </x:c>
      <x:c r="H341" s="8" t="n">
        <x:v>318888</x:v>
      </x:c>
      <x:c r="I341" s="8" t="n">
        <x:v>38166</x:v>
      </x:c>
      <x:c r="J341" s="8" t="n">
        <x:v>13255</x:v>
      </x:c>
      <x:c r="K341" s="8" t="n">
        <x:v>16920</x:v>
      </x:c>
      <x:c r="L341" s="8" t="n">
        <x:v>4350</x:v>
      </x:c>
      <x:c r="M341" s="8" t="n">
        <x:v>3641</x:v>
      </x:c>
      <x:c r="N341" s="8" t="n">
        <x:v>0</x:v>
      </x:c>
      <x:c r="O341" s="8" t="n">
        <x:v>0</x:v>
      </x:c>
      <x:c r="P341" s="8" t="n">
        <x:v>1</x:v>
      </x:c>
      <x:c r="Q341" s="8" t="n">
        <x:v>0</x:v>
      </x:c>
      <x:c r="R341" s="8" t="n">
        <x:v>1</x:v>
      </x:c>
      <x:c r="S341" s="8" t="n">
        <x:v>393</x:v>
      </x:c>
      <x:c r="T341" s="8" t="n">
        <x:v>104</x:v>
      </x:c>
      <x:c r="U341" s="2" t="str">
        <x:v>2026年9月4日現在</x:v>
      </x:c>
      <x:c r="V341" s="2" t="str">
        <x:v>2026-09-11</x:v>
      </x:c>
      <x:c r="W341" s="2" t="str">
        <x:v>https://www.e-stat.go.jp/stat-search/file-download?statInfId=000040251292&amp;fileKind=0</x:v>
      </x:c>
      <x:c r="X341" s="2" t="str">
        <x:v>海上出入貨物!313行、コンテナ個数!58行</x:v>
      </x:c>
      <x:c r="Y341" s="2" t="str">
        <x:v>取得済</x:v>
      </x:c>
      <x:c r="Z341" s="9" t="n">
        <x:f>IF(AND(ISNUMBER(E341),COUNTIFS($A$2:$A$477,EDATE(A341,-12),$B$2:$B$477,B341,$E$2:$E$477,"&gt;0")=1),E341/SUMIFS($E$2:$E$477,$A$2:$A$477,EDATE(A341,-12),$B$2:$B$477,B341)-1,"")</x:f>
        <x:v>-0.018765455811385112</x:v>
      </x:c>
      <x:c r="AA341" s="10" t="n">
        <x:f>IF(COUNTIFS($A$2:$A$477,"&gt;="&amp;EDATE(A341,-2),$A$2:$A$477,"&lt;="&amp;A341,$B$2:$B$477,B341,$E$2:$E$477,"&gt;=0")=3,SUMIFS($E$2:$E$477,$A$2:$A$477,"&gt;="&amp;EDATE(A341,-2),$A$2:$A$477,"&lt;="&amp;A341,$B$2:$B$477,B341)/3,"")</x:f>
        <x:v>256680</x:v>
      </x:c>
      <x:c r="AB341" s="9" t="n">
        <x:f>IF(AND(ISNUMBER(J341),COUNTIFS($A$2:$A$477,EDATE(A341,-12),$B$2:$B$477,B341,$J$2:$J$477,"&gt;0")=1),J341/SUMIFS($J$2:$J$477,$A$2:$A$477,EDATE(A341,-12),$B$2:$B$477,B341)-1,"")</x:f>
        <x:v>-0.021337861783815693</x:v>
      </x:c>
    </x:row>
    <x:row r="342" ht="21" customHeight="1">
      <x:c r="A342" s="7" t="n">
        <x:v>45658</x:v>
      </x:c>
      <x:c r="B342" s="2" t="str">
        <x:v>博多</x:v>
      </x:c>
      <x:c r="C342" s="2" t="str">
        <x:v>福岡県</x:v>
      </x:c>
      <x:c r="D342" s="8" t="n">
        <x:v>2699583</x:v>
      </x:c>
      <x:c r="E342" s="8" t="n">
        <x:v>571575</x:v>
      </x:c>
      <x:c r="F342" s="8" t="n">
        <x:v>833351</x:v>
      </x:c>
      <x:c r="G342" s="8" t="n">
        <x:v>436644</x:v>
      </x:c>
      <x:c r="H342" s="8" t="n">
        <x:v>858013</x:v>
      </x:c>
      <x:c r="I342" s="8" t="n">
        <x:v>75647</x:v>
      </x:c>
      <x:c r="J342" s="8" t="n">
        <x:v>29265</x:v>
      </x:c>
      <x:c r="K342" s="8" t="n">
        <x:v>35402</x:v>
      </x:c>
      <x:c r="L342" s="8" t="n">
        <x:v>5459</x:v>
      </x:c>
      <x:c r="M342" s="8" t="n">
        <x:v>5521</x:v>
      </x:c>
      <x:c r="N342" s="8" t="n">
        <x:v>0</x:v>
      </x:c>
      <x:c r="O342" s="8" t="n">
        <x:v>0</x:v>
      </x:c>
      <x:c r="P342" s="8" t="n">
        <x:v>1617</x:v>
      </x:c>
      <x:c r="Q342" s="8" t="n">
        <x:v>1746</x:v>
      </x:c>
      <x:c r="R342" s="8" t="n">
        <x:v>3363</x:v>
      </x:c>
      <x:c r="S342" s="8" t="n">
        <x:v>1461</x:v>
      </x:c>
      <x:c r="T342" s="8" t="n">
        <x:v>210</x:v>
      </x:c>
      <x:c r="U342" s="2" t="str">
        <x:v>2026年9月4日現在</x:v>
      </x:c>
      <x:c r="V342" s="2" t="str">
        <x:v>2026-09-11</x:v>
      </x:c>
      <x:c r="W342" s="2" t="str">
        <x:v>https://www.e-stat.go.jp/stat-search/file-download?statInfId=000040251292&amp;fileKind=0</x:v>
      </x:c>
      <x:c r="X342" s="2" t="str">
        <x:v>海上出入貨物!721行、コンテナ個数!126行</x:v>
      </x:c>
      <x:c r="Y342" s="2" t="str">
        <x:v>取得済</x:v>
      </x:c>
      <x:c r="Z342" s="9" t="n">
        <x:f>IF(AND(ISNUMBER(E342),COUNTIFS($A$2:$A$477,EDATE(A342,-12),$B$2:$B$477,B342,$E$2:$E$477,"&gt;0")=1),E342/SUMIFS($E$2:$E$477,$A$2:$A$477,EDATE(A342,-12),$B$2:$B$477,B342)-1,"")</x:f>
        <x:v>-0.033355431609780495</x:v>
      </x:c>
      <x:c r="AA342" s="10" t="n">
        <x:f>IF(COUNTIFS($A$2:$A$477,"&gt;="&amp;EDATE(A342,-2),$A$2:$A$477,"&lt;="&amp;A342,$B$2:$B$477,B342,$E$2:$E$477,"&gt;=0")=3,SUMIFS($E$2:$E$477,$A$2:$A$477,"&gt;="&amp;EDATE(A342,-2),$A$2:$A$477,"&lt;="&amp;A342,$B$2:$B$477,B342)/3,"")</x:f>
        <x:v>666457.6666666666</x:v>
      </x:c>
      <x:c r="AB342" s="9" t="n">
        <x:f>IF(AND(ISNUMBER(J342),COUNTIFS($A$2:$A$477,EDATE(A342,-12),$B$2:$B$477,B342,$J$2:$J$477,"&gt;0")=1),J342/SUMIFS($J$2:$J$477,$A$2:$A$477,EDATE(A342,-12),$B$2:$B$477,B342)-1,"")</x:f>
        <x:v>0.002294677717651794</x:v>
      </x:c>
    </x:row>
    <x:row r="343" ht="21" customHeight="1">
      <x:c r="A343" s="7" t="n">
        <x:v>45658</x:v>
      </x:c>
      <x:c r="B343" s="2" t="str">
        <x:v>熊本</x:v>
      </x:c>
      <x:c r="C343" s="2" t="str">
        <x:v>熊本県</x:v>
      </x:c>
      <x:c r="D343" s="8" t="n">
        <x:v>264771</x:v>
      </x:c>
      <x:c r="E343" s="8" t="n">
        <x:v>1544</x:v>
      </x:c>
      <x:c r="F343" s="8" t="n">
        <x:v>4014</x:v>
      </x:c>
      <x:c r="G343" s="8" t="n">
        <x:v>96953</x:v>
      </x:c>
      <x:c r="H343" s="8" t="n">
        <x:v>162260</x:v>
      </x:c>
      <x:c r="I343" s="8" t="n">
        <x:v>757</x:v>
      </x:c>
      <x:c r="J343" s="8" t="n">
        <x:v>106</x:v>
      </x:c>
      <x:c r="K343" s="8" t="n">
        <x:v>194</x:v>
      </x:c>
      <x:c r="L343" s="8" t="n">
        <x:v>227</x:v>
      </x:c>
      <x:c r="M343" s="8" t="n">
        <x:v>230</x:v>
      </x:c>
      <x:c r="N343" s="8" t="n">
        <x:v>0</x:v>
      </x:c>
      <x:c r="O343" s="8" t="n">
        <x:v>0</x:v>
      </x:c>
      <x:c r="P343" s="8" t="n">
        <x:v>485</x:v>
      </x:c>
      <x:c r="Q343" s="8" t="n">
        <x:v>498</x:v>
      </x:c>
      <x:c r="R343" s="8" t="n">
        <x:v>983</x:v>
      </x:c>
      <x:c r="S343" s="8" t="n">
        <x:v>38</x:v>
      </x:c>
      <x:c r="T343" s="8" t="n">
        <x:v>6</x:v>
      </x:c>
      <x:c r="U343" s="2" t="str">
        <x:v>2026年9月4日現在</x:v>
      </x:c>
      <x:c r="V343" s="2" t="str">
        <x:v>2026-09-11</x:v>
      </x:c>
      <x:c r="W343" s="2" t="str">
        <x:v>https://www.e-stat.go.jp/stat-search/file-download?statInfId=000040251292&amp;fileKind=0</x:v>
      </x:c>
      <x:c r="X343" s="2" t="str">
        <x:v>海上出入貨物!829行、コンテナ個数!144行</x:v>
      </x:c>
      <x:c r="Y343" s="2" t="str">
        <x:v>取得済</x:v>
      </x:c>
      <x:c r="Z343" s="9" t="n">
        <x:f>IF(AND(ISNUMBER(E343),COUNTIFS($A$2:$A$477,EDATE(A343,-12),$B$2:$B$477,B343,$E$2:$E$477,"&gt;0")=1),E343/SUMIFS($E$2:$E$477,$A$2:$A$477,EDATE(A343,-12),$B$2:$B$477,B343)-1,"")</x:f>
        <x:v>-0.4419949403686303</x:v>
      </x:c>
      <x:c r="AA343" s="10" t="n">
        <x:f>IF(COUNTIFS($A$2:$A$477,"&gt;="&amp;EDATE(A343,-2),$A$2:$A$477,"&lt;="&amp;A343,$B$2:$B$477,B343,$E$2:$E$477,"&gt;=0")=3,SUMIFS($E$2:$E$477,$A$2:$A$477,"&gt;="&amp;EDATE(A343,-2),$A$2:$A$477,"&lt;="&amp;A343,$B$2:$B$477,B343)/3,"")</x:f>
        <x:v>2763.3333333333335</x:v>
      </x:c>
      <x:c r="AB343" s="9" t="n">
        <x:f>IF(AND(ISNUMBER(J343),COUNTIFS($A$2:$A$477,EDATE(A343,-12),$B$2:$B$477,B343,$J$2:$J$477,"&gt;0")=1),J343/SUMIFS($J$2:$J$477,$A$2:$A$477,EDATE(A343,-12),$B$2:$B$477,B343)-1,"")</x:f>
        <x:v>-0.39428571428571424</x:v>
      </x:c>
    </x:row>
    <x:row r="344" ht="21" customHeight="1">
      <x:c r="A344" s="7" t="n">
        <x:v>45658</x:v>
      </x:c>
      <x:c r="B344" s="2" t="str">
        <x:v>八代</x:v>
      </x:c>
      <x:c r="C344" s="2" t="str">
        <x:v>熊本県</x:v>
      </x:c>
      <x:c r="D344" s="8" t="n">
        <x:v>395736</x:v>
      </x:c>
      <x:c r="E344" s="8" t="n">
        <x:v>17660</x:v>
      </x:c>
      <x:c r="F344" s="8" t="n">
        <x:v>197652</x:v>
      </x:c>
      <x:c r="G344" s="8" t="n">
        <x:v>29247</x:v>
      </x:c>
      <x:c r="H344" s="8" t="n">
        <x:v>151177</x:v>
      </x:c>
      <x:c r="I344" s="8" t="n">
        <x:v>1356</x:v>
      </x:c>
      <x:c r="J344" s="8" t="n">
        <x:v>512</x:v>
      </x:c>
      <x:c r="K344" s="8" t="n">
        <x:v>602</x:v>
      </x:c>
      <x:c r="L344" s="8" t="n">
        <x:v>102</x:v>
      </x:c>
      <x:c r="M344" s="8" t="n">
        <x:v>140</x:v>
      </x:c>
      <x:c r="N344" s="8" t="n">
        <x:v>0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269</x:v>
      </x:c>
      <x:c r="T344" s="8" t="n">
        <x:v>30</x:v>
      </x:c>
      <x:c r="U344" s="2" t="str">
        <x:v>2026年9月4日現在</x:v>
      </x:c>
      <x:c r="V344" s="2" t="str">
        <x:v>2026-09-11</x:v>
      </x:c>
      <x:c r="W344" s="2" t="str">
        <x:v>https://www.e-stat.go.jp/stat-search/file-download?statInfId=000040251292&amp;fileKind=0</x:v>
      </x:c>
      <x:c r="X344" s="2" t="str">
        <x:v>海上出入貨物!817行、コンテナ個数!142行</x:v>
      </x:c>
      <x:c r="Y344" s="2" t="str">
        <x:v>取得済</x:v>
      </x:c>
      <x:c r="Z344" s="9" t="n">
        <x:f>IF(AND(ISNUMBER(E344),COUNTIFS($A$2:$A$477,EDATE(A344,-12),$B$2:$B$477,B344,$E$2:$E$477,"&gt;0")=1),E344/SUMIFS($E$2:$E$477,$A$2:$A$477,EDATE(A344,-12),$B$2:$B$477,B344)-1,"")</x:f>
        <x:v>0.6779097387173396</x:v>
      </x:c>
      <x:c r="AA344" s="10" t="n">
        <x:f>IF(COUNTIFS($A$2:$A$477,"&gt;="&amp;EDATE(A344,-2),$A$2:$A$477,"&lt;="&amp;A344,$B$2:$B$477,B344,$E$2:$E$477,"&gt;=0")=3,SUMIFS($E$2:$E$477,$A$2:$A$477,"&gt;="&amp;EDATE(A344,-2),$A$2:$A$477,"&lt;="&amp;A344,$B$2:$B$477,B344)/3,"")</x:f>
        <x:v>22054.333333333332</x:v>
      </x:c>
      <x:c r="AB344" s="9" t="n">
        <x:f>IF(AND(ISNUMBER(J344),COUNTIFS($A$2:$A$477,EDATE(A344,-12),$B$2:$B$477,B344,$J$2:$J$477,"&gt;0")=1),J344/SUMIFS($J$2:$J$477,$A$2:$A$477,EDATE(A344,-12),$B$2:$B$477,B344)-1,"")</x:f>
        <x:v>-0.18858954041204434</x:v>
      </x:c>
    </x:row>
    <x:row r="345" ht="21" customHeight="1">
      <x:c r="A345" s="7" t="n">
        <x:v>45689</x:v>
      </x:c>
      <x:c r="B345" s="2" t="str">
        <x:v>仙台塩釜</x:v>
      </x:c>
      <x:c r="C345" s="2" t="str">
        <x:v>宮城県</x:v>
      </x:c>
      <x:c r="D345" s="8" t="n">
        <x:v>3084009</x:v>
      </x:c>
      <x:c r="E345" s="8" t="n">
        <x:v>131526</x:v>
      </x:c>
      <x:c r="F345" s="8" t="n">
        <x:v>921679</x:v>
      </x:c>
      <x:c r="G345" s="8" t="n">
        <x:v>999732</x:v>
      </x:c>
      <x:c r="H345" s="8" t="n">
        <x:v>1031072</x:v>
      </x:c>
      <x:c r="I345" s="8" t="n">
        <x:v>18795</x:v>
      </x:c>
      <x:c r="J345" s="8" t="n">
        <x:v>5168</x:v>
      </x:c>
      <x:c r="K345" s="8" t="n">
        <x:v>5091</x:v>
      </x:c>
      <x:c r="L345" s="8" t="n">
        <x:v>4606</x:v>
      </x:c>
      <x:c r="M345" s="8" t="n">
        <x:v>3930</x:v>
      </x:c>
      <x:c r="N345" s="8" t="n">
        <x:v>0</x:v>
      </x:c>
      <x:c r="O345" s="8" t="n">
        <x:v>0</x:v>
      </x:c>
      <x:c r="P345" s="8" t="n">
        <x:v>501</x:v>
      </x:c>
      <x:c r="Q345" s="8" t="n">
        <x:v>517</x:v>
      </x:c>
      <x:c r="R345" s="8" t="n">
        <x:v>1018</x:v>
      </x:c>
      <x:c r="S345" s="8" t="n">
        <x:v>1742</x:v>
      </x:c>
      <x:c r="T345" s="8" t="n">
        <x:v>70</x:v>
      </x:c>
      <x:c r="U345" s="2" t="str">
        <x:v>2026年9月4日現在</x:v>
      </x:c>
      <x:c r="V345" s="2" t="str">
        <x:v>2026-09-11</x:v>
      </x:c>
      <x:c r="W345" s="2" t="str">
        <x:v>https://www.e-stat.go.jp/stat-search/file-download?statInfId=000040251292&amp;fileKind=0</x:v>
      </x:c>
      <x:c r="X345" s="2" t="str">
        <x:v>海上出入貨物!145行、コンテナ個数!30行</x:v>
      </x:c>
      <x:c r="Y345" s="2" t="str">
        <x:v>取得済</x:v>
      </x:c>
      <x:c r="Z345" s="9" t="n">
        <x:f>IF(AND(ISNUMBER(E345),COUNTIFS($A$2:$A$477,EDATE(A345,-12),$B$2:$B$477,B345,$E$2:$E$477,"&gt;0")=1),E345/SUMIFS($E$2:$E$477,$A$2:$A$477,EDATE(A345,-12),$B$2:$B$477,B345)-1,"")</x:f>
        <x:v>-0.18992128700065292</x:v>
      </x:c>
      <x:c r="AA345" s="10" t="n">
        <x:f>IF(COUNTIFS($A$2:$A$477,"&gt;="&amp;EDATE(A345,-2),$A$2:$A$477,"&lt;="&amp;A345,$B$2:$B$477,B345,$E$2:$E$477,"&gt;=0")=3,SUMIFS($E$2:$E$477,$A$2:$A$477,"&gt;="&amp;EDATE(A345,-2),$A$2:$A$477,"&lt;="&amp;A345,$B$2:$B$477,B345)/3,"")</x:f>
        <x:v>119934.66666666667</x:v>
      </x:c>
      <x:c r="AB345" s="9" t="n">
        <x:f>IF(AND(ISNUMBER(J345),COUNTIFS($A$2:$A$477,EDATE(A345,-12),$B$2:$B$477,B345,$J$2:$J$477,"&gt;0")=1),J345/SUMIFS($J$2:$J$477,$A$2:$A$477,EDATE(A345,-12),$B$2:$B$477,B345)-1,"")</x:f>
        <x:v>0.19879378334493158</x:v>
      </x:c>
    </x:row>
    <x:row r="346" ht="21" customHeight="1">
      <x:c r="A346" s="7" t="n">
        <x:v>45689</x:v>
      </x:c>
      <x:c r="B346" s="2" t="str">
        <x:v>東京</x:v>
      </x:c>
      <x:c r="C346" s="2" t="str">
        <x:v>東京都</x:v>
      </x:c>
      <x:c r="D346" s="8" t="n">
        <x:v>6578576</x:v>
      </x:c>
      <x:c r="E346" s="8" t="n">
        <x:v>1007712</x:v>
      </x:c>
      <x:c r="F346" s="8" t="n">
        <x:v>2553229</x:v>
      </x:c>
      <x:c r="G346" s="8" t="n">
        <x:v>1123342</x:v>
      </x:c>
      <x:c r="H346" s="8" t="n">
        <x:v>1894293</x:v>
      </x:c>
      <x:c r="I346" s="8" t="n">
        <x:v>373449</x:v>
      </x:c>
      <x:c r="J346" s="8" t="n">
        <x:v>152205</x:v>
      </x:c>
      <x:c r="K346" s="8" t="n">
        <x:v>172276</x:v>
      </x:c>
      <x:c r="L346" s="8" t="n">
        <x:v>36867</x:v>
      </x:c>
      <x:c r="M346" s="8" t="n">
        <x:v>12101</x:v>
      </x:c>
      <x:c r="N346" s="8" t="n">
        <x:v>0</x:v>
      </x:c>
      <x:c r="O346" s="8" t="n">
        <x:v>0</x:v>
      </x:c>
      <x:c r="P346" s="8" t="n">
        <x:v>522</x:v>
      </x:c>
      <x:c r="Q346" s="8" t="n">
        <x:v>248</x:v>
      </x:c>
      <x:c r="R346" s="8" t="n">
        <x:v>770</x:v>
      </x:c>
      <x:c r="S346" s="8" t="n">
        <x:v>1475</x:v>
      </x:c>
      <x:c r="T346" s="8" t="n">
        <x:v>350</x:v>
      </x:c>
      <x:c r="U346" s="2" t="str">
        <x:v>2026年9月4日現在</x:v>
      </x:c>
      <x:c r="V346" s="2" t="str">
        <x:v>2026-09-11</x:v>
      </x:c>
      <x:c r="W346" s="2" t="str">
        <x:v>https://www.e-stat.go.jp/stat-search/file-download?statInfId=000040251292&amp;fileKind=0</x:v>
      </x:c>
      <x:c r="X346" s="2" t="str">
        <x:v>海上出入貨物!211行、コンテナ個数!41行</x:v>
      </x:c>
      <x:c r="Y346" s="2" t="str">
        <x:v>取得済</x:v>
      </x:c>
      <x:c r="Z346" s="9" t="n">
        <x:f>IF(AND(ISNUMBER(E346),COUNTIFS($A$2:$A$477,EDATE(A346,-12),$B$2:$B$477,B346,$E$2:$E$477,"&gt;0")=1),E346/SUMIFS($E$2:$E$477,$A$2:$A$477,EDATE(A346,-12),$B$2:$B$477,B346)-1,"")</x:f>
        <x:v>0.019357135920758717</x:v>
      </x:c>
      <x:c r="AA346" s="10" t="n">
        <x:f>IF(COUNTIFS($A$2:$A$477,"&gt;="&amp;EDATE(A346,-2),$A$2:$A$477,"&lt;="&amp;A346,$B$2:$B$477,B346,$E$2:$E$477,"&gt;=0")=3,SUMIFS($E$2:$E$477,$A$2:$A$477,"&gt;="&amp;EDATE(A346,-2),$A$2:$A$477,"&lt;="&amp;A346,$B$2:$B$477,B346)/3,"")</x:f>
        <x:v>890537.6666666666</x:v>
      </x:c>
      <x:c r="AB346" s="9" t="n">
        <x:f>IF(AND(ISNUMBER(J346),COUNTIFS($A$2:$A$477,EDATE(A346,-12),$B$2:$B$477,B346,$J$2:$J$477,"&gt;0")=1),J346/SUMIFS($J$2:$J$477,$A$2:$A$477,EDATE(A346,-12),$B$2:$B$477,B346)-1,"")</x:f>
        <x:v>0.04453899735785605</x:v>
      </x:c>
    </x:row>
    <x:row r="347" ht="21" customHeight="1">
      <x:c r="A347" s="7" t="n">
        <x:v>45689</x:v>
      </x:c>
      <x:c r="B347" s="2" t="str">
        <x:v>横浜</x:v>
      </x:c>
      <x:c r="C347" s="2" t="str">
        <x:v>神奈川県</x:v>
      </x:c>
      <x:c r="D347" s="8" t="n">
        <x:v>8158131</x:v>
      </x:c>
      <x:c r="E347" s="8" t="n">
        <x:v>2534001</x:v>
      </x:c>
      <x:c r="F347" s="8" t="n">
        <x:v>2983468</x:v>
      </x:c>
      <x:c r="G347" s="8" t="n">
        <x:v>872918</x:v>
      </x:c>
      <x:c r="H347" s="8" t="n">
        <x:v>1767744</x:v>
      </x:c>
      <x:c r="I347" s="8" t="n">
        <x:v>235355</x:v>
      </x:c>
      <x:c r="J347" s="8" t="n">
        <x:v>120505</x:v>
      </x:c>
      <x:c r="K347" s="8" t="n">
        <x:v>86009</x:v>
      </x:c>
      <x:c r="L347" s="8" t="n">
        <x:v>10417</x:v>
      </x:c>
      <x:c r="M347" s="8" t="n">
        <x:v>18424</x:v>
      </x:c>
      <x:c r="N347" s="8" t="n">
        <x:v>0</x:v>
      </x:c>
      <x:c r="O347" s="8" t="n">
        <x:v>0</x:v>
      </x:c>
      <x:c r="P347" s="8" t="n">
        <x:v>0</x:v>
      </x:c>
      <x:c r="Q347" s="8" t="n">
        <x:v>0</x:v>
      </x:c>
      <x:c r="R347" s="8" t="n">
        <x:v>0</x:v>
      </x:c>
      <x:c r="S347" s="8" t="n">
        <x:v>1954</x:v>
      </x:c>
      <x:c r="T347" s="8" t="n">
        <x:v>644</x:v>
      </x:c>
      <x:c r="U347" s="2" t="str">
        <x:v>2026年9月4日現在</x:v>
      </x:c>
      <x:c r="V347" s="2" t="str">
        <x:v>2026-09-11</x:v>
      </x:c>
      <x:c r="W347" s="2" t="str">
        <x:v>https://www.e-stat.go.jp/stat-search/file-download?statInfId=000040251292&amp;fileKind=0</x:v>
      </x:c>
      <x:c r="X347" s="2" t="str">
        <x:v>海上出入貨物!223行、コンテナ個数!43行</x:v>
      </x:c>
      <x:c r="Y347" s="2" t="str">
        <x:v>取得済</x:v>
      </x:c>
      <x:c r="Z347" s="9" t="n">
        <x:f>IF(AND(ISNUMBER(E347),COUNTIFS($A$2:$A$477,EDATE(A347,-12),$B$2:$B$477,B347,$E$2:$E$477,"&gt;0")=1),E347/SUMIFS($E$2:$E$477,$A$2:$A$477,EDATE(A347,-12),$B$2:$B$477,B347)-1,"")</x:f>
        <x:v>0.12300139954104972</x:v>
      </x:c>
      <x:c r="AA347" s="10" t="n">
        <x:f>IF(COUNTIFS($A$2:$A$477,"&gt;="&amp;EDATE(A347,-2),$A$2:$A$477,"&lt;="&amp;A347,$B$2:$B$477,B347,$E$2:$E$477,"&gt;=0")=3,SUMIFS($E$2:$E$477,$A$2:$A$477,"&gt;="&amp;EDATE(A347,-2),$A$2:$A$477,"&lt;="&amp;A347,$B$2:$B$477,B347)/3,"")</x:f>
        <x:v>2351027</x:v>
      </x:c>
      <x:c r="AB347" s="9" t="n">
        <x:f>IF(AND(ISNUMBER(J347),COUNTIFS($A$2:$A$477,EDATE(A347,-12),$B$2:$B$477,B347,$J$2:$J$477,"&gt;0")=1),J347/SUMIFS($J$2:$J$477,$A$2:$A$477,EDATE(A347,-12),$B$2:$B$477,B347)-1,"")</x:f>
        <x:v>0.06916927663274453</x:v>
      </x:c>
    </x:row>
    <x:row r="348" ht="21" customHeight="1">
      <x:c r="A348" s="7" t="n">
        <x:v>45689</x:v>
      </x:c>
      <x:c r="B348" s="2" t="str">
        <x:v>清水</x:v>
      </x:c>
      <x:c r="C348" s="2" t="str">
        <x:v>静岡県</x:v>
      </x:c>
      <x:c r="D348" s="8" t="n">
        <x:v>1125778</x:v>
      </x:c>
      <x:c r="E348" s="8" t="n">
        <x:v>251094</x:v>
      </x:c>
      <x:c r="F348" s="8" t="n">
        <x:v>380390</x:v>
      </x:c>
      <x:c r="G348" s="8" t="n">
        <x:v>171873</x:v>
      </x:c>
      <x:c r="H348" s="8" t="n">
        <x:v>322421</x:v>
      </x:c>
      <x:c r="I348" s="8" t="n">
        <x:v>40591</x:v>
      </x:c>
      <x:c r="J348" s="8" t="n">
        <x:v>15109</x:v>
      </x:c>
      <x:c r="K348" s="8" t="n">
        <x:v>15287</x:v>
      </x:c>
      <x:c r="L348" s="8" t="n">
        <x:v>5992</x:v>
      </x:c>
      <x:c r="M348" s="8" t="n">
        <x:v>4203</x:v>
      </x:c>
      <x:c r="N348" s="8" t="n">
        <x:v>0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436</x:v>
      </x:c>
      <x:c r="T348" s="8" t="n">
        <x:v>111</x:v>
      </x:c>
      <x:c r="U348" s="2" t="str">
        <x:v>2026年9月4日現在</x:v>
      </x:c>
      <x:c r="V348" s="2" t="str">
        <x:v>2026-09-11</x:v>
      </x:c>
      <x:c r="W348" s="2" t="str">
        <x:v>https://www.e-stat.go.jp/stat-search/file-download?statInfId=000040251292&amp;fileKind=0</x:v>
      </x:c>
      <x:c r="X348" s="2" t="str">
        <x:v>海上出入貨物!313行、コンテナ個数!58行</x:v>
      </x:c>
      <x:c r="Y348" s="2" t="str">
        <x:v>取得済</x:v>
      </x:c>
      <x:c r="Z348" s="9" t="n">
        <x:f>IF(AND(ISNUMBER(E348),COUNTIFS($A$2:$A$477,EDATE(A348,-12),$B$2:$B$477,B348,$E$2:$E$477,"&gt;0")=1),E348/SUMIFS($E$2:$E$477,$A$2:$A$477,EDATE(A348,-12),$B$2:$B$477,B348)-1,"")</x:f>
        <x:v>-0.04877827025798387</x:v>
      </x:c>
      <x:c r="AA348" s="10" t="n">
        <x:f>IF(COUNTIFS($A$2:$A$477,"&gt;="&amp;EDATE(A348,-2),$A$2:$A$477,"&lt;="&amp;A348,$B$2:$B$477,B348,$E$2:$E$477,"&gt;=0")=3,SUMIFS($E$2:$E$477,$A$2:$A$477,"&gt;="&amp;EDATE(A348,-2),$A$2:$A$477,"&lt;="&amp;A348,$B$2:$B$477,B348)/3,"")</x:f>
        <x:v>259981</x:v>
      </x:c>
      <x:c r="AB348" s="9" t="n">
        <x:f>IF(AND(ISNUMBER(J348),COUNTIFS($A$2:$A$477,EDATE(A348,-12),$B$2:$B$477,B348,$J$2:$J$477,"&gt;0")=1),J348/SUMIFS($J$2:$J$477,$A$2:$A$477,EDATE(A348,-12),$B$2:$B$477,B348)-1,"")</x:f>
        <x:v>-0.03419841472769114</x:v>
      </x:c>
    </x:row>
    <x:row r="349" ht="21" customHeight="1">
      <x:c r="A349" s="7" t="n">
        <x:v>45689</x:v>
      </x:c>
      <x:c r="B349" s="2" t="str">
        <x:v>博多</x:v>
      </x:c>
      <x:c r="C349" s="2" t="str">
        <x:v>福岡県</x:v>
      </x:c>
      <x:c r="D349" s="8" t="n">
        <x:v>2775425</x:v>
      </x:c>
      <x:c r="E349" s="8" t="n">
        <x:v>693888</x:v>
      </x:c>
      <x:c r="F349" s="8" t="n">
        <x:v>725417</x:v>
      </x:c>
      <x:c r="G349" s="8" t="n">
        <x:v>460140</x:v>
      </x:c>
      <x:c r="H349" s="8" t="n">
        <x:v>895980</x:v>
      </x:c>
      <x:c r="I349" s="8" t="n">
        <x:v>73890</x:v>
      </x:c>
      <x:c r="J349" s="8" t="n">
        <x:v>33415</x:v>
      </x:c>
      <x:c r="K349" s="8" t="n">
        <x:v>30329</x:v>
      </x:c>
      <x:c r="L349" s="8" t="n">
        <x:v>4615</x:v>
      </x:c>
      <x:c r="M349" s="8" t="n">
        <x:v>5531</x:v>
      </x:c>
      <x:c r="N349" s="8" t="n">
        <x:v>0</x:v>
      </x:c>
      <x:c r="O349" s="8" t="n">
        <x:v>0</x:v>
      </x:c>
      <x:c r="P349" s="8" t="n">
        <x:v>1654</x:v>
      </x:c>
      <x:c r="Q349" s="8" t="n">
        <x:v>1752</x:v>
      </x:c>
      <x:c r="R349" s="8" t="n">
        <x:v>3406</x:v>
      </x:c>
      <x:c r="S349" s="8" t="n">
        <x:v>1362</x:v>
      </x:c>
      <x:c r="T349" s="8" t="n">
        <x:v>209</x:v>
      </x:c>
      <x:c r="U349" s="2" t="str">
        <x:v>2026年9月4日現在</x:v>
      </x:c>
      <x:c r="V349" s="2" t="str">
        <x:v>2026-09-11</x:v>
      </x:c>
      <x:c r="W349" s="2" t="str">
        <x:v>https://www.e-stat.go.jp/stat-search/file-download?statInfId=000040251292&amp;fileKind=0</x:v>
      </x:c>
      <x:c r="X349" s="2" t="str">
        <x:v>海上出入貨物!721行、コンテナ個数!126行</x:v>
      </x:c>
      <x:c r="Y349" s="2" t="str">
        <x:v>取得済</x:v>
      </x:c>
      <x:c r="Z349" s="9" t="n">
        <x:f>IF(AND(ISNUMBER(E349),COUNTIFS($A$2:$A$477,EDATE(A349,-12),$B$2:$B$477,B349,$E$2:$E$477,"&gt;0")=1),E349/SUMIFS($E$2:$E$477,$A$2:$A$477,EDATE(A349,-12),$B$2:$B$477,B349)-1,"")</x:f>
        <x:v>0.057561029139442166</x:v>
      </x:c>
      <x:c r="AA349" s="10" t="n">
        <x:f>IF(COUNTIFS($A$2:$A$477,"&gt;="&amp;EDATE(A349,-2),$A$2:$A$477,"&lt;="&amp;A349,$B$2:$B$477,B349,$E$2:$E$477,"&gt;=0")=3,SUMIFS($E$2:$E$477,$A$2:$A$477,"&gt;="&amp;EDATE(A349,-2),$A$2:$A$477,"&lt;="&amp;A349,$B$2:$B$477,B349)/3,"")</x:f>
        <x:v>673110.3333333334</x:v>
      </x:c>
      <x:c r="AB349" s="9" t="n">
        <x:f>IF(AND(ISNUMBER(J349),COUNTIFS($A$2:$A$477,EDATE(A349,-12),$B$2:$B$477,B349,$J$2:$J$477,"&gt;0")=1),J349/SUMIFS($J$2:$J$477,$A$2:$A$477,EDATE(A349,-12),$B$2:$B$477,B349)-1,"")</x:f>
        <x:v>0.09658046731425562</x:v>
      </x:c>
    </x:row>
    <x:row r="350" ht="21" customHeight="1">
      <x:c r="A350" s="7" t="n">
        <x:v>45689</x:v>
      </x:c>
      <x:c r="B350" s="2" t="str">
        <x:v>熊本</x:v>
      </x:c>
      <x:c r="C350" s="2" t="str">
        <x:v>熊本県</x:v>
      </x:c>
      <x:c r="D350" s="8" t="n">
        <x:v>269294</x:v>
      </x:c>
      <x:c r="E350" s="8" t="n">
        <x:v>2384</x:v>
      </x:c>
      <x:c r="F350" s="8" t="n">
        <x:v>5090</x:v>
      </x:c>
      <x:c r="G350" s="8" t="n">
        <x:v>103584</x:v>
      </x:c>
      <x:c r="H350" s="8" t="n">
        <x:v>158236</x:v>
      </x:c>
      <x:c r="I350" s="8" t="n">
        <x:v>899</x:v>
      </x:c>
      <x:c r="J350" s="8" t="n">
        <x:v>172</x:v>
      </x:c>
      <x:c r="K350" s="8" t="n">
        <x:v>252</x:v>
      </x:c>
      <x:c r="L350" s="8" t="n">
        <x:v>266</x:v>
      </x:c>
      <x:c r="M350" s="8" t="n">
        <x:v>209</x:v>
      </x:c>
      <x:c r="N350" s="8" t="n">
        <x:v>0</x:v>
      </x:c>
      <x:c r="O350" s="8" t="n">
        <x:v>0</x:v>
      </x:c>
      <x:c r="P350" s="8" t="n">
        <x:v>613</x:v>
      </x:c>
      <x:c r="Q350" s="8" t="n">
        <x:v>615</x:v>
      </x:c>
      <x:c r="R350" s="8" t="n">
        <x:v>1228</x:v>
      </x:c>
      <x:c r="S350" s="8" t="n">
        <x:v>38</x:v>
      </x:c>
      <x:c r="T350" s="8" t="n">
        <x:v>7</x:v>
      </x:c>
      <x:c r="U350" s="2" t="str">
        <x:v>2026年9月4日現在</x:v>
      </x:c>
      <x:c r="V350" s="2" t="str">
        <x:v>2026-09-11</x:v>
      </x:c>
      <x:c r="W350" s="2" t="str">
        <x:v>https://www.e-stat.go.jp/stat-search/file-download?statInfId=000040251292&amp;fileKind=0</x:v>
      </x:c>
      <x:c r="X350" s="2" t="str">
        <x:v>海上出入貨物!829行、コンテナ個数!144行</x:v>
      </x:c>
      <x:c r="Y350" s="2" t="str">
        <x:v>取得済</x:v>
      </x:c>
      <x:c r="Z350" s="9" t="n">
        <x:f>IF(AND(ISNUMBER(E350),COUNTIFS($A$2:$A$477,EDATE(A350,-12),$B$2:$B$477,B350,$E$2:$E$477,"&gt;0")=1),E350/SUMIFS($E$2:$E$477,$A$2:$A$477,EDATE(A350,-12),$B$2:$B$477,B350)-1,"")</x:f>
        <x:v>-0.3807792207792208</x:v>
      </x:c>
      <x:c r="AA350" s="10" t="n">
        <x:f>IF(COUNTIFS($A$2:$A$477,"&gt;="&amp;EDATE(A350,-2),$A$2:$A$477,"&lt;="&amp;A350,$B$2:$B$477,B350,$E$2:$E$477,"&gt;=0")=3,SUMIFS($E$2:$E$477,$A$2:$A$477,"&gt;="&amp;EDATE(A350,-2),$A$2:$A$477,"&lt;="&amp;A350,$B$2:$B$477,B350)/3,"")</x:f>
        <x:v>2580.6666666666665</x:v>
      </x:c>
      <x:c r="AB350" s="9" t="n">
        <x:f>IF(AND(ISNUMBER(J350),COUNTIFS($A$2:$A$477,EDATE(A350,-12),$B$2:$B$477,B350,$J$2:$J$477,"&gt;0")=1),J350/SUMIFS($J$2:$J$477,$A$2:$A$477,EDATE(A350,-12),$B$2:$B$477,B350)-1,"")</x:f>
        <x:v>-0.12244897959183676</x:v>
      </x:c>
    </x:row>
    <x:row r="351" ht="21" customHeight="1">
      <x:c r="A351" s="7" t="n">
        <x:v>45689</x:v>
      </x:c>
      <x:c r="B351" s="2" t="str">
        <x:v>八代</x:v>
      </x:c>
      <x:c r="C351" s="2" t="str">
        <x:v>熊本県</x:v>
      </x:c>
      <x:c r="D351" s="8" t="n">
        <x:v>310881</x:v>
      </x:c>
      <x:c r="E351" s="8" t="n">
        <x:v>33320</x:v>
      </x:c>
      <x:c r="F351" s="8" t="n">
        <x:v>87397</x:v>
      </x:c>
      <x:c r="G351" s="8" t="n">
        <x:v>25021</x:v>
      </x:c>
      <x:c r="H351" s="8" t="n">
        <x:v>165143</x:v>
      </x:c>
      <x:c r="I351" s="8" t="n">
        <x:v>1593</x:v>
      </x:c>
      <x:c r="J351" s="8" t="n">
        <x:v>761</x:v>
      </x:c>
      <x:c r="K351" s="8" t="n">
        <x:v>606</x:v>
      </x:c>
      <x:c r="L351" s="8" t="n">
        <x:v>49</x:v>
      </x:c>
      <x:c r="M351" s="8" t="n">
        <x:v>177</x:v>
      </x:c>
      <x:c r="N351" s="8" t="n">
        <x:v>0</x:v>
      </x:c>
      <x:c r="O351" s="8" t="n">
        <x:v>0</x:v>
      </x:c>
      <x:c r="P351" s="8" t="n">
        <x:v>0</x:v>
      </x:c>
      <x:c r="Q351" s="8" t="n">
        <x:v>0</x:v>
      </x:c>
      <x:c r="R351" s="8" t="n">
        <x:v>0</x:v>
      </x:c>
      <x:c r="S351" s="8" t="n">
        <x:v>264</x:v>
      </x:c>
      <x:c r="T351" s="8" t="n">
        <x:v>29</x:v>
      </x:c>
      <x:c r="U351" s="2" t="str">
        <x:v>2026年9月4日現在</x:v>
      </x:c>
      <x:c r="V351" s="2" t="str">
        <x:v>2026-09-11</x:v>
      </x:c>
      <x:c r="W351" s="2" t="str">
        <x:v>https://www.e-stat.go.jp/stat-search/file-download?statInfId=000040251292&amp;fileKind=0</x:v>
      </x:c>
      <x:c r="X351" s="2" t="str">
        <x:v>海上出入貨物!817行、コンテナ個数!142行</x:v>
      </x:c>
      <x:c r="Y351" s="2" t="str">
        <x:v>取得済</x:v>
      </x:c>
      <x:c r="Z351" s="9" t="n">
        <x:f>IF(AND(ISNUMBER(E351),COUNTIFS($A$2:$A$477,EDATE(A351,-12),$B$2:$B$477,B351,$E$2:$E$477,"&gt;0")=1),E351/SUMIFS($E$2:$E$477,$A$2:$A$477,EDATE(A351,-12),$B$2:$B$477,B351)-1,"")</x:f>
        <x:v>0.7851593892311814</x:v>
      </x:c>
      <x:c r="AA351" s="10" t="n">
        <x:f>IF(COUNTIFS($A$2:$A$477,"&gt;="&amp;EDATE(A351,-2),$A$2:$A$477,"&lt;="&amp;A351,$B$2:$B$477,B351,$E$2:$E$477,"&gt;=0")=3,SUMIFS($E$2:$E$477,$A$2:$A$477,"&gt;="&amp;EDATE(A351,-2),$A$2:$A$477,"&lt;="&amp;A351,$B$2:$B$477,B351)/3,"")</x:f>
        <x:v>26778.333333333332</x:v>
      </x:c>
      <x:c r="AB351" s="9" t="n">
        <x:f>IF(AND(ISNUMBER(J351),COUNTIFS($A$2:$A$477,EDATE(A351,-12),$B$2:$B$477,B351,$J$2:$J$477,"&gt;0")=1),J351/SUMIFS($J$2:$J$477,$A$2:$A$477,EDATE(A351,-12),$B$2:$B$477,B351)-1,"")</x:f>
        <x:v>0.12407680945347122</x:v>
      </x:c>
    </x:row>
    <x:row r="352" ht="21" customHeight="1">
      <x:c r="A352" s="7" t="n">
        <x:v>45717</x:v>
      </x:c>
      <x:c r="B352" s="2" t="str">
        <x:v>仙台塩釜</x:v>
      </x:c>
      <x:c r="C352" s="2" t="str">
        <x:v>宮城県</x:v>
      </x:c>
      <x:c r="D352" s="8" t="n">
        <x:v>3632456</x:v>
      </x:c>
      <x:c r="E352" s="8" t="n">
        <x:v>105565</x:v>
      </x:c>
      <x:c r="F352" s="8" t="n">
        <x:v>951496</x:v>
      </x:c>
      <x:c r="G352" s="8" t="n">
        <x:v>1216382</x:v>
      </x:c>
      <x:c r="H352" s="8" t="n">
        <x:v>1359013</x:v>
      </x:c>
      <x:c r="I352" s="8" t="n">
        <x:v>19664</x:v>
      </x:c>
      <x:c r="J352" s="8" t="n">
        <x:v>5247</x:v>
      </x:c>
      <x:c r="K352" s="8" t="n">
        <x:v>4749</x:v>
      </x:c>
      <x:c r="L352" s="8" t="n">
        <x:v>4922</x:v>
      </x:c>
      <x:c r="M352" s="8" t="n">
        <x:v>4746</x:v>
      </x:c>
      <x:c r="N352" s="8" t="n">
        <x:v>0</x:v>
      </x:c>
      <x:c r="O352" s="8" t="n">
        <x:v>0</x:v>
      </x:c>
      <x:c r="P352" s="8" t="n">
        <x:v>576</x:v>
      </x:c>
      <x:c r="Q352" s="8" t="n">
        <x:v>645</x:v>
      </x:c>
      <x:c r="R352" s="8" t="n">
        <x:v>1221</x:v>
      </x:c>
      <x:c r="S352" s="8" t="n">
        <x:v>1970</x:v>
      </x:c>
      <x:c r="T352" s="8" t="n">
        <x:v>87</x:v>
      </x:c>
      <x:c r="U352" s="2" t="str">
        <x:v>2026年9月4日現在</x:v>
      </x:c>
      <x:c r="V352" s="2" t="str">
        <x:v>2026-09-11</x:v>
      </x:c>
      <x:c r="W352" s="2" t="str">
        <x:v>https://www.e-stat.go.jp/stat-search/file-download?statInfId=000040251292&amp;fileKind=0</x:v>
      </x:c>
      <x:c r="X352" s="2" t="str">
        <x:v>海上出入貨物!145行、コンテナ個数!30行</x:v>
      </x:c>
      <x:c r="Y352" s="2" t="str">
        <x:v>取得済</x:v>
      </x:c>
      <x:c r="Z352" s="9" t="n">
        <x:f>IF(AND(ISNUMBER(E352),COUNTIFS($A$2:$A$477,EDATE(A352,-12),$B$2:$B$477,B352,$E$2:$E$477,"&gt;0")=1),E352/SUMIFS($E$2:$E$477,$A$2:$A$477,EDATE(A352,-12),$B$2:$B$477,B352)-1,"")</x:f>
        <x:v>-0.4422783298728332</x:v>
      </x:c>
      <x:c r="AA352" s="10" t="n">
        <x:f>IF(COUNTIFS($A$2:$A$477,"&gt;="&amp;EDATE(A352,-2),$A$2:$A$477,"&lt;="&amp;A352,$B$2:$B$477,B352,$E$2:$E$477,"&gt;=0")=3,SUMIFS($E$2:$E$477,$A$2:$A$477,"&gt;="&amp;EDATE(A352,-2),$A$2:$A$477,"&lt;="&amp;A352,$B$2:$B$477,B352)/3,"")</x:f>
        <x:v>126533</x:v>
      </x:c>
      <x:c r="AB352" s="9" t="n">
        <x:f>IF(AND(ISNUMBER(J352),COUNTIFS($A$2:$A$477,EDATE(A352,-12),$B$2:$B$477,B352,$J$2:$J$477,"&gt;0")=1),J352/SUMIFS($J$2:$J$477,$A$2:$A$477,EDATE(A352,-12),$B$2:$B$477,B352)-1,"")</x:f>
        <x:v>-0.03512320706141969</x:v>
      </x:c>
    </x:row>
    <x:row r="353" ht="21" customHeight="1">
      <x:c r="A353" s="7" t="n">
        <x:v>45717</x:v>
      </x:c>
      <x:c r="B353" s="2" t="str">
        <x:v>東京</x:v>
      </x:c>
      <x:c r="C353" s="2" t="str">
        <x:v>東京都</x:v>
      </x:c>
      <x:c r="D353" s="8" t="n">
        <x:v>7330594</x:v>
      </x:c>
      <x:c r="E353" s="8" t="n">
        <x:v>934979</x:v>
      </x:c>
      <x:c r="F353" s="8" t="n">
        <x:v>2984471</x:v>
      </x:c>
      <x:c r="G353" s="8" t="n">
        <x:v>1299983</x:v>
      </x:c>
      <x:c r="H353" s="8" t="n">
        <x:v>2111161</x:v>
      </x:c>
      <x:c r="I353" s="8" t="n">
        <x:v>413978</x:v>
      </x:c>
      <x:c r="J353" s="8" t="n">
        <x:v>153061</x:v>
      </x:c>
      <x:c r="K353" s="8" t="n">
        <x:v>203398</x:v>
      </x:c>
      <x:c r="L353" s="8" t="n">
        <x:v>43882</x:v>
      </x:c>
      <x:c r="M353" s="8" t="n">
        <x:v>13637</x:v>
      </x:c>
      <x:c r="N353" s="8" t="n">
        <x:v>0</x:v>
      </x:c>
      <x:c r="O353" s="8" t="n">
        <x:v>0</x:v>
      </x:c>
      <x:c r="P353" s="8" t="n">
        <x:v>579</x:v>
      </x:c>
      <x:c r="Q353" s="8" t="n">
        <x:v>237</x:v>
      </x:c>
      <x:c r="R353" s="8" t="n">
        <x:v>816</x:v>
      </x:c>
      <x:c r="S353" s="8" t="n">
        <x:v>1670</x:v>
      </x:c>
      <x:c r="T353" s="8" t="n">
        <x:v>409</x:v>
      </x:c>
      <x:c r="U353" s="2" t="str">
        <x:v>2026年9月4日現在</x:v>
      </x:c>
      <x:c r="V353" s="2" t="str">
        <x:v>2026-09-11</x:v>
      </x:c>
      <x:c r="W353" s="2" t="str">
        <x:v>https://www.e-stat.go.jp/stat-search/file-download?statInfId=000040251292&amp;fileKind=0</x:v>
      </x:c>
      <x:c r="X353" s="2" t="str">
        <x:v>海上出入貨物!211行、コンテナ個数!41行</x:v>
      </x:c>
      <x:c r="Y353" s="2" t="str">
        <x:v>取得済</x:v>
      </x:c>
      <x:c r="Z353" s="9" t="n">
        <x:f>IF(AND(ISNUMBER(E353),COUNTIFS($A$2:$A$477,EDATE(A353,-12),$B$2:$B$477,B353,$E$2:$E$477,"&gt;0")=1),E353/SUMIFS($E$2:$E$477,$A$2:$A$477,EDATE(A353,-12),$B$2:$B$477,B353)-1,"")</x:f>
        <x:v>-0.017051129207588778</x:v>
      </x:c>
      <x:c r="AA353" s="10" t="n">
        <x:f>IF(COUNTIFS($A$2:$A$477,"&gt;="&amp;EDATE(A353,-2),$A$2:$A$477,"&lt;="&amp;A353,$B$2:$B$477,B353,$E$2:$E$477,"&gt;=0")=3,SUMIFS($E$2:$E$477,$A$2:$A$477,"&gt;="&amp;EDATE(A353,-2),$A$2:$A$477,"&lt;="&amp;A353,$B$2:$B$477,B353)/3,"")</x:f>
        <x:v>830897.3333333334</x:v>
      </x:c>
      <x:c r="AB353" s="9" t="n">
        <x:f>IF(AND(ISNUMBER(J353),COUNTIFS($A$2:$A$477,EDATE(A353,-12),$B$2:$B$477,B353,$J$2:$J$477,"&gt;0")=1),J353/SUMIFS($J$2:$J$477,$A$2:$A$477,EDATE(A353,-12),$B$2:$B$477,B353)-1,"")</x:f>
        <x:v>-0.013648754019551568</x:v>
      </x:c>
    </x:row>
    <x:row r="354" ht="21" customHeight="1">
      <x:c r="A354" s="7" t="n">
        <x:v>45717</x:v>
      </x:c>
      <x:c r="B354" s="2" t="str">
        <x:v>横浜</x:v>
      </x:c>
      <x:c r="C354" s="2" t="str">
        <x:v>神奈川県</x:v>
      </x:c>
      <x:c r="D354" s="8" t="n">
        <x:v>9012781</x:v>
      </x:c>
      <x:c r="E354" s="8" t="n">
        <x:v>2785840</x:v>
      </x:c>
      <x:c r="F354" s="8" t="n">
        <x:v>3467669</x:v>
      </x:c>
      <x:c r="G354" s="8" t="n">
        <x:v>1043609</x:v>
      </x:c>
      <x:c r="H354" s="8" t="n">
        <x:v>1715663</x:v>
      </x:c>
      <x:c r="I354" s="8" t="n">
        <x:v>266937</x:v>
      </x:c>
      <x:c r="J354" s="8" t="n">
        <x:v>130288</x:v>
      </x:c>
      <x:c r="K354" s="8" t="n">
        <x:v>107468</x:v>
      </x:c>
      <x:c r="L354" s="8" t="n">
        <x:v>10860</x:v>
      </x:c>
      <x:c r="M354" s="8" t="n">
        <x:v>18321</x:v>
      </x:c>
      <x:c r="N354" s="8" t="n">
        <x:v>0</x:v>
      </x:c>
      <x:c r="O354" s="8" t="n">
        <x:v>0</x:v>
      </x:c>
      <x:c r="P354" s="8" t="n">
        <x:v>0</x:v>
      </x:c>
      <x:c r="Q354" s="8" t="n">
        <x:v>0</x:v>
      </x:c>
      <x:c r="R354" s="8" t="n">
        <x:v>0</x:v>
      </x:c>
      <x:c r="S354" s="8" t="n">
        <x:v>2235</x:v>
      </x:c>
      <x:c r="T354" s="8" t="n">
        <x:v>734</x:v>
      </x:c>
      <x:c r="U354" s="2" t="str">
        <x:v>2026年9月4日現在</x:v>
      </x:c>
      <x:c r="V354" s="2" t="str">
        <x:v>2026-09-11</x:v>
      </x:c>
      <x:c r="W354" s="2" t="str">
        <x:v>https://www.e-stat.go.jp/stat-search/file-download?statInfId=000040251292&amp;fileKind=0</x:v>
      </x:c>
      <x:c r="X354" s="2" t="str">
        <x:v>海上出入貨物!223行、コンテナ個数!43行</x:v>
      </x:c>
      <x:c r="Y354" s="2" t="str">
        <x:v>取得済</x:v>
      </x:c>
      <x:c r="Z354" s="9" t="n">
        <x:f>IF(AND(ISNUMBER(E354),COUNTIFS($A$2:$A$477,EDATE(A354,-12),$B$2:$B$477,B354,$E$2:$E$477,"&gt;0")=1),E354/SUMIFS($E$2:$E$477,$A$2:$A$477,EDATE(A354,-12),$B$2:$B$477,B354)-1,"")</x:f>
        <x:v>0.07417848195905008</x:v>
      </x:c>
      <x:c r="AA354" s="10" t="n">
        <x:f>IF(COUNTIFS($A$2:$A$477,"&gt;="&amp;EDATE(A354,-2),$A$2:$A$477,"&lt;="&amp;A354,$B$2:$B$477,B354,$E$2:$E$477,"&gt;=0")=3,SUMIFS($E$2:$E$477,$A$2:$A$477,"&gt;="&amp;EDATE(A354,-2),$A$2:$A$477,"&lt;="&amp;A354,$B$2:$B$477,B354)/3,"")</x:f>
        <x:v>2349297</x:v>
      </x:c>
      <x:c r="AB354" s="9" t="n">
        <x:f>IF(AND(ISNUMBER(J354),COUNTIFS($A$2:$A$477,EDATE(A354,-12),$B$2:$B$477,B354,$J$2:$J$477,"&gt;0")=1),J354/SUMIFS($J$2:$J$477,$A$2:$A$477,EDATE(A354,-12),$B$2:$B$477,B354)-1,"")</x:f>
        <x:v>-0.010285471202199914</x:v>
      </x:c>
    </x:row>
    <x:row r="355" ht="21" customHeight="1">
      <x:c r="A355" s="7" t="n">
        <x:v>45717</x:v>
      </x:c>
      <x:c r="B355" s="2" t="str">
        <x:v>清水</x:v>
      </x:c>
      <x:c r="C355" s="2" t="str">
        <x:v>静岡県</x:v>
      </x:c>
      <x:c r="D355" s="8" t="n">
        <x:v>1455465</x:v>
      </x:c>
      <x:c r="E355" s="8" t="n">
        <x:v>267142</x:v>
      </x:c>
      <x:c r="F355" s="8" t="n">
        <x:v>679830</x:v>
      </x:c>
      <x:c r="G355" s="8" t="n">
        <x:v>154160</x:v>
      </x:c>
      <x:c r="H355" s="8" t="n">
        <x:v>354333</x:v>
      </x:c>
      <x:c r="I355" s="8" t="n">
        <x:v>45600</x:v>
      </x:c>
      <x:c r="J355" s="8" t="n">
        <x:v>16642</x:v>
      </x:c>
      <x:c r="K355" s="8" t="n">
        <x:v>18112</x:v>
      </x:c>
      <x:c r="L355" s="8" t="n">
        <x:v>6160</x:v>
      </x:c>
      <x:c r="M355" s="8" t="n">
        <x:v>4686</x:v>
      </x:c>
      <x:c r="N355" s="8" t="n">
        <x:v>0</x:v>
      </x:c>
      <x:c r="O355" s="8" t="n">
        <x:v>0</x:v>
      </x:c>
      <x:c r="P355" s="8" t="n">
        <x:v>0</x:v>
      </x:c>
      <x:c r="Q355" s="8" t="n">
        <x:v>0</x:v>
      </x:c>
      <x:c r="R355" s="8" t="n">
        <x:v>0</x:v>
      </x:c>
      <x:c r="S355" s="8" t="n">
        <x:v>452</x:v>
      </x:c>
      <x:c r="T355" s="8" t="n">
        <x:v>139</x:v>
      </x:c>
      <x:c r="U355" s="2" t="str">
        <x:v>2026年9月4日現在</x:v>
      </x:c>
      <x:c r="V355" s="2" t="str">
        <x:v>2026-09-11</x:v>
      </x:c>
      <x:c r="W355" s="2" t="str">
        <x:v>https://www.e-stat.go.jp/stat-search/file-download?statInfId=000040251292&amp;fileKind=0</x:v>
      </x:c>
      <x:c r="X355" s="2" t="str">
        <x:v>海上出入貨物!313行、コンテナ個数!58行</x:v>
      </x:c>
      <x:c r="Y355" s="2" t="str">
        <x:v>取得済</x:v>
      </x:c>
      <x:c r="Z355" s="9" t="n">
        <x:f>IF(AND(ISNUMBER(E355),COUNTIFS($A$2:$A$477,EDATE(A355,-12),$B$2:$B$477,B355,$E$2:$E$477,"&gt;0")=1),E355/SUMIFS($E$2:$E$477,$A$2:$A$477,EDATE(A355,-12),$B$2:$B$477,B355)-1,"")</x:f>
        <x:v>0.012488298142484089</x:v>
      </x:c>
      <x:c r="AA355" s="10" t="n">
        <x:f>IF(COUNTIFS($A$2:$A$477,"&gt;="&amp;EDATE(A355,-2),$A$2:$A$477,"&lt;="&amp;A355,$B$2:$B$477,B355,$E$2:$E$477,"&gt;=0")=3,SUMIFS($E$2:$E$477,$A$2:$A$477,"&gt;="&amp;EDATE(A355,-2),$A$2:$A$477,"&lt;="&amp;A355,$B$2:$B$477,B355)/3,"")</x:f>
        <x:v>240861</x:v>
      </x:c>
      <x:c r="AB355" s="9" t="n">
        <x:f>IF(AND(ISNUMBER(J355),COUNTIFS($A$2:$A$477,EDATE(A355,-12),$B$2:$B$477,B355,$J$2:$J$477,"&gt;0")=1),J355/SUMIFS($J$2:$J$477,$A$2:$A$477,EDATE(A355,-12),$B$2:$B$477,B355)-1,"")</x:f>
        <x:v>0.06645305991669326</x:v>
      </x:c>
    </x:row>
    <x:row r="356" ht="21" customHeight="1">
      <x:c r="A356" s="7" t="n">
        <x:v>45717</x:v>
      </x:c>
      <x:c r="B356" s="2" t="str">
        <x:v>博多</x:v>
      </x:c>
      <x:c r="C356" s="2" t="str">
        <x:v>福岡県</x:v>
      </x:c>
      <x:c r="D356" s="8" t="n">
        <x:v>3213173</x:v>
      </x:c>
      <x:c r="E356" s="8" t="n">
        <x:v>789843</x:v>
      </x:c>
      <x:c r="F356" s="8" t="n">
        <x:v>851251</x:v>
      </x:c>
      <x:c r="G356" s="8" t="n">
        <x:v>537704</x:v>
      </x:c>
      <x:c r="H356" s="8" t="n">
        <x:v>1034375</x:v>
      </x:c>
      <x:c r="I356" s="8" t="n">
        <x:v>88185</x:v>
      </x:c>
      <x:c r="J356" s="8" t="n">
        <x:v>37311</x:v>
      </x:c>
      <x:c r="K356" s="8" t="n">
        <x:v>39483</x:v>
      </x:c>
      <x:c r="L356" s="8" t="n">
        <x:v>5165</x:v>
      </x:c>
      <x:c r="M356" s="8" t="n">
        <x:v>6226</x:v>
      </x:c>
      <x:c r="N356" s="8" t="n">
        <x:v>0</x:v>
      </x:c>
      <x:c r="O356" s="8" t="n">
        <x:v>0</x:v>
      </x:c>
      <x:c r="P356" s="8" t="n">
        <x:v>1821</x:v>
      </x:c>
      <x:c r="Q356" s="8" t="n">
        <x:v>1993</x:v>
      </x:c>
      <x:c r="R356" s="8" t="n">
        <x:v>3814</x:v>
      </x:c>
      <x:c r="S356" s="8" t="n">
        <x:v>1557</x:v>
      </x:c>
      <x:c r="T356" s="8" t="n">
        <x:v>231</x:v>
      </x:c>
      <x:c r="U356" s="2" t="str">
        <x:v>2026年9月4日現在</x:v>
      </x:c>
      <x:c r="V356" s="2" t="str">
        <x:v>2026-09-11</x:v>
      </x:c>
      <x:c r="W356" s="2" t="str">
        <x:v>https://www.e-stat.go.jp/stat-search/file-download?statInfId=000040251292&amp;fileKind=0</x:v>
      </x:c>
      <x:c r="X356" s="2" t="str">
        <x:v>海上出入貨物!721行、コンテナ個数!126行</x:v>
      </x:c>
      <x:c r="Y356" s="2" t="str">
        <x:v>取得済</x:v>
      </x:c>
      <x:c r="Z356" s="9" t="n">
        <x:f>IF(AND(ISNUMBER(E356),COUNTIFS($A$2:$A$477,EDATE(A356,-12),$B$2:$B$477,B356,$E$2:$E$477,"&gt;0")=1),E356/SUMIFS($E$2:$E$477,$A$2:$A$477,EDATE(A356,-12),$B$2:$B$477,B356)-1,"")</x:f>
        <x:v>-0.018615226912682914</x:v>
      </x:c>
      <x:c r="AA356" s="10" t="n">
        <x:f>IF(COUNTIFS($A$2:$A$477,"&gt;="&amp;EDATE(A356,-2),$A$2:$A$477,"&lt;="&amp;A356,$B$2:$B$477,B356,$E$2:$E$477,"&gt;=0")=3,SUMIFS($E$2:$E$477,$A$2:$A$477,"&gt;="&amp;EDATE(A356,-2),$A$2:$A$477,"&lt;="&amp;A356,$B$2:$B$477,B356)/3,"")</x:f>
        <x:v>685102</x:v>
      </x:c>
      <x:c r="AB356" s="9" t="n">
        <x:f>IF(AND(ISNUMBER(J356),COUNTIFS($A$2:$A$477,EDATE(A356,-12),$B$2:$B$477,B356,$J$2:$J$477,"&gt;0")=1),J356/SUMIFS($J$2:$J$477,$A$2:$A$477,EDATE(A356,-12),$B$2:$B$477,B356)-1,"")</x:f>
        <x:v>-0.025237087546045922</x:v>
      </x:c>
    </x:row>
    <x:row r="357" ht="21" customHeight="1">
      <x:c r="A357" s="7" t="n">
        <x:v>45717</x:v>
      </x:c>
      <x:c r="B357" s="2" t="str">
        <x:v>熊本</x:v>
      </x:c>
      <x:c r="C357" s="2" t="str">
        <x:v>熊本県</x:v>
      </x:c>
      <x:c r="D357" s="8" t="n">
        <x:v>307217</x:v>
      </x:c>
      <x:c r="E357" s="8" t="n">
        <x:v>1669</x:v>
      </x:c>
      <x:c r="F357" s="8" t="n">
        <x:v>4338</x:v>
      </x:c>
      <x:c r="G357" s="8" t="n">
        <x:v>118553</x:v>
      </x:c>
      <x:c r="H357" s="8" t="n">
        <x:v>182657</x:v>
      </x:c>
      <x:c r="I357" s="8" t="n">
        <x:v>1117</x:v>
      </x:c>
      <x:c r="J357" s="8" t="n">
        <x:v>142</x:v>
      </x:c>
      <x:c r="K357" s="8" t="n">
        <x:v>234</x:v>
      </x:c>
      <x:c r="L357" s="8" t="n">
        <x:v>383</x:v>
      </x:c>
      <x:c r="M357" s="8" t="n">
        <x:v>358</x:v>
      </x:c>
      <x:c r="N357" s="8" t="n">
        <x:v>0</x:v>
      </x:c>
      <x:c r="O357" s="8" t="n">
        <x:v>0</x:v>
      </x:c>
      <x:c r="P357" s="8" t="n">
        <x:v>688</x:v>
      </x:c>
      <x:c r="Q357" s="8" t="n">
        <x:v>705</x:v>
      </x:c>
      <x:c r="R357" s="8" t="n">
        <x:v>1393</x:v>
      </x:c>
      <x:c r="S357" s="8" t="n">
        <x:v>34</x:v>
      </x:c>
      <x:c r="T357" s="8" t="n">
        <x:v>7</x:v>
      </x:c>
      <x:c r="U357" s="2" t="str">
        <x:v>2026年9月4日現在</x:v>
      </x:c>
      <x:c r="V357" s="2" t="str">
        <x:v>2026-09-11</x:v>
      </x:c>
      <x:c r="W357" s="2" t="str">
        <x:v>https://www.e-stat.go.jp/stat-search/file-download?statInfId=000040251292&amp;fileKind=0</x:v>
      </x:c>
      <x:c r="X357" s="2" t="str">
        <x:v>海上出入貨物!829行、コンテナ個数!144行</x:v>
      </x:c>
      <x:c r="Y357" s="2" t="str">
        <x:v>取得済</x:v>
      </x:c>
      <x:c r="Z357" s="9" t="n">
        <x:f>IF(AND(ISNUMBER(E357),COUNTIFS($A$2:$A$477,EDATE(A357,-12),$B$2:$B$477,B357,$E$2:$E$477,"&gt;0")=1),E357/SUMIFS($E$2:$E$477,$A$2:$A$477,EDATE(A357,-12),$B$2:$B$477,B357)-1,"")</x:f>
        <x:v>-0.7082167832167832</x:v>
      </x:c>
      <x:c r="AA357" s="10" t="n">
        <x:f>IF(COUNTIFS($A$2:$A$477,"&gt;="&amp;EDATE(A357,-2),$A$2:$A$477,"&lt;="&amp;A357,$B$2:$B$477,B357,$E$2:$E$477,"&gt;=0")=3,SUMIFS($E$2:$E$477,$A$2:$A$477,"&gt;="&amp;EDATE(A357,-2),$A$2:$A$477,"&lt;="&amp;A357,$B$2:$B$477,B357)/3,"")</x:f>
        <x:v>1865.6666666666667</x:v>
      </x:c>
      <x:c r="AB357" s="9" t="n">
        <x:f>IF(AND(ISNUMBER(J357),COUNTIFS($A$2:$A$477,EDATE(A357,-12),$B$2:$B$477,B357,$J$2:$J$477,"&gt;0")=1),J357/SUMIFS($J$2:$J$477,$A$2:$A$477,EDATE(A357,-12),$B$2:$B$477,B357)-1,"")</x:f>
        <x:v>-0.5328947368421053</x:v>
      </x:c>
    </x:row>
    <x:row r="358" ht="21" customHeight="1">
      <x:c r="A358" s="7" t="n">
        <x:v>45717</x:v>
      </x:c>
      <x:c r="B358" s="2" t="str">
        <x:v>八代</x:v>
      </x:c>
      <x:c r="C358" s="2" t="str">
        <x:v>熊本県</x:v>
      </x:c>
      <x:c r="D358" s="8" t="n">
        <x:v>357588</x:v>
      </x:c>
      <x:c r="E358" s="8" t="n">
        <x:v>31384</x:v>
      </x:c>
      <x:c r="F358" s="8" t="n">
        <x:v>136894</x:v>
      </x:c>
      <x:c r="G358" s="8" t="n">
        <x:v>21886</x:v>
      </x:c>
      <x:c r="H358" s="8" t="n">
        <x:v>167424</x:v>
      </x:c>
      <x:c r="I358" s="8" t="n">
        <x:v>1605</x:v>
      </x:c>
      <x:c r="J358" s="8" t="n">
        <x:v>750</x:v>
      </x:c>
      <x:c r="K358" s="8" t="n">
        <x:v>390</x:v>
      </x:c>
      <x:c r="L358" s="8" t="n">
        <x:v>101</x:v>
      </x:c>
      <x:c r="M358" s="8" t="n">
        <x:v>364</x:v>
      </x:c>
      <x:c r="N358" s="8" t="n">
        <x:v>0</x:v>
      </x:c>
      <x:c r="O358" s="8" t="n">
        <x:v>0</x:v>
      </x:c>
      <x:c r="P358" s="8" t="n">
        <x:v>0</x:v>
      </x:c>
      <x:c r="Q358" s="8" t="n">
        <x:v>0</x:v>
      </x:c>
      <x:c r="R358" s="8" t="n">
        <x:v>0</x:v>
      </x:c>
      <x:c r="S358" s="8" t="n">
        <x:v>258</x:v>
      </x:c>
      <x:c r="T358" s="8" t="n">
        <x:v>44</x:v>
      </x:c>
      <x:c r="U358" s="2" t="str">
        <x:v>2026年9月4日現在</x:v>
      </x:c>
      <x:c r="V358" s="2" t="str">
        <x:v>2026-09-11</x:v>
      </x:c>
      <x:c r="W358" s="2" t="str">
        <x:v>https://www.e-stat.go.jp/stat-search/file-download?statInfId=000040251292&amp;fileKind=0</x:v>
      </x:c>
      <x:c r="X358" s="2" t="str">
        <x:v>海上出入貨物!817行、コンテナ個数!142行</x:v>
      </x:c>
      <x:c r="Y358" s="2" t="str">
        <x:v>取得済</x:v>
      </x:c>
      <x:c r="Z358" s="9" t="n">
        <x:f>IF(AND(ISNUMBER(E358),COUNTIFS($A$2:$A$477,EDATE(A358,-12),$B$2:$B$477,B358,$E$2:$E$477,"&gt;0")=1),E358/SUMIFS($E$2:$E$477,$A$2:$A$477,EDATE(A358,-12),$B$2:$B$477,B358)-1,"")</x:f>
        <x:v>0.17653233364573562</x:v>
      </x:c>
      <x:c r="AA358" s="10" t="n">
        <x:f>IF(COUNTIFS($A$2:$A$477,"&gt;="&amp;EDATE(A358,-2),$A$2:$A$477,"&lt;="&amp;A358,$B$2:$B$477,B358,$E$2:$E$477,"&gt;=0")=3,SUMIFS($E$2:$E$477,$A$2:$A$477,"&gt;="&amp;EDATE(A358,-2),$A$2:$A$477,"&lt;="&amp;A358,$B$2:$B$477,B358)/3,"")</x:f>
        <x:v>27454.666666666668</x:v>
      </x:c>
      <x:c r="AB358" s="9" t="n">
        <x:f>IF(AND(ISNUMBER(J358),COUNTIFS($A$2:$A$477,EDATE(A358,-12),$B$2:$B$477,B358,$J$2:$J$477,"&gt;0")=1),J358/SUMIFS($J$2:$J$477,$A$2:$A$477,EDATE(A358,-12),$B$2:$B$477,B358)-1,"")</x:f>
        <x:v>0.03878116343490312</x:v>
      </x:c>
    </x:row>
    <x:row r="359" ht="21" customHeight="1">
      <x:c r="A359" s="7" t="n">
        <x:v>45748</x:v>
      </x:c>
      <x:c r="B359" s="2" t="str">
        <x:v>仙台塩釜</x:v>
      </x:c>
      <x:c r="C359" s="2" t="str">
        <x:v>宮城県</x:v>
      </x:c>
      <x:c r="D359" s="8" t="n">
        <x:v>4262564</x:v>
      </x:c>
      <x:c r="E359" s="8" t="n">
        <x:v>194444</x:v>
      </x:c>
      <x:c r="F359" s="8" t="n">
        <x:v>886515</x:v>
      </x:c>
      <x:c r="G359" s="8" t="n">
        <x:v>1601743</x:v>
      </x:c>
      <x:c r="H359" s="8" t="n">
        <x:v>1579862</x:v>
      </x:c>
      <x:c r="I359" s="8" t="n">
        <x:v>20332</x:v>
      </x:c>
      <x:c r="J359" s="8" t="n">
        <x:v>5188</x:v>
      </x:c>
      <x:c r="K359" s="8" t="n">
        <x:v>5618</x:v>
      </x:c>
      <x:c r="L359" s="8" t="n">
        <x:v>4814</x:v>
      </x:c>
      <x:c r="M359" s="8" t="n">
        <x:v>4712</x:v>
      </x:c>
      <x:c r="N359" s="8" t="n">
        <x:v>0</x:v>
      </x:c>
      <x:c r="O359" s="8" t="n">
        <x:v>0</x:v>
      </x:c>
      <x:c r="P359" s="8" t="n">
        <x:v>770</x:v>
      </x:c>
      <x:c r="Q359" s="8" t="n">
        <x:v>829</x:v>
      </x:c>
      <x:c r="R359" s="8" t="n">
        <x:v>1599</x:v>
      </x:c>
      <x:c r="S359" s="8" t="n">
        <x:v>2018</x:v>
      </x:c>
      <x:c r="T359" s="8" t="n">
        <x:v>91</x:v>
      </x:c>
      <x:c r="U359" s="2" t="str">
        <x:v>2026年9月4日現在</x:v>
      </x:c>
      <x:c r="V359" s="2" t="str">
        <x:v>2026-09-11</x:v>
      </x:c>
      <x:c r="W359" s="2" t="str">
        <x:v>https://www.e-stat.go.jp/stat-search/file-download?statInfId=000040251292&amp;fileKind=0</x:v>
      </x:c>
      <x:c r="X359" s="2" t="str">
        <x:v>海上出入貨物!145行、コンテナ個数!30行</x:v>
      </x:c>
      <x:c r="Y359" s="2" t="str">
        <x:v>取得済</x:v>
      </x:c>
      <x:c r="Z359" s="9" t="n">
        <x:f>IF(AND(ISNUMBER(E359),COUNTIFS($A$2:$A$477,EDATE(A359,-12),$B$2:$B$477,B359,$E$2:$E$477,"&gt;0")=1),E359/SUMIFS($E$2:$E$477,$A$2:$A$477,EDATE(A359,-12),$B$2:$B$477,B359)-1,"")</x:f>
        <x:v>0.3703565362632406</x:v>
      </x:c>
      <x:c r="AA359" s="10" t="n">
        <x:f>IF(COUNTIFS($A$2:$A$477,"&gt;="&amp;EDATE(A359,-2),$A$2:$A$477,"&lt;="&amp;A359,$B$2:$B$477,B359,$E$2:$E$477,"&gt;=0")=3,SUMIFS($E$2:$E$477,$A$2:$A$477,"&gt;="&amp;EDATE(A359,-2),$A$2:$A$477,"&lt;="&amp;A359,$B$2:$B$477,B359)/3,"")</x:f>
        <x:v>143845</x:v>
      </x:c>
      <x:c r="AB359" s="9" t="n">
        <x:f>IF(AND(ISNUMBER(J359),COUNTIFS($A$2:$A$477,EDATE(A359,-12),$B$2:$B$477,B359,$J$2:$J$477,"&gt;0")=1),J359/SUMIFS($J$2:$J$477,$A$2:$A$477,EDATE(A359,-12),$B$2:$B$477,B359)-1,"")</x:f>
        <x:v>-0.043510324483775786</x:v>
      </x:c>
    </x:row>
    <x:row r="360" ht="21" customHeight="1">
      <x:c r="A360" s="7" t="n">
        <x:v>45748</x:v>
      </x:c>
      <x:c r="B360" s="2" t="str">
        <x:v>東京</x:v>
      </x:c>
      <x:c r="C360" s="2" t="str">
        <x:v>東京都</x:v>
      </x:c>
      <x:c r="D360" s="8" t="n">
        <x:v>7241883</x:v>
      </x:c>
      <x:c r="E360" s="8" t="n">
        <x:v>968636</x:v>
      </x:c>
      <x:c r="F360" s="8" t="n">
        <x:v>3022415</x:v>
      </x:c>
      <x:c r="G360" s="8" t="n">
        <x:v>1233985</x:v>
      </x:c>
      <x:c r="H360" s="8" t="n">
        <x:v>2016847</x:v>
      </x:c>
      <x:c r="I360" s="8" t="n">
        <x:v>426563</x:v>
      </x:c>
      <x:c r="J360" s="8" t="n">
        <x:v>169051</x:v>
      </x:c>
      <x:c r="K360" s="8" t="n">
        <x:v>205765</x:v>
      </x:c>
      <x:c r="L360" s="8" t="n">
        <x:v>38962</x:v>
      </x:c>
      <x:c r="M360" s="8" t="n">
        <x:v>12785</x:v>
      </x:c>
      <x:c r="N360" s="8" t="n">
        <x:v>0</x:v>
      </x:c>
      <x:c r="O360" s="8" t="n">
        <x:v>0</x:v>
      </x:c>
      <x:c r="P360" s="8" t="n">
        <x:v>380</x:v>
      </x:c>
      <x:c r="Q360" s="8" t="n">
        <x:v>225</x:v>
      </x:c>
      <x:c r="R360" s="8" t="n">
        <x:v>605</x:v>
      </x:c>
      <x:c r="S360" s="8" t="n">
        <x:v>1567</x:v>
      </x:c>
      <x:c r="T360" s="8" t="n">
        <x:v>415</x:v>
      </x:c>
      <x:c r="U360" s="2" t="str">
        <x:v>2026年9月4日現在</x:v>
      </x:c>
      <x:c r="V360" s="2" t="str">
        <x:v>2026-09-11</x:v>
      </x:c>
      <x:c r="W360" s="2" t="str">
        <x:v>https://www.e-stat.go.jp/stat-search/file-download?statInfId=000040251292&amp;fileKind=0</x:v>
      </x:c>
      <x:c r="X360" s="2" t="str">
        <x:v>海上出入貨物!211行、コンテナ個数!41行</x:v>
      </x:c>
      <x:c r="Y360" s="2" t="str">
        <x:v>取得済</x:v>
      </x:c>
      <x:c r="Z360" s="9" t="n">
        <x:f>IF(AND(ISNUMBER(E360),COUNTIFS($A$2:$A$477,EDATE(A360,-12),$B$2:$B$477,B360,$E$2:$E$477,"&gt;0")=1),E360/SUMIFS($E$2:$E$477,$A$2:$A$477,EDATE(A360,-12),$B$2:$B$477,B360)-1,"")</x:f>
        <x:v>-0.05169378856083284</x:v>
      </x:c>
      <x:c r="AA360" s="10" t="n">
        <x:f>IF(COUNTIFS($A$2:$A$477,"&gt;="&amp;EDATE(A360,-2),$A$2:$A$477,"&lt;="&amp;A360,$B$2:$B$477,B360,$E$2:$E$477,"&gt;=0")=3,SUMIFS($E$2:$E$477,$A$2:$A$477,"&gt;="&amp;EDATE(A360,-2),$A$2:$A$477,"&lt;="&amp;A360,$B$2:$B$477,B360)/3,"")</x:f>
        <x:v>970442.3333333334</x:v>
      </x:c>
      <x:c r="AB360" s="9" t="n">
        <x:f>IF(AND(ISNUMBER(J360),COUNTIFS($A$2:$A$477,EDATE(A360,-12),$B$2:$B$477,B360,$J$2:$J$477,"&gt;0")=1),J360/SUMIFS($J$2:$J$477,$A$2:$A$477,EDATE(A360,-12),$B$2:$B$477,B360)-1,"")</x:f>
        <x:v>0.052424827242731675</x:v>
      </x:c>
    </x:row>
    <x:row r="361" ht="21" customHeight="1">
      <x:c r="A361" s="7" t="n">
        <x:v>45748</x:v>
      </x:c>
      <x:c r="B361" s="2" t="str">
        <x:v>横浜</x:v>
      </x:c>
      <x:c r="C361" s="2" t="str">
        <x:v>神奈川県</x:v>
      </x:c>
      <x:c r="D361" s="8" t="n">
        <x:v>9041190</x:v>
      </x:c>
      <x:c r="E361" s="8" t="n">
        <x:v>2683304</x:v>
      </x:c>
      <x:c r="F361" s="8" t="n">
        <x:v>3855507</x:v>
      </x:c>
      <x:c r="G361" s="8" t="n">
        <x:v>870727</x:v>
      </x:c>
      <x:c r="H361" s="8" t="n">
        <x:v>1631652</x:v>
      </x:c>
      <x:c r="I361" s="8" t="n">
        <x:v>269573</x:v>
      </x:c>
      <x:c r="J361" s="8" t="n">
        <x:v>131222</x:v>
      </x:c>
      <x:c r="K361" s="8" t="n">
        <x:v>109849</x:v>
      </x:c>
      <x:c r="L361" s="8" t="n">
        <x:v>12758</x:v>
      </x:c>
      <x:c r="M361" s="8" t="n">
        <x:v>15744</x:v>
      </x:c>
      <x:c r="N361" s="8" t="n">
        <x:v>0</x:v>
      </x:c>
      <x:c r="O361" s="8" t="n">
        <x:v>0</x:v>
      </x:c>
      <x:c r="P361" s="8" t="n">
        <x:v>0</x:v>
      </x:c>
      <x:c r="Q361" s="8" t="n">
        <x:v>0</x:v>
      </x:c>
      <x:c r="R361" s="8" t="n">
        <x:v>0</x:v>
      </x:c>
      <x:c r="S361" s="8" t="n">
        <x:v>2036</x:v>
      </x:c>
      <x:c r="T361" s="8" t="n">
        <x:v>723</x:v>
      </x:c>
      <x:c r="U361" s="2" t="str">
        <x:v>2026年9月4日現在</x:v>
      </x:c>
      <x:c r="V361" s="2" t="str">
        <x:v>2026-09-11</x:v>
      </x:c>
      <x:c r="W361" s="2" t="str">
        <x:v>https://www.e-stat.go.jp/stat-search/file-download?statInfId=000040251292&amp;fileKind=0</x:v>
      </x:c>
      <x:c r="X361" s="2" t="str">
        <x:v>海上出入貨物!223行、コンテナ個数!43行</x:v>
      </x:c>
      <x:c r="Y361" s="2" t="str">
        <x:v>取得済</x:v>
      </x:c>
      <x:c r="Z361" s="9" t="n">
        <x:f>IF(AND(ISNUMBER(E361),COUNTIFS($A$2:$A$477,EDATE(A361,-12),$B$2:$B$477,B361,$E$2:$E$477,"&gt;0")=1),E361/SUMIFS($E$2:$E$477,$A$2:$A$477,EDATE(A361,-12),$B$2:$B$477,B361)-1,"")</x:f>
        <x:v>0.10752096126716082</x:v>
      </x:c>
      <x:c r="AA361" s="10" t="n">
        <x:f>IF(COUNTIFS($A$2:$A$477,"&gt;="&amp;EDATE(A361,-2),$A$2:$A$477,"&lt;="&amp;A361,$B$2:$B$477,B361,$E$2:$E$477,"&gt;=0")=3,SUMIFS($E$2:$E$477,$A$2:$A$477,"&gt;="&amp;EDATE(A361,-2),$A$2:$A$477,"&lt;="&amp;A361,$B$2:$B$477,B361)/3,"")</x:f>
        <x:v>2667715</x:v>
      </x:c>
      <x:c r="AB361" s="9" t="n">
        <x:f>IF(AND(ISNUMBER(J361),COUNTIFS($A$2:$A$477,EDATE(A361,-12),$B$2:$B$477,B361,$J$2:$J$477,"&gt;0")=1),J361/SUMIFS($J$2:$J$477,$A$2:$A$477,EDATE(A361,-12),$B$2:$B$477,B361)-1,"")</x:f>
        <x:v>0.019334591751920538</x:v>
      </x:c>
    </x:row>
    <x:row r="362" ht="21" customHeight="1">
      <x:c r="A362" s="7" t="n">
        <x:v>45748</x:v>
      </x:c>
      <x:c r="B362" s="2" t="str">
        <x:v>清水</x:v>
      </x:c>
      <x:c r="C362" s="2" t="str">
        <x:v>静岡県</x:v>
      </x:c>
      <x:c r="D362" s="8" t="n">
        <x:v>1258063</x:v>
      </x:c>
      <x:c r="E362" s="8" t="n">
        <x:v>264951</x:v>
      </x:c>
      <x:c r="F362" s="8" t="n">
        <x:v>473516</x:v>
      </x:c>
      <x:c r="G362" s="8" t="n">
        <x:v>170756</x:v>
      </x:c>
      <x:c r="H362" s="8" t="n">
        <x:v>348840</x:v>
      </x:c>
      <x:c r="I362" s="8" t="n">
        <x:v>41662</x:v>
      </x:c>
      <x:c r="J362" s="8" t="n">
        <x:v>16256</x:v>
      </x:c>
      <x:c r="K362" s="8" t="n">
        <x:v>16344</x:v>
      </x:c>
      <x:c r="L362" s="8" t="n">
        <x:v>5239</x:v>
      </x:c>
      <x:c r="M362" s="8" t="n">
        <x:v>3823</x:v>
      </x:c>
      <x:c r="N362" s="8" t="n">
        <x:v>0</x:v>
      </x:c>
      <x:c r="O362" s="8" t="n">
        <x:v>0</x:v>
      </x:c>
      <x:c r="P362" s="8" t="n">
        <x:v>0</x:v>
      </x:c>
      <x:c r="Q362" s="8" t="n">
        <x:v>0</x:v>
      </x:c>
      <x:c r="R362" s="8" t="n">
        <x:v>0</x:v>
      </x:c>
      <x:c r="S362" s="8" t="n">
        <x:v>480</x:v>
      </x:c>
      <x:c r="T362" s="8" t="n">
        <x:v>132</x:v>
      </x:c>
      <x:c r="U362" s="2" t="str">
        <x:v>2026年9月4日現在</x:v>
      </x:c>
      <x:c r="V362" s="2" t="str">
        <x:v>2026-09-11</x:v>
      </x:c>
      <x:c r="W362" s="2" t="str">
        <x:v>https://www.e-stat.go.jp/stat-search/file-download?statInfId=000040251292&amp;fileKind=0</x:v>
      </x:c>
      <x:c r="X362" s="2" t="str">
        <x:v>海上出入貨物!313行、コンテナ個数!58行</x:v>
      </x:c>
      <x:c r="Y362" s="2" t="str">
        <x:v>取得済</x:v>
      </x:c>
      <x:c r="Z362" s="9" t="n">
        <x:f>IF(AND(ISNUMBER(E362),COUNTIFS($A$2:$A$477,EDATE(A362,-12),$B$2:$B$477,B362,$E$2:$E$477,"&gt;0")=1),E362/SUMIFS($E$2:$E$477,$A$2:$A$477,EDATE(A362,-12),$B$2:$B$477,B362)-1,"")</x:f>
        <x:v>0.06134507304606296</x:v>
      </x:c>
      <x:c r="AA362" s="10" t="n">
        <x:f>IF(COUNTIFS($A$2:$A$477,"&gt;="&amp;EDATE(A362,-2),$A$2:$A$477,"&lt;="&amp;A362,$B$2:$B$477,B362,$E$2:$E$477,"&gt;=0")=3,SUMIFS($E$2:$E$477,$A$2:$A$477,"&gt;="&amp;EDATE(A362,-2),$A$2:$A$477,"&lt;="&amp;A362,$B$2:$B$477,B362)/3,"")</x:f>
        <x:v>261062.33333333334</x:v>
      </x:c>
      <x:c r="AB362" s="9" t="n">
        <x:f>IF(AND(ISNUMBER(J362),COUNTIFS($A$2:$A$477,EDATE(A362,-12),$B$2:$B$477,B362,$J$2:$J$477,"&gt;0")=1),J362/SUMIFS($J$2:$J$477,$A$2:$A$477,EDATE(A362,-12),$B$2:$B$477,B362)-1,"")</x:f>
        <x:v>0.06144302970943527</x:v>
      </x:c>
    </x:row>
    <x:row r="363" ht="21" customHeight="1">
      <x:c r="A363" s="7" t="n">
        <x:v>45748</x:v>
      </x:c>
      <x:c r="B363" s="2" t="str">
        <x:v>博多</x:v>
      </x:c>
      <x:c r="C363" s="2" t="str">
        <x:v>福岡県</x:v>
      </x:c>
      <x:c r="D363" s="8" t="n">
        <x:v>2990261</x:v>
      </x:c>
      <x:c r="E363" s="8" t="n">
        <x:v>748007</x:v>
      </x:c>
      <x:c r="F363" s="8" t="n">
        <x:v>853402</x:v>
      </x:c>
      <x:c r="G363" s="8" t="n">
        <x:v>480521</x:v>
      </x:c>
      <x:c r="H363" s="8" t="n">
        <x:v>908331</x:v>
      </x:c>
      <x:c r="I363" s="8" t="n">
        <x:v>82659</x:v>
      </x:c>
      <x:c r="J363" s="8" t="n">
        <x:v>36371</x:v>
      </x:c>
      <x:c r="K363" s="8" t="n">
        <x:v>35484</x:v>
      </x:c>
      <x:c r="L363" s="8" t="n">
        <x:v>5463</x:v>
      </x:c>
      <x:c r="M363" s="8" t="n">
        <x:v>5341</x:v>
      </x:c>
      <x:c r="N363" s="8" t="n">
        <x:v>0</x:v>
      </x:c>
      <x:c r="O363" s="8" t="n">
        <x:v>0</x:v>
      </x:c>
      <x:c r="P363" s="8" t="n">
        <x:v>1413</x:v>
      </x:c>
      <x:c r="Q363" s="8" t="n">
        <x:v>1541</x:v>
      </x:c>
      <x:c r="R363" s="8" t="n">
        <x:v>2954</x:v>
      </x:c>
      <x:c r="S363" s="8" t="n">
        <x:v>1545</x:v>
      </x:c>
      <x:c r="T363" s="8" t="n">
        <x:v>219</x:v>
      </x:c>
      <x:c r="U363" s="2" t="str">
        <x:v>2026年9月4日現在</x:v>
      </x:c>
      <x:c r="V363" s="2" t="str">
        <x:v>2026-09-11</x:v>
      </x:c>
      <x:c r="W363" s="2" t="str">
        <x:v>https://www.e-stat.go.jp/stat-search/file-download?statInfId=000040251292&amp;fileKind=0</x:v>
      </x:c>
      <x:c r="X363" s="2" t="str">
        <x:v>海上出入貨物!721行、コンテナ個数!126行</x:v>
      </x:c>
      <x:c r="Y363" s="2" t="str">
        <x:v>取得済</x:v>
      </x:c>
      <x:c r="Z363" s="9" t="n">
        <x:f>IF(AND(ISNUMBER(E363),COUNTIFS($A$2:$A$477,EDATE(A363,-12),$B$2:$B$477,B363,$E$2:$E$477,"&gt;0")=1),E363/SUMIFS($E$2:$E$477,$A$2:$A$477,EDATE(A363,-12),$B$2:$B$477,B363)-1,"")</x:f>
        <x:v>0.04167206297879211</x:v>
      </x:c>
      <x:c r="AA363" s="10" t="n">
        <x:f>IF(COUNTIFS($A$2:$A$477,"&gt;="&amp;EDATE(A363,-2),$A$2:$A$477,"&lt;="&amp;A363,$B$2:$B$477,B363,$E$2:$E$477,"&gt;=0")=3,SUMIFS($E$2:$E$477,$A$2:$A$477,"&gt;="&amp;EDATE(A363,-2),$A$2:$A$477,"&lt;="&amp;A363,$B$2:$B$477,B363)/3,"")</x:f>
        <x:v>743912.6666666666</x:v>
      </x:c>
      <x:c r="AB363" s="9" t="n">
        <x:f>IF(AND(ISNUMBER(J363),COUNTIFS($A$2:$A$477,EDATE(A363,-12),$B$2:$B$477,B363,$J$2:$J$477,"&gt;0")=1),J363/SUMIFS($J$2:$J$477,$A$2:$A$477,EDATE(A363,-12),$B$2:$B$477,B363)-1,"")</x:f>
        <x:v>0.09746235780453216</x:v>
      </x:c>
    </x:row>
    <x:row r="364" ht="21" customHeight="1">
      <x:c r="A364" s="7" t="n">
        <x:v>45748</x:v>
      </x:c>
      <x:c r="B364" s="2" t="str">
        <x:v>熊本</x:v>
      </x:c>
      <x:c r="C364" s="2" t="str">
        <x:v>熊本県</x:v>
      </x:c>
      <x:c r="D364" s="8" t="n">
        <x:v>283356</x:v>
      </x:c>
      <x:c r="E364" s="8" t="n">
        <x:v>2380</x:v>
      </x:c>
      <x:c r="F364" s="8" t="n">
        <x:v>6772</x:v>
      </x:c>
      <x:c r="G364" s="8" t="n">
        <x:v>104838</x:v>
      </x:c>
      <x:c r="H364" s="8" t="n">
        <x:v>169366</x:v>
      </x:c>
      <x:c r="I364" s="8" t="n">
        <x:v>1353</x:v>
      </x:c>
      <x:c r="J364" s="8" t="n">
        <x:v>205</x:v>
      </x:c>
      <x:c r="K364" s="8" t="n">
        <x:v>367</x:v>
      </x:c>
      <x:c r="L364" s="8" t="n">
        <x:v>457</x:v>
      </x:c>
      <x:c r="M364" s="8" t="n">
        <x:v>324</x:v>
      </x:c>
      <x:c r="N364" s="8" t="n">
        <x:v>0</x:v>
      </x:c>
      <x:c r="O364" s="8" t="n">
        <x:v>0</x:v>
      </x:c>
      <x:c r="P364" s="8" t="n">
        <x:v>617</x:v>
      </x:c>
      <x:c r="Q364" s="8" t="n">
        <x:v>617</x:v>
      </x:c>
      <x:c r="R364" s="8" t="n">
        <x:v>1234</x:v>
      </x:c>
      <x:c r="S364" s="8" t="n">
        <x:v>39</x:v>
      </x:c>
      <x:c r="T364" s="8" t="n">
        <x:v>8</x:v>
      </x:c>
      <x:c r="U364" s="2" t="str">
        <x:v>2026年9月4日現在</x:v>
      </x:c>
      <x:c r="V364" s="2" t="str">
        <x:v>2026-09-11</x:v>
      </x:c>
      <x:c r="W364" s="2" t="str">
        <x:v>https://www.e-stat.go.jp/stat-search/file-download?statInfId=000040251292&amp;fileKind=0</x:v>
      </x:c>
      <x:c r="X364" s="2" t="str">
        <x:v>海上出入貨物!829行、コンテナ個数!144行</x:v>
      </x:c>
      <x:c r="Y364" s="2" t="str">
        <x:v>取得済</x:v>
      </x:c>
      <x:c r="Z364" s="9" t="n">
        <x:f>IF(AND(ISNUMBER(E364),COUNTIFS($A$2:$A$477,EDATE(A364,-12),$B$2:$B$477,B364,$E$2:$E$477,"&gt;0")=1),E364/SUMIFS($E$2:$E$477,$A$2:$A$477,EDATE(A364,-12),$B$2:$B$477,B364)-1,"")</x:f>
        <x:v>-0.2985558502799882</x:v>
      </x:c>
      <x:c r="AA364" s="10" t="n">
        <x:f>IF(COUNTIFS($A$2:$A$477,"&gt;="&amp;EDATE(A364,-2),$A$2:$A$477,"&lt;="&amp;A364,$B$2:$B$477,B364,$E$2:$E$477,"&gt;=0")=3,SUMIFS($E$2:$E$477,$A$2:$A$477,"&gt;="&amp;EDATE(A364,-2),$A$2:$A$477,"&lt;="&amp;A364,$B$2:$B$477,B364)/3,"")</x:f>
        <x:v>2144.3333333333335</x:v>
      </x:c>
      <x:c r="AB364" s="9" t="n">
        <x:f>IF(AND(ISNUMBER(J364),COUNTIFS($A$2:$A$477,EDATE(A364,-12),$B$2:$B$477,B364,$J$2:$J$477,"&gt;0")=1),J364/SUMIFS($J$2:$J$477,$A$2:$A$477,EDATE(A364,-12),$B$2:$B$477,B364)-1,"")</x:f>
        <x:v>-0.18326693227091628</x:v>
      </x:c>
    </x:row>
    <x:row r="365" ht="21" customHeight="1">
      <x:c r="A365" s="7" t="n">
        <x:v>45748</x:v>
      </x:c>
      <x:c r="B365" s="2" t="str">
        <x:v>八代</x:v>
      </x:c>
      <x:c r="C365" s="2" t="str">
        <x:v>熊本県</x:v>
      </x:c>
      <x:c r="D365" s="8" t="n">
        <x:v>331148</x:v>
      </x:c>
      <x:c r="E365" s="8" t="n">
        <x:v>39089</x:v>
      </x:c>
      <x:c r="F365" s="8" t="n">
        <x:v>114413</x:v>
      </x:c>
      <x:c r="G365" s="8" t="n">
        <x:v>39716</x:v>
      </x:c>
      <x:c r="H365" s="8" t="n">
        <x:v>137930</x:v>
      </x:c>
      <x:c r="I365" s="8" t="n">
        <x:v>2188</x:v>
      </x:c>
      <x:c r="J365" s="8" t="n">
        <x:v>859</x:v>
      </x:c>
      <x:c r="K365" s="8" t="n">
        <x:v>734</x:v>
      </x:c>
      <x:c r="L365" s="8" t="n">
        <x:v>136</x:v>
      </x:c>
      <x:c r="M365" s="8" t="n">
        <x:v>459</x:v>
      </x:c>
      <x:c r="N365" s="8" t="n">
        <x:v>0</x:v>
      </x:c>
      <x:c r="O365" s="8" t="n">
        <x:v>0</x:v>
      </x:c>
      <x:c r="P365" s="8" t="n">
        <x:v>0</x:v>
      </x:c>
      <x:c r="Q365" s="8" t="n">
        <x:v>0</x:v>
      </x:c>
      <x:c r="R365" s="8" t="n">
        <x:v>0</x:v>
      </x:c>
      <x:c r="S365" s="8" t="n">
        <x:v>206</x:v>
      </x:c>
      <x:c r="T365" s="8" t="n">
        <x:v>39</x:v>
      </x:c>
      <x:c r="U365" s="2" t="str">
        <x:v>2026年9月4日現在</x:v>
      </x:c>
      <x:c r="V365" s="2" t="str">
        <x:v>2026-09-11</x:v>
      </x:c>
      <x:c r="W365" s="2" t="str">
        <x:v>https://www.e-stat.go.jp/stat-search/file-download?statInfId=000040251292&amp;fileKind=0</x:v>
      </x:c>
      <x:c r="X365" s="2" t="str">
        <x:v>海上出入貨物!817行、コンテナ個数!142行</x:v>
      </x:c>
      <x:c r="Y365" s="2" t="str">
        <x:v>取得済</x:v>
      </x:c>
      <x:c r="Z365" s="9" t="n">
        <x:f>IF(AND(ISNUMBER(E365),COUNTIFS($A$2:$A$477,EDATE(A365,-12),$B$2:$B$477,B365,$E$2:$E$477,"&gt;0")=1),E365/SUMIFS($E$2:$E$477,$A$2:$A$477,EDATE(A365,-12),$B$2:$B$477,B365)-1,"")</x:f>
        <x:v>0.14876421665148265</x:v>
      </x:c>
      <x:c r="AA365" s="10" t="n">
        <x:f>IF(COUNTIFS($A$2:$A$477,"&gt;="&amp;EDATE(A365,-2),$A$2:$A$477,"&lt;="&amp;A365,$B$2:$B$477,B365,$E$2:$E$477,"&gt;=0")=3,SUMIFS($E$2:$E$477,$A$2:$A$477,"&gt;="&amp;EDATE(A365,-2),$A$2:$A$477,"&lt;="&amp;A365,$B$2:$B$477,B365)/3,"")</x:f>
        <x:v>34597.666666666664</x:v>
      </x:c>
      <x:c r="AB365" s="9" t="n">
        <x:f>IF(AND(ISNUMBER(J365),COUNTIFS($A$2:$A$477,EDATE(A365,-12),$B$2:$B$477,B365,$J$2:$J$477,"&gt;0")=1),J365/SUMIFS($J$2:$J$477,$A$2:$A$477,EDATE(A365,-12),$B$2:$B$477,B365)-1,"")</x:f>
        <x:v>-0.26893617021276595</x:v>
      </x:c>
    </x:row>
    <x:row r="366" ht="21" customHeight="1">
      <x:c r="A366" s="7" t="n">
        <x:v>45778</x:v>
      </x:c>
      <x:c r="B366" s="2" t="str">
        <x:v>仙台塩釜</x:v>
      </x:c>
      <x:c r="C366" s="2" t="str">
        <x:v>宮城県</x:v>
      </x:c>
      <x:c r="D366" s="8" t="n">
        <x:v>3248381</x:v>
      </x:c>
      <x:c r="E366" s="8" t="n">
        <x:v>83830</x:v>
      </x:c>
      <x:c r="F366" s="8" t="n">
        <x:v>863437</x:v>
      </x:c>
      <x:c r="G366" s="8" t="n">
        <x:v>1141121</x:v>
      </x:c>
      <x:c r="H366" s="8" t="n">
        <x:v>1159993</x:v>
      </x:c>
      <x:c r="I366" s="8" t="n">
        <x:v>21156</x:v>
      </x:c>
      <x:c r="J366" s="8" t="n">
        <x:v>5510</x:v>
      </x:c>
      <x:c r="K366" s="8" t="n">
        <x:v>6226</x:v>
      </x:c>
      <x:c r="L366" s="8" t="n">
        <x:v>4643</x:v>
      </x:c>
      <x:c r="M366" s="8" t="n">
        <x:v>4777</x:v>
      </x:c>
      <x:c r="N366" s="8" t="n">
        <x:v>0</x:v>
      </x:c>
      <x:c r="O366" s="8" t="n">
        <x:v>0</x:v>
      </x:c>
      <x:c r="P366" s="8" t="n">
        <x:v>590</x:v>
      </x:c>
      <x:c r="Q366" s="8" t="n">
        <x:v>634</x:v>
      </x:c>
      <x:c r="R366" s="8" t="n">
        <x:v>1224</x:v>
      </x:c>
      <x:c r="S366" s="8" t="n">
        <x:v>2137</x:v>
      </x:c>
      <x:c r="T366" s="8" t="n">
        <x:v>83</x:v>
      </x:c>
      <x:c r="U366" s="2" t="str">
        <x:v>2026年9月4日現在</x:v>
      </x:c>
      <x:c r="V366" s="2" t="str">
        <x:v>2026-09-11</x:v>
      </x:c>
      <x:c r="W366" s="2" t="str">
        <x:v>https://www.e-stat.go.jp/stat-search/file-download?statInfId=000040251292&amp;fileKind=0</x:v>
      </x:c>
      <x:c r="X366" s="2" t="str">
        <x:v>海上出入貨物!145行、コンテナ個数!30行</x:v>
      </x:c>
      <x:c r="Y366" s="2" t="str">
        <x:v>取得済</x:v>
      </x:c>
      <x:c r="Z366" s="9" t="n">
        <x:f>IF(AND(ISNUMBER(E366),COUNTIFS($A$2:$A$477,EDATE(A366,-12),$B$2:$B$477,B366,$E$2:$E$477,"&gt;0")=1),E366/SUMIFS($E$2:$E$477,$A$2:$A$477,EDATE(A366,-12),$B$2:$B$477,B366)-1,"")</x:f>
        <x:v>-0.49351716471114226</x:v>
      </x:c>
      <x:c r="AA366" s="10" t="n">
        <x:f>IF(COUNTIFS($A$2:$A$477,"&gt;="&amp;EDATE(A366,-2),$A$2:$A$477,"&lt;="&amp;A366,$B$2:$B$477,B366,$E$2:$E$477,"&gt;=0")=3,SUMIFS($E$2:$E$477,$A$2:$A$477,"&gt;="&amp;EDATE(A366,-2),$A$2:$A$477,"&lt;="&amp;A366,$B$2:$B$477,B366)/3,"")</x:f>
        <x:v>127946.33333333333</x:v>
      </x:c>
      <x:c r="AB366" s="9" t="n">
        <x:f>IF(AND(ISNUMBER(J366),COUNTIFS($A$2:$A$477,EDATE(A366,-12),$B$2:$B$477,B366,$J$2:$J$477,"&gt;0")=1),J366/SUMIFS($J$2:$J$477,$A$2:$A$477,EDATE(A366,-12),$B$2:$B$477,B366)-1,"")</x:f>
        <x:v>-0.049016223679668625</x:v>
      </x:c>
    </x:row>
    <x:row r="367" ht="21" customHeight="1">
      <x:c r="A367" s="7" t="n">
        <x:v>45778</x:v>
      </x:c>
      <x:c r="B367" s="2" t="str">
        <x:v>東京</x:v>
      </x:c>
      <x:c r="C367" s="2" t="str">
        <x:v>東京都</x:v>
      </x:c>
      <x:c r="D367" s="8" t="n">
        <x:v>6893216</x:v>
      </x:c>
      <x:c r="E367" s="8" t="n">
        <x:v>858461</x:v>
      </x:c>
      <x:c r="F367" s="8" t="n">
        <x:v>3023011</x:v>
      </x:c>
      <x:c r="G367" s="8" t="n">
        <x:v>1118078</x:v>
      </x:c>
      <x:c r="H367" s="8" t="n">
        <x:v>1893666</x:v>
      </x:c>
      <x:c r="I367" s="8" t="n">
        <x:v>414916</x:v>
      </x:c>
      <x:c r="J367" s="8" t="n">
        <x:v>164814</x:v>
      </x:c>
      <x:c r="K367" s="8" t="n">
        <x:v>202305</x:v>
      </x:c>
      <x:c r="L367" s="8" t="n">
        <x:v>36235</x:v>
      </x:c>
      <x:c r="M367" s="8" t="n">
        <x:v>11562</x:v>
      </x:c>
      <x:c r="N367" s="8" t="n">
        <x:v>0</x:v>
      </x:c>
      <x:c r="O367" s="8" t="n">
        <x:v>0</x:v>
      </x:c>
      <x:c r="P367" s="8" t="n">
        <x:v>391</x:v>
      </x:c>
      <x:c r="Q367" s="8" t="n">
        <x:v>198</x:v>
      </x:c>
      <x:c r="R367" s="8" t="n">
        <x:v>589</x:v>
      </x:c>
      <x:c r="S367" s="8" t="n">
        <x:v>1515</x:v>
      </x:c>
      <x:c r="T367" s="8" t="n">
        <x:v>415</x:v>
      </x:c>
      <x:c r="U367" s="2" t="str">
        <x:v>2026年9月4日現在</x:v>
      </x:c>
      <x:c r="V367" s="2" t="str">
        <x:v>2026-09-11</x:v>
      </x:c>
      <x:c r="W367" s="2" t="str">
        <x:v>https://www.e-stat.go.jp/stat-search/file-download?statInfId=000040251292&amp;fileKind=0</x:v>
      </x:c>
      <x:c r="X367" s="2" t="str">
        <x:v>海上出入貨物!211行、コンテナ個数!41行</x:v>
      </x:c>
      <x:c r="Y367" s="2" t="str">
        <x:v>取得済</x:v>
      </x:c>
      <x:c r="Z367" s="9" t="n">
        <x:f>IF(AND(ISNUMBER(E367),COUNTIFS($A$2:$A$477,EDATE(A367,-12),$B$2:$B$477,B367,$E$2:$E$477,"&gt;0")=1),E367/SUMIFS($E$2:$E$477,$A$2:$A$477,EDATE(A367,-12),$B$2:$B$477,B367)-1,"")</x:f>
        <x:v>0.013027763059919373</x:v>
      </x:c>
      <x:c r="AA367" s="10" t="n">
        <x:f>IF(COUNTIFS($A$2:$A$477,"&gt;="&amp;EDATE(A367,-2),$A$2:$A$477,"&lt;="&amp;A367,$B$2:$B$477,B367,$E$2:$E$477,"&gt;=0")=3,SUMIFS($E$2:$E$477,$A$2:$A$477,"&gt;="&amp;EDATE(A367,-2),$A$2:$A$477,"&lt;="&amp;A367,$B$2:$B$477,B367)/3,"")</x:f>
        <x:v>920692</x:v>
      </x:c>
      <x:c r="AB367" s="9" t="n">
        <x:f>IF(AND(ISNUMBER(J367),COUNTIFS($A$2:$A$477,EDATE(A367,-12),$B$2:$B$477,B367,$J$2:$J$477,"&gt;0")=1),J367/SUMIFS($J$2:$J$477,$A$2:$A$477,EDATE(A367,-12),$B$2:$B$477,B367)-1,"")</x:f>
        <x:v>0.07308466101087974</x:v>
      </x:c>
    </x:row>
    <x:row r="368" ht="21" customHeight="1">
      <x:c r="A368" s="7" t="n">
        <x:v>45778</x:v>
      </x:c>
      <x:c r="B368" s="2" t="str">
        <x:v>横浜</x:v>
      </x:c>
      <x:c r="C368" s="2" t="str">
        <x:v>神奈川県</x:v>
      </x:c>
      <x:c r="D368" s="8" t="n">
        <x:v>7656957</x:v>
      </x:c>
      <x:c r="E368" s="8" t="n">
        <x:v>2502017</x:v>
      </x:c>
      <x:c r="F368" s="8" t="n">
        <x:v>3166207</x:v>
      </x:c>
      <x:c r="G368" s="8" t="n">
        <x:v>780493</x:v>
      </x:c>
      <x:c r="H368" s="8" t="n">
        <x:v>1208240</x:v>
      </x:c>
      <x:c r="I368" s="8" t="n">
        <x:v>259566</x:v>
      </x:c>
      <x:c r="J368" s="8" t="n">
        <x:v>124314</x:v>
      </x:c>
      <x:c r="K368" s="8" t="n">
        <x:v>104643</x:v>
      </x:c>
      <x:c r="L368" s="8" t="n">
        <x:v>13310</x:v>
      </x:c>
      <x:c r="M368" s="8" t="n">
        <x:v>17299</x:v>
      </x:c>
      <x:c r="N368" s="8" t="n">
        <x:v>0</x:v>
      </x:c>
      <x:c r="O368" s="8" t="n">
        <x:v>0</x:v>
      </x:c>
      <x:c r="P368" s="8" t="n">
        <x:v>0</x:v>
      </x:c>
      <x:c r="Q368" s="8" t="n">
        <x:v>0</x:v>
      </x:c>
      <x:c r="R368" s="8" t="n">
        <x:v>0</x:v>
      </x:c>
      <x:c r="S368" s="8" t="n">
        <x:v>2121</x:v>
      </x:c>
      <x:c r="T368" s="8" t="n">
        <x:v>707</x:v>
      </x:c>
      <x:c r="U368" s="2" t="str">
        <x:v>2026年9月4日現在</x:v>
      </x:c>
      <x:c r="V368" s="2" t="str">
        <x:v>2026-09-11</x:v>
      </x:c>
      <x:c r="W368" s="2" t="str">
        <x:v>https://www.e-stat.go.jp/stat-search/file-download?statInfId=000040251292&amp;fileKind=0</x:v>
      </x:c>
      <x:c r="X368" s="2" t="str">
        <x:v>海上出入貨物!223行、コンテナ個数!43行</x:v>
      </x:c>
      <x:c r="Y368" s="2" t="str">
        <x:v>取得済</x:v>
      </x:c>
      <x:c r="Z368" s="9" t="n">
        <x:f>IF(AND(ISNUMBER(E368),COUNTIFS($A$2:$A$477,EDATE(A368,-12),$B$2:$B$477,B368,$E$2:$E$477,"&gt;0")=1),E368/SUMIFS($E$2:$E$477,$A$2:$A$477,EDATE(A368,-12),$B$2:$B$477,B368)-1,"")</x:f>
        <x:v>0.12257875496004145</x:v>
      </x:c>
      <x:c r="AA368" s="10" t="n">
        <x:f>IF(COUNTIFS($A$2:$A$477,"&gt;="&amp;EDATE(A368,-2),$A$2:$A$477,"&lt;="&amp;A368,$B$2:$B$477,B368,$E$2:$E$477,"&gt;=0")=3,SUMIFS($E$2:$E$477,$A$2:$A$477,"&gt;="&amp;EDATE(A368,-2),$A$2:$A$477,"&lt;="&amp;A368,$B$2:$B$477,B368)/3,"")</x:f>
        <x:v>2657053.6666666665</x:v>
      </x:c>
      <x:c r="AB368" s="9" t="n">
        <x:f>IF(AND(ISNUMBER(J368),COUNTIFS($A$2:$A$477,EDATE(A368,-12),$B$2:$B$477,B368,$J$2:$J$477,"&gt;0")=1),J368/SUMIFS($J$2:$J$477,$A$2:$A$477,EDATE(A368,-12),$B$2:$B$477,B368)-1,"")</x:f>
        <x:v>0.046097142280117076</x:v>
      </x:c>
    </x:row>
    <x:row r="369" ht="21" customHeight="1">
      <x:c r="A369" s="7" t="n">
        <x:v>45778</x:v>
      </x:c>
      <x:c r="B369" s="2" t="str">
        <x:v>清水</x:v>
      </x:c>
      <x:c r="C369" s="2" t="str">
        <x:v>静岡県</x:v>
      </x:c>
      <x:c r="D369" s="8" t="n">
        <x:v>1047510</x:v>
      </x:c>
      <x:c r="E369" s="8" t="n">
        <x:v>289338</x:v>
      </x:c>
      <x:c r="F369" s="8" t="n">
        <x:v>323467</x:v>
      </x:c>
      <x:c r="G369" s="8" t="n">
        <x:v>140276</x:v>
      </x:c>
      <x:c r="H369" s="8" t="n">
        <x:v>294429</x:v>
      </x:c>
      <x:c r="I369" s="8" t="n">
        <x:v>44564</x:v>
      </x:c>
      <x:c r="J369" s="8" t="n">
        <x:v>18011</x:v>
      </x:c>
      <x:c r="K369" s="8" t="n">
        <x:v>17947</x:v>
      </x:c>
      <x:c r="L369" s="8" t="n">
        <x:v>3745</x:v>
      </x:c>
      <x:c r="M369" s="8" t="n">
        <x:v>4861</x:v>
      </x:c>
      <x:c r="N369" s="8" t="n">
        <x:v>0</x:v>
      </x:c>
      <x:c r="O369" s="8" t="n">
        <x:v>0</x:v>
      </x:c>
      <x:c r="P369" s="8" t="n">
        <x:v>0</x:v>
      </x:c>
      <x:c r="Q369" s="8" t="n">
        <x:v>0</x:v>
      </x:c>
      <x:c r="R369" s="8" t="n">
        <x:v>0</x:v>
      </x:c>
      <x:c r="S369" s="8" t="n">
        <x:v>436</x:v>
      </x:c>
      <x:c r="T369" s="8" t="n">
        <x:v>144</x:v>
      </x:c>
      <x:c r="U369" s="2" t="str">
        <x:v>2026年9月4日現在</x:v>
      </x:c>
      <x:c r="V369" s="2" t="str">
        <x:v>2026-09-11</x:v>
      </x:c>
      <x:c r="W369" s="2" t="str">
        <x:v>https://www.e-stat.go.jp/stat-search/file-download?statInfId=000040251292&amp;fileKind=0</x:v>
      </x:c>
      <x:c r="X369" s="2" t="str">
        <x:v>海上出入貨物!313行、コンテナ個数!58行</x:v>
      </x:c>
      <x:c r="Y369" s="2" t="str">
        <x:v>取得済</x:v>
      </x:c>
      <x:c r="Z369" s="9" t="n">
        <x:f>IF(AND(ISNUMBER(E369),COUNTIFS($A$2:$A$477,EDATE(A369,-12),$B$2:$B$477,B369,$E$2:$E$477,"&gt;0")=1),E369/SUMIFS($E$2:$E$477,$A$2:$A$477,EDATE(A369,-12),$B$2:$B$477,B369)-1,"")</x:f>
        <x:v>0.10618433729412313</x:v>
      </x:c>
      <x:c r="AA369" s="10" t="n">
        <x:f>IF(COUNTIFS($A$2:$A$477,"&gt;="&amp;EDATE(A369,-2),$A$2:$A$477,"&lt;="&amp;A369,$B$2:$B$477,B369,$E$2:$E$477,"&gt;=0")=3,SUMIFS($E$2:$E$477,$A$2:$A$477,"&gt;="&amp;EDATE(A369,-2),$A$2:$A$477,"&lt;="&amp;A369,$B$2:$B$477,B369)/3,"")</x:f>
        <x:v>273810.3333333333</x:v>
      </x:c>
      <x:c r="AB369" s="9" t="n">
        <x:f>IF(AND(ISNUMBER(J369),COUNTIFS($A$2:$A$477,EDATE(A369,-12),$B$2:$B$477,B369,$J$2:$J$477,"&gt;0")=1),J369/SUMIFS($J$2:$J$477,$A$2:$A$477,EDATE(A369,-12),$B$2:$B$477,B369)-1,"")</x:f>
        <x:v>0.04453981325755385</x:v>
      </x:c>
    </x:row>
    <x:row r="370" ht="21" customHeight="1">
      <x:c r="A370" s="7" t="n">
        <x:v>45778</x:v>
      </x:c>
      <x:c r="B370" s="2" t="str">
        <x:v>博多</x:v>
      </x:c>
      <x:c r="C370" s="2" t="str">
        <x:v>福岡県</x:v>
      </x:c>
      <x:c r="D370" s="8" t="n">
        <x:v>3000274</x:v>
      </x:c>
      <x:c r="E370" s="8" t="n">
        <x:v>727829</x:v>
      </x:c>
      <x:c r="F370" s="8" t="n">
        <x:v>875491</x:v>
      </x:c>
      <x:c r="G370" s="8" t="n">
        <x:v>509123</x:v>
      </x:c>
      <x:c r="H370" s="8" t="n">
        <x:v>887831</x:v>
      </x:c>
      <x:c r="I370" s="8" t="n">
        <x:v>86474</x:v>
      </x:c>
      <x:c r="J370" s="8" t="n">
        <x:v>37731</x:v>
      </x:c>
      <x:c r="K370" s="8" t="n">
        <x:v>37517</x:v>
      </x:c>
      <x:c r="L370" s="8" t="n">
        <x:v>5070</x:v>
      </x:c>
      <x:c r="M370" s="8" t="n">
        <x:v>6156</x:v>
      </x:c>
      <x:c r="N370" s="8" t="n">
        <x:v>0</x:v>
      </x:c>
      <x:c r="O370" s="8" t="n">
        <x:v>0</x:v>
      </x:c>
      <x:c r="P370" s="8" t="n">
        <x:v>1293</x:v>
      </x:c>
      <x:c r="Q370" s="8" t="n">
        <x:v>1392</x:v>
      </x:c>
      <x:c r="R370" s="8" t="n">
        <x:v>2685</x:v>
      </x:c>
      <x:c r="S370" s="8" t="n">
        <x:v>1600</x:v>
      </x:c>
      <x:c r="T370" s="8" t="n">
        <x:v>240</x:v>
      </x:c>
      <x:c r="U370" s="2" t="str">
        <x:v>2026年9月4日現在</x:v>
      </x:c>
      <x:c r="V370" s="2" t="str">
        <x:v>2026-09-11</x:v>
      </x:c>
      <x:c r="W370" s="2" t="str">
        <x:v>https://www.e-stat.go.jp/stat-search/file-download?statInfId=000040251292&amp;fileKind=0</x:v>
      </x:c>
      <x:c r="X370" s="2" t="str">
        <x:v>海上出入貨物!721行、コンテナ個数!126行</x:v>
      </x:c>
      <x:c r="Y370" s="2" t="str">
        <x:v>取得済</x:v>
      </x:c>
      <x:c r="Z370" s="9" t="n">
        <x:f>IF(AND(ISNUMBER(E370),COUNTIFS($A$2:$A$477,EDATE(A370,-12),$B$2:$B$477,B370,$E$2:$E$477,"&gt;0")=1),E370/SUMIFS($E$2:$E$477,$A$2:$A$477,EDATE(A370,-12),$B$2:$B$477,B370)-1,"")</x:f>
        <x:v>-0.01101590355683102</x:v>
      </x:c>
      <x:c r="AA370" s="10" t="n">
        <x:f>IF(COUNTIFS($A$2:$A$477,"&gt;="&amp;EDATE(A370,-2),$A$2:$A$477,"&lt;="&amp;A370,$B$2:$B$477,B370,$E$2:$E$477,"&gt;=0")=3,SUMIFS($E$2:$E$477,$A$2:$A$477,"&gt;="&amp;EDATE(A370,-2),$A$2:$A$477,"&lt;="&amp;A370,$B$2:$B$477,B370)/3,"")</x:f>
        <x:v>755226.3333333334</x:v>
      </x:c>
      <x:c r="AB370" s="9" t="n">
        <x:f>IF(AND(ISNUMBER(J370),COUNTIFS($A$2:$A$477,EDATE(A370,-12),$B$2:$B$477,B370,$J$2:$J$477,"&gt;0")=1),J370/SUMIFS($J$2:$J$477,$A$2:$A$477,EDATE(A370,-12),$B$2:$B$477,B370)-1,"")</x:f>
        <x:v>0.06771747127737848</x:v>
      </x:c>
    </x:row>
    <x:row r="371" ht="21" customHeight="1">
      <x:c r="A371" s="7" t="n">
        <x:v>45778</x:v>
      </x:c>
      <x:c r="B371" s="2" t="str">
        <x:v>熊本</x:v>
      </x:c>
      <x:c r="C371" s="2" t="str">
        <x:v>熊本県</x:v>
      </x:c>
      <x:c r="D371" s="8" t="n">
        <x:v>305442</x:v>
      </x:c>
      <x:c r="E371" s="8" t="n">
        <x:v>1751</x:v>
      </x:c>
      <x:c r="F371" s="8" t="n">
        <x:v>3662</x:v>
      </x:c>
      <x:c r="G371" s="8" t="n">
        <x:v>128979</x:v>
      </x:c>
      <x:c r="H371" s="8" t="n">
        <x:v>171050</x:v>
      </x:c>
      <x:c r="I371" s="8" t="n">
        <x:v>1064</x:v>
      </x:c>
      <x:c r="J371" s="8" t="n">
        <x:v>270</x:v>
      </x:c>
      <x:c r="K371" s="8" t="n">
        <x:v>207</x:v>
      </x:c>
      <x:c r="L371" s="8" t="n">
        <x:v>291</x:v>
      </x:c>
      <x:c r="M371" s="8" t="n">
        <x:v>296</x:v>
      </x:c>
      <x:c r="N371" s="8" t="n">
        <x:v>0</x:v>
      </x:c>
      <x:c r="O371" s="8" t="n">
        <x:v>0</x:v>
      </x:c>
      <x:c r="P371" s="8" t="n">
        <x:v>587</x:v>
      </x:c>
      <x:c r="Q371" s="8" t="n">
        <x:v>564</x:v>
      </x:c>
      <x:c r="R371" s="8" t="n">
        <x:v>1151</x:v>
      </x:c>
      <x:c r="S371" s="8" t="n">
        <x:v>36</x:v>
      </x:c>
      <x:c r="T371" s="8" t="n">
        <x:v>7</x:v>
      </x:c>
      <x:c r="U371" s="2" t="str">
        <x:v>2026年9月4日現在</x:v>
      </x:c>
      <x:c r="V371" s="2" t="str">
        <x:v>2026-09-11</x:v>
      </x:c>
      <x:c r="W371" s="2" t="str">
        <x:v>https://www.e-stat.go.jp/stat-search/file-download?statInfId=000040251292&amp;fileKind=0</x:v>
      </x:c>
      <x:c r="X371" s="2" t="str">
        <x:v>海上出入貨物!829行、コンテナ個数!144行</x:v>
      </x:c>
      <x:c r="Y371" s="2" t="str">
        <x:v>取得済</x:v>
      </x:c>
      <x:c r="Z371" s="9" t="n">
        <x:f>IF(AND(ISNUMBER(E371),COUNTIFS($A$2:$A$477,EDATE(A371,-12),$B$2:$B$477,B371,$E$2:$E$477,"&gt;0")=1),E371/SUMIFS($E$2:$E$477,$A$2:$A$477,EDATE(A371,-12),$B$2:$B$477,B371)-1,"")</x:f>
        <x:v>-0.4292698826597132</x:v>
      </x:c>
      <x:c r="AA371" s="10" t="n">
        <x:f>IF(COUNTIFS($A$2:$A$477,"&gt;="&amp;EDATE(A371,-2),$A$2:$A$477,"&lt;="&amp;A371,$B$2:$B$477,B371,$E$2:$E$477,"&gt;=0")=3,SUMIFS($E$2:$E$477,$A$2:$A$477,"&gt;="&amp;EDATE(A371,-2),$A$2:$A$477,"&lt;="&amp;A371,$B$2:$B$477,B371)/3,"")</x:f>
        <x:v>1933.3333333333333</x:v>
      </x:c>
      <x:c r="AB371" s="9" t="n">
        <x:f>IF(AND(ISNUMBER(J371),COUNTIFS($A$2:$A$477,EDATE(A371,-12),$B$2:$B$477,B371,$J$2:$J$477,"&gt;0")=1),J371/SUMIFS($J$2:$J$477,$A$2:$A$477,EDATE(A371,-12),$B$2:$B$477,B371)-1,"")</x:f>
        <x:v>0.23853211009174302</x:v>
      </x:c>
    </x:row>
    <x:row r="372" ht="21" customHeight="1">
      <x:c r="A372" s="7" t="n">
        <x:v>45778</x:v>
      </x:c>
      <x:c r="B372" s="2" t="str">
        <x:v>八代</x:v>
      </x:c>
      <x:c r="C372" s="2" t="str">
        <x:v>熊本県</x:v>
      </x:c>
      <x:c r="D372" s="8" t="n">
        <x:v>359431</x:v>
      </x:c>
      <x:c r="E372" s="8" t="n">
        <x:v>36919</x:v>
      </x:c>
      <x:c r="F372" s="8" t="n">
        <x:v>172131</x:v>
      </x:c>
      <x:c r="G372" s="8" t="n">
        <x:v>23339</x:v>
      </x:c>
      <x:c r="H372" s="8" t="n">
        <x:v>127042</x:v>
      </x:c>
      <x:c r="I372" s="8" t="n">
        <x:v>1774</x:v>
      </x:c>
      <x:c r="J372" s="8" t="n">
        <x:v>791</x:v>
      </x:c>
      <x:c r="K372" s="8" t="n">
        <x:v>775</x:v>
      </x:c>
      <x:c r="L372" s="8" t="n">
        <x:v>47</x:v>
      </x:c>
      <x:c r="M372" s="8" t="n">
        <x:v>161</x:v>
      </x:c>
      <x:c r="N372" s="8" t="n">
        <x:v>0</x:v>
      </x:c>
      <x:c r="O372" s="8" t="n">
        <x:v>0</x:v>
      </x:c>
      <x:c r="P372" s="8" t="n">
        <x:v>0</x:v>
      </x:c>
      <x:c r="Q372" s="8" t="n">
        <x:v>0</x:v>
      </x:c>
      <x:c r="R372" s="8" t="n">
        <x:v>0</x:v>
      </x:c>
      <x:c r="S372" s="8" t="n">
        <x:v>208</x:v>
      </x:c>
      <x:c r="T372" s="8" t="n">
        <x:v>43</x:v>
      </x:c>
      <x:c r="U372" s="2" t="str">
        <x:v>2026年9月4日現在</x:v>
      </x:c>
      <x:c r="V372" s="2" t="str">
        <x:v>2026-09-11</x:v>
      </x:c>
      <x:c r="W372" s="2" t="str">
        <x:v>https://www.e-stat.go.jp/stat-search/file-download?statInfId=000040251292&amp;fileKind=0</x:v>
      </x:c>
      <x:c r="X372" s="2" t="str">
        <x:v>海上出入貨物!817行、コンテナ個数!142行</x:v>
      </x:c>
      <x:c r="Y372" s="2" t="str">
        <x:v>取得済</x:v>
      </x:c>
      <x:c r="Z372" s="9" t="n">
        <x:f>IF(AND(ISNUMBER(E372),COUNTIFS($A$2:$A$477,EDATE(A372,-12),$B$2:$B$477,B372,$E$2:$E$477,"&gt;0")=1),E372/SUMIFS($E$2:$E$477,$A$2:$A$477,EDATE(A372,-12),$B$2:$B$477,B372)-1,"")</x:f>
        <x:v>0.6188283784968869</x:v>
      </x:c>
      <x:c r="AA372" s="10" t="n">
        <x:f>IF(COUNTIFS($A$2:$A$477,"&gt;="&amp;EDATE(A372,-2),$A$2:$A$477,"&lt;="&amp;A372,$B$2:$B$477,B372,$E$2:$E$477,"&gt;=0")=3,SUMIFS($E$2:$E$477,$A$2:$A$477,"&gt;="&amp;EDATE(A372,-2),$A$2:$A$477,"&lt;="&amp;A372,$B$2:$B$477,B372)/3,"")</x:f>
        <x:v>35797.333333333336</x:v>
      </x:c>
      <x:c r="AB372" s="9" t="n">
        <x:f>IF(AND(ISNUMBER(J372),COUNTIFS($A$2:$A$477,EDATE(A372,-12),$B$2:$B$477,B372,$J$2:$J$477,"&gt;0")=1),J372/SUMIFS($J$2:$J$477,$A$2:$A$477,EDATE(A372,-12),$B$2:$B$477,B372)-1,"")</x:f>
        <x:v>-0.1467098166127292</x:v>
      </x:c>
    </x:row>
    <x:row r="373" ht="21" customHeight="1">
      <x:c r="A373" s="7" t="n">
        <x:v>45809</x:v>
      </x:c>
      <x:c r="B373" s="2" t="str">
        <x:v>仙台塩釜</x:v>
      </x:c>
      <x:c r="C373" s="2" t="str">
        <x:v>宮城県</x:v>
      </x:c>
      <x:c r="D373" s="8" t="n">
        <x:v>3032350</x:v>
      </x:c>
      <x:c r="E373" s="8" t="n">
        <x:v>128840</x:v>
      </x:c>
      <x:c r="F373" s="8" t="n">
        <x:v>544017</x:v>
      </x:c>
      <x:c r="G373" s="8" t="n">
        <x:v>1011254</x:v>
      </x:c>
      <x:c r="H373" s="8" t="n">
        <x:v>1348239</x:v>
      </x:c>
      <x:c r="I373" s="8" t="n">
        <x:v>24379</x:v>
      </x:c>
      <x:c r="J373" s="8" t="n">
        <x:v>6136</x:v>
      </x:c>
      <x:c r="K373" s="8" t="n">
        <x:v>6447</x:v>
      </x:c>
      <x:c r="L373" s="8" t="n">
        <x:v>5983</x:v>
      </x:c>
      <x:c r="M373" s="8" t="n">
        <x:v>5813</x:v>
      </x:c>
      <x:c r="N373" s="8" t="n">
        <x:v>0</x:v>
      </x:c>
      <x:c r="O373" s="8" t="n">
        <x:v>0</x:v>
      </x:c>
      <x:c r="P373" s="8" t="n">
        <x:v>468</x:v>
      </x:c>
      <x:c r="Q373" s="8" t="n">
        <x:v>643</x:v>
      </x:c>
      <x:c r="R373" s="8" t="n">
        <x:v>1111</x:v>
      </x:c>
      <x:c r="S373" s="8" t="n">
        <x:v>2004</x:v>
      </x:c>
      <x:c r="T373" s="8" t="n">
        <x:v>71</x:v>
      </x:c>
      <x:c r="U373" s="2" t="str">
        <x:v>2026年9月4日現在</x:v>
      </x:c>
      <x:c r="V373" s="2" t="str">
        <x:v>2026-09-11</x:v>
      </x:c>
      <x:c r="W373" s="2" t="str">
        <x:v>https://www.e-stat.go.jp/stat-search/file-download?statInfId=000040251292&amp;fileKind=0</x:v>
      </x:c>
      <x:c r="X373" s="2" t="str">
        <x:v>海上出入貨物!145行、コンテナ個数!30行</x:v>
      </x:c>
      <x:c r="Y373" s="2" t="str">
        <x:v>取得済</x:v>
      </x:c>
      <x:c r="Z373" s="9" t="n">
        <x:f>IF(AND(ISNUMBER(E373),COUNTIFS($A$2:$A$477,EDATE(A373,-12),$B$2:$B$477,B373,$E$2:$E$477,"&gt;0")=1),E373/SUMIFS($E$2:$E$477,$A$2:$A$477,EDATE(A373,-12),$B$2:$B$477,B373)-1,"")</x:f>
        <x:v>0.31174913459580544</x:v>
      </x:c>
      <x:c r="AA373" s="10" t="n">
        <x:f>IF(COUNTIFS($A$2:$A$477,"&gt;="&amp;EDATE(A373,-2),$A$2:$A$477,"&lt;="&amp;A373,$B$2:$B$477,B373,$E$2:$E$477,"&gt;=0")=3,SUMIFS($E$2:$E$477,$A$2:$A$477,"&gt;="&amp;EDATE(A373,-2),$A$2:$A$477,"&lt;="&amp;A373,$B$2:$B$477,B373)/3,"")</x:f>
        <x:v>135704.66666666666</x:v>
      </x:c>
      <x:c r="AB373" s="9" t="n">
        <x:f>IF(AND(ISNUMBER(J373),COUNTIFS($A$2:$A$477,EDATE(A373,-12),$B$2:$B$477,B373,$J$2:$J$477,"&gt;0")=1),J373/SUMIFS($J$2:$J$477,$A$2:$A$477,EDATE(A373,-12),$B$2:$B$477,B373)-1,"")</x:f>
        <x:v>0.38760741745816363</x:v>
      </x:c>
    </x:row>
    <x:row r="374" ht="21" customHeight="1">
      <x:c r="A374" s="7" t="n">
        <x:v>45809</x:v>
      </x:c>
      <x:c r="B374" s="2" t="str">
        <x:v>東京</x:v>
      </x:c>
      <x:c r="C374" s="2" t="str">
        <x:v>東京都</x:v>
      </x:c>
      <x:c r="D374" s="8" t="n">
        <x:v>7075244</x:v>
      </x:c>
      <x:c r="E374" s="8" t="n">
        <x:v>937928</x:v>
      </x:c>
      <x:c r="F374" s="8" t="n">
        <x:v>3006918</x:v>
      </x:c>
      <x:c r="G374" s="8" t="n">
        <x:v>1141931</x:v>
      </x:c>
      <x:c r="H374" s="8" t="n">
        <x:v>1988467</x:v>
      </x:c>
      <x:c r="I374" s="8" t="n">
        <x:v>424011</x:v>
      </x:c>
      <x:c r="J374" s="8" t="n">
        <x:v>164246</x:v>
      </x:c>
      <x:c r="K374" s="8" t="n">
        <x:v>204259</x:v>
      </x:c>
      <x:c r="L374" s="8" t="n">
        <x:v>43016</x:v>
      </x:c>
      <x:c r="M374" s="8" t="n">
        <x:v>12490</x:v>
      </x:c>
      <x:c r="N374" s="8" t="n">
        <x:v>0</x:v>
      </x:c>
      <x:c r="O374" s="8" t="n">
        <x:v>0</x:v>
      </x:c>
      <x:c r="P374" s="8" t="n">
        <x:v>438</x:v>
      </x:c>
      <x:c r="Q374" s="8" t="n">
        <x:v>244</x:v>
      </x:c>
      <x:c r="R374" s="8" t="n">
        <x:v>682</x:v>
      </x:c>
      <x:c r="S374" s="8" t="n">
        <x:v>1582</x:v>
      </x:c>
      <x:c r="T374" s="8" t="n">
        <x:v>402</x:v>
      </x:c>
      <x:c r="U374" s="2" t="str">
        <x:v>2026年9月4日現在</x:v>
      </x:c>
      <x:c r="V374" s="2" t="str">
        <x:v>2026-09-11</x:v>
      </x:c>
      <x:c r="W374" s="2" t="str">
        <x:v>https://www.e-stat.go.jp/stat-search/file-download?statInfId=000040251292&amp;fileKind=0</x:v>
      </x:c>
      <x:c r="X374" s="2" t="str">
        <x:v>海上出入貨物!211行、コンテナ個数!41行</x:v>
      </x:c>
      <x:c r="Y374" s="2" t="str">
        <x:v>取得済</x:v>
      </x:c>
      <x:c r="Z374" s="9" t="n">
        <x:f>IF(AND(ISNUMBER(E374),COUNTIFS($A$2:$A$477,EDATE(A374,-12),$B$2:$B$477,B374,$E$2:$E$477,"&gt;0")=1),E374/SUMIFS($E$2:$E$477,$A$2:$A$477,EDATE(A374,-12),$B$2:$B$477,B374)-1,"")</x:f>
        <x:v>-0.055876662660377385</x:v>
      </x:c>
      <x:c r="AA374" s="10" t="n">
        <x:f>IF(COUNTIFS($A$2:$A$477,"&gt;="&amp;EDATE(A374,-2),$A$2:$A$477,"&lt;="&amp;A374,$B$2:$B$477,B374,$E$2:$E$477,"&gt;=0")=3,SUMIFS($E$2:$E$477,$A$2:$A$477,"&gt;="&amp;EDATE(A374,-2),$A$2:$A$477,"&lt;="&amp;A374,$B$2:$B$477,B374)/3,"")</x:f>
        <x:v>921675</x:v>
      </x:c>
      <x:c r="AB374" s="9" t="n">
        <x:f>IF(AND(ISNUMBER(J374),COUNTIFS($A$2:$A$477,EDATE(A374,-12),$B$2:$B$477,B374,$J$2:$J$477,"&gt;0")=1),J374/SUMIFS($J$2:$J$477,$A$2:$A$477,EDATE(A374,-12),$B$2:$B$477,B374)-1,"")</x:f>
        <x:v>0.0042801413669548705</x:v>
      </x:c>
    </x:row>
    <x:row r="375" ht="21" customHeight="1">
      <x:c r="A375" s="7" t="n">
        <x:v>45809</x:v>
      </x:c>
      <x:c r="B375" s="2" t="str">
        <x:v>横浜</x:v>
      </x:c>
      <x:c r="C375" s="2" t="str">
        <x:v>神奈川県</x:v>
      </x:c>
      <x:c r="D375" s="8" t="n">
        <x:v>8586080</x:v>
      </x:c>
      <x:c r="E375" s="8" t="n">
        <x:v>2779405</x:v>
      </x:c>
      <x:c r="F375" s="8" t="n">
        <x:v>3321353</x:v>
      </x:c>
      <x:c r="G375" s="8" t="n">
        <x:v>1004725</x:v>
      </x:c>
      <x:c r="H375" s="8" t="n">
        <x:v>1480597</x:v>
      </x:c>
      <x:c r="I375" s="8" t="n">
        <x:v>279248</x:v>
      </x:c>
      <x:c r="J375" s="8" t="n">
        <x:v>137301</x:v>
      </x:c>
      <x:c r="K375" s="8" t="n">
        <x:v>107837</x:v>
      </x:c>
      <x:c r="L375" s="8" t="n">
        <x:v>14280</x:v>
      </x:c>
      <x:c r="M375" s="8" t="n">
        <x:v>19830</x:v>
      </x:c>
      <x:c r="N375" s="8" t="n">
        <x:v>0</x:v>
      </x:c>
      <x:c r="O375" s="8" t="n">
        <x:v>0</x:v>
      </x:c>
      <x:c r="P375" s="8" t="n">
        <x:v>0</x:v>
      </x:c>
      <x:c r="Q375" s="8" t="n">
        <x:v>0</x:v>
      </x:c>
      <x:c r="R375" s="8" t="n">
        <x:v>0</x:v>
      </x:c>
      <x:c r="S375" s="8" t="n">
        <x:v>2086</x:v>
      </x:c>
      <x:c r="T375" s="8" t="n">
        <x:v>713</x:v>
      </x:c>
      <x:c r="U375" s="2" t="str">
        <x:v>2026年9月4日現在</x:v>
      </x:c>
      <x:c r="V375" s="2" t="str">
        <x:v>2026-09-11</x:v>
      </x:c>
      <x:c r="W375" s="2" t="str">
        <x:v>https://www.e-stat.go.jp/stat-search/file-download?statInfId=000040251292&amp;fileKind=0</x:v>
      </x:c>
      <x:c r="X375" s="2" t="str">
        <x:v>海上出入貨物!223行、コンテナ個数!43行</x:v>
      </x:c>
      <x:c r="Y375" s="2" t="str">
        <x:v>取得済</x:v>
      </x:c>
      <x:c r="Z375" s="9" t="n">
        <x:f>IF(AND(ISNUMBER(E375),COUNTIFS($A$2:$A$477,EDATE(A375,-12),$B$2:$B$477,B375,$E$2:$E$477,"&gt;0")=1),E375/SUMIFS($E$2:$E$477,$A$2:$A$477,EDATE(A375,-12),$B$2:$B$477,B375)-1,"")</x:f>
        <x:v>0.11870017850710113</x:v>
      </x:c>
      <x:c r="AA375" s="10" t="n">
        <x:f>IF(COUNTIFS($A$2:$A$477,"&gt;="&amp;EDATE(A375,-2),$A$2:$A$477,"&lt;="&amp;A375,$B$2:$B$477,B375,$E$2:$E$477,"&gt;=0")=3,SUMIFS($E$2:$E$477,$A$2:$A$477,"&gt;="&amp;EDATE(A375,-2),$A$2:$A$477,"&lt;="&amp;A375,$B$2:$B$477,B375)/3,"")</x:f>
        <x:v>2654908.6666666665</x:v>
      </x:c>
      <x:c r="AB375" s="9" t="n">
        <x:f>IF(AND(ISNUMBER(J375),COUNTIFS($A$2:$A$477,EDATE(A375,-12),$B$2:$B$477,B375,$J$2:$J$477,"&gt;0")=1),J375/SUMIFS($J$2:$J$477,$A$2:$A$477,EDATE(A375,-12),$B$2:$B$477,B375)-1,"")</x:f>
        <x:v>0.09159643822547303</x:v>
      </x:c>
    </x:row>
    <x:row r="376" ht="21" customHeight="1">
      <x:c r="A376" s="7" t="n">
        <x:v>45809</x:v>
      </x:c>
      <x:c r="B376" s="2" t="str">
        <x:v>清水</x:v>
      </x:c>
      <x:c r="C376" s="2" t="str">
        <x:v>静岡県</x:v>
      </x:c>
      <x:c r="D376" s="8" t="n">
        <x:v>1207831</x:v>
      </x:c>
      <x:c r="E376" s="8" t="n">
        <x:v>262509</x:v>
      </x:c>
      <x:c r="F376" s="8" t="n">
        <x:v>463914</x:v>
      </x:c>
      <x:c r="G376" s="8" t="n">
        <x:v>154434</x:v>
      </x:c>
      <x:c r="H376" s="8" t="n">
        <x:v>326974</x:v>
      </x:c>
      <x:c r="I376" s="8" t="n">
        <x:v>43948</x:v>
      </x:c>
      <x:c r="J376" s="8" t="n">
        <x:v>17857</x:v>
      </x:c>
      <x:c r="K376" s="8" t="n">
        <x:v>17651</x:v>
      </x:c>
      <x:c r="L376" s="8" t="n">
        <x:v>4646</x:v>
      </x:c>
      <x:c r="M376" s="8" t="n">
        <x:v>3794</x:v>
      </x:c>
      <x:c r="N376" s="8" t="n">
        <x:v>0</x:v>
      </x:c>
      <x:c r="O376" s="8" t="n">
        <x:v>0</x:v>
      </x:c>
      <x:c r="P376" s="8" t="n">
        <x:v>0</x:v>
      </x:c>
      <x:c r="Q376" s="8" t="n">
        <x:v>0</x:v>
      </x:c>
      <x:c r="R376" s="8" t="n">
        <x:v>0</x:v>
      </x:c>
      <x:c r="S376" s="8" t="n">
        <x:v>425</x:v>
      </x:c>
      <x:c r="T376" s="8" t="n">
        <x:v>118</x:v>
      </x:c>
      <x:c r="U376" s="2" t="str">
        <x:v>2026年9月4日現在</x:v>
      </x:c>
      <x:c r="V376" s="2" t="str">
        <x:v>2026-09-11</x:v>
      </x:c>
      <x:c r="W376" s="2" t="str">
        <x:v>https://www.e-stat.go.jp/stat-search/file-download?statInfId=000040251292&amp;fileKind=0</x:v>
      </x:c>
      <x:c r="X376" s="2" t="str">
        <x:v>海上出入貨物!313行、コンテナ個数!58行</x:v>
      </x:c>
      <x:c r="Y376" s="2" t="str">
        <x:v>取得済</x:v>
      </x:c>
      <x:c r="Z376" s="9" t="n">
        <x:f>IF(AND(ISNUMBER(E376),COUNTIFS($A$2:$A$477,EDATE(A376,-12),$B$2:$B$477,B376,$E$2:$E$477,"&gt;0")=1),E376/SUMIFS($E$2:$E$477,$A$2:$A$477,EDATE(A376,-12),$B$2:$B$477,B376)-1,"")</x:f>
        <x:v>0.00191597934406329</x:v>
      </x:c>
      <x:c r="AA376" s="10" t="n">
        <x:f>IF(COUNTIFS($A$2:$A$477,"&gt;="&amp;EDATE(A376,-2),$A$2:$A$477,"&lt;="&amp;A376,$B$2:$B$477,B376,$E$2:$E$477,"&gt;=0")=3,SUMIFS($E$2:$E$477,$A$2:$A$477,"&gt;="&amp;EDATE(A376,-2),$A$2:$A$477,"&lt;="&amp;A376,$B$2:$B$477,B376)/3,"")</x:f>
        <x:v>272266</x:v>
      </x:c>
      <x:c r="AB376" s="9" t="n">
        <x:f>IF(AND(ISNUMBER(J376),COUNTIFS($A$2:$A$477,EDATE(A376,-12),$B$2:$B$477,B376,$J$2:$J$477,"&gt;0")=1),J376/SUMIFS($J$2:$J$477,$A$2:$A$477,EDATE(A376,-12),$B$2:$B$477,B376)-1,"")</x:f>
        <x:v>0.06806627190621439</x:v>
      </x:c>
    </x:row>
    <x:row r="377" ht="21" customHeight="1">
      <x:c r="A377" s="7" t="n">
        <x:v>45809</x:v>
      </x:c>
      <x:c r="B377" s="2" t="str">
        <x:v>博多</x:v>
      </x:c>
      <x:c r="C377" s="2" t="str">
        <x:v>福岡県</x:v>
      </x:c>
      <x:c r="D377" s="8" t="n">
        <x:v>2978522</x:v>
      </x:c>
      <x:c r="E377" s="8" t="n">
        <x:v>779010</x:v>
      </x:c>
      <x:c r="F377" s="8" t="n">
        <x:v>820689</x:v>
      </x:c>
      <x:c r="G377" s="8" t="n">
        <x:v>488015</x:v>
      </x:c>
      <x:c r="H377" s="8" t="n">
        <x:v>890808</x:v>
      </x:c>
      <x:c r="I377" s="8" t="n">
        <x:v>81489</x:v>
      </x:c>
      <x:c r="J377" s="8" t="n">
        <x:v>36525</x:v>
      </x:c>
      <x:c r="K377" s="8" t="n">
        <x:v>34006</x:v>
      </x:c>
      <x:c r="L377" s="8" t="n">
        <x:v>4986</x:v>
      </x:c>
      <x:c r="M377" s="8" t="n">
        <x:v>5972</x:v>
      </x:c>
      <x:c r="N377" s="8" t="n">
        <x:v>0</x:v>
      </x:c>
      <x:c r="O377" s="8" t="n">
        <x:v>0</x:v>
      </x:c>
      <x:c r="P377" s="8" t="n">
        <x:v>1547</x:v>
      </x:c>
      <x:c r="Q377" s="8" t="n">
        <x:v>1666</x:v>
      </x:c>
      <x:c r="R377" s="8" t="n">
        <x:v>3213</x:v>
      </x:c>
      <x:c r="S377" s="8" t="n">
        <x:v>1551</x:v>
      </x:c>
      <x:c r="T377" s="8" t="n">
        <x:v>251</x:v>
      </x:c>
      <x:c r="U377" s="2" t="str">
        <x:v>2026年9月4日現在</x:v>
      </x:c>
      <x:c r="V377" s="2" t="str">
        <x:v>2026-09-11</x:v>
      </x:c>
      <x:c r="W377" s="2" t="str">
        <x:v>https://www.e-stat.go.jp/stat-search/file-download?statInfId=000040251292&amp;fileKind=0</x:v>
      </x:c>
      <x:c r="X377" s="2" t="str">
        <x:v>海上出入貨物!721行、コンテナ個数!126行</x:v>
      </x:c>
      <x:c r="Y377" s="2" t="str">
        <x:v>取得済</x:v>
      </x:c>
      <x:c r="Z377" s="9" t="n">
        <x:f>IF(AND(ISNUMBER(E377),COUNTIFS($A$2:$A$477,EDATE(A377,-12),$B$2:$B$477,B377,$E$2:$E$477,"&gt;0")=1),E377/SUMIFS($E$2:$E$477,$A$2:$A$477,EDATE(A377,-12),$B$2:$B$477,B377)-1,"")</x:f>
        <x:v>0.03991680772331896</x:v>
      </x:c>
      <x:c r="AA377" s="10" t="n">
        <x:f>IF(COUNTIFS($A$2:$A$477,"&gt;="&amp;EDATE(A377,-2),$A$2:$A$477,"&lt;="&amp;A377,$B$2:$B$477,B377,$E$2:$E$477,"&gt;=0")=3,SUMIFS($E$2:$E$477,$A$2:$A$477,"&gt;="&amp;EDATE(A377,-2),$A$2:$A$477,"&lt;="&amp;A377,$B$2:$B$477,B377)/3,"")</x:f>
        <x:v>751615.3333333334</x:v>
      </x:c>
      <x:c r="AB377" s="9" t="n">
        <x:f>IF(AND(ISNUMBER(J377),COUNTIFS($A$2:$A$477,EDATE(A377,-12),$B$2:$B$477,B377,$J$2:$J$477,"&gt;0")=1),J377/SUMIFS($J$2:$J$477,$A$2:$A$477,EDATE(A377,-12),$B$2:$B$477,B377)-1,"")</x:f>
        <x:v>0.07334920215110641</x:v>
      </x:c>
    </x:row>
    <x:row r="378" ht="21" customHeight="1">
      <x:c r="A378" s="7" t="n">
        <x:v>45809</x:v>
      </x:c>
      <x:c r="B378" s="2" t="str">
        <x:v>熊本</x:v>
      </x:c>
      <x:c r="C378" s="2" t="str">
        <x:v>熊本県</x:v>
      </x:c>
      <x:c r="D378" s="8" t="n">
        <x:v>279882</x:v>
      </x:c>
      <x:c r="E378" s="8" t="n">
        <x:v>2167</x:v>
      </x:c>
      <x:c r="F378" s="8" t="n">
        <x:v>8867</x:v>
      </x:c>
      <x:c r="G378" s="8" t="n">
        <x:v>105916</x:v>
      </x:c>
      <x:c r="H378" s="8" t="n">
        <x:v>162932</x:v>
      </x:c>
      <x:c r="I378" s="8" t="n">
        <x:v>1114</x:v>
      </x:c>
      <x:c r="J378" s="8" t="n">
        <x:v>189</x:v>
      </x:c>
      <x:c r="K378" s="8" t="n">
        <x:v>333</x:v>
      </x:c>
      <x:c r="L378" s="8" t="n">
        <x:v>297</x:v>
      </x:c>
      <x:c r="M378" s="8" t="n">
        <x:v>295</x:v>
      </x:c>
      <x:c r="N378" s="8" t="n">
        <x:v>0</x:v>
      </x:c>
      <x:c r="O378" s="8" t="n">
        <x:v>0</x:v>
      </x:c>
      <x:c r="P378" s="8" t="n">
        <x:v>529</x:v>
      </x:c>
      <x:c r="Q378" s="8" t="n">
        <x:v>536</x:v>
      </x:c>
      <x:c r="R378" s="8" t="n">
        <x:v>1065</x:v>
      </x:c>
      <x:c r="S378" s="8" t="n">
        <x:v>39</x:v>
      </x:c>
      <x:c r="T378" s="8" t="n">
        <x:v>8</x:v>
      </x:c>
      <x:c r="U378" s="2" t="str">
        <x:v>2026年9月4日現在</x:v>
      </x:c>
      <x:c r="V378" s="2" t="str">
        <x:v>2026-09-11</x:v>
      </x:c>
      <x:c r="W378" s="2" t="str">
        <x:v>https://www.e-stat.go.jp/stat-search/file-download?statInfId=000040251292&amp;fileKind=0</x:v>
      </x:c>
      <x:c r="X378" s="2" t="str">
        <x:v>海上出入貨物!829行、コンテナ個数!144行</x:v>
      </x:c>
      <x:c r="Y378" s="2" t="str">
        <x:v>取得済</x:v>
      </x:c>
      <x:c r="Z378" s="9" t="n">
        <x:f>IF(AND(ISNUMBER(E378),COUNTIFS($A$2:$A$477,EDATE(A378,-12),$B$2:$B$477,B378,$E$2:$E$477,"&gt;0")=1),E378/SUMIFS($E$2:$E$477,$A$2:$A$477,EDATE(A378,-12),$B$2:$B$477,B378)-1,"")</x:f>
        <x:v>-0.08022071307300505</x:v>
      </x:c>
      <x:c r="AA378" s="10" t="n">
        <x:f>IF(COUNTIFS($A$2:$A$477,"&gt;="&amp;EDATE(A378,-2),$A$2:$A$477,"&lt;="&amp;A378,$B$2:$B$477,B378,$E$2:$E$477,"&gt;=0")=3,SUMIFS($E$2:$E$477,$A$2:$A$477,"&gt;="&amp;EDATE(A378,-2),$A$2:$A$477,"&lt;="&amp;A378,$B$2:$B$477,B378)/3,"")</x:f>
        <x:v>2099.3333333333335</x:v>
      </x:c>
      <x:c r="AB378" s="9" t="n">
        <x:f>IF(AND(ISNUMBER(J378),COUNTIFS($A$2:$A$477,EDATE(A378,-12),$B$2:$B$477,B378,$J$2:$J$477,"&gt;0")=1),J378/SUMIFS($J$2:$J$477,$A$2:$A$477,EDATE(A378,-12),$B$2:$B$477,B378)-1,"")</x:f>
        <x:v>0.15243902439024382</x:v>
      </x:c>
    </x:row>
    <x:row r="379" ht="21" customHeight="1">
      <x:c r="A379" s="7" t="n">
        <x:v>45809</x:v>
      </x:c>
      <x:c r="B379" s="2" t="str">
        <x:v>八代</x:v>
      </x:c>
      <x:c r="C379" s="2" t="str">
        <x:v>熊本県</x:v>
      </x:c>
      <x:c r="D379" s="8" t="n">
        <x:v>261563</x:v>
      </x:c>
      <x:c r="E379" s="8" t="n">
        <x:v>33911</x:v>
      </x:c>
      <x:c r="F379" s="8" t="n">
        <x:v>71631</x:v>
      </x:c>
      <x:c r="G379" s="8" t="n">
        <x:v>17893</x:v>
      </x:c>
      <x:c r="H379" s="8" t="n">
        <x:v>138128</x:v>
      </x:c>
      <x:c r="I379" s="8" t="n">
        <x:v>2297</x:v>
      </x:c>
      <x:c r="J379" s="8" t="n">
        <x:v>916</x:v>
      </x:c>
      <x:c r="K379" s="8" t="n">
        <x:v>886</x:v>
      </x:c>
      <x:c r="L379" s="8" t="n">
        <x:v>252</x:v>
      </x:c>
      <x:c r="M379" s="8" t="n">
        <x:v>243</x:v>
      </x:c>
      <x:c r="N379" s="8" t="n">
        <x:v>0</x:v>
      </x:c>
      <x:c r="O379" s="8" t="n">
        <x:v>0</x:v>
      </x:c>
      <x:c r="P379" s="8" t="n">
        <x:v>0</x:v>
      </x:c>
      <x:c r="Q379" s="8" t="n">
        <x:v>0</x:v>
      </x:c>
      <x:c r="R379" s="8" t="n">
        <x:v>0</x:v>
      </x:c>
      <x:c r="S379" s="8" t="n">
        <x:v>201</x:v>
      </x:c>
      <x:c r="T379" s="8" t="n">
        <x:v>33</x:v>
      </x:c>
      <x:c r="U379" s="2" t="str">
        <x:v>2026年9月4日現在</x:v>
      </x:c>
      <x:c r="V379" s="2" t="str">
        <x:v>2026-09-11</x:v>
      </x:c>
      <x:c r="W379" s="2" t="str">
        <x:v>https://www.e-stat.go.jp/stat-search/file-download?statInfId=000040251292&amp;fileKind=0</x:v>
      </x:c>
      <x:c r="X379" s="2" t="str">
        <x:v>海上出入貨物!817行、コンテナ個数!142行</x:v>
      </x:c>
      <x:c r="Y379" s="2" t="str">
        <x:v>取得済</x:v>
      </x:c>
      <x:c r="Z379" s="9" t="n">
        <x:f>IF(AND(ISNUMBER(E379),COUNTIFS($A$2:$A$477,EDATE(A379,-12),$B$2:$B$477,B379,$E$2:$E$477,"&gt;0")=1),E379/SUMIFS($E$2:$E$477,$A$2:$A$477,EDATE(A379,-12),$B$2:$B$477,B379)-1,"")</x:f>
        <x:v>0.37058443133133934</x:v>
      </x:c>
      <x:c r="AA379" s="10" t="n">
        <x:f>IF(COUNTIFS($A$2:$A$477,"&gt;="&amp;EDATE(A379,-2),$A$2:$A$477,"&lt;="&amp;A379,$B$2:$B$477,B379,$E$2:$E$477,"&gt;=0")=3,SUMIFS($E$2:$E$477,$A$2:$A$477,"&gt;="&amp;EDATE(A379,-2),$A$2:$A$477,"&lt;="&amp;A379,$B$2:$B$477,B379)/3,"")</x:f>
        <x:v>36639.666666666664</x:v>
      </x:c>
      <x:c r="AB379" s="9" t="n">
        <x:f>IF(AND(ISNUMBER(J379),COUNTIFS($A$2:$A$477,EDATE(A379,-12),$B$2:$B$477,B379,$J$2:$J$477,"&gt;0")=1),J379/SUMIFS($J$2:$J$477,$A$2:$A$477,EDATE(A379,-12),$B$2:$B$477,B379)-1,"")</x:f>
        <x:v>0.2132450331125828</x:v>
      </x:c>
    </x:row>
    <x:row r="380" ht="21" customHeight="1">
      <x:c r="A380" s="7" t="n">
        <x:v>45839</x:v>
      </x:c>
      <x:c r="B380" s="2" t="str">
        <x:v>仙台塩釜</x:v>
      </x:c>
      <x:c r="C380" s="2" t="str">
        <x:v>宮城県</x:v>
      </x:c>
      <x:c r="D380" s="8" t="n">
        <x:v>2783538</x:v>
      </x:c>
      <x:c r="E380" s="8" t="n">
        <x:v>118379</x:v>
      </x:c>
      <x:c r="F380" s="8" t="n">
        <x:v>603439</x:v>
      </x:c>
      <x:c r="G380" s="8" t="n">
        <x:v>969080</x:v>
      </x:c>
      <x:c r="H380" s="8" t="n">
        <x:v>1092640</x:v>
      </x:c>
      <x:c r="I380" s="8" t="n">
        <x:v>20067</x:v>
      </x:c>
      <x:c r="J380" s="8" t="n">
        <x:v>6010</x:v>
      </x:c>
      <x:c r="K380" s="8" t="n">
        <x:v>5536</x:v>
      </x:c>
      <x:c r="L380" s="8" t="n">
        <x:v>4315</x:v>
      </x:c>
      <x:c r="M380" s="8" t="n">
        <x:v>4206</x:v>
      </x:c>
      <x:c r="N380" s="8" t="n">
        <x:v>0</x:v>
      </x:c>
      <x:c r="O380" s="8" t="n">
        <x:v>0</x:v>
      </x:c>
      <x:c r="P380" s="8" t="n">
        <x:v>532</x:v>
      </x:c>
      <x:c r="Q380" s="8" t="n">
        <x:v>623</x:v>
      </x:c>
      <x:c r="R380" s="8" t="n">
        <x:v>1155</x:v>
      </x:c>
      <x:c r="S380" s="8" t="n">
        <x:v>1897</x:v>
      </x:c>
      <x:c r="T380" s="8" t="n">
        <x:v>69</x:v>
      </x:c>
      <x:c r="U380" s="2" t="str">
        <x:v>2026年9月4日現在</x:v>
      </x:c>
      <x:c r="V380" s="2" t="str">
        <x:v>2026-09-11</x:v>
      </x:c>
      <x:c r="W380" s="2" t="str">
        <x:v>https://www.e-stat.go.jp/stat-search/file-download?statInfId=000040251292&amp;fileKind=0</x:v>
      </x:c>
      <x:c r="X380" s="2" t="str">
        <x:v>海上出入貨物!145行、コンテナ個数!30行</x:v>
      </x:c>
      <x:c r="Y380" s="2" t="str">
        <x:v>取得済</x:v>
      </x:c>
      <x:c r="Z380" s="9" t="n">
        <x:f>IF(AND(ISNUMBER(E380),COUNTIFS($A$2:$A$477,EDATE(A380,-12),$B$2:$B$477,B380,$E$2:$E$477,"&gt;0")=1),E380/SUMIFS($E$2:$E$477,$A$2:$A$477,EDATE(A380,-12),$B$2:$B$477,B380)-1,"")</x:f>
        <x:v>0.44202845587877015</x:v>
      </x:c>
      <x:c r="AA380" s="10" t="n">
        <x:f>IF(COUNTIFS($A$2:$A$477,"&gt;="&amp;EDATE(A380,-2),$A$2:$A$477,"&lt;="&amp;A380,$B$2:$B$477,B380,$E$2:$E$477,"&gt;=0")=3,SUMIFS($E$2:$E$477,$A$2:$A$477,"&gt;="&amp;EDATE(A380,-2),$A$2:$A$477,"&lt;="&amp;A380,$B$2:$B$477,B380)/3,"")</x:f>
        <x:v>110349.66666666667</x:v>
      </x:c>
      <x:c r="AB380" s="9" t="n">
        <x:f>IF(AND(ISNUMBER(J380),COUNTIFS($A$2:$A$477,EDATE(A380,-12),$B$2:$B$477,B380,$J$2:$J$477,"&gt;0")=1),J380/SUMIFS($J$2:$J$477,$A$2:$A$477,EDATE(A380,-12),$B$2:$B$477,B380)-1,"")</x:f>
        <x:v>0.20199999999999996</x:v>
      </x:c>
    </x:row>
    <x:row r="381" ht="21" customHeight="1">
      <x:c r="A381" s="7" t="n">
        <x:v>45839</x:v>
      </x:c>
      <x:c r="B381" s="2" t="str">
        <x:v>東京</x:v>
      </x:c>
      <x:c r="C381" s="2" t="str">
        <x:v>東京都</x:v>
      </x:c>
      <x:c r="D381" s="8" t="n">
        <x:v>7069594</x:v>
      </x:c>
      <x:c r="E381" s="8" t="n">
        <x:v>883228</x:v>
      </x:c>
      <x:c r="F381" s="8" t="n">
        <x:v>2886095</x:v>
      </x:c>
      <x:c r="G381" s="8" t="n">
        <x:v>1238183</x:v>
      </x:c>
      <x:c r="H381" s="8" t="n">
        <x:v>2062088</x:v>
      </x:c>
      <x:c r="I381" s="8" t="n">
        <x:v>398121</x:v>
      </x:c>
      <x:c r="J381" s="8" t="n">
        <x:v>154408</x:v>
      </x:c>
      <x:c r="K381" s="8" t="n">
        <x:v>192341</x:v>
      </x:c>
      <x:c r="L381" s="8" t="n">
        <x:v>39060</x:v>
      </x:c>
      <x:c r="M381" s="8" t="n">
        <x:v>12312</x:v>
      </x:c>
      <x:c r="N381" s="8" t="n">
        <x:v>0</x:v>
      </x:c>
      <x:c r="O381" s="8" t="n">
        <x:v>0</x:v>
      </x:c>
      <x:c r="P381" s="8" t="n">
        <x:v>436</x:v>
      </x:c>
      <x:c r="Q381" s="8" t="n">
        <x:v>222</x:v>
      </x:c>
      <x:c r="R381" s="8" t="n">
        <x:v>658</x:v>
      </x:c>
      <x:c r="S381" s="8" t="n">
        <x:v>1627</x:v>
      </x:c>
      <x:c r="T381" s="8" t="n">
        <x:v>396</x:v>
      </x:c>
      <x:c r="U381" s="2" t="str">
        <x:v>2026年9月4日現在</x:v>
      </x:c>
      <x:c r="V381" s="2" t="str">
        <x:v>2026-09-11</x:v>
      </x:c>
      <x:c r="W381" s="2" t="str">
        <x:v>https://www.e-stat.go.jp/stat-search/file-download?statInfId=000040251292&amp;fileKind=0</x:v>
      </x:c>
      <x:c r="X381" s="2" t="str">
        <x:v>海上出入貨物!211行、コンテナ個数!41行</x:v>
      </x:c>
      <x:c r="Y381" s="2" t="str">
        <x:v>取得済</x:v>
      </x:c>
      <x:c r="Z381" s="9" t="n">
        <x:f>IF(AND(ISNUMBER(E381),COUNTIFS($A$2:$A$477,EDATE(A381,-12),$B$2:$B$477,B381,$E$2:$E$477,"&gt;0")=1),E381/SUMIFS($E$2:$E$477,$A$2:$A$477,EDATE(A381,-12),$B$2:$B$477,B381)-1,"")</x:f>
        <x:v>-0.06505752699042111</x:v>
      </x:c>
      <x:c r="AA381" s="10" t="n">
        <x:f>IF(COUNTIFS($A$2:$A$477,"&gt;="&amp;EDATE(A381,-2),$A$2:$A$477,"&lt;="&amp;A381,$B$2:$B$477,B381,$E$2:$E$477,"&gt;=0")=3,SUMIFS($E$2:$E$477,$A$2:$A$477,"&gt;="&amp;EDATE(A381,-2),$A$2:$A$477,"&lt;="&amp;A381,$B$2:$B$477,B381)/3,"")</x:f>
        <x:v>893205.6666666666</x:v>
      </x:c>
      <x:c r="AB381" s="9" t="n">
        <x:f>IF(AND(ISNUMBER(J381),COUNTIFS($A$2:$A$477,EDATE(A381,-12),$B$2:$B$477,B381,$J$2:$J$477,"&gt;0")=1),J381/SUMIFS($J$2:$J$477,$A$2:$A$477,EDATE(A381,-12),$B$2:$B$477,B381)-1,"")</x:f>
        <x:v>-0.013071018133241297</x:v>
      </x:c>
    </x:row>
    <x:row r="382" ht="21" customHeight="1">
      <x:c r="A382" s="7" t="n">
        <x:v>45839</x:v>
      </x:c>
      <x:c r="B382" s="2" t="str">
        <x:v>横浜</x:v>
      </x:c>
      <x:c r="C382" s="2" t="str">
        <x:v>神奈川県</x:v>
      </x:c>
      <x:c r="D382" s="8" t="n">
        <x:v>8860401</x:v>
      </x:c>
      <x:c r="E382" s="8" t="n">
        <x:v>2471996</x:v>
      </x:c>
      <x:c r="F382" s="8" t="n">
        <x:v>3645726</x:v>
      </x:c>
      <x:c r="G382" s="8" t="n">
        <x:v>1056925</x:v>
      </x:c>
      <x:c r="H382" s="8" t="n">
        <x:v>1685754</x:v>
      </x:c>
      <x:c r="I382" s="8" t="n">
        <x:v>262654</x:v>
      </x:c>
      <x:c r="J382" s="8" t="n">
        <x:v>125063</x:v>
      </x:c>
      <x:c r="K382" s="8" t="n">
        <x:v>103884</x:v>
      </x:c>
      <x:c r="L382" s="8" t="n">
        <x:v>14641</x:v>
      </x:c>
      <x:c r="M382" s="8" t="n">
        <x:v>19066</x:v>
      </x:c>
      <x:c r="N382" s="8" t="n">
        <x:v>0</x:v>
      </x:c>
      <x:c r="O382" s="8" t="n">
        <x:v>0</x:v>
      </x:c>
      <x:c r="P382" s="8" t="n">
        <x:v>0</x:v>
      </x:c>
      <x:c r="Q382" s="8" t="n">
        <x:v>0</x:v>
      </x:c>
      <x:c r="R382" s="8" t="n">
        <x:v>0</x:v>
      </x:c>
      <x:c r="S382" s="8" t="n">
        <x:v>2055</x:v>
      </x:c>
      <x:c r="T382" s="8" t="n">
        <x:v>705</x:v>
      </x:c>
      <x:c r="U382" s="2" t="str">
        <x:v>2026年9月4日現在</x:v>
      </x:c>
      <x:c r="V382" s="2" t="str">
        <x:v>2026-09-11</x:v>
      </x:c>
      <x:c r="W382" s="2" t="str">
        <x:v>https://www.e-stat.go.jp/stat-search/file-download?statInfId=000040251292&amp;fileKind=0</x:v>
      </x:c>
      <x:c r="X382" s="2" t="str">
        <x:v>海上出入貨物!223行、コンテナ個数!43行</x:v>
      </x:c>
      <x:c r="Y382" s="2" t="str">
        <x:v>取得済</x:v>
      </x:c>
      <x:c r="Z382" s="9" t="n">
        <x:f>IF(AND(ISNUMBER(E382),COUNTIFS($A$2:$A$477,EDATE(A382,-12),$B$2:$B$477,B382,$E$2:$E$477,"&gt;0")=1),E382/SUMIFS($E$2:$E$477,$A$2:$A$477,EDATE(A382,-12),$B$2:$B$477,B382)-1,"")</x:f>
        <x:v>-0.021273866386245843</x:v>
      </x:c>
      <x:c r="AA382" s="10" t="n">
        <x:f>IF(COUNTIFS($A$2:$A$477,"&gt;="&amp;EDATE(A382,-2),$A$2:$A$477,"&lt;="&amp;A382,$B$2:$B$477,B382,$E$2:$E$477,"&gt;=0")=3,SUMIFS($E$2:$E$477,$A$2:$A$477,"&gt;="&amp;EDATE(A382,-2),$A$2:$A$477,"&lt;="&amp;A382,$B$2:$B$477,B382)/3,"")</x:f>
        <x:v>2584472.6666666665</x:v>
      </x:c>
      <x:c r="AB382" s="9" t="n">
        <x:f>IF(AND(ISNUMBER(J382),COUNTIFS($A$2:$A$477,EDATE(A382,-12),$B$2:$B$477,B382,$J$2:$J$477,"&gt;0")=1),J382/SUMIFS($J$2:$J$477,$A$2:$A$477,EDATE(A382,-12),$B$2:$B$477,B382)-1,"")</x:f>
        <x:v>-0.008601008339410798</x:v>
      </x:c>
    </x:row>
    <x:row r="383" ht="21" customHeight="1">
      <x:c r="A383" s="7" t="n">
        <x:v>45839</x:v>
      </x:c>
      <x:c r="B383" s="2" t="str">
        <x:v>清水</x:v>
      </x:c>
      <x:c r="C383" s="2" t="str">
        <x:v>静岡県</x:v>
      </x:c>
      <x:c r="D383" s="8" t="n">
        <x:v>1373514</x:v>
      </x:c>
      <x:c r="E383" s="8" t="n">
        <x:v>265872</x:v>
      </x:c>
      <x:c r="F383" s="8" t="n">
        <x:v>619918</x:v>
      </x:c>
      <x:c r="G383" s="8" t="n">
        <x:v>171746</x:v>
      </x:c>
      <x:c r="H383" s="8" t="n">
        <x:v>315978</x:v>
      </x:c>
      <x:c r="I383" s="8" t="n">
        <x:v>43757</x:v>
      </x:c>
      <x:c r="J383" s="8" t="n">
        <x:v>17337</x:v>
      </x:c>
      <x:c r="K383" s="8" t="n">
        <x:v>18184</x:v>
      </x:c>
      <x:c r="L383" s="8" t="n">
        <x:v>4334</x:v>
      </x:c>
      <x:c r="M383" s="8" t="n">
        <x:v>3902</x:v>
      </x:c>
      <x:c r="N383" s="8" t="n">
        <x:v>0</x:v>
      </x:c>
      <x:c r="O383" s="8" t="n">
        <x:v>0</x:v>
      </x:c>
      <x:c r="P383" s="8" t="n">
        <x:v>0</x:v>
      </x:c>
      <x:c r="Q383" s="8" t="n">
        <x:v>0</x:v>
      </x:c>
      <x:c r="R383" s="8" t="n">
        <x:v>0</x:v>
      </x:c>
      <x:c r="S383" s="8" t="n">
        <x:v>449</x:v>
      </x:c>
      <x:c r="T383" s="8" t="n">
        <x:v>127</x:v>
      </x:c>
      <x:c r="U383" s="2" t="str">
        <x:v>2026年9月4日現在</x:v>
      </x:c>
      <x:c r="V383" s="2" t="str">
        <x:v>2026-09-11</x:v>
      </x:c>
      <x:c r="W383" s="2" t="str">
        <x:v>https://www.e-stat.go.jp/stat-search/file-download?statInfId=000040251292&amp;fileKind=0</x:v>
      </x:c>
      <x:c r="X383" s="2" t="str">
        <x:v>海上出入貨物!313行、コンテナ個数!58行</x:v>
      </x:c>
      <x:c r="Y383" s="2" t="str">
        <x:v>取得済</x:v>
      </x:c>
      <x:c r="Z383" s="9" t="n">
        <x:f>IF(AND(ISNUMBER(E383),COUNTIFS($A$2:$A$477,EDATE(A383,-12),$B$2:$B$477,B383,$E$2:$E$477,"&gt;0")=1),E383/SUMIFS($E$2:$E$477,$A$2:$A$477,EDATE(A383,-12),$B$2:$B$477,B383)-1,"")</x:f>
        <x:v>-0.0617463448718808</x:v>
      </x:c>
      <x:c r="AA383" s="10" t="n">
        <x:f>IF(COUNTIFS($A$2:$A$477,"&gt;="&amp;EDATE(A383,-2),$A$2:$A$477,"&lt;="&amp;A383,$B$2:$B$477,B383,$E$2:$E$477,"&gt;=0")=3,SUMIFS($E$2:$E$477,$A$2:$A$477,"&gt;="&amp;EDATE(A383,-2),$A$2:$A$477,"&lt;="&amp;A383,$B$2:$B$477,B383)/3,"")</x:f>
        <x:v>272573</x:v>
      </x:c>
      <x:c r="AB383" s="9" t="n">
        <x:f>IF(AND(ISNUMBER(J383),COUNTIFS($A$2:$A$477,EDATE(A383,-12),$B$2:$B$477,B383,$J$2:$J$477,"&gt;0")=1),J383/SUMIFS($J$2:$J$477,$A$2:$A$477,EDATE(A383,-12),$B$2:$B$477,B383)-1,"")</x:f>
        <x:v>0.008023722309436598</x:v>
      </x:c>
    </x:row>
    <x:row r="384" ht="21" customHeight="1">
      <x:c r="A384" s="7" t="n">
        <x:v>45839</x:v>
      </x:c>
      <x:c r="B384" s="2" t="str">
        <x:v>博多</x:v>
      </x:c>
      <x:c r="C384" s="2" t="str">
        <x:v>福岡県</x:v>
      </x:c>
      <x:c r="D384" s="8" t="n">
        <x:v>3093920</x:v>
      </x:c>
      <x:c r="E384" s="8" t="n">
        <x:v>813151</x:v>
      </x:c>
      <x:c r="F384" s="8" t="n">
        <x:v>811574</x:v>
      </x:c>
      <x:c r="G384" s="8" t="n">
        <x:v>544359</x:v>
      </x:c>
      <x:c r="H384" s="8" t="n">
        <x:v>924836</x:v>
      </x:c>
      <x:c r="I384" s="8" t="n">
        <x:v>85642</x:v>
      </x:c>
      <x:c r="J384" s="8" t="n">
        <x:v>37147</x:v>
      </x:c>
      <x:c r="K384" s="8" t="n">
        <x:v>36221</x:v>
      </x:c>
      <x:c r="L384" s="8" t="n">
        <x:v>5288</x:v>
      </x:c>
      <x:c r="M384" s="8" t="n">
        <x:v>6986</x:v>
      </x:c>
      <x:c r="N384" s="8" t="n">
        <x:v>0</x:v>
      </x:c>
      <x:c r="O384" s="8" t="n">
        <x:v>0</x:v>
      </x:c>
      <x:c r="P384" s="8" t="n">
        <x:v>1428</x:v>
      </x:c>
      <x:c r="Q384" s="8" t="n">
        <x:v>1475</x:v>
      </x:c>
      <x:c r="R384" s="8" t="n">
        <x:v>2903</x:v>
      </x:c>
      <x:c r="S384" s="8" t="n">
        <x:v>1598</x:v>
      </x:c>
      <x:c r="T384" s="8" t="n">
        <x:v>247</x:v>
      </x:c>
      <x:c r="U384" s="2" t="str">
        <x:v>2026年9月4日現在</x:v>
      </x:c>
      <x:c r="V384" s="2" t="str">
        <x:v>2026-09-11</x:v>
      </x:c>
      <x:c r="W384" s="2" t="str">
        <x:v>https://www.e-stat.go.jp/stat-search/file-download?statInfId=000040251292&amp;fileKind=0</x:v>
      </x:c>
      <x:c r="X384" s="2" t="str">
        <x:v>海上出入貨物!721行、コンテナ個数!126行</x:v>
      </x:c>
      <x:c r="Y384" s="2" t="str">
        <x:v>取得済</x:v>
      </x:c>
      <x:c r="Z384" s="9" t="n">
        <x:f>IF(AND(ISNUMBER(E384),COUNTIFS($A$2:$A$477,EDATE(A384,-12),$B$2:$B$477,B384,$E$2:$E$477,"&gt;0")=1),E384/SUMIFS($E$2:$E$477,$A$2:$A$477,EDATE(A384,-12),$B$2:$B$477,B384)-1,"")</x:f>
        <x:v>0.07731228040424165</x:v>
      </x:c>
      <x:c r="AA384" s="10" t="n">
        <x:f>IF(COUNTIFS($A$2:$A$477,"&gt;="&amp;EDATE(A384,-2),$A$2:$A$477,"&lt;="&amp;A384,$B$2:$B$477,B384,$E$2:$E$477,"&gt;=0")=3,SUMIFS($E$2:$E$477,$A$2:$A$477,"&gt;="&amp;EDATE(A384,-2),$A$2:$A$477,"&lt;="&amp;A384,$B$2:$B$477,B384)/3,"")</x:f>
        <x:v>773330</x:v>
      </x:c>
      <x:c r="AB384" s="9" t="n">
        <x:f>IF(AND(ISNUMBER(J384),COUNTIFS($A$2:$A$477,EDATE(A384,-12),$B$2:$B$477,B384,$J$2:$J$477,"&gt;0")=1),J384/SUMIFS($J$2:$J$477,$A$2:$A$477,EDATE(A384,-12),$B$2:$B$477,B384)-1,"")</x:f>
        <x:v>0.23150112717146265</x:v>
      </x:c>
    </x:row>
    <x:row r="385" ht="21" customHeight="1">
      <x:c r="A385" s="7" t="n">
        <x:v>45839</x:v>
      </x:c>
      <x:c r="B385" s="2" t="str">
        <x:v>熊本</x:v>
      </x:c>
      <x:c r="C385" s="2" t="str">
        <x:v>熊本県</x:v>
      </x:c>
      <x:c r="D385" s="8" t="n">
        <x:v>276752</x:v>
      </x:c>
      <x:c r="E385" s="8" t="n">
        <x:v>2287</x:v>
      </x:c>
      <x:c r="F385" s="8" t="n">
        <x:v>6268</x:v>
      </x:c>
      <x:c r="G385" s="8" t="n">
        <x:v>101109</x:v>
      </x:c>
      <x:c r="H385" s="8" t="n">
        <x:v>167088</x:v>
      </x:c>
      <x:c r="I385" s="8" t="n">
        <x:v>1177</x:v>
      </x:c>
      <x:c r="J385" s="8" t="n">
        <x:v>239</x:v>
      </x:c>
      <x:c r="K385" s="8" t="n">
        <x:v>353</x:v>
      </x:c>
      <x:c r="L385" s="8" t="n">
        <x:v>406</x:v>
      </x:c>
      <x:c r="M385" s="8" t="n">
        <x:v>179</x:v>
      </x:c>
      <x:c r="N385" s="8" t="n">
        <x:v>0</x:v>
      </x:c>
      <x:c r="O385" s="8" t="n">
        <x:v>0</x:v>
      </x:c>
      <x:c r="P385" s="8" t="n">
        <x:v>528</x:v>
      </x:c>
      <x:c r="Q385" s="8" t="n">
        <x:v>524</x:v>
      </x:c>
      <x:c r="R385" s="8" t="n">
        <x:v>1052</x:v>
      </x:c>
      <x:c r="S385" s="8" t="n">
        <x:v>43</x:v>
      </x:c>
      <x:c r="T385" s="8" t="n">
        <x:v>8</x:v>
      </x:c>
      <x:c r="U385" s="2" t="str">
        <x:v>2026年9月4日現在</x:v>
      </x:c>
      <x:c r="V385" s="2" t="str">
        <x:v>2026-09-11</x:v>
      </x:c>
      <x:c r="W385" s="2" t="str">
        <x:v>https://www.e-stat.go.jp/stat-search/file-download?statInfId=000040251292&amp;fileKind=0</x:v>
      </x:c>
      <x:c r="X385" s="2" t="str">
        <x:v>海上出入貨物!829行、コンテナ個数!144行</x:v>
      </x:c>
      <x:c r="Y385" s="2" t="str">
        <x:v>取得済</x:v>
      </x:c>
      <x:c r="Z385" s="9" t="n">
        <x:f>IF(AND(ISNUMBER(E385),COUNTIFS($A$2:$A$477,EDATE(A385,-12),$B$2:$B$477,B385,$E$2:$E$477,"&gt;0")=1),E385/SUMIFS($E$2:$E$477,$A$2:$A$477,EDATE(A385,-12),$B$2:$B$477,B385)-1,"")</x:f>
        <x:v>-0.3568616422947132</x:v>
      </x:c>
      <x:c r="AA385" s="10" t="n">
        <x:f>IF(COUNTIFS($A$2:$A$477,"&gt;="&amp;EDATE(A385,-2),$A$2:$A$477,"&lt;="&amp;A385,$B$2:$B$477,B385,$E$2:$E$477,"&gt;=0")=3,SUMIFS($E$2:$E$477,$A$2:$A$477,"&gt;="&amp;EDATE(A385,-2),$A$2:$A$477,"&lt;="&amp;A385,$B$2:$B$477,B385)/3,"")</x:f>
        <x:v>2068.3333333333335</x:v>
      </x:c>
      <x:c r="AB385" s="9" t="n">
        <x:f>IF(AND(ISNUMBER(J385),COUNTIFS($A$2:$A$477,EDATE(A385,-12),$B$2:$B$477,B385,$J$2:$J$477,"&gt;0")=1),J385/SUMIFS($J$2:$J$477,$A$2:$A$477,EDATE(A385,-12),$B$2:$B$477,B385)-1,"")</x:f>
        <x:v>0.06696428571428581</x:v>
      </x:c>
    </x:row>
    <x:row r="386" ht="21" customHeight="1">
      <x:c r="A386" s="7" t="n">
        <x:v>45839</x:v>
      </x:c>
      <x:c r="B386" s="2" t="str">
        <x:v>八代</x:v>
      </x:c>
      <x:c r="C386" s="2" t="str">
        <x:v>熊本県</x:v>
      </x:c>
      <x:c r="D386" s="8" t="n">
        <x:v>330696</x:v>
      </x:c>
      <x:c r="E386" s="8" t="n">
        <x:v>18925</x:v>
      </x:c>
      <x:c r="F386" s="8" t="n">
        <x:v>152627</x:v>
      </x:c>
      <x:c r="G386" s="8" t="n">
        <x:v>20890</x:v>
      </x:c>
      <x:c r="H386" s="8" t="n">
        <x:v>138254</x:v>
      </x:c>
      <x:c r="I386" s="8" t="n">
        <x:v>1602</x:v>
      </x:c>
      <x:c r="J386" s="8" t="n">
        <x:v>487</x:v>
      </x:c>
      <x:c r="K386" s="8" t="n">
        <x:v>720</x:v>
      </x:c>
      <x:c r="L386" s="8" t="n">
        <x:v>236</x:v>
      </x:c>
      <x:c r="M386" s="8" t="n">
        <x:v>159</x:v>
      </x:c>
      <x:c r="N386" s="8" t="n">
        <x:v>0</x:v>
      </x:c>
      <x:c r="O386" s="8" t="n">
        <x:v>0</x:v>
      </x:c>
      <x:c r="P386" s="8" t="n">
        <x:v>0</x:v>
      </x:c>
      <x:c r="Q386" s="8" t="n">
        <x:v>0</x:v>
      </x:c>
      <x:c r="R386" s="8" t="n">
        <x:v>0</x:v>
      </x:c>
      <x:c r="S386" s="8" t="n">
        <x:v>195</x:v>
      </x:c>
      <x:c r="T386" s="8" t="n">
        <x:v>29</x:v>
      </x:c>
      <x:c r="U386" s="2" t="str">
        <x:v>2026年9月4日現在</x:v>
      </x:c>
      <x:c r="V386" s="2" t="str">
        <x:v>2026-09-11</x:v>
      </x:c>
      <x:c r="W386" s="2" t="str">
        <x:v>https://www.e-stat.go.jp/stat-search/file-download?statInfId=000040251292&amp;fileKind=0</x:v>
      </x:c>
      <x:c r="X386" s="2" t="str">
        <x:v>海上出入貨物!817行、コンテナ個数!142行</x:v>
      </x:c>
      <x:c r="Y386" s="2" t="str">
        <x:v>取得済</x:v>
      </x:c>
      <x:c r="Z386" s="9" t="n">
        <x:f>IF(AND(ISNUMBER(E386),COUNTIFS($A$2:$A$477,EDATE(A386,-12),$B$2:$B$477,B386,$E$2:$E$477,"&gt;0")=1),E386/SUMIFS($E$2:$E$477,$A$2:$A$477,EDATE(A386,-12),$B$2:$B$477,B386)-1,"")</x:f>
        <x:v>-0.025790178111808948</x:v>
      </x:c>
      <x:c r="AA386" s="10" t="n">
        <x:f>IF(COUNTIFS($A$2:$A$477,"&gt;="&amp;EDATE(A386,-2),$A$2:$A$477,"&lt;="&amp;A386,$B$2:$B$477,B386,$E$2:$E$477,"&gt;=0")=3,SUMIFS($E$2:$E$477,$A$2:$A$477,"&gt;="&amp;EDATE(A386,-2),$A$2:$A$477,"&lt;="&amp;A386,$B$2:$B$477,B386)/3,"")</x:f>
        <x:v>29918.333333333332</x:v>
      </x:c>
      <x:c r="AB386" s="9" t="n">
        <x:f>IF(AND(ISNUMBER(J386),COUNTIFS($A$2:$A$477,EDATE(A386,-12),$B$2:$B$477,B386,$J$2:$J$477,"&gt;0")=1),J386/SUMIFS($J$2:$J$477,$A$2:$A$477,EDATE(A386,-12),$B$2:$B$477,B386)-1,"")</x:f>
        <x:v>-0.2029459901800328</x:v>
      </x:c>
    </x:row>
    <x:row r="387" ht="21" customHeight="1">
      <x:c r="A387" s="7" t="n">
        <x:v>45870</x:v>
      </x:c>
      <x:c r="B387" s="2" t="str">
        <x:v>仙台塩釜</x:v>
      </x:c>
      <x:c r="C387" s="2" t="str">
        <x:v>宮城県</x:v>
      </x:c>
      <x:c r="D387" s="8" t="n">
        <x:v>3647610</x:v>
      </x:c>
      <x:c r="E387" s="8" t="n">
        <x:v>114943</x:v>
      </x:c>
      <x:c r="F387" s="8" t="n">
        <x:v>1138733</x:v>
      </x:c>
      <x:c r="G387" s="8" t="n">
        <x:v>1245373</x:v>
      </x:c>
      <x:c r="H387" s="8" t="n">
        <x:v>1148561</x:v>
      </x:c>
      <x:c r="I387" s="8" t="n">
        <x:v>20041</x:v>
      </x:c>
      <x:c r="J387" s="8" t="n">
        <x:v>5379</x:v>
      </x:c>
      <x:c r="K387" s="8" t="n">
        <x:v>6402</x:v>
      </x:c>
      <x:c r="L387" s="8" t="n">
        <x:v>4083</x:v>
      </x:c>
      <x:c r="M387" s="8" t="n">
        <x:v>4177</x:v>
      </x:c>
      <x:c r="N387" s="8" t="n">
        <x:v>0</x:v>
      </x:c>
      <x:c r="O387" s="8" t="n">
        <x:v>0</x:v>
      </x:c>
      <x:c r="P387" s="8" t="n">
        <x:v>582</x:v>
      </x:c>
      <x:c r="Q387" s="8" t="n">
        <x:v>639</x:v>
      </x:c>
      <x:c r="R387" s="8" t="n">
        <x:v>1221</x:v>
      </x:c>
      <x:c r="S387" s="8" t="n">
        <x:v>2313</x:v>
      </x:c>
      <x:c r="T387" s="8" t="n">
        <x:v>86</x:v>
      </x:c>
      <x:c r="U387" s="2" t="str">
        <x:v>2026年9月4日現在</x:v>
      </x:c>
      <x:c r="V387" s="2" t="str">
        <x:v>2026-09-11</x:v>
      </x:c>
      <x:c r="W387" s="2" t="str">
        <x:v>https://www.e-stat.go.jp/stat-search/file-download?statInfId=000040251292&amp;fileKind=0</x:v>
      </x:c>
      <x:c r="X387" s="2" t="str">
        <x:v>海上出入貨物!145行、コンテナ個数!30行</x:v>
      </x:c>
      <x:c r="Y387" s="2" t="str">
        <x:v>取得済</x:v>
      </x:c>
      <x:c r="Z387" s="9" t="n">
        <x:f>IF(AND(ISNUMBER(E387),COUNTIFS($A$2:$A$477,EDATE(A387,-12),$B$2:$B$477,B387,$E$2:$E$477,"&gt;0")=1),E387/SUMIFS($E$2:$E$477,$A$2:$A$477,EDATE(A387,-12),$B$2:$B$477,B387)-1,"")</x:f>
        <x:v>0.7412440162394716</x:v>
      </x:c>
      <x:c r="AA387" s="10" t="n">
        <x:f>IF(COUNTIFS($A$2:$A$477,"&gt;="&amp;EDATE(A387,-2),$A$2:$A$477,"&lt;="&amp;A387,$B$2:$B$477,B387,$E$2:$E$477,"&gt;=0")=3,SUMIFS($E$2:$E$477,$A$2:$A$477,"&gt;="&amp;EDATE(A387,-2),$A$2:$A$477,"&lt;="&amp;A387,$B$2:$B$477,B387)/3,"")</x:f>
        <x:v>120720.66666666667</x:v>
      </x:c>
      <x:c r="AB387" s="9" t="n">
        <x:f>IF(AND(ISNUMBER(J387),COUNTIFS($A$2:$A$477,EDATE(A387,-12),$B$2:$B$477,B387,$J$2:$J$477,"&gt;0")=1),J387/SUMIFS($J$2:$J$477,$A$2:$A$477,EDATE(A387,-12),$B$2:$B$477,B387)-1,"")</x:f>
        <x:v>0.15951713731407624</x:v>
      </x:c>
    </x:row>
    <x:row r="388" ht="21" customHeight="1">
      <x:c r="A388" s="7" t="n">
        <x:v>45870</x:v>
      </x:c>
      <x:c r="B388" s="2" t="str">
        <x:v>東京</x:v>
      </x:c>
      <x:c r="C388" s="2" t="str">
        <x:v>東京都</x:v>
      </x:c>
      <x:c r="D388" s="8" t="n">
        <x:v>6672768</x:v>
      </x:c>
      <x:c r="E388" s="8" t="n">
        <x:v>835782</x:v>
      </x:c>
      <x:c r="F388" s="8" t="n">
        <x:v>3010804</x:v>
      </x:c>
      <x:c r="G388" s="8" t="n">
        <x:v>1014433</x:v>
      </x:c>
      <x:c r="H388" s="8" t="n">
        <x:v>1811749</x:v>
      </x:c>
      <x:c r="I388" s="8" t="n">
        <x:v>400358</x:v>
      </x:c>
      <x:c r="J388" s="8" t="n">
        <x:v>155309</x:v>
      </x:c>
      <x:c r="K388" s="8" t="n">
        <x:v>202664</x:v>
      </x:c>
      <x:c r="L388" s="8" t="n">
        <x:v>32326</x:v>
      </x:c>
      <x:c r="M388" s="8" t="n">
        <x:v>10059</x:v>
      </x:c>
      <x:c r="N388" s="8" t="n">
        <x:v>0</x:v>
      </x:c>
      <x:c r="O388" s="8" t="n">
        <x:v>0</x:v>
      </x:c>
      <x:c r="P388" s="8" t="n">
        <x:v>452</x:v>
      </x:c>
      <x:c r="Q388" s="8" t="n">
        <x:v>194</x:v>
      </x:c>
      <x:c r="R388" s="8" t="n">
        <x:v>646</x:v>
      </x:c>
      <x:c r="S388" s="8" t="n">
        <x:v>1490</x:v>
      </x:c>
      <x:c r="T388" s="8" t="n">
        <x:v>415</x:v>
      </x:c>
      <x:c r="U388" s="2" t="str">
        <x:v>2026年9月4日現在</x:v>
      </x:c>
      <x:c r="V388" s="2" t="str">
        <x:v>2026-09-11</x:v>
      </x:c>
      <x:c r="W388" s="2" t="str">
        <x:v>https://www.e-stat.go.jp/stat-search/file-download?statInfId=000040251292&amp;fileKind=0</x:v>
      </x:c>
      <x:c r="X388" s="2" t="str">
        <x:v>海上出入貨物!211行、コンテナ個数!41行</x:v>
      </x:c>
      <x:c r="Y388" s="2" t="str">
        <x:v>取得済</x:v>
      </x:c>
      <x:c r="Z388" s="9" t="n">
        <x:f>IF(AND(ISNUMBER(E388),COUNTIFS($A$2:$A$477,EDATE(A388,-12),$B$2:$B$477,B388,$E$2:$E$477,"&gt;0")=1),E388/SUMIFS($E$2:$E$477,$A$2:$A$477,EDATE(A388,-12),$B$2:$B$477,B388)-1,"")</x:f>
        <x:v>-0.035290342538171426</x:v>
      </x:c>
      <x:c r="AA388" s="10" t="n">
        <x:f>IF(COUNTIFS($A$2:$A$477,"&gt;="&amp;EDATE(A388,-2),$A$2:$A$477,"&lt;="&amp;A388,$B$2:$B$477,B388,$E$2:$E$477,"&gt;=0")=3,SUMIFS($E$2:$E$477,$A$2:$A$477,"&gt;="&amp;EDATE(A388,-2),$A$2:$A$477,"&lt;="&amp;A388,$B$2:$B$477,B388)/3,"")</x:f>
        <x:v>885646</x:v>
      </x:c>
      <x:c r="AB388" s="9" t="n">
        <x:f>IF(AND(ISNUMBER(J388),COUNTIFS($A$2:$A$477,EDATE(A388,-12),$B$2:$B$477,B388,$J$2:$J$477,"&gt;0")=1),J388/SUMIFS($J$2:$J$477,$A$2:$A$477,EDATE(A388,-12),$B$2:$B$477,B388)-1,"")</x:f>
        <x:v>0.03545546066097294</x:v>
      </x:c>
    </x:row>
    <x:row r="389" ht="21" customHeight="1">
      <x:c r="A389" s="7" t="n">
        <x:v>45870</x:v>
      </x:c>
      <x:c r="B389" s="2" t="str">
        <x:v>横浜</x:v>
      </x:c>
      <x:c r="C389" s="2" t="str">
        <x:v>神奈川県</x:v>
      </x:c>
      <x:c r="D389" s="8" t="n">
        <x:v>8925484</x:v>
      </x:c>
      <x:c r="E389" s="8" t="n">
        <x:v>2542644</x:v>
      </x:c>
      <x:c r="F389" s="8" t="n">
        <x:v>3775279</x:v>
      </x:c>
      <x:c r="G389" s="8" t="n">
        <x:v>1047797</x:v>
      </x:c>
      <x:c r="H389" s="8" t="n">
        <x:v>1559764</x:v>
      </x:c>
      <x:c r="I389" s="8" t="n">
        <x:v>264995</x:v>
      </x:c>
      <x:c r="J389" s="8" t="n">
        <x:v>126140</x:v>
      </x:c>
      <x:c r="K389" s="8" t="n">
        <x:v>108346</x:v>
      </x:c>
      <x:c r="L389" s="8" t="n">
        <x:v>11668</x:v>
      </x:c>
      <x:c r="M389" s="8" t="n">
        <x:v>18841</x:v>
      </x:c>
      <x:c r="N389" s="8" t="n">
        <x:v>0</x:v>
      </x:c>
      <x:c r="O389" s="8" t="n">
        <x:v>0</x:v>
      </x:c>
      <x:c r="P389" s="8" t="n">
        <x:v>0</x:v>
      </x:c>
      <x:c r="Q389" s="8" t="n">
        <x:v>0</x:v>
      </x:c>
      <x:c r="R389" s="8" t="n">
        <x:v>0</x:v>
      </x:c>
      <x:c r="S389" s="8" t="n">
        <x:v>2000</x:v>
      </x:c>
      <x:c r="T389" s="8" t="n">
        <x:v>749</x:v>
      </x:c>
      <x:c r="U389" s="2" t="str">
        <x:v>2026年9月4日現在</x:v>
      </x:c>
      <x:c r="V389" s="2" t="str">
        <x:v>2026-09-11</x:v>
      </x:c>
      <x:c r="W389" s="2" t="str">
        <x:v>https://www.e-stat.go.jp/stat-search/file-download?statInfId=000040251292&amp;fileKind=0</x:v>
      </x:c>
      <x:c r="X389" s="2" t="str">
        <x:v>海上出入貨物!223行、コンテナ個数!43行</x:v>
      </x:c>
      <x:c r="Y389" s="2" t="str">
        <x:v>取得済</x:v>
      </x:c>
      <x:c r="Z389" s="9" t="n">
        <x:f>IF(AND(ISNUMBER(E389),COUNTIFS($A$2:$A$477,EDATE(A389,-12),$B$2:$B$477,B389,$E$2:$E$477,"&gt;0")=1),E389/SUMIFS($E$2:$E$477,$A$2:$A$477,EDATE(A389,-12),$B$2:$B$477,B389)-1,"")</x:f>
        <x:v>0.10338943774371923</x:v>
      </x:c>
      <x:c r="AA389" s="10" t="n">
        <x:f>IF(COUNTIFS($A$2:$A$477,"&gt;="&amp;EDATE(A389,-2),$A$2:$A$477,"&lt;="&amp;A389,$B$2:$B$477,B389,$E$2:$E$477,"&gt;=0")=3,SUMIFS($E$2:$E$477,$A$2:$A$477,"&gt;="&amp;EDATE(A389,-2),$A$2:$A$477,"&lt;="&amp;A389,$B$2:$B$477,B389)/3,"")</x:f>
        <x:v>2598015</x:v>
      </x:c>
      <x:c r="AB389" s="9" t="n">
        <x:f>IF(AND(ISNUMBER(J389),COUNTIFS($A$2:$A$477,EDATE(A389,-12),$B$2:$B$477,B389,$J$2:$J$477,"&gt;0")=1),J389/SUMIFS($J$2:$J$477,$A$2:$A$477,EDATE(A389,-12),$B$2:$B$477,B389)-1,"")</x:f>
        <x:v>0.0944997353556214</x:v>
      </x:c>
    </x:row>
    <x:row r="390" ht="21" customHeight="1">
      <x:c r="A390" s="7" t="n">
        <x:v>45870</x:v>
      </x:c>
      <x:c r="B390" s="2" t="str">
        <x:v>清水</x:v>
      </x:c>
      <x:c r="C390" s="2" t="str">
        <x:v>静岡県</x:v>
      </x:c>
      <x:c r="D390" s="8" t="n">
        <x:v>1119144</x:v>
      </x:c>
      <x:c r="E390" s="8" t="n">
        <x:v>248620</x:v>
      </x:c>
      <x:c r="F390" s="8" t="n">
        <x:v>447166</x:v>
      </x:c>
      <x:c r="G390" s="8" t="n">
        <x:v>150181</x:v>
      </x:c>
      <x:c r="H390" s="8" t="n">
        <x:v>273177</x:v>
      </x:c>
      <x:c r="I390" s="8" t="n">
        <x:v>41995</x:v>
      </x:c>
      <x:c r="J390" s="8" t="n">
        <x:v>17211</x:v>
      </x:c>
      <x:c r="K390" s="8" t="n">
        <x:v>17359</x:v>
      </x:c>
      <x:c r="L390" s="8" t="n">
        <x:v>3528</x:v>
      </x:c>
      <x:c r="M390" s="8" t="n">
        <x:v>3897</x:v>
      </x:c>
      <x:c r="N390" s="8" t="n">
        <x:v>0</x:v>
      </x:c>
      <x:c r="O390" s="8" t="n">
        <x:v>0</x:v>
      </x:c>
      <x:c r="P390" s="8" t="n">
        <x:v>0</x:v>
      </x:c>
      <x:c r="Q390" s="8" t="n">
        <x:v>0</x:v>
      </x:c>
      <x:c r="R390" s="8" t="n">
        <x:v>0</x:v>
      </x:c>
      <x:c r="S390" s="8" t="n">
        <x:v>394</x:v>
      </x:c>
      <x:c r="T390" s="8" t="n">
        <x:v>124</x:v>
      </x:c>
      <x:c r="U390" s="2" t="str">
        <x:v>2026年9月4日現在</x:v>
      </x:c>
      <x:c r="V390" s="2" t="str">
        <x:v>2026-09-11</x:v>
      </x:c>
      <x:c r="W390" s="2" t="str">
        <x:v>https://www.e-stat.go.jp/stat-search/file-download?statInfId=000040251292&amp;fileKind=0</x:v>
      </x:c>
      <x:c r="X390" s="2" t="str">
        <x:v>海上出入貨物!313行、コンテナ個数!58行</x:v>
      </x:c>
      <x:c r="Y390" s="2" t="str">
        <x:v>取得済</x:v>
      </x:c>
      <x:c r="Z390" s="9" t="n">
        <x:f>IF(AND(ISNUMBER(E390),COUNTIFS($A$2:$A$477,EDATE(A390,-12),$B$2:$B$477,B390,$E$2:$E$477,"&gt;0")=1),E390/SUMIFS($E$2:$E$477,$A$2:$A$477,EDATE(A390,-12),$B$2:$B$477,B390)-1,"")</x:f>
        <x:v>0.18212032313127335</x:v>
      </x:c>
      <x:c r="AA390" s="10" t="n">
        <x:f>IF(COUNTIFS($A$2:$A$477,"&gt;="&amp;EDATE(A390,-2),$A$2:$A$477,"&lt;="&amp;A390,$B$2:$B$477,B390,$E$2:$E$477,"&gt;=0")=3,SUMIFS($E$2:$E$477,$A$2:$A$477,"&gt;="&amp;EDATE(A390,-2),$A$2:$A$477,"&lt;="&amp;A390,$B$2:$B$477,B390)/3,"")</x:f>
        <x:v>259000.33333333334</x:v>
      </x:c>
      <x:c r="AB390" s="9" t="n">
        <x:f>IF(AND(ISNUMBER(J390),COUNTIFS($A$2:$A$477,EDATE(A390,-12),$B$2:$B$477,B390,$J$2:$J$477,"&gt;0")=1),J390/SUMIFS($J$2:$J$477,$A$2:$A$477,EDATE(A390,-12),$B$2:$B$477,B390)-1,"")</x:f>
        <x:v>0.27592853436133136</x:v>
      </x:c>
    </x:row>
    <x:row r="391" ht="21" customHeight="1">
      <x:c r="A391" s="7" t="n">
        <x:v>45870</x:v>
      </x:c>
      <x:c r="B391" s="2" t="str">
        <x:v>博多</x:v>
      </x:c>
      <x:c r="C391" s="2" t="str">
        <x:v>福岡県</x:v>
      </x:c>
      <x:c r="D391" s="8" t="n">
        <x:v>2750531</x:v>
      </x:c>
      <x:c r="E391" s="8" t="n">
        <x:v>619415</x:v>
      </x:c>
      <x:c r="F391" s="8" t="n">
        <x:v>812489</x:v>
      </x:c>
      <x:c r="G391" s="8" t="n">
        <x:v>483533</x:v>
      </x:c>
      <x:c r="H391" s="8" t="n">
        <x:v>835094</x:v>
      </x:c>
      <x:c r="I391" s="8" t="n">
        <x:v>78703</x:v>
      </x:c>
      <x:c r="J391" s="8" t="n">
        <x:v>33326</x:v>
      </x:c>
      <x:c r="K391" s="8" t="n">
        <x:v>33887</x:v>
      </x:c>
      <x:c r="L391" s="8" t="n">
        <x:v>5208</x:v>
      </x:c>
      <x:c r="M391" s="8" t="n">
        <x:v>6282</x:v>
      </x:c>
      <x:c r="N391" s="8" t="n">
        <x:v>0</x:v>
      </x:c>
      <x:c r="O391" s="8" t="n">
        <x:v>0</x:v>
      </x:c>
      <x:c r="P391" s="8" t="n">
        <x:v>1316</x:v>
      </x:c>
      <x:c r="Q391" s="8" t="n">
        <x:v>1386</x:v>
      </x:c>
      <x:c r="R391" s="8" t="n">
        <x:v>2702</x:v>
      </x:c>
      <x:c r="S391" s="8" t="n">
        <x:v>1594</x:v>
      </x:c>
      <x:c r="T391" s="8" t="n">
        <x:v>243</x:v>
      </x:c>
      <x:c r="U391" s="2" t="str">
        <x:v>2026年9月4日現在</x:v>
      </x:c>
      <x:c r="V391" s="2" t="str">
        <x:v>2026-09-11</x:v>
      </x:c>
      <x:c r="W391" s="2" t="str">
        <x:v>https://www.e-stat.go.jp/stat-search/file-download?statInfId=000040251292&amp;fileKind=0</x:v>
      </x:c>
      <x:c r="X391" s="2" t="str">
        <x:v>海上出入貨物!721行、コンテナ個数!126行</x:v>
      </x:c>
      <x:c r="Y391" s="2" t="str">
        <x:v>取得済</x:v>
      </x:c>
      <x:c r="Z391" s="9" t="n">
        <x:f>IF(AND(ISNUMBER(E391),COUNTIFS($A$2:$A$477,EDATE(A391,-12),$B$2:$B$477,B391,$E$2:$E$477,"&gt;0")=1),E391/SUMIFS($E$2:$E$477,$A$2:$A$477,EDATE(A391,-12),$B$2:$B$477,B391)-1,"")</x:f>
        <x:v>0.10387469525669712</x:v>
      </x:c>
      <x:c r="AA391" s="10" t="n">
        <x:f>IF(COUNTIFS($A$2:$A$477,"&gt;="&amp;EDATE(A391,-2),$A$2:$A$477,"&lt;="&amp;A391,$B$2:$B$477,B391,$E$2:$E$477,"&gt;=0")=3,SUMIFS($E$2:$E$477,$A$2:$A$477,"&gt;="&amp;EDATE(A391,-2),$A$2:$A$477,"&lt;="&amp;A391,$B$2:$B$477,B391)/3,"")</x:f>
        <x:v>737192</x:v>
      </x:c>
      <x:c r="AB391" s="9" t="n">
        <x:f>IF(AND(ISNUMBER(J391),COUNTIFS($A$2:$A$477,EDATE(A391,-12),$B$2:$B$477,B391,$J$2:$J$477,"&gt;0")=1),J391/SUMIFS($J$2:$J$477,$A$2:$A$477,EDATE(A391,-12),$B$2:$B$477,B391)-1,"")</x:f>
        <x:v>0.11802200751476111</x:v>
      </x:c>
    </x:row>
    <x:row r="392" ht="21" customHeight="1">
      <x:c r="A392" s="7" t="n">
        <x:v>45870</x:v>
      </x:c>
      <x:c r="B392" s="2" t="str">
        <x:v>熊本</x:v>
      </x:c>
      <x:c r="C392" s="2" t="str">
        <x:v>熊本県</x:v>
      </x:c>
      <x:c r="D392" s="8" t="n">
        <x:v>364778</x:v>
      </x:c>
      <x:c r="E392" s="8" t="n">
        <x:v>2307</x:v>
      </x:c>
      <x:c r="F392" s="8" t="n">
        <x:v>6191</x:v>
      </x:c>
      <x:c r="G392" s="8" t="n">
        <x:v>163891</x:v>
      </x:c>
      <x:c r="H392" s="8" t="n">
        <x:v>192389</x:v>
      </x:c>
      <x:c r="I392" s="8" t="n">
        <x:v>1311</x:v>
      </x:c>
      <x:c r="J392" s="8" t="n">
        <x:v>245</x:v>
      </x:c>
      <x:c r="K392" s="8" t="n">
        <x:v>339</x:v>
      </x:c>
      <x:c r="L392" s="8" t="n">
        <x:v>380</x:v>
      </x:c>
      <x:c r="M392" s="8" t="n">
        <x:v>347</x:v>
      </x:c>
      <x:c r="N392" s="8" t="n">
        <x:v>0</x:v>
      </x:c>
      <x:c r="O392" s="8" t="n">
        <x:v>0</x:v>
      </x:c>
      <x:c r="P392" s="8" t="n">
        <x:v>519</x:v>
      </x:c>
      <x:c r="Q392" s="8" t="n">
        <x:v>523</x:v>
      </x:c>
      <x:c r="R392" s="8" t="n">
        <x:v>1042</x:v>
      </x:c>
      <x:c r="S392" s="8" t="n">
        <x:v>53</x:v>
      </x:c>
      <x:c r="T392" s="8" t="n">
        <x:v>6</x:v>
      </x:c>
      <x:c r="U392" s="2" t="str">
        <x:v>2026年9月4日現在</x:v>
      </x:c>
      <x:c r="V392" s="2" t="str">
        <x:v>2026-09-11</x:v>
      </x:c>
      <x:c r="W392" s="2" t="str">
        <x:v>https://www.e-stat.go.jp/stat-search/file-download?statInfId=000040251292&amp;fileKind=0</x:v>
      </x:c>
      <x:c r="X392" s="2" t="str">
        <x:v>海上出入貨物!829行、コンテナ個数!144行</x:v>
      </x:c>
      <x:c r="Y392" s="2" t="str">
        <x:v>取得済</x:v>
      </x:c>
      <x:c r="Z392" s="9" t="n">
        <x:f>IF(AND(ISNUMBER(E392),COUNTIFS($A$2:$A$477,EDATE(A392,-12),$B$2:$B$477,B392,$E$2:$E$477,"&gt;0")=1),E392/SUMIFS($E$2:$E$477,$A$2:$A$477,EDATE(A392,-12),$B$2:$B$477,B392)-1,"")</x:f>
        <x:v>-0.4494033412887828</x:v>
      </x:c>
      <x:c r="AA392" s="10" t="n">
        <x:f>IF(COUNTIFS($A$2:$A$477,"&gt;="&amp;EDATE(A392,-2),$A$2:$A$477,"&lt;="&amp;A392,$B$2:$B$477,B392,$E$2:$E$477,"&gt;=0")=3,SUMIFS($E$2:$E$477,$A$2:$A$477,"&gt;="&amp;EDATE(A392,-2),$A$2:$A$477,"&lt;="&amp;A392,$B$2:$B$477,B392)/3,"")</x:f>
        <x:v>2253.6666666666665</x:v>
      </x:c>
      <x:c r="AB392" s="9" t="n">
        <x:f>IF(AND(ISNUMBER(J392),COUNTIFS($A$2:$A$477,EDATE(A392,-12),$B$2:$B$477,B392,$J$2:$J$477,"&gt;0")=1),J392/SUMIFS($J$2:$J$477,$A$2:$A$477,EDATE(A392,-12),$B$2:$B$477,B392)-1,"")</x:f>
        <x:v>0</x:v>
      </x:c>
    </x:row>
    <x:row r="393" ht="21" customHeight="1">
      <x:c r="A393" s="7" t="n">
        <x:v>45870</x:v>
      </x:c>
      <x:c r="B393" s="2" t="str">
        <x:v>八代</x:v>
      </x:c>
      <x:c r="C393" s="2" t="str">
        <x:v>熊本県</x:v>
      </x:c>
      <x:c r="D393" s="8" t="n">
        <x:v>252101</x:v>
      </x:c>
      <x:c r="E393" s="8" t="n">
        <x:v>22857</x:v>
      </x:c>
      <x:c r="F393" s="8" t="n">
        <x:v>73790</x:v>
      </x:c>
      <x:c r="G393" s="8" t="n">
        <x:v>24302</x:v>
      </x:c>
      <x:c r="H393" s="8" t="n">
        <x:v>131152</x:v>
      </x:c>
      <x:c r="I393" s="8" t="n">
        <x:v>2045</x:v>
      </x:c>
      <x:c r="J393" s="8" t="n">
        <x:v>1034</x:v>
      </x:c>
      <x:c r="K393" s="8" t="n">
        <x:v>675</x:v>
      </x:c>
      <x:c r="L393" s="8" t="n">
        <x:v>133</x:v>
      </x:c>
      <x:c r="M393" s="8" t="n">
        <x:v>203</x:v>
      </x:c>
      <x:c r="N393" s="8" t="n">
        <x:v>0</x:v>
      </x:c>
      <x:c r="O393" s="8" t="n">
        <x:v>0</x:v>
      </x:c>
      <x:c r="P393" s="8" t="n">
        <x:v>0</x:v>
      </x:c>
      <x:c r="Q393" s="8" t="n">
        <x:v>0</x:v>
      </x:c>
      <x:c r="R393" s="8" t="n">
        <x:v>0</x:v>
      </x:c>
      <x:c r="S393" s="8" t="n">
        <x:v>198</x:v>
      </x:c>
      <x:c r="T393" s="8" t="n">
        <x:v>29</x:v>
      </x:c>
      <x:c r="U393" s="2" t="str">
        <x:v>2026年9月4日現在</x:v>
      </x:c>
      <x:c r="V393" s="2" t="str">
        <x:v>2026-09-11</x:v>
      </x:c>
      <x:c r="W393" s="2" t="str">
        <x:v>https://www.e-stat.go.jp/stat-search/file-download?statInfId=000040251292&amp;fileKind=0</x:v>
      </x:c>
      <x:c r="X393" s="2" t="str">
        <x:v>海上出入貨物!817行、コンテナ個数!142行</x:v>
      </x:c>
      <x:c r="Y393" s="2" t="str">
        <x:v>取得済</x:v>
      </x:c>
      <x:c r="Z393" s="9" t="n">
        <x:f>IF(AND(ISNUMBER(E393),COUNTIFS($A$2:$A$477,EDATE(A393,-12),$B$2:$B$477,B393,$E$2:$E$477,"&gt;0")=1),E393/SUMIFS($E$2:$E$477,$A$2:$A$477,EDATE(A393,-12),$B$2:$B$477,B393)-1,"")</x:f>
        <x:v>0.09374102784955496</x:v>
      </x:c>
      <x:c r="AA393" s="10" t="n">
        <x:f>IF(COUNTIFS($A$2:$A$477,"&gt;="&amp;EDATE(A393,-2),$A$2:$A$477,"&lt;="&amp;A393,$B$2:$B$477,B393,$E$2:$E$477,"&gt;=0")=3,SUMIFS($E$2:$E$477,$A$2:$A$477,"&gt;="&amp;EDATE(A393,-2),$A$2:$A$477,"&lt;="&amp;A393,$B$2:$B$477,B393)/3,"")</x:f>
        <x:v>25231</x:v>
      </x:c>
      <x:c r="AB393" s="9" t="n">
        <x:f>IF(AND(ISNUMBER(J393),COUNTIFS($A$2:$A$477,EDATE(A393,-12),$B$2:$B$477,B393,$J$2:$J$477,"&gt;0")=1),J393/SUMIFS($J$2:$J$477,$A$2:$A$477,EDATE(A393,-12),$B$2:$B$477,B393)-1,"")</x:f>
        <x:v>0.7290969899665551</x:v>
      </x:c>
    </x:row>
    <x:row r="394" ht="21" customHeight="1">
      <x:c r="A394" s="7" t="n">
        <x:v>45901</x:v>
      </x:c>
      <x:c r="B394" s="2" t="str">
        <x:v>仙台塩釜</x:v>
      </x:c>
      <x:c r="C394" s="2" t="str">
        <x:v>宮城県</x:v>
      </x:c>
      <x:c r="D394" s="8" t="n">
        <x:v>3504580</x:v>
      </x:c>
      <x:c r="E394" s="8" t="n">
        <x:v>180626</x:v>
      </x:c>
      <x:c r="F394" s="8" t="n">
        <x:v>962721</x:v>
      </x:c>
      <x:c r="G394" s="8" t="n">
        <x:v>1245302</x:v>
      </x:c>
      <x:c r="H394" s="8" t="n">
        <x:v>1115931</x:v>
      </x:c>
      <x:c r="I394" s="8" t="n">
        <x:v>21451</x:v>
      </x:c>
      <x:c r="J394" s="8" t="n">
        <x:v>6361</x:v>
      </x:c>
      <x:c r="K394" s="8" t="n">
        <x:v>6699</x:v>
      </x:c>
      <x:c r="L394" s="8" t="n">
        <x:v>4553</x:v>
      </x:c>
      <x:c r="M394" s="8" t="n">
        <x:v>3838</x:v>
      </x:c>
      <x:c r="N394" s="8" t="n">
        <x:v>0</x:v>
      </x:c>
      <x:c r="O394" s="8" t="n">
        <x:v>0</x:v>
      </x:c>
      <x:c r="P394" s="8" t="n">
        <x:v>629</x:v>
      </x:c>
      <x:c r="Q394" s="8" t="n">
        <x:v>652</x:v>
      </x:c>
      <x:c r="R394" s="8" t="n">
        <x:v>1281</x:v>
      </x:c>
      <x:c r="S394" s="8" t="n">
        <x:v>2077</x:v>
      </x:c>
      <x:c r="T394" s="8" t="n">
        <x:v>94</x:v>
      </x:c>
      <x:c r="U394" s="2" t="str">
        <x:v>2026年9月4日現在</x:v>
      </x:c>
      <x:c r="V394" s="2" t="str">
        <x:v>2026-09-11</x:v>
      </x:c>
      <x:c r="W394" s="2" t="str">
        <x:v>https://www.e-stat.go.jp/stat-search/file-download?statInfId=000040251292&amp;fileKind=0</x:v>
      </x:c>
      <x:c r="X394" s="2" t="str">
        <x:v>海上出入貨物!145行、コンテナ個数!30行</x:v>
      </x:c>
      <x:c r="Y394" s="2" t="str">
        <x:v>取得済</x:v>
      </x:c>
      <x:c r="Z394" s="9" t="n">
        <x:f>IF(AND(ISNUMBER(E394),COUNTIFS($A$2:$A$477,EDATE(A394,-12),$B$2:$B$477,B394,$E$2:$E$477,"&gt;0")=1),E394/SUMIFS($E$2:$E$477,$A$2:$A$477,EDATE(A394,-12),$B$2:$B$477,B394)-1,"")</x:f>
        <x:v>0.6070786696798762</x:v>
      </x:c>
      <x:c r="AA394" s="10" t="n">
        <x:f>IF(COUNTIFS($A$2:$A$477,"&gt;="&amp;EDATE(A394,-2),$A$2:$A$477,"&lt;="&amp;A394,$B$2:$B$477,B394,$E$2:$E$477,"&gt;=0")=3,SUMIFS($E$2:$E$477,$A$2:$A$477,"&gt;="&amp;EDATE(A394,-2),$A$2:$A$477,"&lt;="&amp;A394,$B$2:$B$477,B394)/3,"")</x:f>
        <x:v>137982.66666666666</x:v>
      </x:c>
      <x:c r="AB394" s="9" t="n">
        <x:f>IF(AND(ISNUMBER(J394),COUNTIFS($A$2:$A$477,EDATE(A394,-12),$B$2:$B$477,B394,$J$2:$J$477,"&gt;0")=1),J394/SUMIFS($J$2:$J$477,$A$2:$A$477,EDATE(A394,-12),$B$2:$B$477,B394)-1,"")</x:f>
        <x:v>0.19860561522517428</x:v>
      </x:c>
    </x:row>
    <x:row r="395" ht="21" customHeight="1">
      <x:c r="A395" s="7" t="n">
        <x:v>45901</x:v>
      </x:c>
      <x:c r="B395" s="2" t="str">
        <x:v>東京</x:v>
      </x:c>
      <x:c r="C395" s="2" t="str">
        <x:v>東京都</x:v>
      </x:c>
      <x:c r="D395" s="8" t="n">
        <x:v>6854134</x:v>
      </x:c>
      <x:c r="E395" s="8" t="n">
        <x:v>860335</x:v>
      </x:c>
      <x:c r="F395" s="8" t="n">
        <x:v>2811810</x:v>
      </x:c>
      <x:c r="G395" s="8" t="n">
        <x:v>1234876</x:v>
      </x:c>
      <x:c r="H395" s="8" t="n">
        <x:v>1947113</x:v>
      </x:c>
      <x:c r="I395" s="8" t="n">
        <x:v>397989</x:v>
      </x:c>
      <x:c r="J395" s="8" t="n">
        <x:v>155774</x:v>
      </x:c>
      <x:c r="K395" s="8" t="n">
        <x:v>189105</x:v>
      </x:c>
      <x:c r="L395" s="8" t="n">
        <x:v>40873</x:v>
      </x:c>
      <x:c r="M395" s="8" t="n">
        <x:v>12237</x:v>
      </x:c>
      <x:c r="N395" s="8" t="n">
        <x:v>0</x:v>
      </x:c>
      <x:c r="O395" s="8" t="n">
        <x:v>0</x:v>
      </x:c>
      <x:c r="P395" s="8" t="n">
        <x:v>528</x:v>
      </x:c>
      <x:c r="Q395" s="8" t="n">
        <x:v>221</x:v>
      </x:c>
      <x:c r="R395" s="8" t="n">
        <x:v>749</x:v>
      </x:c>
      <x:c r="S395" s="8" t="n">
        <x:v>1549</x:v>
      </x:c>
      <x:c r="T395" s="8" t="n">
        <x:v>384</x:v>
      </x:c>
      <x:c r="U395" s="2" t="str">
        <x:v>2026年9月4日現在</x:v>
      </x:c>
      <x:c r="V395" s="2" t="str">
        <x:v>2026-09-11</x:v>
      </x:c>
      <x:c r="W395" s="2" t="str">
        <x:v>https://www.e-stat.go.jp/stat-search/file-download?statInfId=000040251292&amp;fileKind=0</x:v>
      </x:c>
      <x:c r="X395" s="2" t="str">
        <x:v>海上出入貨物!211行、コンテナ個数!41行</x:v>
      </x:c>
      <x:c r="Y395" s="2" t="str">
        <x:v>取得済</x:v>
      </x:c>
      <x:c r="Z395" s="9" t="n">
        <x:f>IF(AND(ISNUMBER(E395),COUNTIFS($A$2:$A$477,EDATE(A395,-12),$B$2:$B$477,B395,$E$2:$E$477,"&gt;0")=1),E395/SUMIFS($E$2:$E$477,$A$2:$A$477,EDATE(A395,-12),$B$2:$B$477,B395)-1,"")</x:f>
        <x:v>-0.03187819018211613</x:v>
      </x:c>
      <x:c r="AA395" s="10" t="n">
        <x:f>IF(COUNTIFS($A$2:$A$477,"&gt;="&amp;EDATE(A395,-2),$A$2:$A$477,"&lt;="&amp;A395,$B$2:$B$477,B395,$E$2:$E$477,"&gt;=0")=3,SUMIFS($E$2:$E$477,$A$2:$A$477,"&gt;="&amp;EDATE(A395,-2),$A$2:$A$477,"&lt;="&amp;A395,$B$2:$B$477,B395)/3,"")</x:f>
        <x:v>859781.6666666666</x:v>
      </x:c>
      <x:c r="AB395" s="9" t="n">
        <x:f>IF(AND(ISNUMBER(J395),COUNTIFS($A$2:$A$477,EDATE(A395,-12),$B$2:$B$477,B395,$J$2:$J$477,"&gt;0")=1),J395/SUMIFS($J$2:$J$477,$A$2:$A$477,EDATE(A395,-12),$B$2:$B$477,B395)-1,"")</x:f>
        <x:v>-0.029294282598535615</x:v>
      </x:c>
    </x:row>
    <x:row r="396" ht="21" customHeight="1">
      <x:c r="A396" s="7" t="n">
        <x:v>45901</x:v>
      </x:c>
      <x:c r="B396" s="2" t="str">
        <x:v>横浜</x:v>
      </x:c>
      <x:c r="C396" s="2" t="str">
        <x:v>神奈川県</x:v>
      </x:c>
      <x:c r="D396" s="8" t="n">
        <x:v>8746665</x:v>
      </x:c>
      <x:c r="E396" s="8" t="n">
        <x:v>2655406</x:v>
      </x:c>
      <x:c r="F396" s="8" t="n">
        <x:v>3369442</x:v>
      </x:c>
      <x:c r="G396" s="8" t="n">
        <x:v>1033159</x:v>
      </x:c>
      <x:c r="H396" s="8" t="n">
        <x:v>1688658</x:v>
      </x:c>
      <x:c r="I396" s="8" t="n">
        <x:v>257459</x:v>
      </x:c>
      <x:c r="J396" s="8" t="n">
        <x:v>124133</x:v>
      </x:c>
      <x:c r="K396" s="8" t="n">
        <x:v>102839</x:v>
      </x:c>
      <x:c r="L396" s="8" t="n">
        <x:v>12516</x:v>
      </x:c>
      <x:c r="M396" s="8" t="n">
        <x:v>17971</x:v>
      </x:c>
      <x:c r="N396" s="8" t="n">
        <x:v>0</x:v>
      </x:c>
      <x:c r="O396" s="8" t="n">
        <x:v>0</x:v>
      </x:c>
      <x:c r="P396" s="8" t="n">
        <x:v>0</x:v>
      </x:c>
      <x:c r="Q396" s="8" t="n">
        <x:v>0</x:v>
      </x:c>
      <x:c r="R396" s="8" t="n">
        <x:v>0</x:v>
      </x:c>
      <x:c r="S396" s="8" t="n">
        <x:v>2057</x:v>
      </x:c>
      <x:c r="T396" s="8" t="n">
        <x:v>696</x:v>
      </x:c>
      <x:c r="U396" s="2" t="str">
        <x:v>2026年9月4日現在</x:v>
      </x:c>
      <x:c r="V396" s="2" t="str">
        <x:v>2026-09-11</x:v>
      </x:c>
      <x:c r="W396" s="2" t="str">
        <x:v>https://www.e-stat.go.jp/stat-search/file-download?statInfId=000040251292&amp;fileKind=0</x:v>
      </x:c>
      <x:c r="X396" s="2" t="str">
        <x:v>海上出入貨物!223行、コンテナ個数!43行</x:v>
      </x:c>
      <x:c r="Y396" s="2" t="str">
        <x:v>取得済</x:v>
      </x:c>
      <x:c r="Z396" s="9" t="n">
        <x:f>IF(AND(ISNUMBER(E396),COUNTIFS($A$2:$A$477,EDATE(A396,-12),$B$2:$B$477,B396,$E$2:$E$477,"&gt;0")=1),E396/SUMIFS($E$2:$E$477,$A$2:$A$477,EDATE(A396,-12),$B$2:$B$477,B396)-1,"")</x:f>
        <x:v>0.08536977656245859</x:v>
      </x:c>
      <x:c r="AA396" s="10" t="n">
        <x:f>IF(COUNTIFS($A$2:$A$477,"&gt;="&amp;EDATE(A396,-2),$A$2:$A$477,"&lt;="&amp;A396,$B$2:$B$477,B396,$E$2:$E$477,"&gt;=0")=3,SUMIFS($E$2:$E$477,$A$2:$A$477,"&gt;="&amp;EDATE(A396,-2),$A$2:$A$477,"&lt;="&amp;A396,$B$2:$B$477,B396)/3,"")</x:f>
        <x:v>2556682</x:v>
      </x:c>
      <x:c r="AB396" s="9" t="n">
        <x:f>IF(AND(ISNUMBER(J396),COUNTIFS($A$2:$A$477,EDATE(A396,-12),$B$2:$B$477,B396,$J$2:$J$477,"&gt;0")=1),J396/SUMIFS($J$2:$J$477,$A$2:$A$477,EDATE(A396,-12),$B$2:$B$477,B396)-1,"")</x:f>
        <x:v>0.01294197328371971</x:v>
      </x:c>
    </x:row>
    <x:row r="397" ht="21" customHeight="1">
      <x:c r="A397" s="7" t="n">
        <x:v>45901</x:v>
      </x:c>
      <x:c r="B397" s="2" t="str">
        <x:v>清水</x:v>
      </x:c>
      <x:c r="C397" s="2" t="str">
        <x:v>静岡県</x:v>
      </x:c>
      <x:c r="D397" s="8" t="n">
        <x:v>1257234</x:v>
      </x:c>
      <x:c r="E397" s="8" t="n">
        <x:v>249667</x:v>
      </x:c>
      <x:c r="F397" s="8" t="n">
        <x:v>545714</x:v>
      </x:c>
      <x:c r="G397" s="8" t="n">
        <x:v>163866</x:v>
      </x:c>
      <x:c r="H397" s="8" t="n">
        <x:v>297987</x:v>
      </x:c>
      <x:c r="I397" s="8" t="n">
        <x:v>41282</x:v>
      </x:c>
      <x:c r="J397" s="8" t="n">
        <x:v>15690</x:v>
      </x:c>
      <x:c r="K397" s="8" t="n">
        <x:v>16244</x:v>
      </x:c>
      <x:c r="L397" s="8" t="n">
        <x:v>4568</x:v>
      </x:c>
      <x:c r="M397" s="8" t="n">
        <x:v>4780</x:v>
      </x:c>
      <x:c r="N397" s="8" t="n">
        <x:v>0</x:v>
      </x:c>
      <x:c r="O397" s="8" t="n">
        <x:v>0</x:v>
      </x:c>
      <x:c r="P397" s="8" t="n">
        <x:v>1</x:v>
      </x:c>
      <x:c r="Q397" s="8" t="n">
        <x:v>0</x:v>
      </x:c>
      <x:c r="R397" s="8" t="n">
        <x:v>1</x:v>
      </x:c>
      <x:c r="S397" s="8" t="n">
        <x:v>403</x:v>
      </x:c>
      <x:c r="T397" s="8" t="n">
        <x:v>113</x:v>
      </x:c>
      <x:c r="U397" s="2" t="str">
        <x:v>2026年9月4日現在</x:v>
      </x:c>
      <x:c r="V397" s="2" t="str">
        <x:v>2026-09-11</x:v>
      </x:c>
      <x:c r="W397" s="2" t="str">
        <x:v>https://www.e-stat.go.jp/stat-search/file-download?statInfId=000040251292&amp;fileKind=0</x:v>
      </x:c>
      <x:c r="X397" s="2" t="str">
        <x:v>海上出入貨物!313行、コンテナ個数!58行</x:v>
      </x:c>
      <x:c r="Y397" s="2" t="str">
        <x:v>取得済</x:v>
      </x:c>
      <x:c r="Z397" s="9" t="n">
        <x:f>IF(AND(ISNUMBER(E397),COUNTIFS($A$2:$A$477,EDATE(A397,-12),$B$2:$B$477,B397,$E$2:$E$477,"&gt;0")=1),E397/SUMIFS($E$2:$E$477,$A$2:$A$477,EDATE(A397,-12),$B$2:$B$477,B397)-1,"")</x:f>
        <x:v>-0.2282819353303186</x:v>
      </x:c>
      <x:c r="AA397" s="10" t="n">
        <x:f>IF(COUNTIFS($A$2:$A$477,"&gt;="&amp;EDATE(A397,-2),$A$2:$A$477,"&lt;="&amp;A397,$B$2:$B$477,B397,$E$2:$E$477,"&gt;=0")=3,SUMIFS($E$2:$E$477,$A$2:$A$477,"&gt;="&amp;EDATE(A397,-2),$A$2:$A$477,"&lt;="&amp;A397,$B$2:$B$477,B397)/3,"")</x:f>
        <x:v>254719.66666666666</x:v>
      </x:c>
      <x:c r="AB397" s="9" t="n">
        <x:f>IF(AND(ISNUMBER(J397),COUNTIFS($A$2:$A$477,EDATE(A397,-12),$B$2:$B$477,B397,$J$2:$J$477,"&gt;0")=1),J397/SUMIFS($J$2:$J$477,$A$2:$A$477,EDATE(A397,-12),$B$2:$B$477,B397)-1,"")</x:f>
        <x:v>-0.14022686174584909</x:v>
      </x:c>
    </x:row>
    <x:row r="398" ht="21" customHeight="1">
      <x:c r="A398" s="7" t="n">
        <x:v>45901</x:v>
      </x:c>
      <x:c r="B398" s="2" t="str">
        <x:v>博多</x:v>
      </x:c>
      <x:c r="C398" s="2" t="str">
        <x:v>福岡県</x:v>
      </x:c>
      <x:c r="D398" s="8" t="n">
        <x:v>2921501</x:v>
      </x:c>
      <x:c r="E398" s="8" t="n">
        <x:v>774776</x:v>
      </x:c>
      <x:c r="F398" s="8" t="n">
        <x:v>737164</x:v>
      </x:c>
      <x:c r="G398" s="8" t="n">
        <x:v>491709</x:v>
      </x:c>
      <x:c r="H398" s="8" t="n">
        <x:v>917852</x:v>
      </x:c>
      <x:c r="I398" s="8" t="n">
        <x:v>76540</x:v>
      </x:c>
      <x:c r="J398" s="8" t="n">
        <x:v>33330</x:v>
      </x:c>
      <x:c r="K398" s="8" t="n">
        <x:v>32321</x:v>
      </x:c>
      <x:c r="L398" s="8" t="n">
        <x:v>4537</x:v>
      </x:c>
      <x:c r="M398" s="8" t="n">
        <x:v>6352</x:v>
      </x:c>
      <x:c r="N398" s="8" t="n">
        <x:v>0</x:v>
      </x:c>
      <x:c r="O398" s="8" t="n">
        <x:v>0</x:v>
      </x:c>
      <x:c r="P398" s="8" t="n">
        <x:v>1399</x:v>
      </x:c>
      <x:c r="Q398" s="8" t="n">
        <x:v>1353</x:v>
      </x:c>
      <x:c r="R398" s="8" t="n">
        <x:v>2752</x:v>
      </x:c>
      <x:c r="S398" s="8" t="n">
        <x:v>1515</x:v>
      </x:c>
      <x:c r="T398" s="8" t="n">
        <x:v>234</x:v>
      </x:c>
      <x:c r="U398" s="2" t="str">
        <x:v>2026年9月4日現在</x:v>
      </x:c>
      <x:c r="V398" s="2" t="str">
        <x:v>2026-09-11</x:v>
      </x:c>
      <x:c r="W398" s="2" t="str">
        <x:v>https://www.e-stat.go.jp/stat-search/file-download?statInfId=000040251292&amp;fileKind=0</x:v>
      </x:c>
      <x:c r="X398" s="2" t="str">
        <x:v>海上出入貨物!721行、コンテナ個数!126行</x:v>
      </x:c>
      <x:c r="Y398" s="2" t="str">
        <x:v>取得済</x:v>
      </x:c>
      <x:c r="Z398" s="9" t="n">
        <x:f>IF(AND(ISNUMBER(E398),COUNTIFS($A$2:$A$477,EDATE(A398,-12),$B$2:$B$477,B398,$E$2:$E$477,"&gt;0")=1),E398/SUMIFS($E$2:$E$477,$A$2:$A$477,EDATE(A398,-12),$B$2:$B$477,B398)-1,"")</x:f>
        <x:v>0.16704575238221486</x:v>
      </x:c>
      <x:c r="AA398" s="10" t="n">
        <x:f>IF(COUNTIFS($A$2:$A$477,"&gt;="&amp;EDATE(A398,-2),$A$2:$A$477,"&lt;="&amp;A398,$B$2:$B$477,B398,$E$2:$E$477,"&gt;=0")=3,SUMIFS($E$2:$E$477,$A$2:$A$477,"&gt;="&amp;EDATE(A398,-2),$A$2:$A$477,"&lt;="&amp;A398,$B$2:$B$477,B398)/3,"")</x:f>
        <x:v>735780.6666666666</x:v>
      </x:c>
      <x:c r="AB398" s="9" t="n">
        <x:f>IF(AND(ISNUMBER(J398),COUNTIFS($A$2:$A$477,EDATE(A398,-12),$B$2:$B$477,B398,$J$2:$J$477,"&gt;0")=1),J398/SUMIFS($J$2:$J$477,$A$2:$A$477,EDATE(A398,-12),$B$2:$B$477,B398)-1,"")</x:f>
        <x:v>-0.015100026594958793</x:v>
      </x:c>
    </x:row>
    <x:row r="399" ht="21" customHeight="1">
      <x:c r="A399" s="7" t="n">
        <x:v>45901</x:v>
      </x:c>
      <x:c r="B399" s="2" t="str">
        <x:v>熊本</x:v>
      </x:c>
      <x:c r="C399" s="2" t="str">
        <x:v>熊本県</x:v>
      </x:c>
      <x:c r="D399" s="8" t="n">
        <x:v>276331</x:v>
      </x:c>
      <x:c r="E399" s="8" t="n">
        <x:v>2634</x:v>
      </x:c>
      <x:c r="F399" s="8" t="n">
        <x:v>5523</x:v>
      </x:c>
      <x:c r="G399" s="8" t="n">
        <x:v>105109</x:v>
      </x:c>
      <x:c r="H399" s="8" t="n">
        <x:v>163065</x:v>
      </x:c>
      <x:c r="I399" s="8" t="n">
        <x:v>1337</x:v>
      </x:c>
      <x:c r="J399" s="8" t="n">
        <x:v>246</x:v>
      </x:c>
      <x:c r="K399" s="8" t="n">
        <x:v>288</x:v>
      </x:c>
      <x:c r="L399" s="8" t="n">
        <x:v>444</x:v>
      </x:c>
      <x:c r="M399" s="8" t="n">
        <x:v>359</x:v>
      </x:c>
      <x:c r="N399" s="8" t="n">
        <x:v>0</x:v>
      </x:c>
      <x:c r="O399" s="8" t="n">
        <x:v>0</x:v>
      </x:c>
      <x:c r="P399" s="8" t="n">
        <x:v>573</x:v>
      </x:c>
      <x:c r="Q399" s="8" t="n">
        <x:v>572</x:v>
      </x:c>
      <x:c r="R399" s="8" t="n">
        <x:v>1145</x:v>
      </x:c>
      <x:c r="S399" s="8" t="n">
        <x:v>42</x:v>
      </x:c>
      <x:c r="T399" s="8" t="n">
        <x:v>9</x:v>
      </x:c>
      <x:c r="U399" s="2" t="str">
        <x:v>2026年9月4日現在</x:v>
      </x:c>
      <x:c r="V399" s="2" t="str">
        <x:v>2026-09-11</x:v>
      </x:c>
      <x:c r="W399" s="2" t="str">
        <x:v>https://www.e-stat.go.jp/stat-search/file-download?statInfId=000040251292&amp;fileKind=0</x:v>
      </x:c>
      <x:c r="X399" s="2" t="str">
        <x:v>海上出入貨物!829行、コンテナ個数!144行</x:v>
      </x:c>
      <x:c r="Y399" s="2" t="str">
        <x:v>取得済</x:v>
      </x:c>
      <x:c r="Z399" s="9" t="n">
        <x:f>IF(AND(ISNUMBER(E399),COUNTIFS($A$2:$A$477,EDATE(A399,-12),$B$2:$B$477,B399,$E$2:$E$477,"&gt;0")=1),E399/SUMIFS($E$2:$E$477,$A$2:$A$477,EDATE(A399,-12),$B$2:$B$477,B399)-1,"")</x:f>
        <x:v>0.29307805596465397</x:v>
      </x:c>
      <x:c r="AA399" s="10" t="n">
        <x:f>IF(COUNTIFS($A$2:$A$477,"&gt;="&amp;EDATE(A399,-2),$A$2:$A$477,"&lt;="&amp;A399,$B$2:$B$477,B399,$E$2:$E$477,"&gt;=0")=3,SUMIFS($E$2:$E$477,$A$2:$A$477,"&gt;="&amp;EDATE(A399,-2),$A$2:$A$477,"&lt;="&amp;A399,$B$2:$B$477,B399)/3,"")</x:f>
        <x:v>2409.3333333333335</x:v>
      </x:c>
      <x:c r="AB399" s="9" t="n">
        <x:f>IF(AND(ISNUMBER(J399),COUNTIFS($A$2:$A$477,EDATE(A399,-12),$B$2:$B$477,B399,$J$2:$J$477,"&gt;0")=1),J399/SUMIFS($J$2:$J$477,$A$2:$A$477,EDATE(A399,-12),$B$2:$B$477,B399)-1,"")</x:f>
        <x:v>0.7826086956521738</x:v>
      </x:c>
    </x:row>
    <x:row r="400" ht="21" customHeight="1">
      <x:c r="A400" s="7" t="n">
        <x:v>45901</x:v>
      </x:c>
      <x:c r="B400" s="2" t="str">
        <x:v>八代</x:v>
      </x:c>
      <x:c r="C400" s="2" t="str">
        <x:v>熊本県</x:v>
      </x:c>
      <x:c r="D400" s="8" t="n">
        <x:v>342267</x:v>
      </x:c>
      <x:c r="E400" s="8" t="n">
        <x:v>22392</x:v>
      </x:c>
      <x:c r="F400" s="8" t="n">
        <x:v>158436</x:v>
      </x:c>
      <x:c r="G400" s="8" t="n">
        <x:v>20971</x:v>
      </x:c>
      <x:c r="H400" s="8" t="n">
        <x:v>140468</x:v>
      </x:c>
      <x:c r="I400" s="8" t="n">
        <x:v>1523</x:v>
      </x:c>
      <x:c r="J400" s="8" t="n">
        <x:v>602</x:v>
      </x:c>
      <x:c r="K400" s="8" t="n">
        <x:v>559</x:v>
      </x:c>
      <x:c r="L400" s="8" t="n">
        <x:v>208</x:v>
      </x:c>
      <x:c r="M400" s="8" t="n">
        <x:v>154</x:v>
      </x:c>
      <x:c r="N400" s="8" t="n">
        <x:v>0</x:v>
      </x:c>
      <x:c r="O400" s="8" t="n">
        <x:v>0</x:v>
      </x:c>
      <x:c r="P400" s="8" t="n">
        <x:v>0</x:v>
      </x:c>
      <x:c r="Q400" s="8" t="n">
        <x:v>0</x:v>
      </x:c>
      <x:c r="R400" s="8" t="n">
        <x:v>0</x:v>
      </x:c>
      <x:c r="S400" s="8" t="n">
        <x:v>191</x:v>
      </x:c>
      <x:c r="T400" s="8" t="n">
        <x:v>34</x:v>
      </x:c>
      <x:c r="U400" s="2" t="str">
        <x:v>2026年9月4日現在</x:v>
      </x:c>
      <x:c r="V400" s="2" t="str">
        <x:v>2026-09-11</x:v>
      </x:c>
      <x:c r="W400" s="2" t="str">
        <x:v>https://www.e-stat.go.jp/stat-search/file-download?statInfId=000040251292&amp;fileKind=0</x:v>
      </x:c>
      <x:c r="X400" s="2" t="str">
        <x:v>海上出入貨物!817行、コンテナ個数!142行</x:v>
      </x:c>
      <x:c r="Y400" s="2" t="str">
        <x:v>取得済</x:v>
      </x:c>
      <x:c r="Z400" s="9" t="n">
        <x:f>IF(AND(ISNUMBER(E400),COUNTIFS($A$2:$A$477,EDATE(A400,-12),$B$2:$B$477,B400,$E$2:$E$477,"&gt;0")=1),E400/SUMIFS($E$2:$E$477,$A$2:$A$477,EDATE(A400,-12),$B$2:$B$477,B400)-1,"")</x:f>
        <x:v>0.19150747618794228</x:v>
      </x:c>
      <x:c r="AA400" s="10" t="n">
        <x:f>IF(COUNTIFS($A$2:$A$477,"&gt;="&amp;EDATE(A400,-2),$A$2:$A$477,"&lt;="&amp;A400,$B$2:$B$477,B400,$E$2:$E$477,"&gt;=0")=3,SUMIFS($E$2:$E$477,$A$2:$A$477,"&gt;="&amp;EDATE(A400,-2),$A$2:$A$477,"&lt;="&amp;A400,$B$2:$B$477,B400)/3,"")</x:f>
        <x:v>21391.333333333332</x:v>
      </x:c>
      <x:c r="AB400" s="9" t="n">
        <x:f>IF(AND(ISNUMBER(J400),COUNTIFS($A$2:$A$477,EDATE(A400,-12),$B$2:$B$477,B400,$J$2:$J$477,"&gt;0")=1),J400/SUMIFS($J$2:$J$477,$A$2:$A$477,EDATE(A400,-12),$B$2:$B$477,B400)-1,"")</x:f>
        <x:v>-0.20893561103810776</x:v>
      </x:c>
    </x:row>
    <x:row r="401" ht="21" customHeight="1">
      <x:c r="A401" s="7" t="n">
        <x:v>45931</x:v>
      </x:c>
      <x:c r="B401" s="2" t="str">
        <x:v>仙台塩釜</x:v>
      </x:c>
      <x:c r="C401" s="2" t="str">
        <x:v>宮城県</x:v>
      </x:c>
      <x:c r="D401" s="8" t="n">
        <x:v>3902516</x:v>
      </x:c>
      <x:c r="E401" s="8" t="n">
        <x:v>90803</x:v>
      </x:c>
      <x:c r="F401" s="8" t="n">
        <x:v>1426890</x:v>
      </x:c>
      <x:c r="G401" s="8" t="n">
        <x:v>1276878</x:v>
      </x:c>
      <x:c r="H401" s="8" t="n">
        <x:v>1107945</x:v>
      </x:c>
      <x:c r="I401" s="8" t="n">
        <x:v>21953</x:v>
      </x:c>
      <x:c r="J401" s="8" t="n">
        <x:v>6913</x:v>
      </x:c>
      <x:c r="K401" s="8" t="n">
        <x:v>6279</x:v>
      </x:c>
      <x:c r="L401" s="8" t="n">
        <x:v>4311</x:v>
      </x:c>
      <x:c r="M401" s="8" t="n">
        <x:v>4450</x:v>
      </x:c>
      <x:c r="N401" s="8" t="n">
        <x:v>0</x:v>
      </x:c>
      <x:c r="O401" s="8" t="n">
        <x:v>0</x:v>
      </x:c>
      <x:c r="P401" s="8" t="n">
        <x:v>631</x:v>
      </x:c>
      <x:c r="Q401" s="8" t="n">
        <x:v>681</x:v>
      </x:c>
      <x:c r="R401" s="8" t="n">
        <x:v>1312</x:v>
      </x:c>
      <x:c r="S401" s="8" t="n">
        <x:v>2205</x:v>
      </x:c>
      <x:c r="T401" s="8" t="n">
        <x:v>91</x:v>
      </x:c>
      <x:c r="U401" s="2" t="str">
        <x:v>2026年9月4日現在</x:v>
      </x:c>
      <x:c r="V401" s="2" t="str">
        <x:v>2026-09-11</x:v>
      </x:c>
      <x:c r="W401" s="2" t="str">
        <x:v>https://www.e-stat.go.jp/stat-search/file-download?statInfId=000040251292&amp;fileKind=0</x:v>
      </x:c>
      <x:c r="X401" s="2" t="str">
        <x:v>海上出入貨物!145行、コンテナ個数!30行</x:v>
      </x:c>
      <x:c r="Y401" s="2" t="str">
        <x:v>取得済</x:v>
      </x:c>
      <x:c r="Z401" s="9" t="n">
        <x:f>IF(AND(ISNUMBER(E401),COUNTIFS($A$2:$A$477,EDATE(A401,-12),$B$2:$B$477,B401,$E$2:$E$477,"&gt;0")=1),E401/SUMIFS($E$2:$E$477,$A$2:$A$477,EDATE(A401,-12),$B$2:$B$477,B401)-1,"")</x:f>
        <x:v>-0.34089919284594394</x:v>
      </x:c>
      <x:c r="AA401" s="10" t="n">
        <x:f>IF(COUNTIFS($A$2:$A$477,"&gt;="&amp;EDATE(A401,-2),$A$2:$A$477,"&lt;="&amp;A401,$B$2:$B$477,B401,$E$2:$E$477,"&gt;=0")=3,SUMIFS($E$2:$E$477,$A$2:$A$477,"&gt;="&amp;EDATE(A401,-2),$A$2:$A$477,"&lt;="&amp;A401,$B$2:$B$477,B401)/3,"")</x:f>
        <x:v>128790.66666666667</x:v>
      </x:c>
      <x:c r="AB401" s="9" t="n">
        <x:f>IF(AND(ISNUMBER(J401),COUNTIFS($A$2:$A$477,EDATE(A401,-12),$B$2:$B$477,B401,$J$2:$J$477,"&gt;0")=1),J401/SUMIFS($J$2:$J$477,$A$2:$A$477,EDATE(A401,-12),$B$2:$B$477,B401)-1,"")</x:f>
        <x:v>0.4749306592703222</x:v>
      </x:c>
    </x:row>
    <x:row r="402" ht="21" customHeight="1">
      <x:c r="A402" s="7" t="n">
        <x:v>45931</x:v>
      </x:c>
      <x:c r="B402" s="2" t="str">
        <x:v>東京</x:v>
      </x:c>
      <x:c r="C402" s="2" t="str">
        <x:v>東京都</x:v>
      </x:c>
      <x:c r="D402" s="8" t="n">
        <x:v>7186381</x:v>
      </x:c>
      <x:c r="E402" s="8" t="n">
        <x:v>934067</x:v>
      </x:c>
      <x:c r="F402" s="8" t="n">
        <x:v>2948965</x:v>
      </x:c>
      <x:c r="G402" s="8" t="n">
        <x:v>1212536</x:v>
      </x:c>
      <x:c r="H402" s="8" t="n">
        <x:v>2090813</x:v>
      </x:c>
      <x:c r="I402" s="8" t="n">
        <x:v>404996</x:v>
      </x:c>
      <x:c r="J402" s="8" t="n">
        <x:v>159567</x:v>
      </x:c>
      <x:c r="K402" s="8" t="n">
        <x:v>196167</x:v>
      </x:c>
      <x:c r="L402" s="8" t="n">
        <x:v>37792</x:v>
      </x:c>
      <x:c r="M402" s="8" t="n">
        <x:v>11470</x:v>
      </x:c>
      <x:c r="N402" s="8" t="n">
        <x:v>0</x:v>
      </x:c>
      <x:c r="O402" s="8" t="n">
        <x:v>0</x:v>
      </x:c>
      <x:c r="P402" s="8" t="n">
        <x:v>719</x:v>
      </x:c>
      <x:c r="Q402" s="8" t="n">
        <x:v>268</x:v>
      </x:c>
      <x:c r="R402" s="8" t="n">
        <x:v>987</x:v>
      </x:c>
      <x:c r="S402" s="8" t="n">
        <x:v>1605</x:v>
      </x:c>
      <x:c r="T402" s="8" t="n">
        <x:v>402</x:v>
      </x:c>
      <x:c r="U402" s="2" t="str">
        <x:v>2026年9月4日現在</x:v>
      </x:c>
      <x:c r="V402" s="2" t="str">
        <x:v>2026-09-11</x:v>
      </x:c>
      <x:c r="W402" s="2" t="str">
        <x:v>https://www.e-stat.go.jp/stat-search/file-download?statInfId=000040251292&amp;fileKind=0</x:v>
      </x:c>
      <x:c r="X402" s="2" t="str">
        <x:v>海上出入貨物!211行、コンテナ個数!41行</x:v>
      </x:c>
      <x:c r="Y402" s="2" t="str">
        <x:v>取得済</x:v>
      </x:c>
      <x:c r="Z402" s="9" t="n">
        <x:f>IF(AND(ISNUMBER(E402),COUNTIFS($A$2:$A$477,EDATE(A402,-12),$B$2:$B$477,B402,$E$2:$E$477,"&gt;0")=1),E402/SUMIFS($E$2:$E$477,$A$2:$A$477,EDATE(A402,-12),$B$2:$B$477,B402)-1,"")</x:f>
        <x:v>-0.0013439193263510285</x:v>
      </x:c>
      <x:c r="AA402" s="10" t="n">
        <x:f>IF(COUNTIFS($A$2:$A$477,"&gt;="&amp;EDATE(A402,-2),$A$2:$A$477,"&lt;="&amp;A402,$B$2:$B$477,B402,$E$2:$E$477,"&gt;=0")=3,SUMIFS($E$2:$E$477,$A$2:$A$477,"&gt;="&amp;EDATE(A402,-2),$A$2:$A$477,"&lt;="&amp;A402,$B$2:$B$477,B402)/3,"")</x:f>
        <x:v>876728</x:v>
      </x:c>
      <x:c r="AB402" s="9" t="n">
        <x:f>IF(AND(ISNUMBER(J402),COUNTIFS($A$2:$A$477,EDATE(A402,-12),$B$2:$B$477,B402,$J$2:$J$477,"&gt;0")=1),J402/SUMIFS($J$2:$J$477,$A$2:$A$477,EDATE(A402,-12),$B$2:$B$477,B402)-1,"")</x:f>
        <x:v>-0.03248749431559805</x:v>
      </x:c>
    </x:row>
    <x:row r="403" ht="21" customHeight="1">
      <x:c r="A403" s="7" t="n">
        <x:v>45931</x:v>
      </x:c>
      <x:c r="B403" s="2" t="str">
        <x:v>横浜</x:v>
      </x:c>
      <x:c r="C403" s="2" t="str">
        <x:v>神奈川県</x:v>
      </x:c>
      <x:c r="D403" s="8" t="n">
        <x:v>8447170</x:v>
      </x:c>
      <x:c r="E403" s="8" t="n">
        <x:v>2484419</x:v>
      </x:c>
      <x:c r="F403" s="8" t="n">
        <x:v>3480808</x:v>
      </x:c>
      <x:c r="G403" s="8" t="n">
        <x:v>923674</x:v>
      </x:c>
      <x:c r="H403" s="8" t="n">
        <x:v>1558269</x:v>
      </x:c>
      <x:c r="I403" s="8" t="n">
        <x:v>279238</x:v>
      </x:c>
      <x:c r="J403" s="8" t="n">
        <x:v>132923</x:v>
      </x:c>
      <x:c r="K403" s="8" t="n">
        <x:v>113930</x:v>
      </x:c>
      <x:c r="L403" s="8" t="n">
        <x:v>13855</x:v>
      </x:c>
      <x:c r="M403" s="8" t="n">
        <x:v>18530</x:v>
      </x:c>
      <x:c r="N403" s="8" t="n">
        <x:v>0</x:v>
      </x:c>
      <x:c r="O403" s="8" t="n">
        <x:v>0</x:v>
      </x:c>
      <x:c r="P403" s="8" t="n">
        <x:v>0</x:v>
      </x:c>
      <x:c r="Q403" s="8" t="n">
        <x:v>0</x:v>
      </x:c>
      <x:c r="R403" s="8" t="n">
        <x:v>0</x:v>
      </x:c>
      <x:c r="S403" s="8" t="n">
        <x:v>2050</x:v>
      </x:c>
      <x:c r="T403" s="8" t="n">
        <x:v>705</x:v>
      </x:c>
      <x:c r="U403" s="2" t="str">
        <x:v>2026年9月4日現在</x:v>
      </x:c>
      <x:c r="V403" s="2" t="str">
        <x:v>2026-09-11</x:v>
      </x:c>
      <x:c r="W403" s="2" t="str">
        <x:v>https://www.e-stat.go.jp/stat-search/file-download?statInfId=000040251292&amp;fileKind=0</x:v>
      </x:c>
      <x:c r="X403" s="2" t="str">
        <x:v>海上出入貨物!223行、コンテナ個数!43行</x:v>
      </x:c>
      <x:c r="Y403" s="2" t="str">
        <x:v>取得済</x:v>
      </x:c>
      <x:c r="Z403" s="9" t="n">
        <x:f>IF(AND(ISNUMBER(E403),COUNTIFS($A$2:$A$477,EDATE(A403,-12),$B$2:$B$477,B403,$E$2:$E$477,"&gt;0")=1),E403/SUMIFS($E$2:$E$477,$A$2:$A$477,EDATE(A403,-12),$B$2:$B$477,B403)-1,"")</x:f>
        <x:v>-0.04259834448315192</x:v>
      </x:c>
      <x:c r="AA403" s="10" t="n">
        <x:f>IF(COUNTIFS($A$2:$A$477,"&gt;="&amp;EDATE(A403,-2),$A$2:$A$477,"&lt;="&amp;A403,$B$2:$B$477,B403,$E$2:$E$477,"&gt;=0")=3,SUMIFS($E$2:$E$477,$A$2:$A$477,"&gt;="&amp;EDATE(A403,-2),$A$2:$A$477,"&lt;="&amp;A403,$B$2:$B$477,B403)/3,"")</x:f>
        <x:v>2560823</x:v>
      </x:c>
      <x:c r="AB403" s="9" t="n">
        <x:f>IF(AND(ISNUMBER(J403),COUNTIFS($A$2:$A$477,EDATE(A403,-12),$B$2:$B$477,B403,$J$2:$J$477,"&gt;0")=1),J403/SUMIFS($J$2:$J$477,$A$2:$A$477,EDATE(A403,-12),$B$2:$B$477,B403)-1,"")</x:f>
        <x:v>0.013171233659819315</x:v>
      </x:c>
    </x:row>
    <x:row r="404" ht="21" customHeight="1">
      <x:c r="A404" s="7" t="n">
        <x:v>45931</x:v>
      </x:c>
      <x:c r="B404" s="2" t="str">
        <x:v>清水</x:v>
      </x:c>
      <x:c r="C404" s="2" t="str">
        <x:v>静岡県</x:v>
      </x:c>
      <x:c r="D404" s="8" t="n">
        <x:v>1257671</x:v>
      </x:c>
      <x:c r="E404" s="8" t="n">
        <x:v>298345</x:v>
      </x:c>
      <x:c r="F404" s="8" t="n">
        <x:v>511883</x:v>
      </x:c>
      <x:c r="G404" s="8" t="n">
        <x:v>156043</x:v>
      </x:c>
      <x:c r="H404" s="8" t="n">
        <x:v>291400</x:v>
      </x:c>
      <x:c r="I404" s="8" t="n">
        <x:v>45398</x:v>
      </x:c>
      <x:c r="J404" s="8" t="n">
        <x:v>18121</x:v>
      </x:c>
      <x:c r="K404" s="8" t="n">
        <x:v>17497</x:v>
      </x:c>
      <x:c r="L404" s="8" t="n">
        <x:v>4728</x:v>
      </x:c>
      <x:c r="M404" s="8" t="n">
        <x:v>5052</x:v>
      </x:c>
      <x:c r="N404" s="8" t="n">
        <x:v>0</x:v>
      </x:c>
      <x:c r="O404" s="8" t="n">
        <x:v>0</x:v>
      </x:c>
      <x:c r="P404" s="8" t="n">
        <x:v>0</x:v>
      </x:c>
      <x:c r="Q404" s="8" t="n">
        <x:v>0</x:v>
      </x:c>
      <x:c r="R404" s="8" t="n">
        <x:v>0</x:v>
      </x:c>
      <x:c r="S404" s="8" t="n">
        <x:v>427</x:v>
      </x:c>
      <x:c r="T404" s="8" t="n">
        <x:v>133</x:v>
      </x:c>
      <x:c r="U404" s="2" t="str">
        <x:v>2026年9月4日現在</x:v>
      </x:c>
      <x:c r="V404" s="2" t="str">
        <x:v>2026-09-11</x:v>
      </x:c>
      <x:c r="W404" s="2" t="str">
        <x:v>https://www.e-stat.go.jp/stat-search/file-download?statInfId=000040251292&amp;fileKind=0</x:v>
      </x:c>
      <x:c r="X404" s="2" t="str">
        <x:v>海上出入貨物!313行、コンテナ個数!58行</x:v>
      </x:c>
      <x:c r="Y404" s="2" t="str">
        <x:v>取得済</x:v>
      </x:c>
      <x:c r="Z404" s="9" t="n">
        <x:f>IF(AND(ISNUMBER(E404),COUNTIFS($A$2:$A$477,EDATE(A404,-12),$B$2:$B$477,B404,$E$2:$E$477,"&gt;0")=1),E404/SUMIFS($E$2:$E$477,$A$2:$A$477,EDATE(A404,-12),$B$2:$B$477,B404)-1,"")</x:f>
        <x:v>0.06470031939760545</x:v>
      </x:c>
      <x:c r="AA404" s="10" t="n">
        <x:f>IF(COUNTIFS($A$2:$A$477,"&gt;="&amp;EDATE(A404,-2),$A$2:$A$477,"&lt;="&amp;A404,$B$2:$B$477,B404,$E$2:$E$477,"&gt;=0")=3,SUMIFS($E$2:$E$477,$A$2:$A$477,"&gt;="&amp;EDATE(A404,-2),$A$2:$A$477,"&lt;="&amp;A404,$B$2:$B$477,B404)/3,"")</x:f>
        <x:v>265544</x:v>
      </x:c>
      <x:c r="AB404" s="9" t="n">
        <x:f>IF(AND(ISNUMBER(J404),COUNTIFS($A$2:$A$477,EDATE(A404,-12),$B$2:$B$477,B404,$J$2:$J$477,"&gt;0")=1),J404/SUMIFS($J$2:$J$477,$A$2:$A$477,EDATE(A404,-12),$B$2:$B$477,B404)-1,"")</x:f>
        <x:v>0.035249085923217516</x:v>
      </x:c>
    </x:row>
    <x:row r="405" ht="21" customHeight="1">
      <x:c r="A405" s="7" t="n">
        <x:v>45931</x:v>
      </x:c>
      <x:c r="B405" s="2" t="str">
        <x:v>博多</x:v>
      </x:c>
      <x:c r="C405" s="2" t="str">
        <x:v>福岡県</x:v>
      </x:c>
      <x:c r="D405" s="8" t="n">
        <x:v>3169127</x:v>
      </x:c>
      <x:c r="E405" s="8" t="n">
        <x:v>820043</x:v>
      </x:c>
      <x:c r="F405" s="8" t="n">
        <x:v>832596</x:v>
      </x:c>
      <x:c r="G405" s="8" t="n">
        <x:v>537949</x:v>
      </x:c>
      <x:c r="H405" s="8" t="n">
        <x:v>978539</x:v>
      </x:c>
      <x:c r="I405" s="8" t="n">
        <x:v>84541</x:v>
      </x:c>
      <x:c r="J405" s="8" t="n">
        <x:v>37294</x:v>
      </x:c>
      <x:c r="K405" s="8" t="n">
        <x:v>36525</x:v>
      </x:c>
      <x:c r="L405" s="8" t="n">
        <x:v>4845</x:v>
      </x:c>
      <x:c r="M405" s="8" t="n">
        <x:v>5877</x:v>
      </x:c>
      <x:c r="N405" s="8" t="n">
        <x:v>0</x:v>
      </x:c>
      <x:c r="O405" s="8" t="n">
        <x:v>0</x:v>
      </x:c>
      <x:c r="P405" s="8" t="n">
        <x:v>1453</x:v>
      </x:c>
      <x:c r="Q405" s="8" t="n">
        <x:v>1465</x:v>
      </x:c>
      <x:c r="R405" s="8" t="n">
        <x:v>2918</x:v>
      </x:c>
      <x:c r="S405" s="8" t="n">
        <x:v>1595</x:v>
      </x:c>
      <x:c r="T405" s="8" t="n">
        <x:v>243</x:v>
      </x:c>
      <x:c r="U405" s="2" t="str">
        <x:v>2026年9月4日現在</x:v>
      </x:c>
      <x:c r="V405" s="2" t="str">
        <x:v>2026-09-11</x:v>
      </x:c>
      <x:c r="W405" s="2" t="str">
        <x:v>https://www.e-stat.go.jp/stat-search/file-download?statInfId=000040251292&amp;fileKind=0</x:v>
      </x:c>
      <x:c r="X405" s="2" t="str">
        <x:v>海上出入貨物!721行、コンテナ個数!126行</x:v>
      </x:c>
      <x:c r="Y405" s="2" t="str">
        <x:v>取得済</x:v>
      </x:c>
      <x:c r="Z405" s="9" t="n">
        <x:f>IF(AND(ISNUMBER(E405),COUNTIFS($A$2:$A$477,EDATE(A405,-12),$B$2:$B$477,B405,$E$2:$E$477,"&gt;0")=1),E405/SUMIFS($E$2:$E$477,$A$2:$A$477,EDATE(A405,-12),$B$2:$B$477,B405)-1,"")</x:f>
        <x:v>0.12047172118659932</x:v>
      </x:c>
      <x:c r="AA405" s="10" t="n">
        <x:f>IF(COUNTIFS($A$2:$A$477,"&gt;="&amp;EDATE(A405,-2),$A$2:$A$477,"&lt;="&amp;A405,$B$2:$B$477,B405,$E$2:$E$477,"&gt;=0")=3,SUMIFS($E$2:$E$477,$A$2:$A$477,"&gt;="&amp;EDATE(A405,-2),$A$2:$A$477,"&lt;="&amp;A405,$B$2:$B$477,B405)/3,"")</x:f>
        <x:v>738078</x:v>
      </x:c>
      <x:c r="AB405" s="9" t="n">
        <x:f>IF(AND(ISNUMBER(J405),COUNTIFS($A$2:$A$477,EDATE(A405,-12),$B$2:$B$477,B405,$J$2:$J$477,"&gt;0")=1),J405/SUMIFS($J$2:$J$477,$A$2:$A$477,EDATE(A405,-12),$B$2:$B$477,B405)-1,"")</x:f>
        <x:v>0.04412341116523888</x:v>
      </x:c>
    </x:row>
    <x:row r="406" ht="21" customHeight="1">
      <x:c r="A406" s="7" t="n">
        <x:v>45931</x:v>
      </x:c>
      <x:c r="B406" s="2" t="str">
        <x:v>熊本</x:v>
      </x:c>
      <x:c r="C406" s="2" t="str">
        <x:v>熊本県</x:v>
      </x:c>
      <x:c r="D406" s="8" t="n">
        <x:v>309204</x:v>
      </x:c>
      <x:c r="E406" s="8" t="n">
        <x:v>1875</x:v>
      </x:c>
      <x:c r="F406" s="8" t="n">
        <x:v>3031</x:v>
      </x:c>
      <x:c r="G406" s="8" t="n">
        <x:v>118940</x:v>
      </x:c>
      <x:c r="H406" s="8" t="n">
        <x:v>185358</x:v>
      </x:c>
      <x:c r="I406" s="8" t="n">
        <x:v>1005</x:v>
      </x:c>
      <x:c r="J406" s="8" t="n">
        <x:v>201</x:v>
      </x:c>
      <x:c r="K406" s="8" t="n">
        <x:v>184</x:v>
      </x:c>
      <x:c r="L406" s="8" t="n">
        <x:v>339</x:v>
      </x:c>
      <x:c r="M406" s="8" t="n">
        <x:v>281</x:v>
      </x:c>
      <x:c r="N406" s="8" t="n">
        <x:v>0</x:v>
      </x:c>
      <x:c r="O406" s="8" t="n">
        <x:v>0</x:v>
      </x:c>
      <x:c r="P406" s="8" t="n">
        <x:v>622</x:v>
      </x:c>
      <x:c r="Q406" s="8" t="n">
        <x:v>613</x:v>
      </x:c>
      <x:c r="R406" s="8" t="n">
        <x:v>1235</x:v>
      </x:c>
      <x:c r="S406" s="8" t="n">
        <x:v>47</x:v>
      </x:c>
      <x:c r="T406" s="8" t="n">
        <x:v>8</x:v>
      </x:c>
      <x:c r="U406" s="2" t="str">
        <x:v>2026年9月4日現在</x:v>
      </x:c>
      <x:c r="V406" s="2" t="str">
        <x:v>2026-09-11</x:v>
      </x:c>
      <x:c r="W406" s="2" t="str">
        <x:v>https://www.e-stat.go.jp/stat-search/file-download?statInfId=000040251292&amp;fileKind=0</x:v>
      </x:c>
      <x:c r="X406" s="2" t="str">
        <x:v>海上出入貨物!829行、コンテナ個数!144行</x:v>
      </x:c>
      <x:c r="Y406" s="2" t="str">
        <x:v>取得済</x:v>
      </x:c>
      <x:c r="Z406" s="9" t="n">
        <x:f>IF(AND(ISNUMBER(E406),COUNTIFS($A$2:$A$477,EDATE(A406,-12),$B$2:$B$477,B406,$E$2:$E$477,"&gt;0")=1),E406/SUMIFS($E$2:$E$477,$A$2:$A$477,EDATE(A406,-12),$B$2:$B$477,B406)-1,"")</x:f>
        <x:v>-0.3688993604846853</x:v>
      </x:c>
      <x:c r="AA406" s="10" t="n">
        <x:f>IF(COUNTIFS($A$2:$A$477,"&gt;="&amp;EDATE(A406,-2),$A$2:$A$477,"&lt;="&amp;A406,$B$2:$B$477,B406,$E$2:$E$477,"&gt;=0")=3,SUMIFS($E$2:$E$477,$A$2:$A$477,"&gt;="&amp;EDATE(A406,-2),$A$2:$A$477,"&lt;="&amp;A406,$B$2:$B$477,B406)/3,"")</x:f>
        <x:v>2272</x:v>
      </x:c>
      <x:c r="AB406" s="9" t="n">
        <x:f>IF(AND(ISNUMBER(J406),COUNTIFS($A$2:$A$477,EDATE(A406,-12),$B$2:$B$477,B406,$J$2:$J$477,"&gt;0")=1),J406/SUMIFS($J$2:$J$477,$A$2:$A$477,EDATE(A406,-12),$B$2:$B$477,B406)-1,"")</x:f>
        <x:v>-0.009852216748768461</x:v>
      </x:c>
    </x:row>
    <x:row r="407" ht="21" customHeight="1">
      <x:c r="A407" s="7" t="n">
        <x:v>45931</x:v>
      </x:c>
      <x:c r="B407" s="2" t="str">
        <x:v>八代</x:v>
      </x:c>
      <x:c r="C407" s="2" t="str">
        <x:v>熊本県</x:v>
      </x:c>
      <x:c r="D407" s="8" t="n">
        <x:v>365355</x:v>
      </x:c>
      <x:c r="E407" s="8" t="n">
        <x:v>27531</x:v>
      </x:c>
      <x:c r="F407" s="8" t="n">
        <x:v>171142</x:v>
      </x:c>
      <x:c r="G407" s="8" t="n">
        <x:v>22796</x:v>
      </x:c>
      <x:c r="H407" s="8" t="n">
        <x:v>143886</x:v>
      </x:c>
      <x:c r="I407" s="8" t="n">
        <x:v>1690</x:v>
      </x:c>
      <x:c r="J407" s="8" t="n">
        <x:v>752</x:v>
      </x:c>
      <x:c r="K407" s="8" t="n">
        <x:v>616</x:v>
      </x:c>
      <x:c r="L407" s="8" t="n">
        <x:v>149</x:v>
      </x:c>
      <x:c r="M407" s="8" t="n">
        <x:v>173</x:v>
      </x:c>
      <x:c r="N407" s="8" t="n">
        <x:v>0</x:v>
      </x:c>
      <x:c r="O407" s="8" t="n">
        <x:v>0</x:v>
      </x:c>
      <x:c r="P407" s="8" t="n">
        <x:v>0</x:v>
      </x:c>
      <x:c r="Q407" s="8" t="n">
        <x:v>0</x:v>
      </x:c>
      <x:c r="R407" s="8" t="n">
        <x:v>0</x:v>
      </x:c>
      <x:c r="S407" s="8" t="n">
        <x:v>208</x:v>
      </x:c>
      <x:c r="T407" s="8" t="n">
        <x:v>37</x:v>
      </x:c>
      <x:c r="U407" s="2" t="str">
        <x:v>2026年9月4日現在</x:v>
      </x:c>
      <x:c r="V407" s="2" t="str">
        <x:v>2026-09-11</x:v>
      </x:c>
      <x:c r="W407" s="2" t="str">
        <x:v>https://www.e-stat.go.jp/stat-search/file-download?statInfId=000040251292&amp;fileKind=0</x:v>
      </x:c>
      <x:c r="X407" s="2" t="str">
        <x:v>海上出入貨物!817行、コンテナ個数!142行</x:v>
      </x:c>
      <x:c r="Y407" s="2" t="str">
        <x:v>取得済</x:v>
      </x:c>
      <x:c r="Z407" s="9" t="n">
        <x:f>IF(AND(ISNUMBER(E407),COUNTIFS($A$2:$A$477,EDATE(A407,-12),$B$2:$B$477,B407,$E$2:$E$477,"&gt;0")=1),E407/SUMIFS($E$2:$E$477,$A$2:$A$477,EDATE(A407,-12),$B$2:$B$477,B407)-1,"")</x:f>
        <x:v>0.7600690448791714</x:v>
      </x:c>
      <x:c r="AA407" s="10" t="n">
        <x:f>IF(COUNTIFS($A$2:$A$477,"&gt;="&amp;EDATE(A407,-2),$A$2:$A$477,"&lt;="&amp;A407,$B$2:$B$477,B407,$E$2:$E$477,"&gt;=0")=3,SUMIFS($E$2:$E$477,$A$2:$A$477,"&gt;="&amp;EDATE(A407,-2),$A$2:$A$477,"&lt;="&amp;A407,$B$2:$B$477,B407)/3,"")</x:f>
        <x:v>24260</x:v>
      </x:c>
      <x:c r="AB407" s="9" t="n">
        <x:f>IF(AND(ISNUMBER(J407),COUNTIFS($A$2:$A$477,EDATE(A407,-12),$B$2:$B$477,B407,$J$2:$J$477,"&gt;0")=1),J407/SUMIFS($J$2:$J$477,$A$2:$A$477,EDATE(A407,-12),$B$2:$B$477,B407)-1,"")</x:f>
        <x:v>0.016216216216216273</x:v>
      </x:c>
    </x:row>
    <x:row r="408" ht="21" customHeight="1">
      <x:c r="A408" s="7" t="n">
        <x:v>45962</x:v>
      </x:c>
      <x:c r="B408" s="2" t="str">
        <x:v>仙台塩釜</x:v>
      </x:c>
      <x:c r="C408" s="2" t="str">
        <x:v>宮城県</x:v>
      </x:c>
      <x:c r="D408" s="8" t="n">
        <x:v>3820791</x:v>
      </x:c>
      <x:c r="E408" s="8" t="n">
        <x:v>145125</x:v>
      </x:c>
      <x:c r="F408" s="8" t="n">
        <x:v>1098997</x:v>
      </x:c>
      <x:c r="G408" s="8" t="n">
        <x:v>1290859</x:v>
      </x:c>
      <x:c r="H408" s="8" t="n">
        <x:v>1285810</x:v>
      </x:c>
      <x:c r="I408" s="8" t="n">
        <x:v>20952</x:v>
      </x:c>
      <x:c r="J408" s="8" t="n">
        <x:v>5735</x:v>
      </x:c>
      <x:c r="K408" s="8" t="n">
        <x:v>6049</x:v>
      </x:c>
      <x:c r="L408" s="8" t="n">
        <x:v>4442</x:v>
      </x:c>
      <x:c r="M408" s="8" t="n">
        <x:v>4726</x:v>
      </x:c>
      <x:c r="N408" s="8" t="n">
        <x:v>0</x:v>
      </x:c>
      <x:c r="O408" s="8" t="n">
        <x:v>0</x:v>
      </x:c>
      <x:c r="P408" s="8" t="n">
        <x:v>607</x:v>
      </x:c>
      <x:c r="Q408" s="8" t="n">
        <x:v>684</x:v>
      </x:c>
      <x:c r="R408" s="8" t="n">
        <x:v>1291</x:v>
      </x:c>
      <x:c r="S408" s="8" t="n">
        <x:v>2178</x:v>
      </x:c>
      <x:c r="T408" s="8" t="n">
        <x:v>89</x:v>
      </x:c>
      <x:c r="U408" s="2" t="str">
        <x:v>2026年9月4日現在</x:v>
      </x:c>
      <x:c r="V408" s="2" t="str">
        <x:v>2026-09-11</x:v>
      </x:c>
      <x:c r="W408" s="2" t="str">
        <x:v>https://www.e-stat.go.jp/stat-search/file-download?statInfId=000040251292&amp;fileKind=0</x:v>
      </x:c>
      <x:c r="X408" s="2" t="str">
        <x:v>海上出入貨物!145行、コンテナ個数!30行</x:v>
      </x:c>
      <x:c r="Y408" s="2" t="str">
        <x:v>取得済</x:v>
      </x:c>
      <x:c r="Z408" s="9" t="n">
        <x:f>IF(AND(ISNUMBER(E408),COUNTIFS($A$2:$A$477,EDATE(A408,-12),$B$2:$B$477,B408,$E$2:$E$477,"&gt;0")=1),E408/SUMIFS($E$2:$E$477,$A$2:$A$477,EDATE(A408,-12),$B$2:$B$477,B408)-1,"")</x:f>
        <x:v>0.01085911706114251</x:v>
      </x:c>
      <x:c r="AA408" s="10" t="n">
        <x:f>IF(COUNTIFS($A$2:$A$477,"&gt;="&amp;EDATE(A408,-2),$A$2:$A$477,"&lt;="&amp;A408,$B$2:$B$477,B408,$E$2:$E$477,"&gt;=0")=3,SUMIFS($E$2:$E$477,$A$2:$A$477,"&gt;="&amp;EDATE(A408,-2),$A$2:$A$477,"&lt;="&amp;A408,$B$2:$B$477,B408)/3,"")</x:f>
        <x:v>138851.33333333334</x:v>
      </x:c>
      <x:c r="AB408" s="9" t="n">
        <x:f>IF(AND(ISNUMBER(J408),COUNTIFS($A$2:$A$477,EDATE(A408,-12),$B$2:$B$477,B408,$J$2:$J$477,"&gt;0")=1),J408/SUMIFS($J$2:$J$477,$A$2:$A$477,EDATE(A408,-12),$B$2:$B$477,B408)-1,"")</x:f>
        <x:v>-0.036620191500084</x:v>
      </x:c>
    </x:row>
    <x:row r="409" ht="21" customHeight="1">
      <x:c r="A409" s="7" t="n">
        <x:v>45962</x:v>
      </x:c>
      <x:c r="B409" s="2" t="str">
        <x:v>東京</x:v>
      </x:c>
      <x:c r="C409" s="2" t="str">
        <x:v>東京都</x:v>
      </x:c>
      <x:c r="D409" s="8" t="n">
        <x:v>7166495</x:v>
      </x:c>
      <x:c r="E409" s="8" t="n">
        <x:v>862194</x:v>
      </x:c>
      <x:c r="F409" s="8" t="n">
        <x:v>3096049</x:v>
      </x:c>
      <x:c r="G409" s="8" t="n">
        <x:v>1180002</x:v>
      </x:c>
      <x:c r="H409" s="8" t="n">
        <x:v>2028250</x:v>
      </x:c>
      <x:c r="I409" s="8" t="n">
        <x:v>423781</x:v>
      </x:c>
      <x:c r="J409" s="8" t="n">
        <x:v>166216</x:v>
      </x:c>
      <x:c r="K409" s="8" t="n">
        <x:v>209480</x:v>
      </x:c>
      <x:c r="L409" s="8" t="n">
        <x:v>36519</x:v>
      </x:c>
      <x:c r="M409" s="8" t="n">
        <x:v>11566</x:v>
      </x:c>
      <x:c r="N409" s="8" t="n">
        <x:v>0</x:v>
      </x:c>
      <x:c r="O409" s="8" t="n">
        <x:v>0</x:v>
      </x:c>
      <x:c r="P409" s="8" t="n">
        <x:v>678</x:v>
      </x:c>
      <x:c r="Q409" s="8" t="n">
        <x:v>295</x:v>
      </x:c>
      <x:c r="R409" s="8" t="n">
        <x:v>973</x:v>
      </x:c>
      <x:c r="S409" s="8" t="n">
        <x:v>1616</x:v>
      </x:c>
      <x:c r="T409" s="8" t="n">
        <x:v>409</x:v>
      </x:c>
      <x:c r="U409" s="2" t="str">
        <x:v>2026年9月4日現在</x:v>
      </x:c>
      <x:c r="V409" s="2" t="str">
        <x:v>2026-09-11</x:v>
      </x:c>
      <x:c r="W409" s="2" t="str">
        <x:v>https://www.e-stat.go.jp/stat-search/file-download?statInfId=000040251292&amp;fileKind=0</x:v>
      </x:c>
      <x:c r="X409" s="2" t="str">
        <x:v>海上出入貨物!211行、コンテナ個数!41行</x:v>
      </x:c>
      <x:c r="Y409" s="2" t="str">
        <x:v>取得済</x:v>
      </x:c>
      <x:c r="Z409" s="9" t="n">
        <x:f>IF(AND(ISNUMBER(E409),COUNTIFS($A$2:$A$477,EDATE(A409,-12),$B$2:$B$477,B409,$E$2:$E$477,"&gt;0")=1),E409/SUMIFS($E$2:$E$477,$A$2:$A$477,EDATE(A409,-12),$B$2:$B$477,B409)-1,"")</x:f>
        <x:v>0.03407605345282105</x:v>
      </x:c>
      <x:c r="AA409" s="10" t="n">
        <x:f>IF(COUNTIFS($A$2:$A$477,"&gt;="&amp;EDATE(A409,-2),$A$2:$A$477,"&lt;="&amp;A409,$B$2:$B$477,B409,$E$2:$E$477,"&gt;=0")=3,SUMIFS($E$2:$E$477,$A$2:$A$477,"&gt;="&amp;EDATE(A409,-2),$A$2:$A$477,"&lt;="&amp;A409,$B$2:$B$477,B409)/3,"")</x:f>
        <x:v>885532</x:v>
      </x:c>
      <x:c r="AB409" s="9" t="n">
        <x:f>IF(AND(ISNUMBER(J409),COUNTIFS($A$2:$A$477,EDATE(A409,-12),$B$2:$B$477,B409,$J$2:$J$477,"&gt;0")=1),J409/SUMIFS($J$2:$J$477,$A$2:$A$477,EDATE(A409,-12),$B$2:$B$477,B409)-1,"")</x:f>
        <x:v>0.01828072926877078</x:v>
      </x:c>
    </x:row>
    <x:row r="410" ht="21" customHeight="1">
      <x:c r="A410" s="7" t="n">
        <x:v>45962</x:v>
      </x:c>
      <x:c r="B410" s="2" t="str">
        <x:v>横浜</x:v>
      </x:c>
      <x:c r="C410" s="2" t="str">
        <x:v>神奈川県</x:v>
      </x:c>
      <x:c r="D410" s="8" t="n">
        <x:v>8999865</x:v>
      </x:c>
      <x:c r="E410" s="8" t="n">
        <x:v>2645206</x:v>
      </x:c>
      <x:c r="F410" s="8" t="n">
        <x:v>3767565</x:v>
      </x:c>
      <x:c r="G410" s="8" t="n">
        <x:v>873161</x:v>
      </x:c>
      <x:c r="H410" s="8" t="n">
        <x:v>1713933</x:v>
      </x:c>
      <x:c r="I410" s="8" t="n">
        <x:v>287073</x:v>
      </x:c>
      <x:c r="J410" s="8" t="n">
        <x:v>132257</x:v>
      </x:c>
      <x:c r="K410" s="8" t="n">
        <x:v>120557</x:v>
      </x:c>
      <x:c r="L410" s="8" t="n">
        <x:v>14931</x:v>
      </x:c>
      <x:c r="M410" s="8" t="n">
        <x:v>19328</x:v>
      </x:c>
      <x:c r="N410" s="8" t="n">
        <x:v>0</x:v>
      </x:c>
      <x:c r="O410" s="8" t="n">
        <x:v>0</x:v>
      </x:c>
      <x:c r="P410" s="8" t="n">
        <x:v>0</x:v>
      </x:c>
      <x:c r="Q410" s="8" t="n">
        <x:v>0</x:v>
      </x:c>
      <x:c r="R410" s="8" t="n">
        <x:v>0</x:v>
      </x:c>
      <x:c r="S410" s="8" t="n">
        <x:v>2109</x:v>
      </x:c>
      <x:c r="T410" s="8" t="n">
        <x:v>708</x:v>
      </x:c>
      <x:c r="U410" s="2" t="str">
        <x:v>2026年9月4日現在</x:v>
      </x:c>
      <x:c r="V410" s="2" t="str">
        <x:v>2026-09-11</x:v>
      </x:c>
      <x:c r="W410" s="2" t="str">
        <x:v>https://www.e-stat.go.jp/stat-search/file-download?statInfId=000040251292&amp;fileKind=0</x:v>
      </x:c>
      <x:c r="X410" s="2" t="str">
        <x:v>海上出入貨物!223行、コンテナ個数!43行</x:v>
      </x:c>
      <x:c r="Y410" s="2" t="str">
        <x:v>取得済</x:v>
      </x:c>
      <x:c r="Z410" s="9" t="n">
        <x:f>IF(AND(ISNUMBER(E410),COUNTIFS($A$2:$A$477,EDATE(A410,-12),$B$2:$B$477,B410,$E$2:$E$477,"&gt;0")=1),E410/SUMIFS($E$2:$E$477,$A$2:$A$477,EDATE(A410,-12),$B$2:$B$477,B410)-1,"")</x:f>
        <x:v>0.08698757355600129</x:v>
      </x:c>
      <x:c r="AA410" s="10" t="n">
        <x:f>IF(COUNTIFS($A$2:$A$477,"&gt;="&amp;EDATE(A410,-2),$A$2:$A$477,"&lt;="&amp;A410,$B$2:$B$477,B410,$E$2:$E$477,"&gt;=0")=3,SUMIFS($E$2:$E$477,$A$2:$A$477,"&gt;="&amp;EDATE(A410,-2),$A$2:$A$477,"&lt;="&amp;A410,$B$2:$B$477,B410)/3,"")</x:f>
        <x:v>2595010.3333333335</x:v>
      </x:c>
      <x:c r="AB410" s="9" t="n">
        <x:f>IF(AND(ISNUMBER(J410),COUNTIFS($A$2:$A$477,EDATE(A410,-12),$B$2:$B$477,B410,$J$2:$J$477,"&gt;0")=1),J410/SUMIFS($J$2:$J$477,$A$2:$A$477,EDATE(A410,-12),$B$2:$B$477,B410)-1,"")</x:f>
        <x:v>0.09194111673450522</x:v>
      </x:c>
    </x:row>
    <x:row r="411" ht="21" customHeight="1">
      <x:c r="A411" s="7" t="n">
        <x:v>45962</x:v>
      </x:c>
      <x:c r="B411" s="2" t="str">
        <x:v>清水</x:v>
      </x:c>
      <x:c r="C411" s="2" t="str">
        <x:v>静岡県</x:v>
      </x:c>
      <x:c r="D411" s="8" t="n">
        <x:v>2426325</x:v>
      </x:c>
      <x:c r="E411" s="8" t="n">
        <x:v>267730</x:v>
      </x:c>
      <x:c r="F411" s="8" t="n">
        <x:v>419226</x:v>
      </x:c>
      <x:c r="G411" s="8" t="n">
        <x:v>180533</x:v>
      </x:c>
      <x:c r="H411" s="8" t="n">
        <x:v>1558836</x:v>
      </x:c>
      <x:c r="I411" s="8" t="n">
        <x:v>45131</x:v>
      </x:c>
      <x:c r="J411" s="8" t="n">
        <x:v>17133</x:v>
      </x:c>
      <x:c r="K411" s="8" t="n">
        <x:v>17550</x:v>
      </x:c>
      <x:c r="L411" s="8" t="n">
        <x:v>5459</x:v>
      </x:c>
      <x:c r="M411" s="8" t="n">
        <x:v>4989</x:v>
      </x:c>
      <x:c r="N411" s="8" t="n">
        <x:v>0</x:v>
      </x:c>
      <x:c r="O411" s="8" t="n">
        <x:v>0</x:v>
      </x:c>
      <x:c r="P411" s="8" t="n">
        <x:v>2</x:v>
      </x:c>
      <x:c r="Q411" s="8" t="n">
        <x:v>0</x:v>
      </x:c>
      <x:c r="R411" s="8" t="n">
        <x:v>2</x:v>
      </x:c>
      <x:c r="S411" s="8" t="n">
        <x:v>432</x:v>
      </x:c>
      <x:c r="T411" s="8" t="n">
        <x:v>127</x:v>
      </x:c>
      <x:c r="U411" s="2" t="str">
        <x:v>2026年9月4日現在</x:v>
      </x:c>
      <x:c r="V411" s="2" t="str">
        <x:v>2026-09-11</x:v>
      </x:c>
      <x:c r="W411" s="2" t="str">
        <x:v>https://www.e-stat.go.jp/stat-search/file-download?statInfId=000040251292&amp;fileKind=0</x:v>
      </x:c>
      <x:c r="X411" s="2" t="str">
        <x:v>海上出入貨物!313行、コンテナ個数!58行</x:v>
      </x:c>
      <x:c r="Y411" s="2" t="str">
        <x:v>取得済</x:v>
      </x:c>
      <x:c r="Z411" s="9" t="n">
        <x:f>IF(AND(ISNUMBER(E411),COUNTIFS($A$2:$A$477,EDATE(A411,-12),$B$2:$B$477,B411,$E$2:$E$477,"&gt;0")=1),E411/SUMIFS($E$2:$E$477,$A$2:$A$477,EDATE(A411,-12),$B$2:$B$477,B411)-1,"")</x:f>
        <x:v>0.11003312727257653</x:v>
      </x:c>
      <x:c r="AA411" s="10" t="n">
        <x:f>IF(COUNTIFS($A$2:$A$477,"&gt;="&amp;EDATE(A411,-2),$A$2:$A$477,"&lt;="&amp;A411,$B$2:$B$477,B411,$E$2:$E$477,"&gt;=0")=3,SUMIFS($E$2:$E$477,$A$2:$A$477,"&gt;="&amp;EDATE(A411,-2),$A$2:$A$477,"&lt;="&amp;A411,$B$2:$B$477,B411)/3,"")</x:f>
        <x:v>271914</x:v>
      </x:c>
      <x:c r="AB411" s="9" t="n">
        <x:f>IF(AND(ISNUMBER(J411),COUNTIFS($A$2:$A$477,EDATE(A411,-12),$B$2:$B$477,B411,$J$2:$J$477,"&gt;0")=1),J411/SUMIFS($J$2:$J$477,$A$2:$A$477,EDATE(A411,-12),$B$2:$B$477,B411)-1,"")</x:f>
        <x:v>0.048595385274496694</x:v>
      </x:c>
    </x:row>
    <x:row r="412" ht="21" customHeight="1">
      <x:c r="A412" s="7" t="n">
        <x:v>45962</x:v>
      </x:c>
      <x:c r="B412" s="2" t="str">
        <x:v>博多</x:v>
      </x:c>
      <x:c r="C412" s="2" t="str">
        <x:v>福岡県</x:v>
      </x:c>
      <x:c r="D412" s="8" t="n">
        <x:v>2918019</x:v>
      </x:c>
      <x:c r="E412" s="8" t="n">
        <x:v>701789</x:v>
      </x:c>
      <x:c r="F412" s="8" t="n">
        <x:v>815050</x:v>
      </x:c>
      <x:c r="G412" s="8" t="n">
        <x:v>487133</x:v>
      </x:c>
      <x:c r="H412" s="8" t="n">
        <x:v>914047</x:v>
      </x:c>
      <x:c r="I412" s="8" t="n">
        <x:v>82203</x:v>
      </x:c>
      <x:c r="J412" s="8" t="n">
        <x:v>35085</x:v>
      </x:c>
      <x:c r="K412" s="8" t="n">
        <x:v>35889</x:v>
      </x:c>
      <x:c r="L412" s="8" t="n">
        <x:v>5163</x:v>
      </x:c>
      <x:c r="M412" s="8" t="n">
        <x:v>6066</x:v>
      </x:c>
      <x:c r="N412" s="8" t="n">
        <x:v>0</x:v>
      </x:c>
      <x:c r="O412" s="8" t="n">
        <x:v>0</x:v>
      </x:c>
      <x:c r="P412" s="8" t="n">
        <x:v>1324</x:v>
      </x:c>
      <x:c r="Q412" s="8" t="n">
        <x:v>1383</x:v>
      </x:c>
      <x:c r="R412" s="8" t="n">
        <x:v>2707</x:v>
      </x:c>
      <x:c r="S412" s="8" t="n">
        <x:v>1539</x:v>
      </x:c>
      <x:c r="T412" s="8" t="n">
        <x:v>228</x:v>
      </x:c>
      <x:c r="U412" s="2" t="str">
        <x:v>2026年9月4日現在</x:v>
      </x:c>
      <x:c r="V412" s="2" t="str">
        <x:v>2026-09-11</x:v>
      </x:c>
      <x:c r="W412" s="2" t="str">
        <x:v>https://www.e-stat.go.jp/stat-search/file-download?statInfId=000040251292&amp;fileKind=0</x:v>
      </x:c>
      <x:c r="X412" s="2" t="str">
        <x:v>海上出入貨物!721行、コンテナ個数!126行</x:v>
      </x:c>
      <x:c r="Y412" s="2" t="str">
        <x:v>取得済</x:v>
      </x:c>
      <x:c r="Z412" s="9" t="n">
        <x:f>IF(AND(ISNUMBER(E412),COUNTIFS($A$2:$A$477,EDATE(A412,-12),$B$2:$B$477,B412,$E$2:$E$477,"&gt;0")=1),E412/SUMIFS($E$2:$E$477,$A$2:$A$477,EDATE(A412,-12),$B$2:$B$477,B412)-1,"")</x:f>
        <x:v>0.04133812116985447</x:v>
      </x:c>
      <x:c r="AA412" s="10" t="n">
        <x:f>IF(COUNTIFS($A$2:$A$477,"&gt;="&amp;EDATE(A412,-2),$A$2:$A$477,"&lt;="&amp;A412,$B$2:$B$477,B412,$E$2:$E$477,"&gt;=0")=3,SUMIFS($E$2:$E$477,$A$2:$A$477,"&gt;="&amp;EDATE(A412,-2),$A$2:$A$477,"&lt;="&amp;A412,$B$2:$B$477,B412)/3,"")</x:f>
        <x:v>765536</x:v>
      </x:c>
      <x:c r="AB412" s="9" t="n">
        <x:f>IF(AND(ISNUMBER(J412),COUNTIFS($A$2:$A$477,EDATE(A412,-12),$B$2:$B$477,B412,$J$2:$J$477,"&gt;0")=1),J412/SUMIFS($J$2:$J$477,$A$2:$A$477,EDATE(A412,-12),$B$2:$B$477,B412)-1,"")</x:f>
        <x:v>0.16137040714995043</x:v>
      </x:c>
    </x:row>
    <x:row r="413" ht="21" customHeight="1">
      <x:c r="A413" s="7" t="n">
        <x:v>45962</x:v>
      </x:c>
      <x:c r="B413" s="2" t="str">
        <x:v>熊本</x:v>
      </x:c>
      <x:c r="C413" s="2" t="str">
        <x:v>熊本県</x:v>
      </x:c>
      <x:c r="D413" s="8" t="n">
        <x:v>341467</x:v>
      </x:c>
      <x:c r="E413" s="8" t="n">
        <x:v>1099</x:v>
      </x:c>
      <x:c r="F413" s="8" t="n">
        <x:v>4046</x:v>
      </x:c>
      <x:c r="G413" s="8" t="n">
        <x:v>138270</x:v>
      </x:c>
      <x:c r="H413" s="8" t="n">
        <x:v>198052</x:v>
      </x:c>
      <x:c r="I413" s="8" t="n">
        <x:v>946</x:v>
      </x:c>
      <x:c r="J413" s="8" t="n">
        <x:v>141</x:v>
      </x:c>
      <x:c r="K413" s="8" t="n">
        <x:v>225</x:v>
      </x:c>
      <x:c r="L413" s="8" t="n">
        <x:v>354</x:v>
      </x:c>
      <x:c r="M413" s="8" t="n">
        <x:v>226</x:v>
      </x:c>
      <x:c r="N413" s="8" t="n">
        <x:v>0</x:v>
      </x:c>
      <x:c r="O413" s="8" t="n">
        <x:v>0</x:v>
      </x:c>
      <x:c r="P413" s="8" t="n">
        <x:v>645</x:v>
      </x:c>
      <x:c r="Q413" s="8" t="n">
        <x:v>638</x:v>
      </x:c>
      <x:c r="R413" s="8" t="n">
        <x:v>1283</x:v>
      </x:c>
      <x:c r="S413" s="8" t="n">
        <x:v>40</x:v>
      </x:c>
      <x:c r="T413" s="8" t="n">
        <x:v>7</x:v>
      </x:c>
      <x:c r="U413" s="2" t="str">
        <x:v>2026年9月4日現在</x:v>
      </x:c>
      <x:c r="V413" s="2" t="str">
        <x:v>2026-09-11</x:v>
      </x:c>
      <x:c r="W413" s="2" t="str">
        <x:v>https://www.e-stat.go.jp/stat-search/file-download?statInfId=000040251292&amp;fileKind=0</x:v>
      </x:c>
      <x:c r="X413" s="2" t="str">
        <x:v>海上出入貨物!829行、コンテナ個数!144行</x:v>
      </x:c>
      <x:c r="Y413" s="2" t="str">
        <x:v>取得済</x:v>
      </x:c>
      <x:c r="Z413" s="9" t="n">
        <x:f>IF(AND(ISNUMBER(E413),COUNTIFS($A$2:$A$477,EDATE(A413,-12),$B$2:$B$477,B413,$E$2:$E$477,"&gt;0")=1),E413/SUMIFS($E$2:$E$477,$A$2:$A$477,EDATE(A413,-12),$B$2:$B$477,B413)-1,"")</x:f>
        <x:v>-0.6251705320600273</x:v>
      </x:c>
      <x:c r="AA413" s="10" t="n">
        <x:f>IF(COUNTIFS($A$2:$A$477,"&gt;="&amp;EDATE(A413,-2),$A$2:$A$477,"&lt;="&amp;A413,$B$2:$B$477,B413,$E$2:$E$477,"&gt;=0")=3,SUMIFS($E$2:$E$477,$A$2:$A$477,"&gt;="&amp;EDATE(A413,-2),$A$2:$A$477,"&lt;="&amp;A413,$B$2:$B$477,B413)/3,"")</x:f>
        <x:v>1869.3333333333333</x:v>
      </x:c>
      <x:c r="AB413" s="9" t="n">
        <x:f>IF(AND(ISNUMBER(J413),COUNTIFS($A$2:$A$477,EDATE(A413,-12),$B$2:$B$477,B413,$J$2:$J$477,"&gt;0")=1),J413/SUMIFS($J$2:$J$477,$A$2:$A$477,EDATE(A413,-12),$B$2:$B$477,B413)-1,"")</x:f>
        <x:v>-0.22099447513812154</x:v>
      </x:c>
    </x:row>
    <x:row r="414" ht="21" customHeight="1">
      <x:c r="A414" s="7" t="n">
        <x:v>45962</x:v>
      </x:c>
      <x:c r="B414" s="2" t="str">
        <x:v>八代</x:v>
      </x:c>
      <x:c r="C414" s="2" t="str">
        <x:v>熊本県</x:v>
      </x:c>
      <x:c r="D414" s="8" t="n">
        <x:v>250904</x:v>
      </x:c>
      <x:c r="E414" s="8" t="n">
        <x:v>23785</x:v>
      </x:c>
      <x:c r="F414" s="8" t="n">
        <x:v>72272</x:v>
      </x:c>
      <x:c r="G414" s="8" t="n">
        <x:v>18627</x:v>
      </x:c>
      <x:c r="H414" s="8" t="n">
        <x:v>136220</x:v>
      </x:c>
      <x:c r="I414" s="8" t="n">
        <x:v>1543</x:v>
      </x:c>
      <x:c r="J414" s="8" t="n">
        <x:v>564</x:v>
      </x:c>
      <x:c r="K414" s="8" t="n">
        <x:v>624</x:v>
      </x:c>
      <x:c r="L414" s="8" t="n">
        <x:v>138</x:v>
      </x:c>
      <x:c r="M414" s="8" t="n">
        <x:v>217</x:v>
      </x:c>
      <x:c r="N414" s="8" t="n">
        <x:v>0</x:v>
      </x:c>
      <x:c r="O414" s="8" t="n">
        <x:v>0</x:v>
      </x:c>
      <x:c r="P414" s="8" t="n">
        <x:v>0</x:v>
      </x:c>
      <x:c r="Q414" s="8" t="n">
        <x:v>0</x:v>
      </x:c>
      <x:c r="R414" s="8" t="n">
        <x:v>0</x:v>
      </x:c>
      <x:c r="S414" s="8" t="n">
        <x:v>181</x:v>
      </x:c>
      <x:c r="T414" s="8" t="n">
        <x:v>24</x:v>
      </x:c>
      <x:c r="U414" s="2" t="str">
        <x:v>2026年9月4日現在</x:v>
      </x:c>
      <x:c r="V414" s="2" t="str">
        <x:v>2026-09-11</x:v>
      </x:c>
      <x:c r="W414" s="2" t="str">
        <x:v>https://www.e-stat.go.jp/stat-search/file-download?statInfId=000040251292&amp;fileKind=0</x:v>
      </x:c>
      <x:c r="X414" s="2" t="str">
        <x:v>海上出入貨物!817行、コンテナ個数!142行</x:v>
      </x:c>
      <x:c r="Y414" s="2" t="str">
        <x:v>取得済</x:v>
      </x:c>
      <x:c r="Z414" s="9" t="n">
        <x:f>IF(AND(ISNUMBER(E414),COUNTIFS($A$2:$A$477,EDATE(A414,-12),$B$2:$B$477,B414,$E$2:$E$477,"&gt;0")=1),E414/SUMIFS($E$2:$E$477,$A$2:$A$477,EDATE(A414,-12),$B$2:$B$477,B414)-1,"")</x:f>
        <x:v>0.24216628368498005</x:v>
      </x:c>
      <x:c r="AA414" s="10" t="n">
        <x:f>IF(COUNTIFS($A$2:$A$477,"&gt;="&amp;EDATE(A414,-2),$A$2:$A$477,"&lt;="&amp;A414,$B$2:$B$477,B414,$E$2:$E$477,"&gt;=0")=3,SUMIFS($E$2:$E$477,$A$2:$A$477,"&gt;="&amp;EDATE(A414,-2),$A$2:$A$477,"&lt;="&amp;A414,$B$2:$B$477,B414)/3,"")</x:f>
        <x:v>24569.333333333332</x:v>
      </x:c>
      <x:c r="AB414" s="9" t="n">
        <x:f>IF(AND(ISNUMBER(J414),COUNTIFS($A$2:$A$477,EDATE(A414,-12),$B$2:$B$477,B414,$J$2:$J$477,"&gt;0")=1),J414/SUMIFS($J$2:$J$477,$A$2:$A$477,EDATE(A414,-12),$B$2:$B$477,B414)-1,"")</x:f>
        <x:v>-0.17784256559766765</x:v>
      </x:c>
    </x:row>
    <x:row r="415" ht="21" customHeight="1">
      <x:c r="A415" s="7" t="n">
        <x:v>45992</x:v>
      </x:c>
      <x:c r="B415" s="2" t="str">
        <x:v>仙台塩釜</x:v>
      </x:c>
      <x:c r="C415" s="2" t="str">
        <x:v>宮城県</x:v>
      </x:c>
      <x:c r="D415" s="8" t="n">
        <x:v>3432307</x:v>
      </x:c>
      <x:c r="E415" s="8" t="n">
        <x:v>170846</x:v>
      </x:c>
      <x:c r="F415" s="8" t="n">
        <x:v>1087229</x:v>
      </x:c>
      <x:c r="G415" s="8" t="n">
        <x:v>1131046</x:v>
      </x:c>
      <x:c r="H415" s="8" t="n">
        <x:v>1043186</x:v>
      </x:c>
      <x:c r="I415" s="8" t="n">
        <x:v>21256</x:v>
      </x:c>
      <x:c r="J415" s="8" t="n">
        <x:v>6517</x:v>
      </x:c>
      <x:c r="K415" s="8" t="n">
        <x:v>6502</x:v>
      </x:c>
      <x:c r="L415" s="8" t="n">
        <x:v>4578</x:v>
      </x:c>
      <x:c r="M415" s="8" t="n">
        <x:v>3659</x:v>
      </x:c>
      <x:c r="N415" s="8" t="n">
        <x:v>0</x:v>
      </x:c>
      <x:c r="O415" s="8" t="n">
        <x:v>0</x:v>
      </x:c>
      <x:c r="P415" s="8" t="n">
        <x:v>590</x:v>
      </x:c>
      <x:c r="Q415" s="8" t="n">
        <x:v>641</x:v>
      </x:c>
      <x:c r="R415" s="8" t="n">
        <x:v>1231</x:v>
      </x:c>
      <x:c r="S415" s="8" t="n">
        <x:v>1960</x:v>
      </x:c>
      <x:c r="T415" s="8" t="n">
        <x:v>86</x:v>
      </x:c>
      <x:c r="U415" s="2" t="str">
        <x:v>2026年9月4日現在</x:v>
      </x:c>
      <x:c r="V415" s="2" t="str">
        <x:v>2026-09-11</x:v>
      </x:c>
      <x:c r="W415" s="2" t="str">
        <x:v>https://www.e-stat.go.jp/stat-search/file-download?statInfId=000040251292&amp;fileKind=0</x:v>
      </x:c>
      <x:c r="X415" s="2" t="str">
        <x:v>海上出入貨物!145行、コンテナ個数!30行</x:v>
      </x:c>
      <x:c r="Y415" s="2" t="str">
        <x:v>取得済</x:v>
      </x:c>
      <x:c r="Z415" s="9" t="n">
        <x:f>IF(AND(ISNUMBER(E415),COUNTIFS($A$2:$A$477,EDATE(A415,-12),$B$2:$B$477,B415,$E$2:$E$477,"&gt;0")=1),E415/SUMIFS($E$2:$E$477,$A$2:$A$477,EDATE(A415,-12),$B$2:$B$477,B415)-1,"")</x:f>
        <x:v>0.9919085927480471</x:v>
      </x:c>
      <x:c r="AA415" s="10" t="n">
        <x:f>IF(COUNTIFS($A$2:$A$477,"&gt;="&amp;EDATE(A415,-2),$A$2:$A$477,"&lt;="&amp;A415,$B$2:$B$477,B415,$E$2:$E$477,"&gt;=0")=3,SUMIFS($E$2:$E$477,$A$2:$A$477,"&gt;="&amp;EDATE(A415,-2),$A$2:$A$477,"&lt;="&amp;A415,$B$2:$B$477,B415)/3,"")</x:f>
        <x:v>135591.33333333334</x:v>
      </x:c>
      <x:c r="AB415" s="9" t="n">
        <x:f>IF(AND(ISNUMBER(J415),COUNTIFS($A$2:$A$477,EDATE(A415,-12),$B$2:$B$477,B415,$J$2:$J$477,"&gt;0")=1),J415/SUMIFS($J$2:$J$477,$A$2:$A$477,EDATE(A415,-12),$B$2:$B$477,B415)-1,"")</x:f>
        <x:v>0.05401908458677007</x:v>
      </x:c>
    </x:row>
    <x:row r="416" ht="21" customHeight="1">
      <x:c r="A416" s="7" t="n">
        <x:v>45992</x:v>
      </x:c>
      <x:c r="B416" s="2" t="str">
        <x:v>東京</x:v>
      </x:c>
      <x:c r="C416" s="2" t="str">
        <x:v>東京都</x:v>
      </x:c>
      <x:c r="D416" s="8" t="n">
        <x:v>6932561</x:v>
      </x:c>
      <x:c r="E416" s="8" t="n">
        <x:v>981931</x:v>
      </x:c>
      <x:c r="F416" s="8" t="n">
        <x:v>2833325</x:v>
      </x:c>
      <x:c r="G416" s="8" t="n">
        <x:v>1130752</x:v>
      </x:c>
      <x:c r="H416" s="8" t="n">
        <x:v>1986553</x:v>
      </x:c>
      <x:c r="I416" s="8" t="n">
        <x:v>412760</x:v>
      </x:c>
      <x:c r="J416" s="8" t="n">
        <x:v>175351</x:v>
      </x:c>
      <x:c r="K416" s="8" t="n">
        <x:v>190492</x:v>
      </x:c>
      <x:c r="L416" s="8" t="n">
        <x:v>34355</x:v>
      </x:c>
      <x:c r="M416" s="8" t="n">
        <x:v>12562</x:v>
      </x:c>
      <x:c r="N416" s="8" t="n">
        <x:v>0</x:v>
      </x:c>
      <x:c r="O416" s="8" t="n">
        <x:v>0</x:v>
      </x:c>
      <x:c r="P416" s="8" t="n">
        <x:v>549</x:v>
      </x:c>
      <x:c r="Q416" s="8" t="n">
        <x:v>187</x:v>
      </x:c>
      <x:c r="R416" s="8" t="n">
        <x:v>736</x:v>
      </x:c>
      <x:c r="S416" s="8" t="n">
        <x:v>1585</x:v>
      </x:c>
      <x:c r="T416" s="8" t="n">
        <x:v>409</x:v>
      </x:c>
      <x:c r="U416" s="2" t="str">
        <x:v>2026年9月4日現在</x:v>
      </x:c>
      <x:c r="V416" s="2" t="str">
        <x:v>2026-09-11</x:v>
      </x:c>
      <x:c r="W416" s="2" t="str">
        <x:v>https://www.e-stat.go.jp/stat-search/file-download?statInfId=000040251292&amp;fileKind=0</x:v>
      </x:c>
      <x:c r="X416" s="2" t="str">
        <x:v>海上出入貨物!211行、コンテナ個数!41行</x:v>
      </x:c>
      <x:c r="Y416" s="2" t="str">
        <x:v>取得済</x:v>
      </x:c>
      <x:c r="Z416" s="9" t="n">
        <x:f>IF(AND(ISNUMBER(E416),COUNTIFS($A$2:$A$477,EDATE(A416,-12),$B$2:$B$477,B416,$E$2:$E$477,"&gt;0")=1),E416/SUMIFS($E$2:$E$477,$A$2:$A$477,EDATE(A416,-12),$B$2:$B$477,B416)-1,"")</x:f>
        <x:v>-0.11847472843163664</x:v>
      </x:c>
      <x:c r="AA416" s="10" t="n">
        <x:f>IF(COUNTIFS($A$2:$A$477,"&gt;="&amp;EDATE(A416,-2),$A$2:$A$477,"&lt;="&amp;A416,$B$2:$B$477,B416,$E$2:$E$477,"&gt;=0")=3,SUMIFS($E$2:$E$477,$A$2:$A$477,"&gt;="&amp;EDATE(A416,-2),$A$2:$A$477,"&lt;="&amp;A416,$B$2:$B$477,B416)/3,"")</x:f>
        <x:v>926064</x:v>
      </x:c>
      <x:c r="AB416" s="9" t="n">
        <x:f>IF(AND(ISNUMBER(J416),COUNTIFS($A$2:$A$477,EDATE(A416,-12),$B$2:$B$477,B416,$J$2:$J$477,"&gt;0")=1),J416/SUMIFS($J$2:$J$477,$A$2:$A$477,EDATE(A416,-12),$B$2:$B$477,B416)-1,"")</x:f>
        <x:v>-0.027216696161591503</x:v>
      </x:c>
    </x:row>
    <x:row r="417" ht="21" customHeight="1">
      <x:c r="A417" s="7" t="n">
        <x:v>45992</x:v>
      </x:c>
      <x:c r="B417" s="2" t="str">
        <x:v>横浜</x:v>
      </x:c>
      <x:c r="C417" s="2" t="str">
        <x:v>神奈川県</x:v>
      </x:c>
      <x:c r="D417" s="8" t="n">
        <x:v>9299091</x:v>
      </x:c>
      <x:c r="E417" s="8" t="n">
        <x:v>2955716</x:v>
      </x:c>
      <x:c r="F417" s="8" t="n">
        <x:v>3775692</x:v>
      </x:c>
      <x:c r="G417" s="8" t="n">
        <x:v>880526</x:v>
      </x:c>
      <x:c r="H417" s="8" t="n">
        <x:v>1687157</x:v>
      </x:c>
      <x:c r="I417" s="8" t="n">
        <x:v>292560</x:v>
      </x:c>
      <x:c r="J417" s="8" t="n">
        <x:v>147784</x:v>
      </x:c>
      <x:c r="K417" s="8" t="n">
        <x:v>116025</x:v>
      </x:c>
      <x:c r="L417" s="8" t="n">
        <x:v>12532</x:v>
      </x:c>
      <x:c r="M417" s="8" t="n">
        <x:v>16219</x:v>
      </x:c>
      <x:c r="N417" s="8" t="n">
        <x:v>0</x:v>
      </x:c>
      <x:c r="O417" s="8" t="n">
        <x:v>0</x:v>
      </x:c>
      <x:c r="P417" s="8" t="n">
        <x:v>0</x:v>
      </x:c>
      <x:c r="Q417" s="8" t="n">
        <x:v>0</x:v>
      </x:c>
      <x:c r="R417" s="8" t="n">
        <x:v>0</x:v>
      </x:c>
      <x:c r="S417" s="8" t="n">
        <x:v>2082</x:v>
      </x:c>
      <x:c r="T417" s="8" t="n">
        <x:v>732</x:v>
      </x:c>
      <x:c r="U417" s="2" t="str">
        <x:v>2026年9月4日現在</x:v>
      </x:c>
      <x:c r="V417" s="2" t="str">
        <x:v>2026-09-11</x:v>
      </x:c>
      <x:c r="W417" s="2" t="str">
        <x:v>https://www.e-stat.go.jp/stat-search/file-download?statInfId=000040251292&amp;fileKind=0</x:v>
      </x:c>
      <x:c r="X417" s="2" t="str">
        <x:v>海上出入貨物!223行、コンテナ個数!43行</x:v>
      </x:c>
      <x:c r="Y417" s="2" t="str">
        <x:v>取得済</x:v>
      </x:c>
      <x:c r="Z417" s="9" t="n">
        <x:f>IF(AND(ISNUMBER(E417),COUNTIFS($A$2:$A$477,EDATE(A417,-12),$B$2:$B$477,B417,$E$2:$E$477,"&gt;0")=1),E417/SUMIFS($E$2:$E$477,$A$2:$A$477,EDATE(A417,-12),$B$2:$B$477,B417)-1,"")</x:f>
        <x:v>0.059005456766856756</x:v>
      </x:c>
      <x:c r="AA417" s="10" t="n">
        <x:f>IF(COUNTIFS($A$2:$A$477,"&gt;="&amp;EDATE(A417,-2),$A$2:$A$477,"&lt;="&amp;A417,$B$2:$B$477,B417,$E$2:$E$477,"&gt;=0")=3,SUMIFS($E$2:$E$477,$A$2:$A$477,"&gt;="&amp;EDATE(A417,-2),$A$2:$A$477,"&lt;="&amp;A417,$B$2:$B$477,B417)/3,"")</x:f>
        <x:v>2695113.6666666665</x:v>
      </x:c>
      <x:c r="AB417" s="9" t="n">
        <x:f>IF(AND(ISNUMBER(J417),COUNTIFS($A$2:$A$477,EDATE(A417,-12),$B$2:$B$477,B417,$J$2:$J$477,"&gt;0")=1),J417/SUMIFS($J$2:$J$477,$A$2:$A$477,EDATE(A417,-12),$B$2:$B$477,B417)-1,"")</x:f>
        <x:v>0.040000000000000036</x:v>
      </x:c>
    </x:row>
    <x:row r="418" ht="21" customHeight="1">
      <x:c r="A418" s="7" t="n">
        <x:v>45992</x:v>
      </x:c>
      <x:c r="B418" s="2" t="str">
        <x:v>清水</x:v>
      </x:c>
      <x:c r="C418" s="2" t="str">
        <x:v>静岡県</x:v>
      </x:c>
      <x:c r="D418" s="8" t="n">
        <x:v>1408466</x:v>
      </x:c>
      <x:c r="E418" s="8" t="n">
        <x:v>293447</x:v>
      </x:c>
      <x:c r="F418" s="8" t="n">
        <x:v>602462</x:v>
      </x:c>
      <x:c r="G418" s="8" t="n">
        <x:v>171209</x:v>
      </x:c>
      <x:c r="H418" s="8" t="n">
        <x:v>341348</x:v>
      </x:c>
      <x:c r="I418" s="8" t="n">
        <x:v>46323</x:v>
      </x:c>
      <x:c r="J418" s="8" t="n">
        <x:v>18959</x:v>
      </x:c>
      <x:c r="K418" s="8" t="n">
        <x:v>17112</x:v>
      </x:c>
      <x:c r="L418" s="8" t="n">
        <x:v>4904</x:v>
      </x:c>
      <x:c r="M418" s="8" t="n">
        <x:v>5348</x:v>
      </x:c>
      <x:c r="N418" s="8" t="n">
        <x:v>0</x:v>
      </x:c>
      <x:c r="O418" s="8" t="n">
        <x:v>0</x:v>
      </x:c>
      <x:c r="P418" s="8" t="n">
        <x:v>1</x:v>
      </x:c>
      <x:c r="Q418" s="8" t="n">
        <x:v>1</x:v>
      </x:c>
      <x:c r="R418" s="8" t="n">
        <x:v>2</x:v>
      </x:c>
      <x:c r="S418" s="8" t="n">
        <x:v>417</x:v>
      </x:c>
      <x:c r="T418" s="8" t="n">
        <x:v>109</x:v>
      </x:c>
      <x:c r="U418" s="2" t="str">
        <x:v>2026年9月4日現在</x:v>
      </x:c>
      <x:c r="V418" s="2" t="str">
        <x:v>2026-09-11</x:v>
      </x:c>
      <x:c r="W418" s="2" t="str">
        <x:v>https://www.e-stat.go.jp/stat-search/file-download?statInfId=000040251292&amp;fileKind=0</x:v>
      </x:c>
      <x:c r="X418" s="2" t="str">
        <x:v>海上出入貨物!313行、コンテナ個数!58行</x:v>
      </x:c>
      <x:c r="Y418" s="2" t="str">
        <x:v>取得済</x:v>
      </x:c>
      <x:c r="Z418" s="9" t="n">
        <x:f>IF(AND(ISNUMBER(E418),COUNTIFS($A$2:$A$477,EDATE(A418,-12),$B$2:$B$477,B418,$E$2:$E$477,"&gt;0")=1),E418/SUMIFS($E$2:$E$477,$A$2:$A$477,EDATE(A418,-12),$B$2:$B$477,B418)-1,"")</x:f>
        <x:v>-0.09570048874891368</x:v>
      </x:c>
      <x:c r="AA418" s="10" t="n">
        <x:f>IF(COUNTIFS($A$2:$A$477,"&gt;="&amp;EDATE(A418,-2),$A$2:$A$477,"&lt;="&amp;A418,$B$2:$B$477,B418,$E$2:$E$477,"&gt;=0")=3,SUMIFS($E$2:$E$477,$A$2:$A$477,"&gt;="&amp;EDATE(A418,-2),$A$2:$A$477,"&lt;="&amp;A418,$B$2:$B$477,B418)/3,"")</x:f>
        <x:v>286507.3333333333</x:v>
      </x:c>
      <x:c r="AB418" s="9" t="n">
        <x:f>IF(AND(ISNUMBER(J418),COUNTIFS($A$2:$A$477,EDATE(A418,-12),$B$2:$B$477,B418,$J$2:$J$477,"&gt;0")=1),J418/SUMIFS($J$2:$J$477,$A$2:$A$477,EDATE(A418,-12),$B$2:$B$477,B418)-1,"")</x:f>
        <x:v>-0.03653826608395161</x:v>
      </x:c>
    </x:row>
    <x:row r="419" ht="21" customHeight="1">
      <x:c r="A419" s="7" t="n">
        <x:v>45992</x:v>
      </x:c>
      <x:c r="B419" s="2" t="str">
        <x:v>博多</x:v>
      </x:c>
      <x:c r="C419" s="2" t="str">
        <x:v>福岡県</x:v>
      </x:c>
      <x:c r="D419" s="8" t="n">
        <x:v>3088622</x:v>
      </x:c>
      <x:c r="E419" s="8" t="n">
        <x:v>778110</x:v>
      </x:c>
      <x:c r="F419" s="8" t="n">
        <x:v>851451</x:v>
      </x:c>
      <x:c r="G419" s="8" t="n">
        <x:v>511724</x:v>
      </x:c>
      <x:c r="H419" s="8" t="n">
        <x:v>947337</x:v>
      </x:c>
      <x:c r="I419" s="8" t="n">
        <x:v>88526</x:v>
      </x:c>
      <x:c r="J419" s="8" t="n">
        <x:v>39432</x:v>
      </x:c>
      <x:c r="K419" s="8" t="n">
        <x:v>36562</x:v>
      </x:c>
      <x:c r="L419" s="8" t="n">
        <x:v>5341</x:v>
      </x:c>
      <x:c r="M419" s="8" t="n">
        <x:v>7191</x:v>
      </x:c>
      <x:c r="N419" s="8" t="n">
        <x:v>0</x:v>
      </x:c>
      <x:c r="O419" s="8" t="n">
        <x:v>0</x:v>
      </x:c>
      <x:c r="P419" s="8" t="n">
        <x:v>1406</x:v>
      </x:c>
      <x:c r="Q419" s="8" t="n">
        <x:v>1404</x:v>
      </x:c>
      <x:c r="R419" s="8" t="n">
        <x:v>2810</x:v>
      </x:c>
      <x:c r="S419" s="8" t="n">
        <x:v>1501</x:v>
      </x:c>
      <x:c r="T419" s="8" t="n">
        <x:v>225</x:v>
      </x:c>
      <x:c r="U419" s="2" t="str">
        <x:v>2026年9月4日現在</x:v>
      </x:c>
      <x:c r="V419" s="2" t="str">
        <x:v>2026-09-11</x:v>
      </x:c>
      <x:c r="W419" s="2" t="str">
        <x:v>https://www.e-stat.go.jp/stat-search/file-download?statInfId=000040251292&amp;fileKind=0</x:v>
      </x:c>
      <x:c r="X419" s="2" t="str">
        <x:v>海上出入貨物!721行、コンテナ個数!126行</x:v>
      </x:c>
      <x:c r="Y419" s="2" t="str">
        <x:v>取得済</x:v>
      </x:c>
      <x:c r="Z419" s="9" t="n">
        <x:f>IF(AND(ISNUMBER(E419),COUNTIFS($A$2:$A$477,EDATE(A419,-12),$B$2:$B$477,B419,$E$2:$E$477,"&gt;0")=1),E419/SUMIFS($E$2:$E$477,$A$2:$A$477,EDATE(A419,-12),$B$2:$B$477,B419)-1,"")</x:f>
        <x:v>0.03215682321042945</x:v>
      </x:c>
      <x:c r="AA419" s="10" t="n">
        <x:f>IF(COUNTIFS($A$2:$A$477,"&gt;="&amp;EDATE(A419,-2),$A$2:$A$477,"&lt;="&amp;A419,$B$2:$B$477,B419,$E$2:$E$477,"&gt;=0")=3,SUMIFS($E$2:$E$477,$A$2:$A$477,"&gt;="&amp;EDATE(A419,-2),$A$2:$A$477,"&lt;="&amp;A419,$B$2:$B$477,B419)/3,"")</x:f>
        <x:v>766647.3333333334</x:v>
      </x:c>
      <x:c r="AB419" s="9" t="n">
        <x:f>IF(AND(ISNUMBER(J419),COUNTIFS($A$2:$A$477,EDATE(A419,-12),$B$2:$B$477,B419,$J$2:$J$477,"&gt;0")=1),J419/SUMIFS($J$2:$J$477,$A$2:$A$477,EDATE(A419,-12),$B$2:$B$477,B419)-1,"")</x:f>
        <x:v>0.031468257082319706</x:v>
      </x:c>
    </x:row>
    <x:row r="420" ht="21" customHeight="1">
      <x:c r="A420" s="7" t="n">
        <x:v>45992</x:v>
      </x:c>
      <x:c r="B420" s="2" t="str">
        <x:v>熊本</x:v>
      </x:c>
      <x:c r="C420" s="2" t="str">
        <x:v>熊本県</x:v>
      </x:c>
      <x:c r="D420" s="8" t="n">
        <x:v>298981</x:v>
      </x:c>
      <x:c r="E420" s="8" t="n">
        <x:v>1626</x:v>
      </x:c>
      <x:c r="F420" s="8" t="n">
        <x:v>4281</x:v>
      </x:c>
      <x:c r="G420" s="8" t="n">
        <x:v>122202</x:v>
      </x:c>
      <x:c r="H420" s="8" t="n">
        <x:v>170872</x:v>
      </x:c>
      <x:c r="I420" s="8" t="n">
        <x:v>1048</x:v>
      </x:c>
      <x:c r="J420" s="8" t="n">
        <x:v>97</x:v>
      </x:c>
      <x:c r="K420" s="8" t="n">
        <x:v>217</x:v>
      </x:c>
      <x:c r="L420" s="8" t="n">
        <x:v>375</x:v>
      </x:c>
      <x:c r="M420" s="8" t="n">
        <x:v>359</x:v>
      </x:c>
      <x:c r="N420" s="8" t="n">
        <x:v>0</x:v>
      </x:c>
      <x:c r="O420" s="8" t="n">
        <x:v>0</x:v>
      </x:c>
      <x:c r="P420" s="8" t="n">
        <x:v>627</x:v>
      </x:c>
      <x:c r="Q420" s="8" t="n">
        <x:v>671</x:v>
      </x:c>
      <x:c r="R420" s="8" t="n">
        <x:v>1298</x:v>
      </x:c>
      <x:c r="S420" s="8" t="n">
        <x:v>39</x:v>
      </x:c>
      <x:c r="T420" s="8" t="n">
        <x:v>7</x:v>
      </x:c>
      <x:c r="U420" s="2" t="str">
        <x:v>2026年9月4日現在</x:v>
      </x:c>
      <x:c r="V420" s="2" t="str">
        <x:v>2026-09-11</x:v>
      </x:c>
      <x:c r="W420" s="2" t="str">
        <x:v>https://www.e-stat.go.jp/stat-search/file-download?statInfId=000040251292&amp;fileKind=0</x:v>
      </x:c>
      <x:c r="X420" s="2" t="str">
        <x:v>海上出入貨物!829行、コンテナ個数!144行</x:v>
      </x:c>
      <x:c r="Y420" s="2" t="str">
        <x:v>取得済</x:v>
      </x:c>
      <x:c r="Z420" s="9" t="n">
        <x:f>IF(AND(ISNUMBER(E420),COUNTIFS($A$2:$A$477,EDATE(A420,-12),$B$2:$B$477,B420,$E$2:$E$477,"&gt;0")=1),E420/SUMIFS($E$2:$E$477,$A$2:$A$477,EDATE(A420,-12),$B$2:$B$477,B420)-1,"")</x:f>
        <x:v>-0.5736759307813319</x:v>
      </x:c>
      <x:c r="AA420" s="10" t="n">
        <x:f>IF(COUNTIFS($A$2:$A$477,"&gt;="&amp;EDATE(A420,-2),$A$2:$A$477,"&lt;="&amp;A420,$B$2:$B$477,B420,$E$2:$E$477,"&gt;=0")=3,SUMIFS($E$2:$E$477,$A$2:$A$477,"&gt;="&amp;EDATE(A420,-2),$A$2:$A$477,"&lt;="&amp;A420,$B$2:$B$477,B420)/3,"")</x:f>
        <x:v>1533.3333333333333</x:v>
      </x:c>
      <x:c r="AB420" s="9" t="n">
        <x:f>IF(AND(ISNUMBER(J420),COUNTIFS($A$2:$A$477,EDATE(A420,-12),$B$2:$B$477,B420,$J$2:$J$477,"&gt;0")=1),J420/SUMIFS($J$2:$J$477,$A$2:$A$477,EDATE(A420,-12),$B$2:$B$477,B420)-1,"")</x:f>
        <x:v>-0.6088709677419355</x:v>
      </x:c>
    </x:row>
    <x:row r="421" ht="21" customHeight="1">
      <x:c r="A421" s="7" t="n">
        <x:v>45992</x:v>
      </x:c>
      <x:c r="B421" s="2" t="str">
        <x:v>八代</x:v>
      </x:c>
      <x:c r="C421" s="2" t="str">
        <x:v>熊本県</x:v>
      </x:c>
      <x:c r="D421" s="8" t="n">
        <x:v>311468</x:v>
      </x:c>
      <x:c r="E421" s="8" t="n">
        <x:v>19099</x:v>
      </x:c>
      <x:c r="F421" s="8" t="n">
        <x:v>115530</x:v>
      </x:c>
      <x:c r="G421" s="8" t="n">
        <x:v>25864</x:v>
      </x:c>
      <x:c r="H421" s="8" t="n">
        <x:v>150975</x:v>
      </x:c>
      <x:c r="I421" s="8" t="n">
        <x:v>1597</x:v>
      </x:c>
      <x:c r="J421" s="8" t="n">
        <x:v>370</x:v>
      </x:c>
      <x:c r="K421" s="8" t="n">
        <x:v>930</x:v>
      </x:c>
      <x:c r="L421" s="8" t="n">
        <x:v>104</x:v>
      </x:c>
      <x:c r="M421" s="8" t="n">
        <x:v>193</x:v>
      </x:c>
      <x:c r="N421" s="8" t="n">
        <x:v>0</x:v>
      </x:c>
      <x:c r="O421" s="8" t="n">
        <x:v>0</x:v>
      </x:c>
      <x:c r="P421" s="8" t="n">
        <x:v>0</x:v>
      </x:c>
      <x:c r="Q421" s="8" t="n">
        <x:v>0</x:v>
      </x:c>
      <x:c r="R421" s="8" t="n">
        <x:v>0</x:v>
      </x:c>
      <x:c r="S421" s="8" t="n">
        <x:v>205</x:v>
      </x:c>
      <x:c r="T421" s="8" t="n">
        <x:v>28</x:v>
      </x:c>
      <x:c r="U421" s="2" t="str">
        <x:v>2026年9月4日現在</x:v>
      </x:c>
      <x:c r="V421" s="2" t="str">
        <x:v>2026-09-11</x:v>
      </x:c>
      <x:c r="W421" s="2" t="str">
        <x:v>https://www.e-stat.go.jp/stat-search/file-download?statInfId=000040251292&amp;fileKind=0</x:v>
      </x:c>
      <x:c r="X421" s="2" t="str">
        <x:v>海上出入貨物!817行、コンテナ個数!142行</x:v>
      </x:c>
      <x:c r="Y421" s="2" t="str">
        <x:v>取得済</x:v>
      </x:c>
      <x:c r="Z421" s="9" t="n">
        <x:f>IF(AND(ISNUMBER(E421),COUNTIFS($A$2:$A$477,EDATE(A421,-12),$B$2:$B$477,B421,$E$2:$E$477,"&gt;0")=1),E421/SUMIFS($E$2:$E$477,$A$2:$A$477,EDATE(A421,-12),$B$2:$B$477,B421)-1,"")</x:f>
        <x:v>-0.3493783001192301</x:v>
      </x:c>
      <x:c r="AA421" s="10" t="n">
        <x:f>IF(COUNTIFS($A$2:$A$477,"&gt;="&amp;EDATE(A421,-2),$A$2:$A$477,"&lt;="&amp;A421,$B$2:$B$477,B421,$E$2:$E$477,"&gt;=0")=3,SUMIFS($E$2:$E$477,$A$2:$A$477,"&gt;="&amp;EDATE(A421,-2),$A$2:$A$477,"&lt;="&amp;A421,$B$2:$B$477,B421)/3,"")</x:f>
        <x:v>23471.666666666668</x:v>
      </x:c>
      <x:c r="AB421" s="9" t="n">
        <x:f>IF(AND(ISNUMBER(J421),COUNTIFS($A$2:$A$477,EDATE(A421,-12),$B$2:$B$477,B421,$J$2:$J$477,"&gt;0")=1),J421/SUMIFS($J$2:$J$477,$A$2:$A$477,EDATE(A421,-12),$B$2:$B$477,B421)-1,"")</x:f>
        <x:v>-0.5334174022698612</x:v>
      </x:c>
    </x:row>
    <x:row r="422" ht="21" customHeight="1">
      <x:c r="A422" s="7" t="n">
        <x:v>46023</x:v>
      </x:c>
      <x:c r="B422" s="2" t="str">
        <x:v>仙台塩釜</x:v>
      </x:c>
      <x:c r="C422" s="2" t="str">
        <x:v>宮城県</x:v>
      </x:c>
      <x:c r="D422" s="8" t="n">
        <x:v>3419585</x:v>
      </x:c>
      <x:c r="E422" s="8" t="n">
        <x:v>133064</x:v>
      </x:c>
      <x:c r="F422" s="8" t="n">
        <x:v>1119204</x:v>
      </x:c>
      <x:c r="G422" s="8" t="n">
        <x:v>1052249</x:v>
      </x:c>
      <x:c r="H422" s="8" t="n">
        <x:v>1115068</x:v>
      </x:c>
      <x:c r="I422" s="8" t="n">
        <x:v>17949</x:v>
      </x:c>
      <x:c r="J422" s="8" t="n">
        <x:v>4238</x:v>
      </x:c>
      <x:c r="K422" s="8" t="n">
        <x:v>5801</x:v>
      </x:c>
      <x:c r="L422" s="8" t="n">
        <x:v>3993</x:v>
      </x:c>
      <x:c r="M422" s="8" t="n">
        <x:v>3917</x:v>
      </x:c>
      <x:c r="N422" s="8" t="n">
        <x:v>0</x:v>
      </x:c>
      <x:c r="O422" s="8" t="n">
        <x:v>0</x:v>
      </x:c>
      <x:c r="P422" s="8" t="n">
        <x:v>481</x:v>
      </x:c>
      <x:c r="Q422" s="8" t="n">
        <x:v>538</x:v>
      </x:c>
      <x:c r="R422" s="8" t="n">
        <x:v>1019</x:v>
      </x:c>
      <x:c r="S422" s="8" t="n">
        <x:v>1769</x:v>
      </x:c>
      <x:c r="T422" s="8" t="n">
        <x:v>78</x:v>
      </x:c>
      <x:c r="U422" s="2" t="str">
        <x:v>2026年9月24日現在</x:v>
      </x:c>
      <x:c r="V422" s="2" t="str">
        <x:v>2026-09-30</x:v>
      </x:c>
      <x:c r="W422" s="2" t="str">
        <x:v>https://www.e-stat.go.jp/stat-search/file-download?statInfId=000040417940&amp;fileKind=0</x:v>
      </x:c>
      <x:c r="X422" s="2" t="str">
        <x:v>海上出入貨物!145行、コンテナ個数!30行</x:v>
      </x:c>
      <x:c r="Y422" s="2" t="str">
        <x:v>取得済</x:v>
      </x:c>
      <x:c r="Z422" s="9" t="n">
        <x:f>IF(AND(ISNUMBER(E422),COUNTIFS($A$2:$A$477,EDATE(A422,-12),$B$2:$B$477,B422,$E$2:$E$477,"&gt;0")=1),E422/SUMIFS($E$2:$E$477,$A$2:$A$477,EDATE(A422,-12),$B$2:$B$477,B422)-1,"")</x:f>
        <x:v>-0.0662699637915064</x:v>
      </x:c>
      <x:c r="AA422" s="10" t="n">
        <x:f>IF(COUNTIFS($A$2:$A$477,"&gt;="&amp;EDATE(A422,-2),$A$2:$A$477,"&lt;="&amp;A422,$B$2:$B$477,B422,$E$2:$E$477,"&gt;=0")=3,SUMIFS($E$2:$E$477,$A$2:$A$477,"&gt;="&amp;EDATE(A422,-2),$A$2:$A$477,"&lt;="&amp;A422,$B$2:$B$477,B422)/3,"")</x:f>
        <x:v>149678.33333333334</x:v>
      </x:c>
      <x:c r="AB422" s="9" t="n">
        <x:f>IF(AND(ISNUMBER(J422),COUNTIFS($A$2:$A$477,EDATE(A422,-12),$B$2:$B$477,B422,$J$2:$J$477,"&gt;0")=1),J422/SUMIFS($J$2:$J$477,$A$2:$A$477,EDATE(A422,-12),$B$2:$B$477,B422)-1,"")</x:f>
        <x:v>-0.008423022929340163</x:v>
      </x:c>
    </x:row>
    <x:row r="423" ht="21" customHeight="1">
      <x:c r="A423" s="7" t="n">
        <x:v>46023</x:v>
      </x:c>
      <x:c r="B423" s="2" t="str">
        <x:v>東京</x:v>
      </x:c>
      <x:c r="C423" s="2" t="str">
        <x:v>東京都</x:v>
      </x:c>
      <x:c r="D423" s="8" t="n">
        <x:v>6417291</x:v>
      </x:c>
      <x:c r="E423" s="8" t="n">
        <x:v>704632</x:v>
      </x:c>
      <x:c r="F423" s="8" t="n">
        <x:v>2868187</x:v>
      </x:c>
      <x:c r="G423" s="8" t="n">
        <x:v>1067452</x:v>
      </x:c>
      <x:c r="H423" s="8" t="n">
        <x:v>1777020</x:v>
      </x:c>
      <x:c r="I423" s="8" t="n">
        <x:v>377565</x:v>
      </x:c>
      <x:c r="J423" s="8" t="n">
        <x:v>142767</x:v>
      </x:c>
      <x:c r="K423" s="8" t="n">
        <x:v>194271</x:v>
      </x:c>
      <x:c r="L423" s="8" t="n">
        <x:v>29533</x:v>
      </x:c>
      <x:c r="M423" s="8" t="n">
        <x:v>10994</x:v>
      </x:c>
      <x:c r="N423" s="8" t="n">
        <x:v>0</x:v>
      </x:c>
      <x:c r="O423" s="8" t="n">
        <x:v>0</x:v>
      </x:c>
      <x:c r="P423" s="8" t="n">
        <x:v>660</x:v>
      </x:c>
      <x:c r="Q423" s="8" t="n">
        <x:v>167</x:v>
      </x:c>
      <x:c r="R423" s="8" t="n">
        <x:v>827</x:v>
      </x:c>
      <x:c r="S423" s="8" t="n">
        <x:v>1474</x:v>
      </x:c>
      <x:c r="T423" s="8" t="n">
        <x:v>388</x:v>
      </x:c>
      <x:c r="U423" s="2" t="str">
        <x:v>2026年9月24日現在</x:v>
      </x:c>
      <x:c r="V423" s="2" t="str">
        <x:v>2026-09-30</x:v>
      </x:c>
      <x:c r="W423" s="2" t="str">
        <x:v>https://www.e-stat.go.jp/stat-search/file-download?statInfId=000040417940&amp;fileKind=0</x:v>
      </x:c>
      <x:c r="X423" s="2" t="str">
        <x:v>海上出入貨物!211行、コンテナ個数!41行</x:v>
      </x:c>
      <x:c r="Y423" s="2" t="str">
        <x:v>取得済</x:v>
      </x:c>
      <x:c r="Z423" s="9" t="n">
        <x:f>IF(AND(ISNUMBER(E423),COUNTIFS($A$2:$A$477,EDATE(A423,-12),$B$2:$B$477,B423,$E$2:$E$477,"&gt;0")=1),E423/SUMIFS($E$2:$E$477,$A$2:$A$477,EDATE(A423,-12),$B$2:$B$477,B423)-1,"")</x:f>
        <x:v>0.28114676155134255</x:v>
      </x:c>
      <x:c r="AA423" s="10" t="n">
        <x:f>IF(COUNTIFS($A$2:$A$477,"&gt;="&amp;EDATE(A423,-2),$A$2:$A$477,"&lt;="&amp;A423,$B$2:$B$477,B423,$E$2:$E$477,"&gt;=0")=3,SUMIFS($E$2:$E$477,$A$2:$A$477,"&gt;="&amp;EDATE(A423,-2),$A$2:$A$477,"&lt;="&amp;A423,$B$2:$B$477,B423)/3,"")</x:f>
        <x:v>849585.6666666666</x:v>
      </x:c>
      <x:c r="AB423" s="9" t="n">
        <x:f>IF(AND(ISNUMBER(J423),COUNTIFS($A$2:$A$477,EDATE(A423,-12),$B$2:$B$477,B423,$J$2:$J$477,"&gt;0")=1),J423/SUMIFS($J$2:$J$477,$A$2:$A$477,EDATE(A423,-12),$B$2:$B$477,B423)-1,"")</x:f>
        <x:v>0.06905537459283395</x:v>
      </x:c>
    </x:row>
    <x:row r="424" ht="21" customHeight="1">
      <x:c r="A424" s="7" t="n">
        <x:v>46023</x:v>
      </x:c>
      <x:c r="B424" s="2" t="str">
        <x:v>横浜</x:v>
      </x:c>
      <x:c r="C424" s="2" t="str">
        <x:v>神奈川県</x:v>
      </x:c>
      <x:c r="D424" s="8" t="n">
        <x:v>8289391</x:v>
      </x:c>
      <x:c r="E424" s="8" t="n">
        <x:v>2073889</x:v>
      </x:c>
      <x:c r="F424" s="8" t="n">
        <x:v>3965987</x:v>
      </x:c>
      <x:c r="G424" s="8" t="n">
        <x:v>908983</x:v>
      </x:c>
      <x:c r="H424" s="8" t="n">
        <x:v>1340532</x:v>
      </x:c>
      <x:c r="I424" s="8" t="n">
        <x:v>251048</x:v>
      </x:c>
      <x:c r="J424" s="8" t="n">
        <x:v>109811</x:v>
      </x:c>
      <x:c r="K424" s="8" t="n">
        <x:v>113352</x:v>
      </x:c>
      <x:c r="L424" s="8" t="n">
        <x:v>12751</x:v>
      </x:c>
      <x:c r="M424" s="8" t="n">
        <x:v>15134</x:v>
      </x:c>
      <x:c r="N424" s="8" t="n">
        <x:v>0</x:v>
      </x:c>
      <x:c r="O424" s="8" t="n">
        <x:v>0</x:v>
      </x:c>
      <x:c r="P424" s="8" t="n">
        <x:v>0</x:v>
      </x:c>
      <x:c r="Q424" s="8" t="n">
        <x:v>0</x:v>
      </x:c>
      <x:c r="R424" s="8" t="n">
        <x:v>0</x:v>
      </x:c>
      <x:c r="S424" s="8" t="n">
        <x:v>1952</x:v>
      </x:c>
      <x:c r="T424" s="8" t="n">
        <x:v>681</x:v>
      </x:c>
      <x:c r="U424" s="2" t="str">
        <x:v>2026年9月24日現在</x:v>
      </x:c>
      <x:c r="V424" s="2" t="str">
        <x:v>2026-09-30</x:v>
      </x:c>
      <x:c r="W424" s="2" t="str">
        <x:v>https://www.e-stat.go.jp/stat-search/file-download?statInfId=000040417940&amp;fileKind=0</x:v>
      </x:c>
      <x:c r="X424" s="2" t="str">
        <x:v>海上出入貨物!223行、コンテナ個数!43行</x:v>
      </x:c>
      <x:c r="Y424" s="2" t="str">
        <x:v>取得済</x:v>
      </x:c>
      <x:c r="Z424" s="9" t="n">
        <x:f>IF(AND(ISNUMBER(E424),COUNTIFS($A$2:$A$477,EDATE(A424,-12),$B$2:$B$477,B424,$E$2:$E$477,"&gt;0")=1),E424/SUMIFS($E$2:$E$477,$A$2:$A$477,EDATE(A424,-12),$B$2:$B$477,B424)-1,"")</x:f>
        <x:v>0.20013251931367737</x:v>
      </x:c>
      <x:c r="AA424" s="10" t="n">
        <x:f>IF(COUNTIFS($A$2:$A$477,"&gt;="&amp;EDATE(A424,-2),$A$2:$A$477,"&lt;="&amp;A424,$B$2:$B$477,B424,$E$2:$E$477,"&gt;=0")=3,SUMIFS($E$2:$E$477,$A$2:$A$477,"&gt;="&amp;EDATE(A424,-2),$A$2:$A$477,"&lt;="&amp;A424,$B$2:$B$477,B424)/3,"")</x:f>
        <x:v>2558270.3333333335</x:v>
      </x:c>
      <x:c r="AB424" s="9" t="n">
        <x:f>IF(AND(ISNUMBER(J424),COUNTIFS($A$2:$A$477,EDATE(A424,-12),$B$2:$B$477,B424,$J$2:$J$477,"&gt;0")=1),J424/SUMIFS($J$2:$J$477,$A$2:$A$477,EDATE(A424,-12),$B$2:$B$477,B424)-1,"")</x:f>
        <x:v>0.13928371340236123</x:v>
      </x:c>
    </x:row>
    <x:row r="425" ht="21" customHeight="1">
      <x:c r="A425" s="7" t="n">
        <x:v>46023</x:v>
      </x:c>
      <x:c r="B425" s="2" t="str">
        <x:v>清水</x:v>
      </x:c>
      <x:c r="C425" s="2" t="str">
        <x:v>静岡県</x:v>
      </x:c>
      <x:c r="D425" s="8" t="n">
        <x:v>1226947</x:v>
      </x:c>
      <x:c r="E425" s="8" t="n">
        <x:v>202360</x:v>
      </x:c>
      <x:c r="F425" s="8" t="n">
        <x:v>555405</x:v>
      </x:c>
      <x:c r="G425" s="8" t="n">
        <x:v>157310</x:v>
      </x:c>
      <x:c r="H425" s="8" t="n">
        <x:v>311872</x:v>
      </x:c>
      <x:c r="I425" s="8" t="n">
        <x:v>38994</x:v>
      </x:c>
      <x:c r="J425" s="8" t="n">
        <x:v>13937</x:v>
      </x:c>
      <x:c r="K425" s="8" t="n">
        <x:v>16236</x:v>
      </x:c>
      <x:c r="L425" s="8" t="n">
        <x:v>4571</x:v>
      </x:c>
      <x:c r="M425" s="8" t="n">
        <x:v>4250</x:v>
      </x:c>
      <x:c r="N425" s="8" t="n">
        <x:v>0</x:v>
      </x:c>
      <x:c r="O425" s="8" t="n">
        <x:v>0</x:v>
      </x:c>
      <x:c r="P425" s="8" t="n">
        <x:v>0</x:v>
      </x:c>
      <x:c r="Q425" s="8" t="n">
        <x:v>0</x:v>
      </x:c>
      <x:c r="R425" s="8" t="n">
        <x:v>0</x:v>
      </x:c>
      <x:c r="S425" s="8" t="n">
        <x:v>402</x:v>
      </x:c>
      <x:c r="T425" s="8" t="n">
        <x:v>102</x:v>
      </x:c>
      <x:c r="U425" s="2" t="str">
        <x:v>2026年9月24日現在</x:v>
      </x:c>
      <x:c r="V425" s="2" t="str">
        <x:v>2026-09-30</x:v>
      </x:c>
      <x:c r="W425" s="2" t="str">
        <x:v>https://www.e-stat.go.jp/stat-search/file-download?statInfId=000040417940&amp;fileKind=0</x:v>
      </x:c>
      <x:c r="X425" s="2" t="str">
        <x:v>海上出入貨物!313行、コンテナ個数!58行</x:v>
      </x:c>
      <x:c r="Y425" s="2" t="str">
        <x:v>取得済</x:v>
      </x:c>
      <x:c r="Z425" s="9" t="n">
        <x:f>IF(AND(ISNUMBER(E425),COUNTIFS($A$2:$A$477,EDATE(A425,-12),$B$2:$B$477,B425,$E$2:$E$477,"&gt;0")=1),E425/SUMIFS($E$2:$E$477,$A$2:$A$477,EDATE(A425,-12),$B$2:$B$477,B425)-1,"")</x:f>
        <x:v>-0.009723656329674535</x:v>
      </x:c>
      <x:c r="AA425" s="10" t="n">
        <x:f>IF(COUNTIFS($A$2:$A$477,"&gt;="&amp;EDATE(A425,-2),$A$2:$A$477,"&lt;="&amp;A425,$B$2:$B$477,B425,$E$2:$E$477,"&gt;=0")=3,SUMIFS($E$2:$E$477,$A$2:$A$477,"&gt;="&amp;EDATE(A425,-2),$A$2:$A$477,"&lt;="&amp;A425,$B$2:$B$477,B425)/3,"")</x:f>
        <x:v>254512.33333333334</x:v>
      </x:c>
      <x:c r="AB425" s="9" t="n">
        <x:f>IF(AND(ISNUMBER(J425),COUNTIFS($A$2:$A$477,EDATE(A425,-12),$B$2:$B$477,B425,$J$2:$J$477,"&gt;0")=1),J425/SUMIFS($J$2:$J$477,$A$2:$A$477,EDATE(A425,-12),$B$2:$B$477,B425)-1,"")</x:f>
        <x:v>0.05145228215767639</x:v>
      </x:c>
    </x:row>
    <x:row r="426" ht="21" customHeight="1">
      <x:c r="A426" s="7" t="n">
        <x:v>46023</x:v>
      </x:c>
      <x:c r="B426" s="2" t="str">
        <x:v>博多</x:v>
      </x:c>
      <x:c r="C426" s="2" t="str">
        <x:v>福岡県</x:v>
      </x:c>
      <x:c r="D426" s="8" t="n">
        <x:v>2748778</x:v>
      </x:c>
      <x:c r="E426" s="8" t="n">
        <x:v>664949</x:v>
      </x:c>
      <x:c r="F426" s="8" t="n">
        <x:v>763449</x:v>
      </x:c>
      <x:c r="G426" s="8" t="n">
        <x:v>460887</x:v>
      </x:c>
      <x:c r="H426" s="8" t="n">
        <x:v>859493</x:v>
      </x:c>
      <x:c r="I426" s="8" t="n">
        <x:v>79355</x:v>
      </x:c>
      <x:c r="J426" s="8" t="n">
        <x:v>32280</x:v>
      </x:c>
      <x:c r="K426" s="8" t="n">
        <x:v>34681</x:v>
      </x:c>
      <x:c r="L426" s="8" t="n">
        <x:v>5012</x:v>
      </x:c>
      <x:c r="M426" s="8" t="n">
        <x:v>7382</x:v>
      </x:c>
      <x:c r="N426" s="8" t="n">
        <x:v>0</x:v>
      </x:c>
      <x:c r="O426" s="8" t="n">
        <x:v>0</x:v>
      </x:c>
      <x:c r="P426" s="8" t="n">
        <x:v>1299</x:v>
      </x:c>
      <x:c r="Q426" s="8" t="n">
        <x:v>1372</x:v>
      </x:c>
      <x:c r="R426" s="8" t="n">
        <x:v>2671</x:v>
      </x:c>
      <x:c r="S426" s="8" t="n">
        <x:v>1430</x:v>
      </x:c>
      <x:c r="T426" s="8" t="n">
        <x:v>204</x:v>
      </x:c>
      <x:c r="U426" s="2" t="str">
        <x:v>2026年9月24日現在</x:v>
      </x:c>
      <x:c r="V426" s="2" t="str">
        <x:v>2026-09-30</x:v>
      </x:c>
      <x:c r="W426" s="2" t="str">
        <x:v>https://www.e-stat.go.jp/stat-search/file-download?statInfId=000040417940&amp;fileKind=0</x:v>
      </x:c>
      <x:c r="X426" s="2" t="str">
        <x:v>海上出入貨物!721行、コンテナ個数!126行</x:v>
      </x:c>
      <x:c r="Y426" s="2" t="str">
        <x:v>取得済</x:v>
      </x:c>
      <x:c r="Z426" s="9" t="n">
        <x:f>IF(AND(ISNUMBER(E426),COUNTIFS($A$2:$A$477,EDATE(A426,-12),$B$2:$B$477,B426,$E$2:$E$477,"&gt;0")=1),E426/SUMIFS($E$2:$E$477,$A$2:$A$477,EDATE(A426,-12),$B$2:$B$477,B426)-1,"")</x:f>
        <x:v>0.1633626383239295</x:v>
      </x:c>
      <x:c r="AA426" s="10" t="n">
        <x:f>IF(COUNTIFS($A$2:$A$477,"&gt;="&amp;EDATE(A426,-2),$A$2:$A$477,"&lt;="&amp;A426,$B$2:$B$477,B426,$E$2:$E$477,"&gt;=0")=3,SUMIFS($E$2:$E$477,$A$2:$A$477,"&gt;="&amp;EDATE(A426,-2),$A$2:$A$477,"&lt;="&amp;A426,$B$2:$B$477,B426)/3,"")</x:f>
        <x:v>714949.3333333334</x:v>
      </x:c>
      <x:c r="AB426" s="9" t="n">
        <x:f>IF(AND(ISNUMBER(J426),COUNTIFS($A$2:$A$477,EDATE(A426,-12),$B$2:$B$477,B426,$J$2:$J$477,"&gt;0")=1),J426/SUMIFS($J$2:$J$477,$A$2:$A$477,EDATE(A426,-12),$B$2:$B$477,B426)-1,"")</x:f>
        <x:v>0.10302409021014869</x:v>
      </x:c>
    </x:row>
    <x:row r="427" ht="21" customHeight="1">
      <x:c r="A427" s="7" t="n">
        <x:v>46023</x:v>
      </x:c>
      <x:c r="B427" s="2" t="str">
        <x:v>熊本</x:v>
      </x:c>
      <x:c r="C427" s="2" t="str">
        <x:v>熊本県</x:v>
      </x:c>
      <x:c r="D427" s="8" t="str">
        <x:v>-</x:v>
      </x:c>
      <x:c r="E427" s="8" t="str">
        <x:v>-</x:v>
      </x:c>
      <x:c r="F427" s="8" t="str">
        <x:v>-</x:v>
      </x:c>
      <x:c r="G427" s="8" t="str">
        <x:v>-</x:v>
      </x:c>
      <x:c r="H427" s="8" t="str">
        <x:v>-</x:v>
      </x:c>
      <x:c r="I427" s="8" t="str">
        <x:v>-</x:v>
      </x:c>
      <x:c r="J427" s="8" t="str">
        <x:v>-</x:v>
      </x:c>
      <x:c r="K427" s="8" t="str">
        <x:v>-</x:v>
      </x:c>
      <x:c r="L427" s="8" t="str">
        <x:v>-</x:v>
      </x:c>
      <x:c r="M427" s="8" t="str">
        <x:v>-</x:v>
      </x:c>
      <x:c r="N427" s="8" t="str">
        <x:v>-</x:v>
      </x:c>
      <x:c r="O427" s="8" t="str">
        <x:v>-</x:v>
      </x:c>
      <x:c r="P427" s="8" t="str">
        <x:v>-</x:v>
      </x:c>
      <x:c r="Q427" s="8" t="str">
        <x:v>-</x:v>
      </x:c>
      <x:c r="R427" s="8" t="str">
        <x:v>-</x:v>
      </x:c>
      <x:c r="S427" s="8" t="str">
        <x:v>-</x:v>
      </x:c>
      <x:c r="T427" s="8" t="str">
        <x:v>-</x:v>
      </x:c>
      <x:c r="U427" s="2" t="str">
        <x:v>2026年9月24日現在</x:v>
      </x:c>
      <x:c r="V427" s="2" t="str">
        <x:v>2026-09-30</x:v>
      </x:c>
      <x:c r="W427" s="2" t="str">
        <x:v>https://www.e-stat.go.jp/stat-search/file-download?statInfId=000040417940&amp;fileKind=0</x:v>
      </x:c>
      <x:c r="X427" s="2" t="str">
        <x:v>海上出入貨物!829行、コンテナ個数!144行</x:v>
      </x:c>
      <x:c r="Y427" s="2" t="str">
        <x:v>欠測（原表－）</x:v>
      </x:c>
      <x:c r="Z427" s="9" t="str">
        <x:f>IF(AND(ISNUMBER(E427),COUNTIFS($A$2:$A$477,EDATE(A427,-12),$B$2:$B$477,B427,$E$2:$E$477,"&gt;0")=1),E427/SUMIFS($E$2:$E$477,$A$2:$A$477,EDATE(A427,-12),$B$2:$B$477,B427)-1,"")</x:f>
      </x:c>
      <x:c r="AA427" s="10" t="str">
        <x:f>IF(COUNTIFS($A$2:$A$477,"&gt;="&amp;EDATE(A427,-2),$A$2:$A$477,"&lt;="&amp;A427,$B$2:$B$477,B427,$E$2:$E$477,"&gt;=0")=3,SUMIFS($E$2:$E$477,$A$2:$A$477,"&gt;="&amp;EDATE(A427,-2),$A$2:$A$477,"&lt;="&amp;A427,$B$2:$B$477,B427)/3,"")</x:f>
      </x:c>
      <x:c r="AB427" s="9" t="str">
        <x:f>IF(AND(ISNUMBER(J427),COUNTIFS($A$2:$A$477,EDATE(A427,-12),$B$2:$B$477,B427,$J$2:$J$477,"&gt;0")=1),J427/SUMIFS($J$2:$J$477,$A$2:$A$477,EDATE(A427,-12),$B$2:$B$477,B427)-1,"")</x:f>
      </x:c>
    </x:row>
    <x:row r="428" ht="21" customHeight="1">
      <x:c r="A428" s="7" t="n">
        <x:v>46023</x:v>
      </x:c>
      <x:c r="B428" s="2" t="str">
        <x:v>八代</x:v>
      </x:c>
      <x:c r="C428" s="2" t="str">
        <x:v>熊本県</x:v>
      </x:c>
      <x:c r="D428" s="8" t="str">
        <x:v>-</x:v>
      </x:c>
      <x:c r="E428" s="8" t="str">
        <x:v>-</x:v>
      </x:c>
      <x:c r="F428" s="8" t="str">
        <x:v>-</x:v>
      </x:c>
      <x:c r="G428" s="8" t="str">
        <x:v>-</x:v>
      </x:c>
      <x:c r="H428" s="8" t="str">
        <x:v>-</x:v>
      </x:c>
      <x:c r="I428" s="8" t="str">
        <x:v>-</x:v>
      </x:c>
      <x:c r="J428" s="8" t="str">
        <x:v>-</x:v>
      </x:c>
      <x:c r="K428" s="8" t="str">
        <x:v>-</x:v>
      </x:c>
      <x:c r="L428" s="8" t="str">
        <x:v>-</x:v>
      </x:c>
      <x:c r="M428" s="8" t="str">
        <x:v>-</x:v>
      </x:c>
      <x:c r="N428" s="8" t="str">
        <x:v>-</x:v>
      </x:c>
      <x:c r="O428" s="8" t="str">
        <x:v>-</x:v>
      </x:c>
      <x:c r="P428" s="8" t="str">
        <x:v>-</x:v>
      </x:c>
      <x:c r="Q428" s="8" t="str">
        <x:v>-</x:v>
      </x:c>
      <x:c r="R428" s="8" t="str">
        <x:v>-</x:v>
      </x:c>
      <x:c r="S428" s="8" t="str">
        <x:v>-</x:v>
      </x:c>
      <x:c r="T428" s="8" t="str">
        <x:v>-</x:v>
      </x:c>
      <x:c r="U428" s="2" t="str">
        <x:v>2026年9月24日現在</x:v>
      </x:c>
      <x:c r="V428" s="2" t="str">
        <x:v>2026-09-30</x:v>
      </x:c>
      <x:c r="W428" s="2" t="str">
        <x:v>https://www.e-stat.go.jp/stat-search/file-download?statInfId=000040417940&amp;fileKind=0</x:v>
      </x:c>
      <x:c r="X428" s="2" t="str">
        <x:v>海上出入貨物!817行、コンテナ個数!142行</x:v>
      </x:c>
      <x:c r="Y428" s="2" t="str">
        <x:v>欠測（原表－）</x:v>
      </x:c>
      <x:c r="Z428" s="9" t="str">
        <x:f>IF(AND(ISNUMBER(E428),COUNTIFS($A$2:$A$477,EDATE(A428,-12),$B$2:$B$477,B428,$E$2:$E$477,"&gt;0")=1),E428/SUMIFS($E$2:$E$477,$A$2:$A$477,EDATE(A428,-12),$B$2:$B$477,B428)-1,"")</x:f>
      </x:c>
      <x:c r="AA428" s="10" t="str">
        <x:f>IF(COUNTIFS($A$2:$A$477,"&gt;="&amp;EDATE(A428,-2),$A$2:$A$477,"&lt;="&amp;A428,$B$2:$B$477,B428,$E$2:$E$477,"&gt;=0")=3,SUMIFS($E$2:$E$477,$A$2:$A$477,"&gt;="&amp;EDATE(A428,-2),$A$2:$A$477,"&lt;="&amp;A428,$B$2:$B$477,B428)/3,"")</x:f>
      </x:c>
      <x:c r="AB428" s="9" t="str">
        <x:f>IF(AND(ISNUMBER(J428),COUNTIFS($A$2:$A$477,EDATE(A428,-12),$B$2:$B$477,B428,$J$2:$J$477,"&gt;0")=1),J428/SUMIFS($J$2:$J$477,$A$2:$A$477,EDATE(A428,-12),$B$2:$B$477,B428)-1,"")</x:f>
      </x:c>
    </x:row>
    <x:row r="429" ht="21" customHeight="1">
      <x:c r="A429" s="7" t="n">
        <x:v>46054</x:v>
      </x:c>
      <x:c r="B429" s="2" t="str">
        <x:v>仙台塩釜</x:v>
      </x:c>
      <x:c r="C429" s="2" t="str">
        <x:v>宮城県</x:v>
      </x:c>
      <x:c r="D429" s="8" t="n">
        <x:v>3141789</x:v>
      </x:c>
      <x:c r="E429" s="8" t="n">
        <x:v>133862</x:v>
      </x:c>
      <x:c r="F429" s="8" t="n">
        <x:v>858029</x:v>
      </x:c>
      <x:c r="G429" s="8" t="n">
        <x:v>936642</x:v>
      </x:c>
      <x:c r="H429" s="8" t="n">
        <x:v>1213256</x:v>
      </x:c>
      <x:c r="I429" s="8" t="n">
        <x:v>18502</x:v>
      </x:c>
      <x:c r="J429" s="8" t="n">
        <x:v>5600</x:v>
      </x:c>
      <x:c r="K429" s="8" t="n">
        <x:v>6091</x:v>
      </x:c>
      <x:c r="L429" s="8" t="n">
        <x:v>3694</x:v>
      </x:c>
      <x:c r="M429" s="8" t="n">
        <x:v>3117</x:v>
      </x:c>
      <x:c r="N429" s="8" t="n">
        <x:v>0</x:v>
      </x:c>
      <x:c r="O429" s="8" t="n">
        <x:v>0</x:v>
      </x:c>
      <x:c r="P429" s="8" t="n">
        <x:v>449</x:v>
      </x:c>
      <x:c r="Q429" s="8" t="n">
        <x:v>493</x:v>
      </x:c>
      <x:c r="R429" s="8" t="n">
        <x:v>942</x:v>
      </x:c>
      <x:c r="S429" s="8" t="n">
        <x:v>1763</x:v>
      </x:c>
      <x:c r="T429" s="8" t="n">
        <x:v>77</x:v>
      </x:c>
      <x:c r="U429" s="2" t="str">
        <x:v>2026年9月24日現在</x:v>
      </x:c>
      <x:c r="V429" s="2" t="str">
        <x:v>2026-09-30</x:v>
      </x:c>
      <x:c r="W429" s="2" t="str">
        <x:v>https://www.e-stat.go.jp/stat-search/file-download?statInfId=000040417940&amp;fileKind=0</x:v>
      </x:c>
      <x:c r="X429" s="2" t="str">
        <x:v>海上出入貨物!145行、コンテナ個数!30行</x:v>
      </x:c>
      <x:c r="Y429" s="2" t="str">
        <x:v>取得済</x:v>
      </x:c>
      <x:c r="Z429" s="9" t="n">
        <x:f>IF(AND(ISNUMBER(E429),COUNTIFS($A$2:$A$477,EDATE(A429,-12),$B$2:$B$477,B429,$E$2:$E$477,"&gt;0")=1),E429/SUMIFS($E$2:$E$477,$A$2:$A$477,EDATE(A429,-12),$B$2:$B$477,B429)-1,"")</x:f>
        <x:v>0.01776074692456242</x:v>
      </x:c>
      <x:c r="AA429" s="10" t="n">
        <x:f>IF(COUNTIFS($A$2:$A$477,"&gt;="&amp;EDATE(A429,-2),$A$2:$A$477,"&lt;="&amp;A429,$B$2:$B$477,B429,$E$2:$E$477,"&gt;=0")=3,SUMIFS($E$2:$E$477,$A$2:$A$477,"&gt;="&amp;EDATE(A429,-2),$A$2:$A$477,"&lt;="&amp;A429,$B$2:$B$477,B429)/3,"")</x:f>
        <x:v>145924</x:v>
      </x:c>
      <x:c r="AB429" s="9" t="n">
        <x:f>IF(AND(ISNUMBER(J429),COUNTIFS($A$2:$A$477,EDATE(A429,-12),$B$2:$B$477,B429,$J$2:$J$477,"&gt;0")=1),J429/SUMIFS($J$2:$J$477,$A$2:$A$477,EDATE(A429,-12),$B$2:$B$477,B429)-1,"")</x:f>
        <x:v>0.08359133126934992</x:v>
      </x:c>
    </x:row>
    <x:row r="430" ht="21" customHeight="1">
      <x:c r="A430" s="7" t="n">
        <x:v>46054</x:v>
      </x:c>
      <x:c r="B430" s="2" t="str">
        <x:v>東京</x:v>
      </x:c>
      <x:c r="C430" s="2" t="str">
        <x:v>東京都</x:v>
      </x:c>
      <x:c r="D430" s="8" t="n">
        <x:v>6435932</x:v>
      </x:c>
      <x:c r="E430" s="8" t="n">
        <x:v>818336</x:v>
      </x:c>
      <x:c r="F430" s="8" t="n">
        <x:v>2725795</x:v>
      </x:c>
      <x:c r="G430" s="8" t="n">
        <x:v>1092011</x:v>
      </x:c>
      <x:c r="H430" s="8" t="n">
        <x:v>1799790</x:v>
      </x:c>
      <x:c r="I430" s="8" t="n">
        <x:v>378255</x:v>
      </x:c>
      <x:c r="J430" s="8" t="n">
        <x:v>151916</x:v>
      </x:c>
      <x:c r="K430" s="8" t="n">
        <x:v>184234</x:v>
      </x:c>
      <x:c r="L430" s="8" t="n">
        <x:v>31138</x:v>
      </x:c>
      <x:c r="M430" s="8" t="n">
        <x:v>10967</x:v>
      </x:c>
      <x:c r="N430" s="8" t="n">
        <x:v>0</x:v>
      </x:c>
      <x:c r="O430" s="8" t="n">
        <x:v>0</x:v>
      </x:c>
      <x:c r="P430" s="8" t="n">
        <x:v>500</x:v>
      </x:c>
      <x:c r="Q430" s="8" t="n">
        <x:v>188</x:v>
      </x:c>
      <x:c r="R430" s="8" t="n">
        <x:v>688</x:v>
      </x:c>
      <x:c r="S430" s="8" t="n">
        <x:v>1467</x:v>
      </x:c>
      <x:c r="T430" s="8" t="n">
        <x:v>361</x:v>
      </x:c>
      <x:c r="U430" s="2" t="str">
        <x:v>2026年9月24日現在</x:v>
      </x:c>
      <x:c r="V430" s="2" t="str">
        <x:v>2026-09-30</x:v>
      </x:c>
      <x:c r="W430" s="2" t="str">
        <x:v>https://www.e-stat.go.jp/stat-search/file-download?statInfId=000040417940&amp;fileKind=0</x:v>
      </x:c>
      <x:c r="X430" s="2" t="str">
        <x:v>海上出入貨物!211行、コンテナ個数!41行</x:v>
      </x:c>
      <x:c r="Y430" s="2" t="str">
        <x:v>取得済</x:v>
      </x:c>
      <x:c r="Z430" s="9" t="n">
        <x:f>IF(AND(ISNUMBER(E430),COUNTIFS($A$2:$A$477,EDATE(A430,-12),$B$2:$B$477,B430,$E$2:$E$477,"&gt;0")=1),E430/SUMIFS($E$2:$E$477,$A$2:$A$477,EDATE(A430,-12),$B$2:$B$477,B430)-1,"")</x:f>
        <x:v>-0.18792670921850685</x:v>
      </x:c>
      <x:c r="AA430" s="10" t="n">
        <x:f>IF(COUNTIFS($A$2:$A$477,"&gt;="&amp;EDATE(A430,-2),$A$2:$A$477,"&lt;="&amp;A430,$B$2:$B$477,B430,$E$2:$E$477,"&gt;=0")=3,SUMIFS($E$2:$E$477,$A$2:$A$477,"&gt;="&amp;EDATE(A430,-2),$A$2:$A$477,"&lt;="&amp;A430,$B$2:$B$477,B430)/3,"")</x:f>
        <x:v>834966.3333333334</x:v>
      </x:c>
      <x:c r="AB430" s="9" t="n">
        <x:f>IF(AND(ISNUMBER(J430),COUNTIFS($A$2:$A$477,EDATE(A430,-12),$B$2:$B$477,B430,$J$2:$J$477,"&gt;0")=1),J430/SUMIFS($J$2:$J$477,$A$2:$A$477,EDATE(A430,-12),$B$2:$B$477,B430)-1,"")</x:f>
        <x:v>-0.0018987549686277916</x:v>
      </x:c>
    </x:row>
    <x:row r="431" ht="21" customHeight="1">
      <x:c r="A431" s="7" t="n">
        <x:v>46054</x:v>
      </x:c>
      <x:c r="B431" s="2" t="str">
        <x:v>横浜</x:v>
      </x:c>
      <x:c r="C431" s="2" t="str">
        <x:v>神奈川県</x:v>
      </x:c>
      <x:c r="D431" s="8" t="n">
        <x:v>8312978</x:v>
      </x:c>
      <x:c r="E431" s="8" t="n">
        <x:v>2481499</x:v>
      </x:c>
      <x:c r="F431" s="8" t="n">
        <x:v>3482352</x:v>
      </x:c>
      <x:c r="G431" s="8" t="n">
        <x:v>870774</x:v>
      </x:c>
      <x:c r="H431" s="8" t="n">
        <x:v>1478353</x:v>
      </x:c>
      <x:c r="I431" s="8" t="n">
        <x:v>250806</x:v>
      </x:c>
      <x:c r="J431" s="8" t="n">
        <x:v>116447</x:v>
      </x:c>
      <x:c r="K431" s="8" t="n">
        <x:v>103340</x:v>
      </x:c>
      <x:c r="L431" s="8" t="n">
        <x:v>13531</x:v>
      </x:c>
      <x:c r="M431" s="8" t="n">
        <x:v>17488</x:v>
      </x:c>
      <x:c r="N431" s="8" t="n">
        <x:v>0</x:v>
      </x:c>
      <x:c r="O431" s="8" t="n">
        <x:v>0</x:v>
      </x:c>
      <x:c r="P431" s="8" t="n">
        <x:v>0</x:v>
      </x:c>
      <x:c r="Q431" s="8" t="n">
        <x:v>0</x:v>
      </x:c>
      <x:c r="R431" s="8" t="n">
        <x:v>0</x:v>
      </x:c>
      <x:c r="S431" s="8" t="n">
        <x:v>1896</x:v>
      </x:c>
      <x:c r="T431" s="8" t="n">
        <x:v>638</x:v>
      </x:c>
      <x:c r="U431" s="2" t="str">
        <x:v>2026年9月24日現在</x:v>
      </x:c>
      <x:c r="V431" s="2" t="str">
        <x:v>2026-09-30</x:v>
      </x:c>
      <x:c r="W431" s="2" t="str">
        <x:v>https://www.e-stat.go.jp/stat-search/file-download?statInfId=000040417940&amp;fileKind=0</x:v>
      </x:c>
      <x:c r="X431" s="2" t="str">
        <x:v>海上出入貨物!223行、コンテナ個数!43行</x:v>
      </x:c>
      <x:c r="Y431" s="2" t="str">
        <x:v>取得済</x:v>
      </x:c>
      <x:c r="Z431" s="9" t="n">
        <x:f>IF(AND(ISNUMBER(E431),COUNTIFS($A$2:$A$477,EDATE(A431,-12),$B$2:$B$477,B431,$E$2:$E$477,"&gt;0")=1),E431/SUMIFS($E$2:$E$477,$A$2:$A$477,EDATE(A431,-12),$B$2:$B$477,B431)-1,"")</x:f>
        <x:v>-0.020719013133775444</x:v>
      </x:c>
      <x:c r="AA431" s="10" t="n">
        <x:f>IF(COUNTIFS($A$2:$A$477,"&gt;="&amp;EDATE(A431,-2),$A$2:$A$477,"&lt;="&amp;A431,$B$2:$B$477,B431,$E$2:$E$477,"&gt;=0")=3,SUMIFS($E$2:$E$477,$A$2:$A$477,"&gt;="&amp;EDATE(A431,-2),$A$2:$A$477,"&lt;="&amp;A431,$B$2:$B$477,B431)/3,"")</x:f>
        <x:v>2503701.3333333335</x:v>
      </x:c>
      <x:c r="AB431" s="9" t="n">
        <x:f>IF(AND(ISNUMBER(J431),COUNTIFS($A$2:$A$477,EDATE(A431,-12),$B$2:$B$477,B431,$J$2:$J$477,"&gt;0")=1),J431/SUMIFS($J$2:$J$477,$A$2:$A$477,EDATE(A431,-12),$B$2:$B$477,B431)-1,"")</x:f>
        <x:v>-0.03367495124683628</x:v>
      </x:c>
    </x:row>
    <x:row r="432" ht="21" customHeight="1">
      <x:c r="A432" s="7" t="n">
        <x:v>46054</x:v>
      </x:c>
      <x:c r="B432" s="2" t="str">
        <x:v>清水</x:v>
      </x:c>
      <x:c r="C432" s="2" t="str">
        <x:v>静岡県</x:v>
      </x:c>
      <x:c r="D432" s="8" t="n">
        <x:v>1306430</x:v>
      </x:c>
      <x:c r="E432" s="8" t="n">
        <x:v>257743</x:v>
      </x:c>
      <x:c r="F432" s="8" t="n">
        <x:v>605239</x:v>
      </x:c>
      <x:c r="G432" s="8" t="n">
        <x:v>148771</x:v>
      </x:c>
      <x:c r="H432" s="8" t="n">
        <x:v>294677</x:v>
      </x:c>
      <x:c r="I432" s="8" t="n">
        <x:v>42955</x:v>
      </x:c>
      <x:c r="J432" s="8" t="n">
        <x:v>16525</x:v>
      </x:c>
      <x:c r="K432" s="8" t="n">
        <x:v>17559</x:v>
      </x:c>
      <x:c r="L432" s="8" t="n">
        <x:v>4427</x:v>
      </x:c>
      <x:c r="M432" s="8" t="n">
        <x:v>4444</x:v>
      </x:c>
      <x:c r="N432" s="8" t="n">
        <x:v>0</x:v>
      </x:c>
      <x:c r="O432" s="8" t="n">
        <x:v>0</x:v>
      </x:c>
      <x:c r="P432" s="8" t="n">
        <x:v>0</x:v>
      </x:c>
      <x:c r="Q432" s="8" t="n">
        <x:v>0</x:v>
      </x:c>
      <x:c r="R432" s="8" t="n">
        <x:v>0</x:v>
      </x:c>
      <x:c r="S432" s="8" t="n">
        <x:v>390</x:v>
      </x:c>
      <x:c r="T432" s="8" t="n">
        <x:v>111</x:v>
      </x:c>
      <x:c r="U432" s="2" t="str">
        <x:v>2026年9月24日現在</x:v>
      </x:c>
      <x:c r="V432" s="2" t="str">
        <x:v>2026-09-30</x:v>
      </x:c>
      <x:c r="W432" s="2" t="str">
        <x:v>https://www.e-stat.go.jp/stat-search/file-download?statInfId=000040417940&amp;fileKind=0</x:v>
      </x:c>
      <x:c r="X432" s="2" t="str">
        <x:v>海上出入貨物!313行、コンテナ個数!58行</x:v>
      </x:c>
      <x:c r="Y432" s="2" t="str">
        <x:v>取得済</x:v>
      </x:c>
      <x:c r="Z432" s="9" t="n">
        <x:f>IF(AND(ISNUMBER(E432),COUNTIFS($A$2:$A$477,EDATE(A432,-12),$B$2:$B$477,B432,$E$2:$E$477,"&gt;0")=1),E432/SUMIFS($E$2:$E$477,$A$2:$A$477,EDATE(A432,-12),$B$2:$B$477,B432)-1,"")</x:f>
        <x:v>0.026480122981831444</x:v>
      </x:c>
      <x:c r="AA432" s="10" t="n">
        <x:f>IF(COUNTIFS($A$2:$A$477,"&gt;="&amp;EDATE(A432,-2),$A$2:$A$477,"&lt;="&amp;A432,$B$2:$B$477,B432,$E$2:$E$477,"&gt;=0")=3,SUMIFS($E$2:$E$477,$A$2:$A$477,"&gt;="&amp;EDATE(A432,-2),$A$2:$A$477,"&lt;="&amp;A432,$B$2:$B$477,B432)/3,"")</x:f>
        <x:v>251183.33333333334</x:v>
      </x:c>
      <x:c r="AB432" s="9" t="n">
        <x:f>IF(AND(ISNUMBER(J432),COUNTIFS($A$2:$A$477,EDATE(A432,-12),$B$2:$B$477,B432,$J$2:$J$477,"&gt;0")=1),J432/SUMIFS($J$2:$J$477,$A$2:$A$477,EDATE(A432,-12),$B$2:$B$477,B432)-1,"")</x:f>
        <x:v>0.09371897544509888</x:v>
      </x:c>
    </x:row>
    <x:row r="433" ht="21" customHeight="1">
      <x:c r="A433" s="7" t="n">
        <x:v>46054</x:v>
      </x:c>
      <x:c r="B433" s="2" t="str">
        <x:v>博多</x:v>
      </x:c>
      <x:c r="C433" s="2" t="str">
        <x:v>福岡県</x:v>
      </x:c>
      <x:c r="D433" s="8" t="n">
        <x:v>2919306</x:v>
      </x:c>
      <x:c r="E433" s="8" t="n">
        <x:v>751348</x:v>
      </x:c>
      <x:c r="F433" s="8" t="n">
        <x:v>782335</x:v>
      </x:c>
      <x:c r="G433" s="8" t="n">
        <x:v>457192</x:v>
      </x:c>
      <x:c r="H433" s="8" t="n">
        <x:v>928431</x:v>
      </x:c>
      <x:c r="I433" s="8" t="n">
        <x:v>79785</x:v>
      </x:c>
      <x:c r="J433" s="8" t="n">
        <x:v>35065</x:v>
      </x:c>
      <x:c r="K433" s="8" t="n">
        <x:v>34152</x:v>
      </x:c>
      <x:c r="L433" s="8" t="n">
        <x:v>4507</x:v>
      </x:c>
      <x:c r="M433" s="8" t="n">
        <x:v>6061</x:v>
      </x:c>
      <x:c r="N433" s="8" t="n">
        <x:v>0</x:v>
      </x:c>
      <x:c r="O433" s="8" t="n">
        <x:v>0</x:v>
      </x:c>
      <x:c r="P433" s="8" t="n">
        <x:v>1155</x:v>
      </x:c>
      <x:c r="Q433" s="8" t="n">
        <x:v>1219</x:v>
      </x:c>
      <x:c r="R433" s="8" t="n">
        <x:v>2374</x:v>
      </x:c>
      <x:c r="S433" s="8" t="n">
        <x:v>1381</x:v>
      </x:c>
      <x:c r="T433" s="8" t="n">
        <x:v>196</x:v>
      </x:c>
      <x:c r="U433" s="2" t="str">
        <x:v>2026年9月24日現在</x:v>
      </x:c>
      <x:c r="V433" s="2" t="str">
        <x:v>2026-09-30</x:v>
      </x:c>
      <x:c r="W433" s="2" t="str">
        <x:v>https://www.e-stat.go.jp/stat-search/file-download?statInfId=000040417940&amp;fileKind=0</x:v>
      </x:c>
      <x:c r="X433" s="2" t="str">
        <x:v>海上出入貨物!721行、コンテナ個数!126行</x:v>
      </x:c>
      <x:c r="Y433" s="2" t="str">
        <x:v>取得済</x:v>
      </x:c>
      <x:c r="Z433" s="9" t="n">
        <x:f>IF(AND(ISNUMBER(E433),COUNTIFS($A$2:$A$477,EDATE(A433,-12),$B$2:$B$477,B433,$E$2:$E$477,"&gt;0")=1),E433/SUMIFS($E$2:$E$477,$A$2:$A$477,EDATE(A433,-12),$B$2:$B$477,B433)-1,"")</x:f>
        <x:v>0.08280875299760182</x:v>
      </x:c>
      <x:c r="AA433" s="10" t="n">
        <x:f>IF(COUNTIFS($A$2:$A$477,"&gt;="&amp;EDATE(A433,-2),$A$2:$A$477,"&lt;="&amp;A433,$B$2:$B$477,B433,$E$2:$E$477,"&gt;=0")=3,SUMIFS($E$2:$E$477,$A$2:$A$477,"&gt;="&amp;EDATE(A433,-2),$A$2:$A$477,"&lt;="&amp;A433,$B$2:$B$477,B433)/3,"")</x:f>
        <x:v>731469</x:v>
      </x:c>
      <x:c r="AB433" s="9" t="n">
        <x:f>IF(AND(ISNUMBER(J433),COUNTIFS($A$2:$A$477,EDATE(A433,-12),$B$2:$B$477,B433,$J$2:$J$477,"&gt;0")=1),J433/SUMIFS($J$2:$J$477,$A$2:$A$477,EDATE(A433,-12),$B$2:$B$477,B433)-1,"")</x:f>
        <x:v>0.049379021397575995</x:v>
      </x:c>
    </x:row>
    <x:row r="434" ht="21" customHeight="1">
      <x:c r="A434" s="7" t="n">
        <x:v>46054</x:v>
      </x:c>
      <x:c r="B434" s="2" t="str">
        <x:v>熊本</x:v>
      </x:c>
      <x:c r="C434" s="2" t="str">
        <x:v>熊本県</x:v>
      </x:c>
      <x:c r="D434" s="8" t="str">
        <x:v>-</x:v>
      </x:c>
      <x:c r="E434" s="8" t="str">
        <x:v>-</x:v>
      </x:c>
      <x:c r="F434" s="8" t="str">
        <x:v>-</x:v>
      </x:c>
      <x:c r="G434" s="8" t="str">
        <x:v>-</x:v>
      </x:c>
      <x:c r="H434" s="8" t="str">
        <x:v>-</x:v>
      </x:c>
      <x:c r="I434" s="8" t="str">
        <x:v>-</x:v>
      </x:c>
      <x:c r="J434" s="8" t="str">
        <x:v>-</x:v>
      </x:c>
      <x:c r="K434" s="8" t="str">
        <x:v>-</x:v>
      </x:c>
      <x:c r="L434" s="8" t="str">
        <x:v>-</x:v>
      </x:c>
      <x:c r="M434" s="8" t="str">
        <x:v>-</x:v>
      </x:c>
      <x:c r="N434" s="8" t="str">
        <x:v>-</x:v>
      </x:c>
      <x:c r="O434" s="8" t="str">
        <x:v>-</x:v>
      </x:c>
      <x:c r="P434" s="8" t="str">
        <x:v>-</x:v>
      </x:c>
      <x:c r="Q434" s="8" t="str">
        <x:v>-</x:v>
      </x:c>
      <x:c r="R434" s="8" t="str">
        <x:v>-</x:v>
      </x:c>
      <x:c r="S434" s="8" t="str">
        <x:v>-</x:v>
      </x:c>
      <x:c r="T434" s="8" t="str">
        <x:v>-</x:v>
      </x:c>
      <x:c r="U434" s="2" t="str">
        <x:v>2026年9月24日現在</x:v>
      </x:c>
      <x:c r="V434" s="2" t="str">
        <x:v>2026-09-30</x:v>
      </x:c>
      <x:c r="W434" s="2" t="str">
        <x:v>https://www.e-stat.go.jp/stat-search/file-download?statInfId=000040417940&amp;fileKind=0</x:v>
      </x:c>
      <x:c r="X434" s="2" t="str">
        <x:v>海上出入貨物!829行、コンテナ個数!144行</x:v>
      </x:c>
      <x:c r="Y434" s="2" t="str">
        <x:v>欠測（原表－）</x:v>
      </x:c>
      <x:c r="Z434" s="9" t="str">
        <x:f>IF(AND(ISNUMBER(E434),COUNTIFS($A$2:$A$477,EDATE(A434,-12),$B$2:$B$477,B434,$E$2:$E$477,"&gt;0")=1),E434/SUMIFS($E$2:$E$477,$A$2:$A$477,EDATE(A434,-12),$B$2:$B$477,B434)-1,"")</x:f>
      </x:c>
      <x:c r="AA434" s="10" t="str">
        <x:f>IF(COUNTIFS($A$2:$A$477,"&gt;="&amp;EDATE(A434,-2),$A$2:$A$477,"&lt;="&amp;A434,$B$2:$B$477,B434,$E$2:$E$477,"&gt;=0")=3,SUMIFS($E$2:$E$477,$A$2:$A$477,"&gt;="&amp;EDATE(A434,-2),$A$2:$A$477,"&lt;="&amp;A434,$B$2:$B$477,B434)/3,"")</x:f>
      </x:c>
      <x:c r="AB434" s="9" t="str">
        <x:f>IF(AND(ISNUMBER(J434),COUNTIFS($A$2:$A$477,EDATE(A434,-12),$B$2:$B$477,B434,$J$2:$J$477,"&gt;0")=1),J434/SUMIFS($J$2:$J$477,$A$2:$A$477,EDATE(A434,-12),$B$2:$B$477,B434)-1,"")</x:f>
      </x:c>
    </x:row>
    <x:row r="435" ht="21" customHeight="1">
      <x:c r="A435" s="7" t="n">
        <x:v>46054</x:v>
      </x:c>
      <x:c r="B435" s="2" t="str">
        <x:v>八代</x:v>
      </x:c>
      <x:c r="C435" s="2" t="str">
        <x:v>熊本県</x:v>
      </x:c>
      <x:c r="D435" s="8" t="str">
        <x:v>-</x:v>
      </x:c>
      <x:c r="E435" s="8" t="str">
        <x:v>-</x:v>
      </x:c>
      <x:c r="F435" s="8" t="str">
        <x:v>-</x:v>
      </x:c>
      <x:c r="G435" s="8" t="str">
        <x:v>-</x:v>
      </x:c>
      <x:c r="H435" s="8" t="str">
        <x:v>-</x:v>
      </x:c>
      <x:c r="I435" s="8" t="str">
        <x:v>-</x:v>
      </x:c>
      <x:c r="J435" s="8" t="str">
        <x:v>-</x:v>
      </x:c>
      <x:c r="K435" s="8" t="str">
        <x:v>-</x:v>
      </x:c>
      <x:c r="L435" s="8" t="str">
        <x:v>-</x:v>
      </x:c>
      <x:c r="M435" s="8" t="str">
        <x:v>-</x:v>
      </x:c>
      <x:c r="N435" s="8" t="str">
        <x:v>-</x:v>
      </x:c>
      <x:c r="O435" s="8" t="str">
        <x:v>-</x:v>
      </x:c>
      <x:c r="P435" s="8" t="str">
        <x:v>-</x:v>
      </x:c>
      <x:c r="Q435" s="8" t="str">
        <x:v>-</x:v>
      </x:c>
      <x:c r="R435" s="8" t="str">
        <x:v>-</x:v>
      </x:c>
      <x:c r="S435" s="8" t="str">
        <x:v>-</x:v>
      </x:c>
      <x:c r="T435" s="8" t="str">
        <x:v>-</x:v>
      </x:c>
      <x:c r="U435" s="2" t="str">
        <x:v>2026年9月24日現在</x:v>
      </x:c>
      <x:c r="V435" s="2" t="str">
        <x:v>2026-09-30</x:v>
      </x:c>
      <x:c r="W435" s="2" t="str">
        <x:v>https://www.e-stat.go.jp/stat-search/file-download?statInfId=000040417940&amp;fileKind=0</x:v>
      </x:c>
      <x:c r="X435" s="2" t="str">
        <x:v>海上出入貨物!817行、コンテナ個数!142行</x:v>
      </x:c>
      <x:c r="Y435" s="2" t="str">
        <x:v>欠測（原表－）</x:v>
      </x:c>
      <x:c r="Z435" s="9" t="str">
        <x:f>IF(AND(ISNUMBER(E435),COUNTIFS($A$2:$A$477,EDATE(A435,-12),$B$2:$B$477,B435,$E$2:$E$477,"&gt;0")=1),E435/SUMIFS($E$2:$E$477,$A$2:$A$477,EDATE(A435,-12),$B$2:$B$477,B435)-1,"")</x:f>
      </x:c>
      <x:c r="AA435" s="10" t="str">
        <x:f>IF(COUNTIFS($A$2:$A$477,"&gt;="&amp;EDATE(A435,-2),$A$2:$A$477,"&lt;="&amp;A435,$B$2:$B$477,B435,$E$2:$E$477,"&gt;=0")=3,SUMIFS($E$2:$E$477,$A$2:$A$477,"&gt;="&amp;EDATE(A435,-2),$A$2:$A$477,"&lt;="&amp;A435,$B$2:$B$477,B435)/3,"")</x:f>
      </x:c>
      <x:c r="AB435" s="9" t="str">
        <x:f>IF(AND(ISNUMBER(J435),COUNTIFS($A$2:$A$477,EDATE(A435,-12),$B$2:$B$477,B435,$J$2:$J$477,"&gt;0")=1),J435/SUMIFS($J$2:$J$477,$A$2:$A$477,EDATE(A435,-12),$B$2:$B$477,B435)-1,"")</x:f>
      </x:c>
    </x:row>
    <x:row r="436" ht="21" customHeight="1">
      <x:c r="A436" s="7" t="n">
        <x:v>46082</x:v>
      </x:c>
      <x:c r="B436" s="2" t="str">
        <x:v>仙台塩釜</x:v>
      </x:c>
      <x:c r="C436" s="2" t="str">
        <x:v>宮城県</x:v>
      </x:c>
      <x:c r="D436" s="8" t="n">
        <x:v>3377762</x:v>
      </x:c>
      <x:c r="E436" s="8" t="n">
        <x:v>132585</x:v>
      </x:c>
      <x:c r="F436" s="8" t="n">
        <x:v>1134315</x:v>
      </x:c>
      <x:c r="G436" s="8" t="n">
        <x:v>977215</x:v>
      </x:c>
      <x:c r="H436" s="8" t="n">
        <x:v>1133647</x:v>
      </x:c>
      <x:c r="I436" s="8" t="n">
        <x:v>22072</x:v>
      </x:c>
      <x:c r="J436" s="8" t="n">
        <x:v>5568</x:v>
      </x:c>
      <x:c r="K436" s="8" t="n">
        <x:v>7165</x:v>
      </x:c>
      <x:c r="L436" s="8" t="n">
        <x:v>4851</x:v>
      </x:c>
      <x:c r="M436" s="8" t="n">
        <x:v>4488</x:v>
      </x:c>
      <x:c r="N436" s="8" t="n">
        <x:v>0</x:v>
      </x:c>
      <x:c r="O436" s="8" t="n">
        <x:v>0</x:v>
      </x:c>
      <x:c r="P436" s="8" t="n">
        <x:v>448</x:v>
      </x:c>
      <x:c r="Q436" s="8" t="n">
        <x:v>597</x:v>
      </x:c>
      <x:c r="R436" s="8" t="n">
        <x:v>1045</x:v>
      </x:c>
      <x:c r="S436" s="8" t="n">
        <x:v>2022</x:v>
      </x:c>
      <x:c r="T436" s="8" t="n">
        <x:v>82</x:v>
      </x:c>
      <x:c r="U436" s="2" t="str">
        <x:v>2026年9月24日現在</x:v>
      </x:c>
      <x:c r="V436" s="2" t="str">
        <x:v>2026-09-30</x:v>
      </x:c>
      <x:c r="W436" s="2" t="str">
        <x:v>https://www.e-stat.go.jp/stat-search/file-download?statInfId=000040417940&amp;fileKind=0</x:v>
      </x:c>
      <x:c r="X436" s="2" t="str">
        <x:v>海上出入貨物!145行、コンテナ個数!30行</x:v>
      </x:c>
      <x:c r="Y436" s="2" t="str">
        <x:v>取得済</x:v>
      </x:c>
      <x:c r="Z436" s="9" t="n">
        <x:f>IF(AND(ISNUMBER(E436),COUNTIFS($A$2:$A$477,EDATE(A436,-12),$B$2:$B$477,B436,$E$2:$E$477,"&gt;0")=1),E436/SUMIFS($E$2:$E$477,$A$2:$A$477,EDATE(A436,-12),$B$2:$B$477,B436)-1,"")</x:f>
        <x:v>0.25595604603798616</x:v>
      </x:c>
      <x:c r="AA436" s="10" t="n">
        <x:f>IF(COUNTIFS($A$2:$A$477,"&gt;="&amp;EDATE(A436,-2),$A$2:$A$477,"&lt;="&amp;A436,$B$2:$B$477,B436,$E$2:$E$477,"&gt;=0")=3,SUMIFS($E$2:$E$477,$A$2:$A$477,"&gt;="&amp;EDATE(A436,-2),$A$2:$A$477,"&lt;="&amp;A436,$B$2:$B$477,B436)/3,"")</x:f>
        <x:v>133170.33333333334</x:v>
      </x:c>
      <x:c r="AB436" s="9" t="n">
        <x:f>IF(AND(ISNUMBER(J436),COUNTIFS($A$2:$A$477,EDATE(A436,-12),$B$2:$B$477,B436,$J$2:$J$477,"&gt;0")=1),J436/SUMIFS($J$2:$J$477,$A$2:$A$477,EDATE(A436,-12),$B$2:$B$477,B436)-1,"")</x:f>
        <x:v>0.061177815894797094</x:v>
      </x:c>
    </x:row>
    <x:row r="437" ht="21" customHeight="1">
      <x:c r="A437" s="7" t="n">
        <x:v>46082</x:v>
      </x:c>
      <x:c r="B437" s="2" t="str">
        <x:v>東京</x:v>
      </x:c>
      <x:c r="C437" s="2" t="str">
        <x:v>東京都</x:v>
      </x:c>
      <x:c r="D437" s="8" t="n">
        <x:v>7055536</x:v>
      </x:c>
      <x:c r="E437" s="8" t="n">
        <x:v>1002766</x:v>
      </x:c>
      <x:c r="F437" s="8" t="n">
        <x:v>2765065</x:v>
      </x:c>
      <x:c r="G437" s="8" t="n">
        <x:v>1259016</x:v>
      </x:c>
      <x:c r="H437" s="8" t="n">
        <x:v>2028689</x:v>
      </x:c>
      <x:c r="I437" s="8" t="n">
        <x:v>397747</x:v>
      </x:c>
      <x:c r="J437" s="8" t="n">
        <x:v>167474</x:v>
      </x:c>
      <x:c r="K437" s="8" t="n">
        <x:v>186299</x:v>
      </x:c>
      <x:c r="L437" s="8" t="n">
        <x:v>32164</x:v>
      </x:c>
      <x:c r="M437" s="8" t="n">
        <x:v>11810</x:v>
      </x:c>
      <x:c r="N437" s="8" t="n">
        <x:v>0</x:v>
      </x:c>
      <x:c r="O437" s="8" t="n">
        <x:v>0</x:v>
      </x:c>
      <x:c r="P437" s="8" t="n">
        <x:v>734</x:v>
      </x:c>
      <x:c r="Q437" s="8" t="n">
        <x:v>286</x:v>
      </x:c>
      <x:c r="R437" s="8" t="n">
        <x:v>1020</x:v>
      </x:c>
      <x:c r="S437" s="8" t="n">
        <x:v>1583</x:v>
      </x:c>
      <x:c r="T437" s="8" t="n">
        <x:v>412</x:v>
      </x:c>
      <x:c r="U437" s="2" t="str">
        <x:v>2026年9月24日現在</x:v>
      </x:c>
      <x:c r="V437" s="2" t="str">
        <x:v>2026-09-30</x:v>
      </x:c>
      <x:c r="W437" s="2" t="str">
        <x:v>https://www.e-stat.go.jp/stat-search/file-download?statInfId=000040417940&amp;fileKind=0</x:v>
      </x:c>
      <x:c r="X437" s="2" t="str">
        <x:v>海上出入貨物!211行、コンテナ個数!41行</x:v>
      </x:c>
      <x:c r="Y437" s="2" t="str">
        <x:v>取得済</x:v>
      </x:c>
      <x:c r="Z437" s="9" t="n">
        <x:f>IF(AND(ISNUMBER(E437),COUNTIFS($A$2:$A$477,EDATE(A437,-12),$B$2:$B$477,B437,$E$2:$E$477,"&gt;0")=1),E437/SUMIFS($E$2:$E$477,$A$2:$A$477,EDATE(A437,-12),$B$2:$B$477,B437)-1,"")</x:f>
        <x:v>0.07250109360744994</x:v>
      </x:c>
      <x:c r="AA437" s="10" t="n">
        <x:f>IF(COUNTIFS($A$2:$A$477,"&gt;="&amp;EDATE(A437,-2),$A$2:$A$477,"&lt;="&amp;A437,$B$2:$B$477,B437,$E$2:$E$477,"&gt;=0")=3,SUMIFS($E$2:$E$477,$A$2:$A$477,"&gt;="&amp;EDATE(A437,-2),$A$2:$A$477,"&lt;="&amp;A437,$B$2:$B$477,B437)/3,"")</x:f>
        <x:v>841911.3333333334</x:v>
      </x:c>
      <x:c r="AB437" s="9" t="n">
        <x:f>IF(AND(ISNUMBER(J437),COUNTIFS($A$2:$A$477,EDATE(A437,-12),$B$2:$B$477,B437,$J$2:$J$477,"&gt;0")=1),J437/SUMIFS($J$2:$J$477,$A$2:$A$477,EDATE(A437,-12),$B$2:$B$477,B437)-1,"")</x:f>
        <x:v>0.09416507144210473</x:v>
      </x:c>
    </x:row>
    <x:row r="438" ht="21" customHeight="1">
      <x:c r="A438" s="7" t="n">
        <x:v>46082</x:v>
      </x:c>
      <x:c r="B438" s="2" t="str">
        <x:v>横浜</x:v>
      </x:c>
      <x:c r="C438" s="2" t="str">
        <x:v>神奈川県</x:v>
      </x:c>
      <x:c r="D438" s="8" t="n">
        <x:v>8671831</x:v>
      </x:c>
      <x:c r="E438" s="8" t="n">
        <x:v>2819281</x:v>
      </x:c>
      <x:c r="F438" s="8" t="n">
        <x:v>3576402</x:v>
      </x:c>
      <x:c r="G438" s="8" t="n">
        <x:v>832797</x:v>
      </x:c>
      <x:c r="H438" s="8" t="n">
        <x:v>1443351</x:v>
      </x:c>
      <x:c r="I438" s="8" t="n">
        <x:v>285691</x:v>
      </x:c>
      <x:c r="J438" s="8" t="n">
        <x:v>139322</x:v>
      </x:c>
      <x:c r="K438" s="8" t="n">
        <x:v>114572</x:v>
      </x:c>
      <x:c r="L438" s="8" t="n">
        <x:v>14232</x:v>
      </x:c>
      <x:c r="M438" s="8" t="n">
        <x:v>17565</x:v>
      </x:c>
      <x:c r="N438" s="8" t="n">
        <x:v>0</x:v>
      </x:c>
      <x:c r="O438" s="8" t="n">
        <x:v>0</x:v>
      </x:c>
      <x:c r="P438" s="8" t="n">
        <x:v>0</x:v>
      </x:c>
      <x:c r="Q438" s="8" t="n">
        <x:v>0</x:v>
      </x:c>
      <x:c r="R438" s="8" t="n">
        <x:v>0</x:v>
      </x:c>
      <x:c r="S438" s="8" t="n">
        <x:v>2021</x:v>
      </x:c>
      <x:c r="T438" s="8" t="n">
        <x:v>702</x:v>
      </x:c>
      <x:c r="U438" s="2" t="str">
        <x:v>2026年9月24日現在</x:v>
      </x:c>
      <x:c r="V438" s="2" t="str">
        <x:v>2026-09-30</x:v>
      </x:c>
      <x:c r="W438" s="2" t="str">
        <x:v>https://www.e-stat.go.jp/stat-search/file-download?statInfId=000040417940&amp;fileKind=0</x:v>
      </x:c>
      <x:c r="X438" s="2" t="str">
        <x:v>海上出入貨物!223行、コンテナ個数!43行</x:v>
      </x:c>
      <x:c r="Y438" s="2" t="str">
        <x:v>取得済</x:v>
      </x:c>
      <x:c r="Z438" s="9" t="n">
        <x:f>IF(AND(ISNUMBER(E438),COUNTIFS($A$2:$A$477,EDATE(A438,-12),$B$2:$B$477,B438,$E$2:$E$477,"&gt;0")=1),E438/SUMIFS($E$2:$E$477,$A$2:$A$477,EDATE(A438,-12),$B$2:$B$477,B438)-1,"")</x:f>
        <x:v>0.012003919823105447</x:v>
      </x:c>
      <x:c r="AA438" s="10" t="n">
        <x:f>IF(COUNTIFS($A$2:$A$477,"&gt;="&amp;EDATE(A438,-2),$A$2:$A$477,"&lt;="&amp;A438,$B$2:$B$477,B438,$E$2:$E$477,"&gt;=0")=3,SUMIFS($E$2:$E$477,$A$2:$A$477,"&gt;="&amp;EDATE(A438,-2),$A$2:$A$477,"&lt;="&amp;A438,$B$2:$B$477,B438)/3,"")</x:f>
        <x:v>2458223</x:v>
      </x:c>
      <x:c r="AB438" s="9" t="n">
        <x:f>IF(AND(ISNUMBER(J438),COUNTIFS($A$2:$A$477,EDATE(A438,-12),$B$2:$B$477,B438,$J$2:$J$477,"&gt;0")=1),J438/SUMIFS($J$2:$J$477,$A$2:$A$477,EDATE(A438,-12),$B$2:$B$477,B438)-1,"")</x:f>
        <x:v>0.06933869581235408</x:v>
      </x:c>
    </x:row>
    <x:row r="439" ht="21" customHeight="1">
      <x:c r="A439" s="7" t="n">
        <x:v>46082</x:v>
      </x:c>
      <x:c r="B439" s="2" t="str">
        <x:v>清水</x:v>
      </x:c>
      <x:c r="C439" s="2" t="str">
        <x:v>静岡県</x:v>
      </x:c>
      <x:c r="D439" s="8" t="n">
        <x:v>1214957</x:v>
      </x:c>
      <x:c r="E439" s="8" t="n">
        <x:v>315792</x:v>
      </x:c>
      <x:c r="F439" s="8" t="n">
        <x:v>419127</x:v>
      </x:c>
      <x:c r="G439" s="8" t="n">
        <x:v>166810</x:v>
      </x:c>
      <x:c r="H439" s="8" t="n">
        <x:v>313228</x:v>
      </x:c>
      <x:c r="I439" s="8" t="n">
        <x:v>47564</x:v>
      </x:c>
      <x:c r="J439" s="8" t="n">
        <x:v>19251</x:v>
      </x:c>
      <x:c r="K439" s="8" t="n">
        <x:v>17876</x:v>
      </x:c>
      <x:c r="L439" s="8" t="n">
        <x:v>5317</x:v>
      </x:c>
      <x:c r="M439" s="8" t="n">
        <x:v>5120</x:v>
      </x:c>
      <x:c r="N439" s="8" t="n">
        <x:v>0</x:v>
      </x:c>
      <x:c r="O439" s="8" t="n">
        <x:v>0</x:v>
      </x:c>
      <x:c r="P439" s="8" t="n">
        <x:v>2</x:v>
      </x:c>
      <x:c r="Q439" s="8" t="n">
        <x:v>7</x:v>
      </x:c>
      <x:c r="R439" s="8" t="n">
        <x:v>9</x:v>
      </x:c>
      <x:c r="S439" s="8" t="n">
        <x:v>410</x:v>
      </x:c>
      <x:c r="T439" s="8" t="n">
        <x:v>116</x:v>
      </x:c>
      <x:c r="U439" s="2" t="str">
        <x:v>2026年9月24日現在</x:v>
      </x:c>
      <x:c r="V439" s="2" t="str">
        <x:v>2026-09-30</x:v>
      </x:c>
      <x:c r="W439" s="2" t="str">
        <x:v>https://www.e-stat.go.jp/stat-search/file-download?statInfId=000040417940&amp;fileKind=0</x:v>
      </x:c>
      <x:c r="X439" s="2" t="str">
        <x:v>海上出入貨物!313行、コンテナ個数!58行</x:v>
      </x:c>
      <x:c r="Y439" s="2" t="str">
        <x:v>取得済</x:v>
      </x:c>
      <x:c r="Z439" s="9" t="n">
        <x:f>IF(AND(ISNUMBER(E439),COUNTIFS($A$2:$A$477,EDATE(A439,-12),$B$2:$B$477,B439,$E$2:$E$477,"&gt;0")=1),E439/SUMIFS($E$2:$E$477,$A$2:$A$477,EDATE(A439,-12),$B$2:$B$477,B439)-1,"")</x:f>
        <x:v>0.18211288378465396</x:v>
      </x:c>
      <x:c r="AA439" s="10" t="n">
        <x:f>IF(COUNTIFS($A$2:$A$477,"&gt;="&amp;EDATE(A439,-2),$A$2:$A$477,"&lt;="&amp;A439,$B$2:$B$477,B439,$E$2:$E$477,"&gt;=0")=3,SUMIFS($E$2:$E$477,$A$2:$A$477,"&gt;="&amp;EDATE(A439,-2),$A$2:$A$477,"&lt;="&amp;A439,$B$2:$B$477,B439)/3,"")</x:f>
        <x:v>258631.66666666666</x:v>
      </x:c>
      <x:c r="AB439" s="9" t="n">
        <x:f>IF(AND(ISNUMBER(J439),COUNTIFS($A$2:$A$477,EDATE(A439,-12),$B$2:$B$477,B439,$J$2:$J$477,"&gt;0")=1),J439/SUMIFS($J$2:$J$477,$A$2:$A$477,EDATE(A439,-12),$B$2:$B$477,B439)-1,"")</x:f>
        <x:v>0.15677202259343836</x:v>
      </x:c>
    </x:row>
    <x:row r="440" ht="21" customHeight="1">
      <x:c r="A440" s="7" t="n">
        <x:v>46082</x:v>
      </x:c>
      <x:c r="B440" s="2" t="str">
        <x:v>博多</x:v>
      </x:c>
      <x:c r="C440" s="2" t="str">
        <x:v>福岡県</x:v>
      </x:c>
      <x:c r="D440" s="8" t="n">
        <x:v>3079742</x:v>
      </x:c>
      <x:c r="E440" s="8" t="n">
        <x:v>758565</x:v>
      </x:c>
      <x:c r="F440" s="8" t="n">
        <x:v>821881</x:v>
      </x:c>
      <x:c r="G440" s="8" t="n">
        <x:v>510993</x:v>
      </x:c>
      <x:c r="H440" s="8" t="n">
        <x:v>988303</x:v>
      </x:c>
      <x:c r="I440" s="8" t="n">
        <x:v>85412</x:v>
      </x:c>
      <x:c r="J440" s="8" t="n">
        <x:v>38546</x:v>
      </x:c>
      <x:c r="K440" s="8" t="n">
        <x:v>33532</x:v>
      </x:c>
      <x:c r="L440" s="8" t="n">
        <x:v>5465</x:v>
      </x:c>
      <x:c r="M440" s="8" t="n">
        <x:v>7869</x:v>
      </x:c>
      <x:c r="N440" s="8" t="n">
        <x:v>0</x:v>
      </x:c>
      <x:c r="O440" s="8" t="n">
        <x:v>0</x:v>
      </x:c>
      <x:c r="P440" s="8" t="n">
        <x:v>1857</x:v>
      </x:c>
      <x:c r="Q440" s="8" t="n">
        <x:v>1904</x:v>
      </x:c>
      <x:c r="R440" s="8" t="n">
        <x:v>3761</x:v>
      </x:c>
      <x:c r="S440" s="8" t="n">
        <x:v>1643</x:v>
      </x:c>
      <x:c r="T440" s="8" t="n">
        <x:v>235</x:v>
      </x:c>
      <x:c r="U440" s="2" t="str">
        <x:v>2026年9月24日現在</x:v>
      </x:c>
      <x:c r="V440" s="2" t="str">
        <x:v>2026-09-30</x:v>
      </x:c>
      <x:c r="W440" s="2" t="str">
        <x:v>https://www.e-stat.go.jp/stat-search/file-download?statInfId=000040417940&amp;fileKind=0</x:v>
      </x:c>
      <x:c r="X440" s="2" t="str">
        <x:v>海上出入貨物!721行、コンテナ個数!126行</x:v>
      </x:c>
      <x:c r="Y440" s="2" t="str">
        <x:v>取得済</x:v>
      </x:c>
      <x:c r="Z440" s="9" t="n">
        <x:f>IF(AND(ISNUMBER(E440),COUNTIFS($A$2:$A$477,EDATE(A440,-12),$B$2:$B$477,B440,$E$2:$E$477,"&gt;0")=1),E440/SUMIFS($E$2:$E$477,$A$2:$A$477,EDATE(A440,-12),$B$2:$B$477,B440)-1,"")</x:f>
        <x:v>-0.0396002749913591</x:v>
      </x:c>
      <x:c r="AA440" s="10" t="n">
        <x:f>IF(COUNTIFS($A$2:$A$477,"&gt;="&amp;EDATE(A440,-2),$A$2:$A$477,"&lt;="&amp;A440,$B$2:$B$477,B440,$E$2:$E$477,"&gt;=0")=3,SUMIFS($E$2:$E$477,$A$2:$A$477,"&gt;="&amp;EDATE(A440,-2),$A$2:$A$477,"&lt;="&amp;A440,$B$2:$B$477,B440)/3,"")</x:f>
        <x:v>724954</x:v>
      </x:c>
      <x:c r="AB440" s="9" t="n">
        <x:f>IF(AND(ISNUMBER(J440),COUNTIFS($A$2:$A$477,EDATE(A440,-12),$B$2:$B$477,B440,$J$2:$J$477,"&gt;0")=1),J440/SUMIFS($J$2:$J$477,$A$2:$A$477,EDATE(A440,-12),$B$2:$B$477,B440)-1,"")</x:f>
        <x:v>0.03310015813031009</x:v>
      </x:c>
    </x:row>
    <x:row r="441" ht="21" customHeight="1">
      <x:c r="A441" s="7" t="n">
        <x:v>46082</x:v>
      </x:c>
      <x:c r="B441" s="2" t="str">
        <x:v>熊本</x:v>
      </x:c>
      <x:c r="C441" s="2" t="str">
        <x:v>熊本県</x:v>
      </x:c>
      <x:c r="D441" s="8" t="str">
        <x:v>-</x:v>
      </x:c>
      <x:c r="E441" s="8" t="str">
        <x:v>-</x:v>
      </x:c>
      <x:c r="F441" s="8" t="str">
        <x:v>-</x:v>
      </x:c>
      <x:c r="G441" s="8" t="str">
        <x:v>-</x:v>
      </x:c>
      <x:c r="H441" s="8" t="str">
        <x:v>-</x:v>
      </x:c>
      <x:c r="I441" s="8" t="str">
        <x:v>-</x:v>
      </x:c>
      <x:c r="J441" s="8" t="str">
        <x:v>-</x:v>
      </x:c>
      <x:c r="K441" s="8" t="str">
        <x:v>-</x:v>
      </x:c>
      <x:c r="L441" s="8" t="str">
        <x:v>-</x:v>
      </x:c>
      <x:c r="M441" s="8" t="str">
        <x:v>-</x:v>
      </x:c>
      <x:c r="N441" s="8" t="str">
        <x:v>-</x:v>
      </x:c>
      <x:c r="O441" s="8" t="str">
        <x:v>-</x:v>
      </x:c>
      <x:c r="P441" s="8" t="str">
        <x:v>-</x:v>
      </x:c>
      <x:c r="Q441" s="8" t="str">
        <x:v>-</x:v>
      </x:c>
      <x:c r="R441" s="8" t="str">
        <x:v>-</x:v>
      </x:c>
      <x:c r="S441" s="8" t="str">
        <x:v>-</x:v>
      </x:c>
      <x:c r="T441" s="8" t="str">
        <x:v>-</x:v>
      </x:c>
      <x:c r="U441" s="2" t="str">
        <x:v>2026年9月24日現在</x:v>
      </x:c>
      <x:c r="V441" s="2" t="str">
        <x:v>2026-09-30</x:v>
      </x:c>
      <x:c r="W441" s="2" t="str">
        <x:v>https://www.e-stat.go.jp/stat-search/file-download?statInfId=000040417940&amp;fileKind=0</x:v>
      </x:c>
      <x:c r="X441" s="2" t="str">
        <x:v>海上出入貨物!829行、コンテナ個数!144行</x:v>
      </x:c>
      <x:c r="Y441" s="2" t="str">
        <x:v>欠測（原表－）</x:v>
      </x:c>
      <x:c r="Z441" s="9" t="str">
        <x:f>IF(AND(ISNUMBER(E441),COUNTIFS($A$2:$A$477,EDATE(A441,-12),$B$2:$B$477,B441,$E$2:$E$477,"&gt;0")=1),E441/SUMIFS($E$2:$E$477,$A$2:$A$477,EDATE(A441,-12),$B$2:$B$477,B441)-1,"")</x:f>
      </x:c>
      <x:c r="AA441" s="10" t="str">
        <x:f>IF(COUNTIFS($A$2:$A$477,"&gt;="&amp;EDATE(A441,-2),$A$2:$A$477,"&lt;="&amp;A441,$B$2:$B$477,B441,$E$2:$E$477,"&gt;=0")=3,SUMIFS($E$2:$E$477,$A$2:$A$477,"&gt;="&amp;EDATE(A441,-2),$A$2:$A$477,"&lt;="&amp;A441,$B$2:$B$477,B441)/3,"")</x:f>
      </x:c>
      <x:c r="AB441" s="9" t="str">
        <x:f>IF(AND(ISNUMBER(J441),COUNTIFS($A$2:$A$477,EDATE(A441,-12),$B$2:$B$477,B441,$J$2:$J$477,"&gt;0")=1),J441/SUMIFS($J$2:$J$477,$A$2:$A$477,EDATE(A441,-12),$B$2:$B$477,B441)-1,"")</x:f>
      </x:c>
    </x:row>
    <x:row r="442" ht="21" customHeight="1">
      <x:c r="A442" s="7" t="n">
        <x:v>46082</x:v>
      </x:c>
      <x:c r="B442" s="2" t="str">
        <x:v>八代</x:v>
      </x:c>
      <x:c r="C442" s="2" t="str">
        <x:v>熊本県</x:v>
      </x:c>
      <x:c r="D442" s="8" t="str">
        <x:v>-</x:v>
      </x:c>
      <x:c r="E442" s="8" t="str">
        <x:v>-</x:v>
      </x:c>
      <x:c r="F442" s="8" t="str">
        <x:v>-</x:v>
      </x:c>
      <x:c r="G442" s="8" t="str">
        <x:v>-</x:v>
      </x:c>
      <x:c r="H442" s="8" t="str">
        <x:v>-</x:v>
      </x:c>
      <x:c r="I442" s="8" t="str">
        <x:v>-</x:v>
      </x:c>
      <x:c r="J442" s="8" t="str">
        <x:v>-</x:v>
      </x:c>
      <x:c r="K442" s="8" t="str">
        <x:v>-</x:v>
      </x:c>
      <x:c r="L442" s="8" t="str">
        <x:v>-</x:v>
      </x:c>
      <x:c r="M442" s="8" t="str">
        <x:v>-</x:v>
      </x:c>
      <x:c r="N442" s="8" t="str">
        <x:v>-</x:v>
      </x:c>
      <x:c r="O442" s="8" t="str">
        <x:v>-</x:v>
      </x:c>
      <x:c r="P442" s="8" t="str">
        <x:v>-</x:v>
      </x:c>
      <x:c r="Q442" s="8" t="str">
        <x:v>-</x:v>
      </x:c>
      <x:c r="R442" s="8" t="str">
        <x:v>-</x:v>
      </x:c>
      <x:c r="S442" s="8" t="str">
        <x:v>-</x:v>
      </x:c>
      <x:c r="T442" s="8" t="str">
        <x:v>-</x:v>
      </x:c>
      <x:c r="U442" s="2" t="str">
        <x:v>2026年9月24日現在</x:v>
      </x:c>
      <x:c r="V442" s="2" t="str">
        <x:v>2026-09-30</x:v>
      </x:c>
      <x:c r="W442" s="2" t="str">
        <x:v>https://www.e-stat.go.jp/stat-search/file-download?statInfId=000040417940&amp;fileKind=0</x:v>
      </x:c>
      <x:c r="X442" s="2" t="str">
        <x:v>海上出入貨物!817行、コンテナ個数!142行</x:v>
      </x:c>
      <x:c r="Y442" s="2" t="str">
        <x:v>欠測（原表－）</x:v>
      </x:c>
      <x:c r="Z442" s="9" t="str">
        <x:f>IF(AND(ISNUMBER(E442),COUNTIFS($A$2:$A$477,EDATE(A442,-12),$B$2:$B$477,B442,$E$2:$E$477,"&gt;0")=1),E442/SUMIFS($E$2:$E$477,$A$2:$A$477,EDATE(A442,-12),$B$2:$B$477,B442)-1,"")</x:f>
      </x:c>
      <x:c r="AA442" s="10" t="str">
        <x:f>IF(COUNTIFS($A$2:$A$477,"&gt;="&amp;EDATE(A442,-2),$A$2:$A$477,"&lt;="&amp;A442,$B$2:$B$477,B442,$E$2:$E$477,"&gt;=0")=3,SUMIFS($E$2:$E$477,$A$2:$A$477,"&gt;="&amp;EDATE(A442,-2),$A$2:$A$477,"&lt;="&amp;A442,$B$2:$B$477,B442)/3,"")</x:f>
      </x:c>
      <x:c r="AB442" s="9" t="str">
        <x:f>IF(AND(ISNUMBER(J442),COUNTIFS($A$2:$A$477,EDATE(A442,-12),$B$2:$B$477,B442,$J$2:$J$477,"&gt;0")=1),J442/SUMIFS($J$2:$J$477,$A$2:$A$477,EDATE(A442,-12),$B$2:$B$477,B442)-1,"")</x:f>
      </x:c>
    </x:row>
    <x:row r="443" ht="21" customHeight="1">
      <x:c r="A443" s="7" t="n">
        <x:v>46113</x:v>
      </x:c>
      <x:c r="B443" s="2" t="str">
        <x:v>仙台塩釜</x:v>
      </x:c>
      <x:c r="C443" s="2" t="str">
        <x:v>宮城県</x:v>
      </x:c>
      <x:c r="D443" s="8" t="n">
        <x:v>3056830</x:v>
      </x:c>
      <x:c r="E443" s="8" t="n">
        <x:v>71540</x:v>
      </x:c>
      <x:c r="F443" s="8" t="n">
        <x:v>529790</x:v>
      </x:c>
      <x:c r="G443" s="8" t="n">
        <x:v>1066491</x:v>
      </x:c>
      <x:c r="H443" s="8" t="n">
        <x:v>1389009</x:v>
      </x:c>
      <x:c r="I443" s="8" t="n">
        <x:v>26243</x:v>
      </x:c>
      <x:c r="J443" s="8" t="n">
        <x:v>6320</x:v>
      </x:c>
      <x:c r="K443" s="8" t="n">
        <x:v>8081</x:v>
      </x:c>
      <x:c r="L443" s="8" t="n">
        <x:v>6600</x:v>
      </x:c>
      <x:c r="M443" s="8" t="n">
        <x:v>5242</x:v>
      </x:c>
      <x:c r="N443" s="8" t="n">
        <x:v>0</x:v>
      </x:c>
      <x:c r="O443" s="8" t="n">
        <x:v>0</x:v>
      </x:c>
      <x:c r="P443" s="8" t="n">
        <x:v>581</x:v>
      </x:c>
      <x:c r="Q443" s="8" t="n">
        <x:v>679</x:v>
      </x:c>
      <x:c r="R443" s="8" t="n">
        <x:v>1260</x:v>
      </x:c>
      <x:c r="S443" s="8" t="n">
        <x:v>1924</x:v>
      </x:c>
      <x:c r="T443" s="8" t="n">
        <x:v>71</x:v>
      </x:c>
      <x:c r="U443" s="2" t="str">
        <x:v>2026年9月24日現在</x:v>
      </x:c>
      <x:c r="V443" s="2" t="str">
        <x:v>2026-09-30</x:v>
      </x:c>
      <x:c r="W443" s="2" t="str">
        <x:v>https://www.e-stat.go.jp/stat-search/file-download?statInfId=000040417940&amp;fileKind=0</x:v>
      </x:c>
      <x:c r="X443" s="2" t="str">
        <x:v>海上出入貨物!145行、コンテナ個数!30行</x:v>
      </x:c>
      <x:c r="Y443" s="2" t="str">
        <x:v>取得済</x:v>
      </x:c>
      <x:c r="Z443" s="9" t="n">
        <x:f>IF(AND(ISNUMBER(E443),COUNTIFS($A$2:$A$477,EDATE(A443,-12),$B$2:$B$477,B443,$E$2:$E$477,"&gt;0")=1),E443/SUMIFS($E$2:$E$477,$A$2:$A$477,EDATE(A443,-12),$B$2:$B$477,B443)-1,"")</x:f>
        <x:v>-0.6320791590380779</x:v>
      </x:c>
      <x:c r="AA443" s="10" t="n">
        <x:f>IF(COUNTIFS($A$2:$A$477,"&gt;="&amp;EDATE(A443,-2),$A$2:$A$477,"&lt;="&amp;A443,$B$2:$B$477,B443,$E$2:$E$477,"&gt;=0")=3,SUMIFS($E$2:$E$477,$A$2:$A$477,"&gt;="&amp;EDATE(A443,-2),$A$2:$A$477,"&lt;="&amp;A443,$B$2:$B$477,B443)/3,"")</x:f>
        <x:v>112662.33333333333</x:v>
      </x:c>
      <x:c r="AB443" s="9" t="n">
        <x:f>IF(AND(ISNUMBER(J443),COUNTIFS($A$2:$A$477,EDATE(A443,-12),$B$2:$B$477,B443,$J$2:$J$477,"&gt;0")=1),J443/SUMIFS($J$2:$J$477,$A$2:$A$477,EDATE(A443,-12),$B$2:$B$477,B443)-1,"")</x:f>
        <x:v>0.21819583654587515</x:v>
      </x:c>
    </x:row>
    <x:row r="444" ht="21" customHeight="1">
      <x:c r="A444" s="7" t="n">
        <x:v>46113</x:v>
      </x:c>
      <x:c r="B444" s="2" t="str">
        <x:v>東京</x:v>
      </x:c>
      <x:c r="C444" s="2" t="str">
        <x:v>東京都</x:v>
      </x:c>
      <x:c r="D444" s="8" t="n">
        <x:v>7123617</x:v>
      </x:c>
      <x:c r="E444" s="8" t="n">
        <x:v>931450</x:v>
      </x:c>
      <x:c r="F444" s="8" t="n">
        <x:v>2960662</x:v>
      </x:c>
      <x:c r="G444" s="8" t="n">
        <x:v>1217528</x:v>
      </x:c>
      <x:c r="H444" s="8" t="n">
        <x:v>2013977</x:v>
      </x:c>
      <x:c r="I444" s="8" t="n">
        <x:v>415333</x:v>
      </x:c>
      <x:c r="J444" s="8" t="n">
        <x:v>168473</x:v>
      </x:c>
      <x:c r="K444" s="8" t="n">
        <x:v>198193</x:v>
      </x:c>
      <x:c r="L444" s="8" t="n">
        <x:v>34251</x:v>
      </x:c>
      <x:c r="M444" s="8" t="n">
        <x:v>14416</x:v>
      </x:c>
      <x:c r="N444" s="8" t="n">
        <x:v>0</x:v>
      </x:c>
      <x:c r="O444" s="8" t="n">
        <x:v>0</x:v>
      </x:c>
      <x:c r="P444" s="8" t="n">
        <x:v>584</x:v>
      </x:c>
      <x:c r="Q444" s="8" t="n">
        <x:v>216</x:v>
      </x:c>
      <x:c r="R444" s="8" t="n">
        <x:v>800</x:v>
      </x:c>
      <x:c r="S444" s="8" t="n">
        <x:v>1536</x:v>
      </x:c>
      <x:c r="T444" s="8" t="n">
        <x:v>421</x:v>
      </x:c>
      <x:c r="U444" s="2" t="str">
        <x:v>2026年9月24日現在</x:v>
      </x:c>
      <x:c r="V444" s="2" t="str">
        <x:v>2026-09-30</x:v>
      </x:c>
      <x:c r="W444" s="2" t="str">
        <x:v>https://www.e-stat.go.jp/stat-search/file-download?statInfId=000040417940&amp;fileKind=0</x:v>
      </x:c>
      <x:c r="X444" s="2" t="str">
        <x:v>海上出入貨物!211行、コンテナ個数!41行</x:v>
      </x:c>
      <x:c r="Y444" s="2" t="str">
        <x:v>取得済</x:v>
      </x:c>
      <x:c r="Z444" s="9" t="n">
        <x:f>IF(AND(ISNUMBER(E444),COUNTIFS($A$2:$A$477,EDATE(A444,-12),$B$2:$B$477,B444,$E$2:$E$477,"&gt;0")=1),E444/SUMIFS($E$2:$E$477,$A$2:$A$477,EDATE(A444,-12),$B$2:$B$477,B444)-1,"")</x:f>
        <x:v>-0.03839006603099615</x:v>
      </x:c>
      <x:c r="AA444" s="10" t="n">
        <x:f>IF(COUNTIFS($A$2:$A$477,"&gt;="&amp;EDATE(A444,-2),$A$2:$A$477,"&lt;="&amp;A444,$B$2:$B$477,B444,$E$2:$E$477,"&gt;=0")=3,SUMIFS($E$2:$E$477,$A$2:$A$477,"&gt;="&amp;EDATE(A444,-2),$A$2:$A$477,"&lt;="&amp;A444,$B$2:$B$477,B444)/3,"")</x:f>
        <x:v>917517.3333333334</x:v>
      </x:c>
      <x:c r="AB444" s="9" t="n">
        <x:f>IF(AND(ISNUMBER(J444),COUNTIFS($A$2:$A$477,EDATE(A444,-12),$B$2:$B$477,B444,$J$2:$J$477,"&gt;0")=1),J444/SUMIFS($J$2:$J$477,$A$2:$A$477,EDATE(A444,-12),$B$2:$B$477,B444)-1,"")</x:f>
        <x:v>-0.003419086547846506</x:v>
      </x:c>
    </x:row>
    <x:row r="445" ht="21" customHeight="1">
      <x:c r="A445" s="7" t="n">
        <x:v>46113</x:v>
      </x:c>
      <x:c r="B445" s="2" t="str">
        <x:v>横浜</x:v>
      </x:c>
      <x:c r="C445" s="2" t="str">
        <x:v>神奈川県</x:v>
      </x:c>
      <x:c r="D445" s="8" t="n">
        <x:v>8190291</x:v>
      </x:c>
      <x:c r="E445" s="8" t="n">
        <x:v>2593508</x:v>
      </x:c>
      <x:c r="F445" s="8" t="n">
        <x:v>3001208</x:v>
      </x:c>
      <x:c r="G445" s="8" t="n">
        <x:v>784228</x:v>
      </x:c>
      <x:c r="H445" s="8" t="n">
        <x:v>1811347</x:v>
      </x:c>
      <x:c r="I445" s="8" t="n">
        <x:v>282274</x:v>
      </x:c>
      <x:c r="J445" s="8" t="n">
        <x:v>133046</x:v>
      </x:c>
      <x:c r="K445" s="8" t="n">
        <x:v>117144</x:v>
      </x:c>
      <x:c r="L445" s="8" t="n">
        <x:v>13741</x:v>
      </x:c>
      <x:c r="M445" s="8" t="n">
        <x:v>18343</x:v>
      </x:c>
      <x:c r="N445" s="8" t="n">
        <x:v>0</x:v>
      </x:c>
      <x:c r="O445" s="8" t="n">
        <x:v>0</x:v>
      </x:c>
      <x:c r="P445" s="8" t="n">
        <x:v>0</x:v>
      </x:c>
      <x:c r="Q445" s="8" t="n">
        <x:v>0</x:v>
      </x:c>
      <x:c r="R445" s="8" t="n">
        <x:v>0</x:v>
      </x:c>
      <x:c r="S445" s="8" t="n">
        <x:v>1972</x:v>
      </x:c>
      <x:c r="T445" s="8" t="n">
        <x:v>682</x:v>
      </x:c>
      <x:c r="U445" s="2" t="str">
        <x:v>2026年9月24日現在</x:v>
      </x:c>
      <x:c r="V445" s="2" t="str">
        <x:v>2026-09-30</x:v>
      </x:c>
      <x:c r="W445" s="2" t="str">
        <x:v>https://www.e-stat.go.jp/stat-search/file-download?statInfId=000040417940&amp;fileKind=0</x:v>
      </x:c>
      <x:c r="X445" s="2" t="str">
        <x:v>海上出入貨物!223行、コンテナ個数!43行</x:v>
      </x:c>
      <x:c r="Y445" s="2" t="str">
        <x:v>取得済</x:v>
      </x:c>
      <x:c r="Z445" s="9" t="n">
        <x:f>IF(AND(ISNUMBER(E445),COUNTIFS($A$2:$A$477,EDATE(A445,-12),$B$2:$B$477,B445,$E$2:$E$477,"&gt;0")=1),E445/SUMIFS($E$2:$E$477,$A$2:$A$477,EDATE(A445,-12),$B$2:$B$477,B445)-1,"")</x:f>
        <x:v>-0.033464713651528144</x:v>
      </x:c>
      <x:c r="AA445" s="10" t="n">
        <x:f>IF(COUNTIFS($A$2:$A$477,"&gt;="&amp;EDATE(A445,-2),$A$2:$A$477,"&lt;="&amp;A445,$B$2:$B$477,B445,$E$2:$E$477,"&gt;=0")=3,SUMIFS($E$2:$E$477,$A$2:$A$477,"&gt;="&amp;EDATE(A445,-2),$A$2:$A$477,"&lt;="&amp;A445,$B$2:$B$477,B445)/3,"")</x:f>
        <x:v>2631429.3333333335</x:v>
      </x:c>
      <x:c r="AB445" s="9" t="n">
        <x:f>IF(AND(ISNUMBER(J445),COUNTIFS($A$2:$A$477,EDATE(A445,-12),$B$2:$B$477,B445,$J$2:$J$477,"&gt;0")=1),J445/SUMIFS($J$2:$J$477,$A$2:$A$477,EDATE(A445,-12),$B$2:$B$477,B445)-1,"")</x:f>
        <x:v>0.01390010821356169</x:v>
      </x:c>
    </x:row>
    <x:row r="446" ht="21" customHeight="1">
      <x:c r="A446" s="7" t="n">
        <x:v>46113</x:v>
      </x:c>
      <x:c r="B446" s="2" t="str">
        <x:v>清水</x:v>
      </x:c>
      <x:c r="C446" s="2" t="str">
        <x:v>静岡県</x:v>
      </x:c>
      <x:c r="D446" s="8" t="n">
        <x:v>1404029</x:v>
      </x:c>
      <x:c r="E446" s="8" t="n">
        <x:v>279041</x:v>
      </x:c>
      <x:c r="F446" s="8" t="n">
        <x:v>610544</x:v>
      </x:c>
      <x:c r="G446" s="8" t="n">
        <x:v>195488</x:v>
      </x:c>
      <x:c r="H446" s="8" t="n">
        <x:v>318956</x:v>
      </x:c>
      <x:c r="I446" s="8" t="n">
        <x:v>44698</x:v>
      </x:c>
      <x:c r="J446" s="8" t="n">
        <x:v>17701</x:v>
      </x:c>
      <x:c r="K446" s="8" t="n">
        <x:v>16523</x:v>
      </x:c>
      <x:c r="L446" s="8" t="n">
        <x:v>4684</x:v>
      </x:c>
      <x:c r="M446" s="8" t="n">
        <x:v>5790</x:v>
      </x:c>
      <x:c r="N446" s="8" t="n">
        <x:v>0</x:v>
      </x:c>
      <x:c r="O446" s="8" t="n">
        <x:v>0</x:v>
      </x:c>
      <x:c r="P446" s="8" t="n">
        <x:v>1</x:v>
      </x:c>
      <x:c r="Q446" s="8" t="n">
        <x:v>1</x:v>
      </x:c>
      <x:c r="R446" s="8" t="n">
        <x:v>2</x:v>
      </x:c>
      <x:c r="S446" s="8" t="n">
        <x:v>428</x:v>
      </x:c>
      <x:c r="T446" s="8" t="n">
        <x:v>125</x:v>
      </x:c>
      <x:c r="U446" s="2" t="str">
        <x:v>2026年9月24日現在</x:v>
      </x:c>
      <x:c r="V446" s="2" t="str">
        <x:v>2026-09-30</x:v>
      </x:c>
      <x:c r="W446" s="2" t="str">
        <x:v>https://www.e-stat.go.jp/stat-search/file-download?statInfId=000040417940&amp;fileKind=0</x:v>
      </x:c>
      <x:c r="X446" s="2" t="str">
        <x:v>海上出入貨物!313行、コンテナ個数!58行</x:v>
      </x:c>
      <x:c r="Y446" s="2" t="str">
        <x:v>取得済</x:v>
      </x:c>
      <x:c r="Z446" s="9" t="n">
        <x:f>IF(AND(ISNUMBER(E446),COUNTIFS($A$2:$A$477,EDATE(A446,-12),$B$2:$B$477,B446,$E$2:$E$477,"&gt;0")=1),E446/SUMIFS($E$2:$E$477,$A$2:$A$477,EDATE(A446,-12),$B$2:$B$477,B446)-1,"")</x:f>
        <x:v>0.05317964453804658</x:v>
      </x:c>
      <x:c r="AA446" s="10" t="n">
        <x:f>IF(COUNTIFS($A$2:$A$477,"&gt;="&amp;EDATE(A446,-2),$A$2:$A$477,"&lt;="&amp;A446,$B$2:$B$477,B446,$E$2:$E$477,"&gt;=0")=3,SUMIFS($E$2:$E$477,$A$2:$A$477,"&gt;="&amp;EDATE(A446,-2),$A$2:$A$477,"&lt;="&amp;A446,$B$2:$B$477,B446)/3,"")</x:f>
        <x:v>284192</x:v>
      </x:c>
      <x:c r="AB446" s="9" t="n">
        <x:f>IF(AND(ISNUMBER(J446),COUNTIFS($A$2:$A$477,EDATE(A446,-12),$B$2:$B$477,B446,$J$2:$J$477,"&gt;0")=1),J446/SUMIFS($J$2:$J$477,$A$2:$A$477,EDATE(A446,-12),$B$2:$B$477,B446)-1,"")</x:f>
        <x:v>0.0888902559055118</x:v>
      </x:c>
    </x:row>
    <x:row r="447" ht="21" customHeight="1">
      <x:c r="A447" s="7" t="n">
        <x:v>46113</x:v>
      </x:c>
      <x:c r="B447" s="2" t="str">
        <x:v>博多</x:v>
      </x:c>
      <x:c r="C447" s="2" t="str">
        <x:v>福岡県</x:v>
      </x:c>
      <x:c r="D447" s="8" t="n">
        <x:v>3142288</x:v>
      </x:c>
      <x:c r="E447" s="8" t="n">
        <x:v>851987</x:v>
      </x:c>
      <x:c r="F447" s="8" t="n">
        <x:v>871659</x:v>
      </x:c>
      <x:c r="G447" s="8" t="n">
        <x:v>488306</x:v>
      </x:c>
      <x:c r="H447" s="8" t="n">
        <x:v>930336</x:v>
      </x:c>
      <x:c r="I447" s="8" t="n">
        <x:v>88196</x:v>
      </x:c>
      <x:c r="J447" s="8" t="n">
        <x:v>37782</x:v>
      </x:c>
      <x:c r="K447" s="8" t="n">
        <x:v>37711</x:v>
      </x:c>
      <x:c r="L447" s="8" t="n">
        <x:v>5429</x:v>
      </x:c>
      <x:c r="M447" s="8" t="n">
        <x:v>7274</x:v>
      </x:c>
      <x:c r="N447" s="8" t="n">
        <x:v>0</x:v>
      </x:c>
      <x:c r="O447" s="8" t="n">
        <x:v>0</x:v>
      </x:c>
      <x:c r="P447" s="8" t="n">
        <x:v>1271</x:v>
      </x:c>
      <x:c r="Q447" s="8" t="n">
        <x:v>1358</x:v>
      </x:c>
      <x:c r="R447" s="8" t="n">
        <x:v>2629</x:v>
      </x:c>
      <x:c r="S447" s="8" t="n">
        <x:v>1520</x:v>
      </x:c>
      <x:c r="T447" s="8" t="n">
        <x:v>222</x:v>
      </x:c>
      <x:c r="U447" s="2" t="str">
        <x:v>2026年9月24日現在</x:v>
      </x:c>
      <x:c r="V447" s="2" t="str">
        <x:v>2026-09-30</x:v>
      </x:c>
      <x:c r="W447" s="2" t="str">
        <x:v>https://www.e-stat.go.jp/stat-search/file-download?statInfId=000040417940&amp;fileKind=0</x:v>
      </x:c>
      <x:c r="X447" s="2" t="str">
        <x:v>海上出入貨物!721行、コンテナ個数!126行</x:v>
      </x:c>
      <x:c r="Y447" s="2" t="str">
        <x:v>取得済</x:v>
      </x:c>
      <x:c r="Z447" s="9" t="n">
        <x:f>IF(AND(ISNUMBER(E447),COUNTIFS($A$2:$A$477,EDATE(A447,-12),$B$2:$B$477,B447,$E$2:$E$477,"&gt;0")=1),E447/SUMIFS($E$2:$E$477,$A$2:$A$477,EDATE(A447,-12),$B$2:$B$477,B447)-1,"")</x:f>
        <x:v>0.13900939429711223</x:v>
      </x:c>
      <x:c r="AA447" s="10" t="n">
        <x:f>IF(COUNTIFS($A$2:$A$477,"&gt;="&amp;EDATE(A447,-2),$A$2:$A$477,"&lt;="&amp;A447,$B$2:$B$477,B447,$E$2:$E$477,"&gt;=0")=3,SUMIFS($E$2:$E$477,$A$2:$A$477,"&gt;="&amp;EDATE(A447,-2),$A$2:$A$477,"&lt;="&amp;A447,$B$2:$B$477,B447)/3,"")</x:f>
        <x:v>787300</x:v>
      </x:c>
      <x:c r="AB447" s="9" t="n">
        <x:f>IF(AND(ISNUMBER(J447),COUNTIFS($A$2:$A$477,EDATE(A447,-12),$B$2:$B$477,B447,$J$2:$J$477,"&gt;0")=1),J447/SUMIFS($J$2:$J$477,$A$2:$A$477,EDATE(A447,-12),$B$2:$B$477,B447)-1,"")</x:f>
        <x:v>0.03879464408457278</x:v>
      </x:c>
    </x:row>
    <x:row r="448" ht="21" customHeight="1">
      <x:c r="A448" s="7" t="n">
        <x:v>46113</x:v>
      </x:c>
      <x:c r="B448" s="2" t="str">
        <x:v>熊本</x:v>
      </x:c>
      <x:c r="C448" s="2" t="str">
        <x:v>熊本県</x:v>
      </x:c>
      <x:c r="D448" s="8" t="str">
        <x:v>-</x:v>
      </x:c>
      <x:c r="E448" s="8" t="str">
        <x:v>-</x:v>
      </x:c>
      <x:c r="F448" s="8" t="str">
        <x:v>-</x:v>
      </x:c>
      <x:c r="G448" s="8" t="str">
        <x:v>-</x:v>
      </x:c>
      <x:c r="H448" s="8" t="str">
        <x:v>-</x:v>
      </x:c>
      <x:c r="I448" s="8" t="str">
        <x:v>-</x:v>
      </x:c>
      <x:c r="J448" s="8" t="str">
        <x:v>-</x:v>
      </x:c>
      <x:c r="K448" s="8" t="str">
        <x:v>-</x:v>
      </x:c>
      <x:c r="L448" s="8" t="str">
        <x:v>-</x:v>
      </x:c>
      <x:c r="M448" s="8" t="str">
        <x:v>-</x:v>
      </x:c>
      <x:c r="N448" s="8" t="str">
        <x:v>-</x:v>
      </x:c>
      <x:c r="O448" s="8" t="str">
        <x:v>-</x:v>
      </x:c>
      <x:c r="P448" s="8" t="str">
        <x:v>-</x:v>
      </x:c>
      <x:c r="Q448" s="8" t="str">
        <x:v>-</x:v>
      </x:c>
      <x:c r="R448" s="8" t="str">
        <x:v>-</x:v>
      </x:c>
      <x:c r="S448" s="8" t="str">
        <x:v>-</x:v>
      </x:c>
      <x:c r="T448" s="8" t="str">
        <x:v>-</x:v>
      </x:c>
      <x:c r="U448" s="2" t="str">
        <x:v>2026年9月24日現在</x:v>
      </x:c>
      <x:c r="V448" s="2" t="str">
        <x:v>2026-09-30</x:v>
      </x:c>
      <x:c r="W448" s="2" t="str">
        <x:v>https://www.e-stat.go.jp/stat-search/file-download?statInfId=000040417940&amp;fileKind=0</x:v>
      </x:c>
      <x:c r="X448" s="2" t="str">
        <x:v>海上出入貨物!829行、コンテナ個数!144行</x:v>
      </x:c>
      <x:c r="Y448" s="2" t="str">
        <x:v>欠測（原表－）</x:v>
      </x:c>
      <x:c r="Z448" s="9" t="str">
        <x:f>IF(AND(ISNUMBER(E448),COUNTIFS($A$2:$A$477,EDATE(A448,-12),$B$2:$B$477,B448,$E$2:$E$477,"&gt;0")=1),E448/SUMIFS($E$2:$E$477,$A$2:$A$477,EDATE(A448,-12),$B$2:$B$477,B448)-1,"")</x:f>
      </x:c>
      <x:c r="AA448" s="10" t="str">
        <x:f>IF(COUNTIFS($A$2:$A$477,"&gt;="&amp;EDATE(A448,-2),$A$2:$A$477,"&lt;="&amp;A448,$B$2:$B$477,B448,$E$2:$E$477,"&gt;=0")=3,SUMIFS($E$2:$E$477,$A$2:$A$477,"&gt;="&amp;EDATE(A448,-2),$A$2:$A$477,"&lt;="&amp;A448,$B$2:$B$477,B448)/3,"")</x:f>
      </x:c>
      <x:c r="AB448" s="9" t="str">
        <x:f>IF(AND(ISNUMBER(J448),COUNTIFS($A$2:$A$477,EDATE(A448,-12),$B$2:$B$477,B448,$J$2:$J$477,"&gt;0")=1),J448/SUMIFS($J$2:$J$477,$A$2:$A$477,EDATE(A448,-12),$B$2:$B$477,B448)-1,"")</x:f>
      </x:c>
    </x:row>
    <x:row r="449" ht="21" customHeight="1">
      <x:c r="A449" s="7" t="n">
        <x:v>46113</x:v>
      </x:c>
      <x:c r="B449" s="2" t="str">
        <x:v>八代</x:v>
      </x:c>
      <x:c r="C449" s="2" t="str">
        <x:v>熊本県</x:v>
      </x:c>
      <x:c r="D449" s="8" t="str">
        <x:v>-</x:v>
      </x:c>
      <x:c r="E449" s="8" t="str">
        <x:v>-</x:v>
      </x:c>
      <x:c r="F449" s="8" t="str">
        <x:v>-</x:v>
      </x:c>
      <x:c r="G449" s="8" t="str">
        <x:v>-</x:v>
      </x:c>
      <x:c r="H449" s="8" t="str">
        <x:v>-</x:v>
      </x:c>
      <x:c r="I449" s="8" t="str">
        <x:v>-</x:v>
      </x:c>
      <x:c r="J449" s="8" t="str">
        <x:v>-</x:v>
      </x:c>
      <x:c r="K449" s="8" t="str">
        <x:v>-</x:v>
      </x:c>
      <x:c r="L449" s="8" t="str">
        <x:v>-</x:v>
      </x:c>
      <x:c r="M449" s="8" t="str">
        <x:v>-</x:v>
      </x:c>
      <x:c r="N449" s="8" t="str">
        <x:v>-</x:v>
      </x:c>
      <x:c r="O449" s="8" t="str">
        <x:v>-</x:v>
      </x:c>
      <x:c r="P449" s="8" t="str">
        <x:v>-</x:v>
      </x:c>
      <x:c r="Q449" s="8" t="str">
        <x:v>-</x:v>
      </x:c>
      <x:c r="R449" s="8" t="str">
        <x:v>-</x:v>
      </x:c>
      <x:c r="S449" s="8" t="str">
        <x:v>-</x:v>
      </x:c>
      <x:c r="T449" s="8" t="str">
        <x:v>-</x:v>
      </x:c>
      <x:c r="U449" s="2" t="str">
        <x:v>2026年9月24日現在</x:v>
      </x:c>
      <x:c r="V449" s="2" t="str">
        <x:v>2026-09-30</x:v>
      </x:c>
      <x:c r="W449" s="2" t="str">
        <x:v>https://www.e-stat.go.jp/stat-search/file-download?statInfId=000040417940&amp;fileKind=0</x:v>
      </x:c>
      <x:c r="X449" s="2" t="str">
        <x:v>海上出入貨物!817行、コンテナ個数!142行</x:v>
      </x:c>
      <x:c r="Y449" s="2" t="str">
        <x:v>欠測（原表－）</x:v>
      </x:c>
      <x:c r="Z449" s="9" t="str">
        <x:f>IF(AND(ISNUMBER(E449),COUNTIFS($A$2:$A$477,EDATE(A449,-12),$B$2:$B$477,B449,$E$2:$E$477,"&gt;0")=1),E449/SUMIFS($E$2:$E$477,$A$2:$A$477,EDATE(A449,-12),$B$2:$B$477,B449)-1,"")</x:f>
      </x:c>
      <x:c r="AA449" s="10" t="str">
        <x:f>IF(COUNTIFS($A$2:$A$477,"&gt;="&amp;EDATE(A449,-2),$A$2:$A$477,"&lt;="&amp;A449,$B$2:$B$477,B449,$E$2:$E$477,"&gt;=0")=3,SUMIFS($E$2:$E$477,$A$2:$A$477,"&gt;="&amp;EDATE(A449,-2),$A$2:$A$477,"&lt;="&amp;A449,$B$2:$B$477,B449)/3,"")</x:f>
      </x:c>
      <x:c r="AB449" s="9" t="str">
        <x:f>IF(AND(ISNUMBER(J449),COUNTIFS($A$2:$A$477,EDATE(A449,-12),$B$2:$B$477,B449,$J$2:$J$477,"&gt;0")=1),J449/SUMIFS($J$2:$J$477,$A$2:$A$477,EDATE(A449,-12),$B$2:$B$477,B449)-1,"")</x:f>
      </x:c>
    </x:row>
    <x:row r="450" ht="21" customHeight="1">
      <x:c r="A450" s="7" t="n">
        <x:v>46143</x:v>
      </x:c>
      <x:c r="B450" s="2" t="str">
        <x:v>仙台塩釜</x:v>
      </x:c>
      <x:c r="C450" s="2" t="str">
        <x:v>宮城県</x:v>
      </x:c>
      <x:c r="D450" s="8" t="str">
        <x:v>-</x:v>
      </x:c>
      <x:c r="E450" s="8" t="str">
        <x:v>-</x:v>
      </x:c>
      <x:c r="F450" s="8" t="str">
        <x:v>-</x:v>
      </x:c>
      <x:c r="G450" s="8" t="str">
        <x:v>-</x:v>
      </x:c>
      <x:c r="H450" s="8" t="str">
        <x:v>-</x:v>
      </x:c>
      <x:c r="I450" s="8" t="str">
        <x:v>-</x:v>
      </x:c>
      <x:c r="J450" s="8" t="str">
        <x:v>-</x:v>
      </x:c>
      <x:c r="K450" s="8" t="str">
        <x:v>-</x:v>
      </x:c>
      <x:c r="L450" s="8" t="str">
        <x:v>-</x:v>
      </x:c>
      <x:c r="M450" s="8" t="str">
        <x:v>-</x:v>
      </x:c>
      <x:c r="N450" s="8" t="str">
        <x:v>-</x:v>
      </x:c>
      <x:c r="O450" s="8" t="str">
        <x:v>-</x:v>
      </x:c>
      <x:c r="P450" s="8" t="str">
        <x:v>-</x:v>
      </x:c>
      <x:c r="Q450" s="8" t="str">
        <x:v>-</x:v>
      </x:c>
      <x:c r="R450" s="8" t="str">
        <x:v>-</x:v>
      </x:c>
      <x:c r="S450" s="8" t="str">
        <x:v>-</x:v>
      </x:c>
      <x:c r="T450" s="8" t="str">
        <x:v>-</x:v>
      </x:c>
      <x:c r="U450" s="2" t="str">
        <x:v>2026年9月24日現在</x:v>
      </x:c>
      <x:c r="V450" s="2" t="str">
        <x:v>2026-09-30</x:v>
      </x:c>
      <x:c r="W450" s="2" t="str">
        <x:v>https://www.e-stat.go.jp/stat-search/file-download?statInfId=000040417940&amp;fileKind=0</x:v>
      </x:c>
      <x:c r="X450" s="2" t="str">
        <x:v>海上出入貨物!145行、コンテナ個数!30行</x:v>
      </x:c>
      <x:c r="Y450" s="2" t="str">
        <x:v>欠測（原表－）</x:v>
      </x:c>
      <x:c r="Z450" s="9" t="str">
        <x:f>IF(AND(ISNUMBER(E450),COUNTIFS($A$2:$A$477,EDATE(A450,-12),$B$2:$B$477,B450,$E$2:$E$477,"&gt;0")=1),E450/SUMIFS($E$2:$E$477,$A$2:$A$477,EDATE(A450,-12),$B$2:$B$477,B450)-1,"")</x:f>
      </x:c>
      <x:c r="AA450" s="10" t="str">
        <x:f>IF(COUNTIFS($A$2:$A$477,"&gt;="&amp;EDATE(A450,-2),$A$2:$A$477,"&lt;="&amp;A450,$B$2:$B$477,B450,$E$2:$E$477,"&gt;=0")=3,SUMIFS($E$2:$E$477,$A$2:$A$477,"&gt;="&amp;EDATE(A450,-2),$A$2:$A$477,"&lt;="&amp;A450,$B$2:$B$477,B450)/3,"")</x:f>
      </x:c>
      <x:c r="AB450" s="9" t="str">
        <x:f>IF(AND(ISNUMBER(J450),COUNTIFS($A$2:$A$477,EDATE(A450,-12),$B$2:$B$477,B450,$J$2:$J$477,"&gt;0")=1),J450/SUMIFS($J$2:$J$477,$A$2:$A$477,EDATE(A450,-12),$B$2:$B$477,B450)-1,"")</x:f>
      </x:c>
    </x:row>
    <x:row r="451" ht="21" customHeight="1">
      <x:c r="A451" s="7" t="n">
        <x:v>46143</x:v>
      </x:c>
      <x:c r="B451" s="2" t="str">
        <x:v>東京</x:v>
      </x:c>
      <x:c r="C451" s="2" t="str">
        <x:v>東京都</x:v>
      </x:c>
      <x:c r="D451" s="8" t="n">
        <x:v>6707548</x:v>
      </x:c>
      <x:c r="E451" s="8" t="n">
        <x:v>766935</x:v>
      </x:c>
      <x:c r="F451" s="8" t="n">
        <x:v>3087073</x:v>
      </x:c>
      <x:c r="G451" s="8" t="n">
        <x:v>1044590</x:v>
      </x:c>
      <x:c r="H451" s="8" t="n">
        <x:v>1808950</x:v>
      </x:c>
      <x:c r="I451" s="8" t="n">
        <x:v>409324</x:v>
      </x:c>
      <x:c r="J451" s="8" t="n">
        <x:v>160067</x:v>
      </x:c>
      <x:c r="K451" s="8" t="n">
        <x:v>207321</x:v>
      </x:c>
      <x:c r="L451" s="8" t="n">
        <x:v>30961</x:v>
      </x:c>
      <x:c r="M451" s="8" t="n">
        <x:v>10975</x:v>
      </x:c>
      <x:c r="N451" s="8" t="n">
        <x:v>0</x:v>
      </x:c>
      <x:c r="O451" s="8" t="n">
        <x:v>0</x:v>
      </x:c>
      <x:c r="P451" s="8" t="n">
        <x:v>574</x:v>
      </x:c>
      <x:c r="Q451" s="8" t="n">
        <x:v>189</x:v>
      </x:c>
      <x:c r="R451" s="8" t="n">
        <x:v>763</x:v>
      </x:c>
      <x:c r="S451" s="8" t="n">
        <x:v>1496</x:v>
      </x:c>
      <x:c r="T451" s="8" t="n">
        <x:v>429</x:v>
      </x:c>
      <x:c r="U451" s="2" t="str">
        <x:v>2026年9月24日現在</x:v>
      </x:c>
      <x:c r="V451" s="2" t="str">
        <x:v>2026-09-30</x:v>
      </x:c>
      <x:c r="W451" s="2" t="str">
        <x:v>https://www.e-stat.go.jp/stat-search/file-download?statInfId=000040417940&amp;fileKind=0</x:v>
      </x:c>
      <x:c r="X451" s="2" t="str">
        <x:v>海上出入貨物!211行、コンテナ個数!41行</x:v>
      </x:c>
      <x:c r="Y451" s="2" t="str">
        <x:v>取得済</x:v>
      </x:c>
      <x:c r="Z451" s="9" t="n">
        <x:f>IF(AND(ISNUMBER(E451),COUNTIFS($A$2:$A$477,EDATE(A451,-12),$B$2:$B$477,B451,$E$2:$E$477,"&gt;0")=1),E451/SUMIFS($E$2:$E$477,$A$2:$A$477,EDATE(A451,-12),$B$2:$B$477,B451)-1,"")</x:f>
        <x:v>-0.10661637511779798</x:v>
      </x:c>
      <x:c r="AA451" s="10" t="n">
        <x:f>IF(COUNTIFS($A$2:$A$477,"&gt;="&amp;EDATE(A451,-2),$A$2:$A$477,"&lt;="&amp;A451,$B$2:$B$477,B451,$E$2:$E$477,"&gt;=0")=3,SUMIFS($E$2:$E$477,$A$2:$A$477,"&gt;="&amp;EDATE(A451,-2),$A$2:$A$477,"&lt;="&amp;A451,$B$2:$B$477,B451)/3,"")</x:f>
        <x:v>900383.6666666666</x:v>
      </x:c>
      <x:c r="AB451" s="9" t="n">
        <x:f>IF(AND(ISNUMBER(J451),COUNTIFS($A$2:$A$477,EDATE(A451,-12),$B$2:$B$477,B451,$J$2:$J$477,"&gt;0")=1),J451/SUMIFS($J$2:$J$477,$A$2:$A$477,EDATE(A451,-12),$B$2:$B$477,B451)-1,"")</x:f>
        <x:v>-0.02880216486463527</x:v>
      </x:c>
    </x:row>
    <x:row r="452" ht="21" customHeight="1">
      <x:c r="A452" s="7" t="n">
        <x:v>46143</x:v>
      </x:c>
      <x:c r="B452" s="2" t="str">
        <x:v>横浜</x:v>
      </x:c>
      <x:c r="C452" s="2" t="str">
        <x:v>神奈川県</x:v>
      </x:c>
      <x:c r="D452" s="8" t="n">
        <x:v>8124536</x:v>
      </x:c>
      <x:c r="E452" s="8" t="n">
        <x:v>2285691</x:v>
      </x:c>
      <x:c r="F452" s="8" t="n">
        <x:v>3393465</x:v>
      </x:c>
      <x:c r="G452" s="8" t="n">
        <x:v>967546</x:v>
      </x:c>
      <x:c r="H452" s="8" t="n">
        <x:v>1477834</x:v>
      </x:c>
      <x:c r="I452" s="8" t="n">
        <x:v>268185</x:v>
      </x:c>
      <x:c r="J452" s="8" t="n">
        <x:v>121765</x:v>
      </x:c>
      <x:c r="K452" s="8" t="n">
        <x:v>116689</x:v>
      </x:c>
      <x:c r="L452" s="8" t="n">
        <x:v>13960</x:v>
      </x:c>
      <x:c r="M452" s="8" t="n">
        <x:v>15771</x:v>
      </x:c>
      <x:c r="N452" s="8" t="n">
        <x:v>0</x:v>
      </x:c>
      <x:c r="O452" s="8" t="n">
        <x:v>0</x:v>
      </x:c>
      <x:c r="P452" s="8" t="n">
        <x:v>0</x:v>
      </x:c>
      <x:c r="Q452" s="8" t="n">
        <x:v>0</x:v>
      </x:c>
      <x:c r="R452" s="8" t="n">
        <x:v>0</x:v>
      </x:c>
      <x:c r="S452" s="8" t="n">
        <x:v>1883</x:v>
      </x:c>
      <x:c r="T452" s="8" t="n">
        <x:v>675</x:v>
      </x:c>
      <x:c r="U452" s="2" t="str">
        <x:v>2026年9月24日現在</x:v>
      </x:c>
      <x:c r="V452" s="2" t="str">
        <x:v>2026-09-30</x:v>
      </x:c>
      <x:c r="W452" s="2" t="str">
        <x:v>https://www.e-stat.go.jp/stat-search/file-download?statInfId=000040417940&amp;fileKind=0</x:v>
      </x:c>
      <x:c r="X452" s="2" t="str">
        <x:v>海上出入貨物!223行、コンテナ個数!43行</x:v>
      </x:c>
      <x:c r="Y452" s="2" t="str">
        <x:v>取得済</x:v>
      </x:c>
      <x:c r="Z452" s="9" t="n">
        <x:f>IF(AND(ISNUMBER(E452),COUNTIFS($A$2:$A$477,EDATE(A452,-12),$B$2:$B$477,B452,$E$2:$E$477,"&gt;0")=1),E452/SUMIFS($E$2:$E$477,$A$2:$A$477,EDATE(A452,-12),$B$2:$B$477,B452)-1,"")</x:f>
        <x:v>-0.0864606435527816</x:v>
      </x:c>
      <x:c r="AA452" s="10" t="n">
        <x:f>IF(COUNTIFS($A$2:$A$477,"&gt;="&amp;EDATE(A452,-2),$A$2:$A$477,"&lt;="&amp;A452,$B$2:$B$477,B452,$E$2:$E$477,"&gt;=0")=3,SUMIFS($E$2:$E$477,$A$2:$A$477,"&gt;="&amp;EDATE(A452,-2),$A$2:$A$477,"&lt;="&amp;A452,$B$2:$B$477,B452)/3,"")</x:f>
        <x:v>2566160</x:v>
      </x:c>
      <x:c r="AB452" s="9" t="n">
        <x:f>IF(AND(ISNUMBER(J452),COUNTIFS($A$2:$A$477,EDATE(A452,-12),$B$2:$B$477,B452,$J$2:$J$477,"&gt;0")=1),J452/SUMIFS($J$2:$J$477,$A$2:$A$477,EDATE(A452,-12),$B$2:$B$477,B452)-1,"")</x:f>
        <x:v>-0.02050452885435272</x:v>
      </x:c>
    </x:row>
    <x:row r="453" ht="21" customHeight="1">
      <x:c r="A453" s="7" t="n">
        <x:v>46143</x:v>
      </x:c>
      <x:c r="B453" s="2" t="str">
        <x:v>清水</x:v>
      </x:c>
      <x:c r="C453" s="2" t="str">
        <x:v>静岡県</x:v>
      </x:c>
      <x:c r="D453" s="8" t="n">
        <x:v>1139825</x:v>
      </x:c>
      <x:c r="E453" s="8" t="n">
        <x:v>250614</x:v>
      </x:c>
      <x:c r="F453" s="8" t="n">
        <x:v>413876</x:v>
      </x:c>
      <x:c r="G453" s="8" t="n">
        <x:v>165141</x:v>
      </x:c>
      <x:c r="H453" s="8" t="n">
        <x:v>310194</x:v>
      </x:c>
      <x:c r="I453" s="8" t="n">
        <x:v>42340</x:v>
      </x:c>
      <x:c r="J453" s="8" t="n">
        <x:v>16335</x:v>
      </x:c>
      <x:c r="K453" s="8" t="n">
        <x:v>17473</x:v>
      </x:c>
      <x:c r="L453" s="8" t="n">
        <x:v>4004</x:v>
      </x:c>
      <x:c r="M453" s="8" t="n">
        <x:v>4528</x:v>
      </x:c>
      <x:c r="N453" s="8" t="n">
        <x:v>0</x:v>
      </x:c>
      <x:c r="O453" s="8" t="n">
        <x:v>0</x:v>
      </x:c>
      <x:c r="P453" s="8" t="n">
        <x:v>6</x:v>
      </x:c>
      <x:c r="Q453" s="8" t="n">
        <x:v>0</x:v>
      </x:c>
      <x:c r="R453" s="8" t="n">
        <x:v>6</x:v>
      </x:c>
      <x:c r="S453" s="8" t="n">
        <x:v>435</x:v>
      </x:c>
      <x:c r="T453" s="8" t="n">
        <x:v>121</x:v>
      </x:c>
      <x:c r="U453" s="2" t="str">
        <x:v>2026年9月24日現在</x:v>
      </x:c>
      <x:c r="V453" s="2" t="str">
        <x:v>2026-09-30</x:v>
      </x:c>
      <x:c r="W453" s="2" t="str">
        <x:v>https://www.e-stat.go.jp/stat-search/file-download?statInfId=000040417940&amp;fileKind=0</x:v>
      </x:c>
      <x:c r="X453" s="2" t="str">
        <x:v>海上出入貨物!313行、コンテナ個数!58行</x:v>
      </x:c>
      <x:c r="Y453" s="2" t="str">
        <x:v>取得済</x:v>
      </x:c>
      <x:c r="Z453" s="9" t="n">
        <x:f>IF(AND(ISNUMBER(E453),COUNTIFS($A$2:$A$477,EDATE(A453,-12),$B$2:$B$477,B453,$E$2:$E$477,"&gt;0")=1),E453/SUMIFS($E$2:$E$477,$A$2:$A$477,EDATE(A453,-12),$B$2:$B$477,B453)-1,"")</x:f>
        <x:v>-0.13383655102337055</x:v>
      </x:c>
      <x:c r="AA453" s="10" t="n">
        <x:f>IF(COUNTIFS($A$2:$A$477,"&gt;="&amp;EDATE(A453,-2),$A$2:$A$477,"&lt;="&amp;A453,$B$2:$B$477,B453,$E$2:$E$477,"&gt;=0")=3,SUMIFS($E$2:$E$477,$A$2:$A$477,"&gt;="&amp;EDATE(A453,-2),$A$2:$A$477,"&lt;="&amp;A453,$B$2:$B$477,B453)/3,"")</x:f>
        <x:v>281815.6666666667</x:v>
      </x:c>
      <x:c r="AB453" s="9" t="n">
        <x:f>IF(AND(ISNUMBER(J453),COUNTIFS($A$2:$A$477,EDATE(A453,-12),$B$2:$B$477,B453,$J$2:$J$477,"&gt;0")=1),J453/SUMIFS($J$2:$J$477,$A$2:$A$477,EDATE(A453,-12),$B$2:$B$477,B453)-1,"")</x:f>
        <x:v>-0.09305424462828271</x:v>
      </x:c>
    </x:row>
    <x:row r="454" ht="21" customHeight="1">
      <x:c r="A454" s="7" t="n">
        <x:v>46143</x:v>
      </x:c>
      <x:c r="B454" s="2" t="str">
        <x:v>博多</x:v>
      </x:c>
      <x:c r="C454" s="2" t="str">
        <x:v>福岡県</x:v>
      </x:c>
      <x:c r="D454" s="8" t="n">
        <x:v>2982072</x:v>
      </x:c>
      <x:c r="E454" s="8" t="n">
        <x:v>756028</x:v>
      </x:c>
      <x:c r="F454" s="8" t="n">
        <x:v>796199</x:v>
      </x:c>
      <x:c r="G454" s="8" t="n">
        <x:v>482993</x:v>
      </x:c>
      <x:c r="H454" s="8" t="n">
        <x:v>946852</x:v>
      </x:c>
      <x:c r="I454" s="8" t="n">
        <x:v>82180</x:v>
      </x:c>
      <x:c r="J454" s="8" t="n">
        <x:v>34762</x:v>
      </x:c>
      <x:c r="K454" s="8" t="n">
        <x:v>34271</x:v>
      </x:c>
      <x:c r="L454" s="8" t="n">
        <x:v>5387</x:v>
      </x:c>
      <x:c r="M454" s="8" t="n">
        <x:v>7760</x:v>
      </x:c>
      <x:c r="N454" s="8" t="n">
        <x:v>0</x:v>
      </x:c>
      <x:c r="O454" s="8" t="n">
        <x:v>0</x:v>
      </x:c>
      <x:c r="P454" s="8" t="n">
        <x:v>1229</x:v>
      </x:c>
      <x:c r="Q454" s="8" t="n">
        <x:v>1375</x:v>
      </x:c>
      <x:c r="R454" s="8" t="n">
        <x:v>2604</x:v>
      </x:c>
      <x:c r="S454" s="8" t="n">
        <x:v>1592</x:v>
      </x:c>
      <x:c r="T454" s="8" t="n">
        <x:v>216</x:v>
      </x:c>
      <x:c r="U454" s="2" t="str">
        <x:v>2026年9月24日現在</x:v>
      </x:c>
      <x:c r="V454" s="2" t="str">
        <x:v>2026-09-30</x:v>
      </x:c>
      <x:c r="W454" s="2" t="str">
        <x:v>https://www.e-stat.go.jp/stat-search/file-download?statInfId=000040417940&amp;fileKind=0</x:v>
      </x:c>
      <x:c r="X454" s="2" t="str">
        <x:v>海上出入貨物!721行、コンテナ個数!126行</x:v>
      </x:c>
      <x:c r="Y454" s="2" t="str">
        <x:v>取得済</x:v>
      </x:c>
      <x:c r="Z454" s="9" t="n">
        <x:f>IF(AND(ISNUMBER(E454),COUNTIFS($A$2:$A$477,EDATE(A454,-12),$B$2:$B$477,B454,$E$2:$E$477,"&gt;0")=1),E454/SUMIFS($E$2:$E$477,$A$2:$A$477,EDATE(A454,-12),$B$2:$B$477,B454)-1,"")</x:f>
        <x:v>0.0387439906901208</x:v>
      </x:c>
      <x:c r="AA454" s="10" t="n">
        <x:f>IF(COUNTIFS($A$2:$A$477,"&gt;="&amp;EDATE(A454,-2),$A$2:$A$477,"&lt;="&amp;A454,$B$2:$B$477,B454,$E$2:$E$477,"&gt;=0")=3,SUMIFS($E$2:$E$477,$A$2:$A$477,"&gt;="&amp;EDATE(A454,-2),$A$2:$A$477,"&lt;="&amp;A454,$B$2:$B$477,B454)/3,"")</x:f>
        <x:v>788860</x:v>
      </x:c>
      <x:c r="AB454" s="9" t="n">
        <x:f>IF(AND(ISNUMBER(J454),COUNTIFS($A$2:$A$477,EDATE(A454,-12),$B$2:$B$477,B454,$J$2:$J$477,"&gt;0")=1),J454/SUMIFS($J$2:$J$477,$A$2:$A$477,EDATE(A454,-12),$B$2:$B$477,B454)-1,"")</x:f>
        <x:v>-0.07868861148657602</x:v>
      </x:c>
    </x:row>
    <x:row r="455" ht="21" customHeight="1">
      <x:c r="A455" s="7" t="n">
        <x:v>46143</x:v>
      </x:c>
      <x:c r="B455" s="2" t="str">
        <x:v>熊本</x:v>
      </x:c>
      <x:c r="C455" s="2" t="str">
        <x:v>熊本県</x:v>
      </x:c>
      <x:c r="D455" s="8" t="str">
        <x:v>-</x:v>
      </x:c>
      <x:c r="E455" s="8" t="str">
        <x:v>-</x:v>
      </x:c>
      <x:c r="F455" s="8" t="str">
        <x:v>-</x:v>
      </x:c>
      <x:c r="G455" s="8" t="str">
        <x:v>-</x:v>
      </x:c>
      <x:c r="H455" s="8" t="str">
        <x:v>-</x:v>
      </x:c>
      <x:c r="I455" s="8" t="str">
        <x:v>-</x:v>
      </x:c>
      <x:c r="J455" s="8" t="str">
        <x:v>-</x:v>
      </x:c>
      <x:c r="K455" s="8" t="str">
        <x:v>-</x:v>
      </x:c>
      <x:c r="L455" s="8" t="str">
        <x:v>-</x:v>
      </x:c>
      <x:c r="M455" s="8" t="str">
        <x:v>-</x:v>
      </x:c>
      <x:c r="N455" s="8" t="str">
        <x:v>-</x:v>
      </x:c>
      <x:c r="O455" s="8" t="str">
        <x:v>-</x:v>
      </x:c>
      <x:c r="P455" s="8" t="str">
        <x:v>-</x:v>
      </x:c>
      <x:c r="Q455" s="8" t="str">
        <x:v>-</x:v>
      </x:c>
      <x:c r="R455" s="8" t="str">
        <x:v>-</x:v>
      </x:c>
      <x:c r="S455" s="8" t="str">
        <x:v>-</x:v>
      </x:c>
      <x:c r="T455" s="8" t="str">
        <x:v>-</x:v>
      </x:c>
      <x:c r="U455" s="2" t="str">
        <x:v>2026年9月24日現在</x:v>
      </x:c>
      <x:c r="V455" s="2" t="str">
        <x:v>2026-09-30</x:v>
      </x:c>
      <x:c r="W455" s="2" t="str">
        <x:v>https://www.e-stat.go.jp/stat-search/file-download?statInfId=000040417940&amp;fileKind=0</x:v>
      </x:c>
      <x:c r="X455" s="2" t="str">
        <x:v>海上出入貨物!829行、コンテナ個数!144行</x:v>
      </x:c>
      <x:c r="Y455" s="2" t="str">
        <x:v>欠測（原表－）</x:v>
      </x:c>
      <x:c r="Z455" s="9" t="str">
        <x:f>IF(AND(ISNUMBER(E455),COUNTIFS($A$2:$A$477,EDATE(A455,-12),$B$2:$B$477,B455,$E$2:$E$477,"&gt;0")=1),E455/SUMIFS($E$2:$E$477,$A$2:$A$477,EDATE(A455,-12),$B$2:$B$477,B455)-1,"")</x:f>
      </x:c>
      <x:c r="AA455" s="10" t="str">
        <x:f>IF(COUNTIFS($A$2:$A$477,"&gt;="&amp;EDATE(A455,-2),$A$2:$A$477,"&lt;="&amp;A455,$B$2:$B$477,B455,$E$2:$E$477,"&gt;=0")=3,SUMIFS($E$2:$E$477,$A$2:$A$477,"&gt;="&amp;EDATE(A455,-2),$A$2:$A$477,"&lt;="&amp;A455,$B$2:$B$477,B455)/3,"")</x:f>
      </x:c>
      <x:c r="AB455" s="9" t="str">
        <x:f>IF(AND(ISNUMBER(J455),COUNTIFS($A$2:$A$477,EDATE(A455,-12),$B$2:$B$477,B455,$J$2:$J$477,"&gt;0")=1),J455/SUMIFS($J$2:$J$477,$A$2:$A$477,EDATE(A455,-12),$B$2:$B$477,B455)-1,"")</x:f>
      </x:c>
    </x:row>
    <x:row r="456" ht="21" customHeight="1">
      <x:c r="A456" s="7" t="n">
        <x:v>46143</x:v>
      </x:c>
      <x:c r="B456" s="2" t="str">
        <x:v>八代</x:v>
      </x:c>
      <x:c r="C456" s="2" t="str">
        <x:v>熊本県</x:v>
      </x:c>
      <x:c r="D456" s="8" t="str">
        <x:v>-</x:v>
      </x:c>
      <x:c r="E456" s="8" t="str">
        <x:v>-</x:v>
      </x:c>
      <x:c r="F456" s="8" t="str">
        <x:v>-</x:v>
      </x:c>
      <x:c r="G456" s="8" t="str">
        <x:v>-</x:v>
      </x:c>
      <x:c r="H456" s="8" t="str">
        <x:v>-</x:v>
      </x:c>
      <x:c r="I456" s="8" t="str">
        <x:v>-</x:v>
      </x:c>
      <x:c r="J456" s="8" t="str">
        <x:v>-</x:v>
      </x:c>
      <x:c r="K456" s="8" t="str">
        <x:v>-</x:v>
      </x:c>
      <x:c r="L456" s="8" t="str">
        <x:v>-</x:v>
      </x:c>
      <x:c r="M456" s="8" t="str">
        <x:v>-</x:v>
      </x:c>
      <x:c r="N456" s="8" t="str">
        <x:v>-</x:v>
      </x:c>
      <x:c r="O456" s="8" t="str">
        <x:v>-</x:v>
      </x:c>
      <x:c r="P456" s="8" t="str">
        <x:v>-</x:v>
      </x:c>
      <x:c r="Q456" s="8" t="str">
        <x:v>-</x:v>
      </x:c>
      <x:c r="R456" s="8" t="str">
        <x:v>-</x:v>
      </x:c>
      <x:c r="S456" s="8" t="str">
        <x:v>-</x:v>
      </x:c>
      <x:c r="T456" s="8" t="str">
        <x:v>-</x:v>
      </x:c>
      <x:c r="U456" s="2" t="str">
        <x:v>2026年9月24日現在</x:v>
      </x:c>
      <x:c r="V456" s="2" t="str">
        <x:v>2026-09-30</x:v>
      </x:c>
      <x:c r="W456" s="2" t="str">
        <x:v>https://www.e-stat.go.jp/stat-search/file-download?statInfId=000040417940&amp;fileKind=0</x:v>
      </x:c>
      <x:c r="X456" s="2" t="str">
        <x:v>海上出入貨物!817行、コンテナ個数!142行</x:v>
      </x:c>
      <x:c r="Y456" s="2" t="str">
        <x:v>欠測（原表－）</x:v>
      </x:c>
      <x:c r="Z456" s="9" t="str">
        <x:f>IF(AND(ISNUMBER(E456),COUNTIFS($A$2:$A$477,EDATE(A456,-12),$B$2:$B$477,B456,$E$2:$E$477,"&gt;0")=1),E456/SUMIFS($E$2:$E$477,$A$2:$A$477,EDATE(A456,-12),$B$2:$B$477,B456)-1,"")</x:f>
      </x:c>
      <x:c r="AA456" s="10" t="str">
        <x:f>IF(COUNTIFS($A$2:$A$477,"&gt;="&amp;EDATE(A456,-2),$A$2:$A$477,"&lt;="&amp;A456,$B$2:$B$477,B456,$E$2:$E$477,"&gt;=0")=3,SUMIFS($E$2:$E$477,$A$2:$A$477,"&gt;="&amp;EDATE(A456,-2),$A$2:$A$477,"&lt;="&amp;A456,$B$2:$B$477,B456)/3,"")</x:f>
      </x:c>
      <x:c r="AB456" s="9" t="str">
        <x:f>IF(AND(ISNUMBER(J456),COUNTIFS($A$2:$A$477,EDATE(A456,-12),$B$2:$B$477,B456,$J$2:$J$477,"&gt;0")=1),J456/SUMIFS($J$2:$J$477,$A$2:$A$477,EDATE(A456,-12),$B$2:$B$477,B456)-1,"")</x:f>
      </x:c>
    </x:row>
    <x:row r="457" ht="21" customHeight="1">
      <x:c r="A457" s="7" t="n">
        <x:v>46174</x:v>
      </x:c>
      <x:c r="B457" s="2" t="str">
        <x:v>仙台塩釜</x:v>
      </x:c>
      <x:c r="C457" s="2" t="str">
        <x:v>宮城県</x:v>
      </x:c>
      <x:c r="D457" s="8" t="str">
        <x:v>-</x:v>
      </x:c>
      <x:c r="E457" s="8" t="str">
        <x:v>-</x:v>
      </x:c>
      <x:c r="F457" s="8" t="str">
        <x:v>-</x:v>
      </x:c>
      <x:c r="G457" s="8" t="str">
        <x:v>-</x:v>
      </x:c>
      <x:c r="H457" s="8" t="str">
        <x:v>-</x:v>
      </x:c>
      <x:c r="I457" s="8" t="str">
        <x:v>-</x:v>
      </x:c>
      <x:c r="J457" s="8" t="str">
        <x:v>-</x:v>
      </x:c>
      <x:c r="K457" s="8" t="str">
        <x:v>-</x:v>
      </x:c>
      <x:c r="L457" s="8" t="str">
        <x:v>-</x:v>
      </x:c>
      <x:c r="M457" s="8" t="str">
        <x:v>-</x:v>
      </x:c>
      <x:c r="N457" s="8" t="str">
        <x:v>-</x:v>
      </x:c>
      <x:c r="O457" s="8" t="str">
        <x:v>-</x:v>
      </x:c>
      <x:c r="P457" s="8" t="str">
        <x:v>-</x:v>
      </x:c>
      <x:c r="Q457" s="8" t="str">
        <x:v>-</x:v>
      </x:c>
      <x:c r="R457" s="8" t="str">
        <x:v>-</x:v>
      </x:c>
      <x:c r="S457" s="8" t="str">
        <x:v>-</x:v>
      </x:c>
      <x:c r="T457" s="8" t="str">
        <x:v>-</x:v>
      </x:c>
      <x:c r="U457" s="2" t="str">
        <x:v>2026年9月24日現在</x:v>
      </x:c>
      <x:c r="V457" s="2" t="str">
        <x:v>2026-09-30</x:v>
      </x:c>
      <x:c r="W457" s="2" t="str">
        <x:v>https://www.e-stat.go.jp/stat-search/file-download?statInfId=000040417940&amp;fileKind=0</x:v>
      </x:c>
      <x:c r="X457" s="2" t="str">
        <x:v>海上出入貨物!145行、コンテナ個数!30行</x:v>
      </x:c>
      <x:c r="Y457" s="2" t="str">
        <x:v>欠測（原表－）</x:v>
      </x:c>
      <x:c r="Z457" s="9" t="str">
        <x:f>IF(AND(ISNUMBER(E457),COUNTIFS($A$2:$A$477,EDATE(A457,-12),$B$2:$B$477,B457,$E$2:$E$477,"&gt;0")=1),E457/SUMIFS($E$2:$E$477,$A$2:$A$477,EDATE(A457,-12),$B$2:$B$477,B457)-1,"")</x:f>
      </x:c>
      <x:c r="AA457" s="10" t="str">
        <x:f>IF(COUNTIFS($A$2:$A$477,"&gt;="&amp;EDATE(A457,-2),$A$2:$A$477,"&lt;="&amp;A457,$B$2:$B$477,B457,$E$2:$E$477,"&gt;=0")=3,SUMIFS($E$2:$E$477,$A$2:$A$477,"&gt;="&amp;EDATE(A457,-2),$A$2:$A$477,"&lt;="&amp;A457,$B$2:$B$477,B457)/3,"")</x:f>
      </x:c>
      <x:c r="AB457" s="9" t="str">
        <x:f>IF(AND(ISNUMBER(J457),COUNTIFS($A$2:$A$477,EDATE(A457,-12),$B$2:$B$477,B457,$J$2:$J$477,"&gt;0")=1),J457/SUMIFS($J$2:$J$477,$A$2:$A$477,EDATE(A457,-12),$B$2:$B$477,B457)-1,"")</x:f>
      </x:c>
    </x:row>
    <x:row r="458" ht="21" customHeight="1">
      <x:c r="A458" s="7" t="n">
        <x:v>46174</x:v>
      </x:c>
      <x:c r="B458" s="2" t="str">
        <x:v>東京</x:v>
      </x:c>
      <x:c r="C458" s="2" t="str">
        <x:v>東京都</x:v>
      </x:c>
      <x:c r="D458" s="8" t="str">
        <x:v>-</x:v>
      </x:c>
      <x:c r="E458" s="8" t="str">
        <x:v>-</x:v>
      </x:c>
      <x:c r="F458" s="8" t="str">
        <x:v>-</x:v>
      </x:c>
      <x:c r="G458" s="8" t="str">
        <x:v>-</x:v>
      </x:c>
      <x:c r="H458" s="8" t="str">
        <x:v>-</x:v>
      </x:c>
      <x:c r="I458" s="8" t="str">
        <x:v>-</x:v>
      </x:c>
      <x:c r="J458" s="8" t="str">
        <x:v>-</x:v>
      </x:c>
      <x:c r="K458" s="8" t="str">
        <x:v>-</x:v>
      </x:c>
      <x:c r="L458" s="8" t="str">
        <x:v>-</x:v>
      </x:c>
      <x:c r="M458" s="8" t="str">
        <x:v>-</x:v>
      </x:c>
      <x:c r="N458" s="8" t="str">
        <x:v>-</x:v>
      </x:c>
      <x:c r="O458" s="8" t="str">
        <x:v>-</x:v>
      </x:c>
      <x:c r="P458" s="8" t="str">
        <x:v>-</x:v>
      </x:c>
      <x:c r="Q458" s="8" t="str">
        <x:v>-</x:v>
      </x:c>
      <x:c r="R458" s="8" t="str">
        <x:v>-</x:v>
      </x:c>
      <x:c r="S458" s="8" t="str">
        <x:v>-</x:v>
      </x:c>
      <x:c r="T458" s="8" t="str">
        <x:v>-</x:v>
      </x:c>
      <x:c r="U458" s="2" t="str">
        <x:v>2026年9月24日現在</x:v>
      </x:c>
      <x:c r="V458" s="2" t="str">
        <x:v>2026-09-30</x:v>
      </x:c>
      <x:c r="W458" s="2" t="str">
        <x:v>https://www.e-stat.go.jp/stat-search/file-download?statInfId=000040417940&amp;fileKind=0</x:v>
      </x:c>
      <x:c r="X458" s="2" t="str">
        <x:v>海上出入貨物!211行、コンテナ個数!41行</x:v>
      </x:c>
      <x:c r="Y458" s="2" t="str">
        <x:v>欠測（原表－）</x:v>
      </x:c>
      <x:c r="Z458" s="9" t="str">
        <x:f>IF(AND(ISNUMBER(E458),COUNTIFS($A$2:$A$477,EDATE(A458,-12),$B$2:$B$477,B458,$E$2:$E$477,"&gt;0")=1),E458/SUMIFS($E$2:$E$477,$A$2:$A$477,EDATE(A458,-12),$B$2:$B$477,B458)-1,"")</x:f>
      </x:c>
      <x:c r="AA458" s="10" t="str">
        <x:f>IF(COUNTIFS($A$2:$A$477,"&gt;="&amp;EDATE(A458,-2),$A$2:$A$477,"&lt;="&amp;A458,$B$2:$B$477,B458,$E$2:$E$477,"&gt;=0")=3,SUMIFS($E$2:$E$477,$A$2:$A$477,"&gt;="&amp;EDATE(A458,-2),$A$2:$A$477,"&lt;="&amp;A458,$B$2:$B$477,B458)/3,"")</x:f>
      </x:c>
      <x:c r="AB458" s="9" t="str">
        <x:f>IF(AND(ISNUMBER(J458),COUNTIFS($A$2:$A$477,EDATE(A458,-12),$B$2:$B$477,B458,$J$2:$J$477,"&gt;0")=1),J458/SUMIFS($J$2:$J$477,$A$2:$A$477,EDATE(A458,-12),$B$2:$B$477,B458)-1,"")</x:f>
      </x:c>
    </x:row>
    <x:row r="459" ht="21" customHeight="1">
      <x:c r="A459" s="7" t="n">
        <x:v>46174</x:v>
      </x:c>
      <x:c r="B459" s="2" t="str">
        <x:v>横浜</x:v>
      </x:c>
      <x:c r="C459" s="2" t="str">
        <x:v>神奈川県</x:v>
      </x:c>
      <x:c r="D459" s="8" t="str">
        <x:v>-</x:v>
      </x:c>
      <x:c r="E459" s="8" t="str">
        <x:v>-</x:v>
      </x:c>
      <x:c r="F459" s="8" t="str">
        <x:v>-</x:v>
      </x:c>
      <x:c r="G459" s="8" t="str">
        <x:v>-</x:v>
      </x:c>
      <x:c r="H459" s="8" t="str">
        <x:v>-</x:v>
      </x:c>
      <x:c r="I459" s="8" t="str">
        <x:v>-</x:v>
      </x:c>
      <x:c r="J459" s="8" t="str">
        <x:v>-</x:v>
      </x:c>
      <x:c r="K459" s="8" t="str">
        <x:v>-</x:v>
      </x:c>
      <x:c r="L459" s="8" t="str">
        <x:v>-</x:v>
      </x:c>
      <x:c r="M459" s="8" t="str">
        <x:v>-</x:v>
      </x:c>
      <x:c r="N459" s="8" t="str">
        <x:v>-</x:v>
      </x:c>
      <x:c r="O459" s="8" t="str">
        <x:v>-</x:v>
      </x:c>
      <x:c r="P459" s="8" t="str">
        <x:v>-</x:v>
      </x:c>
      <x:c r="Q459" s="8" t="str">
        <x:v>-</x:v>
      </x:c>
      <x:c r="R459" s="8" t="str">
        <x:v>-</x:v>
      </x:c>
      <x:c r="S459" s="8" t="str">
        <x:v>-</x:v>
      </x:c>
      <x:c r="T459" s="8" t="str">
        <x:v>-</x:v>
      </x:c>
      <x:c r="U459" s="2" t="str">
        <x:v>2026年9月24日現在</x:v>
      </x:c>
      <x:c r="V459" s="2" t="str">
        <x:v>2026-09-30</x:v>
      </x:c>
      <x:c r="W459" s="2" t="str">
        <x:v>https://www.e-stat.go.jp/stat-search/file-download?statInfId=000040417940&amp;fileKind=0</x:v>
      </x:c>
      <x:c r="X459" s="2" t="str">
        <x:v>海上出入貨物!223行、コンテナ個数!43行</x:v>
      </x:c>
      <x:c r="Y459" s="2" t="str">
        <x:v>欠測（原表－）</x:v>
      </x:c>
      <x:c r="Z459" s="9" t="str">
        <x:f>IF(AND(ISNUMBER(E459),COUNTIFS($A$2:$A$477,EDATE(A459,-12),$B$2:$B$477,B459,$E$2:$E$477,"&gt;0")=1),E459/SUMIFS($E$2:$E$477,$A$2:$A$477,EDATE(A459,-12),$B$2:$B$477,B459)-1,"")</x:f>
      </x:c>
      <x:c r="AA459" s="10" t="str">
        <x:f>IF(COUNTIFS($A$2:$A$477,"&gt;="&amp;EDATE(A459,-2),$A$2:$A$477,"&lt;="&amp;A459,$B$2:$B$477,B459,$E$2:$E$477,"&gt;=0")=3,SUMIFS($E$2:$E$477,$A$2:$A$477,"&gt;="&amp;EDATE(A459,-2),$A$2:$A$477,"&lt;="&amp;A459,$B$2:$B$477,B459)/3,"")</x:f>
      </x:c>
      <x:c r="AB459" s="9" t="str">
        <x:f>IF(AND(ISNUMBER(J459),COUNTIFS($A$2:$A$477,EDATE(A459,-12),$B$2:$B$477,B459,$J$2:$J$477,"&gt;0")=1),J459/SUMIFS($J$2:$J$477,$A$2:$A$477,EDATE(A459,-12),$B$2:$B$477,B459)-1,"")</x:f>
      </x:c>
    </x:row>
    <x:row r="460" ht="21" customHeight="1">
      <x:c r="A460" s="7" t="n">
        <x:v>46174</x:v>
      </x:c>
      <x:c r="B460" s="2" t="str">
        <x:v>清水</x:v>
      </x:c>
      <x:c r="C460" s="2" t="str">
        <x:v>静岡県</x:v>
      </x:c>
      <x:c r="D460" s="8" t="n">
        <x:v>1158618</x:v>
      </x:c>
      <x:c r="E460" s="8" t="n">
        <x:v>243232</x:v>
      </x:c>
      <x:c r="F460" s="8" t="n">
        <x:v>474800</x:v>
      </x:c>
      <x:c r="G460" s="8" t="n">
        <x:v>161772</x:v>
      </x:c>
      <x:c r="H460" s="8" t="n">
        <x:v>278814</x:v>
      </x:c>
      <x:c r="I460" s="8" t="n">
        <x:v>41893</x:v>
      </x:c>
      <x:c r="J460" s="8" t="n">
        <x:v>16148</x:v>
      </x:c>
      <x:c r="K460" s="8" t="n">
        <x:v>17077</x:v>
      </x:c>
      <x:c r="L460" s="8" t="n">
        <x:v>4366</x:v>
      </x:c>
      <x:c r="M460" s="8" t="n">
        <x:v>4302</x:v>
      </x:c>
      <x:c r="N460" s="8" t="n">
        <x:v>0</x:v>
      </x:c>
      <x:c r="O460" s="8" t="n">
        <x:v>0</x:v>
      </x:c>
      <x:c r="P460" s="8" t="n">
        <x:v>1</x:v>
      </x:c>
      <x:c r="Q460" s="8" t="n">
        <x:v>1</x:v>
      </x:c>
      <x:c r="R460" s="8" t="n">
        <x:v>2</x:v>
      </x:c>
      <x:c r="S460" s="8" t="n">
        <x:v>374</x:v>
      </x:c>
      <x:c r="T460" s="8" t="n">
        <x:v>102</x:v>
      </x:c>
      <x:c r="U460" s="2" t="str">
        <x:v>2026年9月24日現在</x:v>
      </x:c>
      <x:c r="V460" s="2" t="str">
        <x:v>2026-09-30</x:v>
      </x:c>
      <x:c r="W460" s="2" t="str">
        <x:v>https://www.e-stat.go.jp/stat-search/file-download?statInfId=000040417940&amp;fileKind=0</x:v>
      </x:c>
      <x:c r="X460" s="2" t="str">
        <x:v>海上出入貨物!313行、コンテナ個数!58行</x:v>
      </x:c>
      <x:c r="Y460" s="2" t="str">
        <x:v>取得済</x:v>
      </x:c>
      <x:c r="Z460" s="9" t="n">
        <x:f>IF(AND(ISNUMBER(E460),COUNTIFS($A$2:$A$477,EDATE(A460,-12),$B$2:$B$477,B460,$E$2:$E$477,"&gt;0")=1),E460/SUMIFS($E$2:$E$477,$A$2:$A$477,EDATE(A460,-12),$B$2:$B$477,B460)-1,"")</x:f>
        <x:v>-0.07343367275026758</x:v>
      </x:c>
      <x:c r="AA460" s="10" t="n">
        <x:f>IF(COUNTIFS($A$2:$A$477,"&gt;="&amp;EDATE(A460,-2),$A$2:$A$477,"&lt;="&amp;A460,$B$2:$B$477,B460,$E$2:$E$477,"&gt;=0")=3,SUMIFS($E$2:$E$477,$A$2:$A$477,"&gt;="&amp;EDATE(A460,-2),$A$2:$A$477,"&lt;="&amp;A460,$B$2:$B$477,B460)/3,"")</x:f>
        <x:v>257629</x:v>
      </x:c>
      <x:c r="AB460" s="9" t="n">
        <x:f>IF(AND(ISNUMBER(J460),COUNTIFS($A$2:$A$477,EDATE(A460,-12),$B$2:$B$477,B460,$J$2:$J$477,"&gt;0")=1),J460/SUMIFS($J$2:$J$477,$A$2:$A$477,EDATE(A460,-12),$B$2:$B$477,B460)-1,"")</x:f>
        <x:v>-0.09570476563812513</x:v>
      </x:c>
    </x:row>
    <x:row r="461" ht="21" customHeight="1">
      <x:c r="A461" s="7" t="n">
        <x:v>46174</x:v>
      </x:c>
      <x:c r="B461" s="2" t="str">
        <x:v>博多</x:v>
      </x:c>
      <x:c r="C461" s="2" t="str">
        <x:v>福岡県</x:v>
      </x:c>
      <x:c r="D461" s="8" t="str">
        <x:v>-</x:v>
      </x:c>
      <x:c r="E461" s="8" t="str">
        <x:v>-</x:v>
      </x:c>
      <x:c r="F461" s="8" t="str">
        <x:v>-</x:v>
      </x:c>
      <x:c r="G461" s="8" t="str">
        <x:v>-</x:v>
      </x:c>
      <x:c r="H461" s="8" t="str">
        <x:v>-</x:v>
      </x:c>
      <x:c r="I461" s="8" t="str">
        <x:v>-</x:v>
      </x:c>
      <x:c r="J461" s="8" t="str">
        <x:v>-</x:v>
      </x:c>
      <x:c r="K461" s="8" t="str">
        <x:v>-</x:v>
      </x:c>
      <x:c r="L461" s="8" t="str">
        <x:v>-</x:v>
      </x:c>
      <x:c r="M461" s="8" t="str">
        <x:v>-</x:v>
      </x:c>
      <x:c r="N461" s="8" t="str">
        <x:v>-</x:v>
      </x:c>
      <x:c r="O461" s="8" t="str">
        <x:v>-</x:v>
      </x:c>
      <x:c r="P461" s="8" t="str">
        <x:v>-</x:v>
      </x:c>
      <x:c r="Q461" s="8" t="str">
        <x:v>-</x:v>
      </x:c>
      <x:c r="R461" s="8" t="str">
        <x:v>-</x:v>
      </x:c>
      <x:c r="S461" s="8" t="str">
        <x:v>-</x:v>
      </x:c>
      <x:c r="T461" s="8" t="str">
        <x:v>-</x:v>
      </x:c>
      <x:c r="U461" s="2" t="str">
        <x:v>2026年9月24日現在</x:v>
      </x:c>
      <x:c r="V461" s="2" t="str">
        <x:v>2026-09-30</x:v>
      </x:c>
      <x:c r="W461" s="2" t="str">
        <x:v>https://www.e-stat.go.jp/stat-search/file-download?statInfId=000040417940&amp;fileKind=0</x:v>
      </x:c>
      <x:c r="X461" s="2" t="str">
        <x:v>海上出入貨物!721行、コンテナ個数!126行</x:v>
      </x:c>
      <x:c r="Y461" s="2" t="str">
        <x:v>欠測（原表－）</x:v>
      </x:c>
      <x:c r="Z461" s="9" t="str">
        <x:f>IF(AND(ISNUMBER(E461),COUNTIFS($A$2:$A$477,EDATE(A461,-12),$B$2:$B$477,B461,$E$2:$E$477,"&gt;0")=1),E461/SUMIFS($E$2:$E$477,$A$2:$A$477,EDATE(A461,-12),$B$2:$B$477,B461)-1,"")</x:f>
      </x:c>
      <x:c r="AA461" s="10" t="str">
        <x:f>IF(COUNTIFS($A$2:$A$477,"&gt;="&amp;EDATE(A461,-2),$A$2:$A$477,"&lt;="&amp;A461,$B$2:$B$477,B461,$E$2:$E$477,"&gt;=0")=3,SUMIFS($E$2:$E$477,$A$2:$A$477,"&gt;="&amp;EDATE(A461,-2),$A$2:$A$477,"&lt;="&amp;A461,$B$2:$B$477,B461)/3,"")</x:f>
      </x:c>
      <x:c r="AB461" s="9" t="str">
        <x:f>IF(AND(ISNUMBER(J461),COUNTIFS($A$2:$A$477,EDATE(A461,-12),$B$2:$B$477,B461,$J$2:$J$477,"&gt;0")=1),J461/SUMIFS($J$2:$J$477,$A$2:$A$477,EDATE(A461,-12),$B$2:$B$477,B461)-1,"")</x:f>
      </x:c>
    </x:row>
    <x:row r="462" ht="21" customHeight="1">
      <x:c r="A462" s="7" t="n">
        <x:v>46174</x:v>
      </x:c>
      <x:c r="B462" s="2" t="str">
        <x:v>熊本</x:v>
      </x:c>
      <x:c r="C462" s="2" t="str">
        <x:v>熊本県</x:v>
      </x:c>
      <x:c r="D462" s="8" t="str">
        <x:v>-</x:v>
      </x:c>
      <x:c r="E462" s="8" t="str">
        <x:v>-</x:v>
      </x:c>
      <x:c r="F462" s="8" t="str">
        <x:v>-</x:v>
      </x:c>
      <x:c r="G462" s="8" t="str">
        <x:v>-</x:v>
      </x:c>
      <x:c r="H462" s="8" t="str">
        <x:v>-</x:v>
      </x:c>
      <x:c r="I462" s="8" t="str">
        <x:v>-</x:v>
      </x:c>
      <x:c r="J462" s="8" t="str">
        <x:v>-</x:v>
      </x:c>
      <x:c r="K462" s="8" t="str">
        <x:v>-</x:v>
      </x:c>
      <x:c r="L462" s="8" t="str">
        <x:v>-</x:v>
      </x:c>
      <x:c r="M462" s="8" t="str">
        <x:v>-</x:v>
      </x:c>
      <x:c r="N462" s="8" t="str">
        <x:v>-</x:v>
      </x:c>
      <x:c r="O462" s="8" t="str">
        <x:v>-</x:v>
      </x:c>
      <x:c r="P462" s="8" t="str">
        <x:v>-</x:v>
      </x:c>
      <x:c r="Q462" s="8" t="str">
        <x:v>-</x:v>
      </x:c>
      <x:c r="R462" s="8" t="str">
        <x:v>-</x:v>
      </x:c>
      <x:c r="S462" s="8" t="str">
        <x:v>-</x:v>
      </x:c>
      <x:c r="T462" s="8" t="str">
        <x:v>-</x:v>
      </x:c>
      <x:c r="U462" s="2" t="str">
        <x:v>2026年9月24日現在</x:v>
      </x:c>
      <x:c r="V462" s="2" t="str">
        <x:v>2026-09-30</x:v>
      </x:c>
      <x:c r="W462" s="2" t="str">
        <x:v>https://www.e-stat.go.jp/stat-search/file-download?statInfId=000040417940&amp;fileKind=0</x:v>
      </x:c>
      <x:c r="X462" s="2" t="str">
        <x:v>海上出入貨物!829行、コンテナ個数!144行</x:v>
      </x:c>
      <x:c r="Y462" s="2" t="str">
        <x:v>欠測（原表－）</x:v>
      </x:c>
      <x:c r="Z462" s="9" t="str">
        <x:f>IF(AND(ISNUMBER(E462),COUNTIFS($A$2:$A$477,EDATE(A462,-12),$B$2:$B$477,B462,$E$2:$E$477,"&gt;0")=1),E462/SUMIFS($E$2:$E$477,$A$2:$A$477,EDATE(A462,-12),$B$2:$B$477,B462)-1,"")</x:f>
      </x:c>
      <x:c r="AA462" s="10" t="str">
        <x:f>IF(COUNTIFS($A$2:$A$477,"&gt;="&amp;EDATE(A462,-2),$A$2:$A$477,"&lt;="&amp;A462,$B$2:$B$477,B462,$E$2:$E$477,"&gt;=0")=3,SUMIFS($E$2:$E$477,$A$2:$A$477,"&gt;="&amp;EDATE(A462,-2),$A$2:$A$477,"&lt;="&amp;A462,$B$2:$B$477,B462)/3,"")</x:f>
      </x:c>
      <x:c r="AB462" s="9" t="str">
        <x:f>IF(AND(ISNUMBER(J462),COUNTIFS($A$2:$A$477,EDATE(A462,-12),$B$2:$B$477,B462,$J$2:$J$477,"&gt;0")=1),J462/SUMIFS($J$2:$J$477,$A$2:$A$477,EDATE(A462,-12),$B$2:$B$477,B462)-1,"")</x:f>
      </x:c>
    </x:row>
    <x:row r="463" ht="21" customHeight="1">
      <x:c r="A463" s="7" t="n">
        <x:v>46174</x:v>
      </x:c>
      <x:c r="B463" s="2" t="str">
        <x:v>八代</x:v>
      </x:c>
      <x:c r="C463" s="2" t="str">
        <x:v>熊本県</x:v>
      </x:c>
      <x:c r="D463" s="8" t="str">
        <x:v>-</x:v>
      </x:c>
      <x:c r="E463" s="8" t="str">
        <x:v>-</x:v>
      </x:c>
      <x:c r="F463" s="8" t="str">
        <x:v>-</x:v>
      </x:c>
      <x:c r="G463" s="8" t="str">
        <x:v>-</x:v>
      </x:c>
      <x:c r="H463" s="8" t="str">
        <x:v>-</x:v>
      </x:c>
      <x:c r="I463" s="8" t="str">
        <x:v>-</x:v>
      </x:c>
      <x:c r="J463" s="8" t="str">
        <x:v>-</x:v>
      </x:c>
      <x:c r="K463" s="8" t="str">
        <x:v>-</x:v>
      </x:c>
      <x:c r="L463" s="8" t="str">
        <x:v>-</x:v>
      </x:c>
      <x:c r="M463" s="8" t="str">
        <x:v>-</x:v>
      </x:c>
      <x:c r="N463" s="8" t="str">
        <x:v>-</x:v>
      </x:c>
      <x:c r="O463" s="8" t="str">
        <x:v>-</x:v>
      </x:c>
      <x:c r="P463" s="8" t="str">
        <x:v>-</x:v>
      </x:c>
      <x:c r="Q463" s="8" t="str">
        <x:v>-</x:v>
      </x:c>
      <x:c r="R463" s="8" t="str">
        <x:v>-</x:v>
      </x:c>
      <x:c r="S463" s="8" t="str">
        <x:v>-</x:v>
      </x:c>
      <x:c r="T463" s="8" t="str">
        <x:v>-</x:v>
      </x:c>
      <x:c r="U463" s="2" t="str">
        <x:v>2026年9月24日現在</x:v>
      </x:c>
      <x:c r="V463" s="2" t="str">
        <x:v>2026-09-30</x:v>
      </x:c>
      <x:c r="W463" s="2" t="str">
        <x:v>https://www.e-stat.go.jp/stat-search/file-download?statInfId=000040417940&amp;fileKind=0</x:v>
      </x:c>
      <x:c r="X463" s="2" t="str">
        <x:v>海上出入貨物!817行、コンテナ個数!142行</x:v>
      </x:c>
      <x:c r="Y463" s="2" t="str">
        <x:v>欠測（原表－）</x:v>
      </x:c>
      <x:c r="Z463" s="9" t="str">
        <x:f>IF(AND(ISNUMBER(E463),COUNTIFS($A$2:$A$477,EDATE(A463,-12),$B$2:$B$477,B463,$E$2:$E$477,"&gt;0")=1),E463/SUMIFS($E$2:$E$477,$A$2:$A$477,EDATE(A463,-12),$B$2:$B$477,B463)-1,"")</x:f>
      </x:c>
      <x:c r="AA463" s="10" t="str">
        <x:f>IF(COUNTIFS($A$2:$A$477,"&gt;="&amp;EDATE(A463,-2),$A$2:$A$477,"&lt;="&amp;A463,$B$2:$B$477,B463,$E$2:$E$477,"&gt;=0")=3,SUMIFS($E$2:$E$477,$A$2:$A$477,"&gt;="&amp;EDATE(A463,-2),$A$2:$A$477,"&lt;="&amp;A463,$B$2:$B$477,B463)/3,"")</x:f>
      </x:c>
      <x:c r="AB463" s="9" t="str">
        <x:f>IF(AND(ISNUMBER(J463),COUNTIFS($A$2:$A$477,EDATE(A463,-12),$B$2:$B$477,B463,$J$2:$J$477,"&gt;0")=1),J463/SUMIFS($J$2:$J$477,$A$2:$A$477,EDATE(A463,-12),$B$2:$B$477,B463)-1,"")</x:f>
      </x:c>
    </x:row>
    <x:row r="464" ht="21" customHeight="1">
      <x:c r="A464" s="7" t="n">
        <x:v>46204</x:v>
      </x:c>
      <x:c r="B464" s="2" t="str">
        <x:v>仙台塩釜</x:v>
      </x:c>
      <x:c r="C464" s="2" t="str">
        <x:v>宮城県</x:v>
      </x:c>
      <x:c r="D464" s="8" t="str">
        <x:v>-</x:v>
      </x:c>
      <x:c r="E464" s="8" t="str">
        <x:v>-</x:v>
      </x:c>
      <x:c r="F464" s="8" t="str">
        <x:v>-</x:v>
      </x:c>
      <x:c r="G464" s="8" t="str">
        <x:v>-</x:v>
      </x:c>
      <x:c r="H464" s="8" t="str">
        <x:v>-</x:v>
      </x:c>
      <x:c r="I464" s="8" t="str">
        <x:v>-</x:v>
      </x:c>
      <x:c r="J464" s="8" t="str">
        <x:v>-</x:v>
      </x:c>
      <x:c r="K464" s="8" t="str">
        <x:v>-</x:v>
      </x:c>
      <x:c r="L464" s="8" t="str">
        <x:v>-</x:v>
      </x:c>
      <x:c r="M464" s="8" t="str">
        <x:v>-</x:v>
      </x:c>
      <x:c r="N464" s="8" t="str">
        <x:v>-</x:v>
      </x:c>
      <x:c r="O464" s="8" t="str">
        <x:v>-</x:v>
      </x:c>
      <x:c r="P464" s="8" t="str">
        <x:v>-</x:v>
      </x:c>
      <x:c r="Q464" s="8" t="str">
        <x:v>-</x:v>
      </x:c>
      <x:c r="R464" s="8" t="str">
        <x:v>-</x:v>
      </x:c>
      <x:c r="S464" s="8" t="str">
        <x:v>-</x:v>
      </x:c>
      <x:c r="T464" s="8" t="str">
        <x:v>-</x:v>
      </x:c>
      <x:c r="U464" s="2" t="str">
        <x:v>2026年9月24日現在</x:v>
      </x:c>
      <x:c r="V464" s="2" t="str">
        <x:v>2026-09-30</x:v>
      </x:c>
      <x:c r="W464" s="2" t="str">
        <x:v>https://www.e-stat.go.jp/stat-search/file-download?statInfId=000040417940&amp;fileKind=0</x:v>
      </x:c>
      <x:c r="X464" s="2" t="str">
        <x:v>海上出入貨物!145行、コンテナ個数!30行</x:v>
      </x:c>
      <x:c r="Y464" s="2" t="str">
        <x:v>欠測（原表－）</x:v>
      </x:c>
      <x:c r="Z464" s="9" t="str">
        <x:f>IF(AND(ISNUMBER(E464),COUNTIFS($A$2:$A$477,EDATE(A464,-12),$B$2:$B$477,B464,$E$2:$E$477,"&gt;0")=1),E464/SUMIFS($E$2:$E$477,$A$2:$A$477,EDATE(A464,-12),$B$2:$B$477,B464)-1,"")</x:f>
      </x:c>
      <x:c r="AA464" s="10" t="str">
        <x:f>IF(COUNTIFS($A$2:$A$477,"&gt;="&amp;EDATE(A464,-2),$A$2:$A$477,"&lt;="&amp;A464,$B$2:$B$477,B464,$E$2:$E$477,"&gt;=0")=3,SUMIFS($E$2:$E$477,$A$2:$A$477,"&gt;="&amp;EDATE(A464,-2),$A$2:$A$477,"&lt;="&amp;A464,$B$2:$B$477,B464)/3,"")</x:f>
      </x:c>
      <x:c r="AB464" s="9" t="str">
        <x:f>IF(AND(ISNUMBER(J464),COUNTIFS($A$2:$A$477,EDATE(A464,-12),$B$2:$B$477,B464,$J$2:$J$477,"&gt;0")=1),J464/SUMIFS($J$2:$J$477,$A$2:$A$477,EDATE(A464,-12),$B$2:$B$477,B464)-1,"")</x:f>
      </x:c>
    </x:row>
    <x:row r="465" ht="21" customHeight="1">
      <x:c r="A465" s="7" t="n">
        <x:v>46204</x:v>
      </x:c>
      <x:c r="B465" s="2" t="str">
        <x:v>東京</x:v>
      </x:c>
      <x:c r="C465" s="2" t="str">
        <x:v>東京都</x:v>
      </x:c>
      <x:c r="D465" s="8" t="str">
        <x:v>-</x:v>
      </x:c>
      <x:c r="E465" s="8" t="str">
        <x:v>-</x:v>
      </x:c>
      <x:c r="F465" s="8" t="str">
        <x:v>-</x:v>
      </x:c>
      <x:c r="G465" s="8" t="str">
        <x:v>-</x:v>
      </x:c>
      <x:c r="H465" s="8" t="str">
        <x:v>-</x:v>
      </x:c>
      <x:c r="I465" s="8" t="str">
        <x:v>-</x:v>
      </x:c>
      <x:c r="J465" s="8" t="str">
        <x:v>-</x:v>
      </x:c>
      <x:c r="K465" s="8" t="str">
        <x:v>-</x:v>
      </x:c>
      <x:c r="L465" s="8" t="str">
        <x:v>-</x:v>
      </x:c>
      <x:c r="M465" s="8" t="str">
        <x:v>-</x:v>
      </x:c>
      <x:c r="N465" s="8" t="str">
        <x:v>-</x:v>
      </x:c>
      <x:c r="O465" s="8" t="str">
        <x:v>-</x:v>
      </x:c>
      <x:c r="P465" s="8" t="str">
        <x:v>-</x:v>
      </x:c>
      <x:c r="Q465" s="8" t="str">
        <x:v>-</x:v>
      </x:c>
      <x:c r="R465" s="8" t="str">
        <x:v>-</x:v>
      </x:c>
      <x:c r="S465" s="8" t="str">
        <x:v>-</x:v>
      </x:c>
      <x:c r="T465" s="8" t="str">
        <x:v>-</x:v>
      </x:c>
      <x:c r="U465" s="2" t="str">
        <x:v>2026年9月24日現在</x:v>
      </x:c>
      <x:c r="V465" s="2" t="str">
        <x:v>2026-09-30</x:v>
      </x:c>
      <x:c r="W465" s="2" t="str">
        <x:v>https://www.e-stat.go.jp/stat-search/file-download?statInfId=000040417940&amp;fileKind=0</x:v>
      </x:c>
      <x:c r="X465" s="2" t="str">
        <x:v>海上出入貨物!211行、コンテナ個数!41行</x:v>
      </x:c>
      <x:c r="Y465" s="2" t="str">
        <x:v>欠測（原表－）</x:v>
      </x:c>
      <x:c r="Z465" s="9" t="str">
        <x:f>IF(AND(ISNUMBER(E465),COUNTIFS($A$2:$A$477,EDATE(A465,-12),$B$2:$B$477,B465,$E$2:$E$477,"&gt;0")=1),E465/SUMIFS($E$2:$E$477,$A$2:$A$477,EDATE(A465,-12),$B$2:$B$477,B465)-1,"")</x:f>
      </x:c>
      <x:c r="AA465" s="10" t="str">
        <x:f>IF(COUNTIFS($A$2:$A$477,"&gt;="&amp;EDATE(A465,-2),$A$2:$A$477,"&lt;="&amp;A465,$B$2:$B$477,B465,$E$2:$E$477,"&gt;=0")=3,SUMIFS($E$2:$E$477,$A$2:$A$477,"&gt;="&amp;EDATE(A465,-2),$A$2:$A$477,"&lt;="&amp;A465,$B$2:$B$477,B465)/3,"")</x:f>
      </x:c>
      <x:c r="AB465" s="9" t="str">
        <x:f>IF(AND(ISNUMBER(J465),COUNTIFS($A$2:$A$477,EDATE(A465,-12),$B$2:$B$477,B465,$J$2:$J$477,"&gt;0")=1),J465/SUMIFS($J$2:$J$477,$A$2:$A$477,EDATE(A465,-12),$B$2:$B$477,B465)-1,"")</x:f>
      </x:c>
    </x:row>
    <x:row r="466" ht="21" customHeight="1">
      <x:c r="A466" s="7" t="n">
        <x:v>46204</x:v>
      </x:c>
      <x:c r="B466" s="2" t="str">
        <x:v>横浜</x:v>
      </x:c>
      <x:c r="C466" s="2" t="str">
        <x:v>神奈川県</x:v>
      </x:c>
      <x:c r="D466" s="8" t="str">
        <x:v>-</x:v>
      </x:c>
      <x:c r="E466" s="8" t="str">
        <x:v>-</x:v>
      </x:c>
      <x:c r="F466" s="8" t="str">
        <x:v>-</x:v>
      </x:c>
      <x:c r="G466" s="8" t="str">
        <x:v>-</x:v>
      </x:c>
      <x:c r="H466" s="8" t="str">
        <x:v>-</x:v>
      </x:c>
      <x:c r="I466" s="8" t="str">
        <x:v>-</x:v>
      </x:c>
      <x:c r="J466" s="8" t="str">
        <x:v>-</x:v>
      </x:c>
      <x:c r="K466" s="8" t="str">
        <x:v>-</x:v>
      </x:c>
      <x:c r="L466" s="8" t="str">
        <x:v>-</x:v>
      </x:c>
      <x:c r="M466" s="8" t="str">
        <x:v>-</x:v>
      </x:c>
      <x:c r="N466" s="8" t="str">
        <x:v>-</x:v>
      </x:c>
      <x:c r="O466" s="8" t="str">
        <x:v>-</x:v>
      </x:c>
      <x:c r="P466" s="8" t="str">
        <x:v>-</x:v>
      </x:c>
      <x:c r="Q466" s="8" t="str">
        <x:v>-</x:v>
      </x:c>
      <x:c r="R466" s="8" t="str">
        <x:v>-</x:v>
      </x:c>
      <x:c r="S466" s="8" t="str">
        <x:v>-</x:v>
      </x:c>
      <x:c r="T466" s="8" t="str">
        <x:v>-</x:v>
      </x:c>
      <x:c r="U466" s="2" t="str">
        <x:v>2026年9月24日現在</x:v>
      </x:c>
      <x:c r="V466" s="2" t="str">
        <x:v>2026-09-30</x:v>
      </x:c>
      <x:c r="W466" s="2" t="str">
        <x:v>https://www.e-stat.go.jp/stat-search/file-download?statInfId=000040417940&amp;fileKind=0</x:v>
      </x:c>
      <x:c r="X466" s="2" t="str">
        <x:v>海上出入貨物!223行、コンテナ個数!43行</x:v>
      </x:c>
      <x:c r="Y466" s="2" t="str">
        <x:v>欠測（原表－）</x:v>
      </x:c>
      <x:c r="Z466" s="9" t="str">
        <x:f>IF(AND(ISNUMBER(E466),COUNTIFS($A$2:$A$477,EDATE(A466,-12),$B$2:$B$477,B466,$E$2:$E$477,"&gt;0")=1),E466/SUMIFS($E$2:$E$477,$A$2:$A$477,EDATE(A466,-12),$B$2:$B$477,B466)-1,"")</x:f>
      </x:c>
      <x:c r="AA466" s="10" t="str">
        <x:f>IF(COUNTIFS($A$2:$A$477,"&gt;="&amp;EDATE(A466,-2),$A$2:$A$477,"&lt;="&amp;A466,$B$2:$B$477,B466,$E$2:$E$477,"&gt;=0")=3,SUMIFS($E$2:$E$477,$A$2:$A$477,"&gt;="&amp;EDATE(A466,-2),$A$2:$A$477,"&lt;="&amp;A466,$B$2:$B$477,B466)/3,"")</x:f>
      </x:c>
      <x:c r="AB466" s="9" t="str">
        <x:f>IF(AND(ISNUMBER(J466),COUNTIFS($A$2:$A$477,EDATE(A466,-12),$B$2:$B$477,B466,$J$2:$J$477,"&gt;0")=1),J466/SUMIFS($J$2:$J$477,$A$2:$A$477,EDATE(A466,-12),$B$2:$B$477,B466)-1,"")</x:f>
      </x:c>
    </x:row>
    <x:row r="467" ht="21" customHeight="1">
      <x:c r="A467" s="7" t="n">
        <x:v>46204</x:v>
      </x:c>
      <x:c r="B467" s="2" t="str">
        <x:v>清水</x:v>
      </x:c>
      <x:c r="C467" s="2" t="str">
        <x:v>静岡県</x:v>
      </x:c>
      <x:c r="D467" s="8" t="n">
        <x:v>1383112</x:v>
      </x:c>
      <x:c r="E467" s="8" t="n">
        <x:v>281156</x:v>
      </x:c>
      <x:c r="F467" s="8" t="n">
        <x:v>595273</x:v>
      </x:c>
      <x:c r="G467" s="8" t="n">
        <x:v>186885</x:v>
      </x:c>
      <x:c r="H467" s="8" t="n">
        <x:v>319798</x:v>
      </x:c>
      <x:c r="I467" s="8" t="n">
        <x:v>46143</x:v>
      </x:c>
      <x:c r="J467" s="8" t="n">
        <x:v>18393</x:v>
      </x:c>
      <x:c r="K467" s="8" t="n">
        <x:v>17979</x:v>
      </x:c>
      <x:c r="L467" s="8" t="n">
        <x:v>4727</x:v>
      </x:c>
      <x:c r="M467" s="8" t="n">
        <x:v>5044</x:v>
      </x:c>
      <x:c r="N467" s="8" t="n">
        <x:v>0</x:v>
      </x:c>
      <x:c r="O467" s="8" t="n">
        <x:v>0</x:v>
      </x:c>
      <x:c r="P467" s="8" t="n">
        <x:v>3</x:v>
      </x:c>
      <x:c r="Q467" s="8" t="n">
        <x:v>4</x:v>
      </x:c>
      <x:c r="R467" s="8" t="n">
        <x:v>7</x:v>
      </x:c>
      <x:c r="S467" s="8" t="n">
        <x:v>430</x:v>
      </x:c>
      <x:c r="T467" s="8" t="n">
        <x:v>105</x:v>
      </x:c>
      <x:c r="U467" s="2" t="str">
        <x:v>2026年9月24日現在</x:v>
      </x:c>
      <x:c r="V467" s="2" t="str">
        <x:v>2026-09-30</x:v>
      </x:c>
      <x:c r="W467" s="2" t="str">
        <x:v>https://www.e-stat.go.jp/stat-search/file-download?statInfId=000040417940&amp;fileKind=0</x:v>
      </x:c>
      <x:c r="X467" s="2" t="str">
        <x:v>海上出入貨物!313行、コンテナ個数!58行</x:v>
      </x:c>
      <x:c r="Y467" s="2" t="str">
        <x:v>取得済</x:v>
      </x:c>
      <x:c r="Z467" s="9" t="n">
        <x:f>IF(AND(ISNUMBER(E467),COUNTIFS($A$2:$A$477,EDATE(A467,-12),$B$2:$B$477,B467,$E$2:$E$477,"&gt;0")=1),E467/SUMIFS($E$2:$E$477,$A$2:$A$477,EDATE(A467,-12),$B$2:$B$477,B467)-1,"")</x:f>
        <x:v>0.05748630920142017</x:v>
      </x:c>
      <x:c r="AA467" s="10" t="n">
        <x:f>IF(COUNTIFS($A$2:$A$477,"&gt;="&amp;EDATE(A467,-2),$A$2:$A$477,"&lt;="&amp;A467,$B$2:$B$477,B467,$E$2:$E$477,"&gt;=0")=3,SUMIFS($E$2:$E$477,$A$2:$A$477,"&gt;="&amp;EDATE(A467,-2),$A$2:$A$477,"&lt;="&amp;A467,$B$2:$B$477,B467)/3,"")</x:f>
        <x:v>258334</x:v>
      </x:c>
      <x:c r="AB467" s="9" t="n">
        <x:f>IF(AND(ISNUMBER(J467),COUNTIFS($A$2:$A$477,EDATE(A467,-12),$B$2:$B$477,B467,$J$2:$J$477,"&gt;0")=1),J467/SUMIFS($J$2:$J$477,$A$2:$A$477,EDATE(A467,-12),$B$2:$B$477,B467)-1,"")</x:f>
        <x:v>0.060910192074753455</x:v>
      </x:c>
    </x:row>
    <x:row r="468" ht="21" customHeight="1">
      <x:c r="A468" s="7" t="n">
        <x:v>46204</x:v>
      </x:c>
      <x:c r="B468" s="2" t="str">
        <x:v>博多</x:v>
      </x:c>
      <x:c r="C468" s="2" t="str">
        <x:v>福岡県</x:v>
      </x:c>
      <x:c r="D468" s="8" t="str">
        <x:v>-</x:v>
      </x:c>
      <x:c r="E468" s="8" t="str">
        <x:v>-</x:v>
      </x:c>
      <x:c r="F468" s="8" t="str">
        <x:v>-</x:v>
      </x:c>
      <x:c r="G468" s="8" t="str">
        <x:v>-</x:v>
      </x:c>
      <x:c r="H468" s="8" t="str">
        <x:v>-</x:v>
      </x:c>
      <x:c r="I468" s="8" t="str">
        <x:v>-</x:v>
      </x:c>
      <x:c r="J468" s="8" t="str">
        <x:v>-</x:v>
      </x:c>
      <x:c r="K468" s="8" t="str">
        <x:v>-</x:v>
      </x:c>
      <x:c r="L468" s="8" t="str">
        <x:v>-</x:v>
      </x:c>
      <x:c r="M468" s="8" t="str">
        <x:v>-</x:v>
      </x:c>
      <x:c r="N468" s="8" t="str">
        <x:v>-</x:v>
      </x:c>
      <x:c r="O468" s="8" t="str">
        <x:v>-</x:v>
      </x:c>
      <x:c r="P468" s="8" t="str">
        <x:v>-</x:v>
      </x:c>
      <x:c r="Q468" s="8" t="str">
        <x:v>-</x:v>
      </x:c>
      <x:c r="R468" s="8" t="str">
        <x:v>-</x:v>
      </x:c>
      <x:c r="S468" s="8" t="str">
        <x:v>-</x:v>
      </x:c>
      <x:c r="T468" s="8" t="str">
        <x:v>-</x:v>
      </x:c>
      <x:c r="U468" s="2" t="str">
        <x:v>2026年9月24日現在</x:v>
      </x:c>
      <x:c r="V468" s="2" t="str">
        <x:v>2026-09-30</x:v>
      </x:c>
      <x:c r="W468" s="2" t="str">
        <x:v>https://www.e-stat.go.jp/stat-search/file-download?statInfId=000040417940&amp;fileKind=0</x:v>
      </x:c>
      <x:c r="X468" s="2" t="str">
        <x:v>海上出入貨物!721行、コンテナ個数!126行</x:v>
      </x:c>
      <x:c r="Y468" s="2" t="str">
        <x:v>欠測（原表－）</x:v>
      </x:c>
      <x:c r="Z468" s="9" t="str">
        <x:f>IF(AND(ISNUMBER(E468),COUNTIFS($A$2:$A$477,EDATE(A468,-12),$B$2:$B$477,B468,$E$2:$E$477,"&gt;0")=1),E468/SUMIFS($E$2:$E$477,$A$2:$A$477,EDATE(A468,-12),$B$2:$B$477,B468)-1,"")</x:f>
      </x:c>
      <x:c r="AA468" s="10" t="str">
        <x:f>IF(COUNTIFS($A$2:$A$477,"&gt;="&amp;EDATE(A468,-2),$A$2:$A$477,"&lt;="&amp;A468,$B$2:$B$477,B468,$E$2:$E$477,"&gt;=0")=3,SUMIFS($E$2:$E$477,$A$2:$A$477,"&gt;="&amp;EDATE(A468,-2),$A$2:$A$477,"&lt;="&amp;A468,$B$2:$B$477,B468)/3,"")</x:f>
      </x:c>
      <x:c r="AB468" s="9" t="str">
        <x:f>IF(AND(ISNUMBER(J468),COUNTIFS($A$2:$A$477,EDATE(A468,-12),$B$2:$B$477,B468,$J$2:$J$477,"&gt;0")=1),J468/SUMIFS($J$2:$J$477,$A$2:$A$477,EDATE(A468,-12),$B$2:$B$477,B468)-1,"")</x:f>
      </x:c>
    </x:row>
    <x:row r="469" ht="21" customHeight="1">
      <x:c r="A469" s="7" t="n">
        <x:v>46204</x:v>
      </x:c>
      <x:c r="B469" s="2" t="str">
        <x:v>熊本</x:v>
      </x:c>
      <x:c r="C469" s="2" t="str">
        <x:v>熊本県</x:v>
      </x:c>
      <x:c r="D469" s="8" t="str">
        <x:v>-</x:v>
      </x:c>
      <x:c r="E469" s="8" t="str">
        <x:v>-</x:v>
      </x:c>
      <x:c r="F469" s="8" t="str">
        <x:v>-</x:v>
      </x:c>
      <x:c r="G469" s="8" t="str">
        <x:v>-</x:v>
      </x:c>
      <x:c r="H469" s="8" t="str">
        <x:v>-</x:v>
      </x:c>
      <x:c r="I469" s="8" t="str">
        <x:v>-</x:v>
      </x:c>
      <x:c r="J469" s="8" t="str">
        <x:v>-</x:v>
      </x:c>
      <x:c r="K469" s="8" t="str">
        <x:v>-</x:v>
      </x:c>
      <x:c r="L469" s="8" t="str">
        <x:v>-</x:v>
      </x:c>
      <x:c r="M469" s="8" t="str">
        <x:v>-</x:v>
      </x:c>
      <x:c r="N469" s="8" t="str">
        <x:v>-</x:v>
      </x:c>
      <x:c r="O469" s="8" t="str">
        <x:v>-</x:v>
      </x:c>
      <x:c r="P469" s="8" t="str">
        <x:v>-</x:v>
      </x:c>
      <x:c r="Q469" s="8" t="str">
        <x:v>-</x:v>
      </x:c>
      <x:c r="R469" s="8" t="str">
        <x:v>-</x:v>
      </x:c>
      <x:c r="S469" s="8" t="str">
        <x:v>-</x:v>
      </x:c>
      <x:c r="T469" s="8" t="str">
        <x:v>-</x:v>
      </x:c>
      <x:c r="U469" s="2" t="str">
        <x:v>2026年9月24日現在</x:v>
      </x:c>
      <x:c r="V469" s="2" t="str">
        <x:v>2026-09-30</x:v>
      </x:c>
      <x:c r="W469" s="2" t="str">
        <x:v>https://www.e-stat.go.jp/stat-search/file-download?statInfId=000040417940&amp;fileKind=0</x:v>
      </x:c>
      <x:c r="X469" s="2" t="str">
        <x:v>海上出入貨物!829行、コンテナ個数!144行</x:v>
      </x:c>
      <x:c r="Y469" s="2" t="str">
        <x:v>欠測（原表－）</x:v>
      </x:c>
      <x:c r="Z469" s="9" t="str">
        <x:f>IF(AND(ISNUMBER(E469),COUNTIFS($A$2:$A$477,EDATE(A469,-12),$B$2:$B$477,B469,$E$2:$E$477,"&gt;0")=1),E469/SUMIFS($E$2:$E$477,$A$2:$A$477,EDATE(A469,-12),$B$2:$B$477,B469)-1,"")</x:f>
      </x:c>
      <x:c r="AA469" s="10" t="str">
        <x:f>IF(COUNTIFS($A$2:$A$477,"&gt;="&amp;EDATE(A469,-2),$A$2:$A$477,"&lt;="&amp;A469,$B$2:$B$477,B469,$E$2:$E$477,"&gt;=0")=3,SUMIFS($E$2:$E$477,$A$2:$A$477,"&gt;="&amp;EDATE(A469,-2),$A$2:$A$477,"&lt;="&amp;A469,$B$2:$B$477,B469)/3,"")</x:f>
      </x:c>
      <x:c r="AB469" s="9" t="str">
        <x:f>IF(AND(ISNUMBER(J469),COUNTIFS($A$2:$A$477,EDATE(A469,-12),$B$2:$B$477,B469,$J$2:$J$477,"&gt;0")=1),J469/SUMIFS($J$2:$J$477,$A$2:$A$477,EDATE(A469,-12),$B$2:$B$477,B469)-1,"")</x:f>
      </x:c>
    </x:row>
    <x:row r="470" ht="21" customHeight="1">
      <x:c r="A470" s="7" t="n">
        <x:v>46204</x:v>
      </x:c>
      <x:c r="B470" s="2" t="str">
        <x:v>八代</x:v>
      </x:c>
      <x:c r="C470" s="2" t="str">
        <x:v>熊本県</x:v>
      </x:c>
      <x:c r="D470" s="8" t="str">
        <x:v>-</x:v>
      </x:c>
      <x:c r="E470" s="8" t="str">
        <x:v>-</x:v>
      </x:c>
      <x:c r="F470" s="8" t="str">
        <x:v>-</x:v>
      </x:c>
      <x:c r="G470" s="8" t="str">
        <x:v>-</x:v>
      </x:c>
      <x:c r="H470" s="8" t="str">
        <x:v>-</x:v>
      </x:c>
      <x:c r="I470" s="8" t="str">
        <x:v>-</x:v>
      </x:c>
      <x:c r="J470" s="8" t="str">
        <x:v>-</x:v>
      </x:c>
      <x:c r="K470" s="8" t="str">
        <x:v>-</x:v>
      </x:c>
      <x:c r="L470" s="8" t="str">
        <x:v>-</x:v>
      </x:c>
      <x:c r="M470" s="8" t="str">
        <x:v>-</x:v>
      </x:c>
      <x:c r="N470" s="8" t="str">
        <x:v>-</x:v>
      </x:c>
      <x:c r="O470" s="8" t="str">
        <x:v>-</x:v>
      </x:c>
      <x:c r="P470" s="8" t="str">
        <x:v>-</x:v>
      </x:c>
      <x:c r="Q470" s="8" t="str">
        <x:v>-</x:v>
      </x:c>
      <x:c r="R470" s="8" t="str">
        <x:v>-</x:v>
      </x:c>
      <x:c r="S470" s="8" t="str">
        <x:v>-</x:v>
      </x:c>
      <x:c r="T470" s="8" t="str">
        <x:v>-</x:v>
      </x:c>
      <x:c r="U470" s="2" t="str">
        <x:v>2026年9月24日現在</x:v>
      </x:c>
      <x:c r="V470" s="2" t="str">
        <x:v>2026-09-30</x:v>
      </x:c>
      <x:c r="W470" s="2" t="str">
        <x:v>https://www.e-stat.go.jp/stat-search/file-download?statInfId=000040417940&amp;fileKind=0</x:v>
      </x:c>
      <x:c r="X470" s="2" t="str">
        <x:v>海上出入貨物!817行、コンテナ個数!142行</x:v>
      </x:c>
      <x:c r="Y470" s="2" t="str">
        <x:v>欠測（原表－）</x:v>
      </x:c>
      <x:c r="Z470" s="9" t="str">
        <x:f>IF(AND(ISNUMBER(E470),COUNTIFS($A$2:$A$477,EDATE(A470,-12),$B$2:$B$477,B470,$E$2:$E$477,"&gt;0")=1),E470/SUMIFS($E$2:$E$477,$A$2:$A$477,EDATE(A470,-12),$B$2:$B$477,B470)-1,"")</x:f>
      </x:c>
      <x:c r="AA470" s="10" t="str">
        <x:f>IF(COUNTIFS($A$2:$A$477,"&gt;="&amp;EDATE(A470,-2),$A$2:$A$477,"&lt;="&amp;A470,$B$2:$B$477,B470,$E$2:$E$477,"&gt;=0")=3,SUMIFS($E$2:$E$477,$A$2:$A$477,"&gt;="&amp;EDATE(A470,-2),$A$2:$A$477,"&lt;="&amp;A470,$B$2:$B$477,B470)/3,"")</x:f>
      </x:c>
      <x:c r="AB470" s="9" t="str">
        <x:f>IF(AND(ISNUMBER(J470),COUNTIFS($A$2:$A$477,EDATE(A470,-12),$B$2:$B$477,B470,$J$2:$J$477,"&gt;0")=1),J470/SUMIFS($J$2:$J$477,$A$2:$A$477,EDATE(A470,-12),$B$2:$B$477,B470)-1,"")</x:f>
      </x:c>
    </x:row>
    <x:row r="471" ht="21" customHeight="1">
      <x:c r="A471" s="7" t="n">
        <x:v>46235</x:v>
      </x:c>
      <x:c r="B471" s="2" t="str">
        <x:v>仙台塩釜</x:v>
      </x:c>
      <x:c r="C471" s="2" t="str">
        <x:v>宮城県</x:v>
      </x:c>
      <x:c r="D471" s="8" t="str">
        <x:v>-</x:v>
      </x:c>
      <x:c r="E471" s="8" t="str">
        <x:v>-</x:v>
      </x:c>
      <x:c r="F471" s="8" t="str">
        <x:v>-</x:v>
      </x:c>
      <x:c r="G471" s="8" t="str">
        <x:v>-</x:v>
      </x:c>
      <x:c r="H471" s="8" t="str">
        <x:v>-</x:v>
      </x:c>
      <x:c r="I471" s="8" t="str">
        <x:v>-</x:v>
      </x:c>
      <x:c r="J471" s="8" t="str">
        <x:v>-</x:v>
      </x:c>
      <x:c r="K471" s="8" t="str">
        <x:v>-</x:v>
      </x:c>
      <x:c r="L471" s="8" t="str">
        <x:v>-</x:v>
      </x:c>
      <x:c r="M471" s="8" t="str">
        <x:v>-</x:v>
      </x:c>
      <x:c r="N471" s="8" t="str">
        <x:v>-</x:v>
      </x:c>
      <x:c r="O471" s="8" t="str">
        <x:v>-</x:v>
      </x:c>
      <x:c r="P471" s="8" t="str">
        <x:v>-</x:v>
      </x:c>
      <x:c r="Q471" s="8" t="str">
        <x:v>-</x:v>
      </x:c>
      <x:c r="R471" s="8" t="str">
        <x:v>-</x:v>
      </x:c>
      <x:c r="S471" s="8" t="str">
        <x:v>-</x:v>
      </x:c>
      <x:c r="T471" s="8" t="str">
        <x:v>-</x:v>
      </x:c>
      <x:c r="U471" s="2" t="str">
        <x:v>2026年9月24日現在</x:v>
      </x:c>
      <x:c r="V471" s="2" t="str">
        <x:v>2026-09-30</x:v>
      </x:c>
      <x:c r="W471" s="2" t="str">
        <x:v>https://www.e-stat.go.jp/stat-search/file-download?statInfId=000040417940&amp;fileKind=0</x:v>
      </x:c>
      <x:c r="X471" s="2" t="str">
        <x:v>海上出入貨物!145行、コンテナ個数!30行</x:v>
      </x:c>
      <x:c r="Y471" s="2" t="str">
        <x:v>欠測（原表－）</x:v>
      </x:c>
      <x:c r="Z471" s="9" t="str">
        <x:f>IF(AND(ISNUMBER(E471),COUNTIFS($A$2:$A$477,EDATE(A471,-12),$B$2:$B$477,B471,$E$2:$E$477,"&gt;0")=1),E471/SUMIFS($E$2:$E$477,$A$2:$A$477,EDATE(A471,-12),$B$2:$B$477,B471)-1,"")</x:f>
      </x:c>
      <x:c r="AA471" s="10" t="str">
        <x:f>IF(COUNTIFS($A$2:$A$477,"&gt;="&amp;EDATE(A471,-2),$A$2:$A$477,"&lt;="&amp;A471,$B$2:$B$477,B471,$E$2:$E$477,"&gt;=0")=3,SUMIFS($E$2:$E$477,$A$2:$A$477,"&gt;="&amp;EDATE(A471,-2),$A$2:$A$477,"&lt;="&amp;A471,$B$2:$B$477,B471)/3,"")</x:f>
      </x:c>
      <x:c r="AB471" s="9" t="str">
        <x:f>IF(AND(ISNUMBER(J471),COUNTIFS($A$2:$A$477,EDATE(A471,-12),$B$2:$B$477,B471,$J$2:$J$477,"&gt;0")=1),J471/SUMIFS($J$2:$J$477,$A$2:$A$477,EDATE(A471,-12),$B$2:$B$477,B471)-1,"")</x:f>
      </x:c>
    </x:row>
    <x:row r="472" ht="21" customHeight="1">
      <x:c r="A472" s="7" t="n">
        <x:v>46235</x:v>
      </x:c>
      <x:c r="B472" s="2" t="str">
        <x:v>東京</x:v>
      </x:c>
      <x:c r="C472" s="2" t="str">
        <x:v>東京都</x:v>
      </x:c>
      <x:c r="D472" s="8" t="str">
        <x:v>-</x:v>
      </x:c>
      <x:c r="E472" s="8" t="str">
        <x:v>-</x:v>
      </x:c>
      <x:c r="F472" s="8" t="str">
        <x:v>-</x:v>
      </x:c>
      <x:c r="G472" s="8" t="str">
        <x:v>-</x:v>
      </x:c>
      <x:c r="H472" s="8" t="str">
        <x:v>-</x:v>
      </x:c>
      <x:c r="I472" s="8" t="str">
        <x:v>-</x:v>
      </x:c>
      <x:c r="J472" s="8" t="str">
        <x:v>-</x:v>
      </x:c>
      <x:c r="K472" s="8" t="str">
        <x:v>-</x:v>
      </x:c>
      <x:c r="L472" s="8" t="str">
        <x:v>-</x:v>
      </x:c>
      <x:c r="M472" s="8" t="str">
        <x:v>-</x:v>
      </x:c>
      <x:c r="N472" s="8" t="str">
        <x:v>-</x:v>
      </x:c>
      <x:c r="O472" s="8" t="str">
        <x:v>-</x:v>
      </x:c>
      <x:c r="P472" s="8" t="str">
        <x:v>-</x:v>
      </x:c>
      <x:c r="Q472" s="8" t="str">
        <x:v>-</x:v>
      </x:c>
      <x:c r="R472" s="8" t="str">
        <x:v>-</x:v>
      </x:c>
      <x:c r="S472" s="8" t="str">
        <x:v>-</x:v>
      </x:c>
      <x:c r="T472" s="8" t="str">
        <x:v>-</x:v>
      </x:c>
      <x:c r="U472" s="2" t="str">
        <x:v>2026年9月24日現在</x:v>
      </x:c>
      <x:c r="V472" s="2" t="str">
        <x:v>2026-09-30</x:v>
      </x:c>
      <x:c r="W472" s="2" t="str">
        <x:v>https://www.e-stat.go.jp/stat-search/file-download?statInfId=000040417940&amp;fileKind=0</x:v>
      </x:c>
      <x:c r="X472" s="2" t="str">
        <x:v>海上出入貨物!211行、コンテナ個数!41行</x:v>
      </x:c>
      <x:c r="Y472" s="2" t="str">
        <x:v>欠測（原表－）</x:v>
      </x:c>
      <x:c r="Z472" s="9" t="str">
        <x:f>IF(AND(ISNUMBER(E472),COUNTIFS($A$2:$A$477,EDATE(A472,-12),$B$2:$B$477,B472,$E$2:$E$477,"&gt;0")=1),E472/SUMIFS($E$2:$E$477,$A$2:$A$477,EDATE(A472,-12),$B$2:$B$477,B472)-1,"")</x:f>
      </x:c>
      <x:c r="AA472" s="10" t="str">
        <x:f>IF(COUNTIFS($A$2:$A$477,"&gt;="&amp;EDATE(A472,-2),$A$2:$A$477,"&lt;="&amp;A472,$B$2:$B$477,B472,$E$2:$E$477,"&gt;=0")=3,SUMIFS($E$2:$E$477,$A$2:$A$477,"&gt;="&amp;EDATE(A472,-2),$A$2:$A$477,"&lt;="&amp;A472,$B$2:$B$477,B472)/3,"")</x:f>
      </x:c>
      <x:c r="AB472" s="9" t="str">
        <x:f>IF(AND(ISNUMBER(J472),COUNTIFS($A$2:$A$477,EDATE(A472,-12),$B$2:$B$477,B472,$J$2:$J$477,"&gt;0")=1),J472/SUMIFS($J$2:$J$477,$A$2:$A$477,EDATE(A472,-12),$B$2:$B$477,B472)-1,"")</x:f>
      </x:c>
    </x:row>
    <x:row r="473" ht="21" customHeight="1">
      <x:c r="A473" s="7" t="n">
        <x:v>46235</x:v>
      </x:c>
      <x:c r="B473" s="2" t="str">
        <x:v>横浜</x:v>
      </x:c>
      <x:c r="C473" s="2" t="str">
        <x:v>神奈川県</x:v>
      </x:c>
      <x:c r="D473" s="8" t="str">
        <x:v>-</x:v>
      </x:c>
      <x:c r="E473" s="8" t="str">
        <x:v>-</x:v>
      </x:c>
      <x:c r="F473" s="8" t="str">
        <x:v>-</x:v>
      </x:c>
      <x:c r="G473" s="8" t="str">
        <x:v>-</x:v>
      </x:c>
      <x:c r="H473" s="8" t="str">
        <x:v>-</x:v>
      </x:c>
      <x:c r="I473" s="8" t="str">
        <x:v>-</x:v>
      </x:c>
      <x:c r="J473" s="8" t="str">
        <x:v>-</x:v>
      </x:c>
      <x:c r="K473" s="8" t="str">
        <x:v>-</x:v>
      </x:c>
      <x:c r="L473" s="8" t="str">
        <x:v>-</x:v>
      </x:c>
      <x:c r="M473" s="8" t="str">
        <x:v>-</x:v>
      </x:c>
      <x:c r="N473" s="8" t="str">
        <x:v>-</x:v>
      </x:c>
      <x:c r="O473" s="8" t="str">
        <x:v>-</x:v>
      </x:c>
      <x:c r="P473" s="8" t="str">
        <x:v>-</x:v>
      </x:c>
      <x:c r="Q473" s="8" t="str">
        <x:v>-</x:v>
      </x:c>
      <x:c r="R473" s="8" t="str">
        <x:v>-</x:v>
      </x:c>
      <x:c r="S473" s="8" t="str">
        <x:v>-</x:v>
      </x:c>
      <x:c r="T473" s="8" t="str">
        <x:v>-</x:v>
      </x:c>
      <x:c r="U473" s="2" t="str">
        <x:v>2026年9月24日現在</x:v>
      </x:c>
      <x:c r="V473" s="2" t="str">
        <x:v>2026-09-30</x:v>
      </x:c>
      <x:c r="W473" s="2" t="str">
        <x:v>https://www.e-stat.go.jp/stat-search/file-download?statInfId=000040417940&amp;fileKind=0</x:v>
      </x:c>
      <x:c r="X473" s="2" t="str">
        <x:v>海上出入貨物!223行、コンテナ個数!43行</x:v>
      </x:c>
      <x:c r="Y473" s="2" t="str">
        <x:v>欠測（原表－）</x:v>
      </x:c>
      <x:c r="Z473" s="9" t="str">
        <x:f>IF(AND(ISNUMBER(E473),COUNTIFS($A$2:$A$477,EDATE(A473,-12),$B$2:$B$477,B473,$E$2:$E$477,"&gt;0")=1),E473/SUMIFS($E$2:$E$477,$A$2:$A$477,EDATE(A473,-12),$B$2:$B$477,B473)-1,"")</x:f>
      </x:c>
      <x:c r="AA473" s="10" t="str">
        <x:f>IF(COUNTIFS($A$2:$A$477,"&gt;="&amp;EDATE(A473,-2),$A$2:$A$477,"&lt;="&amp;A473,$B$2:$B$477,B473,$E$2:$E$477,"&gt;=0")=3,SUMIFS($E$2:$E$477,$A$2:$A$477,"&gt;="&amp;EDATE(A473,-2),$A$2:$A$477,"&lt;="&amp;A473,$B$2:$B$477,B473)/3,"")</x:f>
      </x:c>
      <x:c r="AB473" s="9" t="str">
        <x:f>IF(AND(ISNUMBER(J473),COUNTIFS($A$2:$A$477,EDATE(A473,-12),$B$2:$B$477,B473,$J$2:$J$477,"&gt;0")=1),J473/SUMIFS($J$2:$J$477,$A$2:$A$477,EDATE(A473,-12),$B$2:$B$477,B473)-1,"")</x:f>
      </x:c>
    </x:row>
    <x:row r="474" ht="21" customHeight="1">
      <x:c r="A474" s="7" t="n">
        <x:v>46235</x:v>
      </x:c>
      <x:c r="B474" s="2" t="str">
        <x:v>清水</x:v>
      </x:c>
      <x:c r="C474" s="2" t="str">
        <x:v>静岡県</x:v>
      </x:c>
      <x:c r="D474" s="8" t="str">
        <x:v>-</x:v>
      </x:c>
      <x:c r="E474" s="8" t="str">
        <x:v>-</x:v>
      </x:c>
      <x:c r="F474" s="8" t="str">
        <x:v>-</x:v>
      </x:c>
      <x:c r="G474" s="8" t="str">
        <x:v>-</x:v>
      </x:c>
      <x:c r="H474" s="8" t="str">
        <x:v>-</x:v>
      </x:c>
      <x:c r="I474" s="8" t="str">
        <x:v>-</x:v>
      </x:c>
      <x:c r="J474" s="8" t="str">
        <x:v>-</x:v>
      </x:c>
      <x:c r="K474" s="8" t="str">
        <x:v>-</x:v>
      </x:c>
      <x:c r="L474" s="8" t="str">
        <x:v>-</x:v>
      </x:c>
      <x:c r="M474" s="8" t="str">
        <x:v>-</x:v>
      </x:c>
      <x:c r="N474" s="8" t="str">
        <x:v>-</x:v>
      </x:c>
      <x:c r="O474" s="8" t="str">
        <x:v>-</x:v>
      </x:c>
      <x:c r="P474" s="8" t="str">
        <x:v>-</x:v>
      </x:c>
      <x:c r="Q474" s="8" t="str">
        <x:v>-</x:v>
      </x:c>
      <x:c r="R474" s="8" t="str">
        <x:v>-</x:v>
      </x:c>
      <x:c r="S474" s="8" t="str">
        <x:v>-</x:v>
      </x:c>
      <x:c r="T474" s="8" t="str">
        <x:v>-</x:v>
      </x:c>
      <x:c r="U474" s="2" t="str">
        <x:v>2026年9月24日現在</x:v>
      </x:c>
      <x:c r="V474" s="2" t="str">
        <x:v>2026-09-30</x:v>
      </x:c>
      <x:c r="W474" s="2" t="str">
        <x:v>https://www.e-stat.go.jp/stat-search/file-download?statInfId=000040417940&amp;fileKind=0</x:v>
      </x:c>
      <x:c r="X474" s="2" t="str">
        <x:v>海上出入貨物!313行、コンテナ個数!58行</x:v>
      </x:c>
      <x:c r="Y474" s="2" t="str">
        <x:v>欠測（原表－）</x:v>
      </x:c>
      <x:c r="Z474" s="9" t="str">
        <x:f>IF(AND(ISNUMBER(E474),COUNTIFS($A$2:$A$477,EDATE(A474,-12),$B$2:$B$477,B474,$E$2:$E$477,"&gt;0")=1),E474/SUMIFS($E$2:$E$477,$A$2:$A$477,EDATE(A474,-12),$B$2:$B$477,B474)-1,"")</x:f>
      </x:c>
      <x:c r="AA474" s="10" t="str">
        <x:f>IF(COUNTIFS($A$2:$A$477,"&gt;="&amp;EDATE(A474,-2),$A$2:$A$477,"&lt;="&amp;A474,$B$2:$B$477,B474,$E$2:$E$477,"&gt;=0")=3,SUMIFS($E$2:$E$477,$A$2:$A$477,"&gt;="&amp;EDATE(A474,-2),$A$2:$A$477,"&lt;="&amp;A474,$B$2:$B$477,B474)/3,"")</x:f>
      </x:c>
      <x:c r="AB474" s="9" t="str">
        <x:f>IF(AND(ISNUMBER(J474),COUNTIFS($A$2:$A$477,EDATE(A474,-12),$B$2:$B$477,B474,$J$2:$J$477,"&gt;0")=1),J474/SUMIFS($J$2:$J$477,$A$2:$A$477,EDATE(A474,-12),$B$2:$B$477,B474)-1,"")</x:f>
      </x:c>
    </x:row>
    <x:row r="475" ht="21" customHeight="1">
      <x:c r="A475" s="7" t="n">
        <x:v>46235</x:v>
      </x:c>
      <x:c r="B475" s="2" t="str">
        <x:v>博多</x:v>
      </x:c>
      <x:c r="C475" s="2" t="str">
        <x:v>福岡県</x:v>
      </x:c>
      <x:c r="D475" s="8" t="str">
        <x:v>-</x:v>
      </x:c>
      <x:c r="E475" s="8" t="str">
        <x:v>-</x:v>
      </x:c>
      <x:c r="F475" s="8" t="str">
        <x:v>-</x:v>
      </x:c>
      <x:c r="G475" s="8" t="str">
        <x:v>-</x:v>
      </x:c>
      <x:c r="H475" s="8" t="str">
        <x:v>-</x:v>
      </x:c>
      <x:c r="I475" s="8" t="str">
        <x:v>-</x:v>
      </x:c>
      <x:c r="J475" s="8" t="str">
        <x:v>-</x:v>
      </x:c>
      <x:c r="K475" s="8" t="str">
        <x:v>-</x:v>
      </x:c>
      <x:c r="L475" s="8" t="str">
        <x:v>-</x:v>
      </x:c>
      <x:c r="M475" s="8" t="str">
        <x:v>-</x:v>
      </x:c>
      <x:c r="N475" s="8" t="str">
        <x:v>-</x:v>
      </x:c>
      <x:c r="O475" s="8" t="str">
        <x:v>-</x:v>
      </x:c>
      <x:c r="P475" s="8" t="str">
        <x:v>-</x:v>
      </x:c>
      <x:c r="Q475" s="8" t="str">
        <x:v>-</x:v>
      </x:c>
      <x:c r="R475" s="8" t="str">
        <x:v>-</x:v>
      </x:c>
      <x:c r="S475" s="8" t="str">
        <x:v>-</x:v>
      </x:c>
      <x:c r="T475" s="8" t="str">
        <x:v>-</x:v>
      </x:c>
      <x:c r="U475" s="2" t="str">
        <x:v>2026年9月24日現在</x:v>
      </x:c>
      <x:c r="V475" s="2" t="str">
        <x:v>2026-09-30</x:v>
      </x:c>
      <x:c r="W475" s="2" t="str">
        <x:v>https://www.e-stat.go.jp/stat-search/file-download?statInfId=000040417940&amp;fileKind=0</x:v>
      </x:c>
      <x:c r="X475" s="2" t="str">
        <x:v>海上出入貨物!721行、コンテナ個数!126行</x:v>
      </x:c>
      <x:c r="Y475" s="2" t="str">
        <x:v>欠測（原表－）</x:v>
      </x:c>
      <x:c r="Z475" s="9" t="str">
        <x:f>IF(AND(ISNUMBER(E475),COUNTIFS($A$2:$A$477,EDATE(A475,-12),$B$2:$B$477,B475,$E$2:$E$477,"&gt;0")=1),E475/SUMIFS($E$2:$E$477,$A$2:$A$477,EDATE(A475,-12),$B$2:$B$477,B475)-1,"")</x:f>
      </x:c>
      <x:c r="AA475" s="10" t="str">
        <x:f>IF(COUNTIFS($A$2:$A$477,"&gt;="&amp;EDATE(A475,-2),$A$2:$A$477,"&lt;="&amp;A475,$B$2:$B$477,B475,$E$2:$E$477,"&gt;=0")=3,SUMIFS($E$2:$E$477,$A$2:$A$477,"&gt;="&amp;EDATE(A475,-2),$A$2:$A$477,"&lt;="&amp;A475,$B$2:$B$477,B475)/3,"")</x:f>
      </x:c>
      <x:c r="AB475" s="9" t="str">
        <x:f>IF(AND(ISNUMBER(J475),COUNTIFS($A$2:$A$477,EDATE(A475,-12),$B$2:$B$477,B475,$J$2:$J$477,"&gt;0")=1),J475/SUMIFS($J$2:$J$477,$A$2:$A$477,EDATE(A475,-12),$B$2:$B$477,B475)-1,"")</x:f>
      </x:c>
    </x:row>
    <x:row r="476" ht="21" customHeight="1">
      <x:c r="A476" s="7" t="n">
        <x:v>46235</x:v>
      </x:c>
      <x:c r="B476" s="2" t="str">
        <x:v>熊本</x:v>
      </x:c>
      <x:c r="C476" s="2" t="str">
        <x:v>熊本県</x:v>
      </x:c>
      <x:c r="D476" s="8" t="str">
        <x:v>-</x:v>
      </x:c>
      <x:c r="E476" s="8" t="str">
        <x:v>-</x:v>
      </x:c>
      <x:c r="F476" s="8" t="str">
        <x:v>-</x:v>
      </x:c>
      <x:c r="G476" s="8" t="str">
        <x:v>-</x:v>
      </x:c>
      <x:c r="H476" s="8" t="str">
        <x:v>-</x:v>
      </x:c>
      <x:c r="I476" s="8" t="str">
        <x:v>-</x:v>
      </x:c>
      <x:c r="J476" s="8" t="str">
        <x:v>-</x:v>
      </x:c>
      <x:c r="K476" s="8" t="str">
        <x:v>-</x:v>
      </x:c>
      <x:c r="L476" s="8" t="str">
        <x:v>-</x:v>
      </x:c>
      <x:c r="M476" s="8" t="str">
        <x:v>-</x:v>
      </x:c>
      <x:c r="N476" s="8" t="str">
        <x:v>-</x:v>
      </x:c>
      <x:c r="O476" s="8" t="str">
        <x:v>-</x:v>
      </x:c>
      <x:c r="P476" s="8" t="str">
        <x:v>-</x:v>
      </x:c>
      <x:c r="Q476" s="8" t="str">
        <x:v>-</x:v>
      </x:c>
      <x:c r="R476" s="8" t="str">
        <x:v>-</x:v>
      </x:c>
      <x:c r="S476" s="8" t="str">
        <x:v>-</x:v>
      </x:c>
      <x:c r="T476" s="8" t="str">
        <x:v>-</x:v>
      </x:c>
      <x:c r="U476" s="2" t="str">
        <x:v>2026年9月24日現在</x:v>
      </x:c>
      <x:c r="V476" s="2" t="str">
        <x:v>2026-09-30</x:v>
      </x:c>
      <x:c r="W476" s="2" t="str">
        <x:v>https://www.e-stat.go.jp/stat-search/file-download?statInfId=000040417940&amp;fileKind=0</x:v>
      </x:c>
      <x:c r="X476" s="2" t="str">
        <x:v>海上出入貨物!829行、コンテナ個数!144行</x:v>
      </x:c>
      <x:c r="Y476" s="2" t="str">
        <x:v>欠測（原表－）</x:v>
      </x:c>
      <x:c r="Z476" s="9" t="str">
        <x:f>IF(AND(ISNUMBER(E476),COUNTIFS($A$2:$A$477,EDATE(A476,-12),$B$2:$B$477,B476,$E$2:$E$477,"&gt;0")=1),E476/SUMIFS($E$2:$E$477,$A$2:$A$477,EDATE(A476,-12),$B$2:$B$477,B476)-1,"")</x:f>
      </x:c>
      <x:c r="AA476" s="10" t="str">
        <x:f>IF(COUNTIFS($A$2:$A$477,"&gt;="&amp;EDATE(A476,-2),$A$2:$A$477,"&lt;="&amp;A476,$B$2:$B$477,B476,$E$2:$E$477,"&gt;=0")=3,SUMIFS($E$2:$E$477,$A$2:$A$477,"&gt;="&amp;EDATE(A476,-2),$A$2:$A$477,"&lt;="&amp;A476,$B$2:$B$477,B476)/3,"")</x:f>
      </x:c>
      <x:c r="AB476" s="9" t="str">
        <x:f>IF(AND(ISNUMBER(J476),COUNTIFS($A$2:$A$477,EDATE(A476,-12),$B$2:$B$477,B476,$J$2:$J$477,"&gt;0")=1),J476/SUMIFS($J$2:$J$477,$A$2:$A$477,EDATE(A476,-12),$B$2:$B$477,B476)-1,"")</x:f>
      </x:c>
    </x:row>
    <x:row r="477" ht="21" customHeight="1">
      <x:c r="A477" s="7" t="n">
        <x:v>46235</x:v>
      </x:c>
      <x:c r="B477" s="2" t="str">
        <x:v>八代</x:v>
      </x:c>
      <x:c r="C477" s="2" t="str">
        <x:v>熊本県</x:v>
      </x:c>
      <x:c r="D477" s="8" t="str">
        <x:v>-</x:v>
      </x:c>
      <x:c r="E477" s="8" t="str">
        <x:v>-</x:v>
      </x:c>
      <x:c r="F477" s="8" t="str">
        <x:v>-</x:v>
      </x:c>
      <x:c r="G477" s="8" t="str">
        <x:v>-</x:v>
      </x:c>
      <x:c r="H477" s="8" t="str">
        <x:v>-</x:v>
      </x:c>
      <x:c r="I477" s="8" t="str">
        <x:v>-</x:v>
      </x:c>
      <x:c r="J477" s="8" t="str">
        <x:v>-</x:v>
      </x:c>
      <x:c r="K477" s="8" t="str">
        <x:v>-</x:v>
      </x:c>
      <x:c r="L477" s="8" t="str">
        <x:v>-</x:v>
      </x:c>
      <x:c r="M477" s="8" t="str">
        <x:v>-</x:v>
      </x:c>
      <x:c r="N477" s="8" t="str">
        <x:v>-</x:v>
      </x:c>
      <x:c r="O477" s="8" t="str">
        <x:v>-</x:v>
      </x:c>
      <x:c r="P477" s="8" t="str">
        <x:v>-</x:v>
      </x:c>
      <x:c r="Q477" s="8" t="str">
        <x:v>-</x:v>
      </x:c>
      <x:c r="R477" s="8" t="str">
        <x:v>-</x:v>
      </x:c>
      <x:c r="S477" s="8" t="str">
        <x:v>-</x:v>
      </x:c>
      <x:c r="T477" s="8" t="str">
        <x:v>-</x:v>
      </x:c>
      <x:c r="U477" s="2" t="str">
        <x:v>2026年9月24日現在</x:v>
      </x:c>
      <x:c r="V477" s="2" t="str">
        <x:v>2026-09-30</x:v>
      </x:c>
      <x:c r="W477" s="2" t="str">
        <x:v>https://www.e-stat.go.jp/stat-search/file-download?statInfId=000040417940&amp;fileKind=0</x:v>
      </x:c>
      <x:c r="X477" s="2" t="str">
        <x:v>海上出入貨物!817行、コンテナ個数!142行</x:v>
      </x:c>
      <x:c r="Y477" s="2" t="str">
        <x:v>欠測（原表－）</x:v>
      </x:c>
      <x:c r="Z477" s="9" t="str">
        <x:f>IF(AND(ISNUMBER(E477),COUNTIFS($A$2:$A$477,EDATE(A477,-12),$B$2:$B$477,B477,$E$2:$E$477,"&gt;0")=1),E477/SUMIFS($E$2:$E$477,$A$2:$A$477,EDATE(A477,-12),$B$2:$B$477,B477)-1,"")</x:f>
      </x:c>
      <x:c r="AA477" s="10" t="str">
        <x:f>IF(COUNTIFS($A$2:$A$477,"&gt;="&amp;EDATE(A477,-2),$A$2:$A$477,"&lt;="&amp;A477,$B$2:$B$477,B477,$E$2:$E$477,"&gt;=0")=3,SUMIFS($E$2:$E$477,$A$2:$A$477,"&gt;="&amp;EDATE(A477,-2),$A$2:$A$477,"&lt;="&amp;A477,$B$2:$B$477,B477)/3,"")</x:f>
      </x:c>
      <x:c r="AB477" s="9" t="str">
        <x:f>IF(AND(ISNUMBER(J477),COUNTIFS($A$2:$A$477,EDATE(A477,-12),$B$2:$B$477,B477,$J$2:$J$477,"&gt;0")=1),J477/SUMIFS($J$2:$J$477,$A$2:$A$477,EDATE(A477,-12),$B$2:$B$477,B477)-1,"")</x:f>
      </x:c>
    </x:row>
  </x:sheetData>
  <x:conditionalFormatting sqref="Y2:Y477">
    <x:cfRule type="containsText" dxfId="0" priority="1" operator="containsText" text="欠測"/>
  </x:conditionalFormatting>
  <x:pageMargins left="0.7" right="0.7" top="0.75" bottom="0.75" header="0.3" footer="0.3"/>
  <x:tableParts count="1">
    <x:tablePart xmlns:r="http://schemas.openxmlformats.org/officeDocument/2006/relationships" r:id="R351b3b9de89e44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31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3" hidden="0" customWidth="1"/>
    <x:col min="13" max="13" width="70" hidden="0" customWidth="1"/>
    <x:col min="14" max="14" width="70" hidden="0" customWidth="1"/>
  </x:cols>
  <x:sheetData>
    <x:row r="1" ht="43" customHeight="1">
      <x:c r="A1" s="6" t="str">
        <x:v>年月</x:v>
      </x:c>
      <x:c r="B1" s="6" t="str">
        <x:v>観測地点ID</x:v>
      </x:c>
      <x:c r="C1" s="6" t="str">
        <x:v>地点名</x:v>
      </x:c>
      <x:c r="D1" s="6" t="str">
        <x:v>路線</x:v>
      </x:c>
      <x:c r="E1" s="6" t="str">
        <x:v>所在地</x:v>
      </x:c>
      <x:c r="F1" s="6" t="str">
        <x:v>日区分</x:v>
      </x:c>
      <x:c r="G1" s="6" t="str">
        <x:v>全車平均
台/日</x:v>
      </x:c>
      <x:c r="H1" s="6" t="str">
        <x:v>小型車平均
台/日</x:v>
      </x:c>
      <x:c r="I1" s="6" t="str">
        <x:v>大型車平均
台/日</x:v>
      </x:c>
      <x:c r="J1" s="6" t="str">
        <x:v>大型車比率</x:v>
      </x:c>
      <x:c r="K1" s="6" t="str">
        <x:v>大型車
前年比</x:v>
      </x:c>
      <x:c r="L1" s="6" t="str">
        <x:v>取得状況</x:v>
      </x:c>
      <x:c r="M1" s="6" t="str">
        <x:v>交通量データURL</x:v>
      </x:c>
      <x:c r="N1" s="6" t="str">
        <x:v>地点情報URL</x:v>
      </x:c>
    </x:row>
    <x:row r="2" ht="21" customHeight="1">
      <x:c r="A2" s="7" t="n">
        <x:v>45383</x:v>
      </x:c>
      <x:c r="B2" s="2" t="str">
        <x:v>9110050</x:v>
      </x:c>
      <x:c r="C2" s="2" t="str">
        <x:v>八代</x:v>
      </x:c>
      <x:c r="D2" s="2" t="str">
        <x:v>一般国道3号</x:v>
      </x:c>
      <x:c r="E2" s="2" t="str">
        <x:v>八代市福正元町</x:v>
      </x:c>
      <x:c r="F2" s="2" t="str">
        <x:v>休日</x:v>
      </x:c>
      <x:c r="G2" s="8" t="n">
        <x:v>19300</x:v>
      </x:c>
      <x:c r="H2" s="8" t="n">
        <x:v>17900</x:v>
      </x:c>
      <x:c r="I2" s="8" t="n">
        <x:v>1400</x:v>
      </x:c>
      <x:c r="J2" s="9" t="n">
        <x:f>IF(AND(ISNUMBER(I2),ISNUMBER(G2),G2&gt;0),I2/G2,"")</x:f>
        <x:v>0.07253886010362694</x:v>
      </x:c>
      <x:c r="K2" s="9" t="str">
        <x:f>IF(AND(ISNUMBER(I2),COUNTIFS($A$2:$A$313,EDATE(A2,-12),$B$2:$B$313,B2,$F$2:$F$313,F2,$I$2:$I$313,"&gt;0")=1),I2/SUMIFS($I$2:$I$313,$A$2:$A$313,EDATE(A2,-12),$B$2:$B$313,B2,$F$2:$F$313,F2)-1,"")</x:f>
      </x:c>
      <x:c r="L2" s="2" t="str">
        <x:v>取得済</x:v>
      </x:c>
      <x:c r="M2" s="2" t="str">
        <x:v>https://www.qsr.mlit.go.jp/n-michi/useful/kotsuryo/shukei/data/tcdata.json</x:v>
      </x:c>
      <x:c r="N2" s="2" t="str">
        <x:v>https://www.qsr.mlit.go.jp/n-michi/useful/kotsuryo/shukei/data/tcmas.json</x:v>
      </x:c>
    </x:row>
    <x:row r="3" ht="21" customHeight="1">
      <x:c r="A3" s="7" t="n">
        <x:v>45383</x:v>
      </x:c>
      <x:c r="B3" s="2" t="str">
        <x:v>9110050</x:v>
      </x:c>
      <x:c r="C3" s="2" t="str">
        <x:v>八代</x:v>
      </x:c>
      <x:c r="D3" s="2" t="str">
        <x:v>一般国道3号</x:v>
      </x:c>
      <x:c r="E3" s="2" t="str">
        <x:v>八代市福正元町</x:v>
      </x:c>
      <x:c r="F3" s="2" t="str">
        <x:v>全日</x:v>
      </x:c>
      <x:c r="G3" s="8" t="n">
        <x:v>20600</x:v>
      </x:c>
      <x:c r="H3" s="8" t="n">
        <x:v>18100</x:v>
      </x:c>
      <x:c r="I3" s="8" t="n">
        <x:v>2500</x:v>
      </x:c>
      <x:c r="J3" s="9" t="n">
        <x:f>IF(AND(ISNUMBER(I3),ISNUMBER(G3),G3&gt;0),I3/G3,"")</x:f>
        <x:v>0.12135922330097088</x:v>
      </x:c>
      <x:c r="K3" s="9" t="str">
        <x:f>IF(AND(ISNUMBER(I3),COUNTIFS($A$2:$A$313,EDATE(A3,-12),$B$2:$B$313,B3,$F$2:$F$313,F3,$I$2:$I$313,"&gt;0")=1),I3/SUMIFS($I$2:$I$313,$A$2:$A$313,EDATE(A3,-12),$B$2:$B$313,B3,$F$2:$F$313,F3)-1,"")</x:f>
      </x:c>
      <x:c r="L3" s="2" t="str">
        <x:v>取得済</x:v>
      </x:c>
      <x:c r="M3" s="2" t="str">
        <x:v>https://www.qsr.mlit.go.jp/n-michi/useful/kotsuryo/shukei/data/tcdata.json</x:v>
      </x:c>
      <x:c r="N3" s="2" t="str">
        <x:v>https://www.qsr.mlit.go.jp/n-michi/useful/kotsuryo/shukei/data/tcmas.json</x:v>
      </x:c>
    </x:row>
    <x:row r="4" ht="21" customHeight="1">
      <x:c r="A4" s="7" t="n">
        <x:v>45383</x:v>
      </x:c>
      <x:c r="B4" s="2" t="str">
        <x:v>9110050</x:v>
      </x:c>
      <x:c r="C4" s="2" t="str">
        <x:v>八代</x:v>
      </x:c>
      <x:c r="D4" s="2" t="str">
        <x:v>一般国道3号</x:v>
      </x:c>
      <x:c r="E4" s="2" t="str">
        <x:v>八代市福正元町</x:v>
      </x:c>
      <x:c r="F4" s="2" t="str">
        <x:v>平日</x:v>
      </x:c>
      <x:c r="G4" s="8" t="n">
        <x:v>21200</x:v>
      </x:c>
      <x:c r="H4" s="8" t="n">
        <x:v>18200</x:v>
      </x:c>
      <x:c r="I4" s="8" t="n">
        <x:v>3000</x:v>
      </x:c>
      <x:c r="J4" s="9" t="n">
        <x:f>IF(AND(ISNUMBER(I4),ISNUMBER(G4),G4&gt;0),I4/G4,"")</x:f>
        <x:v>0.14150943396226415</x:v>
      </x:c>
      <x:c r="K4" s="9" t="str">
        <x:f>IF(AND(ISNUMBER(I4),COUNTIFS($A$2:$A$313,EDATE(A4,-12),$B$2:$B$313,B4,$F$2:$F$313,F4,$I$2:$I$313,"&gt;0")=1),I4/SUMIFS($I$2:$I$313,$A$2:$A$313,EDATE(A4,-12),$B$2:$B$313,B4,$F$2:$F$313,F4)-1,"")</x:f>
      </x:c>
      <x:c r="L4" s="2" t="str">
        <x:v>取得済</x:v>
      </x:c>
      <x:c r="M4" s="2" t="str">
        <x:v>https://www.qsr.mlit.go.jp/n-michi/useful/kotsuryo/shukei/data/tcdata.json</x:v>
      </x:c>
      <x:c r="N4" s="2" t="str">
        <x:v>https://www.qsr.mlit.go.jp/n-michi/useful/kotsuryo/shukei/data/tcmas.json</x:v>
      </x:c>
    </x:row>
    <x:row r="5" ht="21" customHeight="1">
      <x:c r="A5" s="7" t="n">
        <x:v>45383</x:v>
      </x:c>
      <x:c r="B5" s="2" t="str">
        <x:v>9310130</x:v>
      </x:c>
      <x:c r="C5" s="2" t="str">
        <x:v>大津</x:v>
      </x:c>
      <x:c r="D5" s="2" t="str">
        <x:v>一般国道57号</x:v>
      </x:c>
      <x:c r="E5" s="2" t="str">
        <x:v>菊池郡大津町室</x:v>
      </x:c>
      <x:c r="F5" s="2" t="str">
        <x:v>休日</x:v>
      </x:c>
      <x:c r="G5" s="8" t="n">
        <x:v>30300</x:v>
      </x:c>
      <x:c r="H5" s="8" t="n">
        <x:v>29000</x:v>
      </x:c>
      <x:c r="I5" s="8" t="n">
        <x:v>1300</x:v>
      </x:c>
      <x:c r="J5" s="9" t="n">
        <x:f>IF(AND(ISNUMBER(I5),ISNUMBER(G5),G5&gt;0),I5/G5,"")</x:f>
        <x:v>0.0429042904290429</x:v>
      </x:c>
      <x:c r="K5" s="9" t="str">
        <x:f>IF(AND(ISNUMBER(I5),COUNTIFS($A$2:$A$313,EDATE(A5,-12),$B$2:$B$313,B5,$F$2:$F$313,F5,$I$2:$I$313,"&gt;0")=1),I5/SUMIFS($I$2:$I$313,$A$2:$A$313,EDATE(A5,-12),$B$2:$B$313,B5,$F$2:$F$313,F5)-1,"")</x:f>
      </x:c>
      <x:c r="L5" s="2" t="str">
        <x:v>取得済</x:v>
      </x:c>
      <x:c r="M5" s="2" t="str">
        <x:v>https://www.qsr.mlit.go.jp/n-michi/useful/kotsuryo/shukei/data/tcdata.json</x:v>
      </x:c>
      <x:c r="N5" s="2" t="str">
        <x:v>https://www.qsr.mlit.go.jp/n-michi/useful/kotsuryo/shukei/data/tcmas.json</x:v>
      </x:c>
    </x:row>
    <x:row r="6" ht="21" customHeight="1">
      <x:c r="A6" s="7" t="n">
        <x:v>45383</x:v>
      </x:c>
      <x:c r="B6" s="2" t="str">
        <x:v>9310130</x:v>
      </x:c>
      <x:c r="C6" s="2" t="str">
        <x:v>大津</x:v>
      </x:c>
      <x:c r="D6" s="2" t="str">
        <x:v>一般国道57号</x:v>
      </x:c>
      <x:c r="E6" s="2" t="str">
        <x:v>菊池郡大津町室</x:v>
      </x:c>
      <x:c r="F6" s="2" t="str">
        <x:v>全日</x:v>
      </x:c>
      <x:c r="G6" s="8" t="n">
        <x:v>29300</x:v>
      </x:c>
      <x:c r="H6" s="8" t="n">
        <x:v>27000</x:v>
      </x:c>
      <x:c r="I6" s="8" t="n">
        <x:v>2300</x:v>
      </x:c>
      <x:c r="J6" s="9" t="n">
        <x:f>IF(AND(ISNUMBER(I6),ISNUMBER(G6),G6&gt;0),I6/G6,"")</x:f>
        <x:v>0.07849829351535836</x:v>
      </x:c>
      <x:c r="K6" s="9" t="str">
        <x:f>IF(AND(ISNUMBER(I6),COUNTIFS($A$2:$A$313,EDATE(A6,-12),$B$2:$B$313,B6,$F$2:$F$313,F6,$I$2:$I$313,"&gt;0")=1),I6/SUMIFS($I$2:$I$313,$A$2:$A$313,EDATE(A6,-12),$B$2:$B$313,B6,$F$2:$F$313,F6)-1,"")</x:f>
      </x:c>
      <x:c r="L6" s="2" t="str">
        <x:v>取得済</x:v>
      </x:c>
      <x:c r="M6" s="2" t="str">
        <x:v>https://www.qsr.mlit.go.jp/n-michi/useful/kotsuryo/shukei/data/tcdata.json</x:v>
      </x:c>
      <x:c r="N6" s="2" t="str">
        <x:v>https://www.qsr.mlit.go.jp/n-michi/useful/kotsuryo/shukei/data/tcmas.json</x:v>
      </x:c>
    </x:row>
    <x:row r="7" ht="21" customHeight="1">
      <x:c r="A7" s="7" t="n">
        <x:v>45383</x:v>
      </x:c>
      <x:c r="B7" s="2" t="str">
        <x:v>9310130</x:v>
      </x:c>
      <x:c r="C7" s="2" t="str">
        <x:v>大津</x:v>
      </x:c>
      <x:c r="D7" s="2" t="str">
        <x:v>一般国道57号</x:v>
      </x:c>
      <x:c r="E7" s="2" t="str">
        <x:v>菊池郡大津町室</x:v>
      </x:c>
      <x:c r="F7" s="2" t="str">
        <x:v>平日</x:v>
      </x:c>
      <x:c r="G7" s="8" t="n">
        <x:v>28800</x:v>
      </x:c>
      <x:c r="H7" s="8" t="n">
        <x:v>26200</x:v>
      </x:c>
      <x:c r="I7" s="8" t="n">
        <x:v>2600</x:v>
      </x:c>
      <x:c r="J7" s="9" t="n">
        <x:f>IF(AND(ISNUMBER(I7),ISNUMBER(G7),G7&gt;0),I7/G7,"")</x:f>
        <x:v>0.09027777777777778</x:v>
      </x:c>
      <x:c r="K7" s="9" t="str">
        <x:f>IF(AND(ISNUMBER(I7),COUNTIFS($A$2:$A$313,EDATE(A7,-12),$B$2:$B$313,B7,$F$2:$F$313,F7,$I$2:$I$313,"&gt;0")=1),I7/SUMIFS($I$2:$I$313,$A$2:$A$313,EDATE(A7,-12),$B$2:$B$313,B7,$F$2:$F$313,F7)-1,"")</x:f>
      </x:c>
      <x:c r="L7" s="2" t="str">
        <x:v>取得済</x:v>
      </x:c>
      <x:c r="M7" s="2" t="str">
        <x:v>https://www.qsr.mlit.go.jp/n-michi/useful/kotsuryo/shukei/data/tcdata.json</x:v>
      </x:c>
      <x:c r="N7" s="2" t="str">
        <x:v>https://www.qsr.mlit.go.jp/n-michi/useful/kotsuryo/shukei/data/tcmas.json</x:v>
      </x:c>
    </x:row>
    <x:row r="8" ht="21" customHeight="1">
      <x:c r="A8" s="7" t="n">
        <x:v>45383</x:v>
      </x:c>
      <x:c r="B8" s="2" t="str">
        <x:v>9310140</x:v>
      </x:c>
      <x:c r="C8" s="2" t="str">
        <x:v>新南部</x:v>
      </x:c>
      <x:c r="D8" s="2" t="str">
        <x:v>一般国道57号</x:v>
      </x:c>
      <x:c r="E8" s="2" t="str">
        <x:v>熊本市東区下南部</x:v>
      </x:c>
      <x:c r="F8" s="2" t="str">
        <x:v>休日</x:v>
      </x:c>
      <x:c r="G8" s="8" t="n">
        <x:v>42200</x:v>
      </x:c>
      <x:c r="H8" s="8" t="n">
        <x:v>39600</x:v>
      </x:c>
      <x:c r="I8" s="8" t="n">
        <x:v>2600</x:v>
      </x:c>
      <x:c r="J8" s="9" t="n">
        <x:f>IF(AND(ISNUMBER(I8),ISNUMBER(G8),G8&gt;0),I8/G8,"")</x:f>
        <x:v>0.061611374407582936</x:v>
      </x:c>
      <x:c r="K8" s="9" t="str">
        <x:f>IF(AND(ISNUMBER(I8),COUNTIFS($A$2:$A$313,EDATE(A8,-12),$B$2:$B$313,B8,$F$2:$F$313,F8,$I$2:$I$313,"&gt;0")=1),I8/SUMIFS($I$2:$I$313,$A$2:$A$313,EDATE(A8,-12),$B$2:$B$313,B8,$F$2:$F$313,F8)-1,"")</x:f>
      </x:c>
      <x:c r="L8" s="2" t="str">
        <x:v>取得済</x:v>
      </x:c>
      <x:c r="M8" s="2" t="str">
        <x:v>https://www.qsr.mlit.go.jp/n-michi/useful/kotsuryo/shukei/data/tcdata.json</x:v>
      </x:c>
      <x:c r="N8" s="2" t="str">
        <x:v>https://www.qsr.mlit.go.jp/n-michi/useful/kotsuryo/shukei/data/tcmas.json</x:v>
      </x:c>
    </x:row>
    <x:row r="9" ht="21" customHeight="1">
      <x:c r="A9" s="7" t="n">
        <x:v>45383</x:v>
      </x:c>
      <x:c r="B9" s="2" t="str">
        <x:v>9310140</x:v>
      </x:c>
      <x:c r="C9" s="2" t="str">
        <x:v>新南部</x:v>
      </x:c>
      <x:c r="D9" s="2" t="str">
        <x:v>一般国道57号</x:v>
      </x:c>
      <x:c r="E9" s="2" t="str">
        <x:v>熊本市東区下南部</x:v>
      </x:c>
      <x:c r="F9" s="2" t="str">
        <x:v>全日</x:v>
      </x:c>
      <x:c r="G9" s="8" t="n">
        <x:v>43400</x:v>
      </x:c>
      <x:c r="H9" s="8" t="n">
        <x:v>39200</x:v>
      </x:c>
      <x:c r="I9" s="8" t="n">
        <x:v>4200</x:v>
      </x:c>
      <x:c r="J9" s="9" t="n">
        <x:f>IF(AND(ISNUMBER(I9),ISNUMBER(G9),G9&gt;0),I9/G9,"")</x:f>
        <x:v>0.0967741935483871</x:v>
      </x:c>
      <x:c r="K9" s="9" t="str">
        <x:f>IF(AND(ISNUMBER(I9),COUNTIFS($A$2:$A$313,EDATE(A9,-12),$B$2:$B$313,B9,$F$2:$F$313,F9,$I$2:$I$313,"&gt;0")=1),I9/SUMIFS($I$2:$I$313,$A$2:$A$313,EDATE(A9,-12),$B$2:$B$313,B9,$F$2:$F$313,F9)-1,"")</x:f>
      </x:c>
      <x:c r="L9" s="2" t="str">
        <x:v>取得済</x:v>
      </x:c>
      <x:c r="M9" s="2" t="str">
        <x:v>https://www.qsr.mlit.go.jp/n-michi/useful/kotsuryo/shukei/data/tcdata.json</x:v>
      </x:c>
      <x:c r="N9" s="2" t="str">
        <x:v>https://www.qsr.mlit.go.jp/n-michi/useful/kotsuryo/shukei/data/tcmas.json</x:v>
      </x:c>
    </x:row>
    <x:row r="10" ht="21" customHeight="1">
      <x:c r="A10" s="7" t="n">
        <x:v>45383</x:v>
      </x:c>
      <x:c r="B10" s="2" t="str">
        <x:v>9310140</x:v>
      </x:c>
      <x:c r="C10" s="2" t="str">
        <x:v>新南部</x:v>
      </x:c>
      <x:c r="D10" s="2" t="str">
        <x:v>一般国道57号</x:v>
      </x:c>
      <x:c r="E10" s="2" t="str">
        <x:v>熊本市東区下南部</x:v>
      </x:c>
      <x:c r="F10" s="2" t="str">
        <x:v>平日</x:v>
      </x:c>
      <x:c r="G10" s="8" t="n">
        <x:v>43900</x:v>
      </x:c>
      <x:c r="H10" s="8" t="n">
        <x:v>39000</x:v>
      </x:c>
      <x:c r="I10" s="8" t="n">
        <x:v>4900</x:v>
      </x:c>
      <x:c r="J10" s="9" t="n">
        <x:f>IF(AND(ISNUMBER(I10),ISNUMBER(G10),G10&gt;0),I10/G10,"")</x:f>
        <x:v>0.11161731207289294</x:v>
      </x:c>
      <x:c r="K10" s="9" t="str">
        <x:f>IF(AND(ISNUMBER(I10),COUNTIFS($A$2:$A$313,EDATE(A10,-12),$B$2:$B$313,B10,$F$2:$F$313,F10,$I$2:$I$313,"&gt;0")=1),I10/SUMIFS($I$2:$I$313,$A$2:$A$313,EDATE(A10,-12),$B$2:$B$313,B10,$F$2:$F$313,F10)-1,"")</x:f>
      </x:c>
      <x:c r="L10" s="2" t="str">
        <x:v>取得済</x:v>
      </x:c>
      <x:c r="M10" s="2" t="str">
        <x:v>https://www.qsr.mlit.go.jp/n-michi/useful/kotsuryo/shukei/data/tcdata.json</x:v>
      </x:c>
      <x:c r="N10" s="2" t="str">
        <x:v>https://www.qsr.mlit.go.jp/n-michi/useful/kotsuryo/shukei/data/tcmas.json</x:v>
      </x:c>
    </x:row>
    <x:row r="11" ht="21" customHeight="1">
      <x:c r="A11" s="7" t="n">
        <x:v>45383</x:v>
      </x:c>
      <x:c r="B11" s="2" t="str">
        <x:v>9110030</x:v>
      </x:c>
      <x:c r="C11" s="2" t="str">
        <x:v>熊本</x:v>
      </x:c>
      <x:c r="D11" s="2" t="str">
        <x:v>一般国道3号</x:v>
      </x:c>
      <x:c r="E11" s="2" t="str">
        <x:v>熊本市南区南高江</x:v>
      </x:c>
      <x:c r="F11" s="2" t="str">
        <x:v>休日</x:v>
      </x:c>
      <x:c r="G11" s="8" t="n">
        <x:v>35600</x:v>
      </x:c>
      <x:c r="H11" s="8" t="n">
        <x:v>33600</x:v>
      </x:c>
      <x:c r="I11" s="8" t="n">
        <x:v>2000</x:v>
      </x:c>
      <x:c r="J11" s="9" t="n">
        <x:f>IF(AND(ISNUMBER(I11),ISNUMBER(G11),G11&gt;0),I11/G11,"")</x:f>
        <x:v>0.056179775280898875</x:v>
      </x:c>
      <x:c r="K11" s="9" t="str">
        <x:f>IF(AND(ISNUMBER(I11),COUNTIFS($A$2:$A$313,EDATE(A11,-12),$B$2:$B$313,B11,$F$2:$F$313,F11,$I$2:$I$313,"&gt;0")=1),I11/SUMIFS($I$2:$I$313,$A$2:$A$313,EDATE(A11,-12),$B$2:$B$313,B11,$F$2:$F$313,F11)-1,"")</x:f>
      </x:c>
      <x:c r="L11" s="2" t="str">
        <x:v>取得済</x:v>
      </x:c>
      <x:c r="M11" s="2" t="str">
        <x:v>https://www.qsr.mlit.go.jp/n-michi/useful/kotsuryo/shukei/data/tcdata.json</x:v>
      </x:c>
      <x:c r="N11" s="2" t="str">
        <x:v>https://www.qsr.mlit.go.jp/n-michi/useful/kotsuryo/shukei/data/tcmas.json</x:v>
      </x:c>
    </x:row>
    <x:row r="12" ht="21" customHeight="1">
      <x:c r="A12" s="7" t="n">
        <x:v>45383</x:v>
      </x:c>
      <x:c r="B12" s="2" t="str">
        <x:v>9110030</x:v>
      </x:c>
      <x:c r="C12" s="2" t="str">
        <x:v>熊本</x:v>
      </x:c>
      <x:c r="D12" s="2" t="str">
        <x:v>一般国道3号</x:v>
      </x:c>
      <x:c r="E12" s="2" t="str">
        <x:v>熊本市南区南高江</x:v>
      </x:c>
      <x:c r="F12" s="2" t="str">
        <x:v>全日</x:v>
      </x:c>
      <x:c r="G12" s="8" t="n">
        <x:v>35100</x:v>
      </x:c>
      <x:c r="H12" s="8" t="n">
        <x:v>31800</x:v>
      </x:c>
      <x:c r="I12" s="8" t="n">
        <x:v>3300</x:v>
      </x:c>
      <x:c r="J12" s="9" t="n">
        <x:f>IF(AND(ISNUMBER(I12),ISNUMBER(G12),G12&gt;0),I12/G12,"")</x:f>
        <x:v>0.09401709401709402</x:v>
      </x:c>
      <x:c r="K12" s="9" t="str">
        <x:f>IF(AND(ISNUMBER(I12),COUNTIFS($A$2:$A$313,EDATE(A12,-12),$B$2:$B$313,B12,$F$2:$F$313,F12,$I$2:$I$313,"&gt;0")=1),I12/SUMIFS($I$2:$I$313,$A$2:$A$313,EDATE(A12,-12),$B$2:$B$313,B12,$F$2:$F$313,F12)-1,"")</x:f>
      </x:c>
      <x:c r="L12" s="2" t="str">
        <x:v>取得済</x:v>
      </x:c>
      <x:c r="M12" s="2" t="str">
        <x:v>https://www.qsr.mlit.go.jp/n-michi/useful/kotsuryo/shukei/data/tcdata.json</x:v>
      </x:c>
      <x:c r="N12" s="2" t="str">
        <x:v>https://www.qsr.mlit.go.jp/n-michi/useful/kotsuryo/shukei/data/tcmas.json</x:v>
      </x:c>
    </x:row>
    <x:row r="13" ht="21" customHeight="1">
      <x:c r="A13" s="7" t="n">
        <x:v>45383</x:v>
      </x:c>
      <x:c r="B13" s="2" t="str">
        <x:v>9110030</x:v>
      </x:c>
      <x:c r="C13" s="2" t="str">
        <x:v>熊本</x:v>
      </x:c>
      <x:c r="D13" s="2" t="str">
        <x:v>一般国道3号</x:v>
      </x:c>
      <x:c r="E13" s="2" t="str">
        <x:v>熊本市南区南高江</x:v>
      </x:c>
      <x:c r="F13" s="2" t="str">
        <x:v>平日</x:v>
      </x:c>
      <x:c r="G13" s="8" t="n">
        <x:v>34900</x:v>
      </x:c>
      <x:c r="H13" s="8" t="n">
        <x:v>31100</x:v>
      </x:c>
      <x:c r="I13" s="8" t="n">
        <x:v>3800</x:v>
      </x:c>
      <x:c r="J13" s="9" t="n">
        <x:f>IF(AND(ISNUMBER(I13),ISNUMBER(G13),G13&gt;0),I13/G13,"")</x:f>
        <x:v>0.10888252148997135</x:v>
      </x:c>
      <x:c r="K13" s="9" t="str">
        <x:f>IF(AND(ISNUMBER(I13),COUNTIFS($A$2:$A$313,EDATE(A13,-12),$B$2:$B$313,B13,$F$2:$F$313,F13,$I$2:$I$313,"&gt;0")=1),I13/SUMIFS($I$2:$I$313,$A$2:$A$313,EDATE(A13,-12),$B$2:$B$313,B13,$F$2:$F$313,F13)-1,"")</x:f>
      </x:c>
      <x:c r="L13" s="2" t="str">
        <x:v>取得済</x:v>
      </x:c>
      <x:c r="M13" s="2" t="str">
        <x:v>https://www.qsr.mlit.go.jp/n-michi/useful/kotsuryo/shukei/data/tcdata.json</x:v>
      </x:c>
      <x:c r="N13" s="2" t="str">
        <x:v>https://www.qsr.mlit.go.jp/n-michi/useful/kotsuryo/shukei/data/tcmas.json</x:v>
      </x:c>
    </x:row>
    <x:row r="14" ht="21" customHeight="1">
      <x:c r="A14" s="7" t="n">
        <x:v>45413</x:v>
      </x:c>
      <x:c r="B14" s="2" t="str">
        <x:v>9110050</x:v>
      </x:c>
      <x:c r="C14" s="2" t="str">
        <x:v>八代</x:v>
      </x:c>
      <x:c r="D14" s="2" t="str">
        <x:v>一般国道3号</x:v>
      </x:c>
      <x:c r="E14" s="2" t="str">
        <x:v>八代市福正元町</x:v>
      </x:c>
      <x:c r="F14" s="2" t="str">
        <x:v>休日</x:v>
      </x:c>
      <x:c r="G14" s="8" t="n">
        <x:v>19700</x:v>
      </x:c>
      <x:c r="H14" s="8" t="n">
        <x:v>18400</x:v>
      </x:c>
      <x:c r="I14" s="8" t="n">
        <x:v>1300</x:v>
      </x:c>
      <x:c r="J14" s="9" t="n">
        <x:f>IF(AND(ISNUMBER(I14),ISNUMBER(G14),G14&gt;0),I14/G14,"")</x:f>
        <x:v>0.06598984771573604</x:v>
      </x:c>
      <x:c r="K14" s="9" t="str">
        <x:f>IF(AND(ISNUMBER(I14),COUNTIFS($A$2:$A$313,EDATE(A14,-12),$B$2:$B$313,B14,$F$2:$F$313,F14,$I$2:$I$313,"&gt;0")=1),I14/SUMIFS($I$2:$I$313,$A$2:$A$313,EDATE(A14,-12),$B$2:$B$313,B14,$F$2:$F$313,F14)-1,"")</x:f>
      </x:c>
      <x:c r="L14" s="2" t="str">
        <x:v>取得済</x:v>
      </x:c>
      <x:c r="M14" s="2" t="str">
        <x:v>https://www.qsr.mlit.go.jp/n-michi/useful/kotsuryo/shukei/data/tcdata.json</x:v>
      </x:c>
      <x:c r="N14" s="2" t="str">
        <x:v>https://www.qsr.mlit.go.jp/n-michi/useful/kotsuryo/shukei/data/tcmas.json</x:v>
      </x:c>
    </x:row>
    <x:row r="15" ht="21" customHeight="1">
      <x:c r="A15" s="7" t="n">
        <x:v>45413</x:v>
      </x:c>
      <x:c r="B15" s="2" t="str">
        <x:v>9110050</x:v>
      </x:c>
      <x:c r="C15" s="2" t="str">
        <x:v>八代</x:v>
      </x:c>
      <x:c r="D15" s="2" t="str">
        <x:v>一般国道3号</x:v>
      </x:c>
      <x:c r="E15" s="2" t="str">
        <x:v>八代市福正元町</x:v>
      </x:c>
      <x:c r="F15" s="2" t="str">
        <x:v>全日</x:v>
      </x:c>
      <x:c r="G15" s="8" t="n">
        <x:v>21100</x:v>
      </x:c>
      <x:c r="H15" s="8" t="n">
        <x:v>18500</x:v>
      </x:c>
      <x:c r="I15" s="8" t="n">
        <x:v>2600</x:v>
      </x:c>
      <x:c r="J15" s="9" t="n">
        <x:f>IF(AND(ISNUMBER(I15),ISNUMBER(G15),G15&gt;0),I15/G15,"")</x:f>
        <x:v>0.12322274881516587</x:v>
      </x:c>
      <x:c r="K15" s="9" t="str">
        <x:f>IF(AND(ISNUMBER(I15),COUNTIFS($A$2:$A$313,EDATE(A15,-12),$B$2:$B$313,B15,$F$2:$F$313,F15,$I$2:$I$313,"&gt;0")=1),I15/SUMIFS($I$2:$I$313,$A$2:$A$313,EDATE(A15,-12),$B$2:$B$313,B15,$F$2:$F$313,F15)-1,"")</x:f>
      </x:c>
      <x:c r="L15" s="2" t="str">
        <x:v>取得済</x:v>
      </x:c>
      <x:c r="M15" s="2" t="str">
        <x:v>https://www.qsr.mlit.go.jp/n-michi/useful/kotsuryo/shukei/data/tcdata.json</x:v>
      </x:c>
      <x:c r="N15" s="2" t="str">
        <x:v>https://www.qsr.mlit.go.jp/n-michi/useful/kotsuryo/shukei/data/tcmas.json</x:v>
      </x:c>
    </x:row>
    <x:row r="16" ht="21" customHeight="1">
      <x:c r="A16" s="7" t="n">
        <x:v>45413</x:v>
      </x:c>
      <x:c r="B16" s="2" t="str">
        <x:v>9110050</x:v>
      </x:c>
      <x:c r="C16" s="2" t="str">
        <x:v>八代</x:v>
      </x:c>
      <x:c r="D16" s="2" t="str">
        <x:v>一般国道3号</x:v>
      </x:c>
      <x:c r="E16" s="2" t="str">
        <x:v>八代市福正元町</x:v>
      </x:c>
      <x:c r="F16" s="2" t="str">
        <x:v>平日</x:v>
      </x:c>
      <x:c r="G16" s="8" t="n">
        <x:v>21800</x:v>
      </x:c>
      <x:c r="H16" s="8" t="n">
        <x:v>18600</x:v>
      </x:c>
      <x:c r="I16" s="8" t="n">
        <x:v>3200</x:v>
      </x:c>
      <x:c r="J16" s="9" t="n">
        <x:f>IF(AND(ISNUMBER(I16),ISNUMBER(G16),G16&gt;0),I16/G16,"")</x:f>
        <x:v>0.14678899082568808</x:v>
      </x:c>
      <x:c r="K16" s="9" t="str">
        <x:f>IF(AND(ISNUMBER(I16),COUNTIFS($A$2:$A$313,EDATE(A16,-12),$B$2:$B$313,B16,$F$2:$F$313,F16,$I$2:$I$313,"&gt;0")=1),I16/SUMIFS($I$2:$I$313,$A$2:$A$313,EDATE(A16,-12),$B$2:$B$313,B16,$F$2:$F$313,F16)-1,"")</x:f>
      </x:c>
      <x:c r="L16" s="2" t="str">
        <x:v>取得済</x:v>
      </x:c>
      <x:c r="M16" s="2" t="str">
        <x:v>https://www.qsr.mlit.go.jp/n-michi/useful/kotsuryo/shukei/data/tcdata.json</x:v>
      </x:c>
      <x:c r="N16" s="2" t="str">
        <x:v>https://www.qsr.mlit.go.jp/n-michi/useful/kotsuryo/shukei/data/tcmas.json</x:v>
      </x:c>
    </x:row>
    <x:row r="17" ht="21" customHeight="1">
      <x:c r="A17" s="7" t="n">
        <x:v>45413</x:v>
      </x:c>
      <x:c r="B17" s="2" t="str">
        <x:v>9310130</x:v>
      </x:c>
      <x:c r="C17" s="2" t="str">
        <x:v>大津</x:v>
      </x:c>
      <x:c r="D17" s="2" t="str">
        <x:v>一般国道57号</x:v>
      </x:c>
      <x:c r="E17" s="2" t="str">
        <x:v>菊池郡大津町室</x:v>
      </x:c>
      <x:c r="F17" s="2" t="str">
        <x:v>休日</x:v>
      </x:c>
      <x:c r="G17" s="8" t="n">
        <x:v>30500</x:v>
      </x:c>
      <x:c r="H17" s="8" t="n">
        <x:v>29300</x:v>
      </x:c>
      <x:c r="I17" s="8" t="n">
        <x:v>1200</x:v>
      </x:c>
      <x:c r="J17" s="9" t="n">
        <x:f>IF(AND(ISNUMBER(I17),ISNUMBER(G17),G17&gt;0),I17/G17,"")</x:f>
        <x:v>0.03934426229508197</x:v>
      </x:c>
      <x:c r="K17" s="9" t="str">
        <x:f>IF(AND(ISNUMBER(I17),COUNTIFS($A$2:$A$313,EDATE(A17,-12),$B$2:$B$313,B17,$F$2:$F$313,F17,$I$2:$I$313,"&gt;0")=1),I17/SUMIFS($I$2:$I$313,$A$2:$A$313,EDATE(A17,-12),$B$2:$B$313,B17,$F$2:$F$313,F17)-1,"")</x:f>
      </x:c>
      <x:c r="L17" s="2" t="str">
        <x:v>取得済</x:v>
      </x:c>
      <x:c r="M17" s="2" t="str">
        <x:v>https://www.qsr.mlit.go.jp/n-michi/useful/kotsuryo/shukei/data/tcdata.json</x:v>
      </x:c>
      <x:c r="N17" s="2" t="str">
        <x:v>https://www.qsr.mlit.go.jp/n-michi/useful/kotsuryo/shukei/data/tcmas.json</x:v>
      </x:c>
    </x:row>
    <x:row r="18" ht="21" customHeight="1">
      <x:c r="A18" s="7" t="n">
        <x:v>45413</x:v>
      </x:c>
      <x:c r="B18" s="2" t="str">
        <x:v>9310130</x:v>
      </x:c>
      <x:c r="C18" s="2" t="str">
        <x:v>大津</x:v>
      </x:c>
      <x:c r="D18" s="2" t="str">
        <x:v>一般国道57号</x:v>
      </x:c>
      <x:c r="E18" s="2" t="str">
        <x:v>菊池郡大津町室</x:v>
      </x:c>
      <x:c r="F18" s="2" t="str">
        <x:v>全日</x:v>
      </x:c>
      <x:c r="G18" s="8" t="n">
        <x:v>29500</x:v>
      </x:c>
      <x:c r="H18" s="8" t="n">
        <x:v>27300</x:v>
      </x:c>
      <x:c r="I18" s="8" t="n">
        <x:v>2200</x:v>
      </x:c>
      <x:c r="J18" s="9" t="n">
        <x:f>IF(AND(ISNUMBER(I18),ISNUMBER(G18),G18&gt;0),I18/G18,"")</x:f>
        <x:v>0.07457627118644068</x:v>
      </x:c>
      <x:c r="K18" s="9" t="str">
        <x:f>IF(AND(ISNUMBER(I18),COUNTIFS($A$2:$A$313,EDATE(A18,-12),$B$2:$B$313,B18,$F$2:$F$313,F18,$I$2:$I$313,"&gt;0")=1),I18/SUMIFS($I$2:$I$313,$A$2:$A$313,EDATE(A18,-12),$B$2:$B$313,B18,$F$2:$F$313,F18)-1,"")</x:f>
      </x:c>
      <x:c r="L18" s="2" t="str">
        <x:v>取得済</x:v>
      </x:c>
      <x:c r="M18" s="2" t="str">
        <x:v>https://www.qsr.mlit.go.jp/n-michi/useful/kotsuryo/shukei/data/tcdata.json</x:v>
      </x:c>
      <x:c r="N18" s="2" t="str">
        <x:v>https://www.qsr.mlit.go.jp/n-michi/useful/kotsuryo/shukei/data/tcmas.json</x:v>
      </x:c>
    </x:row>
    <x:row r="19" ht="21" customHeight="1">
      <x:c r="A19" s="7" t="n">
        <x:v>45413</x:v>
      </x:c>
      <x:c r="B19" s="2" t="str">
        <x:v>9310130</x:v>
      </x:c>
      <x:c r="C19" s="2" t="str">
        <x:v>大津</x:v>
      </x:c>
      <x:c r="D19" s="2" t="str">
        <x:v>一般国道57号</x:v>
      </x:c>
      <x:c r="E19" s="2" t="str">
        <x:v>菊池郡大津町室</x:v>
      </x:c>
      <x:c r="F19" s="2" t="str">
        <x:v>平日</x:v>
      </x:c>
      <x:c r="G19" s="8" t="n">
        <x:v>28900</x:v>
      </x:c>
      <x:c r="H19" s="8" t="n">
        <x:v>26400</x:v>
      </x:c>
      <x:c r="I19" s="8" t="n">
        <x:v>2500</x:v>
      </x:c>
      <x:c r="J19" s="9" t="n">
        <x:f>IF(AND(ISNUMBER(I19),ISNUMBER(G19),G19&gt;0),I19/G19,"")</x:f>
        <x:v>0.08650519031141868</x:v>
      </x:c>
      <x:c r="K19" s="9" t="str">
        <x:f>IF(AND(ISNUMBER(I19),COUNTIFS($A$2:$A$313,EDATE(A19,-12),$B$2:$B$313,B19,$F$2:$F$313,F19,$I$2:$I$313,"&gt;0")=1),I19/SUMIFS($I$2:$I$313,$A$2:$A$313,EDATE(A19,-12),$B$2:$B$313,B19,$F$2:$F$313,F19)-1,"")</x:f>
      </x:c>
      <x:c r="L19" s="2" t="str">
        <x:v>取得済</x:v>
      </x:c>
      <x:c r="M19" s="2" t="str">
        <x:v>https://www.qsr.mlit.go.jp/n-michi/useful/kotsuryo/shukei/data/tcdata.json</x:v>
      </x:c>
      <x:c r="N19" s="2" t="str">
        <x:v>https://www.qsr.mlit.go.jp/n-michi/useful/kotsuryo/shukei/data/tcmas.json</x:v>
      </x:c>
    </x:row>
    <x:row r="20" ht="21" customHeight="1">
      <x:c r="A20" s="7" t="n">
        <x:v>45413</x:v>
      </x:c>
      <x:c r="B20" s="2" t="str">
        <x:v>9310140</x:v>
      </x:c>
      <x:c r="C20" s="2" t="str">
        <x:v>新南部</x:v>
      </x:c>
      <x:c r="D20" s="2" t="str">
        <x:v>一般国道57号</x:v>
      </x:c>
      <x:c r="E20" s="2" t="str">
        <x:v>熊本市東区下南部</x:v>
      </x:c>
      <x:c r="F20" s="2" t="str">
        <x:v>休日</x:v>
      </x:c>
      <x:c r="G20" s="8" t="n">
        <x:v>41200</x:v>
      </x:c>
      <x:c r="H20" s="8" t="n">
        <x:v>38800</x:v>
      </x:c>
      <x:c r="I20" s="8" t="n">
        <x:v>2400</x:v>
      </x:c>
      <x:c r="J20" s="9" t="n">
        <x:f>IF(AND(ISNUMBER(I20),ISNUMBER(G20),G20&gt;0),I20/G20,"")</x:f>
        <x:v>0.05825242718446602</x:v>
      </x:c>
      <x:c r="K20" s="9" t="str">
        <x:f>IF(AND(ISNUMBER(I20),COUNTIFS($A$2:$A$313,EDATE(A20,-12),$B$2:$B$313,B20,$F$2:$F$313,F20,$I$2:$I$313,"&gt;0")=1),I20/SUMIFS($I$2:$I$313,$A$2:$A$313,EDATE(A20,-12),$B$2:$B$313,B20,$F$2:$F$313,F20)-1,"")</x:f>
      </x:c>
      <x:c r="L20" s="2" t="str">
        <x:v>取得済</x:v>
      </x:c>
      <x:c r="M20" s="2" t="str">
        <x:v>https://www.qsr.mlit.go.jp/n-michi/useful/kotsuryo/shukei/data/tcdata.json</x:v>
      </x:c>
      <x:c r="N20" s="2" t="str">
        <x:v>https://www.qsr.mlit.go.jp/n-michi/useful/kotsuryo/shukei/data/tcmas.json</x:v>
      </x:c>
    </x:row>
    <x:row r="21" ht="21" customHeight="1">
      <x:c r="A21" s="7" t="n">
        <x:v>45413</x:v>
      </x:c>
      <x:c r="B21" s="2" t="str">
        <x:v>9310140</x:v>
      </x:c>
      <x:c r="C21" s="2" t="str">
        <x:v>新南部</x:v>
      </x:c>
      <x:c r="D21" s="2" t="str">
        <x:v>一般国道57号</x:v>
      </x:c>
      <x:c r="E21" s="2" t="str">
        <x:v>熊本市東区下南部</x:v>
      </x:c>
      <x:c r="F21" s="2" t="str">
        <x:v>全日</x:v>
      </x:c>
      <x:c r="G21" s="8" t="n">
        <x:v>43200</x:v>
      </x:c>
      <x:c r="H21" s="8" t="n">
        <x:v>39100</x:v>
      </x:c>
      <x:c r="I21" s="8" t="n">
        <x:v>4100</x:v>
      </x:c>
      <x:c r="J21" s="9" t="n">
        <x:f>IF(AND(ISNUMBER(I21),ISNUMBER(G21),G21&gt;0),I21/G21,"")</x:f>
        <x:v>0.09490740740740741</x:v>
      </x:c>
      <x:c r="K21" s="9" t="str">
        <x:f>IF(AND(ISNUMBER(I21),COUNTIFS($A$2:$A$313,EDATE(A21,-12),$B$2:$B$313,B21,$F$2:$F$313,F21,$I$2:$I$313,"&gt;0")=1),I21/SUMIFS($I$2:$I$313,$A$2:$A$313,EDATE(A21,-12),$B$2:$B$313,B21,$F$2:$F$313,F21)-1,"")</x:f>
      </x:c>
      <x:c r="L21" s="2" t="str">
        <x:v>取得済</x:v>
      </x:c>
      <x:c r="M21" s="2" t="str">
        <x:v>https://www.qsr.mlit.go.jp/n-michi/useful/kotsuryo/shukei/data/tcdata.json</x:v>
      </x:c>
      <x:c r="N21" s="2" t="str">
        <x:v>https://www.qsr.mlit.go.jp/n-michi/useful/kotsuryo/shukei/data/tcmas.json</x:v>
      </x:c>
    </x:row>
    <x:row r="22" ht="21" customHeight="1">
      <x:c r="A22" s="7" t="n">
        <x:v>45413</x:v>
      </x:c>
      <x:c r="B22" s="2" t="str">
        <x:v>9310140</x:v>
      </x:c>
      <x:c r="C22" s="2" t="str">
        <x:v>新南部</x:v>
      </x:c>
      <x:c r="D22" s="2" t="str">
        <x:v>一般国道57号</x:v>
      </x:c>
      <x:c r="E22" s="2" t="str">
        <x:v>熊本市東区下南部</x:v>
      </x:c>
      <x:c r="F22" s="2" t="str">
        <x:v>平日</x:v>
      </x:c>
      <x:c r="G22" s="8" t="n">
        <x:v>44200</x:v>
      </x:c>
      <x:c r="H22" s="8" t="n">
        <x:v>39200</x:v>
      </x:c>
      <x:c r="I22" s="8" t="n">
        <x:v>5000</x:v>
      </x:c>
      <x:c r="J22" s="9" t="n">
        <x:f>IF(AND(ISNUMBER(I22),ISNUMBER(G22),G22&gt;0),I22/G22,"")</x:f>
        <x:v>0.11312217194570136</x:v>
      </x:c>
      <x:c r="K22" s="9" t="str">
        <x:f>IF(AND(ISNUMBER(I22),COUNTIFS($A$2:$A$313,EDATE(A22,-12),$B$2:$B$313,B22,$F$2:$F$313,F22,$I$2:$I$313,"&gt;0")=1),I22/SUMIFS($I$2:$I$313,$A$2:$A$313,EDATE(A22,-12),$B$2:$B$313,B22,$F$2:$F$313,F22)-1,"")</x:f>
      </x:c>
      <x:c r="L22" s="2" t="str">
        <x:v>取得済</x:v>
      </x:c>
      <x:c r="M22" s="2" t="str">
        <x:v>https://www.qsr.mlit.go.jp/n-michi/useful/kotsuryo/shukei/data/tcdata.json</x:v>
      </x:c>
      <x:c r="N22" s="2" t="str">
        <x:v>https://www.qsr.mlit.go.jp/n-michi/useful/kotsuryo/shukei/data/tcmas.json</x:v>
      </x:c>
    </x:row>
    <x:row r="23" ht="21" customHeight="1">
      <x:c r="A23" s="7" t="n">
        <x:v>45413</x:v>
      </x:c>
      <x:c r="B23" s="2" t="str">
        <x:v>9110030</x:v>
      </x:c>
      <x:c r="C23" s="2" t="str">
        <x:v>熊本</x:v>
      </x:c>
      <x:c r="D23" s="2" t="str">
        <x:v>一般国道3号</x:v>
      </x:c>
      <x:c r="E23" s="2" t="str">
        <x:v>熊本市南区南高江</x:v>
      </x:c>
      <x:c r="F23" s="2" t="str">
        <x:v>休日</x:v>
      </x:c>
      <x:c r="G23" s="8" t="n">
        <x:v>34700</x:v>
      </x:c>
      <x:c r="H23" s="8" t="n">
        <x:v>32900</x:v>
      </x:c>
      <x:c r="I23" s="8" t="n">
        <x:v>1800</x:v>
      </x:c>
      <x:c r="J23" s="9" t="n">
        <x:f>IF(AND(ISNUMBER(I23),ISNUMBER(G23),G23&gt;0),I23/G23,"")</x:f>
        <x:v>0.05187319884726225</x:v>
      </x:c>
      <x:c r="K23" s="9" t="str">
        <x:f>IF(AND(ISNUMBER(I23),COUNTIFS($A$2:$A$313,EDATE(A23,-12),$B$2:$B$313,B23,$F$2:$F$313,F23,$I$2:$I$313,"&gt;0")=1),I23/SUMIFS($I$2:$I$313,$A$2:$A$313,EDATE(A23,-12),$B$2:$B$313,B23,$F$2:$F$313,F23)-1,"")</x:f>
      </x:c>
      <x:c r="L23" s="2" t="str">
        <x:v>取得済</x:v>
      </x:c>
      <x:c r="M23" s="2" t="str">
        <x:v>https://www.qsr.mlit.go.jp/n-michi/useful/kotsuryo/shukei/data/tcdata.json</x:v>
      </x:c>
      <x:c r="N23" s="2" t="str">
        <x:v>https://www.qsr.mlit.go.jp/n-michi/useful/kotsuryo/shukei/data/tcmas.json</x:v>
      </x:c>
    </x:row>
    <x:row r="24" ht="21" customHeight="1">
      <x:c r="A24" s="7" t="n">
        <x:v>45413</x:v>
      </x:c>
      <x:c r="B24" s="2" t="str">
        <x:v>9110030</x:v>
      </x:c>
      <x:c r="C24" s="2" t="str">
        <x:v>熊本</x:v>
      </x:c>
      <x:c r="D24" s="2" t="str">
        <x:v>一般国道3号</x:v>
      </x:c>
      <x:c r="E24" s="2" t="str">
        <x:v>熊本市南区南高江</x:v>
      </x:c>
      <x:c r="F24" s="2" t="str">
        <x:v>全日</x:v>
      </x:c>
      <x:c r="G24" s="8" t="n">
        <x:v>34900</x:v>
      </x:c>
      <x:c r="H24" s="8" t="n">
        <x:v>31800</x:v>
      </x:c>
      <x:c r="I24" s="8" t="n">
        <x:v>3100</x:v>
      </x:c>
      <x:c r="J24" s="9" t="n">
        <x:f>IF(AND(ISNUMBER(I24),ISNUMBER(G24),G24&gt;0),I24/G24,"")</x:f>
        <x:v>0.08882521489971347</x:v>
      </x:c>
      <x:c r="K24" s="9" t="str">
        <x:f>IF(AND(ISNUMBER(I24),COUNTIFS($A$2:$A$313,EDATE(A24,-12),$B$2:$B$313,B24,$F$2:$F$313,F24,$I$2:$I$313,"&gt;0")=1),I24/SUMIFS($I$2:$I$313,$A$2:$A$313,EDATE(A24,-12),$B$2:$B$313,B24,$F$2:$F$313,F24)-1,"")</x:f>
      </x:c>
      <x:c r="L24" s="2" t="str">
        <x:v>取得済</x:v>
      </x:c>
      <x:c r="M24" s="2" t="str">
        <x:v>https://www.qsr.mlit.go.jp/n-michi/useful/kotsuryo/shukei/data/tcdata.json</x:v>
      </x:c>
      <x:c r="N24" s="2" t="str">
        <x:v>https://www.qsr.mlit.go.jp/n-michi/useful/kotsuryo/shukei/data/tcmas.json</x:v>
      </x:c>
    </x:row>
    <x:row r="25" ht="21" customHeight="1">
      <x:c r="A25" s="7" t="n">
        <x:v>45413</x:v>
      </x:c>
      <x:c r="B25" s="2" t="str">
        <x:v>9110030</x:v>
      </x:c>
      <x:c r="C25" s="2" t="str">
        <x:v>熊本</x:v>
      </x:c>
      <x:c r="D25" s="2" t="str">
        <x:v>一般国道3号</x:v>
      </x:c>
      <x:c r="E25" s="2" t="str">
        <x:v>熊本市南区南高江</x:v>
      </x:c>
      <x:c r="F25" s="2" t="str">
        <x:v>平日</x:v>
      </x:c>
      <x:c r="G25" s="8" t="n">
        <x:v>35000</x:v>
      </x:c>
      <x:c r="H25" s="8" t="n">
        <x:v>31200</x:v>
      </x:c>
      <x:c r="I25" s="8" t="n">
        <x:v>3800</x:v>
      </x:c>
      <x:c r="J25" s="9" t="n">
        <x:f>IF(AND(ISNUMBER(I25),ISNUMBER(G25),G25&gt;0),I25/G25,"")</x:f>
        <x:v>0.10857142857142857</x:v>
      </x:c>
      <x:c r="K25" s="9" t="str">
        <x:f>IF(AND(ISNUMBER(I25),COUNTIFS($A$2:$A$313,EDATE(A25,-12),$B$2:$B$313,B25,$F$2:$F$313,F25,$I$2:$I$313,"&gt;0")=1),I25/SUMIFS($I$2:$I$313,$A$2:$A$313,EDATE(A25,-12),$B$2:$B$313,B25,$F$2:$F$313,F25)-1,"")</x:f>
      </x:c>
      <x:c r="L25" s="2" t="str">
        <x:v>取得済</x:v>
      </x:c>
      <x:c r="M25" s="2" t="str">
        <x:v>https://www.qsr.mlit.go.jp/n-michi/useful/kotsuryo/shukei/data/tcdata.json</x:v>
      </x:c>
      <x:c r="N25" s="2" t="str">
        <x:v>https://www.qsr.mlit.go.jp/n-michi/useful/kotsuryo/shukei/data/tcmas.json</x:v>
      </x:c>
    </x:row>
    <x:row r="26" ht="21" customHeight="1">
      <x:c r="A26" s="7" t="n">
        <x:v>45444</x:v>
      </x:c>
      <x:c r="B26" s="2" t="str">
        <x:v>9110050</x:v>
      </x:c>
      <x:c r="C26" s="2" t="str">
        <x:v>八代</x:v>
      </x:c>
      <x:c r="D26" s="2" t="str">
        <x:v>一般国道3号</x:v>
      </x:c>
      <x:c r="E26" s="2" t="str">
        <x:v>八代市福正元町</x:v>
      </x:c>
      <x:c r="F26" s="2" t="str">
        <x:v>休日</x:v>
      </x:c>
      <x:c r="G26" s="8" t="n">
        <x:v>20200</x:v>
      </x:c>
      <x:c r="H26" s="8" t="n">
        <x:v>18800</x:v>
      </x:c>
      <x:c r="I26" s="8" t="n">
        <x:v>1400</x:v>
      </x:c>
      <x:c r="J26" s="9" t="n">
        <x:f>IF(AND(ISNUMBER(I26),ISNUMBER(G26),G26&gt;0),I26/G26,"")</x:f>
        <x:v>0.06930693069306931</x:v>
      </x:c>
      <x:c r="K26" s="9" t="str">
        <x:f>IF(AND(ISNUMBER(I26),COUNTIFS($A$2:$A$313,EDATE(A26,-12),$B$2:$B$313,B26,$F$2:$F$313,F26,$I$2:$I$313,"&gt;0")=1),I26/SUMIFS($I$2:$I$313,$A$2:$A$313,EDATE(A26,-12),$B$2:$B$313,B26,$F$2:$F$313,F26)-1,"")</x:f>
      </x:c>
      <x:c r="L26" s="2" t="str">
        <x:v>取得済</x:v>
      </x:c>
      <x:c r="M26" s="2" t="str">
        <x:v>https://www.qsr.mlit.go.jp/n-michi/useful/kotsuryo/shukei/data/tcdata.json</x:v>
      </x:c>
      <x:c r="N26" s="2" t="str">
        <x:v>https://www.qsr.mlit.go.jp/n-michi/useful/kotsuryo/shukei/data/tcmas.json</x:v>
      </x:c>
    </x:row>
    <x:row r="27" ht="21" customHeight="1">
      <x:c r="A27" s="7" t="n">
        <x:v>45444</x:v>
      </x:c>
      <x:c r="B27" s="2" t="str">
        <x:v>9110050</x:v>
      </x:c>
      <x:c r="C27" s="2" t="str">
        <x:v>八代</x:v>
      </x:c>
      <x:c r="D27" s="2" t="str">
        <x:v>一般国道3号</x:v>
      </x:c>
      <x:c r="E27" s="2" t="str">
        <x:v>八代市福正元町</x:v>
      </x:c>
      <x:c r="F27" s="2" t="str">
        <x:v>全日</x:v>
      </x:c>
      <x:c r="G27" s="8" t="n">
        <x:v>21300</x:v>
      </x:c>
      <x:c r="H27" s="8" t="n">
        <x:v>18800</x:v>
      </x:c>
      <x:c r="I27" s="8" t="n">
        <x:v>2500</x:v>
      </x:c>
      <x:c r="J27" s="9" t="n">
        <x:f>IF(AND(ISNUMBER(I27),ISNUMBER(G27),G27&gt;0),I27/G27,"")</x:f>
        <x:v>0.11737089201877934</x:v>
      </x:c>
      <x:c r="K27" s="9" t="str">
        <x:f>IF(AND(ISNUMBER(I27),COUNTIFS($A$2:$A$313,EDATE(A27,-12),$B$2:$B$313,B27,$F$2:$F$313,F27,$I$2:$I$313,"&gt;0")=1),I27/SUMIFS($I$2:$I$313,$A$2:$A$313,EDATE(A27,-12),$B$2:$B$313,B27,$F$2:$F$313,F27)-1,"")</x:f>
      </x:c>
      <x:c r="L27" s="2" t="str">
        <x:v>取得済</x:v>
      </x:c>
      <x:c r="M27" s="2" t="str">
        <x:v>https://www.qsr.mlit.go.jp/n-michi/useful/kotsuryo/shukei/data/tcdata.json</x:v>
      </x:c>
      <x:c r="N27" s="2" t="str">
        <x:v>https://www.qsr.mlit.go.jp/n-michi/useful/kotsuryo/shukei/data/tcmas.json</x:v>
      </x:c>
    </x:row>
    <x:row r="28" ht="21" customHeight="1">
      <x:c r="A28" s="7" t="n">
        <x:v>45444</x:v>
      </x:c>
      <x:c r="B28" s="2" t="str">
        <x:v>9110050</x:v>
      </x:c>
      <x:c r="C28" s="2" t="str">
        <x:v>八代</x:v>
      </x:c>
      <x:c r="D28" s="2" t="str">
        <x:v>一般国道3号</x:v>
      </x:c>
      <x:c r="E28" s="2" t="str">
        <x:v>八代市福正元町</x:v>
      </x:c>
      <x:c r="F28" s="2" t="str">
        <x:v>平日</x:v>
      </x:c>
      <x:c r="G28" s="8" t="n">
        <x:v>21800</x:v>
      </x:c>
      <x:c r="H28" s="8" t="n">
        <x:v>18800</x:v>
      </x:c>
      <x:c r="I28" s="8" t="n">
        <x:v>3000</x:v>
      </x:c>
      <x:c r="J28" s="9" t="n">
        <x:f>IF(AND(ISNUMBER(I28),ISNUMBER(G28),G28&gt;0),I28/G28,"")</x:f>
        <x:v>0.13761467889908258</x:v>
      </x:c>
      <x:c r="K28" s="9" t="str">
        <x:f>IF(AND(ISNUMBER(I28),COUNTIFS($A$2:$A$313,EDATE(A28,-12),$B$2:$B$313,B28,$F$2:$F$313,F28,$I$2:$I$313,"&gt;0")=1),I28/SUMIFS($I$2:$I$313,$A$2:$A$313,EDATE(A28,-12),$B$2:$B$313,B28,$F$2:$F$313,F28)-1,"")</x:f>
      </x:c>
      <x:c r="L28" s="2" t="str">
        <x:v>取得済</x:v>
      </x:c>
      <x:c r="M28" s="2" t="str">
        <x:v>https://www.qsr.mlit.go.jp/n-michi/useful/kotsuryo/shukei/data/tcdata.json</x:v>
      </x:c>
      <x:c r="N28" s="2" t="str">
        <x:v>https://www.qsr.mlit.go.jp/n-michi/useful/kotsuryo/shukei/data/tcmas.json</x:v>
      </x:c>
    </x:row>
    <x:row r="29" ht="21" customHeight="1">
      <x:c r="A29" s="7" t="n">
        <x:v>45444</x:v>
      </x:c>
      <x:c r="B29" s="2" t="str">
        <x:v>9310130</x:v>
      </x:c>
      <x:c r="C29" s="2" t="str">
        <x:v>大津</x:v>
      </x:c>
      <x:c r="D29" s="2" t="str">
        <x:v>一般国道57号</x:v>
      </x:c>
      <x:c r="E29" s="2" t="str">
        <x:v>菊池郡大津町室</x:v>
      </x:c>
      <x:c r="F29" s="2" t="str">
        <x:v>休日</x:v>
      </x:c>
      <x:c r="G29" s="8" t="n">
        <x:v>29000</x:v>
      </x:c>
      <x:c r="H29" s="8" t="n">
        <x:v>27700</x:v>
      </x:c>
      <x:c r="I29" s="8" t="n">
        <x:v>1300</x:v>
      </x:c>
      <x:c r="J29" s="9" t="n">
        <x:f>IF(AND(ISNUMBER(I29),ISNUMBER(G29),G29&gt;0),I29/G29,"")</x:f>
        <x:v>0.04482758620689655</x:v>
      </x:c>
      <x:c r="K29" s="9" t="str">
        <x:f>IF(AND(ISNUMBER(I29),COUNTIFS($A$2:$A$313,EDATE(A29,-12),$B$2:$B$313,B29,$F$2:$F$313,F29,$I$2:$I$313,"&gt;0")=1),I29/SUMIFS($I$2:$I$313,$A$2:$A$313,EDATE(A29,-12),$B$2:$B$313,B29,$F$2:$F$313,F29)-1,"")</x:f>
      </x:c>
      <x:c r="L29" s="2" t="str">
        <x:v>取得済</x:v>
      </x:c>
      <x:c r="M29" s="2" t="str">
        <x:v>https://www.qsr.mlit.go.jp/n-michi/useful/kotsuryo/shukei/data/tcdata.json</x:v>
      </x:c>
      <x:c r="N29" s="2" t="str">
        <x:v>https://www.qsr.mlit.go.jp/n-michi/useful/kotsuryo/shukei/data/tcmas.json</x:v>
      </x:c>
    </x:row>
    <x:row r="30" ht="21" customHeight="1">
      <x:c r="A30" s="7" t="n">
        <x:v>45444</x:v>
      </x:c>
      <x:c r="B30" s="2" t="str">
        <x:v>9310130</x:v>
      </x:c>
      <x:c r="C30" s="2" t="str">
        <x:v>大津</x:v>
      </x:c>
      <x:c r="D30" s="2" t="str">
        <x:v>一般国道57号</x:v>
      </x:c>
      <x:c r="E30" s="2" t="str">
        <x:v>菊池郡大津町室</x:v>
      </x:c>
      <x:c r="F30" s="2" t="str">
        <x:v>全日</x:v>
      </x:c>
      <x:c r="G30" s="8" t="n">
        <x:v>28500</x:v>
      </x:c>
      <x:c r="H30" s="8" t="n">
        <x:v>26400</x:v>
      </x:c>
      <x:c r="I30" s="8" t="n">
        <x:v>2100</x:v>
      </x:c>
      <x:c r="J30" s="9" t="n">
        <x:f>IF(AND(ISNUMBER(I30),ISNUMBER(G30),G30&gt;0),I30/G30,"")</x:f>
        <x:v>0.07368421052631578</x:v>
      </x:c>
      <x:c r="K30" s="9" t="str">
        <x:f>IF(AND(ISNUMBER(I30),COUNTIFS($A$2:$A$313,EDATE(A30,-12),$B$2:$B$313,B30,$F$2:$F$313,F30,$I$2:$I$313,"&gt;0")=1),I30/SUMIFS($I$2:$I$313,$A$2:$A$313,EDATE(A30,-12),$B$2:$B$313,B30,$F$2:$F$313,F30)-1,"")</x:f>
      </x:c>
      <x:c r="L30" s="2" t="str">
        <x:v>取得済</x:v>
      </x:c>
      <x:c r="M30" s="2" t="str">
        <x:v>https://www.qsr.mlit.go.jp/n-michi/useful/kotsuryo/shukei/data/tcdata.json</x:v>
      </x:c>
      <x:c r="N30" s="2" t="str">
        <x:v>https://www.qsr.mlit.go.jp/n-michi/useful/kotsuryo/shukei/data/tcmas.json</x:v>
      </x:c>
    </x:row>
    <x:row r="31" ht="21" customHeight="1">
      <x:c r="A31" s="7" t="n">
        <x:v>45444</x:v>
      </x:c>
      <x:c r="B31" s="2" t="str">
        <x:v>9310130</x:v>
      </x:c>
      <x:c r="C31" s="2" t="str">
        <x:v>大津</x:v>
      </x:c>
      <x:c r="D31" s="2" t="str">
        <x:v>一般国道57号</x:v>
      </x:c>
      <x:c r="E31" s="2" t="str">
        <x:v>菊池郡大津町室</x:v>
      </x:c>
      <x:c r="F31" s="2" t="str">
        <x:v>平日</x:v>
      </x:c>
      <x:c r="G31" s="8" t="n">
        <x:v>28300</x:v>
      </x:c>
      <x:c r="H31" s="8" t="n">
        <x:v>25800</x:v>
      </x:c>
      <x:c r="I31" s="8" t="n">
        <x:v>2500</x:v>
      </x:c>
      <x:c r="J31" s="9" t="n">
        <x:f>IF(AND(ISNUMBER(I31),ISNUMBER(G31),G31&gt;0),I31/G31,"")</x:f>
        <x:v>0.08833922261484099</x:v>
      </x:c>
      <x:c r="K31" s="9" t="str">
        <x:f>IF(AND(ISNUMBER(I31),COUNTIFS($A$2:$A$313,EDATE(A31,-12),$B$2:$B$313,B31,$F$2:$F$313,F31,$I$2:$I$313,"&gt;0")=1),I31/SUMIFS($I$2:$I$313,$A$2:$A$313,EDATE(A31,-12),$B$2:$B$313,B31,$F$2:$F$313,F31)-1,"")</x:f>
      </x:c>
      <x:c r="L31" s="2" t="str">
        <x:v>取得済</x:v>
      </x:c>
      <x:c r="M31" s="2" t="str">
        <x:v>https://www.qsr.mlit.go.jp/n-michi/useful/kotsuryo/shukei/data/tcdata.json</x:v>
      </x:c>
      <x:c r="N31" s="2" t="str">
        <x:v>https://www.qsr.mlit.go.jp/n-michi/useful/kotsuryo/shukei/data/tcmas.json</x:v>
      </x:c>
    </x:row>
    <x:row r="32" ht="21" customHeight="1">
      <x:c r="A32" s="7" t="n">
        <x:v>45444</x:v>
      </x:c>
      <x:c r="B32" s="2" t="str">
        <x:v>9310140</x:v>
      </x:c>
      <x:c r="C32" s="2" t="str">
        <x:v>新南部</x:v>
      </x:c>
      <x:c r="D32" s="2" t="str">
        <x:v>一般国道57号</x:v>
      </x:c>
      <x:c r="E32" s="2" t="str">
        <x:v>熊本市東区下南部</x:v>
      </x:c>
      <x:c r="F32" s="2" t="str">
        <x:v>休日</x:v>
      </x:c>
      <x:c r="G32" s="8" t="n">
        <x:v>42200</x:v>
      </x:c>
      <x:c r="H32" s="8" t="n">
        <x:v>39800</x:v>
      </x:c>
      <x:c r="I32" s="8" t="n">
        <x:v>2400</x:v>
      </x:c>
      <x:c r="J32" s="9" t="n">
        <x:f>IF(AND(ISNUMBER(I32),ISNUMBER(G32),G32&gt;0),I32/G32,"")</x:f>
        <x:v>0.05687203791469194</x:v>
      </x:c>
      <x:c r="K32" s="9" t="str">
        <x:f>IF(AND(ISNUMBER(I32),COUNTIFS($A$2:$A$313,EDATE(A32,-12),$B$2:$B$313,B32,$F$2:$F$313,F32,$I$2:$I$313,"&gt;0")=1),I32/SUMIFS($I$2:$I$313,$A$2:$A$313,EDATE(A32,-12),$B$2:$B$313,B32,$F$2:$F$313,F32)-1,"")</x:f>
      </x:c>
      <x:c r="L32" s="2" t="str">
        <x:v>取得済</x:v>
      </x:c>
      <x:c r="M32" s="2" t="str">
        <x:v>https://www.qsr.mlit.go.jp/n-michi/useful/kotsuryo/shukei/data/tcdata.json</x:v>
      </x:c>
      <x:c r="N32" s="2" t="str">
        <x:v>https://www.qsr.mlit.go.jp/n-michi/useful/kotsuryo/shukei/data/tcmas.json</x:v>
      </x:c>
    </x:row>
    <x:row r="33" ht="21" customHeight="1">
      <x:c r="A33" s="7" t="n">
        <x:v>45444</x:v>
      </x:c>
      <x:c r="B33" s="2" t="str">
        <x:v>9310140</x:v>
      </x:c>
      <x:c r="C33" s="2" t="str">
        <x:v>新南部</x:v>
      </x:c>
      <x:c r="D33" s="2" t="str">
        <x:v>一般国道57号</x:v>
      </x:c>
      <x:c r="E33" s="2" t="str">
        <x:v>熊本市東区下南部</x:v>
      </x:c>
      <x:c r="F33" s="2" t="str">
        <x:v>全日</x:v>
      </x:c>
      <x:c r="G33" s="8" t="n">
        <x:v>43400</x:v>
      </x:c>
      <x:c r="H33" s="8" t="n">
        <x:v>39500</x:v>
      </x:c>
      <x:c r="I33" s="8" t="n">
        <x:v>3900</x:v>
      </x:c>
      <x:c r="J33" s="9" t="n">
        <x:f>IF(AND(ISNUMBER(I33),ISNUMBER(G33),G33&gt;0),I33/G33,"")</x:f>
        <x:v>0.08986175115207373</x:v>
      </x:c>
      <x:c r="K33" s="9" t="str">
        <x:f>IF(AND(ISNUMBER(I33),COUNTIFS($A$2:$A$313,EDATE(A33,-12),$B$2:$B$313,B33,$F$2:$F$313,F33,$I$2:$I$313,"&gt;0")=1),I33/SUMIFS($I$2:$I$313,$A$2:$A$313,EDATE(A33,-12),$B$2:$B$313,B33,$F$2:$F$313,F33)-1,"")</x:f>
      </x:c>
      <x:c r="L33" s="2" t="str">
        <x:v>取得済</x:v>
      </x:c>
      <x:c r="M33" s="2" t="str">
        <x:v>https://www.qsr.mlit.go.jp/n-michi/useful/kotsuryo/shukei/data/tcdata.json</x:v>
      </x:c>
      <x:c r="N33" s="2" t="str">
        <x:v>https://www.qsr.mlit.go.jp/n-michi/useful/kotsuryo/shukei/data/tcmas.json</x:v>
      </x:c>
    </x:row>
    <x:row r="34" ht="21" customHeight="1">
      <x:c r="A34" s="7" t="n">
        <x:v>45444</x:v>
      </x:c>
      <x:c r="B34" s="2" t="str">
        <x:v>9310140</x:v>
      </x:c>
      <x:c r="C34" s="2" t="str">
        <x:v>新南部</x:v>
      </x:c>
      <x:c r="D34" s="2" t="str">
        <x:v>一般国道57号</x:v>
      </x:c>
      <x:c r="E34" s="2" t="str">
        <x:v>熊本市東区下南部</x:v>
      </x:c>
      <x:c r="F34" s="2" t="str">
        <x:v>平日</x:v>
      </x:c>
      <x:c r="G34" s="8" t="n">
        <x:v>43900</x:v>
      </x:c>
      <x:c r="H34" s="8" t="n">
        <x:v>39300</x:v>
      </x:c>
      <x:c r="I34" s="8" t="n">
        <x:v>4600</x:v>
      </x:c>
      <x:c r="J34" s="9" t="n">
        <x:f>IF(AND(ISNUMBER(I34),ISNUMBER(G34),G34&gt;0),I34/G34,"")</x:f>
        <x:v>0.10478359908883828</x:v>
      </x:c>
      <x:c r="K34" s="9" t="str">
        <x:f>IF(AND(ISNUMBER(I34),COUNTIFS($A$2:$A$313,EDATE(A34,-12),$B$2:$B$313,B34,$F$2:$F$313,F34,$I$2:$I$313,"&gt;0")=1),I34/SUMIFS($I$2:$I$313,$A$2:$A$313,EDATE(A34,-12),$B$2:$B$313,B34,$F$2:$F$313,F34)-1,"")</x:f>
      </x:c>
      <x:c r="L34" s="2" t="str">
        <x:v>取得済</x:v>
      </x:c>
      <x:c r="M34" s="2" t="str">
        <x:v>https://www.qsr.mlit.go.jp/n-michi/useful/kotsuryo/shukei/data/tcdata.json</x:v>
      </x:c>
      <x:c r="N34" s="2" t="str">
        <x:v>https://www.qsr.mlit.go.jp/n-michi/useful/kotsuryo/shukei/data/tcmas.json</x:v>
      </x:c>
    </x:row>
    <x:row r="35" ht="21" customHeight="1">
      <x:c r="A35" s="7" t="n">
        <x:v>45444</x:v>
      </x:c>
      <x:c r="B35" s="2" t="str">
        <x:v>9110030</x:v>
      </x:c>
      <x:c r="C35" s="2" t="str">
        <x:v>熊本</x:v>
      </x:c>
      <x:c r="D35" s="2" t="str">
        <x:v>一般国道3号</x:v>
      </x:c>
      <x:c r="E35" s="2" t="str">
        <x:v>熊本市南区南高江</x:v>
      </x:c>
      <x:c r="F35" s="2" t="str">
        <x:v>休日</x:v>
      </x:c>
      <x:c r="G35" s="8" t="n">
        <x:v>37100</x:v>
      </x:c>
      <x:c r="H35" s="8" t="n">
        <x:v>35200</x:v>
      </x:c>
      <x:c r="I35" s="8" t="n">
        <x:v>1900</x:v>
      </x:c>
      <x:c r="J35" s="9" t="n">
        <x:f>IF(AND(ISNUMBER(I35),ISNUMBER(G35),G35&gt;0),I35/G35,"")</x:f>
        <x:v>0.05121293800539083</x:v>
      </x:c>
      <x:c r="K35" s="9" t="str">
        <x:f>IF(AND(ISNUMBER(I35),COUNTIFS($A$2:$A$313,EDATE(A35,-12),$B$2:$B$313,B35,$F$2:$F$313,F35,$I$2:$I$313,"&gt;0")=1),I35/SUMIFS($I$2:$I$313,$A$2:$A$313,EDATE(A35,-12),$B$2:$B$313,B35,$F$2:$F$313,F35)-1,"")</x:f>
      </x:c>
      <x:c r="L35" s="2" t="str">
        <x:v>取得済</x:v>
      </x:c>
      <x:c r="M35" s="2" t="str">
        <x:v>https://www.qsr.mlit.go.jp/n-michi/useful/kotsuryo/shukei/data/tcdata.json</x:v>
      </x:c>
      <x:c r="N35" s="2" t="str">
        <x:v>https://www.qsr.mlit.go.jp/n-michi/useful/kotsuryo/shukei/data/tcmas.json</x:v>
      </x:c>
    </x:row>
    <x:row r="36" ht="21" customHeight="1">
      <x:c r="A36" s="7" t="n">
        <x:v>45444</x:v>
      </x:c>
      <x:c r="B36" s="2" t="str">
        <x:v>9110030</x:v>
      </x:c>
      <x:c r="C36" s="2" t="str">
        <x:v>熊本</x:v>
      </x:c>
      <x:c r="D36" s="2" t="str">
        <x:v>一般国道3号</x:v>
      </x:c>
      <x:c r="E36" s="2" t="str">
        <x:v>熊本市南区南高江</x:v>
      </x:c>
      <x:c r="F36" s="2" t="str">
        <x:v>全日</x:v>
      </x:c>
      <x:c r="G36" s="8" t="n">
        <x:v>36500</x:v>
      </x:c>
      <x:c r="H36" s="8" t="n">
        <x:v>33400</x:v>
      </x:c>
      <x:c r="I36" s="8" t="n">
        <x:v>3100</x:v>
      </x:c>
      <x:c r="J36" s="9" t="n">
        <x:f>IF(AND(ISNUMBER(I36),ISNUMBER(G36),G36&gt;0),I36/G36,"")</x:f>
        <x:v>0.08493150684931507</x:v>
      </x:c>
      <x:c r="K36" s="9" t="str">
        <x:f>IF(AND(ISNUMBER(I36),COUNTIFS($A$2:$A$313,EDATE(A36,-12),$B$2:$B$313,B36,$F$2:$F$313,F36,$I$2:$I$313,"&gt;0")=1),I36/SUMIFS($I$2:$I$313,$A$2:$A$313,EDATE(A36,-12),$B$2:$B$313,B36,$F$2:$F$313,F36)-1,"")</x:f>
      </x:c>
      <x:c r="L36" s="2" t="str">
        <x:v>取得済</x:v>
      </x:c>
      <x:c r="M36" s="2" t="str">
        <x:v>https://www.qsr.mlit.go.jp/n-michi/useful/kotsuryo/shukei/data/tcdata.json</x:v>
      </x:c>
      <x:c r="N36" s="2" t="str">
        <x:v>https://www.qsr.mlit.go.jp/n-michi/useful/kotsuryo/shukei/data/tcmas.json</x:v>
      </x:c>
    </x:row>
    <x:row r="37" ht="21" customHeight="1">
      <x:c r="A37" s="7" t="n">
        <x:v>45444</x:v>
      </x:c>
      <x:c r="B37" s="2" t="str">
        <x:v>9110030</x:v>
      </x:c>
      <x:c r="C37" s="2" t="str">
        <x:v>熊本</x:v>
      </x:c>
      <x:c r="D37" s="2" t="str">
        <x:v>一般国道3号</x:v>
      </x:c>
      <x:c r="E37" s="2" t="str">
        <x:v>熊本市南区南高江</x:v>
      </x:c>
      <x:c r="F37" s="2" t="str">
        <x:v>平日</x:v>
      </x:c>
      <x:c r="G37" s="8" t="n">
        <x:v>36300</x:v>
      </x:c>
      <x:c r="H37" s="8" t="n">
        <x:v>32500</x:v>
      </x:c>
      <x:c r="I37" s="8" t="n">
        <x:v>3800</x:v>
      </x:c>
      <x:c r="J37" s="9" t="n">
        <x:f>IF(AND(ISNUMBER(I37),ISNUMBER(G37),G37&gt;0),I37/G37,"")</x:f>
        <x:v>0.1046831955922865</x:v>
      </x:c>
      <x:c r="K37" s="9" t="str">
        <x:f>IF(AND(ISNUMBER(I37),COUNTIFS($A$2:$A$313,EDATE(A37,-12),$B$2:$B$313,B37,$F$2:$F$313,F37,$I$2:$I$313,"&gt;0")=1),I37/SUMIFS($I$2:$I$313,$A$2:$A$313,EDATE(A37,-12),$B$2:$B$313,B37,$F$2:$F$313,F37)-1,"")</x:f>
      </x:c>
      <x:c r="L37" s="2" t="str">
        <x:v>取得済</x:v>
      </x:c>
      <x:c r="M37" s="2" t="str">
        <x:v>https://www.qsr.mlit.go.jp/n-michi/useful/kotsuryo/shukei/data/tcdata.json</x:v>
      </x:c>
      <x:c r="N37" s="2" t="str">
        <x:v>https://www.qsr.mlit.go.jp/n-michi/useful/kotsuryo/shukei/data/tcmas.json</x:v>
      </x:c>
    </x:row>
    <x:row r="38" ht="21" customHeight="1">
      <x:c r="A38" s="7" t="n">
        <x:v>45474</x:v>
      </x:c>
      <x:c r="B38" s="2" t="str">
        <x:v>9110050</x:v>
      </x:c>
      <x:c r="C38" s="2" t="str">
        <x:v>八代</x:v>
      </x:c>
      <x:c r="D38" s="2" t="str">
        <x:v>一般国道3号</x:v>
      </x:c>
      <x:c r="E38" s="2" t="str">
        <x:v>八代市福正元町</x:v>
      </x:c>
      <x:c r="F38" s="2" t="str">
        <x:v>休日</x:v>
      </x:c>
      <x:c r="G38" s="8" t="n">
        <x:v>20300</x:v>
      </x:c>
      <x:c r="H38" s="8" t="n">
        <x:v>19000</x:v>
      </x:c>
      <x:c r="I38" s="8" t="n">
        <x:v>1300</x:v>
      </x:c>
      <x:c r="J38" s="9" t="n">
        <x:f>IF(AND(ISNUMBER(I38),ISNUMBER(G38),G38&gt;0),I38/G38,"")</x:f>
        <x:v>0.06403940886699508</x:v>
      </x:c>
      <x:c r="K38" s="9" t="str">
        <x:f>IF(AND(ISNUMBER(I38),COUNTIFS($A$2:$A$313,EDATE(A38,-12),$B$2:$B$313,B38,$F$2:$F$313,F38,$I$2:$I$313,"&gt;0")=1),I38/SUMIFS($I$2:$I$313,$A$2:$A$313,EDATE(A38,-12),$B$2:$B$313,B38,$F$2:$F$313,F38)-1,"")</x:f>
      </x:c>
      <x:c r="L38" s="2" t="str">
        <x:v>取得済</x:v>
      </x:c>
      <x:c r="M38" s="2" t="str">
        <x:v>https://www.qsr.mlit.go.jp/n-michi/useful/kotsuryo/shukei/data/tcdata.json</x:v>
      </x:c>
      <x:c r="N38" s="2" t="str">
        <x:v>https://www.qsr.mlit.go.jp/n-michi/useful/kotsuryo/shukei/data/tcmas.json</x:v>
      </x:c>
    </x:row>
    <x:row r="39" ht="21" customHeight="1">
      <x:c r="A39" s="7" t="n">
        <x:v>45474</x:v>
      </x:c>
      <x:c r="B39" s="2" t="str">
        <x:v>9110050</x:v>
      </x:c>
      <x:c r="C39" s="2" t="str">
        <x:v>八代</x:v>
      </x:c>
      <x:c r="D39" s="2" t="str">
        <x:v>一般国道3号</x:v>
      </x:c>
      <x:c r="E39" s="2" t="str">
        <x:v>八代市福正元町</x:v>
      </x:c>
      <x:c r="F39" s="2" t="str">
        <x:v>全日</x:v>
      </x:c>
      <x:c r="G39" s="8" t="n">
        <x:v>22400</x:v>
      </x:c>
      <x:c r="H39" s="8" t="n">
        <x:v>19800</x:v>
      </x:c>
      <x:c r="I39" s="8" t="n">
        <x:v>2600</x:v>
      </x:c>
      <x:c r="J39" s="9" t="n">
        <x:f>IF(AND(ISNUMBER(I39),ISNUMBER(G39),G39&gt;0),I39/G39,"")</x:f>
        <x:v>0.11607142857142858</x:v>
      </x:c>
      <x:c r="K39" s="9" t="str">
        <x:f>IF(AND(ISNUMBER(I39),COUNTIFS($A$2:$A$313,EDATE(A39,-12),$B$2:$B$313,B39,$F$2:$F$313,F39,$I$2:$I$313,"&gt;0")=1),I39/SUMIFS($I$2:$I$313,$A$2:$A$313,EDATE(A39,-12),$B$2:$B$313,B39,$F$2:$F$313,F39)-1,"")</x:f>
      </x:c>
      <x:c r="L39" s="2" t="str">
        <x:v>取得済</x:v>
      </x:c>
      <x:c r="M39" s="2" t="str">
        <x:v>https://www.qsr.mlit.go.jp/n-michi/useful/kotsuryo/shukei/data/tcdata.json</x:v>
      </x:c>
      <x:c r="N39" s="2" t="str">
        <x:v>https://www.qsr.mlit.go.jp/n-michi/useful/kotsuryo/shukei/data/tcmas.json</x:v>
      </x:c>
    </x:row>
    <x:row r="40" ht="21" customHeight="1">
      <x:c r="A40" s="7" t="n">
        <x:v>45474</x:v>
      </x:c>
      <x:c r="B40" s="2" t="str">
        <x:v>9110050</x:v>
      </x:c>
      <x:c r="C40" s="2" t="str">
        <x:v>八代</x:v>
      </x:c>
      <x:c r="D40" s="2" t="str">
        <x:v>一般国道3号</x:v>
      </x:c>
      <x:c r="E40" s="2" t="str">
        <x:v>八代市福正元町</x:v>
      </x:c>
      <x:c r="F40" s="2" t="str">
        <x:v>平日</x:v>
      </x:c>
      <x:c r="G40" s="8" t="n">
        <x:v>23200</x:v>
      </x:c>
      <x:c r="H40" s="8" t="n">
        <x:v>20200</x:v>
      </x:c>
      <x:c r="I40" s="8" t="n">
        <x:v>3000</x:v>
      </x:c>
      <x:c r="J40" s="9" t="n">
        <x:f>IF(AND(ISNUMBER(I40),ISNUMBER(G40),G40&gt;0),I40/G40,"")</x:f>
        <x:v>0.12931034482758622</x:v>
      </x:c>
      <x:c r="K40" s="9" t="str">
        <x:f>IF(AND(ISNUMBER(I40),COUNTIFS($A$2:$A$313,EDATE(A40,-12),$B$2:$B$313,B40,$F$2:$F$313,F40,$I$2:$I$313,"&gt;0")=1),I40/SUMIFS($I$2:$I$313,$A$2:$A$313,EDATE(A40,-12),$B$2:$B$313,B40,$F$2:$F$313,F40)-1,"")</x:f>
      </x:c>
      <x:c r="L40" s="2" t="str">
        <x:v>取得済</x:v>
      </x:c>
      <x:c r="M40" s="2" t="str">
        <x:v>https://www.qsr.mlit.go.jp/n-michi/useful/kotsuryo/shukei/data/tcdata.json</x:v>
      </x:c>
      <x:c r="N40" s="2" t="str">
        <x:v>https://www.qsr.mlit.go.jp/n-michi/useful/kotsuryo/shukei/data/tcmas.json</x:v>
      </x:c>
    </x:row>
    <x:row r="41" ht="21" customHeight="1">
      <x:c r="A41" s="7" t="n">
        <x:v>45474</x:v>
      </x:c>
      <x:c r="B41" s="2" t="str">
        <x:v>9310130</x:v>
      </x:c>
      <x:c r="C41" s="2" t="str">
        <x:v>大津</x:v>
      </x:c>
      <x:c r="D41" s="2" t="str">
        <x:v>一般国道57号</x:v>
      </x:c>
      <x:c r="E41" s="2" t="str">
        <x:v>菊池郡大津町室</x:v>
      </x:c>
      <x:c r="F41" s="2" t="str">
        <x:v>休日</x:v>
      </x:c>
      <x:c r="G41" s="8" t="n">
        <x:v>30100</x:v>
      </x:c>
      <x:c r="H41" s="8" t="n">
        <x:v>28900</x:v>
      </x:c>
      <x:c r="I41" s="8" t="n">
        <x:v>1200</x:v>
      </x:c>
      <x:c r="J41" s="9" t="n">
        <x:f>IF(AND(ISNUMBER(I41),ISNUMBER(G41),G41&gt;0),I41/G41,"")</x:f>
        <x:v>0.03986710963455149</x:v>
      </x:c>
      <x:c r="K41" s="9" t="str">
        <x:f>IF(AND(ISNUMBER(I41),COUNTIFS($A$2:$A$313,EDATE(A41,-12),$B$2:$B$313,B41,$F$2:$F$313,F41,$I$2:$I$313,"&gt;0")=1),I41/SUMIFS($I$2:$I$313,$A$2:$A$313,EDATE(A41,-12),$B$2:$B$313,B41,$F$2:$F$313,F41)-1,"")</x:f>
      </x:c>
      <x:c r="L41" s="2" t="str">
        <x:v>取得済</x:v>
      </x:c>
      <x:c r="M41" s="2" t="str">
        <x:v>https://www.qsr.mlit.go.jp/n-michi/useful/kotsuryo/shukei/data/tcdata.json</x:v>
      </x:c>
      <x:c r="N41" s="2" t="str">
        <x:v>https://www.qsr.mlit.go.jp/n-michi/useful/kotsuryo/shukei/data/tcmas.json</x:v>
      </x:c>
    </x:row>
    <x:row r="42" ht="21" customHeight="1">
      <x:c r="A42" s="7" t="n">
        <x:v>45474</x:v>
      </x:c>
      <x:c r="B42" s="2" t="str">
        <x:v>9310130</x:v>
      </x:c>
      <x:c r="C42" s="2" t="str">
        <x:v>大津</x:v>
      </x:c>
      <x:c r="D42" s="2" t="str">
        <x:v>一般国道57号</x:v>
      </x:c>
      <x:c r="E42" s="2" t="str">
        <x:v>菊池郡大津町室</x:v>
      </x:c>
      <x:c r="F42" s="2" t="str">
        <x:v>全日</x:v>
      </x:c>
      <x:c r="G42" s="8" t="n">
        <x:v>29600</x:v>
      </x:c>
      <x:c r="H42" s="8" t="n">
        <x:v>27500</x:v>
      </x:c>
      <x:c r="I42" s="8" t="n">
        <x:v>2100</x:v>
      </x:c>
      <x:c r="J42" s="9" t="n">
        <x:f>IF(AND(ISNUMBER(I42),ISNUMBER(G42),G42&gt;0),I42/G42,"")</x:f>
        <x:v>0.07094594594594594</x:v>
      </x:c>
      <x:c r="K42" s="9" t="str">
        <x:f>IF(AND(ISNUMBER(I42),COUNTIFS($A$2:$A$313,EDATE(A42,-12),$B$2:$B$313,B42,$F$2:$F$313,F42,$I$2:$I$313,"&gt;0")=1),I42/SUMIFS($I$2:$I$313,$A$2:$A$313,EDATE(A42,-12),$B$2:$B$313,B42,$F$2:$F$313,F42)-1,"")</x:f>
      </x:c>
      <x:c r="L42" s="2" t="str">
        <x:v>取得済</x:v>
      </x:c>
      <x:c r="M42" s="2" t="str">
        <x:v>https://www.qsr.mlit.go.jp/n-michi/useful/kotsuryo/shukei/data/tcdata.json</x:v>
      </x:c>
      <x:c r="N42" s="2" t="str">
        <x:v>https://www.qsr.mlit.go.jp/n-michi/useful/kotsuryo/shukei/data/tcmas.json</x:v>
      </x:c>
    </x:row>
    <x:row r="43" ht="21" customHeight="1">
      <x:c r="A43" s="7" t="n">
        <x:v>45474</x:v>
      </x:c>
      <x:c r="B43" s="2" t="str">
        <x:v>9310130</x:v>
      </x:c>
      <x:c r="C43" s="2" t="str">
        <x:v>大津</x:v>
      </x:c>
      <x:c r="D43" s="2" t="str">
        <x:v>一般国道57号</x:v>
      </x:c>
      <x:c r="E43" s="2" t="str">
        <x:v>菊池郡大津町室</x:v>
      </x:c>
      <x:c r="F43" s="2" t="str">
        <x:v>平日</x:v>
      </x:c>
      <x:c r="G43" s="8" t="n">
        <x:v>29400</x:v>
      </x:c>
      <x:c r="H43" s="8" t="n">
        <x:v>27000</x:v>
      </x:c>
      <x:c r="I43" s="8" t="n">
        <x:v>2400</x:v>
      </x:c>
      <x:c r="J43" s="9" t="n">
        <x:f>IF(AND(ISNUMBER(I43),ISNUMBER(G43),G43&gt;0),I43/G43,"")</x:f>
        <x:v>0.08163265306122448</x:v>
      </x:c>
      <x:c r="K43" s="9" t="str">
        <x:f>IF(AND(ISNUMBER(I43),COUNTIFS($A$2:$A$313,EDATE(A43,-12),$B$2:$B$313,B43,$F$2:$F$313,F43,$I$2:$I$313,"&gt;0")=1),I43/SUMIFS($I$2:$I$313,$A$2:$A$313,EDATE(A43,-12),$B$2:$B$313,B43,$F$2:$F$313,F43)-1,"")</x:f>
      </x:c>
      <x:c r="L43" s="2" t="str">
        <x:v>取得済</x:v>
      </x:c>
      <x:c r="M43" s="2" t="str">
        <x:v>https://www.qsr.mlit.go.jp/n-michi/useful/kotsuryo/shukei/data/tcdata.json</x:v>
      </x:c>
      <x:c r="N43" s="2" t="str">
        <x:v>https://www.qsr.mlit.go.jp/n-michi/useful/kotsuryo/shukei/data/tcmas.json</x:v>
      </x:c>
    </x:row>
    <x:row r="44" ht="21" customHeight="1">
      <x:c r="A44" s="7" t="n">
        <x:v>45474</x:v>
      </x:c>
      <x:c r="B44" s="2" t="str">
        <x:v>9310140</x:v>
      </x:c>
      <x:c r="C44" s="2" t="str">
        <x:v>新南部</x:v>
      </x:c>
      <x:c r="D44" s="2" t="str">
        <x:v>一般国道57号</x:v>
      </x:c>
      <x:c r="E44" s="2" t="str">
        <x:v>熊本市東区下南部</x:v>
      </x:c>
      <x:c r="F44" s="2" t="str">
        <x:v>休日</x:v>
      </x:c>
      <x:c r="G44" s="8" t="n">
        <x:v>42600</x:v>
      </x:c>
      <x:c r="H44" s="8" t="n">
        <x:v>40100</x:v>
      </x:c>
      <x:c r="I44" s="8" t="n">
        <x:v>2500</x:v>
      </x:c>
      <x:c r="J44" s="9" t="n">
        <x:f>IF(AND(ISNUMBER(I44),ISNUMBER(G44),G44&gt;0),I44/G44,"")</x:f>
        <x:v>0.05868544600938967</x:v>
      </x:c>
      <x:c r="K44" s="9" t="str">
        <x:f>IF(AND(ISNUMBER(I44),COUNTIFS($A$2:$A$313,EDATE(A44,-12),$B$2:$B$313,B44,$F$2:$F$313,F44,$I$2:$I$313,"&gt;0")=1),I44/SUMIFS($I$2:$I$313,$A$2:$A$313,EDATE(A44,-12),$B$2:$B$313,B44,$F$2:$F$313,F44)-1,"")</x:f>
      </x:c>
      <x:c r="L44" s="2" t="str">
        <x:v>取得済</x:v>
      </x:c>
      <x:c r="M44" s="2" t="str">
        <x:v>https://www.qsr.mlit.go.jp/n-michi/useful/kotsuryo/shukei/data/tcdata.json</x:v>
      </x:c>
      <x:c r="N44" s="2" t="str">
        <x:v>https://www.qsr.mlit.go.jp/n-michi/useful/kotsuryo/shukei/data/tcmas.json</x:v>
      </x:c>
    </x:row>
    <x:row r="45" ht="21" customHeight="1">
      <x:c r="A45" s="7" t="n">
        <x:v>45474</x:v>
      </x:c>
      <x:c r="B45" s="2" t="str">
        <x:v>9310140</x:v>
      </x:c>
      <x:c r="C45" s="2" t="str">
        <x:v>新南部</x:v>
      </x:c>
      <x:c r="D45" s="2" t="str">
        <x:v>一般国道57号</x:v>
      </x:c>
      <x:c r="E45" s="2" t="str">
        <x:v>熊本市東区下南部</x:v>
      </x:c>
      <x:c r="F45" s="2" t="str">
        <x:v>全日</x:v>
      </x:c>
      <x:c r="G45" s="8" t="n">
        <x:v>44100</x:v>
      </x:c>
      <x:c r="H45" s="8" t="n">
        <x:v>40100</x:v>
      </x:c>
      <x:c r="I45" s="8" t="n">
        <x:v>4000</x:v>
      </x:c>
      <x:c r="J45" s="9" t="n">
        <x:f>IF(AND(ISNUMBER(I45),ISNUMBER(G45),G45&gt;0),I45/G45,"")</x:f>
        <x:v>0.09070294784580499</x:v>
      </x:c>
      <x:c r="K45" s="9" t="str">
        <x:f>IF(AND(ISNUMBER(I45),COUNTIFS($A$2:$A$313,EDATE(A45,-12),$B$2:$B$313,B45,$F$2:$F$313,F45,$I$2:$I$313,"&gt;0")=1),I45/SUMIFS($I$2:$I$313,$A$2:$A$313,EDATE(A45,-12),$B$2:$B$313,B45,$F$2:$F$313,F45)-1,"")</x:f>
      </x:c>
      <x:c r="L45" s="2" t="str">
        <x:v>取得済</x:v>
      </x:c>
      <x:c r="M45" s="2" t="str">
        <x:v>https://www.qsr.mlit.go.jp/n-michi/useful/kotsuryo/shukei/data/tcdata.json</x:v>
      </x:c>
      <x:c r="N45" s="2" t="str">
        <x:v>https://www.qsr.mlit.go.jp/n-michi/useful/kotsuryo/shukei/data/tcmas.json</x:v>
      </x:c>
    </x:row>
    <x:row r="46" ht="21" customHeight="1">
      <x:c r="A46" s="7" t="n">
        <x:v>45474</x:v>
      </x:c>
      <x:c r="B46" s="2" t="str">
        <x:v>9310140</x:v>
      </x:c>
      <x:c r="C46" s="2" t="str">
        <x:v>新南部</x:v>
      </x:c>
      <x:c r="D46" s="2" t="str">
        <x:v>一般国道57号</x:v>
      </x:c>
      <x:c r="E46" s="2" t="str">
        <x:v>熊本市東区下南部</x:v>
      </x:c>
      <x:c r="F46" s="2" t="str">
        <x:v>平日</x:v>
      </x:c>
      <x:c r="G46" s="8" t="n">
        <x:v>44700</x:v>
      </x:c>
      <x:c r="H46" s="8" t="n">
        <x:v>40100</x:v>
      </x:c>
      <x:c r="I46" s="8" t="n">
        <x:v>4600</x:v>
      </x:c>
      <x:c r="J46" s="9" t="n">
        <x:f>IF(AND(ISNUMBER(I46),ISNUMBER(G46),G46&gt;0),I46/G46,"")</x:f>
        <x:v>0.1029082774049217</x:v>
      </x:c>
      <x:c r="K46" s="9" t="str">
        <x:f>IF(AND(ISNUMBER(I46),COUNTIFS($A$2:$A$313,EDATE(A46,-12),$B$2:$B$313,B46,$F$2:$F$313,F46,$I$2:$I$313,"&gt;0")=1),I46/SUMIFS($I$2:$I$313,$A$2:$A$313,EDATE(A46,-12),$B$2:$B$313,B46,$F$2:$F$313,F46)-1,"")</x:f>
      </x:c>
      <x:c r="L46" s="2" t="str">
        <x:v>取得済</x:v>
      </x:c>
      <x:c r="M46" s="2" t="str">
        <x:v>https://www.qsr.mlit.go.jp/n-michi/useful/kotsuryo/shukei/data/tcdata.json</x:v>
      </x:c>
      <x:c r="N46" s="2" t="str">
        <x:v>https://www.qsr.mlit.go.jp/n-michi/useful/kotsuryo/shukei/data/tcmas.json</x:v>
      </x:c>
    </x:row>
    <x:row r="47" ht="21" customHeight="1">
      <x:c r="A47" s="7" t="n">
        <x:v>45474</x:v>
      </x:c>
      <x:c r="B47" s="2" t="str">
        <x:v>9110030</x:v>
      </x:c>
      <x:c r="C47" s="2" t="str">
        <x:v>熊本</x:v>
      </x:c>
      <x:c r="D47" s="2" t="str">
        <x:v>一般国道3号</x:v>
      </x:c>
      <x:c r="E47" s="2" t="str">
        <x:v>熊本市南区南高江</x:v>
      </x:c>
      <x:c r="F47" s="2" t="str">
        <x:v>休日</x:v>
      </x:c>
      <x:c r="G47" s="8" t="n">
        <x:v>37900</x:v>
      </x:c>
      <x:c r="H47" s="8" t="n">
        <x:v>36000</x:v>
      </x:c>
      <x:c r="I47" s="8" t="n">
        <x:v>1900</x:v>
      </x:c>
      <x:c r="J47" s="9" t="n">
        <x:f>IF(AND(ISNUMBER(I47),ISNUMBER(G47),G47&gt;0),I47/G47,"")</x:f>
        <x:v>0.05013192612137203</x:v>
      </x:c>
      <x:c r="K47" s="9" t="str">
        <x:f>IF(AND(ISNUMBER(I47),COUNTIFS($A$2:$A$313,EDATE(A47,-12),$B$2:$B$313,B47,$F$2:$F$313,F47,$I$2:$I$313,"&gt;0")=1),I47/SUMIFS($I$2:$I$313,$A$2:$A$313,EDATE(A47,-12),$B$2:$B$313,B47,$F$2:$F$313,F47)-1,"")</x:f>
      </x:c>
      <x:c r="L47" s="2" t="str">
        <x:v>取得済</x:v>
      </x:c>
      <x:c r="M47" s="2" t="str">
        <x:v>https://www.qsr.mlit.go.jp/n-michi/useful/kotsuryo/shukei/data/tcdata.json</x:v>
      </x:c>
      <x:c r="N47" s="2" t="str">
        <x:v>https://www.qsr.mlit.go.jp/n-michi/useful/kotsuryo/shukei/data/tcmas.json</x:v>
      </x:c>
    </x:row>
    <x:row r="48" ht="21" customHeight="1">
      <x:c r="A48" s="7" t="n">
        <x:v>45474</x:v>
      </x:c>
      <x:c r="B48" s="2" t="str">
        <x:v>9110030</x:v>
      </x:c>
      <x:c r="C48" s="2" t="str">
        <x:v>熊本</x:v>
      </x:c>
      <x:c r="D48" s="2" t="str">
        <x:v>一般国道3号</x:v>
      </x:c>
      <x:c r="E48" s="2" t="str">
        <x:v>熊本市南区南高江</x:v>
      </x:c>
      <x:c r="F48" s="2" t="str">
        <x:v>全日</x:v>
      </x:c>
      <x:c r="G48" s="8" t="n">
        <x:v>38100</x:v>
      </x:c>
      <x:c r="H48" s="8" t="n">
        <x:v>34900</x:v>
      </x:c>
      <x:c r="I48" s="8" t="n">
        <x:v>3200</x:v>
      </x:c>
      <x:c r="J48" s="9" t="n">
        <x:f>IF(AND(ISNUMBER(I48),ISNUMBER(G48),G48&gt;0),I48/G48,"")</x:f>
        <x:v>0.08398950131233596</x:v>
      </x:c>
      <x:c r="K48" s="9" t="str">
        <x:f>IF(AND(ISNUMBER(I48),COUNTIFS($A$2:$A$313,EDATE(A48,-12),$B$2:$B$313,B48,$F$2:$F$313,F48,$I$2:$I$313,"&gt;0")=1),I48/SUMIFS($I$2:$I$313,$A$2:$A$313,EDATE(A48,-12),$B$2:$B$313,B48,$F$2:$F$313,F48)-1,"")</x:f>
      </x:c>
      <x:c r="L48" s="2" t="str">
        <x:v>取得済</x:v>
      </x:c>
      <x:c r="M48" s="2" t="str">
        <x:v>https://www.qsr.mlit.go.jp/n-michi/useful/kotsuryo/shukei/data/tcdata.json</x:v>
      </x:c>
      <x:c r="N48" s="2" t="str">
        <x:v>https://www.qsr.mlit.go.jp/n-michi/useful/kotsuryo/shukei/data/tcmas.json</x:v>
      </x:c>
    </x:row>
    <x:row r="49" ht="21" customHeight="1">
      <x:c r="A49" s="7" t="n">
        <x:v>45474</x:v>
      </x:c>
      <x:c r="B49" s="2" t="str">
        <x:v>9110030</x:v>
      </x:c>
      <x:c r="C49" s="2" t="str">
        <x:v>熊本</x:v>
      </x:c>
      <x:c r="D49" s="2" t="str">
        <x:v>一般国道3号</x:v>
      </x:c>
      <x:c r="E49" s="2" t="str">
        <x:v>熊本市南区南高江</x:v>
      </x:c>
      <x:c r="F49" s="2" t="str">
        <x:v>平日</x:v>
      </x:c>
      <x:c r="G49" s="8" t="n">
        <x:v>38200</x:v>
      </x:c>
      <x:c r="H49" s="8" t="n">
        <x:v>34500</x:v>
      </x:c>
      <x:c r="I49" s="8" t="n">
        <x:v>3700</x:v>
      </x:c>
      <x:c r="J49" s="9" t="n">
        <x:f>IF(AND(ISNUMBER(I49),ISNUMBER(G49),G49&gt;0),I49/G49,"")</x:f>
        <x:v>0.0968586387434555</x:v>
      </x:c>
      <x:c r="K49" s="9" t="str">
        <x:f>IF(AND(ISNUMBER(I49),COUNTIFS($A$2:$A$313,EDATE(A49,-12),$B$2:$B$313,B49,$F$2:$F$313,F49,$I$2:$I$313,"&gt;0")=1),I49/SUMIFS($I$2:$I$313,$A$2:$A$313,EDATE(A49,-12),$B$2:$B$313,B49,$F$2:$F$313,F49)-1,"")</x:f>
      </x:c>
      <x:c r="L49" s="2" t="str">
        <x:v>取得済</x:v>
      </x:c>
      <x:c r="M49" s="2" t="str">
        <x:v>https://www.qsr.mlit.go.jp/n-michi/useful/kotsuryo/shukei/data/tcdata.json</x:v>
      </x:c>
      <x:c r="N49" s="2" t="str">
        <x:v>https://www.qsr.mlit.go.jp/n-michi/useful/kotsuryo/shukei/data/tcmas.json</x:v>
      </x:c>
    </x:row>
    <x:row r="50" ht="21" customHeight="1">
      <x:c r="A50" s="7" t="n">
        <x:v>45505</x:v>
      </x:c>
      <x:c r="B50" s="2" t="str">
        <x:v>9110050</x:v>
      </x:c>
      <x:c r="C50" s="2" t="str">
        <x:v>八代</x:v>
      </x:c>
      <x:c r="D50" s="2" t="str">
        <x:v>一般国道3号</x:v>
      </x:c>
      <x:c r="E50" s="2" t="str">
        <x:v>八代市福正元町</x:v>
      </x:c>
      <x:c r="F50" s="2" t="str">
        <x:v>休日</x:v>
      </x:c>
      <x:c r="G50" s="8" t="n">
        <x:v>20300</x:v>
      </x:c>
      <x:c r="H50" s="8" t="n">
        <x:v>18800</x:v>
      </x:c>
      <x:c r="I50" s="8" t="n">
        <x:v>1500</x:v>
      </x:c>
      <x:c r="J50" s="9" t="n">
        <x:f>IF(AND(ISNUMBER(I50),ISNUMBER(G50),G50&gt;0),I50/G50,"")</x:f>
        <x:v>0.07389162561576355</x:v>
      </x:c>
      <x:c r="K50" s="9" t="str">
        <x:f>IF(AND(ISNUMBER(I50),COUNTIFS($A$2:$A$313,EDATE(A50,-12),$B$2:$B$313,B50,$F$2:$F$313,F50,$I$2:$I$313,"&gt;0")=1),I50/SUMIFS($I$2:$I$313,$A$2:$A$313,EDATE(A50,-12),$B$2:$B$313,B50,$F$2:$F$313,F50)-1,"")</x:f>
      </x:c>
      <x:c r="L50" s="2" t="str">
        <x:v>取得済</x:v>
      </x:c>
      <x:c r="M50" s="2" t="str">
        <x:v>https://www.qsr.mlit.go.jp/n-michi/useful/kotsuryo/shukei/data/tcdata.json</x:v>
      </x:c>
      <x:c r="N50" s="2" t="str">
        <x:v>https://www.qsr.mlit.go.jp/n-michi/useful/kotsuryo/shukei/data/tcmas.json</x:v>
      </x:c>
    </x:row>
    <x:row r="51" ht="21" customHeight="1">
      <x:c r="A51" s="7" t="n">
        <x:v>45505</x:v>
      </x:c>
      <x:c r="B51" s="2" t="str">
        <x:v>9110050</x:v>
      </x:c>
      <x:c r="C51" s="2" t="str">
        <x:v>八代</x:v>
      </x:c>
      <x:c r="D51" s="2" t="str">
        <x:v>一般国道3号</x:v>
      </x:c>
      <x:c r="E51" s="2" t="str">
        <x:v>八代市福正元町</x:v>
      </x:c>
      <x:c r="F51" s="2" t="str">
        <x:v>全日</x:v>
      </x:c>
      <x:c r="G51" s="8" t="n">
        <x:v>20900</x:v>
      </x:c>
      <x:c r="H51" s="8" t="n">
        <x:v>18700</x:v>
      </x:c>
      <x:c r="I51" s="8" t="n">
        <x:v>2200</x:v>
      </x:c>
      <x:c r="J51" s="9" t="n">
        <x:f>IF(AND(ISNUMBER(I51),ISNUMBER(G51),G51&gt;0),I51/G51,"")</x:f>
        <x:v>0.10526315789473684</x:v>
      </x:c>
      <x:c r="K51" s="9" t="str">
        <x:f>IF(AND(ISNUMBER(I51),COUNTIFS($A$2:$A$313,EDATE(A51,-12),$B$2:$B$313,B51,$F$2:$F$313,F51,$I$2:$I$313,"&gt;0")=1),I51/SUMIFS($I$2:$I$313,$A$2:$A$313,EDATE(A51,-12),$B$2:$B$313,B51,$F$2:$F$313,F51)-1,"")</x:f>
      </x:c>
      <x:c r="L51" s="2" t="str">
        <x:v>取得済</x:v>
      </x:c>
      <x:c r="M51" s="2" t="str">
        <x:v>https://www.qsr.mlit.go.jp/n-michi/useful/kotsuryo/shukei/data/tcdata.json</x:v>
      </x:c>
      <x:c r="N51" s="2" t="str">
        <x:v>https://www.qsr.mlit.go.jp/n-michi/useful/kotsuryo/shukei/data/tcmas.json</x:v>
      </x:c>
    </x:row>
    <x:row r="52" ht="21" customHeight="1">
      <x:c r="A52" s="7" t="n">
        <x:v>45505</x:v>
      </x:c>
      <x:c r="B52" s="2" t="str">
        <x:v>9110050</x:v>
      </x:c>
      <x:c r="C52" s="2" t="str">
        <x:v>八代</x:v>
      </x:c>
      <x:c r="D52" s="2" t="str">
        <x:v>一般国道3号</x:v>
      </x:c>
      <x:c r="E52" s="2" t="str">
        <x:v>八代市福正元町</x:v>
      </x:c>
      <x:c r="F52" s="2" t="str">
        <x:v>平日</x:v>
      </x:c>
      <x:c r="G52" s="8" t="n">
        <x:v>21200</x:v>
      </x:c>
      <x:c r="H52" s="8" t="n">
        <x:v>18600</x:v>
      </x:c>
      <x:c r="I52" s="8" t="n">
        <x:v>2600</x:v>
      </x:c>
      <x:c r="J52" s="9" t="n">
        <x:f>IF(AND(ISNUMBER(I52),ISNUMBER(G52),G52&gt;0),I52/G52,"")</x:f>
        <x:v>0.12264150943396226</x:v>
      </x:c>
      <x:c r="K52" s="9" t="str">
        <x:f>IF(AND(ISNUMBER(I52),COUNTIFS($A$2:$A$313,EDATE(A52,-12),$B$2:$B$313,B52,$F$2:$F$313,F52,$I$2:$I$313,"&gt;0")=1),I52/SUMIFS($I$2:$I$313,$A$2:$A$313,EDATE(A52,-12),$B$2:$B$313,B52,$F$2:$F$313,F52)-1,"")</x:f>
      </x:c>
      <x:c r="L52" s="2" t="str">
        <x:v>取得済</x:v>
      </x:c>
      <x:c r="M52" s="2" t="str">
        <x:v>https://www.qsr.mlit.go.jp/n-michi/useful/kotsuryo/shukei/data/tcdata.json</x:v>
      </x:c>
      <x:c r="N52" s="2" t="str">
        <x:v>https://www.qsr.mlit.go.jp/n-michi/useful/kotsuryo/shukei/data/tcmas.json</x:v>
      </x:c>
    </x:row>
    <x:row r="53" ht="21" customHeight="1">
      <x:c r="A53" s="7" t="n">
        <x:v>45505</x:v>
      </x:c>
      <x:c r="B53" s="2" t="str">
        <x:v>9310130</x:v>
      </x:c>
      <x:c r="C53" s="2" t="str">
        <x:v>大津</x:v>
      </x:c>
      <x:c r="D53" s="2" t="str">
        <x:v>一般国道57号</x:v>
      </x:c>
      <x:c r="E53" s="2" t="str">
        <x:v>菊池郡大津町室</x:v>
      </x:c>
      <x:c r="F53" s="2" t="str">
        <x:v>休日</x:v>
      </x:c>
      <x:c r="G53" s="8" t="n">
        <x:v>31800</x:v>
      </x:c>
      <x:c r="H53" s="8" t="n">
        <x:v>30400</x:v>
      </x:c>
      <x:c r="I53" s="8" t="n">
        <x:v>1400</x:v>
      </x:c>
      <x:c r="J53" s="9" t="n">
        <x:f>IF(AND(ISNUMBER(I53),ISNUMBER(G53),G53&gt;0),I53/G53,"")</x:f>
        <x:v>0.0440251572327044</x:v>
      </x:c>
      <x:c r="K53" s="9" t="str">
        <x:f>IF(AND(ISNUMBER(I53),COUNTIFS($A$2:$A$313,EDATE(A53,-12),$B$2:$B$313,B53,$F$2:$F$313,F53,$I$2:$I$313,"&gt;0")=1),I53/SUMIFS($I$2:$I$313,$A$2:$A$313,EDATE(A53,-12),$B$2:$B$313,B53,$F$2:$F$313,F53)-1,"")</x:f>
      </x:c>
      <x:c r="L53" s="2" t="str">
        <x:v>取得済</x:v>
      </x:c>
      <x:c r="M53" s="2" t="str">
        <x:v>https://www.qsr.mlit.go.jp/n-michi/useful/kotsuryo/shukei/data/tcdata.json</x:v>
      </x:c>
      <x:c r="N53" s="2" t="str">
        <x:v>https://www.qsr.mlit.go.jp/n-michi/useful/kotsuryo/shukei/data/tcmas.json</x:v>
      </x:c>
    </x:row>
    <x:row r="54" ht="21" customHeight="1">
      <x:c r="A54" s="7" t="n">
        <x:v>45505</x:v>
      </x:c>
      <x:c r="B54" s="2" t="str">
        <x:v>9310130</x:v>
      </x:c>
      <x:c r="C54" s="2" t="str">
        <x:v>大津</x:v>
      </x:c>
      <x:c r="D54" s="2" t="str">
        <x:v>一般国道57号</x:v>
      </x:c>
      <x:c r="E54" s="2" t="str">
        <x:v>菊池郡大津町室</x:v>
      </x:c>
      <x:c r="F54" s="2" t="str">
        <x:v>全日</x:v>
      </x:c>
      <x:c r="G54" s="8" t="n">
        <x:v>30400</x:v>
      </x:c>
      <x:c r="H54" s="8" t="n">
        <x:v>28500</x:v>
      </x:c>
      <x:c r="I54" s="8" t="n">
        <x:v>1900</x:v>
      </x:c>
      <x:c r="J54" s="9" t="n">
        <x:f>IF(AND(ISNUMBER(I54),ISNUMBER(G54),G54&gt;0),I54/G54,"")</x:f>
        <x:v>0.0625</x:v>
      </x:c>
      <x:c r="K54" s="9" t="str">
        <x:f>IF(AND(ISNUMBER(I54),COUNTIFS($A$2:$A$313,EDATE(A54,-12),$B$2:$B$313,B54,$F$2:$F$313,F54,$I$2:$I$313,"&gt;0")=1),I54/SUMIFS($I$2:$I$313,$A$2:$A$313,EDATE(A54,-12),$B$2:$B$313,B54,$F$2:$F$313,F54)-1,"")</x:f>
      </x:c>
      <x:c r="L54" s="2" t="str">
        <x:v>取得済</x:v>
      </x:c>
      <x:c r="M54" s="2" t="str">
        <x:v>https://www.qsr.mlit.go.jp/n-michi/useful/kotsuryo/shukei/data/tcdata.json</x:v>
      </x:c>
      <x:c r="N54" s="2" t="str">
        <x:v>https://www.qsr.mlit.go.jp/n-michi/useful/kotsuryo/shukei/data/tcmas.json</x:v>
      </x:c>
    </x:row>
    <x:row r="55" ht="21" customHeight="1">
      <x:c r="A55" s="7" t="n">
        <x:v>45505</x:v>
      </x:c>
      <x:c r="B55" s="2" t="str">
        <x:v>9310130</x:v>
      </x:c>
      <x:c r="C55" s="2" t="str">
        <x:v>大津</x:v>
      </x:c>
      <x:c r="D55" s="2" t="str">
        <x:v>一般国道57号</x:v>
      </x:c>
      <x:c r="E55" s="2" t="str">
        <x:v>菊池郡大津町室</x:v>
      </x:c>
      <x:c r="F55" s="2" t="str">
        <x:v>平日</x:v>
      </x:c>
      <x:c r="G55" s="8" t="n">
        <x:v>29700</x:v>
      </x:c>
      <x:c r="H55" s="8" t="n">
        <x:v>27700</x:v>
      </x:c>
      <x:c r="I55" s="8" t="n">
        <x:v>2000</x:v>
      </x:c>
      <x:c r="J55" s="9" t="n">
        <x:f>IF(AND(ISNUMBER(I55),ISNUMBER(G55),G55&gt;0),I55/G55,"")</x:f>
        <x:v>0.06734006734006734</x:v>
      </x:c>
      <x:c r="K55" s="9" t="str">
        <x:f>IF(AND(ISNUMBER(I55),COUNTIFS($A$2:$A$313,EDATE(A55,-12),$B$2:$B$313,B55,$F$2:$F$313,F55,$I$2:$I$313,"&gt;0")=1),I55/SUMIFS($I$2:$I$313,$A$2:$A$313,EDATE(A55,-12),$B$2:$B$313,B55,$F$2:$F$313,F55)-1,"")</x:f>
      </x:c>
      <x:c r="L55" s="2" t="str">
        <x:v>取得済</x:v>
      </x:c>
      <x:c r="M55" s="2" t="str">
        <x:v>https://www.qsr.mlit.go.jp/n-michi/useful/kotsuryo/shukei/data/tcdata.json</x:v>
      </x:c>
      <x:c r="N55" s="2" t="str">
        <x:v>https://www.qsr.mlit.go.jp/n-michi/useful/kotsuryo/shukei/data/tcmas.json</x:v>
      </x:c>
    </x:row>
    <x:row r="56" ht="21" customHeight="1">
      <x:c r="A56" s="7" t="n">
        <x:v>45505</x:v>
      </x:c>
      <x:c r="B56" s="2" t="str">
        <x:v>9310140</x:v>
      </x:c>
      <x:c r="C56" s="2" t="str">
        <x:v>新南部</x:v>
      </x:c>
      <x:c r="D56" s="2" t="str">
        <x:v>一般国道57号</x:v>
      </x:c>
      <x:c r="E56" s="2" t="str">
        <x:v>熊本市東区下南部</x:v>
      </x:c>
      <x:c r="F56" s="2" t="str">
        <x:v>休日</x:v>
      </x:c>
      <x:c r="G56" s="8" t="n">
        <x:v>43000</x:v>
      </x:c>
      <x:c r="H56" s="8" t="n">
        <x:v>40400</x:v>
      </x:c>
      <x:c r="I56" s="8" t="n">
        <x:v>2600</x:v>
      </x:c>
      <x:c r="J56" s="9" t="n">
        <x:f>IF(AND(ISNUMBER(I56),ISNUMBER(G56),G56&gt;0),I56/G56,"")</x:f>
        <x:v>0.06046511627906977</x:v>
      </x:c>
      <x:c r="K56" s="9" t="str">
        <x:f>IF(AND(ISNUMBER(I56),COUNTIFS($A$2:$A$313,EDATE(A56,-12),$B$2:$B$313,B56,$F$2:$F$313,F56,$I$2:$I$313,"&gt;0")=1),I56/SUMIFS($I$2:$I$313,$A$2:$A$313,EDATE(A56,-12),$B$2:$B$313,B56,$F$2:$F$313,F56)-1,"")</x:f>
      </x:c>
      <x:c r="L56" s="2" t="str">
        <x:v>取得済</x:v>
      </x:c>
      <x:c r="M56" s="2" t="str">
        <x:v>https://www.qsr.mlit.go.jp/n-michi/useful/kotsuryo/shukei/data/tcdata.json</x:v>
      </x:c>
      <x:c r="N56" s="2" t="str">
        <x:v>https://www.qsr.mlit.go.jp/n-michi/useful/kotsuryo/shukei/data/tcmas.json</x:v>
      </x:c>
    </x:row>
    <x:row r="57" ht="21" customHeight="1">
      <x:c r="A57" s="7" t="n">
        <x:v>45505</x:v>
      </x:c>
      <x:c r="B57" s="2" t="str">
        <x:v>9310140</x:v>
      </x:c>
      <x:c r="C57" s="2" t="str">
        <x:v>新南部</x:v>
      </x:c>
      <x:c r="D57" s="2" t="str">
        <x:v>一般国道57号</x:v>
      </x:c>
      <x:c r="E57" s="2" t="str">
        <x:v>熊本市東区下南部</x:v>
      </x:c>
      <x:c r="F57" s="2" t="str">
        <x:v>全日</x:v>
      </x:c>
      <x:c r="G57" s="8" t="n">
        <x:v>42800</x:v>
      </x:c>
      <x:c r="H57" s="8" t="n">
        <x:v>39200</x:v>
      </x:c>
      <x:c r="I57" s="8" t="n">
        <x:v>3600</x:v>
      </x:c>
      <x:c r="J57" s="9" t="n">
        <x:f>IF(AND(ISNUMBER(I57),ISNUMBER(G57),G57&gt;0),I57/G57,"")</x:f>
        <x:v>0.08411214953271028</x:v>
      </x:c>
      <x:c r="K57" s="9" t="str">
        <x:f>IF(AND(ISNUMBER(I57),COUNTIFS($A$2:$A$313,EDATE(A57,-12),$B$2:$B$313,B57,$F$2:$F$313,F57,$I$2:$I$313,"&gt;0")=1),I57/SUMIFS($I$2:$I$313,$A$2:$A$313,EDATE(A57,-12),$B$2:$B$313,B57,$F$2:$F$313,F57)-1,"")</x:f>
      </x:c>
      <x:c r="L57" s="2" t="str">
        <x:v>取得済</x:v>
      </x:c>
      <x:c r="M57" s="2" t="str">
        <x:v>https://www.qsr.mlit.go.jp/n-michi/useful/kotsuryo/shukei/data/tcdata.json</x:v>
      </x:c>
      <x:c r="N57" s="2" t="str">
        <x:v>https://www.qsr.mlit.go.jp/n-michi/useful/kotsuryo/shukei/data/tcmas.json</x:v>
      </x:c>
    </x:row>
    <x:row r="58" ht="21" customHeight="1">
      <x:c r="A58" s="7" t="n">
        <x:v>45505</x:v>
      </x:c>
      <x:c r="B58" s="2" t="str">
        <x:v>9310140</x:v>
      </x:c>
      <x:c r="C58" s="2" t="str">
        <x:v>新南部</x:v>
      </x:c>
      <x:c r="D58" s="2" t="str">
        <x:v>一般国道57号</x:v>
      </x:c>
      <x:c r="E58" s="2" t="str">
        <x:v>熊本市東区下南部</x:v>
      </x:c>
      <x:c r="F58" s="2" t="str">
        <x:v>平日</x:v>
      </x:c>
      <x:c r="G58" s="8" t="n">
        <x:v>42600</x:v>
      </x:c>
      <x:c r="H58" s="8" t="n">
        <x:v>38600</x:v>
      </x:c>
      <x:c r="I58" s="8" t="n">
        <x:v>4000</x:v>
      </x:c>
      <x:c r="J58" s="9" t="n">
        <x:f>IF(AND(ISNUMBER(I58),ISNUMBER(G58),G58&gt;0),I58/G58,"")</x:f>
        <x:v>0.09389671361502347</x:v>
      </x:c>
      <x:c r="K58" s="9" t="str">
        <x:f>IF(AND(ISNUMBER(I58),COUNTIFS($A$2:$A$313,EDATE(A58,-12),$B$2:$B$313,B58,$F$2:$F$313,F58,$I$2:$I$313,"&gt;0")=1),I58/SUMIFS($I$2:$I$313,$A$2:$A$313,EDATE(A58,-12),$B$2:$B$313,B58,$F$2:$F$313,F58)-1,"")</x:f>
      </x:c>
      <x:c r="L58" s="2" t="str">
        <x:v>取得済</x:v>
      </x:c>
      <x:c r="M58" s="2" t="str">
        <x:v>https://www.qsr.mlit.go.jp/n-michi/useful/kotsuryo/shukei/data/tcdata.json</x:v>
      </x:c>
      <x:c r="N58" s="2" t="str">
        <x:v>https://www.qsr.mlit.go.jp/n-michi/useful/kotsuryo/shukei/data/tcmas.json</x:v>
      </x:c>
    </x:row>
    <x:row r="59" ht="21" customHeight="1">
      <x:c r="A59" s="7" t="n">
        <x:v>45505</x:v>
      </x:c>
      <x:c r="B59" s="2" t="str">
        <x:v>9110030</x:v>
      </x:c>
      <x:c r="C59" s="2" t="str">
        <x:v>熊本</x:v>
      </x:c>
      <x:c r="D59" s="2" t="str">
        <x:v>一般国道3号</x:v>
      </x:c>
      <x:c r="E59" s="2" t="str">
        <x:v>熊本市南区南高江</x:v>
      </x:c>
      <x:c r="F59" s="2" t="str">
        <x:v>休日</x:v>
      </x:c>
      <x:c r="G59" s="8" t="n">
        <x:v>38100</x:v>
      </x:c>
      <x:c r="H59" s="8" t="n">
        <x:v>36100</x:v>
      </x:c>
      <x:c r="I59" s="8" t="n">
        <x:v>2000</x:v>
      </x:c>
      <x:c r="J59" s="9" t="n">
        <x:f>IF(AND(ISNUMBER(I59),ISNUMBER(G59),G59&gt;0),I59/G59,"")</x:f>
        <x:v>0.05249343832020997</x:v>
      </x:c>
      <x:c r="K59" s="9" t="str">
        <x:f>IF(AND(ISNUMBER(I59),COUNTIFS($A$2:$A$313,EDATE(A59,-12),$B$2:$B$313,B59,$F$2:$F$313,F59,$I$2:$I$313,"&gt;0")=1),I59/SUMIFS($I$2:$I$313,$A$2:$A$313,EDATE(A59,-12),$B$2:$B$313,B59,$F$2:$F$313,F59)-1,"")</x:f>
      </x:c>
      <x:c r="L59" s="2" t="str">
        <x:v>取得済</x:v>
      </x:c>
      <x:c r="M59" s="2" t="str">
        <x:v>https://www.qsr.mlit.go.jp/n-michi/useful/kotsuryo/shukei/data/tcdata.json</x:v>
      </x:c>
      <x:c r="N59" s="2" t="str">
        <x:v>https://www.qsr.mlit.go.jp/n-michi/useful/kotsuryo/shukei/data/tcmas.json</x:v>
      </x:c>
    </x:row>
    <x:row r="60" ht="21" customHeight="1">
      <x:c r="A60" s="7" t="n">
        <x:v>45505</x:v>
      </x:c>
      <x:c r="B60" s="2" t="str">
        <x:v>9110030</x:v>
      </x:c>
      <x:c r="C60" s="2" t="str">
        <x:v>熊本</x:v>
      </x:c>
      <x:c r="D60" s="2" t="str">
        <x:v>一般国道3号</x:v>
      </x:c>
      <x:c r="E60" s="2" t="str">
        <x:v>熊本市南区南高江</x:v>
      </x:c>
      <x:c r="F60" s="2" t="str">
        <x:v>全日</x:v>
      </x:c>
      <x:c r="G60" s="8" t="n">
        <x:v>37500</x:v>
      </x:c>
      <x:c r="H60" s="8" t="n">
        <x:v>34700</x:v>
      </x:c>
      <x:c r="I60" s="8" t="n">
        <x:v>2800</x:v>
      </x:c>
      <x:c r="J60" s="9" t="n">
        <x:f>IF(AND(ISNUMBER(I60),ISNUMBER(G60),G60&gt;0),I60/G60,"")</x:f>
        <x:v>0.07466666666666667</x:v>
      </x:c>
      <x:c r="K60" s="9" t="str">
        <x:f>IF(AND(ISNUMBER(I60),COUNTIFS($A$2:$A$313,EDATE(A60,-12),$B$2:$B$313,B60,$F$2:$F$313,F60,$I$2:$I$313,"&gt;0")=1),I60/SUMIFS($I$2:$I$313,$A$2:$A$313,EDATE(A60,-12),$B$2:$B$313,B60,$F$2:$F$313,F60)-1,"")</x:f>
      </x:c>
      <x:c r="L60" s="2" t="str">
        <x:v>取得済</x:v>
      </x:c>
      <x:c r="M60" s="2" t="str">
        <x:v>https://www.qsr.mlit.go.jp/n-michi/useful/kotsuryo/shukei/data/tcdata.json</x:v>
      </x:c>
      <x:c r="N60" s="2" t="str">
        <x:v>https://www.qsr.mlit.go.jp/n-michi/useful/kotsuryo/shukei/data/tcmas.json</x:v>
      </x:c>
    </x:row>
    <x:row r="61" ht="21" customHeight="1">
      <x:c r="A61" s="7" t="n">
        <x:v>45505</x:v>
      </x:c>
      <x:c r="B61" s="2" t="str">
        <x:v>9110030</x:v>
      </x:c>
      <x:c r="C61" s="2" t="str">
        <x:v>熊本</x:v>
      </x:c>
      <x:c r="D61" s="2" t="str">
        <x:v>一般国道3号</x:v>
      </x:c>
      <x:c r="E61" s="2" t="str">
        <x:v>熊本市南区南高江</x:v>
      </x:c>
      <x:c r="F61" s="2" t="str">
        <x:v>平日</x:v>
      </x:c>
      <x:c r="G61" s="8" t="n">
        <x:v>37300</x:v>
      </x:c>
      <x:c r="H61" s="8" t="n">
        <x:v>34000</x:v>
      </x:c>
      <x:c r="I61" s="8" t="n">
        <x:v>3300</x:v>
      </x:c>
      <x:c r="J61" s="9" t="n">
        <x:f>IF(AND(ISNUMBER(I61),ISNUMBER(G61),G61&gt;0),I61/G61,"")</x:f>
        <x:v>0.08847184986595175</x:v>
      </x:c>
      <x:c r="K61" s="9" t="str">
        <x:f>IF(AND(ISNUMBER(I61),COUNTIFS($A$2:$A$313,EDATE(A61,-12),$B$2:$B$313,B61,$F$2:$F$313,F61,$I$2:$I$313,"&gt;0")=1),I61/SUMIFS($I$2:$I$313,$A$2:$A$313,EDATE(A61,-12),$B$2:$B$313,B61,$F$2:$F$313,F61)-1,"")</x:f>
      </x:c>
      <x:c r="L61" s="2" t="str">
        <x:v>取得済</x:v>
      </x:c>
      <x:c r="M61" s="2" t="str">
        <x:v>https://www.qsr.mlit.go.jp/n-michi/useful/kotsuryo/shukei/data/tcdata.json</x:v>
      </x:c>
      <x:c r="N61" s="2" t="str">
        <x:v>https://www.qsr.mlit.go.jp/n-michi/useful/kotsuryo/shukei/data/tcmas.json</x:v>
      </x:c>
    </x:row>
    <x:row r="62" ht="21" customHeight="1">
      <x:c r="A62" s="7" t="n">
        <x:v>45536</x:v>
      </x:c>
      <x:c r="B62" s="2" t="str">
        <x:v>9110050</x:v>
      </x:c>
      <x:c r="C62" s="2" t="str">
        <x:v>八代</x:v>
      </x:c>
      <x:c r="D62" s="2" t="str">
        <x:v>一般国道3号</x:v>
      </x:c>
      <x:c r="E62" s="2" t="str">
        <x:v>八代市福正元町</x:v>
      </x:c>
      <x:c r="F62" s="2" t="str">
        <x:v>休日</x:v>
      </x:c>
      <x:c r="G62" s="8" t="n">
        <x:v>19600</x:v>
      </x:c>
      <x:c r="H62" s="8" t="n">
        <x:v>18100</x:v>
      </x:c>
      <x:c r="I62" s="8" t="n">
        <x:v>1500</x:v>
      </x:c>
      <x:c r="J62" s="9" t="n">
        <x:f>IF(AND(ISNUMBER(I62),ISNUMBER(G62),G62&gt;0),I62/G62,"")</x:f>
        <x:v>0.07653061224489796</x:v>
      </x:c>
      <x:c r="K62" s="9" t="str">
        <x:f>IF(AND(ISNUMBER(I62),COUNTIFS($A$2:$A$313,EDATE(A62,-12),$B$2:$B$313,B62,$F$2:$F$313,F62,$I$2:$I$313,"&gt;0")=1),I62/SUMIFS($I$2:$I$313,$A$2:$A$313,EDATE(A62,-12),$B$2:$B$313,B62,$F$2:$F$313,F62)-1,"")</x:f>
      </x:c>
      <x:c r="L62" s="2" t="str">
        <x:v>取得済</x:v>
      </x:c>
      <x:c r="M62" s="2" t="str">
        <x:v>https://www.qsr.mlit.go.jp/n-michi/useful/kotsuryo/shukei/data/tcdata.json</x:v>
      </x:c>
      <x:c r="N62" s="2" t="str">
        <x:v>https://www.qsr.mlit.go.jp/n-michi/useful/kotsuryo/shukei/data/tcmas.json</x:v>
      </x:c>
    </x:row>
    <x:row r="63" ht="21" customHeight="1">
      <x:c r="A63" s="7" t="n">
        <x:v>45536</x:v>
      </x:c>
      <x:c r="B63" s="2" t="str">
        <x:v>9110050</x:v>
      </x:c>
      <x:c r="C63" s="2" t="str">
        <x:v>八代</x:v>
      </x:c>
      <x:c r="D63" s="2" t="str">
        <x:v>一般国道3号</x:v>
      </x:c>
      <x:c r="E63" s="2" t="str">
        <x:v>八代市福正元町</x:v>
      </x:c>
      <x:c r="F63" s="2" t="str">
        <x:v>全日</x:v>
      </x:c>
      <x:c r="G63" s="8" t="n">
        <x:v>21100</x:v>
      </x:c>
      <x:c r="H63" s="8" t="n">
        <x:v>18600</x:v>
      </x:c>
      <x:c r="I63" s="8" t="n">
        <x:v>2500</x:v>
      </x:c>
      <x:c r="J63" s="9" t="n">
        <x:f>IF(AND(ISNUMBER(I63),ISNUMBER(G63),G63&gt;0),I63/G63,"")</x:f>
        <x:v>0.11848341232227488</x:v>
      </x:c>
      <x:c r="K63" s="9" t="str">
        <x:f>IF(AND(ISNUMBER(I63),COUNTIFS($A$2:$A$313,EDATE(A63,-12),$B$2:$B$313,B63,$F$2:$F$313,F63,$I$2:$I$313,"&gt;0")=1),I63/SUMIFS($I$2:$I$313,$A$2:$A$313,EDATE(A63,-12),$B$2:$B$313,B63,$F$2:$F$313,F63)-1,"")</x:f>
      </x:c>
      <x:c r="L63" s="2" t="str">
        <x:v>取得済</x:v>
      </x:c>
      <x:c r="M63" s="2" t="str">
        <x:v>https://www.qsr.mlit.go.jp/n-michi/useful/kotsuryo/shukei/data/tcdata.json</x:v>
      </x:c>
      <x:c r="N63" s="2" t="str">
        <x:v>https://www.qsr.mlit.go.jp/n-michi/useful/kotsuryo/shukei/data/tcmas.json</x:v>
      </x:c>
    </x:row>
    <x:row r="64" ht="21" customHeight="1">
      <x:c r="A64" s="7" t="n">
        <x:v>45536</x:v>
      </x:c>
      <x:c r="B64" s="2" t="str">
        <x:v>9110050</x:v>
      </x:c>
      <x:c r="C64" s="2" t="str">
        <x:v>八代</x:v>
      </x:c>
      <x:c r="D64" s="2" t="str">
        <x:v>一般国道3号</x:v>
      </x:c>
      <x:c r="E64" s="2" t="str">
        <x:v>八代市福正元町</x:v>
      </x:c>
      <x:c r="F64" s="2" t="str">
        <x:v>平日</x:v>
      </x:c>
      <x:c r="G64" s="8" t="n">
        <x:v>22000</x:v>
      </x:c>
      <x:c r="H64" s="8" t="n">
        <x:v>18900</x:v>
      </x:c>
      <x:c r="I64" s="8" t="n">
        <x:v>3100</x:v>
      </x:c>
      <x:c r="J64" s="9" t="n">
        <x:f>IF(AND(ISNUMBER(I64),ISNUMBER(G64),G64&gt;0),I64/G64,"")</x:f>
        <x:v>0.1409090909090909</x:v>
      </x:c>
      <x:c r="K64" s="9" t="str">
        <x:f>IF(AND(ISNUMBER(I64),COUNTIFS($A$2:$A$313,EDATE(A64,-12),$B$2:$B$313,B64,$F$2:$F$313,F64,$I$2:$I$313,"&gt;0")=1),I64/SUMIFS($I$2:$I$313,$A$2:$A$313,EDATE(A64,-12),$B$2:$B$313,B64,$F$2:$F$313,F64)-1,"")</x:f>
      </x:c>
      <x:c r="L64" s="2" t="str">
        <x:v>取得済</x:v>
      </x:c>
      <x:c r="M64" s="2" t="str">
        <x:v>https://www.qsr.mlit.go.jp/n-michi/useful/kotsuryo/shukei/data/tcdata.json</x:v>
      </x:c>
      <x:c r="N64" s="2" t="str">
        <x:v>https://www.qsr.mlit.go.jp/n-michi/useful/kotsuryo/shukei/data/tcmas.json</x:v>
      </x:c>
    </x:row>
    <x:row r="65" ht="21" customHeight="1">
      <x:c r="A65" s="7" t="n">
        <x:v>45536</x:v>
      </x:c>
      <x:c r="B65" s="2" t="str">
        <x:v>9310130</x:v>
      </x:c>
      <x:c r="C65" s="2" t="str">
        <x:v>大津</x:v>
      </x:c>
      <x:c r="D65" s="2" t="str">
        <x:v>一般国道57号</x:v>
      </x:c>
      <x:c r="E65" s="2" t="str">
        <x:v>菊池郡大津町室</x:v>
      </x:c>
      <x:c r="F65" s="2" t="str">
        <x:v>休日</x:v>
      </x:c>
      <x:c r="G65" s="8" t="n">
        <x:v>30600</x:v>
      </x:c>
      <x:c r="H65" s="8" t="n">
        <x:v>29400</x:v>
      </x:c>
      <x:c r="I65" s="8" t="n">
        <x:v>1200</x:v>
      </x:c>
      <x:c r="J65" s="9" t="n">
        <x:f>IF(AND(ISNUMBER(I65),ISNUMBER(G65),G65&gt;0),I65/G65,"")</x:f>
        <x:v>0.0392156862745098</x:v>
      </x:c>
      <x:c r="K65" s="9" t="str">
        <x:f>IF(AND(ISNUMBER(I65),COUNTIFS($A$2:$A$313,EDATE(A65,-12),$B$2:$B$313,B65,$F$2:$F$313,F65,$I$2:$I$313,"&gt;0")=1),I65/SUMIFS($I$2:$I$313,$A$2:$A$313,EDATE(A65,-12),$B$2:$B$313,B65,$F$2:$F$313,F65)-1,"")</x:f>
      </x:c>
      <x:c r="L65" s="2" t="str">
        <x:v>取得済</x:v>
      </x:c>
      <x:c r="M65" s="2" t="str">
        <x:v>https://www.qsr.mlit.go.jp/n-michi/useful/kotsuryo/shukei/data/tcdata.json</x:v>
      </x:c>
      <x:c r="N65" s="2" t="str">
        <x:v>https://www.qsr.mlit.go.jp/n-michi/useful/kotsuryo/shukei/data/tcmas.json</x:v>
      </x:c>
    </x:row>
    <x:row r="66" ht="21" customHeight="1">
      <x:c r="A66" s="7" t="n">
        <x:v>45536</x:v>
      </x:c>
      <x:c r="B66" s="2" t="str">
        <x:v>9310130</x:v>
      </x:c>
      <x:c r="C66" s="2" t="str">
        <x:v>大津</x:v>
      </x:c>
      <x:c r="D66" s="2" t="str">
        <x:v>一般国道57号</x:v>
      </x:c>
      <x:c r="E66" s="2" t="str">
        <x:v>菊池郡大津町室</x:v>
      </x:c>
      <x:c r="F66" s="2" t="str">
        <x:v>全日</x:v>
      </x:c>
      <x:c r="G66" s="8" t="n">
        <x:v>30000</x:v>
      </x:c>
      <x:c r="H66" s="8" t="n">
        <x:v>28000</x:v>
      </x:c>
      <x:c r="I66" s="8" t="n">
        <x:v>2000</x:v>
      </x:c>
      <x:c r="J66" s="9" t="n">
        <x:f>IF(AND(ISNUMBER(I66),ISNUMBER(G66),G66&gt;0),I66/G66,"")</x:f>
        <x:v>0.06666666666666667</x:v>
      </x:c>
      <x:c r="K66" s="9" t="str">
        <x:f>IF(AND(ISNUMBER(I66),COUNTIFS($A$2:$A$313,EDATE(A66,-12),$B$2:$B$313,B66,$F$2:$F$313,F66,$I$2:$I$313,"&gt;0")=1),I66/SUMIFS($I$2:$I$313,$A$2:$A$313,EDATE(A66,-12),$B$2:$B$313,B66,$F$2:$F$313,F66)-1,"")</x:f>
      </x:c>
      <x:c r="L66" s="2" t="str">
        <x:v>取得済</x:v>
      </x:c>
      <x:c r="M66" s="2" t="str">
        <x:v>https://www.qsr.mlit.go.jp/n-michi/useful/kotsuryo/shukei/data/tcdata.json</x:v>
      </x:c>
      <x:c r="N66" s="2" t="str">
        <x:v>https://www.qsr.mlit.go.jp/n-michi/useful/kotsuryo/shukei/data/tcmas.json</x:v>
      </x:c>
    </x:row>
    <x:row r="67" ht="21" customHeight="1">
      <x:c r="A67" s="7" t="n">
        <x:v>45536</x:v>
      </x:c>
      <x:c r="B67" s="2" t="str">
        <x:v>9310130</x:v>
      </x:c>
      <x:c r="C67" s="2" t="str">
        <x:v>大津</x:v>
      </x:c>
      <x:c r="D67" s="2" t="str">
        <x:v>一般国道57号</x:v>
      </x:c>
      <x:c r="E67" s="2" t="str">
        <x:v>菊池郡大津町室</x:v>
      </x:c>
      <x:c r="F67" s="2" t="str">
        <x:v>平日</x:v>
      </x:c>
      <x:c r="G67" s="8" t="n">
        <x:v>29700</x:v>
      </x:c>
      <x:c r="H67" s="8" t="n">
        <x:v>27200</x:v>
      </x:c>
      <x:c r="I67" s="8" t="n">
        <x:v>2500</x:v>
      </x:c>
      <x:c r="J67" s="9" t="n">
        <x:f>IF(AND(ISNUMBER(I67),ISNUMBER(G67),G67&gt;0),I67/G67,"")</x:f>
        <x:v>0.08417508417508418</x:v>
      </x:c>
      <x:c r="K67" s="9" t="str">
        <x:f>IF(AND(ISNUMBER(I67),COUNTIFS($A$2:$A$313,EDATE(A67,-12),$B$2:$B$313,B67,$F$2:$F$313,F67,$I$2:$I$313,"&gt;0")=1),I67/SUMIFS($I$2:$I$313,$A$2:$A$313,EDATE(A67,-12),$B$2:$B$313,B67,$F$2:$F$313,F67)-1,"")</x:f>
      </x:c>
      <x:c r="L67" s="2" t="str">
        <x:v>取得済</x:v>
      </x:c>
      <x:c r="M67" s="2" t="str">
        <x:v>https://www.qsr.mlit.go.jp/n-michi/useful/kotsuryo/shukei/data/tcdata.json</x:v>
      </x:c>
      <x:c r="N67" s="2" t="str">
        <x:v>https://www.qsr.mlit.go.jp/n-michi/useful/kotsuryo/shukei/data/tcmas.json</x:v>
      </x:c>
    </x:row>
    <x:row r="68" ht="21" customHeight="1">
      <x:c r="A68" s="7" t="n">
        <x:v>45536</x:v>
      </x:c>
      <x:c r="B68" s="2" t="str">
        <x:v>9310140</x:v>
      </x:c>
      <x:c r="C68" s="2" t="str">
        <x:v>新南部</x:v>
      </x:c>
      <x:c r="D68" s="2" t="str">
        <x:v>一般国道57号</x:v>
      </x:c>
      <x:c r="E68" s="2" t="str">
        <x:v>熊本市東区下南部</x:v>
      </x:c>
      <x:c r="F68" s="2" t="str">
        <x:v>休日</x:v>
      </x:c>
      <x:c r="G68" s="8" t="n">
        <x:v>42500</x:v>
      </x:c>
      <x:c r="H68" s="8" t="n">
        <x:v>40000</x:v>
      </x:c>
      <x:c r="I68" s="8" t="n">
        <x:v>2500</x:v>
      </x:c>
      <x:c r="J68" s="9" t="n">
        <x:f>IF(AND(ISNUMBER(I68),ISNUMBER(G68),G68&gt;0),I68/G68,"")</x:f>
        <x:v>0.058823529411764705</x:v>
      </x:c>
      <x:c r="K68" s="9" t="str">
        <x:f>IF(AND(ISNUMBER(I68),COUNTIFS($A$2:$A$313,EDATE(A68,-12),$B$2:$B$313,B68,$F$2:$F$313,F68,$I$2:$I$313,"&gt;0")=1),I68/SUMIFS($I$2:$I$313,$A$2:$A$313,EDATE(A68,-12),$B$2:$B$313,B68,$F$2:$F$313,F68)-1,"")</x:f>
      </x:c>
      <x:c r="L68" s="2" t="str">
        <x:v>取得済</x:v>
      </x:c>
      <x:c r="M68" s="2" t="str">
        <x:v>https://www.qsr.mlit.go.jp/n-michi/useful/kotsuryo/shukei/data/tcdata.json</x:v>
      </x:c>
      <x:c r="N68" s="2" t="str">
        <x:v>https://www.qsr.mlit.go.jp/n-michi/useful/kotsuryo/shukei/data/tcmas.json</x:v>
      </x:c>
    </x:row>
    <x:row r="69" ht="21" customHeight="1">
      <x:c r="A69" s="7" t="n">
        <x:v>45536</x:v>
      </x:c>
      <x:c r="B69" s="2" t="str">
        <x:v>9310140</x:v>
      </x:c>
      <x:c r="C69" s="2" t="str">
        <x:v>新南部</x:v>
      </x:c>
      <x:c r="D69" s="2" t="str">
        <x:v>一般国道57号</x:v>
      </x:c>
      <x:c r="E69" s="2" t="str">
        <x:v>熊本市東区下南部</x:v>
      </x:c>
      <x:c r="F69" s="2" t="str">
        <x:v>全日</x:v>
      </x:c>
      <x:c r="G69" s="8" t="n">
        <x:v>44000</x:v>
      </x:c>
      <x:c r="H69" s="8" t="n">
        <x:v>40000</x:v>
      </x:c>
      <x:c r="I69" s="8" t="n">
        <x:v>4000</x:v>
      </x:c>
      <x:c r="J69" s="9" t="n">
        <x:f>IF(AND(ISNUMBER(I69),ISNUMBER(G69),G69&gt;0),I69/G69,"")</x:f>
        <x:v>0.09090909090909091</x:v>
      </x:c>
      <x:c r="K69" s="9" t="str">
        <x:f>IF(AND(ISNUMBER(I69),COUNTIFS($A$2:$A$313,EDATE(A69,-12),$B$2:$B$313,B69,$F$2:$F$313,F69,$I$2:$I$313,"&gt;0")=1),I69/SUMIFS($I$2:$I$313,$A$2:$A$313,EDATE(A69,-12),$B$2:$B$313,B69,$F$2:$F$313,F69)-1,"")</x:f>
      </x:c>
      <x:c r="L69" s="2" t="str">
        <x:v>取得済</x:v>
      </x:c>
      <x:c r="M69" s="2" t="str">
        <x:v>https://www.qsr.mlit.go.jp/n-michi/useful/kotsuryo/shukei/data/tcdata.json</x:v>
      </x:c>
      <x:c r="N69" s="2" t="str">
        <x:v>https://www.qsr.mlit.go.jp/n-michi/useful/kotsuryo/shukei/data/tcmas.json</x:v>
      </x:c>
    </x:row>
    <x:row r="70" ht="21" customHeight="1">
      <x:c r="A70" s="7" t="n">
        <x:v>45536</x:v>
      </x:c>
      <x:c r="B70" s="2" t="str">
        <x:v>9310140</x:v>
      </x:c>
      <x:c r="C70" s="2" t="str">
        <x:v>新南部</x:v>
      </x:c>
      <x:c r="D70" s="2" t="str">
        <x:v>一般国道57号</x:v>
      </x:c>
      <x:c r="E70" s="2" t="str">
        <x:v>熊本市東区下南部</x:v>
      </x:c>
      <x:c r="F70" s="2" t="str">
        <x:v>平日</x:v>
      </x:c>
      <x:c r="G70" s="8" t="n">
        <x:v>44800</x:v>
      </x:c>
      <x:c r="H70" s="8" t="n">
        <x:v>40000</x:v>
      </x:c>
      <x:c r="I70" s="8" t="n">
        <x:v>4800</x:v>
      </x:c>
      <x:c r="J70" s="9" t="n">
        <x:f>IF(AND(ISNUMBER(I70),ISNUMBER(G70),G70&gt;0),I70/G70,"")</x:f>
        <x:v>0.10714285714285714</x:v>
      </x:c>
      <x:c r="K70" s="9" t="str">
        <x:f>IF(AND(ISNUMBER(I70),COUNTIFS($A$2:$A$313,EDATE(A70,-12),$B$2:$B$313,B70,$F$2:$F$313,F70,$I$2:$I$313,"&gt;0")=1),I70/SUMIFS($I$2:$I$313,$A$2:$A$313,EDATE(A70,-12),$B$2:$B$313,B70,$F$2:$F$313,F70)-1,"")</x:f>
      </x:c>
      <x:c r="L70" s="2" t="str">
        <x:v>取得済</x:v>
      </x:c>
      <x:c r="M70" s="2" t="str">
        <x:v>https://www.qsr.mlit.go.jp/n-michi/useful/kotsuryo/shukei/data/tcdata.json</x:v>
      </x:c>
      <x:c r="N70" s="2" t="str">
        <x:v>https://www.qsr.mlit.go.jp/n-michi/useful/kotsuryo/shukei/data/tcmas.json</x:v>
      </x:c>
    </x:row>
    <x:row r="71" ht="21" customHeight="1">
      <x:c r="A71" s="7" t="n">
        <x:v>45536</x:v>
      </x:c>
      <x:c r="B71" s="2" t="str">
        <x:v>9110030</x:v>
      </x:c>
      <x:c r="C71" s="2" t="str">
        <x:v>熊本</x:v>
      </x:c>
      <x:c r="D71" s="2" t="str">
        <x:v>一般国道3号</x:v>
      </x:c>
      <x:c r="E71" s="2" t="str">
        <x:v>熊本市南区南高江</x:v>
      </x:c>
      <x:c r="F71" s="2" t="str">
        <x:v>休日</x:v>
      </x:c>
      <x:c r="G71" s="8" t="n">
        <x:v>37100</x:v>
      </x:c>
      <x:c r="H71" s="8" t="n">
        <x:v>35200</x:v>
      </x:c>
      <x:c r="I71" s="8" t="n">
        <x:v>1900</x:v>
      </x:c>
      <x:c r="J71" s="9" t="n">
        <x:f>IF(AND(ISNUMBER(I71),ISNUMBER(G71),G71&gt;0),I71/G71,"")</x:f>
        <x:v>0.05121293800539083</x:v>
      </x:c>
      <x:c r="K71" s="9" t="str">
        <x:f>IF(AND(ISNUMBER(I71),COUNTIFS($A$2:$A$313,EDATE(A71,-12),$B$2:$B$313,B71,$F$2:$F$313,F71,$I$2:$I$313,"&gt;0")=1),I71/SUMIFS($I$2:$I$313,$A$2:$A$313,EDATE(A71,-12),$B$2:$B$313,B71,$F$2:$F$313,F71)-1,"")</x:f>
      </x:c>
      <x:c r="L71" s="2" t="str">
        <x:v>取得済</x:v>
      </x:c>
      <x:c r="M71" s="2" t="str">
        <x:v>https://www.qsr.mlit.go.jp/n-michi/useful/kotsuryo/shukei/data/tcdata.json</x:v>
      </x:c>
      <x:c r="N71" s="2" t="str">
        <x:v>https://www.qsr.mlit.go.jp/n-michi/useful/kotsuryo/shukei/data/tcmas.json</x:v>
      </x:c>
    </x:row>
    <x:row r="72" ht="21" customHeight="1">
      <x:c r="A72" s="7" t="n">
        <x:v>45536</x:v>
      </x:c>
      <x:c r="B72" s="2" t="str">
        <x:v>9110030</x:v>
      </x:c>
      <x:c r="C72" s="2" t="str">
        <x:v>熊本</x:v>
      </x:c>
      <x:c r="D72" s="2" t="str">
        <x:v>一般国道3号</x:v>
      </x:c>
      <x:c r="E72" s="2" t="str">
        <x:v>熊本市南区南高江</x:v>
      </x:c>
      <x:c r="F72" s="2" t="str">
        <x:v>全日</x:v>
      </x:c>
      <x:c r="G72" s="8" t="n">
        <x:v>37500</x:v>
      </x:c>
      <x:c r="H72" s="8" t="n">
        <x:v>34300</x:v>
      </x:c>
      <x:c r="I72" s="8" t="n">
        <x:v>3200</x:v>
      </x:c>
      <x:c r="J72" s="9" t="n">
        <x:f>IF(AND(ISNUMBER(I72),ISNUMBER(G72),G72&gt;0),I72/G72,"")</x:f>
        <x:v>0.08533333333333333</x:v>
      </x:c>
      <x:c r="K72" s="9" t="str">
        <x:f>IF(AND(ISNUMBER(I72),COUNTIFS($A$2:$A$313,EDATE(A72,-12),$B$2:$B$313,B72,$F$2:$F$313,F72,$I$2:$I$313,"&gt;0")=1),I72/SUMIFS($I$2:$I$313,$A$2:$A$313,EDATE(A72,-12),$B$2:$B$313,B72,$F$2:$F$313,F72)-1,"")</x:f>
      </x:c>
      <x:c r="L72" s="2" t="str">
        <x:v>取得済</x:v>
      </x:c>
      <x:c r="M72" s="2" t="str">
        <x:v>https://www.qsr.mlit.go.jp/n-michi/useful/kotsuryo/shukei/data/tcdata.json</x:v>
      </x:c>
      <x:c r="N72" s="2" t="str">
        <x:v>https://www.qsr.mlit.go.jp/n-michi/useful/kotsuryo/shukei/data/tcmas.json</x:v>
      </x:c>
    </x:row>
    <x:row r="73" ht="21" customHeight="1">
      <x:c r="A73" s="7" t="n">
        <x:v>45536</x:v>
      </x:c>
      <x:c r="B73" s="2" t="str">
        <x:v>9110030</x:v>
      </x:c>
      <x:c r="C73" s="2" t="str">
        <x:v>熊本</x:v>
      </x:c>
      <x:c r="D73" s="2" t="str">
        <x:v>一般国道3号</x:v>
      </x:c>
      <x:c r="E73" s="2" t="str">
        <x:v>熊本市南区南高江</x:v>
      </x:c>
      <x:c r="F73" s="2" t="str">
        <x:v>平日</x:v>
      </x:c>
      <x:c r="G73" s="8" t="n">
        <x:v>37700</x:v>
      </x:c>
      <x:c r="H73" s="8" t="n">
        <x:v>33800</x:v>
      </x:c>
      <x:c r="I73" s="8" t="n">
        <x:v>3900</x:v>
      </x:c>
      <x:c r="J73" s="9" t="n">
        <x:f>IF(AND(ISNUMBER(I73),ISNUMBER(G73),G73&gt;0),I73/G73,"")</x:f>
        <x:v>0.10344827586206896</x:v>
      </x:c>
      <x:c r="K73" s="9" t="str">
        <x:f>IF(AND(ISNUMBER(I73),COUNTIFS($A$2:$A$313,EDATE(A73,-12),$B$2:$B$313,B73,$F$2:$F$313,F73,$I$2:$I$313,"&gt;0")=1),I73/SUMIFS($I$2:$I$313,$A$2:$A$313,EDATE(A73,-12),$B$2:$B$313,B73,$F$2:$F$313,F73)-1,"")</x:f>
      </x:c>
      <x:c r="L73" s="2" t="str">
        <x:v>取得済</x:v>
      </x:c>
      <x:c r="M73" s="2" t="str">
        <x:v>https://www.qsr.mlit.go.jp/n-michi/useful/kotsuryo/shukei/data/tcdata.json</x:v>
      </x:c>
      <x:c r="N73" s="2" t="str">
        <x:v>https://www.qsr.mlit.go.jp/n-michi/useful/kotsuryo/shukei/data/tcmas.json</x:v>
      </x:c>
    </x:row>
    <x:row r="74" ht="21" customHeight="1">
      <x:c r="A74" s="7" t="n">
        <x:v>45566</x:v>
      </x:c>
      <x:c r="B74" s="2" t="str">
        <x:v>9110050</x:v>
      </x:c>
      <x:c r="C74" s="2" t="str">
        <x:v>八代</x:v>
      </x:c>
      <x:c r="D74" s="2" t="str">
        <x:v>一般国道3号</x:v>
      </x:c>
      <x:c r="E74" s="2" t="str">
        <x:v>八代市福正元町</x:v>
      </x:c>
      <x:c r="F74" s="2" t="str">
        <x:v>休日</x:v>
      </x:c>
      <x:c r="G74" s="8" t="n">
        <x:v>19900</x:v>
      </x:c>
      <x:c r="H74" s="8" t="n">
        <x:v>18500</x:v>
      </x:c>
      <x:c r="I74" s="8" t="n">
        <x:v>1400</x:v>
      </x:c>
      <x:c r="J74" s="9" t="n">
        <x:f>IF(AND(ISNUMBER(I74),ISNUMBER(G74),G74&gt;0),I74/G74,"")</x:f>
        <x:v>0.07035175879396985</x:v>
      </x:c>
      <x:c r="K74" s="9" t="str">
        <x:f>IF(AND(ISNUMBER(I74),COUNTIFS($A$2:$A$313,EDATE(A74,-12),$B$2:$B$313,B74,$F$2:$F$313,F74,$I$2:$I$313,"&gt;0")=1),I74/SUMIFS($I$2:$I$313,$A$2:$A$313,EDATE(A74,-12),$B$2:$B$313,B74,$F$2:$F$313,F74)-1,"")</x:f>
      </x:c>
      <x:c r="L74" s="2" t="str">
        <x:v>取得済</x:v>
      </x:c>
      <x:c r="M74" s="2" t="str">
        <x:v>https://www.qsr.mlit.go.jp/n-michi/useful/kotsuryo/shukei/data/tcdata.json</x:v>
      </x:c>
      <x:c r="N74" s="2" t="str">
        <x:v>https://www.qsr.mlit.go.jp/n-michi/useful/kotsuryo/shukei/data/tcmas.json</x:v>
      </x:c>
    </x:row>
    <x:row r="75" ht="21" customHeight="1">
      <x:c r="A75" s="7" t="n">
        <x:v>45566</x:v>
      </x:c>
      <x:c r="B75" s="2" t="str">
        <x:v>9110050</x:v>
      </x:c>
      <x:c r="C75" s="2" t="str">
        <x:v>八代</x:v>
      </x:c>
      <x:c r="D75" s="2" t="str">
        <x:v>一般国道3号</x:v>
      </x:c>
      <x:c r="E75" s="2" t="str">
        <x:v>八代市福正元町</x:v>
      </x:c>
      <x:c r="F75" s="2" t="str">
        <x:v>全日</x:v>
      </x:c>
      <x:c r="G75" s="8" t="n">
        <x:v>21400</x:v>
      </x:c>
      <x:c r="H75" s="8" t="n">
        <x:v>18800</x:v>
      </x:c>
      <x:c r="I75" s="8" t="n">
        <x:v>2600</x:v>
      </x:c>
      <x:c r="J75" s="9" t="n">
        <x:f>IF(AND(ISNUMBER(I75),ISNUMBER(G75),G75&gt;0),I75/G75,"")</x:f>
        <x:v>0.12149532710280374</x:v>
      </x:c>
      <x:c r="K75" s="9" t="str">
        <x:f>IF(AND(ISNUMBER(I75),COUNTIFS($A$2:$A$313,EDATE(A75,-12),$B$2:$B$313,B75,$F$2:$F$313,F75,$I$2:$I$313,"&gt;0")=1),I75/SUMIFS($I$2:$I$313,$A$2:$A$313,EDATE(A75,-12),$B$2:$B$313,B75,$F$2:$F$313,F75)-1,"")</x:f>
      </x:c>
      <x:c r="L75" s="2" t="str">
        <x:v>取得済</x:v>
      </x:c>
      <x:c r="M75" s="2" t="str">
        <x:v>https://www.qsr.mlit.go.jp/n-michi/useful/kotsuryo/shukei/data/tcdata.json</x:v>
      </x:c>
      <x:c r="N75" s="2" t="str">
        <x:v>https://www.qsr.mlit.go.jp/n-michi/useful/kotsuryo/shukei/data/tcmas.json</x:v>
      </x:c>
    </x:row>
    <x:row r="76" ht="21" customHeight="1">
      <x:c r="A76" s="7" t="n">
        <x:v>45566</x:v>
      </x:c>
      <x:c r="B76" s="2" t="str">
        <x:v>9110050</x:v>
      </x:c>
      <x:c r="C76" s="2" t="str">
        <x:v>八代</x:v>
      </x:c>
      <x:c r="D76" s="2" t="str">
        <x:v>一般国道3号</x:v>
      </x:c>
      <x:c r="E76" s="2" t="str">
        <x:v>八代市福正元町</x:v>
      </x:c>
      <x:c r="F76" s="2" t="str">
        <x:v>平日</x:v>
      </x:c>
      <x:c r="G76" s="8" t="n">
        <x:v>22000</x:v>
      </x:c>
      <x:c r="H76" s="8" t="n">
        <x:v>18900</x:v>
      </x:c>
      <x:c r="I76" s="8" t="n">
        <x:v>3100</x:v>
      </x:c>
      <x:c r="J76" s="9" t="n">
        <x:f>IF(AND(ISNUMBER(I76),ISNUMBER(G76),G76&gt;0),I76/G76,"")</x:f>
        <x:v>0.1409090909090909</x:v>
      </x:c>
      <x:c r="K76" s="9" t="str">
        <x:f>IF(AND(ISNUMBER(I76),COUNTIFS($A$2:$A$313,EDATE(A76,-12),$B$2:$B$313,B76,$F$2:$F$313,F76,$I$2:$I$313,"&gt;0")=1),I76/SUMIFS($I$2:$I$313,$A$2:$A$313,EDATE(A76,-12),$B$2:$B$313,B76,$F$2:$F$313,F76)-1,"")</x:f>
      </x:c>
      <x:c r="L76" s="2" t="str">
        <x:v>取得済</x:v>
      </x:c>
      <x:c r="M76" s="2" t="str">
        <x:v>https://www.qsr.mlit.go.jp/n-michi/useful/kotsuryo/shukei/data/tcdata.json</x:v>
      </x:c>
      <x:c r="N76" s="2" t="str">
        <x:v>https://www.qsr.mlit.go.jp/n-michi/useful/kotsuryo/shukei/data/tcmas.json</x:v>
      </x:c>
    </x:row>
    <x:row r="77" ht="21" customHeight="1">
      <x:c r="A77" s="7" t="n">
        <x:v>45566</x:v>
      </x:c>
      <x:c r="B77" s="2" t="str">
        <x:v>9310130</x:v>
      </x:c>
      <x:c r="C77" s="2" t="str">
        <x:v>大津</x:v>
      </x:c>
      <x:c r="D77" s="2" t="str">
        <x:v>一般国道57号</x:v>
      </x:c>
      <x:c r="E77" s="2" t="str">
        <x:v>菊池郡大津町室</x:v>
      </x:c>
      <x:c r="F77" s="2" t="str">
        <x:v>休日</x:v>
      </x:c>
      <x:c r="G77" s="8" t="n">
        <x:v>31200</x:v>
      </x:c>
      <x:c r="H77" s="8" t="n">
        <x:v>29900</x:v>
      </x:c>
      <x:c r="I77" s="8" t="n">
        <x:v>1300</x:v>
      </x:c>
      <x:c r="J77" s="9" t="n">
        <x:f>IF(AND(ISNUMBER(I77),ISNUMBER(G77),G77&gt;0),I77/G77,"")</x:f>
        <x:v>0.041666666666666664</x:v>
      </x:c>
      <x:c r="K77" s="9" t="str">
        <x:f>IF(AND(ISNUMBER(I77),COUNTIFS($A$2:$A$313,EDATE(A77,-12),$B$2:$B$313,B77,$F$2:$F$313,F77,$I$2:$I$313,"&gt;0")=1),I77/SUMIFS($I$2:$I$313,$A$2:$A$313,EDATE(A77,-12),$B$2:$B$313,B77,$F$2:$F$313,F77)-1,"")</x:f>
      </x:c>
      <x:c r="L77" s="2" t="str">
        <x:v>取得済</x:v>
      </x:c>
      <x:c r="M77" s="2" t="str">
        <x:v>https://www.qsr.mlit.go.jp/n-michi/useful/kotsuryo/shukei/data/tcdata.json</x:v>
      </x:c>
      <x:c r="N77" s="2" t="str">
        <x:v>https://www.qsr.mlit.go.jp/n-michi/useful/kotsuryo/shukei/data/tcmas.json</x:v>
      </x:c>
    </x:row>
    <x:row r="78" ht="21" customHeight="1">
      <x:c r="A78" s="7" t="n">
        <x:v>45566</x:v>
      </x:c>
      <x:c r="B78" s="2" t="str">
        <x:v>9310130</x:v>
      </x:c>
      <x:c r="C78" s="2" t="str">
        <x:v>大津</x:v>
      </x:c>
      <x:c r="D78" s="2" t="str">
        <x:v>一般国道57号</x:v>
      </x:c>
      <x:c r="E78" s="2" t="str">
        <x:v>菊池郡大津町室</x:v>
      </x:c>
      <x:c r="F78" s="2" t="str">
        <x:v>全日</x:v>
      </x:c>
      <x:c r="G78" s="8" t="n">
        <x:v>29800</x:v>
      </x:c>
      <x:c r="H78" s="8" t="n">
        <x:v>27700</x:v>
      </x:c>
      <x:c r="I78" s="8" t="n">
        <x:v>2100</x:v>
      </x:c>
      <x:c r="J78" s="9" t="n">
        <x:f>IF(AND(ISNUMBER(I78),ISNUMBER(G78),G78&gt;0),I78/G78,"")</x:f>
        <x:v>0.07046979865771812</x:v>
      </x:c>
      <x:c r="K78" s="9" t="str">
        <x:f>IF(AND(ISNUMBER(I78),COUNTIFS($A$2:$A$313,EDATE(A78,-12),$B$2:$B$313,B78,$F$2:$F$313,F78,$I$2:$I$313,"&gt;0")=1),I78/SUMIFS($I$2:$I$313,$A$2:$A$313,EDATE(A78,-12),$B$2:$B$313,B78,$F$2:$F$313,F78)-1,"")</x:f>
      </x:c>
      <x:c r="L78" s="2" t="str">
        <x:v>取得済</x:v>
      </x:c>
      <x:c r="M78" s="2" t="str">
        <x:v>https://www.qsr.mlit.go.jp/n-michi/useful/kotsuryo/shukei/data/tcdata.json</x:v>
      </x:c>
      <x:c r="N78" s="2" t="str">
        <x:v>https://www.qsr.mlit.go.jp/n-michi/useful/kotsuryo/shukei/data/tcmas.json</x:v>
      </x:c>
    </x:row>
    <x:row r="79" ht="21" customHeight="1">
      <x:c r="A79" s="7" t="n">
        <x:v>45566</x:v>
      </x:c>
      <x:c r="B79" s="2" t="str">
        <x:v>9310130</x:v>
      </x:c>
      <x:c r="C79" s="2" t="str">
        <x:v>大津</x:v>
      </x:c>
      <x:c r="D79" s="2" t="str">
        <x:v>一般国道57号</x:v>
      </x:c>
      <x:c r="E79" s="2" t="str">
        <x:v>菊池郡大津町室</x:v>
      </x:c>
      <x:c r="F79" s="2" t="str">
        <x:v>平日</x:v>
      </x:c>
      <x:c r="G79" s="8" t="n">
        <x:v>29200</x:v>
      </x:c>
      <x:c r="H79" s="8" t="n">
        <x:v>26800</x:v>
      </x:c>
      <x:c r="I79" s="8" t="n">
        <x:v>2400</x:v>
      </x:c>
      <x:c r="J79" s="9" t="n">
        <x:f>IF(AND(ISNUMBER(I79),ISNUMBER(G79),G79&gt;0),I79/G79,"")</x:f>
        <x:v>0.0821917808219178</x:v>
      </x:c>
      <x:c r="K79" s="9" t="str">
        <x:f>IF(AND(ISNUMBER(I79),COUNTIFS($A$2:$A$313,EDATE(A79,-12),$B$2:$B$313,B79,$F$2:$F$313,F79,$I$2:$I$313,"&gt;0")=1),I79/SUMIFS($I$2:$I$313,$A$2:$A$313,EDATE(A79,-12),$B$2:$B$313,B79,$F$2:$F$313,F79)-1,"")</x:f>
      </x:c>
      <x:c r="L79" s="2" t="str">
        <x:v>取得済</x:v>
      </x:c>
      <x:c r="M79" s="2" t="str">
        <x:v>https://www.qsr.mlit.go.jp/n-michi/useful/kotsuryo/shukei/data/tcdata.json</x:v>
      </x:c>
      <x:c r="N79" s="2" t="str">
        <x:v>https://www.qsr.mlit.go.jp/n-michi/useful/kotsuryo/shukei/data/tcmas.json</x:v>
      </x:c>
    </x:row>
    <x:row r="80" ht="21" customHeight="1">
      <x:c r="A80" s="7" t="n">
        <x:v>45566</x:v>
      </x:c>
      <x:c r="B80" s="2" t="str">
        <x:v>9310140</x:v>
      </x:c>
      <x:c r="C80" s="2" t="str">
        <x:v>新南部</x:v>
      </x:c>
      <x:c r="D80" s="2" t="str">
        <x:v>一般国道57号</x:v>
      </x:c>
      <x:c r="E80" s="2" t="str">
        <x:v>熊本市東区下南部</x:v>
      </x:c>
      <x:c r="F80" s="2" t="str">
        <x:v>休日</x:v>
      </x:c>
      <x:c r="G80" s="8" t="n">
        <x:v>42500</x:v>
      </x:c>
      <x:c r="H80" s="8" t="n">
        <x:v>39900</x:v>
      </x:c>
      <x:c r="I80" s="8" t="n">
        <x:v>2600</x:v>
      </x:c>
      <x:c r="J80" s="9" t="n">
        <x:f>IF(AND(ISNUMBER(I80),ISNUMBER(G80),G80&gt;0),I80/G80,"")</x:f>
        <x:v>0.0611764705882353</x:v>
      </x:c>
      <x:c r="K80" s="9" t="str">
        <x:f>IF(AND(ISNUMBER(I80),COUNTIFS($A$2:$A$313,EDATE(A80,-12),$B$2:$B$313,B80,$F$2:$F$313,F80,$I$2:$I$313,"&gt;0")=1),I80/SUMIFS($I$2:$I$313,$A$2:$A$313,EDATE(A80,-12),$B$2:$B$313,B80,$F$2:$F$313,F80)-1,"")</x:f>
      </x:c>
      <x:c r="L80" s="2" t="str">
        <x:v>取得済</x:v>
      </x:c>
      <x:c r="M80" s="2" t="str">
        <x:v>https://www.qsr.mlit.go.jp/n-michi/useful/kotsuryo/shukei/data/tcdata.json</x:v>
      </x:c>
      <x:c r="N80" s="2" t="str">
        <x:v>https://www.qsr.mlit.go.jp/n-michi/useful/kotsuryo/shukei/data/tcmas.json</x:v>
      </x:c>
    </x:row>
    <x:row r="81" ht="21" customHeight="1">
      <x:c r="A81" s="7" t="n">
        <x:v>45566</x:v>
      </x:c>
      <x:c r="B81" s="2" t="str">
        <x:v>9310140</x:v>
      </x:c>
      <x:c r="C81" s="2" t="str">
        <x:v>新南部</x:v>
      </x:c>
      <x:c r="D81" s="2" t="str">
        <x:v>一般国道57号</x:v>
      </x:c>
      <x:c r="E81" s="2" t="str">
        <x:v>熊本市東区下南部</x:v>
      </x:c>
      <x:c r="F81" s="2" t="str">
        <x:v>全日</x:v>
      </x:c>
      <x:c r="G81" s="8" t="n">
        <x:v>43800</x:v>
      </x:c>
      <x:c r="H81" s="8" t="n">
        <x:v>39700</x:v>
      </x:c>
      <x:c r="I81" s="8" t="n">
        <x:v>4100</x:v>
      </x:c>
      <x:c r="J81" s="9" t="n">
        <x:f>IF(AND(ISNUMBER(I81),ISNUMBER(G81),G81&gt;0),I81/G81,"")</x:f>
        <x:v>0.09360730593607305</x:v>
      </x:c>
      <x:c r="K81" s="9" t="str">
        <x:f>IF(AND(ISNUMBER(I81),COUNTIFS($A$2:$A$313,EDATE(A81,-12),$B$2:$B$313,B81,$F$2:$F$313,F81,$I$2:$I$313,"&gt;0")=1),I81/SUMIFS($I$2:$I$313,$A$2:$A$313,EDATE(A81,-12),$B$2:$B$313,B81,$F$2:$F$313,F81)-1,"")</x:f>
      </x:c>
      <x:c r="L81" s="2" t="str">
        <x:v>取得済</x:v>
      </x:c>
      <x:c r="M81" s="2" t="str">
        <x:v>https://www.qsr.mlit.go.jp/n-michi/useful/kotsuryo/shukei/data/tcdata.json</x:v>
      </x:c>
      <x:c r="N81" s="2" t="str">
        <x:v>https://www.qsr.mlit.go.jp/n-michi/useful/kotsuryo/shukei/data/tcmas.json</x:v>
      </x:c>
    </x:row>
    <x:row r="82" ht="21" customHeight="1">
      <x:c r="A82" s="7" t="n">
        <x:v>45566</x:v>
      </x:c>
      <x:c r="B82" s="2" t="str">
        <x:v>9310140</x:v>
      </x:c>
      <x:c r="C82" s="2" t="str">
        <x:v>新南部</x:v>
      </x:c>
      <x:c r="D82" s="2" t="str">
        <x:v>一般国道57号</x:v>
      </x:c>
      <x:c r="E82" s="2" t="str">
        <x:v>熊本市東区下南部</x:v>
      </x:c>
      <x:c r="F82" s="2" t="str">
        <x:v>平日</x:v>
      </x:c>
      <x:c r="G82" s="8" t="n">
        <x:v>44400</x:v>
      </x:c>
      <x:c r="H82" s="8" t="n">
        <x:v>39600</x:v>
      </x:c>
      <x:c r="I82" s="8" t="n">
        <x:v>4800</x:v>
      </x:c>
      <x:c r="J82" s="9" t="n">
        <x:f>IF(AND(ISNUMBER(I82),ISNUMBER(G82),G82&gt;0),I82/G82,"")</x:f>
        <x:v>0.10810810810810811</x:v>
      </x:c>
      <x:c r="K82" s="9" t="str">
        <x:f>IF(AND(ISNUMBER(I82),COUNTIFS($A$2:$A$313,EDATE(A82,-12),$B$2:$B$313,B82,$F$2:$F$313,F82,$I$2:$I$313,"&gt;0")=1),I82/SUMIFS($I$2:$I$313,$A$2:$A$313,EDATE(A82,-12),$B$2:$B$313,B82,$F$2:$F$313,F82)-1,"")</x:f>
      </x:c>
      <x:c r="L82" s="2" t="str">
        <x:v>取得済</x:v>
      </x:c>
      <x:c r="M82" s="2" t="str">
        <x:v>https://www.qsr.mlit.go.jp/n-michi/useful/kotsuryo/shukei/data/tcdata.json</x:v>
      </x:c>
      <x:c r="N82" s="2" t="str">
        <x:v>https://www.qsr.mlit.go.jp/n-michi/useful/kotsuryo/shukei/data/tcmas.json</x:v>
      </x:c>
    </x:row>
    <x:row r="83" ht="21" customHeight="1">
      <x:c r="A83" s="7" t="n">
        <x:v>45566</x:v>
      </x:c>
      <x:c r="B83" s="2" t="str">
        <x:v>9110030</x:v>
      </x:c>
      <x:c r="C83" s="2" t="str">
        <x:v>熊本</x:v>
      </x:c>
      <x:c r="D83" s="2" t="str">
        <x:v>一般国道3号</x:v>
      </x:c>
      <x:c r="E83" s="2" t="str">
        <x:v>熊本市南区南高江</x:v>
      </x:c>
      <x:c r="F83" s="2" t="str">
        <x:v>休日</x:v>
      </x:c>
      <x:c r="G83" s="8" t="n">
        <x:v>36900</x:v>
      </x:c>
      <x:c r="H83" s="8" t="n">
        <x:v>35000</x:v>
      </x:c>
      <x:c r="I83" s="8" t="n">
        <x:v>1900</x:v>
      </x:c>
      <x:c r="J83" s="9" t="n">
        <x:f>IF(AND(ISNUMBER(I83),ISNUMBER(G83),G83&gt;0),I83/G83,"")</x:f>
        <x:v>0.051490514905149054</x:v>
      </x:c>
      <x:c r="K83" s="9" t="str">
        <x:f>IF(AND(ISNUMBER(I83),COUNTIFS($A$2:$A$313,EDATE(A83,-12),$B$2:$B$313,B83,$F$2:$F$313,F83,$I$2:$I$313,"&gt;0")=1),I83/SUMIFS($I$2:$I$313,$A$2:$A$313,EDATE(A83,-12),$B$2:$B$313,B83,$F$2:$F$313,F83)-1,"")</x:f>
      </x:c>
      <x:c r="L83" s="2" t="str">
        <x:v>取得済</x:v>
      </x:c>
      <x:c r="M83" s="2" t="str">
        <x:v>https://www.qsr.mlit.go.jp/n-michi/useful/kotsuryo/shukei/data/tcdata.json</x:v>
      </x:c>
      <x:c r="N83" s="2" t="str">
        <x:v>https://www.qsr.mlit.go.jp/n-michi/useful/kotsuryo/shukei/data/tcmas.json</x:v>
      </x:c>
    </x:row>
    <x:row r="84" ht="21" customHeight="1">
      <x:c r="A84" s="7" t="n">
        <x:v>45566</x:v>
      </x:c>
      <x:c r="B84" s="2" t="str">
        <x:v>9110030</x:v>
      </x:c>
      <x:c r="C84" s="2" t="str">
        <x:v>熊本</x:v>
      </x:c>
      <x:c r="D84" s="2" t="str">
        <x:v>一般国道3号</x:v>
      </x:c>
      <x:c r="E84" s="2" t="str">
        <x:v>熊本市南区南高江</x:v>
      </x:c>
      <x:c r="F84" s="2" t="str">
        <x:v>全日</x:v>
      </x:c>
      <x:c r="G84" s="8" t="n">
        <x:v>36300</x:v>
      </x:c>
      <x:c r="H84" s="8" t="n">
        <x:v>33100</x:v>
      </x:c>
      <x:c r="I84" s="8" t="n">
        <x:v>3200</x:v>
      </x:c>
      <x:c r="J84" s="9" t="n">
        <x:f>IF(AND(ISNUMBER(I84),ISNUMBER(G84),G84&gt;0),I84/G84,"")</x:f>
        <x:v>0.0881542699724518</x:v>
      </x:c>
      <x:c r="K84" s="9" t="str">
        <x:f>IF(AND(ISNUMBER(I84),COUNTIFS($A$2:$A$313,EDATE(A84,-12),$B$2:$B$313,B84,$F$2:$F$313,F84,$I$2:$I$313,"&gt;0")=1),I84/SUMIFS($I$2:$I$313,$A$2:$A$313,EDATE(A84,-12),$B$2:$B$313,B84,$F$2:$F$313,F84)-1,"")</x:f>
      </x:c>
      <x:c r="L84" s="2" t="str">
        <x:v>取得済</x:v>
      </x:c>
      <x:c r="M84" s="2" t="str">
        <x:v>https://www.qsr.mlit.go.jp/n-michi/useful/kotsuryo/shukei/data/tcdata.json</x:v>
      </x:c>
      <x:c r="N84" s="2" t="str">
        <x:v>https://www.qsr.mlit.go.jp/n-michi/useful/kotsuryo/shukei/data/tcmas.json</x:v>
      </x:c>
    </x:row>
    <x:row r="85" ht="21" customHeight="1">
      <x:c r="A85" s="7" t="n">
        <x:v>45566</x:v>
      </x:c>
      <x:c r="B85" s="2" t="str">
        <x:v>9110030</x:v>
      </x:c>
      <x:c r="C85" s="2" t="str">
        <x:v>熊本</x:v>
      </x:c>
      <x:c r="D85" s="2" t="str">
        <x:v>一般国道3号</x:v>
      </x:c>
      <x:c r="E85" s="2" t="str">
        <x:v>熊本市南区南高江</x:v>
      </x:c>
      <x:c r="F85" s="2" t="str">
        <x:v>平日</x:v>
      </x:c>
      <x:c r="G85" s="8" t="n">
        <x:v>36100</x:v>
      </x:c>
      <x:c r="H85" s="8" t="n">
        <x:v>32300</x:v>
      </x:c>
      <x:c r="I85" s="8" t="n">
        <x:v>3800</x:v>
      </x:c>
      <x:c r="J85" s="9" t="n">
        <x:f>IF(AND(ISNUMBER(I85),ISNUMBER(G85),G85&gt;0),I85/G85,"")</x:f>
        <x:v>0.10526315789473684</x:v>
      </x:c>
      <x:c r="K85" s="9" t="str">
        <x:f>IF(AND(ISNUMBER(I85),COUNTIFS($A$2:$A$313,EDATE(A85,-12),$B$2:$B$313,B85,$F$2:$F$313,F85,$I$2:$I$313,"&gt;0")=1),I85/SUMIFS($I$2:$I$313,$A$2:$A$313,EDATE(A85,-12),$B$2:$B$313,B85,$F$2:$F$313,F85)-1,"")</x:f>
      </x:c>
      <x:c r="L85" s="2" t="str">
        <x:v>取得済</x:v>
      </x:c>
      <x:c r="M85" s="2" t="str">
        <x:v>https://www.qsr.mlit.go.jp/n-michi/useful/kotsuryo/shukei/data/tcdata.json</x:v>
      </x:c>
      <x:c r="N85" s="2" t="str">
        <x:v>https://www.qsr.mlit.go.jp/n-michi/useful/kotsuryo/shukei/data/tcmas.json</x:v>
      </x:c>
    </x:row>
    <x:row r="86" ht="21" customHeight="1">
      <x:c r="A86" s="7" t="n">
        <x:v>45597</x:v>
      </x:c>
      <x:c r="B86" s="2" t="str">
        <x:v>9110050</x:v>
      </x:c>
      <x:c r="C86" s="2" t="str">
        <x:v>八代</x:v>
      </x:c>
      <x:c r="D86" s="2" t="str">
        <x:v>一般国道3号</x:v>
      </x:c>
      <x:c r="E86" s="2" t="str">
        <x:v>八代市福正元町</x:v>
      </x:c>
      <x:c r="F86" s="2" t="str">
        <x:v>休日</x:v>
      </x:c>
      <x:c r="G86" s="8" t="n">
        <x:v>20200</x:v>
      </x:c>
      <x:c r="H86" s="8" t="n">
        <x:v>18600</x:v>
      </x:c>
      <x:c r="I86" s="8" t="n">
        <x:v>1600</x:v>
      </x:c>
      <x:c r="J86" s="9" t="n">
        <x:f>IF(AND(ISNUMBER(I86),ISNUMBER(G86),G86&gt;0),I86/G86,"")</x:f>
        <x:v>0.07920792079207921</x:v>
      </x:c>
      <x:c r="K86" s="9" t="str">
        <x:f>IF(AND(ISNUMBER(I86),COUNTIFS($A$2:$A$313,EDATE(A86,-12),$B$2:$B$313,B86,$F$2:$F$313,F86,$I$2:$I$313,"&gt;0")=1),I86/SUMIFS($I$2:$I$313,$A$2:$A$313,EDATE(A86,-12),$B$2:$B$313,B86,$F$2:$F$313,F86)-1,"")</x:f>
      </x:c>
      <x:c r="L86" s="2" t="str">
        <x:v>取得済</x:v>
      </x:c>
      <x:c r="M86" s="2" t="str">
        <x:v>https://www.qsr.mlit.go.jp/n-michi/useful/kotsuryo/shukei/data/tcdata.json</x:v>
      </x:c>
      <x:c r="N86" s="2" t="str">
        <x:v>https://www.qsr.mlit.go.jp/n-michi/useful/kotsuryo/shukei/data/tcmas.json</x:v>
      </x:c>
    </x:row>
    <x:row r="87" ht="21" customHeight="1">
      <x:c r="A87" s="7" t="n">
        <x:v>45597</x:v>
      </x:c>
      <x:c r="B87" s="2" t="str">
        <x:v>9110050</x:v>
      </x:c>
      <x:c r="C87" s="2" t="str">
        <x:v>八代</x:v>
      </x:c>
      <x:c r="D87" s="2" t="str">
        <x:v>一般国道3号</x:v>
      </x:c>
      <x:c r="E87" s="2" t="str">
        <x:v>八代市福正元町</x:v>
      </x:c>
      <x:c r="F87" s="2" t="str">
        <x:v>全日</x:v>
      </x:c>
      <x:c r="G87" s="8" t="n">
        <x:v>21700</x:v>
      </x:c>
      <x:c r="H87" s="8" t="n">
        <x:v>18900</x:v>
      </x:c>
      <x:c r="I87" s="8" t="n">
        <x:v>2800</x:v>
      </x:c>
      <x:c r="J87" s="9" t="n">
        <x:f>IF(AND(ISNUMBER(I87),ISNUMBER(G87),G87&gt;0),I87/G87,"")</x:f>
        <x:v>0.12903225806451613</x:v>
      </x:c>
      <x:c r="K87" s="9" t="str">
        <x:f>IF(AND(ISNUMBER(I87),COUNTIFS($A$2:$A$313,EDATE(A87,-12),$B$2:$B$313,B87,$F$2:$F$313,F87,$I$2:$I$313,"&gt;0")=1),I87/SUMIFS($I$2:$I$313,$A$2:$A$313,EDATE(A87,-12),$B$2:$B$313,B87,$F$2:$F$313,F87)-1,"")</x:f>
      </x:c>
      <x:c r="L87" s="2" t="str">
        <x:v>取得済</x:v>
      </x:c>
      <x:c r="M87" s="2" t="str">
        <x:v>https://www.qsr.mlit.go.jp/n-michi/useful/kotsuryo/shukei/data/tcdata.json</x:v>
      </x:c>
      <x:c r="N87" s="2" t="str">
        <x:v>https://www.qsr.mlit.go.jp/n-michi/useful/kotsuryo/shukei/data/tcmas.json</x:v>
      </x:c>
    </x:row>
    <x:row r="88" ht="21" customHeight="1">
      <x:c r="A88" s="7" t="n">
        <x:v>45597</x:v>
      </x:c>
      <x:c r="B88" s="2" t="str">
        <x:v>9110050</x:v>
      </x:c>
      <x:c r="C88" s="2" t="str">
        <x:v>八代</x:v>
      </x:c>
      <x:c r="D88" s="2" t="str">
        <x:v>一般国道3号</x:v>
      </x:c>
      <x:c r="E88" s="2" t="str">
        <x:v>八代市福正元町</x:v>
      </x:c>
      <x:c r="F88" s="2" t="str">
        <x:v>平日</x:v>
      </x:c>
      <x:c r="G88" s="8" t="n">
        <x:v>22500</x:v>
      </x:c>
      <x:c r="H88" s="8" t="n">
        <x:v>19100</x:v>
      </x:c>
      <x:c r="I88" s="8" t="n">
        <x:v>3400</x:v>
      </x:c>
      <x:c r="J88" s="9" t="n">
        <x:f>IF(AND(ISNUMBER(I88),ISNUMBER(G88),G88&gt;0),I88/G88,"")</x:f>
        <x:v>0.1511111111111111</x:v>
      </x:c>
      <x:c r="K88" s="9" t="str">
        <x:f>IF(AND(ISNUMBER(I88),COUNTIFS($A$2:$A$313,EDATE(A88,-12),$B$2:$B$313,B88,$F$2:$F$313,F88,$I$2:$I$313,"&gt;0")=1),I88/SUMIFS($I$2:$I$313,$A$2:$A$313,EDATE(A88,-12),$B$2:$B$313,B88,$F$2:$F$313,F88)-1,"")</x:f>
      </x:c>
      <x:c r="L88" s="2" t="str">
        <x:v>取得済</x:v>
      </x:c>
      <x:c r="M88" s="2" t="str">
        <x:v>https://www.qsr.mlit.go.jp/n-michi/useful/kotsuryo/shukei/data/tcdata.json</x:v>
      </x:c>
      <x:c r="N88" s="2" t="str">
        <x:v>https://www.qsr.mlit.go.jp/n-michi/useful/kotsuryo/shukei/data/tcmas.json</x:v>
      </x:c>
    </x:row>
    <x:row r="89" ht="21" customHeight="1">
      <x:c r="A89" s="7" t="n">
        <x:v>45597</x:v>
      </x:c>
      <x:c r="B89" s="2" t="str">
        <x:v>9310130</x:v>
      </x:c>
      <x:c r="C89" s="2" t="str">
        <x:v>大津</x:v>
      </x:c>
      <x:c r="D89" s="2" t="str">
        <x:v>一般国道57号</x:v>
      </x:c>
      <x:c r="E89" s="2" t="str">
        <x:v>菊池郡大津町室</x:v>
      </x:c>
      <x:c r="F89" s="2" t="str">
        <x:v>休日</x:v>
      </x:c>
      <x:c r="G89" s="8" t="n">
        <x:v>30500</x:v>
      </x:c>
      <x:c r="H89" s="8" t="n">
        <x:v>29100</x:v>
      </x:c>
      <x:c r="I89" s="8" t="n">
        <x:v>1400</x:v>
      </x:c>
      <x:c r="J89" s="9" t="n">
        <x:f>IF(AND(ISNUMBER(I89),ISNUMBER(G89),G89&gt;0),I89/G89,"")</x:f>
        <x:v>0.04590163934426229</x:v>
      </x:c>
      <x:c r="K89" s="9" t="str">
        <x:f>IF(AND(ISNUMBER(I89),COUNTIFS($A$2:$A$313,EDATE(A89,-12),$B$2:$B$313,B89,$F$2:$F$313,F89,$I$2:$I$313,"&gt;0")=1),I89/SUMIFS($I$2:$I$313,$A$2:$A$313,EDATE(A89,-12),$B$2:$B$313,B89,$F$2:$F$313,F89)-1,"")</x:f>
      </x:c>
      <x:c r="L89" s="2" t="str">
        <x:v>取得済</x:v>
      </x:c>
      <x:c r="M89" s="2" t="str">
        <x:v>https://www.qsr.mlit.go.jp/n-michi/useful/kotsuryo/shukei/data/tcdata.json</x:v>
      </x:c>
      <x:c r="N89" s="2" t="str">
        <x:v>https://www.qsr.mlit.go.jp/n-michi/useful/kotsuryo/shukei/data/tcmas.json</x:v>
      </x:c>
    </x:row>
    <x:row r="90" ht="21" customHeight="1">
      <x:c r="A90" s="7" t="n">
        <x:v>45597</x:v>
      </x:c>
      <x:c r="B90" s="2" t="str">
        <x:v>9310130</x:v>
      </x:c>
      <x:c r="C90" s="2" t="str">
        <x:v>大津</x:v>
      </x:c>
      <x:c r="D90" s="2" t="str">
        <x:v>一般国道57号</x:v>
      </x:c>
      <x:c r="E90" s="2" t="str">
        <x:v>菊池郡大津町室</x:v>
      </x:c>
      <x:c r="F90" s="2" t="str">
        <x:v>全日</x:v>
      </x:c>
      <x:c r="G90" s="8" t="n">
        <x:v>29600</x:v>
      </x:c>
      <x:c r="H90" s="8" t="n">
        <x:v>27400</x:v>
      </x:c>
      <x:c r="I90" s="8" t="n">
        <x:v>2200</x:v>
      </x:c>
      <x:c r="J90" s="9" t="n">
        <x:f>IF(AND(ISNUMBER(I90),ISNUMBER(G90),G90&gt;0),I90/G90,"")</x:f>
        <x:v>0.07432432432432433</x:v>
      </x:c>
      <x:c r="K90" s="9" t="str">
        <x:f>IF(AND(ISNUMBER(I90),COUNTIFS($A$2:$A$313,EDATE(A90,-12),$B$2:$B$313,B90,$F$2:$F$313,F90,$I$2:$I$313,"&gt;0")=1),I90/SUMIFS($I$2:$I$313,$A$2:$A$313,EDATE(A90,-12),$B$2:$B$313,B90,$F$2:$F$313,F90)-1,"")</x:f>
      </x:c>
      <x:c r="L90" s="2" t="str">
        <x:v>取得済</x:v>
      </x:c>
      <x:c r="M90" s="2" t="str">
        <x:v>https://www.qsr.mlit.go.jp/n-michi/useful/kotsuryo/shukei/data/tcdata.json</x:v>
      </x:c>
      <x:c r="N90" s="2" t="str">
        <x:v>https://www.qsr.mlit.go.jp/n-michi/useful/kotsuryo/shukei/data/tcmas.json</x:v>
      </x:c>
    </x:row>
    <x:row r="91" ht="21" customHeight="1">
      <x:c r="A91" s="7" t="n">
        <x:v>45597</x:v>
      </x:c>
      <x:c r="B91" s="2" t="str">
        <x:v>9310130</x:v>
      </x:c>
      <x:c r="C91" s="2" t="str">
        <x:v>大津</x:v>
      </x:c>
      <x:c r="D91" s="2" t="str">
        <x:v>一般国道57号</x:v>
      </x:c>
      <x:c r="E91" s="2" t="str">
        <x:v>菊池郡大津町室</x:v>
      </x:c>
      <x:c r="F91" s="2" t="str">
        <x:v>平日</x:v>
      </x:c>
      <x:c r="G91" s="8" t="n">
        <x:v>29200</x:v>
      </x:c>
      <x:c r="H91" s="8" t="n">
        <x:v>26600</x:v>
      </x:c>
      <x:c r="I91" s="8" t="n">
        <x:v>2600</x:v>
      </x:c>
      <x:c r="J91" s="9" t="n">
        <x:f>IF(AND(ISNUMBER(I91),ISNUMBER(G91),G91&gt;0),I91/G91,"")</x:f>
        <x:v>0.08904109589041095</x:v>
      </x:c>
      <x:c r="K91" s="9" t="str">
        <x:f>IF(AND(ISNUMBER(I91),COUNTIFS($A$2:$A$313,EDATE(A91,-12),$B$2:$B$313,B91,$F$2:$F$313,F91,$I$2:$I$313,"&gt;0")=1),I91/SUMIFS($I$2:$I$313,$A$2:$A$313,EDATE(A91,-12),$B$2:$B$313,B91,$F$2:$F$313,F91)-1,"")</x:f>
      </x:c>
      <x:c r="L91" s="2" t="str">
        <x:v>取得済</x:v>
      </x:c>
      <x:c r="M91" s="2" t="str">
        <x:v>https://www.qsr.mlit.go.jp/n-michi/useful/kotsuryo/shukei/data/tcdata.json</x:v>
      </x:c>
      <x:c r="N91" s="2" t="str">
        <x:v>https://www.qsr.mlit.go.jp/n-michi/useful/kotsuryo/shukei/data/tcmas.json</x:v>
      </x:c>
    </x:row>
    <x:row r="92" ht="21" customHeight="1">
      <x:c r="A92" s="7" t="n">
        <x:v>45597</x:v>
      </x:c>
      <x:c r="B92" s="2" t="str">
        <x:v>9310140</x:v>
      </x:c>
      <x:c r="C92" s="2" t="str">
        <x:v>新南部</x:v>
      </x:c>
      <x:c r="D92" s="2" t="str">
        <x:v>一般国道57号</x:v>
      </x:c>
      <x:c r="E92" s="2" t="str">
        <x:v>熊本市東区下南部</x:v>
      </x:c>
      <x:c r="F92" s="2" t="str">
        <x:v>休日</x:v>
      </x:c>
      <x:c r="G92" s="8" t="n">
        <x:v>42500</x:v>
      </x:c>
      <x:c r="H92" s="8" t="n">
        <x:v>39800</x:v>
      </x:c>
      <x:c r="I92" s="8" t="n">
        <x:v>2700</x:v>
      </x:c>
      <x:c r="J92" s="9" t="n">
        <x:f>IF(AND(ISNUMBER(I92),ISNUMBER(G92),G92&gt;0),I92/G92,"")</x:f>
        <x:v>0.06352941176470588</x:v>
      </x:c>
      <x:c r="K92" s="9" t="str">
        <x:f>IF(AND(ISNUMBER(I92),COUNTIFS($A$2:$A$313,EDATE(A92,-12),$B$2:$B$313,B92,$F$2:$F$313,F92,$I$2:$I$313,"&gt;0")=1),I92/SUMIFS($I$2:$I$313,$A$2:$A$313,EDATE(A92,-12),$B$2:$B$313,B92,$F$2:$F$313,F92)-1,"")</x:f>
      </x:c>
      <x:c r="L92" s="2" t="str">
        <x:v>取得済</x:v>
      </x:c>
      <x:c r="M92" s="2" t="str">
        <x:v>https://www.qsr.mlit.go.jp/n-michi/useful/kotsuryo/shukei/data/tcdata.json</x:v>
      </x:c>
      <x:c r="N92" s="2" t="str">
        <x:v>https://www.qsr.mlit.go.jp/n-michi/useful/kotsuryo/shukei/data/tcmas.json</x:v>
      </x:c>
    </x:row>
    <x:row r="93" ht="21" customHeight="1">
      <x:c r="A93" s="7" t="n">
        <x:v>45597</x:v>
      </x:c>
      <x:c r="B93" s="2" t="str">
        <x:v>9310140</x:v>
      </x:c>
      <x:c r="C93" s="2" t="str">
        <x:v>新南部</x:v>
      </x:c>
      <x:c r="D93" s="2" t="str">
        <x:v>一般国道57号</x:v>
      </x:c>
      <x:c r="E93" s="2" t="str">
        <x:v>熊本市東区下南部</x:v>
      </x:c>
      <x:c r="F93" s="2" t="str">
        <x:v>全日</x:v>
      </x:c>
      <x:c r="G93" s="8" t="n">
        <x:v>43800</x:v>
      </x:c>
      <x:c r="H93" s="8" t="n">
        <x:v>39700</x:v>
      </x:c>
      <x:c r="I93" s="8" t="n">
        <x:v>4100</x:v>
      </x:c>
      <x:c r="J93" s="9" t="n">
        <x:f>IF(AND(ISNUMBER(I93),ISNUMBER(G93),G93&gt;0),I93/G93,"")</x:f>
        <x:v>0.09360730593607305</x:v>
      </x:c>
      <x:c r="K93" s="9" t="str">
        <x:f>IF(AND(ISNUMBER(I93),COUNTIFS($A$2:$A$313,EDATE(A93,-12),$B$2:$B$313,B93,$F$2:$F$313,F93,$I$2:$I$313,"&gt;0")=1),I93/SUMIFS($I$2:$I$313,$A$2:$A$313,EDATE(A93,-12),$B$2:$B$313,B93,$F$2:$F$313,F93)-1,"")</x:f>
      </x:c>
      <x:c r="L93" s="2" t="str">
        <x:v>取得済</x:v>
      </x:c>
      <x:c r="M93" s="2" t="str">
        <x:v>https://www.qsr.mlit.go.jp/n-michi/useful/kotsuryo/shukei/data/tcdata.json</x:v>
      </x:c>
      <x:c r="N93" s="2" t="str">
        <x:v>https://www.qsr.mlit.go.jp/n-michi/useful/kotsuryo/shukei/data/tcmas.json</x:v>
      </x:c>
    </x:row>
    <x:row r="94" ht="21" customHeight="1">
      <x:c r="A94" s="7" t="n">
        <x:v>45597</x:v>
      </x:c>
      <x:c r="B94" s="2" t="str">
        <x:v>9310140</x:v>
      </x:c>
      <x:c r="C94" s="2" t="str">
        <x:v>新南部</x:v>
      </x:c>
      <x:c r="D94" s="2" t="str">
        <x:v>一般国道57号</x:v>
      </x:c>
      <x:c r="E94" s="2" t="str">
        <x:v>熊本市東区下南部</x:v>
      </x:c>
      <x:c r="F94" s="2" t="str">
        <x:v>平日</x:v>
      </x:c>
      <x:c r="G94" s="8" t="n">
        <x:v>44500</x:v>
      </x:c>
      <x:c r="H94" s="8" t="n">
        <x:v>39600</x:v>
      </x:c>
      <x:c r="I94" s="8" t="n">
        <x:v>4900</x:v>
      </x:c>
      <x:c r="J94" s="9" t="n">
        <x:f>IF(AND(ISNUMBER(I94),ISNUMBER(G94),G94&gt;0),I94/G94,"")</x:f>
        <x:v>0.1101123595505618</x:v>
      </x:c>
      <x:c r="K94" s="9" t="str">
        <x:f>IF(AND(ISNUMBER(I94),COUNTIFS($A$2:$A$313,EDATE(A94,-12),$B$2:$B$313,B94,$F$2:$F$313,F94,$I$2:$I$313,"&gt;0")=1),I94/SUMIFS($I$2:$I$313,$A$2:$A$313,EDATE(A94,-12),$B$2:$B$313,B94,$F$2:$F$313,F94)-1,"")</x:f>
      </x:c>
      <x:c r="L94" s="2" t="str">
        <x:v>取得済</x:v>
      </x:c>
      <x:c r="M94" s="2" t="str">
        <x:v>https://www.qsr.mlit.go.jp/n-michi/useful/kotsuryo/shukei/data/tcdata.json</x:v>
      </x:c>
      <x:c r="N94" s="2" t="str">
        <x:v>https://www.qsr.mlit.go.jp/n-michi/useful/kotsuryo/shukei/data/tcmas.json</x:v>
      </x:c>
    </x:row>
    <x:row r="95" ht="21" customHeight="1">
      <x:c r="A95" s="7" t="n">
        <x:v>45597</x:v>
      </x:c>
      <x:c r="B95" s="2" t="str">
        <x:v>9110030</x:v>
      </x:c>
      <x:c r="C95" s="2" t="str">
        <x:v>熊本</x:v>
      </x:c>
      <x:c r="D95" s="2" t="str">
        <x:v>一般国道3号</x:v>
      </x:c>
      <x:c r="E95" s="2" t="str">
        <x:v>熊本市南区南高江</x:v>
      </x:c>
      <x:c r="F95" s="2" t="str">
        <x:v>休日</x:v>
      </x:c>
      <x:c r="G95" s="8" t="n">
        <x:v>35400</x:v>
      </x:c>
      <x:c r="H95" s="8" t="n">
        <x:v>33400</x:v>
      </x:c>
      <x:c r="I95" s="8" t="n">
        <x:v>2000</x:v>
      </x:c>
      <x:c r="J95" s="9" t="n">
        <x:f>IF(AND(ISNUMBER(I95),ISNUMBER(G95),G95&gt;0),I95/G95,"")</x:f>
        <x:v>0.05649717514124294</x:v>
      </x:c>
      <x:c r="K95" s="9" t="str">
        <x:f>IF(AND(ISNUMBER(I95),COUNTIFS($A$2:$A$313,EDATE(A95,-12),$B$2:$B$313,B95,$F$2:$F$313,F95,$I$2:$I$313,"&gt;0")=1),I95/SUMIFS($I$2:$I$313,$A$2:$A$313,EDATE(A95,-12),$B$2:$B$313,B95,$F$2:$F$313,F95)-1,"")</x:f>
      </x:c>
      <x:c r="L95" s="2" t="str">
        <x:v>取得済</x:v>
      </x:c>
      <x:c r="M95" s="2" t="str">
        <x:v>https://www.qsr.mlit.go.jp/n-michi/useful/kotsuryo/shukei/data/tcdata.json</x:v>
      </x:c>
      <x:c r="N95" s="2" t="str">
        <x:v>https://www.qsr.mlit.go.jp/n-michi/useful/kotsuryo/shukei/data/tcmas.json</x:v>
      </x:c>
    </x:row>
    <x:row r="96" ht="21" customHeight="1">
      <x:c r="A96" s="7" t="n">
        <x:v>45597</x:v>
      </x:c>
      <x:c r="B96" s="2" t="str">
        <x:v>9110030</x:v>
      </x:c>
      <x:c r="C96" s="2" t="str">
        <x:v>熊本</x:v>
      </x:c>
      <x:c r="D96" s="2" t="str">
        <x:v>一般国道3号</x:v>
      </x:c>
      <x:c r="E96" s="2" t="str">
        <x:v>熊本市南区南高江</x:v>
      </x:c>
      <x:c r="F96" s="2" t="str">
        <x:v>全日</x:v>
      </x:c>
      <x:c r="G96" s="8" t="n">
        <x:v>34900</x:v>
      </x:c>
      <x:c r="H96" s="8" t="n">
        <x:v>31700</x:v>
      </x:c>
      <x:c r="I96" s="8" t="n">
        <x:v>3200</x:v>
      </x:c>
      <x:c r="J96" s="9" t="n">
        <x:f>IF(AND(ISNUMBER(I96),ISNUMBER(G96),G96&gt;0),I96/G96,"")</x:f>
        <x:v>0.09169054441260745</x:v>
      </x:c>
      <x:c r="K96" s="9" t="str">
        <x:f>IF(AND(ISNUMBER(I96),COUNTIFS($A$2:$A$313,EDATE(A96,-12),$B$2:$B$313,B96,$F$2:$F$313,F96,$I$2:$I$313,"&gt;0")=1),I96/SUMIFS($I$2:$I$313,$A$2:$A$313,EDATE(A96,-12),$B$2:$B$313,B96,$F$2:$F$313,F96)-1,"")</x:f>
      </x:c>
      <x:c r="L96" s="2" t="str">
        <x:v>取得済</x:v>
      </x:c>
      <x:c r="M96" s="2" t="str">
        <x:v>https://www.qsr.mlit.go.jp/n-michi/useful/kotsuryo/shukei/data/tcdata.json</x:v>
      </x:c>
      <x:c r="N96" s="2" t="str">
        <x:v>https://www.qsr.mlit.go.jp/n-michi/useful/kotsuryo/shukei/data/tcmas.json</x:v>
      </x:c>
    </x:row>
    <x:row r="97" ht="21" customHeight="1">
      <x:c r="A97" s="7" t="n">
        <x:v>45597</x:v>
      </x:c>
      <x:c r="B97" s="2" t="str">
        <x:v>9110030</x:v>
      </x:c>
      <x:c r="C97" s="2" t="str">
        <x:v>熊本</x:v>
      </x:c>
      <x:c r="D97" s="2" t="str">
        <x:v>一般国道3号</x:v>
      </x:c>
      <x:c r="E97" s="2" t="str">
        <x:v>熊本市南区南高江</x:v>
      </x:c>
      <x:c r="F97" s="2" t="str">
        <x:v>平日</x:v>
      </x:c>
      <x:c r="G97" s="8" t="n">
        <x:v>34700</x:v>
      </x:c>
      <x:c r="H97" s="8" t="n">
        <x:v>30900</x:v>
      </x:c>
      <x:c r="I97" s="8" t="n">
        <x:v>3800</x:v>
      </x:c>
      <x:c r="J97" s="9" t="n">
        <x:f>IF(AND(ISNUMBER(I97),ISNUMBER(G97),G97&gt;0),I97/G97,"")</x:f>
        <x:v>0.10951008645533142</x:v>
      </x:c>
      <x:c r="K97" s="9" t="str">
        <x:f>IF(AND(ISNUMBER(I97),COUNTIFS($A$2:$A$313,EDATE(A97,-12),$B$2:$B$313,B97,$F$2:$F$313,F97,$I$2:$I$313,"&gt;0")=1),I97/SUMIFS($I$2:$I$313,$A$2:$A$313,EDATE(A97,-12),$B$2:$B$313,B97,$F$2:$F$313,F97)-1,"")</x:f>
      </x:c>
      <x:c r="L97" s="2" t="str">
        <x:v>取得済</x:v>
      </x:c>
      <x:c r="M97" s="2" t="str">
        <x:v>https://www.qsr.mlit.go.jp/n-michi/useful/kotsuryo/shukei/data/tcdata.json</x:v>
      </x:c>
      <x:c r="N97" s="2" t="str">
        <x:v>https://www.qsr.mlit.go.jp/n-michi/useful/kotsuryo/shukei/data/tcmas.json</x:v>
      </x:c>
    </x:row>
    <x:row r="98" ht="21" customHeight="1">
      <x:c r="A98" s="7" t="n">
        <x:v>45627</x:v>
      </x:c>
      <x:c r="B98" s="2" t="str">
        <x:v>9110050</x:v>
      </x:c>
      <x:c r="C98" s="2" t="str">
        <x:v>八代</x:v>
      </x:c>
      <x:c r="D98" s="2" t="str">
        <x:v>一般国道3号</x:v>
      </x:c>
      <x:c r="E98" s="2" t="str">
        <x:v>八代市福正元町</x:v>
      </x:c>
      <x:c r="F98" s="2" t="str">
        <x:v>休日</x:v>
      </x:c>
      <x:c r="G98" s="8" t="n">
        <x:v>20000</x:v>
      </x:c>
      <x:c r="H98" s="8" t="n">
        <x:v>18600</x:v>
      </x:c>
      <x:c r="I98" s="8" t="n">
        <x:v>1400</x:v>
      </x:c>
      <x:c r="J98" s="9" t="n">
        <x:f>IF(AND(ISNUMBER(I98),ISNUMBER(G98),G98&gt;0),I98/G98,"")</x:f>
        <x:v>0.07</x:v>
      </x:c>
      <x:c r="K98" s="9" t="str">
        <x:f>IF(AND(ISNUMBER(I98),COUNTIFS($A$2:$A$313,EDATE(A98,-12),$B$2:$B$313,B98,$F$2:$F$313,F98,$I$2:$I$313,"&gt;0")=1),I98/SUMIFS($I$2:$I$313,$A$2:$A$313,EDATE(A98,-12),$B$2:$B$313,B98,$F$2:$F$313,F98)-1,"")</x:f>
      </x:c>
      <x:c r="L98" s="2" t="str">
        <x:v>取得済</x:v>
      </x:c>
      <x:c r="M98" s="2" t="str">
        <x:v>https://www.qsr.mlit.go.jp/n-michi/useful/kotsuryo/shukei/data/tcdata.json</x:v>
      </x:c>
      <x:c r="N98" s="2" t="str">
        <x:v>https://www.qsr.mlit.go.jp/n-michi/useful/kotsuryo/shukei/data/tcmas.json</x:v>
      </x:c>
    </x:row>
    <x:row r="99" ht="21" customHeight="1">
      <x:c r="A99" s="7" t="n">
        <x:v>45627</x:v>
      </x:c>
      <x:c r="B99" s="2" t="str">
        <x:v>9110050</x:v>
      </x:c>
      <x:c r="C99" s="2" t="str">
        <x:v>八代</x:v>
      </x:c>
      <x:c r="D99" s="2" t="str">
        <x:v>一般国道3号</x:v>
      </x:c>
      <x:c r="E99" s="2" t="str">
        <x:v>八代市福正元町</x:v>
      </x:c>
      <x:c r="F99" s="2" t="str">
        <x:v>全日</x:v>
      </x:c>
      <x:c r="G99" s="8" t="n">
        <x:v>21500</x:v>
      </x:c>
      <x:c r="H99" s="8" t="n">
        <x:v>18900</x:v>
      </x:c>
      <x:c r="I99" s="8" t="n">
        <x:v>2600</x:v>
      </x:c>
      <x:c r="J99" s="9" t="n">
        <x:f>IF(AND(ISNUMBER(I99),ISNUMBER(G99),G99&gt;0),I99/G99,"")</x:f>
        <x:v>0.12093023255813953</x:v>
      </x:c>
      <x:c r="K99" s="9" t="str">
        <x:f>IF(AND(ISNUMBER(I99),COUNTIFS($A$2:$A$313,EDATE(A99,-12),$B$2:$B$313,B99,$F$2:$F$313,F99,$I$2:$I$313,"&gt;0")=1),I99/SUMIFS($I$2:$I$313,$A$2:$A$313,EDATE(A99,-12),$B$2:$B$313,B99,$F$2:$F$313,F99)-1,"")</x:f>
      </x:c>
      <x:c r="L99" s="2" t="str">
        <x:v>取得済</x:v>
      </x:c>
      <x:c r="M99" s="2" t="str">
        <x:v>https://www.qsr.mlit.go.jp/n-michi/useful/kotsuryo/shukei/data/tcdata.json</x:v>
      </x:c>
      <x:c r="N99" s="2" t="str">
        <x:v>https://www.qsr.mlit.go.jp/n-michi/useful/kotsuryo/shukei/data/tcmas.json</x:v>
      </x:c>
    </x:row>
    <x:row r="100" ht="21" customHeight="1">
      <x:c r="A100" s="7" t="n">
        <x:v>45627</x:v>
      </x:c>
      <x:c r="B100" s="2" t="str">
        <x:v>9110050</x:v>
      </x:c>
      <x:c r="C100" s="2" t="str">
        <x:v>八代</x:v>
      </x:c>
      <x:c r="D100" s="2" t="str">
        <x:v>一般国道3号</x:v>
      </x:c>
      <x:c r="E100" s="2" t="str">
        <x:v>八代市福正元町</x:v>
      </x:c>
      <x:c r="F100" s="2" t="str">
        <x:v>平日</x:v>
      </x:c>
      <x:c r="G100" s="8" t="n">
        <x:v>22100</x:v>
      </x:c>
      <x:c r="H100" s="8" t="n">
        <x:v>19100</x:v>
      </x:c>
      <x:c r="I100" s="8" t="n">
        <x:v>3000</x:v>
      </x:c>
      <x:c r="J100" s="9" t="n">
        <x:f>IF(AND(ISNUMBER(I100),ISNUMBER(G100),G100&gt;0),I100/G100,"")</x:f>
        <x:v>0.13574660633484162</x:v>
      </x:c>
      <x:c r="K100" s="9" t="str">
        <x:f>IF(AND(ISNUMBER(I100),COUNTIFS($A$2:$A$313,EDATE(A100,-12),$B$2:$B$313,B100,$F$2:$F$313,F100,$I$2:$I$313,"&gt;0")=1),I100/SUMIFS($I$2:$I$313,$A$2:$A$313,EDATE(A100,-12),$B$2:$B$313,B100,$F$2:$F$313,F100)-1,"")</x:f>
      </x:c>
      <x:c r="L100" s="2" t="str">
        <x:v>取得済</x:v>
      </x:c>
      <x:c r="M100" s="2" t="str">
        <x:v>https://www.qsr.mlit.go.jp/n-michi/useful/kotsuryo/shukei/data/tcdata.json</x:v>
      </x:c>
      <x:c r="N100" s="2" t="str">
        <x:v>https://www.qsr.mlit.go.jp/n-michi/useful/kotsuryo/shukei/data/tcmas.json</x:v>
      </x:c>
    </x:row>
    <x:row r="101" ht="21" customHeight="1">
      <x:c r="A101" s="7" t="n">
        <x:v>45627</x:v>
      </x:c>
      <x:c r="B101" s="2" t="str">
        <x:v>9310130</x:v>
      </x:c>
      <x:c r="C101" s="2" t="str">
        <x:v>大津</x:v>
      </x:c>
      <x:c r="D101" s="2" t="str">
        <x:v>一般国道57号</x:v>
      </x:c>
      <x:c r="E101" s="2" t="str">
        <x:v>菊池郡大津町室</x:v>
      </x:c>
      <x:c r="F101" s="2" t="str">
        <x:v>休日</x:v>
      </x:c>
      <x:c r="G101" s="8" t="n">
        <x:v>28500</x:v>
      </x:c>
      <x:c r="H101" s="8" t="n">
        <x:v>27200</x:v>
      </x:c>
      <x:c r="I101" s="8" t="n">
        <x:v>1300</x:v>
      </x:c>
      <x:c r="J101" s="9" t="n">
        <x:f>IF(AND(ISNUMBER(I101),ISNUMBER(G101),G101&gt;0),I101/G101,"")</x:f>
        <x:v>0.0456140350877193</x:v>
      </x:c>
      <x:c r="K101" s="9" t="str">
        <x:f>IF(AND(ISNUMBER(I101),COUNTIFS($A$2:$A$313,EDATE(A101,-12),$B$2:$B$313,B101,$F$2:$F$313,F101,$I$2:$I$313,"&gt;0")=1),I101/SUMIFS($I$2:$I$313,$A$2:$A$313,EDATE(A101,-12),$B$2:$B$313,B101,$F$2:$F$313,F101)-1,"")</x:f>
      </x:c>
      <x:c r="L101" s="2" t="str">
        <x:v>取得済</x:v>
      </x:c>
      <x:c r="M101" s="2" t="str">
        <x:v>https://www.qsr.mlit.go.jp/n-michi/useful/kotsuryo/shukei/data/tcdata.json</x:v>
      </x:c>
      <x:c r="N101" s="2" t="str">
        <x:v>https://www.qsr.mlit.go.jp/n-michi/useful/kotsuryo/shukei/data/tcmas.json</x:v>
      </x:c>
    </x:row>
    <x:row r="102" ht="21" customHeight="1">
      <x:c r="A102" s="7" t="n">
        <x:v>45627</x:v>
      </x:c>
      <x:c r="B102" s="2" t="str">
        <x:v>9310130</x:v>
      </x:c>
      <x:c r="C102" s="2" t="str">
        <x:v>大津</x:v>
      </x:c>
      <x:c r="D102" s="2" t="str">
        <x:v>一般国道57号</x:v>
      </x:c>
      <x:c r="E102" s="2" t="str">
        <x:v>菊池郡大津町室</x:v>
      </x:c>
      <x:c r="F102" s="2" t="str">
        <x:v>全日</x:v>
      </x:c>
      <x:c r="G102" s="8" t="n">
        <x:v>28500</x:v>
      </x:c>
      <x:c r="H102" s="8" t="n">
        <x:v>26500</x:v>
      </x:c>
      <x:c r="I102" s="8" t="n">
        <x:v>2000</x:v>
      </x:c>
      <x:c r="J102" s="9" t="n">
        <x:f>IF(AND(ISNUMBER(I102),ISNUMBER(G102),G102&gt;0),I102/G102,"")</x:f>
        <x:v>0.07017543859649122</x:v>
      </x:c>
      <x:c r="K102" s="9" t="str">
        <x:f>IF(AND(ISNUMBER(I102),COUNTIFS($A$2:$A$313,EDATE(A102,-12),$B$2:$B$313,B102,$F$2:$F$313,F102,$I$2:$I$313,"&gt;0")=1),I102/SUMIFS($I$2:$I$313,$A$2:$A$313,EDATE(A102,-12),$B$2:$B$313,B102,$F$2:$F$313,F102)-1,"")</x:f>
      </x:c>
      <x:c r="L102" s="2" t="str">
        <x:v>取得済</x:v>
      </x:c>
      <x:c r="M102" s="2" t="str">
        <x:v>https://www.qsr.mlit.go.jp/n-michi/useful/kotsuryo/shukei/data/tcdata.json</x:v>
      </x:c>
      <x:c r="N102" s="2" t="str">
        <x:v>https://www.qsr.mlit.go.jp/n-michi/useful/kotsuryo/shukei/data/tcmas.json</x:v>
      </x:c>
    </x:row>
    <x:row r="103" ht="21" customHeight="1">
      <x:c r="A103" s="7" t="n">
        <x:v>45627</x:v>
      </x:c>
      <x:c r="B103" s="2" t="str">
        <x:v>9310130</x:v>
      </x:c>
      <x:c r="C103" s="2" t="str">
        <x:v>大津</x:v>
      </x:c>
      <x:c r="D103" s="2" t="str">
        <x:v>一般国道57号</x:v>
      </x:c>
      <x:c r="E103" s="2" t="str">
        <x:v>菊池郡大津町室</x:v>
      </x:c>
      <x:c r="F103" s="2" t="str">
        <x:v>平日</x:v>
      </x:c>
      <x:c r="G103" s="8" t="n">
        <x:v>28500</x:v>
      </x:c>
      <x:c r="H103" s="8" t="n">
        <x:v>26200</x:v>
      </x:c>
      <x:c r="I103" s="8" t="n">
        <x:v>2300</x:v>
      </x:c>
      <x:c r="J103" s="9" t="n">
        <x:f>IF(AND(ISNUMBER(I103),ISNUMBER(G103),G103&gt;0),I103/G103,"")</x:f>
        <x:v>0.08070175438596491</x:v>
      </x:c>
      <x:c r="K103" s="9" t="str">
        <x:f>IF(AND(ISNUMBER(I103),COUNTIFS($A$2:$A$313,EDATE(A103,-12),$B$2:$B$313,B103,$F$2:$F$313,F103,$I$2:$I$313,"&gt;0")=1),I103/SUMIFS($I$2:$I$313,$A$2:$A$313,EDATE(A103,-12),$B$2:$B$313,B103,$F$2:$F$313,F103)-1,"")</x:f>
      </x:c>
      <x:c r="L103" s="2" t="str">
        <x:v>取得済</x:v>
      </x:c>
      <x:c r="M103" s="2" t="str">
        <x:v>https://www.qsr.mlit.go.jp/n-michi/useful/kotsuryo/shukei/data/tcdata.json</x:v>
      </x:c>
      <x:c r="N103" s="2" t="str">
        <x:v>https://www.qsr.mlit.go.jp/n-michi/useful/kotsuryo/shukei/data/tcmas.json</x:v>
      </x:c>
    </x:row>
    <x:row r="104" ht="21" customHeight="1">
      <x:c r="A104" s="7" t="n">
        <x:v>45627</x:v>
      </x:c>
      <x:c r="B104" s="2" t="str">
        <x:v>9310140</x:v>
      </x:c>
      <x:c r="C104" s="2" t="str">
        <x:v>新南部</x:v>
      </x:c>
      <x:c r="D104" s="2" t="str">
        <x:v>一般国道57号</x:v>
      </x:c>
      <x:c r="E104" s="2" t="str">
        <x:v>熊本市東区下南部</x:v>
      </x:c>
      <x:c r="F104" s="2" t="str">
        <x:v>休日</x:v>
      </x:c>
      <x:c r="G104" s="8" t="n">
        <x:v>41500</x:v>
      </x:c>
      <x:c r="H104" s="8" t="n">
        <x:v>39000</x:v>
      </x:c>
      <x:c r="I104" s="8" t="n">
        <x:v>2500</x:v>
      </x:c>
      <x:c r="J104" s="9" t="n">
        <x:f>IF(AND(ISNUMBER(I104),ISNUMBER(G104),G104&gt;0),I104/G104,"")</x:f>
        <x:v>0.060240963855421686</x:v>
      </x:c>
      <x:c r="K104" s="9" t="str">
        <x:f>IF(AND(ISNUMBER(I104),COUNTIFS($A$2:$A$313,EDATE(A104,-12),$B$2:$B$313,B104,$F$2:$F$313,F104,$I$2:$I$313,"&gt;0")=1),I104/SUMIFS($I$2:$I$313,$A$2:$A$313,EDATE(A104,-12),$B$2:$B$313,B104,$F$2:$F$313,F104)-1,"")</x:f>
      </x:c>
      <x:c r="L104" s="2" t="str">
        <x:v>取得済</x:v>
      </x:c>
      <x:c r="M104" s="2" t="str">
        <x:v>https://www.qsr.mlit.go.jp/n-michi/useful/kotsuryo/shukei/data/tcdata.json</x:v>
      </x:c>
      <x:c r="N104" s="2" t="str">
        <x:v>https://www.qsr.mlit.go.jp/n-michi/useful/kotsuryo/shukei/data/tcmas.json</x:v>
      </x:c>
    </x:row>
    <x:row r="105" ht="21" customHeight="1">
      <x:c r="A105" s="7" t="n">
        <x:v>45627</x:v>
      </x:c>
      <x:c r="B105" s="2" t="str">
        <x:v>9310140</x:v>
      </x:c>
      <x:c r="C105" s="2" t="str">
        <x:v>新南部</x:v>
      </x:c>
      <x:c r="D105" s="2" t="str">
        <x:v>一般国道57号</x:v>
      </x:c>
      <x:c r="E105" s="2" t="str">
        <x:v>熊本市東区下南部</x:v>
      </x:c>
      <x:c r="F105" s="2" t="str">
        <x:v>全日</x:v>
      </x:c>
      <x:c r="G105" s="8" t="n">
        <x:v>43000</x:v>
      </x:c>
      <x:c r="H105" s="8" t="n">
        <x:v>39000</x:v>
      </x:c>
      <x:c r="I105" s="8" t="n">
        <x:v>4000</x:v>
      </x:c>
      <x:c r="J105" s="9" t="n">
        <x:f>IF(AND(ISNUMBER(I105),ISNUMBER(G105),G105&gt;0),I105/G105,"")</x:f>
        <x:v>0.09302325581395349</x:v>
      </x:c>
      <x:c r="K105" s="9" t="str">
        <x:f>IF(AND(ISNUMBER(I105),COUNTIFS($A$2:$A$313,EDATE(A105,-12),$B$2:$B$313,B105,$F$2:$F$313,F105,$I$2:$I$313,"&gt;0")=1),I105/SUMIFS($I$2:$I$313,$A$2:$A$313,EDATE(A105,-12),$B$2:$B$313,B105,$F$2:$F$313,F105)-1,"")</x:f>
      </x:c>
      <x:c r="L105" s="2" t="str">
        <x:v>取得済</x:v>
      </x:c>
      <x:c r="M105" s="2" t="str">
        <x:v>https://www.qsr.mlit.go.jp/n-michi/useful/kotsuryo/shukei/data/tcdata.json</x:v>
      </x:c>
      <x:c r="N105" s="2" t="str">
        <x:v>https://www.qsr.mlit.go.jp/n-michi/useful/kotsuryo/shukei/data/tcmas.json</x:v>
      </x:c>
    </x:row>
    <x:row r="106" ht="21" customHeight="1">
      <x:c r="A106" s="7" t="n">
        <x:v>45627</x:v>
      </x:c>
      <x:c r="B106" s="2" t="str">
        <x:v>9310140</x:v>
      </x:c>
      <x:c r="C106" s="2" t="str">
        <x:v>新南部</x:v>
      </x:c>
      <x:c r="D106" s="2" t="str">
        <x:v>一般国道57号</x:v>
      </x:c>
      <x:c r="E106" s="2" t="str">
        <x:v>熊本市東区下南部</x:v>
      </x:c>
      <x:c r="F106" s="2" t="str">
        <x:v>平日</x:v>
      </x:c>
      <x:c r="G106" s="8" t="n">
        <x:v>43600</x:v>
      </x:c>
      <x:c r="H106" s="8" t="n">
        <x:v>39000</x:v>
      </x:c>
      <x:c r="I106" s="8" t="n">
        <x:v>4600</x:v>
      </x:c>
      <x:c r="J106" s="9" t="n">
        <x:f>IF(AND(ISNUMBER(I106),ISNUMBER(G106),G106&gt;0),I106/G106,"")</x:f>
        <x:v>0.10550458715596331</x:v>
      </x:c>
      <x:c r="K106" s="9" t="str">
        <x:f>IF(AND(ISNUMBER(I106),COUNTIFS($A$2:$A$313,EDATE(A106,-12),$B$2:$B$313,B106,$F$2:$F$313,F106,$I$2:$I$313,"&gt;0")=1),I106/SUMIFS($I$2:$I$313,$A$2:$A$313,EDATE(A106,-12),$B$2:$B$313,B106,$F$2:$F$313,F106)-1,"")</x:f>
      </x:c>
      <x:c r="L106" s="2" t="str">
        <x:v>取得済</x:v>
      </x:c>
      <x:c r="M106" s="2" t="str">
        <x:v>https://www.qsr.mlit.go.jp/n-michi/useful/kotsuryo/shukei/data/tcdata.json</x:v>
      </x:c>
      <x:c r="N106" s="2" t="str">
        <x:v>https://www.qsr.mlit.go.jp/n-michi/useful/kotsuryo/shukei/data/tcmas.json</x:v>
      </x:c>
    </x:row>
    <x:row r="107" ht="21" customHeight="1">
      <x:c r="A107" s="7" t="n">
        <x:v>45627</x:v>
      </x:c>
      <x:c r="B107" s="2" t="str">
        <x:v>9110030</x:v>
      </x:c>
      <x:c r="C107" s="2" t="str">
        <x:v>熊本</x:v>
      </x:c>
      <x:c r="D107" s="2" t="str">
        <x:v>一般国道3号</x:v>
      </x:c>
      <x:c r="E107" s="2" t="str">
        <x:v>熊本市南区南高江</x:v>
      </x:c>
      <x:c r="F107" s="2" t="str">
        <x:v>休日</x:v>
      </x:c>
      <x:c r="G107" s="8" t="n">
        <x:v>34600</x:v>
      </x:c>
      <x:c r="H107" s="8" t="n">
        <x:v>32700</x:v>
      </x:c>
      <x:c r="I107" s="8" t="n">
        <x:v>1900</x:v>
      </x:c>
      <x:c r="J107" s="9" t="n">
        <x:f>IF(AND(ISNUMBER(I107),ISNUMBER(G107),G107&gt;0),I107/G107,"")</x:f>
        <x:v>0.05491329479768786</x:v>
      </x:c>
      <x:c r="K107" s="9" t="str">
        <x:f>IF(AND(ISNUMBER(I107),COUNTIFS($A$2:$A$313,EDATE(A107,-12),$B$2:$B$313,B107,$F$2:$F$313,F107,$I$2:$I$313,"&gt;0")=1),I107/SUMIFS($I$2:$I$313,$A$2:$A$313,EDATE(A107,-12),$B$2:$B$313,B107,$F$2:$F$313,F107)-1,"")</x:f>
      </x:c>
      <x:c r="L107" s="2" t="str">
        <x:v>取得済</x:v>
      </x:c>
      <x:c r="M107" s="2" t="str">
        <x:v>https://www.qsr.mlit.go.jp/n-michi/useful/kotsuryo/shukei/data/tcdata.json</x:v>
      </x:c>
      <x:c r="N107" s="2" t="str">
        <x:v>https://www.qsr.mlit.go.jp/n-michi/useful/kotsuryo/shukei/data/tcmas.json</x:v>
      </x:c>
    </x:row>
    <x:row r="108" ht="21" customHeight="1">
      <x:c r="A108" s="7" t="n">
        <x:v>45627</x:v>
      </x:c>
      <x:c r="B108" s="2" t="str">
        <x:v>9110030</x:v>
      </x:c>
      <x:c r="C108" s="2" t="str">
        <x:v>熊本</x:v>
      </x:c>
      <x:c r="D108" s="2" t="str">
        <x:v>一般国道3号</x:v>
      </x:c>
      <x:c r="E108" s="2" t="str">
        <x:v>熊本市南区南高江</x:v>
      </x:c>
      <x:c r="F108" s="2" t="str">
        <x:v>全日</x:v>
      </x:c>
      <x:c r="G108" s="8" t="n">
        <x:v>34200</x:v>
      </x:c>
      <x:c r="H108" s="8" t="n">
        <x:v>31100</x:v>
      </x:c>
      <x:c r="I108" s="8" t="n">
        <x:v>3100</x:v>
      </x:c>
      <x:c r="J108" s="9" t="n">
        <x:f>IF(AND(ISNUMBER(I108),ISNUMBER(G108),G108&gt;0),I108/G108,"")</x:f>
        <x:v>0.09064327485380116</x:v>
      </x:c>
      <x:c r="K108" s="9" t="str">
        <x:f>IF(AND(ISNUMBER(I108),COUNTIFS($A$2:$A$313,EDATE(A108,-12),$B$2:$B$313,B108,$F$2:$F$313,F108,$I$2:$I$313,"&gt;0")=1),I108/SUMIFS($I$2:$I$313,$A$2:$A$313,EDATE(A108,-12),$B$2:$B$313,B108,$F$2:$F$313,F108)-1,"")</x:f>
      </x:c>
      <x:c r="L108" s="2" t="str">
        <x:v>取得済</x:v>
      </x:c>
      <x:c r="M108" s="2" t="str">
        <x:v>https://www.qsr.mlit.go.jp/n-michi/useful/kotsuryo/shukei/data/tcdata.json</x:v>
      </x:c>
      <x:c r="N108" s="2" t="str">
        <x:v>https://www.qsr.mlit.go.jp/n-michi/useful/kotsuryo/shukei/data/tcmas.json</x:v>
      </x:c>
    </x:row>
    <x:row r="109" ht="21" customHeight="1">
      <x:c r="A109" s="7" t="n">
        <x:v>45627</x:v>
      </x:c>
      <x:c r="B109" s="2" t="str">
        <x:v>9110030</x:v>
      </x:c>
      <x:c r="C109" s="2" t="str">
        <x:v>熊本</x:v>
      </x:c>
      <x:c r="D109" s="2" t="str">
        <x:v>一般国道3号</x:v>
      </x:c>
      <x:c r="E109" s="2" t="str">
        <x:v>熊本市南区南高江</x:v>
      </x:c>
      <x:c r="F109" s="2" t="str">
        <x:v>平日</x:v>
      </x:c>
      <x:c r="G109" s="8" t="n">
        <x:v>34100</x:v>
      </x:c>
      <x:c r="H109" s="8" t="n">
        <x:v>30400</x:v>
      </x:c>
      <x:c r="I109" s="8" t="n">
        <x:v>3700</x:v>
      </x:c>
      <x:c r="J109" s="9" t="n">
        <x:f>IF(AND(ISNUMBER(I109),ISNUMBER(G109),G109&gt;0),I109/G109,"")</x:f>
        <x:v>0.10850439882697947</x:v>
      </x:c>
      <x:c r="K109" s="9" t="str">
        <x:f>IF(AND(ISNUMBER(I109),COUNTIFS($A$2:$A$313,EDATE(A109,-12),$B$2:$B$313,B109,$F$2:$F$313,F109,$I$2:$I$313,"&gt;0")=1),I109/SUMIFS($I$2:$I$313,$A$2:$A$313,EDATE(A109,-12),$B$2:$B$313,B109,$F$2:$F$313,F109)-1,"")</x:f>
      </x:c>
      <x:c r="L109" s="2" t="str">
        <x:v>取得済</x:v>
      </x:c>
      <x:c r="M109" s="2" t="str">
        <x:v>https://www.qsr.mlit.go.jp/n-michi/useful/kotsuryo/shukei/data/tcdata.json</x:v>
      </x:c>
      <x:c r="N109" s="2" t="str">
        <x:v>https://www.qsr.mlit.go.jp/n-michi/useful/kotsuryo/shukei/data/tcmas.json</x:v>
      </x:c>
    </x:row>
    <x:row r="110" ht="21" customHeight="1">
      <x:c r="A110" s="7" t="n">
        <x:v>45658</x:v>
      </x:c>
      <x:c r="B110" s="2" t="str">
        <x:v>9110050</x:v>
      </x:c>
      <x:c r="C110" s="2" t="str">
        <x:v>八代</x:v>
      </x:c>
      <x:c r="D110" s="2" t="str">
        <x:v>一般国道3号</x:v>
      </x:c>
      <x:c r="E110" s="2" t="str">
        <x:v>八代市福正元町</x:v>
      </x:c>
      <x:c r="F110" s="2" t="str">
        <x:v>休日</x:v>
      </x:c>
      <x:c r="G110" s="8" t="n">
        <x:v>18200</x:v>
      </x:c>
      <x:c r="H110" s="8" t="n">
        <x:v>17000</x:v>
      </x:c>
      <x:c r="I110" s="8" t="n">
        <x:v>1200</x:v>
      </x:c>
      <x:c r="J110" s="9" t="n">
        <x:f>IF(AND(ISNUMBER(I110),ISNUMBER(G110),G110&gt;0),I110/G110,"")</x:f>
        <x:v>0.06593406593406594</x:v>
      </x:c>
      <x:c r="K110" s="9" t="str">
        <x:f>IF(AND(ISNUMBER(I110),COUNTIFS($A$2:$A$313,EDATE(A110,-12),$B$2:$B$313,B110,$F$2:$F$313,F110,$I$2:$I$313,"&gt;0")=1),I110/SUMIFS($I$2:$I$313,$A$2:$A$313,EDATE(A110,-12),$B$2:$B$313,B110,$F$2:$F$313,F110)-1,"")</x:f>
      </x:c>
      <x:c r="L110" s="2" t="str">
        <x:v>取得済</x:v>
      </x:c>
      <x:c r="M110" s="2" t="str">
        <x:v>https://www.qsr.mlit.go.jp/n-michi/useful/kotsuryo/shukei/data/tcdata.json</x:v>
      </x:c>
      <x:c r="N110" s="2" t="str">
        <x:v>https://www.qsr.mlit.go.jp/n-michi/useful/kotsuryo/shukei/data/tcmas.json</x:v>
      </x:c>
    </x:row>
    <x:row r="111" ht="21" customHeight="1">
      <x:c r="A111" s="7" t="n">
        <x:v>45658</x:v>
      </x:c>
      <x:c r="B111" s="2" t="str">
        <x:v>9110050</x:v>
      </x:c>
      <x:c r="C111" s="2" t="str">
        <x:v>八代</x:v>
      </x:c>
      <x:c r="D111" s="2" t="str">
        <x:v>一般国道3号</x:v>
      </x:c>
      <x:c r="E111" s="2" t="str">
        <x:v>八代市福正元町</x:v>
      </x:c>
      <x:c r="F111" s="2" t="str">
        <x:v>全日</x:v>
      </x:c>
      <x:c r="G111" s="8" t="n">
        <x:v>20200</x:v>
      </x:c>
      <x:c r="H111" s="8" t="n">
        <x:v>17800</x:v>
      </x:c>
      <x:c r="I111" s="8" t="n">
        <x:v>2400</x:v>
      </x:c>
      <x:c r="J111" s="9" t="n">
        <x:f>IF(AND(ISNUMBER(I111),ISNUMBER(G111),G111&gt;0),I111/G111,"")</x:f>
        <x:v>0.1188118811881188</x:v>
      </x:c>
      <x:c r="K111" s="9" t="str">
        <x:f>IF(AND(ISNUMBER(I111),COUNTIFS($A$2:$A$313,EDATE(A111,-12),$B$2:$B$313,B111,$F$2:$F$313,F111,$I$2:$I$313,"&gt;0")=1),I111/SUMIFS($I$2:$I$313,$A$2:$A$313,EDATE(A111,-12),$B$2:$B$313,B111,$F$2:$F$313,F111)-1,"")</x:f>
      </x:c>
      <x:c r="L111" s="2" t="str">
        <x:v>取得済</x:v>
      </x:c>
      <x:c r="M111" s="2" t="str">
        <x:v>https://www.qsr.mlit.go.jp/n-michi/useful/kotsuryo/shukei/data/tcdata.json</x:v>
      </x:c>
      <x:c r="N111" s="2" t="str">
        <x:v>https://www.qsr.mlit.go.jp/n-michi/useful/kotsuryo/shukei/data/tcmas.json</x:v>
      </x:c>
    </x:row>
    <x:row r="112" ht="21" customHeight="1">
      <x:c r="A112" s="7" t="n">
        <x:v>45658</x:v>
      </x:c>
      <x:c r="B112" s="2" t="str">
        <x:v>9110050</x:v>
      </x:c>
      <x:c r="C112" s="2" t="str">
        <x:v>八代</x:v>
      </x:c>
      <x:c r="D112" s="2" t="str">
        <x:v>一般国道3号</x:v>
      </x:c>
      <x:c r="E112" s="2" t="str">
        <x:v>八代市福正元町</x:v>
      </x:c>
      <x:c r="F112" s="2" t="str">
        <x:v>平日</x:v>
      </x:c>
      <x:c r="G112" s="8" t="n">
        <x:v>21100</x:v>
      </x:c>
      <x:c r="H112" s="8" t="n">
        <x:v>18200</x:v>
      </x:c>
      <x:c r="I112" s="8" t="n">
        <x:v>2900</x:v>
      </x:c>
      <x:c r="J112" s="9" t="n">
        <x:f>IF(AND(ISNUMBER(I112),ISNUMBER(G112),G112&gt;0),I112/G112,"")</x:f>
        <x:v>0.13744075829383887</x:v>
      </x:c>
      <x:c r="K112" s="9" t="str">
        <x:f>IF(AND(ISNUMBER(I112),COUNTIFS($A$2:$A$313,EDATE(A112,-12),$B$2:$B$313,B112,$F$2:$F$313,F112,$I$2:$I$313,"&gt;0")=1),I112/SUMIFS($I$2:$I$313,$A$2:$A$313,EDATE(A112,-12),$B$2:$B$313,B112,$F$2:$F$313,F112)-1,"")</x:f>
      </x:c>
      <x:c r="L112" s="2" t="str">
        <x:v>取得済</x:v>
      </x:c>
      <x:c r="M112" s="2" t="str">
        <x:v>https://www.qsr.mlit.go.jp/n-michi/useful/kotsuryo/shukei/data/tcdata.json</x:v>
      </x:c>
      <x:c r="N112" s="2" t="str">
        <x:v>https://www.qsr.mlit.go.jp/n-michi/useful/kotsuryo/shukei/data/tcmas.json</x:v>
      </x:c>
    </x:row>
    <x:row r="113" ht="21" customHeight="1">
      <x:c r="A113" s="7" t="n">
        <x:v>45658</x:v>
      </x:c>
      <x:c r="B113" s="2" t="str">
        <x:v>9310130</x:v>
      </x:c>
      <x:c r="C113" s="2" t="str">
        <x:v>大津</x:v>
      </x:c>
      <x:c r="D113" s="2" t="str">
        <x:v>一般国道57号</x:v>
      </x:c>
      <x:c r="E113" s="2" t="str">
        <x:v>菊池郡大津町室</x:v>
      </x:c>
      <x:c r="F113" s="2" t="str">
        <x:v>休日</x:v>
      </x:c>
      <x:c r="G113" s="8" t="n">
        <x:v>27200</x:v>
      </x:c>
      <x:c r="H113" s="8" t="n">
        <x:v>26200</x:v>
      </x:c>
      <x:c r="I113" s="8" t="n">
        <x:v>1000</x:v>
      </x:c>
      <x:c r="J113" s="9" t="n">
        <x:f>IF(AND(ISNUMBER(I113),ISNUMBER(G113),G113&gt;0),I113/G113,"")</x:f>
        <x:v>0.03676470588235294</x:v>
      </x:c>
      <x:c r="K113" s="9" t="str">
        <x:f>IF(AND(ISNUMBER(I113),COUNTIFS($A$2:$A$313,EDATE(A113,-12),$B$2:$B$313,B113,$F$2:$F$313,F113,$I$2:$I$313,"&gt;0")=1),I113/SUMIFS($I$2:$I$313,$A$2:$A$313,EDATE(A113,-12),$B$2:$B$313,B113,$F$2:$F$313,F113)-1,"")</x:f>
      </x:c>
      <x:c r="L113" s="2" t="str">
        <x:v>取得済</x:v>
      </x:c>
      <x:c r="M113" s="2" t="str">
        <x:v>https://www.qsr.mlit.go.jp/n-michi/useful/kotsuryo/shukei/data/tcdata.json</x:v>
      </x:c>
      <x:c r="N113" s="2" t="str">
        <x:v>https://www.qsr.mlit.go.jp/n-michi/useful/kotsuryo/shukei/data/tcmas.json</x:v>
      </x:c>
    </x:row>
    <x:row r="114" ht="21" customHeight="1">
      <x:c r="A114" s="7" t="n">
        <x:v>45658</x:v>
      </x:c>
      <x:c r="B114" s="2" t="str">
        <x:v>9310130</x:v>
      </x:c>
      <x:c r="C114" s="2" t="str">
        <x:v>大津</x:v>
      </x:c>
      <x:c r="D114" s="2" t="str">
        <x:v>一般国道57号</x:v>
      </x:c>
      <x:c r="E114" s="2" t="str">
        <x:v>菊池郡大津町室</x:v>
      </x:c>
      <x:c r="F114" s="2" t="str">
        <x:v>全日</x:v>
      </x:c>
      <x:c r="G114" s="8" t="n">
        <x:v>27200</x:v>
      </x:c>
      <x:c r="H114" s="8" t="n">
        <x:v>25500</x:v>
      </x:c>
      <x:c r="I114" s="8" t="n">
        <x:v>1700</x:v>
      </x:c>
      <x:c r="J114" s="9" t="n">
        <x:f>IF(AND(ISNUMBER(I114),ISNUMBER(G114),G114&gt;0),I114/G114,"")</x:f>
        <x:v>0.0625</x:v>
      </x:c>
      <x:c r="K114" s="9" t="str">
        <x:f>IF(AND(ISNUMBER(I114),COUNTIFS($A$2:$A$313,EDATE(A114,-12),$B$2:$B$313,B114,$F$2:$F$313,F114,$I$2:$I$313,"&gt;0")=1),I114/SUMIFS($I$2:$I$313,$A$2:$A$313,EDATE(A114,-12),$B$2:$B$313,B114,$F$2:$F$313,F114)-1,"")</x:f>
      </x:c>
      <x:c r="L114" s="2" t="str">
        <x:v>取得済</x:v>
      </x:c>
      <x:c r="M114" s="2" t="str">
        <x:v>https://www.qsr.mlit.go.jp/n-michi/useful/kotsuryo/shukei/data/tcdata.json</x:v>
      </x:c>
      <x:c r="N114" s="2" t="str">
        <x:v>https://www.qsr.mlit.go.jp/n-michi/useful/kotsuryo/shukei/data/tcmas.json</x:v>
      </x:c>
    </x:row>
    <x:row r="115" ht="21" customHeight="1">
      <x:c r="A115" s="7" t="n">
        <x:v>45658</x:v>
      </x:c>
      <x:c r="B115" s="2" t="str">
        <x:v>9310130</x:v>
      </x:c>
      <x:c r="C115" s="2" t="str">
        <x:v>大津</x:v>
      </x:c>
      <x:c r="D115" s="2" t="str">
        <x:v>一般国道57号</x:v>
      </x:c>
      <x:c r="E115" s="2" t="str">
        <x:v>菊池郡大津町室</x:v>
      </x:c>
      <x:c r="F115" s="2" t="str">
        <x:v>平日</x:v>
      </x:c>
      <x:c r="G115" s="8" t="n">
        <x:v>27200</x:v>
      </x:c>
      <x:c r="H115" s="8" t="n">
        <x:v>25100</x:v>
      </x:c>
      <x:c r="I115" s="8" t="n">
        <x:v>2100</x:v>
      </x:c>
      <x:c r="J115" s="9" t="n">
        <x:f>IF(AND(ISNUMBER(I115),ISNUMBER(G115),G115&gt;0),I115/G115,"")</x:f>
        <x:v>0.07720588235294118</x:v>
      </x:c>
      <x:c r="K115" s="9" t="str">
        <x:f>IF(AND(ISNUMBER(I115),COUNTIFS($A$2:$A$313,EDATE(A115,-12),$B$2:$B$313,B115,$F$2:$F$313,F115,$I$2:$I$313,"&gt;0")=1),I115/SUMIFS($I$2:$I$313,$A$2:$A$313,EDATE(A115,-12),$B$2:$B$313,B115,$F$2:$F$313,F115)-1,"")</x:f>
      </x:c>
      <x:c r="L115" s="2" t="str">
        <x:v>取得済</x:v>
      </x:c>
      <x:c r="M115" s="2" t="str">
        <x:v>https://www.qsr.mlit.go.jp/n-michi/useful/kotsuryo/shukei/data/tcdata.json</x:v>
      </x:c>
      <x:c r="N115" s="2" t="str">
        <x:v>https://www.qsr.mlit.go.jp/n-michi/useful/kotsuryo/shukei/data/tcmas.json</x:v>
      </x:c>
    </x:row>
    <x:row r="116" ht="21" customHeight="1">
      <x:c r="A116" s="7" t="n">
        <x:v>45658</x:v>
      </x:c>
      <x:c r="B116" s="2" t="str">
        <x:v>9310140</x:v>
      </x:c>
      <x:c r="C116" s="2" t="str">
        <x:v>新南部</x:v>
      </x:c>
      <x:c r="D116" s="2" t="str">
        <x:v>一般国道57号</x:v>
      </x:c>
      <x:c r="E116" s="2" t="str">
        <x:v>熊本市東区下南部</x:v>
      </x:c>
      <x:c r="F116" s="2" t="str">
        <x:v>休日</x:v>
      </x:c>
      <x:c r="G116" s="8" t="n">
        <x:v>39400</x:v>
      </x:c>
      <x:c r="H116" s="8" t="n">
        <x:v>37100</x:v>
      </x:c>
      <x:c r="I116" s="8" t="n">
        <x:v>2300</x:v>
      </x:c>
      <x:c r="J116" s="9" t="n">
        <x:f>IF(AND(ISNUMBER(I116),ISNUMBER(G116),G116&gt;0),I116/G116,"")</x:f>
        <x:v>0.0583756345177665</x:v>
      </x:c>
      <x:c r="K116" s="9" t="str">
        <x:f>IF(AND(ISNUMBER(I116),COUNTIFS($A$2:$A$313,EDATE(A116,-12),$B$2:$B$313,B116,$F$2:$F$313,F116,$I$2:$I$313,"&gt;0")=1),I116/SUMIFS($I$2:$I$313,$A$2:$A$313,EDATE(A116,-12),$B$2:$B$313,B116,$F$2:$F$313,F116)-1,"")</x:f>
      </x:c>
      <x:c r="L116" s="2" t="str">
        <x:v>取得済</x:v>
      </x:c>
      <x:c r="M116" s="2" t="str">
        <x:v>https://www.qsr.mlit.go.jp/n-michi/useful/kotsuryo/shukei/data/tcdata.json</x:v>
      </x:c>
      <x:c r="N116" s="2" t="str">
        <x:v>https://www.qsr.mlit.go.jp/n-michi/useful/kotsuryo/shukei/data/tcmas.json</x:v>
      </x:c>
    </x:row>
    <x:row r="117" ht="21" customHeight="1">
      <x:c r="A117" s="7" t="n">
        <x:v>45658</x:v>
      </x:c>
      <x:c r="B117" s="2" t="str">
        <x:v>9310140</x:v>
      </x:c>
      <x:c r="C117" s="2" t="str">
        <x:v>新南部</x:v>
      </x:c>
      <x:c r="D117" s="2" t="str">
        <x:v>一般国道57号</x:v>
      </x:c>
      <x:c r="E117" s="2" t="str">
        <x:v>熊本市東区下南部</x:v>
      </x:c>
      <x:c r="F117" s="2" t="str">
        <x:v>全日</x:v>
      </x:c>
      <x:c r="G117" s="8" t="n">
        <x:v>41600</x:v>
      </x:c>
      <x:c r="H117" s="8" t="n">
        <x:v>37900</x:v>
      </x:c>
      <x:c r="I117" s="8" t="n">
        <x:v>3700</x:v>
      </x:c>
      <x:c r="J117" s="9" t="n">
        <x:f>IF(AND(ISNUMBER(I117),ISNUMBER(G117),G117&gt;0),I117/G117,"")</x:f>
        <x:v>0.0889423076923077</x:v>
      </x:c>
      <x:c r="K117" s="9" t="str">
        <x:f>IF(AND(ISNUMBER(I117),COUNTIFS($A$2:$A$313,EDATE(A117,-12),$B$2:$B$313,B117,$F$2:$F$313,F117,$I$2:$I$313,"&gt;0")=1),I117/SUMIFS($I$2:$I$313,$A$2:$A$313,EDATE(A117,-12),$B$2:$B$313,B117,$F$2:$F$313,F117)-1,"")</x:f>
      </x:c>
      <x:c r="L117" s="2" t="str">
        <x:v>取得済</x:v>
      </x:c>
      <x:c r="M117" s="2" t="str">
        <x:v>https://www.qsr.mlit.go.jp/n-michi/useful/kotsuryo/shukei/data/tcdata.json</x:v>
      </x:c>
      <x:c r="N117" s="2" t="str">
        <x:v>https://www.qsr.mlit.go.jp/n-michi/useful/kotsuryo/shukei/data/tcmas.json</x:v>
      </x:c>
    </x:row>
    <x:row r="118" ht="21" customHeight="1">
      <x:c r="A118" s="7" t="n">
        <x:v>45658</x:v>
      </x:c>
      <x:c r="B118" s="2" t="str">
        <x:v>9310140</x:v>
      </x:c>
      <x:c r="C118" s="2" t="str">
        <x:v>新南部</x:v>
      </x:c>
      <x:c r="D118" s="2" t="str">
        <x:v>一般国道57号</x:v>
      </x:c>
      <x:c r="E118" s="2" t="str">
        <x:v>熊本市東区下南部</x:v>
      </x:c>
      <x:c r="F118" s="2" t="str">
        <x:v>平日</x:v>
      </x:c>
      <x:c r="G118" s="8" t="n">
        <x:v>42600</x:v>
      </x:c>
      <x:c r="H118" s="8" t="n">
        <x:v>38200</x:v>
      </x:c>
      <x:c r="I118" s="8" t="n">
        <x:v>4400</x:v>
      </x:c>
      <x:c r="J118" s="9" t="n">
        <x:f>IF(AND(ISNUMBER(I118),ISNUMBER(G118),G118&gt;0),I118/G118,"")</x:f>
        <x:v>0.10328638497652583</x:v>
      </x:c>
      <x:c r="K118" s="9" t="str">
        <x:f>IF(AND(ISNUMBER(I118),COUNTIFS($A$2:$A$313,EDATE(A118,-12),$B$2:$B$313,B118,$F$2:$F$313,F118,$I$2:$I$313,"&gt;0")=1),I118/SUMIFS($I$2:$I$313,$A$2:$A$313,EDATE(A118,-12),$B$2:$B$313,B118,$F$2:$F$313,F118)-1,"")</x:f>
      </x:c>
      <x:c r="L118" s="2" t="str">
        <x:v>取得済</x:v>
      </x:c>
      <x:c r="M118" s="2" t="str">
        <x:v>https://www.qsr.mlit.go.jp/n-michi/useful/kotsuryo/shukei/data/tcdata.json</x:v>
      </x:c>
      <x:c r="N118" s="2" t="str">
        <x:v>https://www.qsr.mlit.go.jp/n-michi/useful/kotsuryo/shukei/data/tcmas.json</x:v>
      </x:c>
    </x:row>
    <x:row r="119" ht="21" customHeight="1">
      <x:c r="A119" s="7" t="n">
        <x:v>45658</x:v>
      </x:c>
      <x:c r="B119" s="2" t="str">
        <x:v>9110030</x:v>
      </x:c>
      <x:c r="C119" s="2" t="str">
        <x:v>熊本</x:v>
      </x:c>
      <x:c r="D119" s="2" t="str">
        <x:v>一般国道3号</x:v>
      </x:c>
      <x:c r="E119" s="2" t="str">
        <x:v>熊本市南区南高江</x:v>
      </x:c>
      <x:c r="F119" s="2" t="str">
        <x:v>休日</x:v>
      </x:c>
      <x:c r="G119" s="8" t="n">
        <x:v>32100</x:v>
      </x:c>
      <x:c r="H119" s="8" t="n">
        <x:v>30400</x:v>
      </x:c>
      <x:c r="I119" s="8" t="n">
        <x:v>1700</x:v>
      </x:c>
      <x:c r="J119" s="9" t="n">
        <x:f>IF(AND(ISNUMBER(I119),ISNUMBER(G119),G119&gt;0),I119/G119,"")</x:f>
        <x:v>0.0529595015576324</x:v>
      </x:c>
      <x:c r="K119" s="9" t="str">
        <x:f>IF(AND(ISNUMBER(I119),COUNTIFS($A$2:$A$313,EDATE(A119,-12),$B$2:$B$313,B119,$F$2:$F$313,F119,$I$2:$I$313,"&gt;0")=1),I119/SUMIFS($I$2:$I$313,$A$2:$A$313,EDATE(A119,-12),$B$2:$B$313,B119,$F$2:$F$313,F119)-1,"")</x:f>
      </x:c>
      <x:c r="L119" s="2" t="str">
        <x:v>取得済</x:v>
      </x:c>
      <x:c r="M119" s="2" t="str">
        <x:v>https://www.qsr.mlit.go.jp/n-michi/useful/kotsuryo/shukei/data/tcdata.json</x:v>
      </x:c>
      <x:c r="N119" s="2" t="str">
        <x:v>https://www.qsr.mlit.go.jp/n-michi/useful/kotsuryo/shukei/data/tcmas.json</x:v>
      </x:c>
    </x:row>
    <x:row r="120" ht="21" customHeight="1">
      <x:c r="A120" s="7" t="n">
        <x:v>45658</x:v>
      </x:c>
      <x:c r="B120" s="2" t="str">
        <x:v>9110030</x:v>
      </x:c>
      <x:c r="C120" s="2" t="str">
        <x:v>熊本</x:v>
      </x:c>
      <x:c r="D120" s="2" t="str">
        <x:v>一般国道3号</x:v>
      </x:c>
      <x:c r="E120" s="2" t="str">
        <x:v>熊本市南区南高江</x:v>
      </x:c>
      <x:c r="F120" s="2" t="str">
        <x:v>全日</x:v>
      </x:c>
      <x:c r="G120" s="8" t="n">
        <x:v>32800</x:v>
      </x:c>
      <x:c r="H120" s="8" t="n">
        <x:v>29900</x:v>
      </x:c>
      <x:c r="I120" s="8" t="n">
        <x:v>2900</x:v>
      </x:c>
      <x:c r="J120" s="9" t="n">
        <x:f>IF(AND(ISNUMBER(I120),ISNUMBER(G120),G120&gt;0),I120/G120,"")</x:f>
        <x:v>0.08841463414634146</x:v>
      </x:c>
      <x:c r="K120" s="9" t="str">
        <x:f>IF(AND(ISNUMBER(I120),COUNTIFS($A$2:$A$313,EDATE(A120,-12),$B$2:$B$313,B120,$F$2:$F$313,F120,$I$2:$I$313,"&gt;0")=1),I120/SUMIFS($I$2:$I$313,$A$2:$A$313,EDATE(A120,-12),$B$2:$B$313,B120,$F$2:$F$313,F120)-1,"")</x:f>
      </x:c>
      <x:c r="L120" s="2" t="str">
        <x:v>取得済</x:v>
      </x:c>
      <x:c r="M120" s="2" t="str">
        <x:v>https://www.qsr.mlit.go.jp/n-michi/useful/kotsuryo/shukei/data/tcdata.json</x:v>
      </x:c>
      <x:c r="N120" s="2" t="str">
        <x:v>https://www.qsr.mlit.go.jp/n-michi/useful/kotsuryo/shukei/data/tcmas.json</x:v>
      </x:c>
    </x:row>
    <x:row r="121" ht="21" customHeight="1">
      <x:c r="A121" s="7" t="n">
        <x:v>45658</x:v>
      </x:c>
      <x:c r="B121" s="2" t="str">
        <x:v>9110030</x:v>
      </x:c>
      <x:c r="C121" s="2" t="str">
        <x:v>熊本</x:v>
      </x:c>
      <x:c r="D121" s="2" t="str">
        <x:v>一般国道3号</x:v>
      </x:c>
      <x:c r="E121" s="2" t="str">
        <x:v>熊本市南区南高江</x:v>
      </x:c>
      <x:c r="F121" s="2" t="str">
        <x:v>平日</x:v>
      </x:c>
      <x:c r="G121" s="8" t="n">
        <x:v>33100</x:v>
      </x:c>
      <x:c r="H121" s="8" t="n">
        <x:v>29700</x:v>
      </x:c>
      <x:c r="I121" s="8" t="n">
        <x:v>3400</x:v>
      </x:c>
      <x:c r="J121" s="9" t="n">
        <x:f>IF(AND(ISNUMBER(I121),ISNUMBER(G121),G121&gt;0),I121/G121,"")</x:f>
        <x:v>0.1027190332326284</x:v>
      </x:c>
      <x:c r="K121" s="9" t="str">
        <x:f>IF(AND(ISNUMBER(I121),COUNTIFS($A$2:$A$313,EDATE(A121,-12),$B$2:$B$313,B121,$F$2:$F$313,F121,$I$2:$I$313,"&gt;0")=1),I121/SUMIFS($I$2:$I$313,$A$2:$A$313,EDATE(A121,-12),$B$2:$B$313,B121,$F$2:$F$313,F121)-1,"")</x:f>
      </x:c>
      <x:c r="L121" s="2" t="str">
        <x:v>取得済</x:v>
      </x:c>
      <x:c r="M121" s="2" t="str">
        <x:v>https://www.qsr.mlit.go.jp/n-michi/useful/kotsuryo/shukei/data/tcdata.json</x:v>
      </x:c>
      <x:c r="N121" s="2" t="str">
        <x:v>https://www.qsr.mlit.go.jp/n-michi/useful/kotsuryo/shukei/data/tcmas.json</x:v>
      </x:c>
    </x:row>
    <x:row r="122" ht="21" customHeight="1">
      <x:c r="A122" s="7" t="n">
        <x:v>45689</x:v>
      </x:c>
      <x:c r="B122" s="2" t="str">
        <x:v>9110050</x:v>
      </x:c>
      <x:c r="C122" s="2" t="str">
        <x:v>八代</x:v>
      </x:c>
      <x:c r="D122" s="2" t="str">
        <x:v>一般国道3号</x:v>
      </x:c>
      <x:c r="E122" s="2" t="str">
        <x:v>八代市福正元町</x:v>
      </x:c>
      <x:c r="F122" s="2" t="str">
        <x:v>休日</x:v>
      </x:c>
      <x:c r="G122" s="8" t="n">
        <x:v>18800</x:v>
      </x:c>
      <x:c r="H122" s="8" t="n">
        <x:v>17400</x:v>
      </x:c>
      <x:c r="I122" s="8" t="n">
        <x:v>1400</x:v>
      </x:c>
      <x:c r="J122" s="9" t="n">
        <x:f>IF(AND(ISNUMBER(I122),ISNUMBER(G122),G122&gt;0),I122/G122,"")</x:f>
        <x:v>0.07446808510638298</x:v>
      </x:c>
      <x:c r="K122" s="9" t="str">
        <x:f>IF(AND(ISNUMBER(I122),COUNTIFS($A$2:$A$313,EDATE(A122,-12),$B$2:$B$313,B122,$F$2:$F$313,F122,$I$2:$I$313,"&gt;0")=1),I122/SUMIFS($I$2:$I$313,$A$2:$A$313,EDATE(A122,-12),$B$2:$B$313,B122,$F$2:$F$313,F122)-1,"")</x:f>
      </x:c>
      <x:c r="L122" s="2" t="str">
        <x:v>取得済</x:v>
      </x:c>
      <x:c r="M122" s="2" t="str">
        <x:v>https://www.qsr.mlit.go.jp/n-michi/useful/kotsuryo/shukei/data/tcdata.json</x:v>
      </x:c>
      <x:c r="N122" s="2" t="str">
        <x:v>https://www.qsr.mlit.go.jp/n-michi/useful/kotsuryo/shukei/data/tcmas.json</x:v>
      </x:c>
    </x:row>
    <x:row r="123" ht="21" customHeight="1">
      <x:c r="A123" s="7" t="n">
        <x:v>45689</x:v>
      </x:c>
      <x:c r="B123" s="2" t="str">
        <x:v>9110050</x:v>
      </x:c>
      <x:c r="C123" s="2" t="str">
        <x:v>八代</x:v>
      </x:c>
      <x:c r="D123" s="2" t="str">
        <x:v>一般国道3号</x:v>
      </x:c>
      <x:c r="E123" s="2" t="str">
        <x:v>八代市福正元町</x:v>
      </x:c>
      <x:c r="F123" s="2" t="str">
        <x:v>全日</x:v>
      </x:c>
      <x:c r="G123" s="8" t="n">
        <x:v>20800</x:v>
      </x:c>
      <x:c r="H123" s="8" t="n">
        <x:v>18200</x:v>
      </x:c>
      <x:c r="I123" s="8" t="n">
        <x:v>2600</x:v>
      </x:c>
      <x:c r="J123" s="9" t="n">
        <x:f>IF(AND(ISNUMBER(I123),ISNUMBER(G123),G123&gt;0),I123/G123,"")</x:f>
        <x:v>0.125</x:v>
      </x:c>
      <x:c r="K123" s="9" t="str">
        <x:f>IF(AND(ISNUMBER(I123),COUNTIFS($A$2:$A$313,EDATE(A123,-12),$B$2:$B$313,B123,$F$2:$F$313,F123,$I$2:$I$313,"&gt;0")=1),I123/SUMIFS($I$2:$I$313,$A$2:$A$313,EDATE(A123,-12),$B$2:$B$313,B123,$F$2:$F$313,F123)-1,"")</x:f>
      </x:c>
      <x:c r="L123" s="2" t="str">
        <x:v>取得済</x:v>
      </x:c>
      <x:c r="M123" s="2" t="str">
        <x:v>https://www.qsr.mlit.go.jp/n-michi/useful/kotsuryo/shukei/data/tcdata.json</x:v>
      </x:c>
      <x:c r="N123" s="2" t="str">
        <x:v>https://www.qsr.mlit.go.jp/n-michi/useful/kotsuryo/shukei/data/tcmas.json</x:v>
      </x:c>
    </x:row>
    <x:row r="124" ht="21" customHeight="1">
      <x:c r="A124" s="7" t="n">
        <x:v>45689</x:v>
      </x:c>
      <x:c r="B124" s="2" t="str">
        <x:v>9110050</x:v>
      </x:c>
      <x:c r="C124" s="2" t="str">
        <x:v>八代</x:v>
      </x:c>
      <x:c r="D124" s="2" t="str">
        <x:v>一般国道3号</x:v>
      </x:c>
      <x:c r="E124" s="2" t="str">
        <x:v>八代市福正元町</x:v>
      </x:c>
      <x:c r="F124" s="2" t="str">
        <x:v>平日</x:v>
      </x:c>
      <x:c r="G124" s="8" t="n">
        <x:v>21900</x:v>
      </x:c>
      <x:c r="H124" s="8" t="n">
        <x:v>18700</x:v>
      </x:c>
      <x:c r="I124" s="8" t="n">
        <x:v>3200</x:v>
      </x:c>
      <x:c r="J124" s="9" t="n">
        <x:f>IF(AND(ISNUMBER(I124),ISNUMBER(G124),G124&gt;0),I124/G124,"")</x:f>
        <x:v>0.1461187214611872</x:v>
      </x:c>
      <x:c r="K124" s="9" t="str">
        <x:f>IF(AND(ISNUMBER(I124),COUNTIFS($A$2:$A$313,EDATE(A124,-12),$B$2:$B$313,B124,$F$2:$F$313,F124,$I$2:$I$313,"&gt;0")=1),I124/SUMIFS($I$2:$I$313,$A$2:$A$313,EDATE(A124,-12),$B$2:$B$313,B124,$F$2:$F$313,F124)-1,"")</x:f>
      </x:c>
      <x:c r="L124" s="2" t="str">
        <x:v>取得済</x:v>
      </x:c>
      <x:c r="M124" s="2" t="str">
        <x:v>https://www.qsr.mlit.go.jp/n-michi/useful/kotsuryo/shukei/data/tcdata.json</x:v>
      </x:c>
      <x:c r="N124" s="2" t="str">
        <x:v>https://www.qsr.mlit.go.jp/n-michi/useful/kotsuryo/shukei/data/tcmas.json</x:v>
      </x:c>
    </x:row>
    <x:row r="125" ht="21" customHeight="1">
      <x:c r="A125" s="7" t="n">
        <x:v>45689</x:v>
      </x:c>
      <x:c r="B125" s="2" t="str">
        <x:v>9310130</x:v>
      </x:c>
      <x:c r="C125" s="2" t="str">
        <x:v>大津</x:v>
      </x:c>
      <x:c r="D125" s="2" t="str">
        <x:v>一般国道57号</x:v>
      </x:c>
      <x:c r="E125" s="2" t="str">
        <x:v>菊池郡大津町室</x:v>
      </x:c>
      <x:c r="F125" s="2" t="str">
        <x:v>休日</x:v>
      </x:c>
      <x:c r="G125" s="8" t="n">
        <x:v>27300</x:v>
      </x:c>
      <x:c r="H125" s="8" t="n">
        <x:v>26000</x:v>
      </x:c>
      <x:c r="I125" s="8" t="n">
        <x:v>1300</x:v>
      </x:c>
      <x:c r="J125" s="9" t="n">
        <x:f>IF(AND(ISNUMBER(I125),ISNUMBER(G125),G125&gt;0),I125/G125,"")</x:f>
        <x:v>0.047619047619047616</x:v>
      </x:c>
      <x:c r="K125" s="9" t="str">
        <x:f>IF(AND(ISNUMBER(I125),COUNTIFS($A$2:$A$313,EDATE(A125,-12),$B$2:$B$313,B125,$F$2:$F$313,F125,$I$2:$I$313,"&gt;0")=1),I125/SUMIFS($I$2:$I$313,$A$2:$A$313,EDATE(A125,-12),$B$2:$B$313,B125,$F$2:$F$313,F125)-1,"")</x:f>
      </x:c>
      <x:c r="L125" s="2" t="str">
        <x:v>取得済</x:v>
      </x:c>
      <x:c r="M125" s="2" t="str">
        <x:v>https://www.qsr.mlit.go.jp/n-michi/useful/kotsuryo/shukei/data/tcdata.json</x:v>
      </x:c>
      <x:c r="N125" s="2" t="str">
        <x:v>https://www.qsr.mlit.go.jp/n-michi/useful/kotsuryo/shukei/data/tcmas.json</x:v>
      </x:c>
    </x:row>
    <x:row r="126" ht="21" customHeight="1">
      <x:c r="A126" s="7" t="n">
        <x:v>45689</x:v>
      </x:c>
      <x:c r="B126" s="2" t="str">
        <x:v>9310130</x:v>
      </x:c>
      <x:c r="C126" s="2" t="str">
        <x:v>大津</x:v>
      </x:c>
      <x:c r="D126" s="2" t="str">
        <x:v>一般国道57号</x:v>
      </x:c>
      <x:c r="E126" s="2" t="str">
        <x:v>菊池郡大津町室</x:v>
      </x:c>
      <x:c r="F126" s="2" t="str">
        <x:v>全日</x:v>
      </x:c>
      <x:c r="G126" s="8" t="n">
        <x:v>27700</x:v>
      </x:c>
      <x:c r="H126" s="8" t="n">
        <x:v>25700</x:v>
      </x:c>
      <x:c r="I126" s="8" t="n">
        <x:v>2000</x:v>
      </x:c>
      <x:c r="J126" s="9" t="n">
        <x:f>IF(AND(ISNUMBER(I126),ISNUMBER(G126),G126&gt;0),I126/G126,"")</x:f>
        <x:v>0.07220216606498195</x:v>
      </x:c>
      <x:c r="K126" s="9" t="str">
        <x:f>IF(AND(ISNUMBER(I126),COUNTIFS($A$2:$A$313,EDATE(A126,-12),$B$2:$B$313,B126,$F$2:$F$313,F126,$I$2:$I$313,"&gt;0")=1),I126/SUMIFS($I$2:$I$313,$A$2:$A$313,EDATE(A126,-12),$B$2:$B$313,B126,$F$2:$F$313,F126)-1,"")</x:f>
      </x:c>
      <x:c r="L126" s="2" t="str">
        <x:v>取得済</x:v>
      </x:c>
      <x:c r="M126" s="2" t="str">
        <x:v>https://www.qsr.mlit.go.jp/n-michi/useful/kotsuryo/shukei/data/tcdata.json</x:v>
      </x:c>
      <x:c r="N126" s="2" t="str">
        <x:v>https://www.qsr.mlit.go.jp/n-michi/useful/kotsuryo/shukei/data/tcmas.json</x:v>
      </x:c>
    </x:row>
    <x:row r="127" ht="21" customHeight="1">
      <x:c r="A127" s="7" t="n">
        <x:v>45689</x:v>
      </x:c>
      <x:c r="B127" s="2" t="str">
        <x:v>9310130</x:v>
      </x:c>
      <x:c r="C127" s="2" t="str">
        <x:v>大津</x:v>
      </x:c>
      <x:c r="D127" s="2" t="str">
        <x:v>一般国道57号</x:v>
      </x:c>
      <x:c r="E127" s="2" t="str">
        <x:v>菊池郡大津町室</x:v>
      </x:c>
      <x:c r="F127" s="2" t="str">
        <x:v>平日</x:v>
      </x:c>
      <x:c r="G127" s="8" t="n">
        <x:v>27900</x:v>
      </x:c>
      <x:c r="H127" s="8" t="n">
        <x:v>25500</x:v>
      </x:c>
      <x:c r="I127" s="8" t="n">
        <x:v>2400</x:v>
      </x:c>
      <x:c r="J127" s="9" t="n">
        <x:f>IF(AND(ISNUMBER(I127),ISNUMBER(G127),G127&gt;0),I127/G127,"")</x:f>
        <x:v>0.08602150537634409</x:v>
      </x:c>
      <x:c r="K127" s="9" t="str">
        <x:f>IF(AND(ISNUMBER(I127),COUNTIFS($A$2:$A$313,EDATE(A127,-12),$B$2:$B$313,B127,$F$2:$F$313,F127,$I$2:$I$313,"&gt;0")=1),I127/SUMIFS($I$2:$I$313,$A$2:$A$313,EDATE(A127,-12),$B$2:$B$313,B127,$F$2:$F$313,F127)-1,"")</x:f>
      </x:c>
      <x:c r="L127" s="2" t="str">
        <x:v>取得済</x:v>
      </x:c>
      <x:c r="M127" s="2" t="str">
        <x:v>https://www.qsr.mlit.go.jp/n-michi/useful/kotsuryo/shukei/data/tcdata.json</x:v>
      </x:c>
      <x:c r="N127" s="2" t="str">
        <x:v>https://www.qsr.mlit.go.jp/n-michi/useful/kotsuryo/shukei/data/tcmas.json</x:v>
      </x:c>
    </x:row>
    <x:row r="128" ht="21" customHeight="1">
      <x:c r="A128" s="7" t="n">
        <x:v>45689</x:v>
      </x:c>
      <x:c r="B128" s="2" t="str">
        <x:v>9310140</x:v>
      </x:c>
      <x:c r="C128" s="2" t="str">
        <x:v>新南部</x:v>
      </x:c>
      <x:c r="D128" s="2" t="str">
        <x:v>一般国道57号</x:v>
      </x:c>
      <x:c r="E128" s="2" t="str">
        <x:v>熊本市東区下南部</x:v>
      </x:c>
      <x:c r="F128" s="2" t="str">
        <x:v>休日</x:v>
      </x:c>
      <x:c r="G128" s="8" t="n">
        <x:v>41300</x:v>
      </x:c>
      <x:c r="H128" s="8" t="n">
        <x:v>38500</x:v>
      </x:c>
      <x:c r="I128" s="8" t="n">
        <x:v>2800</x:v>
      </x:c>
      <x:c r="J128" s="9" t="n">
        <x:f>IF(AND(ISNUMBER(I128),ISNUMBER(G128),G128&gt;0),I128/G128,"")</x:f>
        <x:v>0.06779661016949153</x:v>
      </x:c>
      <x:c r="K128" s="9" t="str">
        <x:f>IF(AND(ISNUMBER(I128),COUNTIFS($A$2:$A$313,EDATE(A128,-12),$B$2:$B$313,B128,$F$2:$F$313,F128,$I$2:$I$313,"&gt;0")=1),I128/SUMIFS($I$2:$I$313,$A$2:$A$313,EDATE(A128,-12),$B$2:$B$313,B128,$F$2:$F$313,F128)-1,"")</x:f>
      </x:c>
      <x:c r="L128" s="2" t="str">
        <x:v>取得済</x:v>
      </x:c>
      <x:c r="M128" s="2" t="str">
        <x:v>https://www.qsr.mlit.go.jp/n-michi/useful/kotsuryo/shukei/data/tcdata.json</x:v>
      </x:c>
      <x:c r="N128" s="2" t="str">
        <x:v>https://www.qsr.mlit.go.jp/n-michi/useful/kotsuryo/shukei/data/tcmas.json</x:v>
      </x:c>
    </x:row>
    <x:row r="129" ht="21" customHeight="1">
      <x:c r="A129" s="7" t="n">
        <x:v>45689</x:v>
      </x:c>
      <x:c r="B129" s="2" t="str">
        <x:v>9310140</x:v>
      </x:c>
      <x:c r="C129" s="2" t="str">
        <x:v>新南部</x:v>
      </x:c>
      <x:c r="D129" s="2" t="str">
        <x:v>一般国道57号</x:v>
      </x:c>
      <x:c r="E129" s="2" t="str">
        <x:v>熊本市東区下南部</x:v>
      </x:c>
      <x:c r="F129" s="2" t="str">
        <x:v>全日</x:v>
      </x:c>
      <x:c r="G129" s="8" t="n">
        <x:v>43100</x:v>
      </x:c>
      <x:c r="H129" s="8" t="n">
        <x:v>39000</x:v>
      </x:c>
      <x:c r="I129" s="8" t="n">
        <x:v>4100</x:v>
      </x:c>
      <x:c r="J129" s="9" t="n">
        <x:f>IF(AND(ISNUMBER(I129),ISNUMBER(G129),G129&gt;0),I129/G129,"")</x:f>
        <x:v>0.0951276102088167</x:v>
      </x:c>
      <x:c r="K129" s="9" t="str">
        <x:f>IF(AND(ISNUMBER(I129),COUNTIFS($A$2:$A$313,EDATE(A129,-12),$B$2:$B$313,B129,$F$2:$F$313,F129,$I$2:$I$313,"&gt;0")=1),I129/SUMIFS($I$2:$I$313,$A$2:$A$313,EDATE(A129,-12),$B$2:$B$313,B129,$F$2:$F$313,F129)-1,"")</x:f>
      </x:c>
      <x:c r="L129" s="2" t="str">
        <x:v>取得済</x:v>
      </x:c>
      <x:c r="M129" s="2" t="str">
        <x:v>https://www.qsr.mlit.go.jp/n-michi/useful/kotsuryo/shukei/data/tcdata.json</x:v>
      </x:c>
      <x:c r="N129" s="2" t="str">
        <x:v>https://www.qsr.mlit.go.jp/n-michi/useful/kotsuryo/shukei/data/tcmas.json</x:v>
      </x:c>
    </x:row>
    <x:row r="130" ht="21" customHeight="1">
      <x:c r="A130" s="7" t="n">
        <x:v>45689</x:v>
      </x:c>
      <x:c r="B130" s="2" t="str">
        <x:v>9310140</x:v>
      </x:c>
      <x:c r="C130" s="2" t="str">
        <x:v>新南部</x:v>
      </x:c>
      <x:c r="D130" s="2" t="str">
        <x:v>一般国道57号</x:v>
      </x:c>
      <x:c r="E130" s="2" t="str">
        <x:v>熊本市東区下南部</x:v>
      </x:c>
      <x:c r="F130" s="2" t="str">
        <x:v>平日</x:v>
      </x:c>
      <x:c r="G130" s="8" t="n">
        <x:v>44200</x:v>
      </x:c>
      <x:c r="H130" s="8" t="n">
        <x:v>39300</x:v>
      </x:c>
      <x:c r="I130" s="8" t="n">
        <x:v>4900</x:v>
      </x:c>
      <x:c r="J130" s="9" t="n">
        <x:f>IF(AND(ISNUMBER(I130),ISNUMBER(G130),G130&gt;0),I130/G130,"")</x:f>
        <x:v>0.11085972850678733</x:v>
      </x:c>
      <x:c r="K130" s="9" t="str">
        <x:f>IF(AND(ISNUMBER(I130),COUNTIFS($A$2:$A$313,EDATE(A130,-12),$B$2:$B$313,B130,$F$2:$F$313,F130,$I$2:$I$313,"&gt;0")=1),I130/SUMIFS($I$2:$I$313,$A$2:$A$313,EDATE(A130,-12),$B$2:$B$313,B130,$F$2:$F$313,F130)-1,"")</x:f>
      </x:c>
      <x:c r="L130" s="2" t="str">
        <x:v>取得済</x:v>
      </x:c>
      <x:c r="M130" s="2" t="str">
        <x:v>https://www.qsr.mlit.go.jp/n-michi/useful/kotsuryo/shukei/data/tcdata.json</x:v>
      </x:c>
      <x:c r="N130" s="2" t="str">
        <x:v>https://www.qsr.mlit.go.jp/n-michi/useful/kotsuryo/shukei/data/tcmas.json</x:v>
      </x:c>
    </x:row>
    <x:row r="131" ht="21" customHeight="1">
      <x:c r="A131" s="7" t="n">
        <x:v>45689</x:v>
      </x:c>
      <x:c r="B131" s="2" t="str">
        <x:v>9110030</x:v>
      </x:c>
      <x:c r="C131" s="2" t="str">
        <x:v>熊本</x:v>
      </x:c>
      <x:c r="D131" s="2" t="str">
        <x:v>一般国道3号</x:v>
      </x:c>
      <x:c r="E131" s="2" t="str">
        <x:v>熊本市南区南高江</x:v>
      </x:c>
      <x:c r="F131" s="2" t="str">
        <x:v>休日</x:v>
      </x:c>
      <x:c r="G131" s="8" t="n">
        <x:v>33400</x:v>
      </x:c>
      <x:c r="H131" s="8" t="n">
        <x:v>31400</x:v>
      </x:c>
      <x:c r="I131" s="8" t="n">
        <x:v>2000</x:v>
      </x:c>
      <x:c r="J131" s="9" t="n">
        <x:f>IF(AND(ISNUMBER(I131),ISNUMBER(G131),G131&gt;0),I131/G131,"")</x:f>
        <x:v>0.059880239520958084</x:v>
      </x:c>
      <x:c r="K131" s="9" t="str">
        <x:f>IF(AND(ISNUMBER(I131),COUNTIFS($A$2:$A$313,EDATE(A131,-12),$B$2:$B$313,B131,$F$2:$F$313,F131,$I$2:$I$313,"&gt;0")=1),I131/SUMIFS($I$2:$I$313,$A$2:$A$313,EDATE(A131,-12),$B$2:$B$313,B131,$F$2:$F$313,F131)-1,"")</x:f>
      </x:c>
      <x:c r="L131" s="2" t="str">
        <x:v>取得済</x:v>
      </x:c>
      <x:c r="M131" s="2" t="str">
        <x:v>https://www.qsr.mlit.go.jp/n-michi/useful/kotsuryo/shukei/data/tcdata.json</x:v>
      </x:c>
      <x:c r="N131" s="2" t="str">
        <x:v>https://www.qsr.mlit.go.jp/n-michi/useful/kotsuryo/shukei/data/tcmas.json</x:v>
      </x:c>
    </x:row>
    <x:row r="132" ht="21" customHeight="1">
      <x:c r="A132" s="7" t="n">
        <x:v>45689</x:v>
      </x:c>
      <x:c r="B132" s="2" t="str">
        <x:v>9110030</x:v>
      </x:c>
      <x:c r="C132" s="2" t="str">
        <x:v>熊本</x:v>
      </x:c>
      <x:c r="D132" s="2" t="str">
        <x:v>一般国道3号</x:v>
      </x:c>
      <x:c r="E132" s="2" t="str">
        <x:v>熊本市南区南高江</x:v>
      </x:c>
      <x:c r="F132" s="2" t="str">
        <x:v>全日</x:v>
      </x:c>
      <x:c r="G132" s="8" t="n">
        <x:v>34100</x:v>
      </x:c>
      <x:c r="H132" s="8" t="n">
        <x:v>30800</x:v>
      </x:c>
      <x:c r="I132" s="8" t="n">
        <x:v>3300</x:v>
      </x:c>
      <x:c r="J132" s="9" t="n">
        <x:f>IF(AND(ISNUMBER(I132),ISNUMBER(G132),G132&gt;0),I132/G132,"")</x:f>
        <x:v>0.0967741935483871</x:v>
      </x:c>
      <x:c r="K132" s="9" t="str">
        <x:f>IF(AND(ISNUMBER(I132),COUNTIFS($A$2:$A$313,EDATE(A132,-12),$B$2:$B$313,B132,$F$2:$F$313,F132,$I$2:$I$313,"&gt;0")=1),I132/SUMIFS($I$2:$I$313,$A$2:$A$313,EDATE(A132,-12),$B$2:$B$313,B132,$F$2:$F$313,F132)-1,"")</x:f>
      </x:c>
      <x:c r="L132" s="2" t="str">
        <x:v>取得済</x:v>
      </x:c>
      <x:c r="M132" s="2" t="str">
        <x:v>https://www.qsr.mlit.go.jp/n-michi/useful/kotsuryo/shukei/data/tcdata.json</x:v>
      </x:c>
      <x:c r="N132" s="2" t="str">
        <x:v>https://www.qsr.mlit.go.jp/n-michi/useful/kotsuryo/shukei/data/tcmas.json</x:v>
      </x:c>
    </x:row>
    <x:row r="133" ht="21" customHeight="1">
      <x:c r="A133" s="7" t="n">
        <x:v>45689</x:v>
      </x:c>
      <x:c r="B133" s="2" t="str">
        <x:v>9110030</x:v>
      </x:c>
      <x:c r="C133" s="2" t="str">
        <x:v>熊本</x:v>
      </x:c>
      <x:c r="D133" s="2" t="str">
        <x:v>一般国道3号</x:v>
      </x:c>
      <x:c r="E133" s="2" t="str">
        <x:v>熊本市南区南高江</x:v>
      </x:c>
      <x:c r="F133" s="2" t="str">
        <x:v>平日</x:v>
      </x:c>
      <x:c r="G133" s="8" t="n">
        <x:v>34500</x:v>
      </x:c>
      <x:c r="H133" s="8" t="n">
        <x:v>30600</x:v>
      </x:c>
      <x:c r="I133" s="8" t="n">
        <x:v>3900</x:v>
      </x:c>
      <x:c r="J133" s="9" t="n">
        <x:f>IF(AND(ISNUMBER(I133),ISNUMBER(G133),G133&gt;0),I133/G133,"")</x:f>
        <x:v>0.11304347826086956</x:v>
      </x:c>
      <x:c r="K133" s="9" t="str">
        <x:f>IF(AND(ISNUMBER(I133),COUNTIFS($A$2:$A$313,EDATE(A133,-12),$B$2:$B$313,B133,$F$2:$F$313,F133,$I$2:$I$313,"&gt;0")=1),I133/SUMIFS($I$2:$I$313,$A$2:$A$313,EDATE(A133,-12),$B$2:$B$313,B133,$F$2:$F$313,F133)-1,"")</x:f>
      </x:c>
      <x:c r="L133" s="2" t="str">
        <x:v>取得済</x:v>
      </x:c>
      <x:c r="M133" s="2" t="str">
        <x:v>https://www.qsr.mlit.go.jp/n-michi/useful/kotsuryo/shukei/data/tcdata.json</x:v>
      </x:c>
      <x:c r="N133" s="2" t="str">
        <x:v>https://www.qsr.mlit.go.jp/n-michi/useful/kotsuryo/shukei/data/tcmas.json</x:v>
      </x:c>
    </x:row>
    <x:row r="134" ht="21" customHeight="1">
      <x:c r="A134" s="7" t="n">
        <x:v>45717</x:v>
      </x:c>
      <x:c r="B134" s="2" t="str">
        <x:v>9110050</x:v>
      </x:c>
      <x:c r="C134" s="2" t="str">
        <x:v>八代</x:v>
      </x:c>
      <x:c r="D134" s="2" t="str">
        <x:v>一般国道3号</x:v>
      </x:c>
      <x:c r="E134" s="2" t="str">
        <x:v>八代市福正元町</x:v>
      </x:c>
      <x:c r="F134" s="2" t="str">
        <x:v>休日</x:v>
      </x:c>
      <x:c r="G134" s="8" t="n">
        <x:v>19300</x:v>
      </x:c>
      <x:c r="H134" s="8" t="n">
        <x:v>17800</x:v>
      </x:c>
      <x:c r="I134" s="8" t="n">
        <x:v>1500</x:v>
      </x:c>
      <x:c r="J134" s="9" t="n">
        <x:f>IF(AND(ISNUMBER(I134),ISNUMBER(G134),G134&gt;0),I134/G134,"")</x:f>
        <x:v>0.07772020725388601</x:v>
      </x:c>
      <x:c r="K134" s="9" t="str">
        <x:f>IF(AND(ISNUMBER(I134),COUNTIFS($A$2:$A$313,EDATE(A134,-12),$B$2:$B$313,B134,$F$2:$F$313,F134,$I$2:$I$313,"&gt;0")=1),I134/SUMIFS($I$2:$I$313,$A$2:$A$313,EDATE(A134,-12),$B$2:$B$313,B134,$F$2:$F$313,F134)-1,"")</x:f>
      </x:c>
      <x:c r="L134" s="2" t="str">
        <x:v>取得済</x:v>
      </x:c>
      <x:c r="M134" s="2" t="str">
        <x:v>https://www.qsr.mlit.go.jp/n-michi/useful/kotsuryo/shukei/data/tcdata.json</x:v>
      </x:c>
      <x:c r="N134" s="2" t="str">
        <x:v>https://www.qsr.mlit.go.jp/n-michi/useful/kotsuryo/shukei/data/tcmas.json</x:v>
      </x:c>
    </x:row>
    <x:row r="135" ht="21" customHeight="1">
      <x:c r="A135" s="7" t="n">
        <x:v>45717</x:v>
      </x:c>
      <x:c r="B135" s="2" t="str">
        <x:v>9110050</x:v>
      </x:c>
      <x:c r="C135" s="2" t="str">
        <x:v>八代</x:v>
      </x:c>
      <x:c r="D135" s="2" t="str">
        <x:v>一般国道3号</x:v>
      </x:c>
      <x:c r="E135" s="2" t="str">
        <x:v>八代市福正元町</x:v>
      </x:c>
      <x:c r="F135" s="2" t="str">
        <x:v>全日</x:v>
      </x:c>
      <x:c r="G135" s="8" t="n">
        <x:v>20800</x:v>
      </x:c>
      <x:c r="H135" s="8" t="n">
        <x:v>18300</x:v>
      </x:c>
      <x:c r="I135" s="8" t="n">
        <x:v>2500</x:v>
      </x:c>
      <x:c r="J135" s="9" t="n">
        <x:f>IF(AND(ISNUMBER(I135),ISNUMBER(G135),G135&gt;0),I135/G135,"")</x:f>
        <x:v>0.1201923076923077</x:v>
      </x:c>
      <x:c r="K135" s="9" t="str">
        <x:f>IF(AND(ISNUMBER(I135),COUNTIFS($A$2:$A$313,EDATE(A135,-12),$B$2:$B$313,B135,$F$2:$F$313,F135,$I$2:$I$313,"&gt;0")=1),I135/SUMIFS($I$2:$I$313,$A$2:$A$313,EDATE(A135,-12),$B$2:$B$313,B135,$F$2:$F$313,F135)-1,"")</x:f>
      </x:c>
      <x:c r="L135" s="2" t="str">
        <x:v>取得済</x:v>
      </x:c>
      <x:c r="M135" s="2" t="str">
        <x:v>https://www.qsr.mlit.go.jp/n-michi/useful/kotsuryo/shukei/data/tcdata.json</x:v>
      </x:c>
      <x:c r="N135" s="2" t="str">
        <x:v>https://www.qsr.mlit.go.jp/n-michi/useful/kotsuryo/shukei/data/tcmas.json</x:v>
      </x:c>
    </x:row>
    <x:row r="136" ht="21" customHeight="1">
      <x:c r="A136" s="7" t="n">
        <x:v>45717</x:v>
      </x:c>
      <x:c r="B136" s="2" t="str">
        <x:v>9110050</x:v>
      </x:c>
      <x:c r="C136" s="2" t="str">
        <x:v>八代</x:v>
      </x:c>
      <x:c r="D136" s="2" t="str">
        <x:v>一般国道3号</x:v>
      </x:c>
      <x:c r="E136" s="2" t="str">
        <x:v>八代市福正元町</x:v>
      </x:c>
      <x:c r="F136" s="2" t="str">
        <x:v>平日</x:v>
      </x:c>
      <x:c r="G136" s="8" t="n">
        <x:v>21700</x:v>
      </x:c>
      <x:c r="H136" s="8" t="n">
        <x:v>18600</x:v>
      </x:c>
      <x:c r="I136" s="8" t="n">
        <x:v>3100</x:v>
      </x:c>
      <x:c r="J136" s="9" t="n">
        <x:f>IF(AND(ISNUMBER(I136),ISNUMBER(G136),G136&gt;0),I136/G136,"")</x:f>
        <x:v>0.14285714285714285</x:v>
      </x:c>
      <x:c r="K136" s="9" t="str">
        <x:f>IF(AND(ISNUMBER(I136),COUNTIFS($A$2:$A$313,EDATE(A136,-12),$B$2:$B$313,B136,$F$2:$F$313,F136,$I$2:$I$313,"&gt;0")=1),I136/SUMIFS($I$2:$I$313,$A$2:$A$313,EDATE(A136,-12),$B$2:$B$313,B136,$F$2:$F$313,F136)-1,"")</x:f>
      </x:c>
      <x:c r="L136" s="2" t="str">
        <x:v>取得済</x:v>
      </x:c>
      <x:c r="M136" s="2" t="str">
        <x:v>https://www.qsr.mlit.go.jp/n-michi/useful/kotsuryo/shukei/data/tcdata.json</x:v>
      </x:c>
      <x:c r="N136" s="2" t="str">
        <x:v>https://www.qsr.mlit.go.jp/n-michi/useful/kotsuryo/shukei/data/tcmas.json</x:v>
      </x:c>
    </x:row>
    <x:row r="137" ht="21" customHeight="1">
      <x:c r="A137" s="7" t="n">
        <x:v>45717</x:v>
      </x:c>
      <x:c r="B137" s="2" t="str">
        <x:v>9310130</x:v>
      </x:c>
      <x:c r="C137" s="2" t="str">
        <x:v>大津</x:v>
      </x:c>
      <x:c r="D137" s="2" t="str">
        <x:v>一般国道57号</x:v>
      </x:c>
      <x:c r="E137" s="2" t="str">
        <x:v>菊池郡大津町室</x:v>
      </x:c>
      <x:c r="F137" s="2" t="str">
        <x:v>休日</x:v>
      </x:c>
      <x:c r="G137" s="8" t="n">
        <x:v>29200</x:v>
      </x:c>
      <x:c r="H137" s="8" t="n">
        <x:v>27800</x:v>
      </x:c>
      <x:c r="I137" s="8" t="n">
        <x:v>1400</x:v>
      </x:c>
      <x:c r="J137" s="9" t="n">
        <x:f>IF(AND(ISNUMBER(I137),ISNUMBER(G137),G137&gt;0),I137/G137,"")</x:f>
        <x:v>0.04794520547945205</x:v>
      </x:c>
      <x:c r="K137" s="9" t="str">
        <x:f>IF(AND(ISNUMBER(I137),COUNTIFS($A$2:$A$313,EDATE(A137,-12),$B$2:$B$313,B137,$F$2:$F$313,F137,$I$2:$I$313,"&gt;0")=1),I137/SUMIFS($I$2:$I$313,$A$2:$A$313,EDATE(A137,-12),$B$2:$B$313,B137,$F$2:$F$313,F137)-1,"")</x:f>
      </x:c>
      <x:c r="L137" s="2" t="str">
        <x:v>取得済</x:v>
      </x:c>
      <x:c r="M137" s="2" t="str">
        <x:v>https://www.qsr.mlit.go.jp/n-michi/useful/kotsuryo/shukei/data/tcdata.json</x:v>
      </x:c>
      <x:c r="N137" s="2" t="str">
        <x:v>https://www.qsr.mlit.go.jp/n-michi/useful/kotsuryo/shukei/data/tcmas.json</x:v>
      </x:c>
    </x:row>
    <x:row r="138" ht="21" customHeight="1">
      <x:c r="A138" s="7" t="n">
        <x:v>45717</x:v>
      </x:c>
      <x:c r="B138" s="2" t="str">
        <x:v>9310130</x:v>
      </x:c>
      <x:c r="C138" s="2" t="str">
        <x:v>大津</x:v>
      </x:c>
      <x:c r="D138" s="2" t="str">
        <x:v>一般国道57号</x:v>
      </x:c>
      <x:c r="E138" s="2" t="str">
        <x:v>菊池郡大津町室</x:v>
      </x:c>
      <x:c r="F138" s="2" t="str">
        <x:v>全日</x:v>
      </x:c>
      <x:c r="G138" s="8" t="n">
        <x:v>29100</x:v>
      </x:c>
      <x:c r="H138" s="8" t="n">
        <x:v>27100</x:v>
      </x:c>
      <x:c r="I138" s="8" t="n">
        <x:v>2000</x:v>
      </x:c>
      <x:c r="J138" s="9" t="n">
        <x:f>IF(AND(ISNUMBER(I138),ISNUMBER(G138),G138&gt;0),I138/G138,"")</x:f>
        <x:v>0.06872852233676977</x:v>
      </x:c>
      <x:c r="K138" s="9" t="str">
        <x:f>IF(AND(ISNUMBER(I138),COUNTIFS($A$2:$A$313,EDATE(A138,-12),$B$2:$B$313,B138,$F$2:$F$313,F138,$I$2:$I$313,"&gt;0")=1),I138/SUMIFS($I$2:$I$313,$A$2:$A$313,EDATE(A138,-12),$B$2:$B$313,B138,$F$2:$F$313,F138)-1,"")</x:f>
      </x:c>
      <x:c r="L138" s="2" t="str">
        <x:v>取得済</x:v>
      </x:c>
      <x:c r="M138" s="2" t="str">
        <x:v>https://www.qsr.mlit.go.jp/n-michi/useful/kotsuryo/shukei/data/tcdata.json</x:v>
      </x:c>
      <x:c r="N138" s="2" t="str">
        <x:v>https://www.qsr.mlit.go.jp/n-michi/useful/kotsuryo/shukei/data/tcmas.json</x:v>
      </x:c>
    </x:row>
    <x:row r="139" ht="21" customHeight="1">
      <x:c r="A139" s="7" t="n">
        <x:v>45717</x:v>
      </x:c>
      <x:c r="B139" s="2" t="str">
        <x:v>9310130</x:v>
      </x:c>
      <x:c r="C139" s="2" t="str">
        <x:v>大津</x:v>
      </x:c>
      <x:c r="D139" s="2" t="str">
        <x:v>一般国道57号</x:v>
      </x:c>
      <x:c r="E139" s="2" t="str">
        <x:v>菊池郡大津町室</x:v>
      </x:c>
      <x:c r="F139" s="2" t="str">
        <x:v>平日</x:v>
      </x:c>
      <x:c r="G139" s="8" t="n">
        <x:v>29000</x:v>
      </x:c>
      <x:c r="H139" s="8" t="n">
        <x:v>26700</x:v>
      </x:c>
      <x:c r="I139" s="8" t="n">
        <x:v>2300</x:v>
      </x:c>
      <x:c r="J139" s="9" t="n">
        <x:f>IF(AND(ISNUMBER(I139),ISNUMBER(G139),G139&gt;0),I139/G139,"")</x:f>
        <x:v>0.07931034482758621</x:v>
      </x:c>
      <x:c r="K139" s="9" t="str">
        <x:f>IF(AND(ISNUMBER(I139),COUNTIFS($A$2:$A$313,EDATE(A139,-12),$B$2:$B$313,B139,$F$2:$F$313,F139,$I$2:$I$313,"&gt;0")=1),I139/SUMIFS($I$2:$I$313,$A$2:$A$313,EDATE(A139,-12),$B$2:$B$313,B139,$F$2:$F$313,F139)-1,"")</x:f>
      </x:c>
      <x:c r="L139" s="2" t="str">
        <x:v>取得済</x:v>
      </x:c>
      <x:c r="M139" s="2" t="str">
        <x:v>https://www.qsr.mlit.go.jp/n-michi/useful/kotsuryo/shukei/data/tcdata.json</x:v>
      </x:c>
      <x:c r="N139" s="2" t="str">
        <x:v>https://www.qsr.mlit.go.jp/n-michi/useful/kotsuryo/shukei/data/tcmas.json</x:v>
      </x:c>
    </x:row>
    <x:row r="140" ht="21" customHeight="1">
      <x:c r="A140" s="7" t="n">
        <x:v>45717</x:v>
      </x:c>
      <x:c r="B140" s="2" t="str">
        <x:v>9310140</x:v>
      </x:c>
      <x:c r="C140" s="2" t="str">
        <x:v>新南部</x:v>
      </x:c>
      <x:c r="D140" s="2" t="str">
        <x:v>一般国道57号</x:v>
      </x:c>
      <x:c r="E140" s="2" t="str">
        <x:v>熊本市東区下南部</x:v>
      </x:c>
      <x:c r="F140" s="2" t="str">
        <x:v>休日</x:v>
      </x:c>
      <x:c r="G140" s="8" t="n">
        <x:v>42400</x:v>
      </x:c>
      <x:c r="H140" s="8" t="n">
        <x:v>39500</x:v>
      </x:c>
      <x:c r="I140" s="8" t="n">
        <x:v>2900</x:v>
      </x:c>
      <x:c r="J140" s="9" t="n">
        <x:f>IF(AND(ISNUMBER(I140),ISNUMBER(G140),G140&gt;0),I140/G140,"")</x:f>
        <x:v>0.06839622641509434</x:v>
      </x:c>
      <x:c r="K140" s="9" t="str">
        <x:f>IF(AND(ISNUMBER(I140),COUNTIFS($A$2:$A$313,EDATE(A140,-12),$B$2:$B$313,B140,$F$2:$F$313,F140,$I$2:$I$313,"&gt;0")=1),I140/SUMIFS($I$2:$I$313,$A$2:$A$313,EDATE(A140,-12),$B$2:$B$313,B140,$F$2:$F$313,F140)-1,"")</x:f>
      </x:c>
      <x:c r="L140" s="2" t="str">
        <x:v>取得済</x:v>
      </x:c>
      <x:c r="M140" s="2" t="str">
        <x:v>https://www.qsr.mlit.go.jp/n-michi/useful/kotsuryo/shukei/data/tcdata.json</x:v>
      </x:c>
      <x:c r="N140" s="2" t="str">
        <x:v>https://www.qsr.mlit.go.jp/n-michi/useful/kotsuryo/shukei/data/tcmas.json</x:v>
      </x:c>
    </x:row>
    <x:row r="141" ht="21" customHeight="1">
      <x:c r="A141" s="7" t="n">
        <x:v>45717</x:v>
      </x:c>
      <x:c r="B141" s="2" t="str">
        <x:v>9310140</x:v>
      </x:c>
      <x:c r="C141" s="2" t="str">
        <x:v>新南部</x:v>
      </x:c>
      <x:c r="D141" s="2" t="str">
        <x:v>一般国道57号</x:v>
      </x:c>
      <x:c r="E141" s="2" t="str">
        <x:v>熊本市東区下南部</x:v>
      </x:c>
      <x:c r="F141" s="2" t="str">
        <x:v>全日</x:v>
      </x:c>
      <x:c r="G141" s="8" t="n">
        <x:v>43900</x:v>
      </x:c>
      <x:c r="H141" s="8" t="n">
        <x:v>39700</x:v>
      </x:c>
      <x:c r="I141" s="8" t="n">
        <x:v>4200</x:v>
      </x:c>
      <x:c r="J141" s="9" t="n">
        <x:f>IF(AND(ISNUMBER(I141),ISNUMBER(G141),G141&gt;0),I141/G141,"")</x:f>
        <x:v>0.09567198177676538</x:v>
      </x:c>
      <x:c r="K141" s="9" t="str">
        <x:f>IF(AND(ISNUMBER(I141),COUNTIFS($A$2:$A$313,EDATE(A141,-12),$B$2:$B$313,B141,$F$2:$F$313,F141,$I$2:$I$313,"&gt;0")=1),I141/SUMIFS($I$2:$I$313,$A$2:$A$313,EDATE(A141,-12),$B$2:$B$313,B141,$F$2:$F$313,F141)-1,"")</x:f>
      </x:c>
      <x:c r="L141" s="2" t="str">
        <x:v>取得済</x:v>
      </x:c>
      <x:c r="M141" s="2" t="str">
        <x:v>https://www.qsr.mlit.go.jp/n-michi/useful/kotsuryo/shukei/data/tcdata.json</x:v>
      </x:c>
      <x:c r="N141" s="2" t="str">
        <x:v>https://www.qsr.mlit.go.jp/n-michi/useful/kotsuryo/shukei/data/tcmas.json</x:v>
      </x:c>
    </x:row>
    <x:row r="142" ht="21" customHeight="1">
      <x:c r="A142" s="7" t="n">
        <x:v>45717</x:v>
      </x:c>
      <x:c r="B142" s="2" t="str">
        <x:v>9310140</x:v>
      </x:c>
      <x:c r="C142" s="2" t="str">
        <x:v>新南部</x:v>
      </x:c>
      <x:c r="D142" s="2" t="str">
        <x:v>一般国道57号</x:v>
      </x:c>
      <x:c r="E142" s="2" t="str">
        <x:v>熊本市東区下南部</x:v>
      </x:c>
      <x:c r="F142" s="2" t="str">
        <x:v>平日</x:v>
      </x:c>
      <x:c r="G142" s="8" t="n">
        <x:v>44800</x:v>
      </x:c>
      <x:c r="H142" s="8" t="n">
        <x:v>39900</x:v>
      </x:c>
      <x:c r="I142" s="8" t="n">
        <x:v>4900</x:v>
      </x:c>
      <x:c r="J142" s="9" t="n">
        <x:f>IF(AND(ISNUMBER(I142),ISNUMBER(G142),G142&gt;0),I142/G142,"")</x:f>
        <x:v>0.109375</x:v>
      </x:c>
      <x:c r="K142" s="9" t="str">
        <x:f>IF(AND(ISNUMBER(I142),COUNTIFS($A$2:$A$313,EDATE(A142,-12),$B$2:$B$313,B142,$F$2:$F$313,F142,$I$2:$I$313,"&gt;0")=1),I142/SUMIFS($I$2:$I$313,$A$2:$A$313,EDATE(A142,-12),$B$2:$B$313,B142,$F$2:$F$313,F142)-1,"")</x:f>
      </x:c>
      <x:c r="L142" s="2" t="str">
        <x:v>取得済</x:v>
      </x:c>
      <x:c r="M142" s="2" t="str">
        <x:v>https://www.qsr.mlit.go.jp/n-michi/useful/kotsuryo/shukei/data/tcdata.json</x:v>
      </x:c>
      <x:c r="N142" s="2" t="str">
        <x:v>https://www.qsr.mlit.go.jp/n-michi/useful/kotsuryo/shukei/data/tcmas.json</x:v>
      </x:c>
    </x:row>
    <x:row r="143" ht="21" customHeight="1">
      <x:c r="A143" s="7" t="n">
        <x:v>45717</x:v>
      </x:c>
      <x:c r="B143" s="2" t="str">
        <x:v>9110030</x:v>
      </x:c>
      <x:c r="C143" s="2" t="str">
        <x:v>熊本</x:v>
      </x:c>
      <x:c r="D143" s="2" t="str">
        <x:v>一般国道3号</x:v>
      </x:c>
      <x:c r="E143" s="2" t="str">
        <x:v>熊本市南区南高江</x:v>
      </x:c>
      <x:c r="F143" s="2" t="str">
        <x:v>休日</x:v>
      </x:c>
      <x:c r="G143" s="8" t="n">
        <x:v>34400</x:v>
      </x:c>
      <x:c r="H143" s="8" t="n">
        <x:v>32200</x:v>
      </x:c>
      <x:c r="I143" s="8" t="n">
        <x:v>2200</x:v>
      </x:c>
      <x:c r="J143" s="9" t="n">
        <x:f>IF(AND(ISNUMBER(I143),ISNUMBER(G143),G143&gt;0),I143/G143,"")</x:f>
        <x:v>0.06395348837209303</x:v>
      </x:c>
      <x:c r="K143" s="9" t="str">
        <x:f>IF(AND(ISNUMBER(I143),COUNTIFS($A$2:$A$313,EDATE(A143,-12),$B$2:$B$313,B143,$F$2:$F$313,F143,$I$2:$I$313,"&gt;0")=1),I143/SUMIFS($I$2:$I$313,$A$2:$A$313,EDATE(A143,-12),$B$2:$B$313,B143,$F$2:$F$313,F143)-1,"")</x:f>
      </x:c>
      <x:c r="L143" s="2" t="str">
        <x:v>取得済</x:v>
      </x:c>
      <x:c r="M143" s="2" t="str">
        <x:v>https://www.qsr.mlit.go.jp/n-michi/useful/kotsuryo/shukei/data/tcdata.json</x:v>
      </x:c>
      <x:c r="N143" s="2" t="str">
        <x:v>https://www.qsr.mlit.go.jp/n-michi/useful/kotsuryo/shukei/data/tcmas.json</x:v>
      </x:c>
    </x:row>
    <x:row r="144" ht="21" customHeight="1">
      <x:c r="A144" s="7" t="n">
        <x:v>45717</x:v>
      </x:c>
      <x:c r="B144" s="2" t="str">
        <x:v>9110030</x:v>
      </x:c>
      <x:c r="C144" s="2" t="str">
        <x:v>熊本</x:v>
      </x:c>
      <x:c r="D144" s="2" t="str">
        <x:v>一般国道3号</x:v>
      </x:c>
      <x:c r="E144" s="2" t="str">
        <x:v>熊本市南区南高江</x:v>
      </x:c>
      <x:c r="F144" s="2" t="str">
        <x:v>全日</x:v>
      </x:c>
      <x:c r="G144" s="8" t="n">
        <x:v>34700</x:v>
      </x:c>
      <x:c r="H144" s="8" t="n">
        <x:v>31400</x:v>
      </x:c>
      <x:c r="I144" s="8" t="n">
        <x:v>3300</x:v>
      </x:c>
      <x:c r="J144" s="9" t="n">
        <x:f>IF(AND(ISNUMBER(I144),ISNUMBER(G144),G144&gt;0),I144/G144,"")</x:f>
        <x:v>0.09510086455331412</x:v>
      </x:c>
      <x:c r="K144" s="9" t="str">
        <x:f>IF(AND(ISNUMBER(I144),COUNTIFS($A$2:$A$313,EDATE(A144,-12),$B$2:$B$313,B144,$F$2:$F$313,F144,$I$2:$I$313,"&gt;0")=1),I144/SUMIFS($I$2:$I$313,$A$2:$A$313,EDATE(A144,-12),$B$2:$B$313,B144,$F$2:$F$313,F144)-1,"")</x:f>
      </x:c>
      <x:c r="L144" s="2" t="str">
        <x:v>取得済</x:v>
      </x:c>
      <x:c r="M144" s="2" t="str">
        <x:v>https://www.qsr.mlit.go.jp/n-michi/useful/kotsuryo/shukei/data/tcdata.json</x:v>
      </x:c>
      <x:c r="N144" s="2" t="str">
        <x:v>https://www.qsr.mlit.go.jp/n-michi/useful/kotsuryo/shukei/data/tcmas.json</x:v>
      </x:c>
    </x:row>
    <x:row r="145" ht="21" customHeight="1">
      <x:c r="A145" s="7" t="n">
        <x:v>45717</x:v>
      </x:c>
      <x:c r="B145" s="2" t="str">
        <x:v>9110030</x:v>
      </x:c>
      <x:c r="C145" s="2" t="str">
        <x:v>熊本</x:v>
      </x:c>
      <x:c r="D145" s="2" t="str">
        <x:v>一般国道3号</x:v>
      </x:c>
      <x:c r="E145" s="2" t="str">
        <x:v>熊本市南区南高江</x:v>
      </x:c>
      <x:c r="F145" s="2" t="str">
        <x:v>平日</x:v>
      </x:c>
      <x:c r="G145" s="8" t="n">
        <x:v>34900</x:v>
      </x:c>
      <x:c r="H145" s="8" t="n">
        <x:v>30900</x:v>
      </x:c>
      <x:c r="I145" s="8" t="n">
        <x:v>4000</x:v>
      </x:c>
      <x:c r="J145" s="9" t="n">
        <x:f>IF(AND(ISNUMBER(I145),ISNUMBER(G145),G145&gt;0),I145/G145,"")</x:f>
        <x:v>0.11461318051575932</x:v>
      </x:c>
      <x:c r="K145" s="9" t="str">
        <x:f>IF(AND(ISNUMBER(I145),COUNTIFS($A$2:$A$313,EDATE(A145,-12),$B$2:$B$313,B145,$F$2:$F$313,F145,$I$2:$I$313,"&gt;0")=1),I145/SUMIFS($I$2:$I$313,$A$2:$A$313,EDATE(A145,-12),$B$2:$B$313,B145,$F$2:$F$313,F145)-1,"")</x:f>
      </x:c>
      <x:c r="L145" s="2" t="str">
        <x:v>取得済</x:v>
      </x:c>
      <x:c r="M145" s="2" t="str">
        <x:v>https://www.qsr.mlit.go.jp/n-michi/useful/kotsuryo/shukei/data/tcdata.json</x:v>
      </x:c>
      <x:c r="N145" s="2" t="str">
        <x:v>https://www.qsr.mlit.go.jp/n-michi/useful/kotsuryo/shukei/data/tcmas.json</x:v>
      </x:c>
    </x:row>
    <x:row r="146" ht="21" customHeight="1">
      <x:c r="A146" s="7" t="n">
        <x:v>45748</x:v>
      </x:c>
      <x:c r="B146" s="2" t="str">
        <x:v>9110050</x:v>
      </x:c>
      <x:c r="C146" s="2" t="str">
        <x:v>八代</x:v>
      </x:c>
      <x:c r="D146" s="2" t="str">
        <x:v>一般国道3号</x:v>
      </x:c>
      <x:c r="E146" s="2" t="str">
        <x:v>八代市福正元町</x:v>
      </x:c>
      <x:c r="F146" s="2" t="str">
        <x:v>休日</x:v>
      </x:c>
      <x:c r="G146" s="8" t="n">
        <x:v>19200</x:v>
      </x:c>
      <x:c r="H146" s="8" t="n">
        <x:v>17800</x:v>
      </x:c>
      <x:c r="I146" s="8" t="n">
        <x:v>1400</x:v>
      </x:c>
      <x:c r="J146" s="9" t="n">
        <x:f>IF(AND(ISNUMBER(I146),ISNUMBER(G146),G146&gt;0),I146/G146,"")</x:f>
        <x:v>0.07291666666666667</x:v>
      </x:c>
      <x:c r="K146" s="9" t="n">
        <x:f>IF(AND(ISNUMBER(I146),COUNTIFS($A$2:$A$313,EDATE(A146,-12),$B$2:$B$313,B146,$F$2:$F$313,F146,$I$2:$I$313,"&gt;0")=1),I146/SUMIFS($I$2:$I$313,$A$2:$A$313,EDATE(A146,-12),$B$2:$B$313,B146,$F$2:$F$313,F146)-1,"")</x:f>
        <x:v>0</x:v>
      </x:c>
      <x:c r="L146" s="2" t="str">
        <x:v>取得済</x:v>
      </x:c>
      <x:c r="M146" s="2" t="str">
        <x:v>https://www.qsr.mlit.go.jp/n-michi/useful/kotsuryo/shukei/data/tcdata.json</x:v>
      </x:c>
      <x:c r="N146" s="2" t="str">
        <x:v>https://www.qsr.mlit.go.jp/n-michi/useful/kotsuryo/shukei/data/tcmas.json</x:v>
      </x:c>
    </x:row>
    <x:row r="147" ht="21" customHeight="1">
      <x:c r="A147" s="7" t="n">
        <x:v>45748</x:v>
      </x:c>
      <x:c r="B147" s="2" t="str">
        <x:v>9110050</x:v>
      </x:c>
      <x:c r="C147" s="2" t="str">
        <x:v>八代</x:v>
      </x:c>
      <x:c r="D147" s="2" t="str">
        <x:v>一般国道3号</x:v>
      </x:c>
      <x:c r="E147" s="2" t="str">
        <x:v>八代市福正元町</x:v>
      </x:c>
      <x:c r="F147" s="2" t="str">
        <x:v>全日</x:v>
      </x:c>
      <x:c r="G147" s="8" t="n">
        <x:v>20700</x:v>
      </x:c>
      <x:c r="H147" s="8" t="n">
        <x:v>18100</x:v>
      </x:c>
      <x:c r="I147" s="8" t="n">
        <x:v>2600</x:v>
      </x:c>
      <x:c r="J147" s="9" t="n">
        <x:f>IF(AND(ISNUMBER(I147),ISNUMBER(G147),G147&gt;0),I147/G147,"")</x:f>
        <x:v>0.12560386473429952</x:v>
      </x:c>
      <x:c r="K147" s="9" t="n">
        <x:f>IF(AND(ISNUMBER(I147),COUNTIFS($A$2:$A$313,EDATE(A147,-12),$B$2:$B$313,B147,$F$2:$F$313,F147,$I$2:$I$313,"&gt;0")=1),I147/SUMIFS($I$2:$I$313,$A$2:$A$313,EDATE(A147,-12),$B$2:$B$313,B147,$F$2:$F$313,F147)-1,"")</x:f>
        <x:v>0.040000000000000036</x:v>
      </x:c>
      <x:c r="L147" s="2" t="str">
        <x:v>取得済</x:v>
      </x:c>
      <x:c r="M147" s="2" t="str">
        <x:v>https://www.qsr.mlit.go.jp/n-michi/useful/kotsuryo/shukei/data/tcdata.json</x:v>
      </x:c>
      <x:c r="N147" s="2" t="str">
        <x:v>https://www.qsr.mlit.go.jp/n-michi/useful/kotsuryo/shukei/data/tcmas.json</x:v>
      </x:c>
    </x:row>
    <x:row r="148" ht="21" customHeight="1">
      <x:c r="A148" s="7" t="n">
        <x:v>45748</x:v>
      </x:c>
      <x:c r="B148" s="2" t="str">
        <x:v>9110050</x:v>
      </x:c>
      <x:c r="C148" s="2" t="str">
        <x:v>八代</x:v>
      </x:c>
      <x:c r="D148" s="2" t="str">
        <x:v>一般国道3号</x:v>
      </x:c>
      <x:c r="E148" s="2" t="str">
        <x:v>八代市福正元町</x:v>
      </x:c>
      <x:c r="F148" s="2" t="str">
        <x:v>平日</x:v>
      </x:c>
      <x:c r="G148" s="8" t="n">
        <x:v>21400</x:v>
      </x:c>
      <x:c r="H148" s="8" t="n">
        <x:v>18300</x:v>
      </x:c>
      <x:c r="I148" s="8" t="n">
        <x:v>3100</x:v>
      </x:c>
      <x:c r="J148" s="9" t="n">
        <x:f>IF(AND(ISNUMBER(I148),ISNUMBER(G148),G148&gt;0),I148/G148,"")</x:f>
        <x:v>0.14485981308411214</x:v>
      </x:c>
      <x:c r="K148" s="9" t="n">
        <x:f>IF(AND(ISNUMBER(I148),COUNTIFS($A$2:$A$313,EDATE(A148,-12),$B$2:$B$313,B148,$F$2:$F$313,F148,$I$2:$I$313,"&gt;0")=1),I148/SUMIFS($I$2:$I$313,$A$2:$A$313,EDATE(A148,-12),$B$2:$B$313,B148,$F$2:$F$313,F148)-1,"")</x:f>
        <x:v>0.03333333333333344</x:v>
      </x:c>
      <x:c r="L148" s="2" t="str">
        <x:v>取得済</x:v>
      </x:c>
      <x:c r="M148" s="2" t="str">
        <x:v>https://www.qsr.mlit.go.jp/n-michi/useful/kotsuryo/shukei/data/tcdata.json</x:v>
      </x:c>
      <x:c r="N148" s="2" t="str">
        <x:v>https://www.qsr.mlit.go.jp/n-michi/useful/kotsuryo/shukei/data/tcmas.json</x:v>
      </x:c>
    </x:row>
    <x:row r="149" ht="21" customHeight="1">
      <x:c r="A149" s="7" t="n">
        <x:v>45748</x:v>
      </x:c>
      <x:c r="B149" s="2" t="str">
        <x:v>9310130</x:v>
      </x:c>
      <x:c r="C149" s="2" t="str">
        <x:v>大津</x:v>
      </x:c>
      <x:c r="D149" s="2" t="str">
        <x:v>一般国道57号</x:v>
      </x:c>
      <x:c r="E149" s="2" t="str">
        <x:v>菊池郡大津町室</x:v>
      </x:c>
      <x:c r="F149" s="2" t="str">
        <x:v>休日</x:v>
      </x:c>
      <x:c r="G149" s="8" t="n">
        <x:v>30000</x:v>
      </x:c>
      <x:c r="H149" s="8" t="n">
        <x:v>28800</x:v>
      </x:c>
      <x:c r="I149" s="8" t="n">
        <x:v>1200</x:v>
      </x:c>
      <x:c r="J149" s="9" t="n">
        <x:f>IF(AND(ISNUMBER(I149),ISNUMBER(G149),G149&gt;0),I149/G149,"")</x:f>
        <x:v>0.04</x:v>
      </x:c>
      <x:c r="K149" s="9" t="n">
        <x:f>IF(AND(ISNUMBER(I149),COUNTIFS($A$2:$A$313,EDATE(A149,-12),$B$2:$B$313,B149,$F$2:$F$313,F149,$I$2:$I$313,"&gt;0")=1),I149/SUMIFS($I$2:$I$313,$A$2:$A$313,EDATE(A149,-12),$B$2:$B$313,B149,$F$2:$F$313,F149)-1,"")</x:f>
        <x:v>-0.07692307692307687</x:v>
      </x:c>
      <x:c r="L149" s="2" t="str">
        <x:v>取得済</x:v>
      </x:c>
      <x:c r="M149" s="2" t="str">
        <x:v>https://www.qsr.mlit.go.jp/n-michi/useful/kotsuryo/shukei/data/tcdata.json</x:v>
      </x:c>
      <x:c r="N149" s="2" t="str">
        <x:v>https://www.qsr.mlit.go.jp/n-michi/useful/kotsuryo/shukei/data/tcmas.json</x:v>
      </x:c>
    </x:row>
    <x:row r="150" ht="21" customHeight="1">
      <x:c r="A150" s="7" t="n">
        <x:v>45748</x:v>
      </x:c>
      <x:c r="B150" s="2" t="str">
        <x:v>9310130</x:v>
      </x:c>
      <x:c r="C150" s="2" t="str">
        <x:v>大津</x:v>
      </x:c>
      <x:c r="D150" s="2" t="str">
        <x:v>一般国道57号</x:v>
      </x:c>
      <x:c r="E150" s="2" t="str">
        <x:v>菊池郡大津町室</x:v>
      </x:c>
      <x:c r="F150" s="2" t="str">
        <x:v>全日</x:v>
      </x:c>
      <x:c r="G150" s="8" t="n">
        <x:v>29100</x:v>
      </x:c>
      <x:c r="H150" s="8" t="n">
        <x:v>27200</x:v>
      </x:c>
      <x:c r="I150" s="8" t="n">
        <x:v>1900</x:v>
      </x:c>
      <x:c r="J150" s="9" t="n">
        <x:f>IF(AND(ISNUMBER(I150),ISNUMBER(G150),G150&gt;0),I150/G150,"")</x:f>
        <x:v>0.06529209621993128</x:v>
      </x:c>
      <x:c r="K150" s="9" t="n">
        <x:f>IF(AND(ISNUMBER(I150),COUNTIFS($A$2:$A$313,EDATE(A150,-12),$B$2:$B$313,B150,$F$2:$F$313,F150,$I$2:$I$313,"&gt;0")=1),I150/SUMIFS($I$2:$I$313,$A$2:$A$313,EDATE(A150,-12),$B$2:$B$313,B150,$F$2:$F$313,F150)-1,"")</x:f>
        <x:v>-0.17391304347826086</x:v>
      </x:c>
      <x:c r="L150" s="2" t="str">
        <x:v>取得済</x:v>
      </x:c>
      <x:c r="M150" s="2" t="str">
        <x:v>https://www.qsr.mlit.go.jp/n-michi/useful/kotsuryo/shukei/data/tcdata.json</x:v>
      </x:c>
      <x:c r="N150" s="2" t="str">
        <x:v>https://www.qsr.mlit.go.jp/n-michi/useful/kotsuryo/shukei/data/tcmas.json</x:v>
      </x:c>
    </x:row>
    <x:row r="151" ht="21" customHeight="1">
      <x:c r="A151" s="7" t="n">
        <x:v>45748</x:v>
      </x:c>
      <x:c r="B151" s="2" t="str">
        <x:v>9310130</x:v>
      </x:c>
      <x:c r="C151" s="2" t="str">
        <x:v>大津</x:v>
      </x:c>
      <x:c r="D151" s="2" t="str">
        <x:v>一般国道57号</x:v>
      </x:c>
      <x:c r="E151" s="2" t="str">
        <x:v>菊池郡大津町室</x:v>
      </x:c>
      <x:c r="F151" s="2" t="str">
        <x:v>平日</x:v>
      </x:c>
      <x:c r="G151" s="8" t="n">
        <x:v>28700</x:v>
      </x:c>
      <x:c r="H151" s="8" t="n">
        <x:v>26400</x:v>
      </x:c>
      <x:c r="I151" s="8" t="n">
        <x:v>2300</x:v>
      </x:c>
      <x:c r="J151" s="9" t="n">
        <x:f>IF(AND(ISNUMBER(I151),ISNUMBER(G151),G151&gt;0),I151/G151,"")</x:f>
        <x:v>0.08013937282229965</x:v>
      </x:c>
      <x:c r="K151" s="9" t="n">
        <x:f>IF(AND(ISNUMBER(I151),COUNTIFS($A$2:$A$313,EDATE(A151,-12),$B$2:$B$313,B151,$F$2:$F$313,F151,$I$2:$I$313,"&gt;0")=1),I151/SUMIFS($I$2:$I$313,$A$2:$A$313,EDATE(A151,-12),$B$2:$B$313,B151,$F$2:$F$313,F151)-1,"")</x:f>
        <x:v>-0.11538461538461542</x:v>
      </x:c>
      <x:c r="L151" s="2" t="str">
        <x:v>取得済</x:v>
      </x:c>
      <x:c r="M151" s="2" t="str">
        <x:v>https://www.qsr.mlit.go.jp/n-michi/useful/kotsuryo/shukei/data/tcdata.json</x:v>
      </x:c>
      <x:c r="N151" s="2" t="str">
        <x:v>https://www.qsr.mlit.go.jp/n-michi/useful/kotsuryo/shukei/data/tcmas.json</x:v>
      </x:c>
    </x:row>
    <x:row r="152" ht="21" customHeight="1">
      <x:c r="A152" s="7" t="n">
        <x:v>45748</x:v>
      </x:c>
      <x:c r="B152" s="2" t="str">
        <x:v>9310140</x:v>
      </x:c>
      <x:c r="C152" s="2" t="str">
        <x:v>新南部</x:v>
      </x:c>
      <x:c r="D152" s="2" t="str">
        <x:v>一般国道57号</x:v>
      </x:c>
      <x:c r="E152" s="2" t="str">
        <x:v>熊本市東区下南部</x:v>
      </x:c>
      <x:c r="F152" s="2" t="str">
        <x:v>休日</x:v>
      </x:c>
      <x:c r="G152" s="8" t="n">
        <x:v>42100</x:v>
      </x:c>
      <x:c r="H152" s="8" t="n">
        <x:v>39400</x:v>
      </x:c>
      <x:c r="I152" s="8" t="n">
        <x:v>2700</x:v>
      </x:c>
      <x:c r="J152" s="9" t="n">
        <x:f>IF(AND(ISNUMBER(I152),ISNUMBER(G152),G152&gt;0),I152/G152,"")</x:f>
        <x:v>0.06413301662707839</x:v>
      </x:c>
      <x:c r="K152" s="9" t="n">
        <x:f>IF(AND(ISNUMBER(I152),COUNTIFS($A$2:$A$313,EDATE(A152,-12),$B$2:$B$313,B152,$F$2:$F$313,F152,$I$2:$I$313,"&gt;0")=1),I152/SUMIFS($I$2:$I$313,$A$2:$A$313,EDATE(A152,-12),$B$2:$B$313,B152,$F$2:$F$313,F152)-1,"")</x:f>
        <x:v>0.03846153846153855</x:v>
      </x:c>
      <x:c r="L152" s="2" t="str">
        <x:v>取得済</x:v>
      </x:c>
      <x:c r="M152" s="2" t="str">
        <x:v>https://www.qsr.mlit.go.jp/n-michi/useful/kotsuryo/shukei/data/tcdata.json</x:v>
      </x:c>
      <x:c r="N152" s="2" t="str">
        <x:v>https://www.qsr.mlit.go.jp/n-michi/useful/kotsuryo/shukei/data/tcmas.json</x:v>
      </x:c>
    </x:row>
    <x:row r="153" ht="21" customHeight="1">
      <x:c r="A153" s="7" t="n">
        <x:v>45748</x:v>
      </x:c>
      <x:c r="B153" s="2" t="str">
        <x:v>9310140</x:v>
      </x:c>
      <x:c r="C153" s="2" t="str">
        <x:v>新南部</x:v>
      </x:c>
      <x:c r="D153" s="2" t="str">
        <x:v>一般国道57号</x:v>
      </x:c>
      <x:c r="E153" s="2" t="str">
        <x:v>熊本市東区下南部</x:v>
      </x:c>
      <x:c r="F153" s="2" t="str">
        <x:v>全日</x:v>
      </x:c>
      <x:c r="G153" s="8" t="n">
        <x:v>43500</x:v>
      </x:c>
      <x:c r="H153" s="8" t="n">
        <x:v>39300</x:v>
      </x:c>
      <x:c r="I153" s="8" t="n">
        <x:v>4200</x:v>
      </x:c>
      <x:c r="J153" s="9" t="n">
        <x:f>IF(AND(ISNUMBER(I153),ISNUMBER(G153),G153&gt;0),I153/G153,"")</x:f>
        <x:v>0.09655172413793103</x:v>
      </x:c>
      <x:c r="K153" s="9" t="n">
        <x:f>IF(AND(ISNUMBER(I153),COUNTIFS($A$2:$A$313,EDATE(A153,-12),$B$2:$B$313,B153,$F$2:$F$313,F153,$I$2:$I$313,"&gt;0")=1),I153/SUMIFS($I$2:$I$313,$A$2:$A$313,EDATE(A153,-12),$B$2:$B$313,B153,$F$2:$F$313,F153)-1,"")</x:f>
        <x:v>0</x:v>
      </x:c>
      <x:c r="L153" s="2" t="str">
        <x:v>取得済</x:v>
      </x:c>
      <x:c r="M153" s="2" t="str">
        <x:v>https://www.qsr.mlit.go.jp/n-michi/useful/kotsuryo/shukei/data/tcdata.json</x:v>
      </x:c>
      <x:c r="N153" s="2" t="str">
        <x:v>https://www.qsr.mlit.go.jp/n-michi/useful/kotsuryo/shukei/data/tcmas.json</x:v>
      </x:c>
    </x:row>
    <x:row r="154" ht="21" customHeight="1">
      <x:c r="A154" s="7" t="n">
        <x:v>45748</x:v>
      </x:c>
      <x:c r="B154" s="2" t="str">
        <x:v>9310140</x:v>
      </x:c>
      <x:c r="C154" s="2" t="str">
        <x:v>新南部</x:v>
      </x:c>
      <x:c r="D154" s="2" t="str">
        <x:v>一般国道57号</x:v>
      </x:c>
      <x:c r="E154" s="2" t="str">
        <x:v>熊本市東区下南部</x:v>
      </x:c>
      <x:c r="F154" s="2" t="str">
        <x:v>平日</x:v>
      </x:c>
      <x:c r="G154" s="8" t="n">
        <x:v>44000</x:v>
      </x:c>
      <x:c r="H154" s="8" t="n">
        <x:v>39200</x:v>
      </x:c>
      <x:c r="I154" s="8" t="n">
        <x:v>4800</x:v>
      </x:c>
      <x:c r="J154" s="9" t="n">
        <x:f>IF(AND(ISNUMBER(I154),ISNUMBER(G154),G154&gt;0),I154/G154,"")</x:f>
        <x:v>0.10909090909090909</x:v>
      </x:c>
      <x:c r="K154" s="9" t="n">
        <x:f>IF(AND(ISNUMBER(I154),COUNTIFS($A$2:$A$313,EDATE(A154,-12),$B$2:$B$313,B154,$F$2:$F$313,F154,$I$2:$I$313,"&gt;0")=1),I154/SUMIFS($I$2:$I$313,$A$2:$A$313,EDATE(A154,-12),$B$2:$B$313,B154,$F$2:$F$313,F154)-1,"")</x:f>
        <x:v>-0.020408163265306145</x:v>
      </x:c>
      <x:c r="L154" s="2" t="str">
        <x:v>取得済</x:v>
      </x:c>
      <x:c r="M154" s="2" t="str">
        <x:v>https://www.qsr.mlit.go.jp/n-michi/useful/kotsuryo/shukei/data/tcdata.json</x:v>
      </x:c>
      <x:c r="N154" s="2" t="str">
        <x:v>https://www.qsr.mlit.go.jp/n-michi/useful/kotsuryo/shukei/data/tcmas.json</x:v>
      </x:c>
    </x:row>
    <x:row r="155" ht="21" customHeight="1">
      <x:c r="A155" s="7" t="n">
        <x:v>45748</x:v>
      </x:c>
      <x:c r="B155" s="2" t="str">
        <x:v>9110030</x:v>
      </x:c>
      <x:c r="C155" s="2" t="str">
        <x:v>熊本</x:v>
      </x:c>
      <x:c r="D155" s="2" t="str">
        <x:v>一般国道3号</x:v>
      </x:c>
      <x:c r="E155" s="2" t="str">
        <x:v>熊本市南区南高江</x:v>
      </x:c>
      <x:c r="F155" s="2" t="str">
        <x:v>休日</x:v>
      </x:c>
      <x:c r="G155" s="8" t="n">
        <x:v>34400</x:v>
      </x:c>
      <x:c r="H155" s="8" t="n">
        <x:v>32200</x:v>
      </x:c>
      <x:c r="I155" s="8" t="n">
        <x:v>2200</x:v>
      </x:c>
      <x:c r="J155" s="9" t="n">
        <x:f>IF(AND(ISNUMBER(I155),ISNUMBER(G155),G155&gt;0),I155/G155,"")</x:f>
        <x:v>0.06395348837209303</x:v>
      </x:c>
      <x:c r="K155" s="9" t="n">
        <x:f>IF(AND(ISNUMBER(I155),COUNTIFS($A$2:$A$313,EDATE(A155,-12),$B$2:$B$313,B155,$F$2:$F$313,F155,$I$2:$I$313,"&gt;0")=1),I155/SUMIFS($I$2:$I$313,$A$2:$A$313,EDATE(A155,-12),$B$2:$B$313,B155,$F$2:$F$313,F155)-1,"")</x:f>
        <x:v>0.10000000000000009</x:v>
      </x:c>
      <x:c r="L155" s="2" t="str">
        <x:v>取得済</x:v>
      </x:c>
      <x:c r="M155" s="2" t="str">
        <x:v>https://www.qsr.mlit.go.jp/n-michi/useful/kotsuryo/shukei/data/tcdata.json</x:v>
      </x:c>
      <x:c r="N155" s="2" t="str">
        <x:v>https://www.qsr.mlit.go.jp/n-michi/useful/kotsuryo/shukei/data/tcmas.json</x:v>
      </x:c>
    </x:row>
    <x:row r="156" ht="21" customHeight="1">
      <x:c r="A156" s="7" t="n">
        <x:v>45748</x:v>
      </x:c>
      <x:c r="B156" s="2" t="str">
        <x:v>9110030</x:v>
      </x:c>
      <x:c r="C156" s="2" t="str">
        <x:v>熊本</x:v>
      </x:c>
      <x:c r="D156" s="2" t="str">
        <x:v>一般国道3号</x:v>
      </x:c>
      <x:c r="E156" s="2" t="str">
        <x:v>熊本市南区南高江</x:v>
      </x:c>
      <x:c r="F156" s="2" t="str">
        <x:v>全日</x:v>
      </x:c>
      <x:c r="G156" s="8" t="n">
        <x:v>34300</x:v>
      </x:c>
      <x:c r="H156" s="8" t="n">
        <x:v>30900</x:v>
      </x:c>
      <x:c r="I156" s="8" t="n">
        <x:v>3400</x:v>
      </x:c>
      <x:c r="J156" s="9" t="n">
        <x:f>IF(AND(ISNUMBER(I156),ISNUMBER(G156),G156&gt;0),I156/G156,"")</x:f>
        <x:v>0.09912536443148688</x:v>
      </x:c>
      <x:c r="K156" s="9" t="n">
        <x:f>IF(AND(ISNUMBER(I156),COUNTIFS($A$2:$A$313,EDATE(A156,-12),$B$2:$B$313,B156,$F$2:$F$313,F156,$I$2:$I$313,"&gt;0")=1),I156/SUMIFS($I$2:$I$313,$A$2:$A$313,EDATE(A156,-12),$B$2:$B$313,B156,$F$2:$F$313,F156)-1,"")</x:f>
        <x:v>0.030303030303030276</x:v>
      </x:c>
      <x:c r="L156" s="2" t="str">
        <x:v>取得済</x:v>
      </x:c>
      <x:c r="M156" s="2" t="str">
        <x:v>https://www.qsr.mlit.go.jp/n-michi/useful/kotsuryo/shukei/data/tcdata.json</x:v>
      </x:c>
      <x:c r="N156" s="2" t="str">
        <x:v>https://www.qsr.mlit.go.jp/n-michi/useful/kotsuryo/shukei/data/tcmas.json</x:v>
      </x:c>
    </x:row>
    <x:row r="157" ht="21" customHeight="1">
      <x:c r="A157" s="7" t="n">
        <x:v>45748</x:v>
      </x:c>
      <x:c r="B157" s="2" t="str">
        <x:v>9110030</x:v>
      </x:c>
      <x:c r="C157" s="2" t="str">
        <x:v>熊本</x:v>
      </x:c>
      <x:c r="D157" s="2" t="str">
        <x:v>一般国道3号</x:v>
      </x:c>
      <x:c r="E157" s="2" t="str">
        <x:v>熊本市南区南高江</x:v>
      </x:c>
      <x:c r="F157" s="2" t="str">
        <x:v>平日</x:v>
      </x:c>
      <x:c r="G157" s="8" t="n">
        <x:v>34300</x:v>
      </x:c>
      <x:c r="H157" s="8" t="n">
        <x:v>30300</x:v>
      </x:c>
      <x:c r="I157" s="8" t="n">
        <x:v>4000</x:v>
      </x:c>
      <x:c r="J157" s="9" t="n">
        <x:f>IF(AND(ISNUMBER(I157),ISNUMBER(G157),G157&gt;0),I157/G157,"")</x:f>
        <x:v>0.11661807580174927</x:v>
      </x:c>
      <x:c r="K157" s="9" t="n">
        <x:f>IF(AND(ISNUMBER(I157),COUNTIFS($A$2:$A$313,EDATE(A157,-12),$B$2:$B$313,B157,$F$2:$F$313,F157,$I$2:$I$313,"&gt;0")=1),I157/SUMIFS($I$2:$I$313,$A$2:$A$313,EDATE(A157,-12),$B$2:$B$313,B157,$F$2:$F$313,F157)-1,"")</x:f>
        <x:v>0.05263157894736836</x:v>
      </x:c>
      <x:c r="L157" s="2" t="str">
        <x:v>取得済</x:v>
      </x:c>
      <x:c r="M157" s="2" t="str">
        <x:v>https://www.qsr.mlit.go.jp/n-michi/useful/kotsuryo/shukei/data/tcdata.json</x:v>
      </x:c>
      <x:c r="N157" s="2" t="str">
        <x:v>https://www.qsr.mlit.go.jp/n-michi/useful/kotsuryo/shukei/data/tcmas.json</x:v>
      </x:c>
    </x:row>
    <x:row r="158" ht="21" customHeight="1">
      <x:c r="A158" s="7" t="n">
        <x:v>45778</x:v>
      </x:c>
      <x:c r="B158" s="2" t="str">
        <x:v>9110050</x:v>
      </x:c>
      <x:c r="C158" s="2" t="str">
        <x:v>八代</x:v>
      </x:c>
      <x:c r="D158" s="2" t="str">
        <x:v>一般国道3号</x:v>
      </x:c>
      <x:c r="E158" s="2" t="str">
        <x:v>八代市福正元町</x:v>
      </x:c>
      <x:c r="F158" s="2" t="str">
        <x:v>休日</x:v>
      </x:c>
      <x:c r="G158" s="8" t="n">
        <x:v>19500</x:v>
      </x:c>
      <x:c r="H158" s="8" t="n">
        <x:v>18200</x:v>
      </x:c>
      <x:c r="I158" s="8" t="n">
        <x:v>1300</x:v>
      </x:c>
      <x:c r="J158" s="9" t="n">
        <x:f>IF(AND(ISNUMBER(I158),ISNUMBER(G158),G158&gt;0),I158/G158,"")</x:f>
        <x:v>0.06666666666666667</x:v>
      </x:c>
      <x:c r="K158" s="9" t="n">
        <x:f>IF(AND(ISNUMBER(I158),COUNTIFS($A$2:$A$313,EDATE(A158,-12),$B$2:$B$313,B158,$F$2:$F$313,F158,$I$2:$I$313,"&gt;0")=1),I158/SUMIFS($I$2:$I$313,$A$2:$A$313,EDATE(A158,-12),$B$2:$B$313,B158,$F$2:$F$313,F158)-1,"")</x:f>
        <x:v>0</x:v>
      </x:c>
      <x:c r="L158" s="2" t="str">
        <x:v>取得済</x:v>
      </x:c>
      <x:c r="M158" s="2" t="str">
        <x:v>https://www.qsr.mlit.go.jp/n-michi/useful/kotsuryo/shukei/data/tcdata.json</x:v>
      </x:c>
      <x:c r="N158" s="2" t="str">
        <x:v>https://www.qsr.mlit.go.jp/n-michi/useful/kotsuryo/shukei/data/tcmas.json</x:v>
      </x:c>
    </x:row>
    <x:row r="159" ht="21" customHeight="1">
      <x:c r="A159" s="7" t="n">
        <x:v>45778</x:v>
      </x:c>
      <x:c r="B159" s="2" t="str">
        <x:v>9110050</x:v>
      </x:c>
      <x:c r="C159" s="2" t="str">
        <x:v>八代</x:v>
      </x:c>
      <x:c r="D159" s="2" t="str">
        <x:v>一般国道3号</x:v>
      </x:c>
      <x:c r="E159" s="2" t="str">
        <x:v>八代市福正元町</x:v>
      </x:c>
      <x:c r="F159" s="2" t="str">
        <x:v>全日</x:v>
      </x:c>
      <x:c r="G159" s="8" t="n">
        <x:v>21000</x:v>
      </x:c>
      <x:c r="H159" s="8" t="n">
        <x:v>18500</x:v>
      </x:c>
      <x:c r="I159" s="8" t="n">
        <x:v>2500</x:v>
      </x:c>
      <x:c r="J159" s="9" t="n">
        <x:f>IF(AND(ISNUMBER(I159),ISNUMBER(G159),G159&gt;0),I159/G159,"")</x:f>
        <x:v>0.11904761904761904</x:v>
      </x:c>
      <x:c r="K159" s="9" t="n">
        <x:f>IF(AND(ISNUMBER(I159),COUNTIFS($A$2:$A$313,EDATE(A159,-12),$B$2:$B$313,B159,$F$2:$F$313,F159,$I$2:$I$313,"&gt;0")=1),I159/SUMIFS($I$2:$I$313,$A$2:$A$313,EDATE(A159,-12),$B$2:$B$313,B159,$F$2:$F$313,F159)-1,"")</x:f>
        <x:v>-0.038461538461538436</x:v>
      </x:c>
      <x:c r="L159" s="2" t="str">
        <x:v>取得済</x:v>
      </x:c>
      <x:c r="M159" s="2" t="str">
        <x:v>https://www.qsr.mlit.go.jp/n-michi/useful/kotsuryo/shukei/data/tcdata.json</x:v>
      </x:c>
      <x:c r="N159" s="2" t="str">
        <x:v>https://www.qsr.mlit.go.jp/n-michi/useful/kotsuryo/shukei/data/tcmas.json</x:v>
      </x:c>
    </x:row>
    <x:row r="160" ht="21" customHeight="1">
      <x:c r="A160" s="7" t="n">
        <x:v>45778</x:v>
      </x:c>
      <x:c r="B160" s="2" t="str">
        <x:v>9110050</x:v>
      </x:c>
      <x:c r="C160" s="2" t="str">
        <x:v>八代</x:v>
      </x:c>
      <x:c r="D160" s="2" t="str">
        <x:v>一般国道3号</x:v>
      </x:c>
      <x:c r="E160" s="2" t="str">
        <x:v>八代市福正元町</x:v>
      </x:c>
      <x:c r="F160" s="2" t="str">
        <x:v>平日</x:v>
      </x:c>
      <x:c r="G160" s="8" t="n">
        <x:v>21800</x:v>
      </x:c>
      <x:c r="H160" s="8" t="n">
        <x:v>18600</x:v>
      </x:c>
      <x:c r="I160" s="8" t="n">
        <x:v>3200</x:v>
      </x:c>
      <x:c r="J160" s="9" t="n">
        <x:f>IF(AND(ISNUMBER(I160),ISNUMBER(G160),G160&gt;0),I160/G160,"")</x:f>
        <x:v>0.14678899082568808</x:v>
      </x:c>
      <x:c r="K160" s="9" t="n">
        <x:f>IF(AND(ISNUMBER(I160),COUNTIFS($A$2:$A$313,EDATE(A160,-12),$B$2:$B$313,B160,$F$2:$F$313,F160,$I$2:$I$313,"&gt;0")=1),I160/SUMIFS($I$2:$I$313,$A$2:$A$313,EDATE(A160,-12),$B$2:$B$313,B160,$F$2:$F$313,F160)-1,"")</x:f>
        <x:v>0</x:v>
      </x:c>
      <x:c r="L160" s="2" t="str">
        <x:v>取得済</x:v>
      </x:c>
      <x:c r="M160" s="2" t="str">
        <x:v>https://www.qsr.mlit.go.jp/n-michi/useful/kotsuryo/shukei/data/tcdata.json</x:v>
      </x:c>
      <x:c r="N160" s="2" t="str">
        <x:v>https://www.qsr.mlit.go.jp/n-michi/useful/kotsuryo/shukei/data/tcmas.json</x:v>
      </x:c>
    </x:row>
    <x:row r="161" ht="21" customHeight="1">
      <x:c r="A161" s="7" t="n">
        <x:v>45778</x:v>
      </x:c>
      <x:c r="B161" s="2" t="str">
        <x:v>9310130</x:v>
      </x:c>
      <x:c r="C161" s="2" t="str">
        <x:v>大津</x:v>
      </x:c>
      <x:c r="D161" s="2" t="str">
        <x:v>一般国道57号</x:v>
      </x:c>
      <x:c r="E161" s="2" t="str">
        <x:v>菊池郡大津町室</x:v>
      </x:c>
      <x:c r="F161" s="2" t="str">
        <x:v>休日</x:v>
      </x:c>
      <x:c r="G161" s="8" t="n">
        <x:v>29400</x:v>
      </x:c>
      <x:c r="H161" s="8" t="n">
        <x:v>28300</x:v>
      </x:c>
      <x:c r="I161" s="8" t="n">
        <x:v>1100</x:v>
      </x:c>
      <x:c r="J161" s="9" t="n">
        <x:f>IF(AND(ISNUMBER(I161),ISNUMBER(G161),G161&gt;0),I161/G161,"")</x:f>
        <x:v>0.03741496598639456</x:v>
      </x:c>
      <x:c r="K161" s="9" t="n">
        <x:f>IF(AND(ISNUMBER(I161),COUNTIFS($A$2:$A$313,EDATE(A161,-12),$B$2:$B$313,B161,$F$2:$F$313,F161,$I$2:$I$313,"&gt;0")=1),I161/SUMIFS($I$2:$I$313,$A$2:$A$313,EDATE(A161,-12),$B$2:$B$313,B161,$F$2:$F$313,F161)-1,"")</x:f>
        <x:v>-0.08333333333333337</x:v>
      </x:c>
      <x:c r="L161" s="2" t="str">
        <x:v>取得済</x:v>
      </x:c>
      <x:c r="M161" s="2" t="str">
        <x:v>https://www.qsr.mlit.go.jp/n-michi/useful/kotsuryo/shukei/data/tcdata.json</x:v>
      </x:c>
      <x:c r="N161" s="2" t="str">
        <x:v>https://www.qsr.mlit.go.jp/n-michi/useful/kotsuryo/shukei/data/tcmas.json</x:v>
      </x:c>
    </x:row>
    <x:row r="162" ht="21" customHeight="1">
      <x:c r="A162" s="7" t="n">
        <x:v>45778</x:v>
      </x:c>
      <x:c r="B162" s="2" t="str">
        <x:v>9310130</x:v>
      </x:c>
      <x:c r="C162" s="2" t="str">
        <x:v>大津</x:v>
      </x:c>
      <x:c r="D162" s="2" t="str">
        <x:v>一般国道57号</x:v>
      </x:c>
      <x:c r="E162" s="2" t="str">
        <x:v>菊池郡大津町室</x:v>
      </x:c>
      <x:c r="F162" s="2" t="str">
        <x:v>全日</x:v>
      </x:c>
      <x:c r="G162" s="8" t="n">
        <x:v>29000</x:v>
      </x:c>
      <x:c r="H162" s="8" t="n">
        <x:v>27200</x:v>
      </x:c>
      <x:c r="I162" s="8" t="n">
        <x:v>1800</x:v>
      </x:c>
      <x:c r="J162" s="9" t="n">
        <x:f>IF(AND(ISNUMBER(I162),ISNUMBER(G162),G162&gt;0),I162/G162,"")</x:f>
        <x:v>0.06206896551724138</x:v>
      </x:c>
      <x:c r="K162" s="9" t="n">
        <x:f>IF(AND(ISNUMBER(I162),COUNTIFS($A$2:$A$313,EDATE(A162,-12),$B$2:$B$313,B162,$F$2:$F$313,F162,$I$2:$I$313,"&gt;0")=1),I162/SUMIFS($I$2:$I$313,$A$2:$A$313,EDATE(A162,-12),$B$2:$B$313,B162,$F$2:$F$313,F162)-1,"")</x:f>
        <x:v>-0.18181818181818177</x:v>
      </x:c>
      <x:c r="L162" s="2" t="str">
        <x:v>取得済</x:v>
      </x:c>
      <x:c r="M162" s="2" t="str">
        <x:v>https://www.qsr.mlit.go.jp/n-michi/useful/kotsuryo/shukei/data/tcdata.json</x:v>
      </x:c>
      <x:c r="N162" s="2" t="str">
        <x:v>https://www.qsr.mlit.go.jp/n-michi/useful/kotsuryo/shukei/data/tcmas.json</x:v>
      </x:c>
    </x:row>
    <x:row r="163" ht="21" customHeight="1">
      <x:c r="A163" s="7" t="n">
        <x:v>45778</x:v>
      </x:c>
      <x:c r="B163" s="2" t="str">
        <x:v>9310130</x:v>
      </x:c>
      <x:c r="C163" s="2" t="str">
        <x:v>大津</x:v>
      </x:c>
      <x:c r="D163" s="2" t="str">
        <x:v>一般国道57号</x:v>
      </x:c>
      <x:c r="E163" s="2" t="str">
        <x:v>菊池郡大津町室</x:v>
      </x:c>
      <x:c r="F163" s="2" t="str">
        <x:v>平日</x:v>
      </x:c>
      <x:c r="G163" s="8" t="n">
        <x:v>28800</x:v>
      </x:c>
      <x:c r="H163" s="8" t="n">
        <x:v>26600</x:v>
      </x:c>
      <x:c r="I163" s="8" t="n">
        <x:v>2200</x:v>
      </x:c>
      <x:c r="J163" s="9" t="n">
        <x:f>IF(AND(ISNUMBER(I163),ISNUMBER(G163),G163&gt;0),I163/G163,"")</x:f>
        <x:v>0.0763888888888889</x:v>
      </x:c>
      <x:c r="K163" s="9" t="n">
        <x:f>IF(AND(ISNUMBER(I163),COUNTIFS($A$2:$A$313,EDATE(A163,-12),$B$2:$B$313,B163,$F$2:$F$313,F163,$I$2:$I$313,"&gt;0")=1),I163/SUMIFS($I$2:$I$313,$A$2:$A$313,EDATE(A163,-12),$B$2:$B$313,B163,$F$2:$F$313,F163)-1,"")</x:f>
        <x:v>-0.12</x:v>
      </x:c>
      <x:c r="L163" s="2" t="str">
        <x:v>取得済</x:v>
      </x:c>
      <x:c r="M163" s="2" t="str">
        <x:v>https://www.qsr.mlit.go.jp/n-michi/useful/kotsuryo/shukei/data/tcdata.json</x:v>
      </x:c>
      <x:c r="N163" s="2" t="str">
        <x:v>https://www.qsr.mlit.go.jp/n-michi/useful/kotsuryo/shukei/data/tcmas.json</x:v>
      </x:c>
    </x:row>
    <x:row r="164" ht="21" customHeight="1">
      <x:c r="A164" s="7" t="n">
        <x:v>45778</x:v>
      </x:c>
      <x:c r="B164" s="2" t="str">
        <x:v>9310140</x:v>
      </x:c>
      <x:c r="C164" s="2" t="str">
        <x:v>新南部</x:v>
      </x:c>
      <x:c r="D164" s="2" t="str">
        <x:v>一般国道57号</x:v>
      </x:c>
      <x:c r="E164" s="2" t="str">
        <x:v>熊本市東区下南部</x:v>
      </x:c>
      <x:c r="F164" s="2" t="str">
        <x:v>休日</x:v>
      </x:c>
      <x:c r="G164" s="8" t="n">
        <x:v>41200</x:v>
      </x:c>
      <x:c r="H164" s="8" t="n">
        <x:v>38900</x:v>
      </x:c>
      <x:c r="I164" s="8" t="n">
        <x:v>2300</x:v>
      </x:c>
      <x:c r="J164" s="9" t="n">
        <x:f>IF(AND(ISNUMBER(I164),ISNUMBER(G164),G164&gt;0),I164/G164,"")</x:f>
        <x:v>0.055825242718446605</x:v>
      </x:c>
      <x:c r="K164" s="9" t="n">
        <x:f>IF(AND(ISNUMBER(I164),COUNTIFS($A$2:$A$313,EDATE(A164,-12),$B$2:$B$313,B164,$F$2:$F$313,F164,$I$2:$I$313,"&gt;0")=1),I164/SUMIFS($I$2:$I$313,$A$2:$A$313,EDATE(A164,-12),$B$2:$B$313,B164,$F$2:$F$313,F164)-1,"")</x:f>
        <x:v>-0.04166666666666663</x:v>
      </x:c>
      <x:c r="L164" s="2" t="str">
        <x:v>取得済</x:v>
      </x:c>
      <x:c r="M164" s="2" t="str">
        <x:v>https://www.qsr.mlit.go.jp/n-michi/useful/kotsuryo/shukei/data/tcdata.json</x:v>
      </x:c>
      <x:c r="N164" s="2" t="str">
        <x:v>https://www.qsr.mlit.go.jp/n-michi/useful/kotsuryo/shukei/data/tcmas.json</x:v>
      </x:c>
    </x:row>
    <x:row r="165" ht="21" customHeight="1">
      <x:c r="A165" s="7" t="n">
        <x:v>45778</x:v>
      </x:c>
      <x:c r="B165" s="2" t="str">
        <x:v>9310140</x:v>
      </x:c>
      <x:c r="C165" s="2" t="str">
        <x:v>新南部</x:v>
      </x:c>
      <x:c r="D165" s="2" t="str">
        <x:v>一般国道57号</x:v>
      </x:c>
      <x:c r="E165" s="2" t="str">
        <x:v>熊本市東区下南部</x:v>
      </x:c>
      <x:c r="F165" s="2" t="str">
        <x:v>全日</x:v>
      </x:c>
      <x:c r="G165" s="8" t="n">
        <x:v>43000</x:v>
      </x:c>
      <x:c r="H165" s="8" t="n">
        <x:v>39200</x:v>
      </x:c>
      <x:c r="I165" s="8" t="n">
        <x:v>3800</x:v>
      </x:c>
      <x:c r="J165" s="9" t="n">
        <x:f>IF(AND(ISNUMBER(I165),ISNUMBER(G165),G165&gt;0),I165/G165,"")</x:f>
        <x:v>0.08837209302325581</x:v>
      </x:c>
      <x:c r="K165" s="9" t="n">
        <x:f>IF(AND(ISNUMBER(I165),COUNTIFS($A$2:$A$313,EDATE(A165,-12),$B$2:$B$313,B165,$F$2:$F$313,F165,$I$2:$I$313,"&gt;0")=1),I165/SUMIFS($I$2:$I$313,$A$2:$A$313,EDATE(A165,-12),$B$2:$B$313,B165,$F$2:$F$313,F165)-1,"")</x:f>
        <x:v>-0.07317073170731703</x:v>
      </x:c>
      <x:c r="L165" s="2" t="str">
        <x:v>取得済</x:v>
      </x:c>
      <x:c r="M165" s="2" t="str">
        <x:v>https://www.qsr.mlit.go.jp/n-michi/useful/kotsuryo/shukei/data/tcdata.json</x:v>
      </x:c>
      <x:c r="N165" s="2" t="str">
        <x:v>https://www.qsr.mlit.go.jp/n-michi/useful/kotsuryo/shukei/data/tcmas.json</x:v>
      </x:c>
    </x:row>
    <x:row r="166" ht="21" customHeight="1">
      <x:c r="A166" s="7" t="n">
        <x:v>45778</x:v>
      </x:c>
      <x:c r="B166" s="2" t="str">
        <x:v>9310140</x:v>
      </x:c>
      <x:c r="C166" s="2" t="str">
        <x:v>新南部</x:v>
      </x:c>
      <x:c r="D166" s="2" t="str">
        <x:v>一般国道57号</x:v>
      </x:c>
      <x:c r="E166" s="2" t="str">
        <x:v>熊本市東区下南部</x:v>
      </x:c>
      <x:c r="F166" s="2" t="str">
        <x:v>平日</x:v>
      </x:c>
      <x:c r="G166" s="8" t="n">
        <x:v>44000</x:v>
      </x:c>
      <x:c r="H166" s="8" t="n">
        <x:v>39300</x:v>
      </x:c>
      <x:c r="I166" s="8" t="n">
        <x:v>4700</x:v>
      </x:c>
      <x:c r="J166" s="9" t="n">
        <x:f>IF(AND(ISNUMBER(I166),ISNUMBER(G166),G166&gt;0),I166/G166,"")</x:f>
        <x:v>0.10681818181818181</x:v>
      </x:c>
      <x:c r="K166" s="9" t="n">
        <x:f>IF(AND(ISNUMBER(I166),COUNTIFS($A$2:$A$313,EDATE(A166,-12),$B$2:$B$313,B166,$F$2:$F$313,F166,$I$2:$I$313,"&gt;0")=1),I166/SUMIFS($I$2:$I$313,$A$2:$A$313,EDATE(A166,-12),$B$2:$B$313,B166,$F$2:$F$313,F166)-1,"")</x:f>
        <x:v>-0.06000000000000005</x:v>
      </x:c>
      <x:c r="L166" s="2" t="str">
        <x:v>取得済</x:v>
      </x:c>
      <x:c r="M166" s="2" t="str">
        <x:v>https://www.qsr.mlit.go.jp/n-michi/useful/kotsuryo/shukei/data/tcdata.json</x:v>
      </x:c>
      <x:c r="N166" s="2" t="str">
        <x:v>https://www.qsr.mlit.go.jp/n-michi/useful/kotsuryo/shukei/data/tcmas.json</x:v>
      </x:c>
    </x:row>
    <x:row r="167" ht="21" customHeight="1">
      <x:c r="A167" s="7" t="n">
        <x:v>45778</x:v>
      </x:c>
      <x:c r="B167" s="2" t="str">
        <x:v>9110030</x:v>
      </x:c>
      <x:c r="C167" s="2" t="str">
        <x:v>熊本</x:v>
      </x:c>
      <x:c r="D167" s="2" t="str">
        <x:v>一般国道3号</x:v>
      </x:c>
      <x:c r="E167" s="2" t="str">
        <x:v>熊本市南区南高江</x:v>
      </x:c>
      <x:c r="F167" s="2" t="str">
        <x:v>休日</x:v>
      </x:c>
      <x:c r="G167" s="8" t="n">
        <x:v>34700</x:v>
      </x:c>
      <x:c r="H167" s="8" t="n">
        <x:v>32800</x:v>
      </x:c>
      <x:c r="I167" s="8" t="n">
        <x:v>1900</x:v>
      </x:c>
      <x:c r="J167" s="9" t="n">
        <x:f>IF(AND(ISNUMBER(I167),ISNUMBER(G167),G167&gt;0),I167/G167,"")</x:f>
        <x:v>0.05475504322766571</x:v>
      </x:c>
      <x:c r="K167" s="9" t="n">
        <x:f>IF(AND(ISNUMBER(I167),COUNTIFS($A$2:$A$313,EDATE(A167,-12),$B$2:$B$313,B167,$F$2:$F$313,F167,$I$2:$I$313,"&gt;0")=1),I167/SUMIFS($I$2:$I$313,$A$2:$A$313,EDATE(A167,-12),$B$2:$B$313,B167,$F$2:$F$313,F167)-1,"")</x:f>
        <x:v>0.05555555555555558</x:v>
      </x:c>
      <x:c r="L167" s="2" t="str">
        <x:v>取得済</x:v>
      </x:c>
      <x:c r="M167" s="2" t="str">
        <x:v>https://www.qsr.mlit.go.jp/n-michi/useful/kotsuryo/shukei/data/tcdata.json</x:v>
      </x:c>
      <x:c r="N167" s="2" t="str">
        <x:v>https://www.qsr.mlit.go.jp/n-michi/useful/kotsuryo/shukei/data/tcmas.json</x:v>
      </x:c>
    </x:row>
    <x:row r="168" ht="21" customHeight="1">
      <x:c r="A168" s="7" t="n">
        <x:v>45778</x:v>
      </x:c>
      <x:c r="B168" s="2" t="str">
        <x:v>9110030</x:v>
      </x:c>
      <x:c r="C168" s="2" t="str">
        <x:v>熊本</x:v>
      </x:c>
      <x:c r="D168" s="2" t="str">
        <x:v>一般国道3号</x:v>
      </x:c>
      <x:c r="E168" s="2" t="str">
        <x:v>熊本市南区南高江</x:v>
      </x:c>
      <x:c r="F168" s="2" t="str">
        <x:v>全日</x:v>
      </x:c>
      <x:c r="G168" s="8" t="n">
        <x:v>35100</x:v>
      </x:c>
      <x:c r="H168" s="8" t="n">
        <x:v>31900</x:v>
      </x:c>
      <x:c r="I168" s="8" t="n">
        <x:v>3200</x:v>
      </x:c>
      <x:c r="J168" s="9" t="n">
        <x:f>IF(AND(ISNUMBER(I168),ISNUMBER(G168),G168&gt;0),I168/G168,"")</x:f>
        <x:v>0.09116809116809117</x:v>
      </x:c>
      <x:c r="K168" s="9" t="n">
        <x:f>IF(AND(ISNUMBER(I168),COUNTIFS($A$2:$A$313,EDATE(A168,-12),$B$2:$B$313,B168,$F$2:$F$313,F168,$I$2:$I$313,"&gt;0")=1),I168/SUMIFS($I$2:$I$313,$A$2:$A$313,EDATE(A168,-12),$B$2:$B$313,B168,$F$2:$F$313,F168)-1,"")</x:f>
        <x:v>0.032258064516129004</x:v>
      </x:c>
      <x:c r="L168" s="2" t="str">
        <x:v>取得済</x:v>
      </x:c>
      <x:c r="M168" s="2" t="str">
        <x:v>https://www.qsr.mlit.go.jp/n-michi/useful/kotsuryo/shukei/data/tcdata.json</x:v>
      </x:c>
      <x:c r="N168" s="2" t="str">
        <x:v>https://www.qsr.mlit.go.jp/n-michi/useful/kotsuryo/shukei/data/tcmas.json</x:v>
      </x:c>
    </x:row>
    <x:row r="169" ht="21" customHeight="1">
      <x:c r="A169" s="7" t="n">
        <x:v>45778</x:v>
      </x:c>
      <x:c r="B169" s="2" t="str">
        <x:v>9110030</x:v>
      </x:c>
      <x:c r="C169" s="2" t="str">
        <x:v>熊本</x:v>
      </x:c>
      <x:c r="D169" s="2" t="str">
        <x:v>一般国道3号</x:v>
      </x:c>
      <x:c r="E169" s="2" t="str">
        <x:v>熊本市南区南高江</x:v>
      </x:c>
      <x:c r="F169" s="2" t="str">
        <x:v>平日</x:v>
      </x:c>
      <x:c r="G169" s="8" t="n">
        <x:v>35300</x:v>
      </x:c>
      <x:c r="H169" s="8" t="n">
        <x:v>31400</x:v>
      </x:c>
      <x:c r="I169" s="8" t="n">
        <x:v>3900</x:v>
      </x:c>
      <x:c r="J169" s="9" t="n">
        <x:f>IF(AND(ISNUMBER(I169),ISNUMBER(G169),G169&gt;0),I169/G169,"")</x:f>
        <x:v>0.11048158640226628</x:v>
      </x:c>
      <x:c r="K169" s="9" t="n">
        <x:f>IF(AND(ISNUMBER(I169),COUNTIFS($A$2:$A$313,EDATE(A169,-12),$B$2:$B$313,B169,$F$2:$F$313,F169,$I$2:$I$313,"&gt;0")=1),I169/SUMIFS($I$2:$I$313,$A$2:$A$313,EDATE(A169,-12),$B$2:$B$313,B169,$F$2:$F$313,F169)-1,"")</x:f>
        <x:v>0.026315789473684292</x:v>
      </x:c>
      <x:c r="L169" s="2" t="str">
        <x:v>取得済</x:v>
      </x:c>
      <x:c r="M169" s="2" t="str">
        <x:v>https://www.qsr.mlit.go.jp/n-michi/useful/kotsuryo/shukei/data/tcdata.json</x:v>
      </x:c>
      <x:c r="N169" s="2" t="str">
        <x:v>https://www.qsr.mlit.go.jp/n-michi/useful/kotsuryo/shukei/data/tcmas.json</x:v>
      </x:c>
    </x:row>
    <x:row r="170" ht="21" customHeight="1">
      <x:c r="A170" s="7" t="n">
        <x:v>45809</x:v>
      </x:c>
      <x:c r="B170" s="2" t="str">
        <x:v>9110050</x:v>
      </x:c>
      <x:c r="C170" s="2" t="str">
        <x:v>八代</x:v>
      </x:c>
      <x:c r="D170" s="2" t="str">
        <x:v>一般国道3号</x:v>
      </x:c>
      <x:c r="E170" s="2" t="str">
        <x:v>八代市福正元町</x:v>
      </x:c>
      <x:c r="F170" s="2" t="str">
        <x:v>休日</x:v>
      </x:c>
      <x:c r="G170" s="8" t="n">
        <x:v>19600</x:v>
      </x:c>
      <x:c r="H170" s="8" t="n">
        <x:v>18400</x:v>
      </x:c>
      <x:c r="I170" s="8" t="n">
        <x:v>1200</x:v>
      </x:c>
      <x:c r="J170" s="9" t="n">
        <x:f>IF(AND(ISNUMBER(I170),ISNUMBER(G170),G170&gt;0),I170/G170,"")</x:f>
        <x:v>0.061224489795918366</x:v>
      </x:c>
      <x:c r="K170" s="9" t="n">
        <x:f>IF(AND(ISNUMBER(I170),COUNTIFS($A$2:$A$313,EDATE(A170,-12),$B$2:$B$313,B170,$F$2:$F$313,F170,$I$2:$I$313,"&gt;0")=1),I170/SUMIFS($I$2:$I$313,$A$2:$A$313,EDATE(A170,-12),$B$2:$B$313,B170,$F$2:$F$313,F170)-1,"")</x:f>
        <x:v>-0.1428571428571429</x:v>
      </x:c>
      <x:c r="L170" s="2" t="str">
        <x:v>取得済</x:v>
      </x:c>
      <x:c r="M170" s="2" t="str">
        <x:v>https://www.qsr.mlit.go.jp/n-michi/useful/kotsuryo/shukei/data/tcdata.json</x:v>
      </x:c>
      <x:c r="N170" s="2" t="str">
        <x:v>https://www.qsr.mlit.go.jp/n-michi/useful/kotsuryo/shukei/data/tcmas.json</x:v>
      </x:c>
    </x:row>
    <x:row r="171" ht="21" customHeight="1">
      <x:c r="A171" s="7" t="n">
        <x:v>45809</x:v>
      </x:c>
      <x:c r="B171" s="2" t="str">
        <x:v>9110050</x:v>
      </x:c>
      <x:c r="C171" s="2" t="str">
        <x:v>八代</x:v>
      </x:c>
      <x:c r="D171" s="2" t="str">
        <x:v>一般国道3号</x:v>
      </x:c>
      <x:c r="E171" s="2" t="str">
        <x:v>八代市福正元町</x:v>
      </x:c>
      <x:c r="F171" s="2" t="str">
        <x:v>全日</x:v>
      </x:c>
      <x:c r="G171" s="8" t="n">
        <x:v>20900</x:v>
      </x:c>
      <x:c r="H171" s="8" t="n">
        <x:v>18500</x:v>
      </x:c>
      <x:c r="I171" s="8" t="n">
        <x:v>2400</x:v>
      </x:c>
      <x:c r="J171" s="9" t="n">
        <x:f>IF(AND(ISNUMBER(I171),ISNUMBER(G171),G171&gt;0),I171/G171,"")</x:f>
        <x:v>0.11483253588516747</x:v>
      </x:c>
      <x:c r="K171" s="9" t="n">
        <x:f>IF(AND(ISNUMBER(I171),COUNTIFS($A$2:$A$313,EDATE(A171,-12),$B$2:$B$313,B171,$F$2:$F$313,F171,$I$2:$I$313,"&gt;0")=1),I171/SUMIFS($I$2:$I$313,$A$2:$A$313,EDATE(A171,-12),$B$2:$B$313,B171,$F$2:$F$313,F171)-1,"")</x:f>
        <x:v>-0.040000000000000036</x:v>
      </x:c>
      <x:c r="L171" s="2" t="str">
        <x:v>取得済</x:v>
      </x:c>
      <x:c r="M171" s="2" t="str">
        <x:v>https://www.qsr.mlit.go.jp/n-michi/useful/kotsuryo/shukei/data/tcdata.json</x:v>
      </x:c>
      <x:c r="N171" s="2" t="str">
        <x:v>https://www.qsr.mlit.go.jp/n-michi/useful/kotsuryo/shukei/data/tcmas.json</x:v>
      </x:c>
    </x:row>
    <x:row r="172" ht="21" customHeight="1">
      <x:c r="A172" s="7" t="n">
        <x:v>45809</x:v>
      </x:c>
      <x:c r="B172" s="2" t="str">
        <x:v>9110050</x:v>
      </x:c>
      <x:c r="C172" s="2" t="str">
        <x:v>八代</x:v>
      </x:c>
      <x:c r="D172" s="2" t="str">
        <x:v>一般国道3号</x:v>
      </x:c>
      <x:c r="E172" s="2" t="str">
        <x:v>八代市福正元町</x:v>
      </x:c>
      <x:c r="F172" s="2" t="str">
        <x:v>平日</x:v>
      </x:c>
      <x:c r="G172" s="8" t="n">
        <x:v>21500</x:v>
      </x:c>
      <x:c r="H172" s="8" t="n">
        <x:v>18600</x:v>
      </x:c>
      <x:c r="I172" s="8" t="n">
        <x:v>2900</x:v>
      </x:c>
      <x:c r="J172" s="9" t="n">
        <x:f>IF(AND(ISNUMBER(I172),ISNUMBER(G172),G172&gt;0),I172/G172,"")</x:f>
        <x:v>0.13488372093023257</x:v>
      </x:c>
      <x:c r="K172" s="9" t="n">
        <x:f>IF(AND(ISNUMBER(I172),COUNTIFS($A$2:$A$313,EDATE(A172,-12),$B$2:$B$313,B172,$F$2:$F$313,F172,$I$2:$I$313,"&gt;0")=1),I172/SUMIFS($I$2:$I$313,$A$2:$A$313,EDATE(A172,-12),$B$2:$B$313,B172,$F$2:$F$313,F172)-1,"")</x:f>
        <x:v>-0.033333333333333326</x:v>
      </x:c>
      <x:c r="L172" s="2" t="str">
        <x:v>取得済</x:v>
      </x:c>
      <x:c r="M172" s="2" t="str">
        <x:v>https://www.qsr.mlit.go.jp/n-michi/useful/kotsuryo/shukei/data/tcdata.json</x:v>
      </x:c>
      <x:c r="N172" s="2" t="str">
        <x:v>https://www.qsr.mlit.go.jp/n-michi/useful/kotsuryo/shukei/data/tcmas.json</x:v>
      </x:c>
    </x:row>
    <x:row r="173" ht="21" customHeight="1">
      <x:c r="A173" s="7" t="n">
        <x:v>45809</x:v>
      </x:c>
      <x:c r="B173" s="2" t="str">
        <x:v>9310130</x:v>
      </x:c>
      <x:c r="C173" s="2" t="str">
        <x:v>大津</x:v>
      </x:c>
      <x:c r="D173" s="2" t="str">
        <x:v>一般国道57号</x:v>
      </x:c>
      <x:c r="E173" s="2" t="str">
        <x:v>菊池郡大津町室</x:v>
      </x:c>
      <x:c r="F173" s="2" t="str">
        <x:v>休日</x:v>
      </x:c>
      <x:c r="G173" s="8" t="n">
        <x:v>29300</x:v>
      </x:c>
      <x:c r="H173" s="8" t="n">
        <x:v>28200</x:v>
      </x:c>
      <x:c r="I173" s="8" t="n">
        <x:v>1100</x:v>
      </x:c>
      <x:c r="J173" s="9" t="n">
        <x:f>IF(AND(ISNUMBER(I173),ISNUMBER(G173),G173&gt;0),I173/G173,"")</x:f>
        <x:v>0.03754266211604096</x:v>
      </x:c>
      <x:c r="K173" s="9" t="n">
        <x:f>IF(AND(ISNUMBER(I173),COUNTIFS($A$2:$A$313,EDATE(A173,-12),$B$2:$B$313,B173,$F$2:$F$313,F173,$I$2:$I$313,"&gt;0")=1),I173/SUMIFS($I$2:$I$313,$A$2:$A$313,EDATE(A173,-12),$B$2:$B$313,B173,$F$2:$F$313,F173)-1,"")</x:f>
        <x:v>-0.15384615384615385</x:v>
      </x:c>
      <x:c r="L173" s="2" t="str">
        <x:v>取得済</x:v>
      </x:c>
      <x:c r="M173" s="2" t="str">
        <x:v>https://www.qsr.mlit.go.jp/n-michi/useful/kotsuryo/shukei/data/tcdata.json</x:v>
      </x:c>
      <x:c r="N173" s="2" t="str">
        <x:v>https://www.qsr.mlit.go.jp/n-michi/useful/kotsuryo/shukei/data/tcmas.json</x:v>
      </x:c>
    </x:row>
    <x:row r="174" ht="21" customHeight="1">
      <x:c r="A174" s="7" t="n">
        <x:v>45809</x:v>
      </x:c>
      <x:c r="B174" s="2" t="str">
        <x:v>9310130</x:v>
      </x:c>
      <x:c r="C174" s="2" t="str">
        <x:v>大津</x:v>
      </x:c>
      <x:c r="D174" s="2" t="str">
        <x:v>一般国道57号</x:v>
      </x:c>
      <x:c r="E174" s="2" t="str">
        <x:v>菊池郡大津町室</x:v>
      </x:c>
      <x:c r="F174" s="2" t="str">
        <x:v>全日</x:v>
      </x:c>
      <x:c r="G174" s="8" t="n">
        <x:v>28500</x:v>
      </x:c>
      <x:c r="H174" s="8" t="n">
        <x:v>26700</x:v>
      </x:c>
      <x:c r="I174" s="8" t="n">
        <x:v>1800</x:v>
      </x:c>
      <x:c r="J174" s="9" t="n">
        <x:f>IF(AND(ISNUMBER(I174),ISNUMBER(G174),G174&gt;0),I174/G174,"")</x:f>
        <x:v>0.06315789473684211</x:v>
      </x:c>
      <x:c r="K174" s="9" t="n">
        <x:f>IF(AND(ISNUMBER(I174),COUNTIFS($A$2:$A$313,EDATE(A174,-12),$B$2:$B$313,B174,$F$2:$F$313,F174,$I$2:$I$313,"&gt;0")=1),I174/SUMIFS($I$2:$I$313,$A$2:$A$313,EDATE(A174,-12),$B$2:$B$313,B174,$F$2:$F$313,F174)-1,"")</x:f>
        <x:v>-0.1428571428571429</x:v>
      </x:c>
      <x:c r="L174" s="2" t="str">
        <x:v>取得済</x:v>
      </x:c>
      <x:c r="M174" s="2" t="str">
        <x:v>https://www.qsr.mlit.go.jp/n-michi/useful/kotsuryo/shukei/data/tcdata.json</x:v>
      </x:c>
      <x:c r="N174" s="2" t="str">
        <x:v>https://www.qsr.mlit.go.jp/n-michi/useful/kotsuryo/shukei/data/tcmas.json</x:v>
      </x:c>
    </x:row>
    <x:row r="175" ht="21" customHeight="1">
      <x:c r="A175" s="7" t="n">
        <x:v>45809</x:v>
      </x:c>
      <x:c r="B175" s="2" t="str">
        <x:v>9310130</x:v>
      </x:c>
      <x:c r="C175" s="2" t="str">
        <x:v>大津</x:v>
      </x:c>
      <x:c r="D175" s="2" t="str">
        <x:v>一般国道57号</x:v>
      </x:c>
      <x:c r="E175" s="2" t="str">
        <x:v>菊池郡大津町室</x:v>
      </x:c>
      <x:c r="F175" s="2" t="str">
        <x:v>平日</x:v>
      </x:c>
      <x:c r="G175" s="8" t="n">
        <x:v>28200</x:v>
      </x:c>
      <x:c r="H175" s="8" t="n">
        <x:v>26100</x:v>
      </x:c>
      <x:c r="I175" s="8" t="n">
        <x:v>2100</x:v>
      </x:c>
      <x:c r="J175" s="9" t="n">
        <x:f>IF(AND(ISNUMBER(I175),ISNUMBER(G175),G175&gt;0),I175/G175,"")</x:f>
        <x:v>0.07446808510638298</x:v>
      </x:c>
      <x:c r="K175" s="9" t="n">
        <x:f>IF(AND(ISNUMBER(I175),COUNTIFS($A$2:$A$313,EDATE(A175,-12),$B$2:$B$313,B175,$F$2:$F$313,F175,$I$2:$I$313,"&gt;0")=1),I175/SUMIFS($I$2:$I$313,$A$2:$A$313,EDATE(A175,-12),$B$2:$B$313,B175,$F$2:$F$313,F175)-1,"")</x:f>
        <x:v>-0.16000000000000003</x:v>
      </x:c>
      <x:c r="L175" s="2" t="str">
        <x:v>取得済</x:v>
      </x:c>
      <x:c r="M175" s="2" t="str">
        <x:v>https://www.qsr.mlit.go.jp/n-michi/useful/kotsuryo/shukei/data/tcdata.json</x:v>
      </x:c>
      <x:c r="N175" s="2" t="str">
        <x:v>https://www.qsr.mlit.go.jp/n-michi/useful/kotsuryo/shukei/data/tcmas.json</x:v>
      </x:c>
    </x:row>
    <x:row r="176" ht="21" customHeight="1">
      <x:c r="A176" s="7" t="n">
        <x:v>45809</x:v>
      </x:c>
      <x:c r="B176" s="2" t="str">
        <x:v>9310140</x:v>
      </x:c>
      <x:c r="C176" s="2" t="str">
        <x:v>新南部</x:v>
      </x:c>
      <x:c r="D176" s="2" t="str">
        <x:v>一般国道57号</x:v>
      </x:c>
      <x:c r="E176" s="2" t="str">
        <x:v>熊本市東区下南部</x:v>
      </x:c>
      <x:c r="F176" s="2" t="str">
        <x:v>休日</x:v>
      </x:c>
      <x:c r="G176" s="8" t="n">
        <x:v>42400</x:v>
      </x:c>
      <x:c r="H176" s="8" t="n">
        <x:v>40100</x:v>
      </x:c>
      <x:c r="I176" s="8" t="n">
        <x:v>2300</x:v>
      </x:c>
      <x:c r="J176" s="9" t="n">
        <x:f>IF(AND(ISNUMBER(I176),ISNUMBER(G176),G176&gt;0),I176/G176,"")</x:f>
        <x:v>0.054245283018867926</x:v>
      </x:c>
      <x:c r="K176" s="9" t="n">
        <x:f>IF(AND(ISNUMBER(I176),COUNTIFS($A$2:$A$313,EDATE(A176,-12),$B$2:$B$313,B176,$F$2:$F$313,F176,$I$2:$I$313,"&gt;0")=1),I176/SUMIFS($I$2:$I$313,$A$2:$A$313,EDATE(A176,-12),$B$2:$B$313,B176,$F$2:$F$313,F176)-1,"")</x:f>
        <x:v>-0.04166666666666663</x:v>
      </x:c>
      <x:c r="L176" s="2" t="str">
        <x:v>取得済</x:v>
      </x:c>
      <x:c r="M176" s="2" t="str">
        <x:v>https://www.qsr.mlit.go.jp/n-michi/useful/kotsuryo/shukei/data/tcdata.json</x:v>
      </x:c>
      <x:c r="N176" s="2" t="str">
        <x:v>https://www.qsr.mlit.go.jp/n-michi/useful/kotsuryo/shukei/data/tcmas.json</x:v>
      </x:c>
    </x:row>
    <x:row r="177" ht="21" customHeight="1">
      <x:c r="A177" s="7" t="n">
        <x:v>45809</x:v>
      </x:c>
      <x:c r="B177" s="2" t="str">
        <x:v>9310140</x:v>
      </x:c>
      <x:c r="C177" s="2" t="str">
        <x:v>新南部</x:v>
      </x:c>
      <x:c r="D177" s="2" t="str">
        <x:v>一般国道57号</x:v>
      </x:c>
      <x:c r="E177" s="2" t="str">
        <x:v>熊本市東区下南部</x:v>
      </x:c>
      <x:c r="F177" s="2" t="str">
        <x:v>全日</x:v>
      </x:c>
      <x:c r="G177" s="8" t="n">
        <x:v>43600</x:v>
      </x:c>
      <x:c r="H177" s="8" t="n">
        <x:v>39800</x:v>
      </x:c>
      <x:c r="I177" s="8" t="n">
        <x:v>3800</x:v>
      </x:c>
      <x:c r="J177" s="9" t="n">
        <x:f>IF(AND(ISNUMBER(I177),ISNUMBER(G177),G177&gt;0),I177/G177,"")</x:f>
        <x:v>0.0871559633027523</x:v>
      </x:c>
      <x:c r="K177" s="9" t="n">
        <x:f>IF(AND(ISNUMBER(I177),COUNTIFS($A$2:$A$313,EDATE(A177,-12),$B$2:$B$313,B177,$F$2:$F$313,F177,$I$2:$I$313,"&gt;0")=1),I177/SUMIFS($I$2:$I$313,$A$2:$A$313,EDATE(A177,-12),$B$2:$B$313,B177,$F$2:$F$313,F177)-1,"")</x:f>
        <x:v>-0.02564102564102566</x:v>
      </x:c>
      <x:c r="L177" s="2" t="str">
        <x:v>取得済</x:v>
      </x:c>
      <x:c r="M177" s="2" t="str">
        <x:v>https://www.qsr.mlit.go.jp/n-michi/useful/kotsuryo/shukei/data/tcdata.json</x:v>
      </x:c>
      <x:c r="N177" s="2" t="str">
        <x:v>https://www.qsr.mlit.go.jp/n-michi/useful/kotsuryo/shukei/data/tcmas.json</x:v>
      </x:c>
    </x:row>
    <x:row r="178" ht="21" customHeight="1">
      <x:c r="A178" s="7" t="n">
        <x:v>45809</x:v>
      </x:c>
      <x:c r="B178" s="2" t="str">
        <x:v>9310140</x:v>
      </x:c>
      <x:c r="C178" s="2" t="str">
        <x:v>新南部</x:v>
      </x:c>
      <x:c r="D178" s="2" t="str">
        <x:v>一般国道57号</x:v>
      </x:c>
      <x:c r="E178" s="2" t="str">
        <x:v>熊本市東区下南部</x:v>
      </x:c>
      <x:c r="F178" s="2" t="str">
        <x:v>平日</x:v>
      </x:c>
      <x:c r="G178" s="8" t="n">
        <x:v>44100</x:v>
      </x:c>
      <x:c r="H178" s="8" t="n">
        <x:v>39700</x:v>
      </x:c>
      <x:c r="I178" s="8" t="n">
        <x:v>4400</x:v>
      </x:c>
      <x:c r="J178" s="9" t="n">
        <x:f>IF(AND(ISNUMBER(I178),ISNUMBER(G178),G178&gt;0),I178/G178,"")</x:f>
        <x:v>0.09977324263038549</x:v>
      </x:c>
      <x:c r="K178" s="9" t="n">
        <x:f>IF(AND(ISNUMBER(I178),COUNTIFS($A$2:$A$313,EDATE(A178,-12),$B$2:$B$313,B178,$F$2:$F$313,F178,$I$2:$I$313,"&gt;0")=1),I178/SUMIFS($I$2:$I$313,$A$2:$A$313,EDATE(A178,-12),$B$2:$B$313,B178,$F$2:$F$313,F178)-1,"")</x:f>
        <x:v>-0.04347826086956519</x:v>
      </x:c>
      <x:c r="L178" s="2" t="str">
        <x:v>取得済</x:v>
      </x:c>
      <x:c r="M178" s="2" t="str">
        <x:v>https://www.qsr.mlit.go.jp/n-michi/useful/kotsuryo/shukei/data/tcdata.json</x:v>
      </x:c>
      <x:c r="N178" s="2" t="str">
        <x:v>https://www.qsr.mlit.go.jp/n-michi/useful/kotsuryo/shukei/data/tcmas.json</x:v>
      </x:c>
    </x:row>
    <x:row r="179" ht="21" customHeight="1">
      <x:c r="A179" s="7" t="n">
        <x:v>45809</x:v>
      </x:c>
      <x:c r="B179" s="2" t="str">
        <x:v>9110030</x:v>
      </x:c>
      <x:c r="C179" s="2" t="str">
        <x:v>熊本</x:v>
      </x:c>
      <x:c r="D179" s="2" t="str">
        <x:v>一般国道3号</x:v>
      </x:c>
      <x:c r="E179" s="2" t="str">
        <x:v>熊本市南区南高江</x:v>
      </x:c>
      <x:c r="F179" s="2" t="str">
        <x:v>休日</x:v>
      </x:c>
      <x:c r="G179" s="8" t="n">
        <x:v>37400</x:v>
      </x:c>
      <x:c r="H179" s="8" t="n">
        <x:v>35600</x:v>
      </x:c>
      <x:c r="I179" s="8" t="n">
        <x:v>1800</x:v>
      </x:c>
      <x:c r="J179" s="9" t="n">
        <x:f>IF(AND(ISNUMBER(I179),ISNUMBER(G179),G179&gt;0),I179/G179,"")</x:f>
        <x:v>0.0481283422459893</x:v>
      </x:c>
      <x:c r="K179" s="9" t="n">
        <x:f>IF(AND(ISNUMBER(I179),COUNTIFS($A$2:$A$313,EDATE(A179,-12),$B$2:$B$313,B179,$F$2:$F$313,F179,$I$2:$I$313,"&gt;0")=1),I179/SUMIFS($I$2:$I$313,$A$2:$A$313,EDATE(A179,-12),$B$2:$B$313,B179,$F$2:$F$313,F179)-1,"")</x:f>
        <x:v>-0.052631578947368474</x:v>
      </x:c>
      <x:c r="L179" s="2" t="str">
        <x:v>取得済</x:v>
      </x:c>
      <x:c r="M179" s="2" t="str">
        <x:v>https://www.qsr.mlit.go.jp/n-michi/useful/kotsuryo/shukei/data/tcdata.json</x:v>
      </x:c>
      <x:c r="N179" s="2" t="str">
        <x:v>https://www.qsr.mlit.go.jp/n-michi/useful/kotsuryo/shukei/data/tcmas.json</x:v>
      </x:c>
    </x:row>
    <x:row r="180" ht="21" customHeight="1">
      <x:c r="A180" s="7" t="n">
        <x:v>45809</x:v>
      </x:c>
      <x:c r="B180" s="2" t="str">
        <x:v>9110030</x:v>
      </x:c>
      <x:c r="C180" s="2" t="str">
        <x:v>熊本</x:v>
      </x:c>
      <x:c r="D180" s="2" t="str">
        <x:v>一般国道3号</x:v>
      </x:c>
      <x:c r="E180" s="2" t="str">
        <x:v>熊本市南区南高江</x:v>
      </x:c>
      <x:c r="F180" s="2" t="str">
        <x:v>全日</x:v>
      </x:c>
      <x:c r="G180" s="8" t="n">
        <x:v>36700</x:v>
      </x:c>
      <x:c r="H180" s="8" t="n">
        <x:v>33600</x:v>
      </x:c>
      <x:c r="I180" s="8" t="n">
        <x:v>3100</x:v>
      </x:c>
      <x:c r="J180" s="9" t="n">
        <x:f>IF(AND(ISNUMBER(I180),ISNUMBER(G180),G180&gt;0),I180/G180,"")</x:f>
        <x:v>0.08446866485013624</x:v>
      </x:c>
      <x:c r="K180" s="9" t="n">
        <x:f>IF(AND(ISNUMBER(I180),COUNTIFS($A$2:$A$313,EDATE(A180,-12),$B$2:$B$313,B180,$F$2:$F$313,F180,$I$2:$I$313,"&gt;0")=1),I180/SUMIFS($I$2:$I$313,$A$2:$A$313,EDATE(A180,-12),$B$2:$B$313,B180,$F$2:$F$313,F180)-1,"")</x:f>
        <x:v>0</x:v>
      </x:c>
      <x:c r="L180" s="2" t="str">
        <x:v>取得済</x:v>
      </x:c>
      <x:c r="M180" s="2" t="str">
        <x:v>https://www.qsr.mlit.go.jp/n-michi/useful/kotsuryo/shukei/data/tcdata.json</x:v>
      </x:c>
      <x:c r="N180" s="2" t="str">
        <x:v>https://www.qsr.mlit.go.jp/n-michi/useful/kotsuryo/shukei/data/tcmas.json</x:v>
      </x:c>
    </x:row>
    <x:row r="181" ht="21" customHeight="1">
      <x:c r="A181" s="7" t="n">
        <x:v>45809</x:v>
      </x:c>
      <x:c r="B181" s="2" t="str">
        <x:v>9110030</x:v>
      </x:c>
      <x:c r="C181" s="2" t="str">
        <x:v>熊本</x:v>
      </x:c>
      <x:c r="D181" s="2" t="str">
        <x:v>一般国道3号</x:v>
      </x:c>
      <x:c r="E181" s="2" t="str">
        <x:v>熊本市南区南高江</x:v>
      </x:c>
      <x:c r="F181" s="2" t="str">
        <x:v>平日</x:v>
      </x:c>
      <x:c r="G181" s="8" t="n">
        <x:v>36400</x:v>
      </x:c>
      <x:c r="H181" s="8" t="n">
        <x:v>32700</x:v>
      </x:c>
      <x:c r="I181" s="8" t="n">
        <x:v>3700</x:v>
      </x:c>
      <x:c r="J181" s="9" t="n">
        <x:f>IF(AND(ISNUMBER(I181),ISNUMBER(G181),G181&gt;0),I181/G181,"")</x:f>
        <x:v>0.10164835164835165</x:v>
      </x:c>
      <x:c r="K181" s="9" t="n">
        <x:f>IF(AND(ISNUMBER(I181),COUNTIFS($A$2:$A$313,EDATE(A181,-12),$B$2:$B$313,B181,$F$2:$F$313,F181,$I$2:$I$313,"&gt;0")=1),I181/SUMIFS($I$2:$I$313,$A$2:$A$313,EDATE(A181,-12),$B$2:$B$313,B181,$F$2:$F$313,F181)-1,"")</x:f>
        <x:v>-0.02631578947368418</x:v>
      </x:c>
      <x:c r="L181" s="2" t="str">
        <x:v>取得済</x:v>
      </x:c>
      <x:c r="M181" s="2" t="str">
        <x:v>https://www.qsr.mlit.go.jp/n-michi/useful/kotsuryo/shukei/data/tcdata.json</x:v>
      </x:c>
      <x:c r="N181" s="2" t="str">
        <x:v>https://www.qsr.mlit.go.jp/n-michi/useful/kotsuryo/shukei/data/tcmas.json</x:v>
      </x:c>
    </x:row>
    <x:row r="182" ht="21" customHeight="1">
      <x:c r="A182" s="7" t="n">
        <x:v>45839</x:v>
      </x:c>
      <x:c r="B182" s="2" t="str">
        <x:v>9110050</x:v>
      </x:c>
      <x:c r="C182" s="2" t="str">
        <x:v>八代</x:v>
      </x:c>
      <x:c r="D182" s="2" t="str">
        <x:v>一般国道3号</x:v>
      </x:c>
      <x:c r="E182" s="2" t="str">
        <x:v>八代市福正元町</x:v>
      </x:c>
      <x:c r="F182" s="2" t="str">
        <x:v>休日</x:v>
      </x:c>
      <x:c r="G182" s="8" t="n">
        <x:v>19600</x:v>
      </x:c>
      <x:c r="H182" s="8" t="n">
        <x:v>18300</x:v>
      </x:c>
      <x:c r="I182" s="8" t="n">
        <x:v>1300</x:v>
      </x:c>
      <x:c r="J182" s="9" t="n">
        <x:f>IF(AND(ISNUMBER(I182),ISNUMBER(G182),G182&gt;0),I182/G182,"")</x:f>
        <x:v>0.0663265306122449</x:v>
      </x:c>
      <x:c r="K182" s="9" t="n">
        <x:f>IF(AND(ISNUMBER(I182),COUNTIFS($A$2:$A$313,EDATE(A182,-12),$B$2:$B$313,B182,$F$2:$F$313,F182,$I$2:$I$313,"&gt;0")=1),I182/SUMIFS($I$2:$I$313,$A$2:$A$313,EDATE(A182,-12),$B$2:$B$313,B182,$F$2:$F$313,F182)-1,"")</x:f>
        <x:v>0</x:v>
      </x:c>
      <x:c r="L182" s="2" t="str">
        <x:v>取得済</x:v>
      </x:c>
      <x:c r="M182" s="2" t="str">
        <x:v>https://www.qsr.mlit.go.jp/n-michi/useful/kotsuryo/shukei/data/tcdata.json</x:v>
      </x:c>
      <x:c r="N182" s="2" t="str">
        <x:v>https://www.qsr.mlit.go.jp/n-michi/useful/kotsuryo/shukei/data/tcmas.json</x:v>
      </x:c>
    </x:row>
    <x:row r="183" ht="21" customHeight="1">
      <x:c r="A183" s="7" t="n">
        <x:v>45839</x:v>
      </x:c>
      <x:c r="B183" s="2" t="str">
        <x:v>9110050</x:v>
      </x:c>
      <x:c r="C183" s="2" t="str">
        <x:v>八代</x:v>
      </x:c>
      <x:c r="D183" s="2" t="str">
        <x:v>一般国道3号</x:v>
      </x:c>
      <x:c r="E183" s="2" t="str">
        <x:v>八代市福正元町</x:v>
      </x:c>
      <x:c r="F183" s="2" t="str">
        <x:v>全日</x:v>
      </x:c>
      <x:c r="G183" s="8" t="n">
        <x:v>21300</x:v>
      </x:c>
      <x:c r="H183" s="8" t="n">
        <x:v>18900</x:v>
      </x:c>
      <x:c r="I183" s="8" t="n">
        <x:v>2400</x:v>
      </x:c>
      <x:c r="J183" s="9" t="n">
        <x:f>IF(AND(ISNUMBER(I183),ISNUMBER(G183),G183&gt;0),I183/G183,"")</x:f>
        <x:v>0.11267605633802817</x:v>
      </x:c>
      <x:c r="K183" s="9" t="n">
        <x:f>IF(AND(ISNUMBER(I183),COUNTIFS($A$2:$A$313,EDATE(A183,-12),$B$2:$B$313,B183,$F$2:$F$313,F183,$I$2:$I$313,"&gt;0")=1),I183/SUMIFS($I$2:$I$313,$A$2:$A$313,EDATE(A183,-12),$B$2:$B$313,B183,$F$2:$F$313,F183)-1,"")</x:f>
        <x:v>-0.07692307692307687</x:v>
      </x:c>
      <x:c r="L183" s="2" t="str">
        <x:v>取得済</x:v>
      </x:c>
      <x:c r="M183" s="2" t="str">
        <x:v>https://www.qsr.mlit.go.jp/n-michi/useful/kotsuryo/shukei/data/tcdata.json</x:v>
      </x:c>
      <x:c r="N183" s="2" t="str">
        <x:v>https://www.qsr.mlit.go.jp/n-michi/useful/kotsuryo/shukei/data/tcmas.json</x:v>
      </x:c>
    </x:row>
    <x:row r="184" ht="21" customHeight="1">
      <x:c r="A184" s="7" t="n">
        <x:v>45839</x:v>
      </x:c>
      <x:c r="B184" s="2" t="str">
        <x:v>9110050</x:v>
      </x:c>
      <x:c r="C184" s="2" t="str">
        <x:v>八代</x:v>
      </x:c>
      <x:c r="D184" s="2" t="str">
        <x:v>一般国道3号</x:v>
      </x:c>
      <x:c r="E184" s="2" t="str">
        <x:v>八代市福正元町</x:v>
      </x:c>
      <x:c r="F184" s="2" t="str">
        <x:v>平日</x:v>
      </x:c>
      <x:c r="G184" s="8" t="n">
        <x:v>22000</x:v>
      </x:c>
      <x:c r="H184" s="8" t="n">
        <x:v>19100</x:v>
      </x:c>
      <x:c r="I184" s="8" t="n">
        <x:v>2900</x:v>
      </x:c>
      <x:c r="J184" s="9" t="n">
        <x:f>IF(AND(ISNUMBER(I184),ISNUMBER(G184),G184&gt;0),I184/G184,"")</x:f>
        <x:v>0.1318181818181818</x:v>
      </x:c>
      <x:c r="K184" s="9" t="n">
        <x:f>IF(AND(ISNUMBER(I184),COUNTIFS($A$2:$A$313,EDATE(A184,-12),$B$2:$B$313,B184,$F$2:$F$313,F184,$I$2:$I$313,"&gt;0")=1),I184/SUMIFS($I$2:$I$313,$A$2:$A$313,EDATE(A184,-12),$B$2:$B$313,B184,$F$2:$F$313,F184)-1,"")</x:f>
        <x:v>-0.033333333333333326</x:v>
      </x:c>
      <x:c r="L184" s="2" t="str">
        <x:v>取得済</x:v>
      </x:c>
      <x:c r="M184" s="2" t="str">
        <x:v>https://www.qsr.mlit.go.jp/n-michi/useful/kotsuryo/shukei/data/tcdata.json</x:v>
      </x:c>
      <x:c r="N184" s="2" t="str">
        <x:v>https://www.qsr.mlit.go.jp/n-michi/useful/kotsuryo/shukei/data/tcmas.json</x:v>
      </x:c>
    </x:row>
    <x:row r="185" ht="21" customHeight="1">
      <x:c r="A185" s="7" t="n">
        <x:v>45839</x:v>
      </x:c>
      <x:c r="B185" s="2" t="str">
        <x:v>9310130</x:v>
      </x:c>
      <x:c r="C185" s="2" t="str">
        <x:v>大津</x:v>
      </x:c>
      <x:c r="D185" s="2" t="str">
        <x:v>一般国道57号</x:v>
      </x:c>
      <x:c r="E185" s="2" t="str">
        <x:v>菊池郡大津町室</x:v>
      </x:c>
      <x:c r="F185" s="2" t="str">
        <x:v>休日</x:v>
      </x:c>
      <x:c r="G185" s="8" t="n">
        <x:v>30700</x:v>
      </x:c>
      <x:c r="H185" s="8" t="n">
        <x:v>29500</x:v>
      </x:c>
      <x:c r="I185" s="8" t="n">
        <x:v>1200</x:v>
      </x:c>
      <x:c r="J185" s="9" t="n">
        <x:f>IF(AND(ISNUMBER(I185),ISNUMBER(G185),G185&gt;0),I185/G185,"")</x:f>
        <x:v>0.03908794788273615</x:v>
      </x:c>
      <x:c r="K185" s="9" t="n">
        <x:f>IF(AND(ISNUMBER(I185),COUNTIFS($A$2:$A$313,EDATE(A185,-12),$B$2:$B$313,B185,$F$2:$F$313,F185,$I$2:$I$313,"&gt;0")=1),I185/SUMIFS($I$2:$I$313,$A$2:$A$313,EDATE(A185,-12),$B$2:$B$313,B185,$F$2:$F$313,F185)-1,"")</x:f>
        <x:v>0</x:v>
      </x:c>
      <x:c r="L185" s="2" t="str">
        <x:v>取得済</x:v>
      </x:c>
      <x:c r="M185" s="2" t="str">
        <x:v>https://www.qsr.mlit.go.jp/n-michi/useful/kotsuryo/shukei/data/tcdata.json</x:v>
      </x:c>
      <x:c r="N185" s="2" t="str">
        <x:v>https://www.qsr.mlit.go.jp/n-michi/useful/kotsuryo/shukei/data/tcmas.json</x:v>
      </x:c>
    </x:row>
    <x:row r="186" ht="21" customHeight="1">
      <x:c r="A186" s="7" t="n">
        <x:v>45839</x:v>
      </x:c>
      <x:c r="B186" s="2" t="str">
        <x:v>9310130</x:v>
      </x:c>
      <x:c r="C186" s="2" t="str">
        <x:v>大津</x:v>
      </x:c>
      <x:c r="D186" s="2" t="str">
        <x:v>一般国道57号</x:v>
      </x:c>
      <x:c r="E186" s="2" t="str">
        <x:v>菊池郡大津町室</x:v>
      </x:c>
      <x:c r="F186" s="2" t="str">
        <x:v>全日</x:v>
      </x:c>
      <x:c r="G186" s="8" t="n">
        <x:v>29800</x:v>
      </x:c>
      <x:c r="H186" s="8" t="n">
        <x:v>27800</x:v>
      </x:c>
      <x:c r="I186" s="8" t="n">
        <x:v>2000</x:v>
      </x:c>
      <x:c r="J186" s="9" t="n">
        <x:f>IF(AND(ISNUMBER(I186),ISNUMBER(G186),G186&gt;0),I186/G186,"")</x:f>
        <x:v>0.06711409395973154</x:v>
      </x:c>
      <x:c r="K186" s="9" t="n">
        <x:f>IF(AND(ISNUMBER(I186),COUNTIFS($A$2:$A$313,EDATE(A186,-12),$B$2:$B$313,B186,$F$2:$F$313,F186,$I$2:$I$313,"&gt;0")=1),I186/SUMIFS($I$2:$I$313,$A$2:$A$313,EDATE(A186,-12),$B$2:$B$313,B186,$F$2:$F$313,F186)-1,"")</x:f>
        <x:v>-0.04761904761904767</x:v>
      </x:c>
      <x:c r="L186" s="2" t="str">
        <x:v>取得済</x:v>
      </x:c>
      <x:c r="M186" s="2" t="str">
        <x:v>https://www.qsr.mlit.go.jp/n-michi/useful/kotsuryo/shukei/data/tcdata.json</x:v>
      </x:c>
      <x:c r="N186" s="2" t="str">
        <x:v>https://www.qsr.mlit.go.jp/n-michi/useful/kotsuryo/shukei/data/tcmas.json</x:v>
      </x:c>
    </x:row>
    <x:row r="187" ht="21" customHeight="1">
      <x:c r="A187" s="7" t="n">
        <x:v>45839</x:v>
      </x:c>
      <x:c r="B187" s="2" t="str">
        <x:v>9310130</x:v>
      </x:c>
      <x:c r="C187" s="2" t="str">
        <x:v>大津</x:v>
      </x:c>
      <x:c r="D187" s="2" t="str">
        <x:v>一般国道57号</x:v>
      </x:c>
      <x:c r="E187" s="2" t="str">
        <x:v>菊池郡大津町室</x:v>
      </x:c>
      <x:c r="F187" s="2" t="str">
        <x:v>平日</x:v>
      </x:c>
      <x:c r="G187" s="8" t="n">
        <x:v>29400</x:v>
      </x:c>
      <x:c r="H187" s="8" t="n">
        <x:v>27000</x:v>
      </x:c>
      <x:c r="I187" s="8" t="n">
        <x:v>2400</x:v>
      </x:c>
      <x:c r="J187" s="9" t="n">
        <x:f>IF(AND(ISNUMBER(I187),ISNUMBER(G187),G187&gt;0),I187/G187,"")</x:f>
        <x:v>0.08163265306122448</x:v>
      </x:c>
      <x:c r="K187" s="9" t="n">
        <x:f>IF(AND(ISNUMBER(I187),COUNTIFS($A$2:$A$313,EDATE(A187,-12),$B$2:$B$313,B187,$F$2:$F$313,F187,$I$2:$I$313,"&gt;0")=1),I187/SUMIFS($I$2:$I$313,$A$2:$A$313,EDATE(A187,-12),$B$2:$B$313,B187,$F$2:$F$313,F187)-1,"")</x:f>
        <x:v>0</x:v>
      </x:c>
      <x:c r="L187" s="2" t="str">
        <x:v>取得済</x:v>
      </x:c>
      <x:c r="M187" s="2" t="str">
        <x:v>https://www.qsr.mlit.go.jp/n-michi/useful/kotsuryo/shukei/data/tcdata.json</x:v>
      </x:c>
      <x:c r="N187" s="2" t="str">
        <x:v>https://www.qsr.mlit.go.jp/n-michi/useful/kotsuryo/shukei/data/tcmas.json</x:v>
      </x:c>
    </x:row>
    <x:row r="188" ht="21" customHeight="1">
      <x:c r="A188" s="7" t="n">
        <x:v>45839</x:v>
      </x:c>
      <x:c r="B188" s="2" t="str">
        <x:v>9310140</x:v>
      </x:c>
      <x:c r="C188" s="2" t="str">
        <x:v>新南部</x:v>
      </x:c>
      <x:c r="D188" s="2" t="str">
        <x:v>一般国道57号</x:v>
      </x:c>
      <x:c r="E188" s="2" t="str">
        <x:v>熊本市東区下南部</x:v>
      </x:c>
      <x:c r="F188" s="2" t="str">
        <x:v>休日</x:v>
      </x:c>
      <x:c r="G188" s="8" t="n">
        <x:v>43600</x:v>
      </x:c>
      <x:c r="H188" s="8" t="n">
        <x:v>41200</x:v>
      </x:c>
      <x:c r="I188" s="8" t="n">
        <x:v>2400</x:v>
      </x:c>
      <x:c r="J188" s="9" t="n">
        <x:f>IF(AND(ISNUMBER(I188),ISNUMBER(G188),G188&gt;0),I188/G188,"")</x:f>
        <x:v>0.05504587155963303</x:v>
      </x:c>
      <x:c r="K188" s="9" t="n">
        <x:f>IF(AND(ISNUMBER(I188),COUNTIFS($A$2:$A$313,EDATE(A188,-12),$B$2:$B$313,B188,$F$2:$F$313,F188,$I$2:$I$313,"&gt;0")=1),I188/SUMIFS($I$2:$I$313,$A$2:$A$313,EDATE(A188,-12),$B$2:$B$313,B188,$F$2:$F$313,F188)-1,"")</x:f>
        <x:v>-0.040000000000000036</x:v>
      </x:c>
      <x:c r="L188" s="2" t="str">
        <x:v>取得済</x:v>
      </x:c>
      <x:c r="M188" s="2" t="str">
        <x:v>https://www.qsr.mlit.go.jp/n-michi/useful/kotsuryo/shukei/data/tcdata.json</x:v>
      </x:c>
      <x:c r="N188" s="2" t="str">
        <x:v>https://www.qsr.mlit.go.jp/n-michi/useful/kotsuryo/shukei/data/tcmas.json</x:v>
      </x:c>
    </x:row>
    <x:row r="189" ht="21" customHeight="1">
      <x:c r="A189" s="7" t="n">
        <x:v>45839</x:v>
      </x:c>
      <x:c r="B189" s="2" t="str">
        <x:v>9310140</x:v>
      </x:c>
      <x:c r="C189" s="2" t="str">
        <x:v>新南部</x:v>
      </x:c>
      <x:c r="D189" s="2" t="str">
        <x:v>一般国道57号</x:v>
      </x:c>
      <x:c r="E189" s="2" t="str">
        <x:v>熊本市東区下南部</x:v>
      </x:c>
      <x:c r="F189" s="2" t="str">
        <x:v>全日</x:v>
      </x:c>
      <x:c r="G189" s="8" t="n">
        <x:v>44800</x:v>
      </x:c>
      <x:c r="H189" s="8" t="n">
        <x:v>40900</x:v>
      </x:c>
      <x:c r="I189" s="8" t="n">
        <x:v>3900</x:v>
      </x:c>
      <x:c r="J189" s="9" t="n">
        <x:f>IF(AND(ISNUMBER(I189),ISNUMBER(G189),G189&gt;0),I189/G189,"")</x:f>
        <x:v>0.08705357142857142</x:v>
      </x:c>
      <x:c r="K189" s="9" t="n">
        <x:f>IF(AND(ISNUMBER(I189),COUNTIFS($A$2:$A$313,EDATE(A189,-12),$B$2:$B$313,B189,$F$2:$F$313,F189,$I$2:$I$313,"&gt;0")=1),I189/SUMIFS($I$2:$I$313,$A$2:$A$313,EDATE(A189,-12),$B$2:$B$313,B189,$F$2:$F$313,F189)-1,"")</x:f>
        <x:v>-0.025000000000000022</x:v>
      </x:c>
      <x:c r="L189" s="2" t="str">
        <x:v>取得済</x:v>
      </x:c>
      <x:c r="M189" s="2" t="str">
        <x:v>https://www.qsr.mlit.go.jp/n-michi/useful/kotsuryo/shukei/data/tcdata.json</x:v>
      </x:c>
      <x:c r="N189" s="2" t="str">
        <x:v>https://www.qsr.mlit.go.jp/n-michi/useful/kotsuryo/shukei/data/tcmas.json</x:v>
      </x:c>
    </x:row>
    <x:row r="190" ht="21" customHeight="1">
      <x:c r="A190" s="7" t="n">
        <x:v>45839</x:v>
      </x:c>
      <x:c r="B190" s="2" t="str">
        <x:v>9310140</x:v>
      </x:c>
      <x:c r="C190" s="2" t="str">
        <x:v>新南部</x:v>
      </x:c>
      <x:c r="D190" s="2" t="str">
        <x:v>一般国道57号</x:v>
      </x:c>
      <x:c r="E190" s="2" t="str">
        <x:v>熊本市東区下南部</x:v>
      </x:c>
      <x:c r="F190" s="2" t="str">
        <x:v>平日</x:v>
      </x:c>
      <x:c r="G190" s="8" t="n">
        <x:v>45300</x:v>
      </x:c>
      <x:c r="H190" s="8" t="n">
        <x:v>40800</x:v>
      </x:c>
      <x:c r="I190" s="8" t="n">
        <x:v>4500</x:v>
      </x:c>
      <x:c r="J190" s="9" t="n">
        <x:f>IF(AND(ISNUMBER(I190),ISNUMBER(G190),G190&gt;0),I190/G190,"")</x:f>
        <x:v>0.09933774834437085</x:v>
      </x:c>
      <x:c r="K190" s="9" t="n">
        <x:f>IF(AND(ISNUMBER(I190),COUNTIFS($A$2:$A$313,EDATE(A190,-12),$B$2:$B$313,B190,$F$2:$F$313,F190,$I$2:$I$313,"&gt;0")=1),I190/SUMIFS($I$2:$I$313,$A$2:$A$313,EDATE(A190,-12),$B$2:$B$313,B190,$F$2:$F$313,F190)-1,"")</x:f>
        <x:v>-0.021739130434782594</x:v>
      </x:c>
      <x:c r="L190" s="2" t="str">
        <x:v>取得済</x:v>
      </x:c>
      <x:c r="M190" s="2" t="str">
        <x:v>https://www.qsr.mlit.go.jp/n-michi/useful/kotsuryo/shukei/data/tcdata.json</x:v>
      </x:c>
      <x:c r="N190" s="2" t="str">
        <x:v>https://www.qsr.mlit.go.jp/n-michi/useful/kotsuryo/shukei/data/tcmas.json</x:v>
      </x:c>
    </x:row>
    <x:row r="191" ht="21" customHeight="1">
      <x:c r="A191" s="7" t="n">
        <x:v>45839</x:v>
      </x:c>
      <x:c r="B191" s="2" t="str">
        <x:v>9110030</x:v>
      </x:c>
      <x:c r="C191" s="2" t="str">
        <x:v>熊本</x:v>
      </x:c>
      <x:c r="D191" s="2" t="str">
        <x:v>一般国道3号</x:v>
      </x:c>
      <x:c r="E191" s="2" t="str">
        <x:v>熊本市南区南高江</x:v>
      </x:c>
      <x:c r="F191" s="2" t="str">
        <x:v>休日</x:v>
      </x:c>
      <x:c r="G191" s="8" t="n">
        <x:v>38400</x:v>
      </x:c>
      <x:c r="H191" s="8" t="n">
        <x:v>36500</x:v>
      </x:c>
      <x:c r="I191" s="8" t="n">
        <x:v>1900</x:v>
      </x:c>
      <x:c r="J191" s="9" t="n">
        <x:f>IF(AND(ISNUMBER(I191),ISNUMBER(G191),G191&gt;0),I191/G191,"")</x:f>
        <x:v>0.049479166666666664</x:v>
      </x:c>
      <x:c r="K191" s="9" t="n">
        <x:f>IF(AND(ISNUMBER(I191),COUNTIFS($A$2:$A$313,EDATE(A191,-12),$B$2:$B$313,B191,$F$2:$F$313,F191,$I$2:$I$313,"&gt;0")=1),I191/SUMIFS($I$2:$I$313,$A$2:$A$313,EDATE(A191,-12),$B$2:$B$313,B191,$F$2:$F$313,F191)-1,"")</x:f>
        <x:v>0</x:v>
      </x:c>
      <x:c r="L191" s="2" t="str">
        <x:v>取得済</x:v>
      </x:c>
      <x:c r="M191" s="2" t="str">
        <x:v>https://www.qsr.mlit.go.jp/n-michi/useful/kotsuryo/shukei/data/tcdata.json</x:v>
      </x:c>
      <x:c r="N191" s="2" t="str">
        <x:v>https://www.qsr.mlit.go.jp/n-michi/useful/kotsuryo/shukei/data/tcmas.json</x:v>
      </x:c>
    </x:row>
    <x:row r="192" ht="21" customHeight="1">
      <x:c r="A192" s="7" t="n">
        <x:v>45839</x:v>
      </x:c>
      <x:c r="B192" s="2" t="str">
        <x:v>9110030</x:v>
      </x:c>
      <x:c r="C192" s="2" t="str">
        <x:v>熊本</x:v>
      </x:c>
      <x:c r="D192" s="2" t="str">
        <x:v>一般国道3号</x:v>
      </x:c>
      <x:c r="E192" s="2" t="str">
        <x:v>熊本市南区南高江</x:v>
      </x:c>
      <x:c r="F192" s="2" t="str">
        <x:v>全日</x:v>
      </x:c>
      <x:c r="G192" s="8" t="n">
        <x:v>38100</x:v>
      </x:c>
      <x:c r="H192" s="8" t="n">
        <x:v>34800</x:v>
      </x:c>
      <x:c r="I192" s="8" t="n">
        <x:v>3300</x:v>
      </x:c>
      <x:c r="J192" s="9" t="n">
        <x:f>IF(AND(ISNUMBER(I192),ISNUMBER(G192),G192&gt;0),I192/G192,"")</x:f>
        <x:v>0.08661417322834646</x:v>
      </x:c>
      <x:c r="K192" s="9" t="n">
        <x:f>IF(AND(ISNUMBER(I192),COUNTIFS($A$2:$A$313,EDATE(A192,-12),$B$2:$B$313,B192,$F$2:$F$313,F192,$I$2:$I$313,"&gt;0")=1),I192/SUMIFS($I$2:$I$313,$A$2:$A$313,EDATE(A192,-12),$B$2:$B$313,B192,$F$2:$F$313,F192)-1,"")</x:f>
        <x:v>0.03125</x:v>
      </x:c>
      <x:c r="L192" s="2" t="str">
        <x:v>取得済</x:v>
      </x:c>
      <x:c r="M192" s="2" t="str">
        <x:v>https://www.qsr.mlit.go.jp/n-michi/useful/kotsuryo/shukei/data/tcdata.json</x:v>
      </x:c>
      <x:c r="N192" s="2" t="str">
        <x:v>https://www.qsr.mlit.go.jp/n-michi/useful/kotsuryo/shukei/data/tcmas.json</x:v>
      </x:c>
    </x:row>
    <x:row r="193" ht="21" customHeight="1">
      <x:c r="A193" s="7" t="n">
        <x:v>45839</x:v>
      </x:c>
      <x:c r="B193" s="2" t="str">
        <x:v>9110030</x:v>
      </x:c>
      <x:c r="C193" s="2" t="str">
        <x:v>熊本</x:v>
      </x:c>
      <x:c r="D193" s="2" t="str">
        <x:v>一般国道3号</x:v>
      </x:c>
      <x:c r="E193" s="2" t="str">
        <x:v>熊本市南区南高江</x:v>
      </x:c>
      <x:c r="F193" s="2" t="str">
        <x:v>平日</x:v>
      </x:c>
      <x:c r="G193" s="8" t="n">
        <x:v>38000</x:v>
      </x:c>
      <x:c r="H193" s="8" t="n">
        <x:v>34200</x:v>
      </x:c>
      <x:c r="I193" s="8" t="n">
        <x:v>3800</x:v>
      </x:c>
      <x:c r="J193" s="9" t="n">
        <x:f>IF(AND(ISNUMBER(I193),ISNUMBER(G193),G193&gt;0),I193/G193,"")</x:f>
        <x:v>0.1</x:v>
      </x:c>
      <x:c r="K193" s="9" t="n">
        <x:f>IF(AND(ISNUMBER(I193),COUNTIFS($A$2:$A$313,EDATE(A193,-12),$B$2:$B$313,B193,$F$2:$F$313,F193,$I$2:$I$313,"&gt;0")=1),I193/SUMIFS($I$2:$I$313,$A$2:$A$313,EDATE(A193,-12),$B$2:$B$313,B193,$F$2:$F$313,F193)-1,"")</x:f>
        <x:v>0.027027027027026973</x:v>
      </x:c>
      <x:c r="L193" s="2" t="str">
        <x:v>取得済</x:v>
      </x:c>
      <x:c r="M193" s="2" t="str">
        <x:v>https://www.qsr.mlit.go.jp/n-michi/useful/kotsuryo/shukei/data/tcdata.json</x:v>
      </x:c>
      <x:c r="N193" s="2" t="str">
        <x:v>https://www.qsr.mlit.go.jp/n-michi/useful/kotsuryo/shukei/data/tcmas.json</x:v>
      </x:c>
    </x:row>
    <x:row r="194" ht="21" customHeight="1">
      <x:c r="A194" s="7" t="n">
        <x:v>45870</x:v>
      </x:c>
      <x:c r="B194" s="2" t="str">
        <x:v>9110050</x:v>
      </x:c>
      <x:c r="C194" s="2" t="str">
        <x:v>八代</x:v>
      </x:c>
      <x:c r="D194" s="2" t="str">
        <x:v>一般国道3号</x:v>
      </x:c>
      <x:c r="E194" s="2" t="str">
        <x:v>八代市福正元町</x:v>
      </x:c>
      <x:c r="F194" s="2" t="str">
        <x:v>休日</x:v>
      </x:c>
      <x:c r="G194" s="8" t="n">
        <x:v>19300</x:v>
      </x:c>
      <x:c r="H194" s="8" t="n">
        <x:v>18000</x:v>
      </x:c>
      <x:c r="I194" s="8" t="n">
        <x:v>1300</x:v>
      </x:c>
      <x:c r="J194" s="9" t="n">
        <x:f>IF(AND(ISNUMBER(I194),ISNUMBER(G194),G194&gt;0),I194/G194,"")</x:f>
        <x:v>0.06735751295336788</x:v>
      </x:c>
      <x:c r="K194" s="9" t="n">
        <x:f>IF(AND(ISNUMBER(I194),COUNTIFS($A$2:$A$313,EDATE(A194,-12),$B$2:$B$313,B194,$F$2:$F$313,F194,$I$2:$I$313,"&gt;0")=1),I194/SUMIFS($I$2:$I$313,$A$2:$A$313,EDATE(A194,-12),$B$2:$B$313,B194,$F$2:$F$313,F194)-1,"")</x:f>
        <x:v>-0.1333333333333333</x:v>
      </x:c>
      <x:c r="L194" s="2" t="str">
        <x:v>取得済</x:v>
      </x:c>
      <x:c r="M194" s="2" t="str">
        <x:v>https://www.qsr.mlit.go.jp/n-michi/useful/kotsuryo/shukei/data/tcdata.json</x:v>
      </x:c>
      <x:c r="N194" s="2" t="str">
        <x:v>https://www.qsr.mlit.go.jp/n-michi/useful/kotsuryo/shukei/data/tcmas.json</x:v>
      </x:c>
    </x:row>
    <x:row r="195" ht="21" customHeight="1">
      <x:c r="A195" s="7" t="n">
        <x:v>45870</x:v>
      </x:c>
      <x:c r="B195" s="2" t="str">
        <x:v>9110050</x:v>
      </x:c>
      <x:c r="C195" s="2" t="str">
        <x:v>八代</x:v>
      </x:c>
      <x:c r="D195" s="2" t="str">
        <x:v>一般国道3号</x:v>
      </x:c>
      <x:c r="E195" s="2" t="str">
        <x:v>八代市福正元町</x:v>
      </x:c>
      <x:c r="F195" s="2" t="str">
        <x:v>全日</x:v>
      </x:c>
      <x:c r="G195" s="8" t="n">
        <x:v>21400</x:v>
      </x:c>
      <x:c r="H195" s="8" t="n">
        <x:v>19000</x:v>
      </x:c>
      <x:c r="I195" s="8" t="n">
        <x:v>2400</x:v>
      </x:c>
      <x:c r="J195" s="9" t="n">
        <x:f>IF(AND(ISNUMBER(I195),ISNUMBER(G195),G195&gt;0),I195/G195,"")</x:f>
        <x:v>0.11214953271028037</x:v>
      </x:c>
      <x:c r="K195" s="9" t="n">
        <x:f>IF(AND(ISNUMBER(I195),COUNTIFS($A$2:$A$313,EDATE(A195,-12),$B$2:$B$313,B195,$F$2:$F$313,F195,$I$2:$I$313,"&gt;0")=1),I195/SUMIFS($I$2:$I$313,$A$2:$A$313,EDATE(A195,-12),$B$2:$B$313,B195,$F$2:$F$313,F195)-1,"")</x:f>
        <x:v>0.09090909090909083</x:v>
      </x:c>
      <x:c r="L195" s="2" t="str">
        <x:v>取得済</x:v>
      </x:c>
      <x:c r="M195" s="2" t="str">
        <x:v>https://www.qsr.mlit.go.jp/n-michi/useful/kotsuryo/shukei/data/tcdata.json</x:v>
      </x:c>
      <x:c r="N195" s="2" t="str">
        <x:v>https://www.qsr.mlit.go.jp/n-michi/useful/kotsuryo/shukei/data/tcmas.json</x:v>
      </x:c>
    </x:row>
    <x:row r="196" ht="21" customHeight="1">
      <x:c r="A196" s="7" t="n">
        <x:v>45870</x:v>
      </x:c>
      <x:c r="B196" s="2" t="str">
        <x:v>9110050</x:v>
      </x:c>
      <x:c r="C196" s="2" t="str">
        <x:v>八代</x:v>
      </x:c>
      <x:c r="D196" s="2" t="str">
        <x:v>一般国道3号</x:v>
      </x:c>
      <x:c r="E196" s="2" t="str">
        <x:v>八代市福正元町</x:v>
      </x:c>
      <x:c r="F196" s="2" t="str">
        <x:v>平日</x:v>
      </x:c>
      <x:c r="G196" s="8" t="n">
        <x:v>22500</x:v>
      </x:c>
      <x:c r="H196" s="8" t="n">
        <x:v>19600</x:v>
      </x:c>
      <x:c r="I196" s="8" t="n">
        <x:v>2900</x:v>
      </x:c>
      <x:c r="J196" s="9" t="n">
        <x:f>IF(AND(ISNUMBER(I196),ISNUMBER(G196),G196&gt;0),I196/G196,"")</x:f>
        <x:v>0.1288888888888889</x:v>
      </x:c>
      <x:c r="K196" s="9" t="n">
        <x:f>IF(AND(ISNUMBER(I196),COUNTIFS($A$2:$A$313,EDATE(A196,-12),$B$2:$B$313,B196,$F$2:$F$313,F196,$I$2:$I$313,"&gt;0")=1),I196/SUMIFS($I$2:$I$313,$A$2:$A$313,EDATE(A196,-12),$B$2:$B$313,B196,$F$2:$F$313,F196)-1,"")</x:f>
        <x:v>0.11538461538461542</x:v>
      </x:c>
      <x:c r="L196" s="2" t="str">
        <x:v>取得済</x:v>
      </x:c>
      <x:c r="M196" s="2" t="str">
        <x:v>https://www.qsr.mlit.go.jp/n-michi/useful/kotsuryo/shukei/data/tcdata.json</x:v>
      </x:c>
      <x:c r="N196" s="2" t="str">
        <x:v>https://www.qsr.mlit.go.jp/n-michi/useful/kotsuryo/shukei/data/tcmas.json</x:v>
      </x:c>
    </x:row>
    <x:row r="197" ht="21" customHeight="1">
      <x:c r="A197" s="7" t="n">
        <x:v>45870</x:v>
      </x:c>
      <x:c r="B197" s="2" t="str">
        <x:v>9310130</x:v>
      </x:c>
      <x:c r="C197" s="2" t="str">
        <x:v>大津</x:v>
      </x:c>
      <x:c r="D197" s="2" t="str">
        <x:v>一般国道57号</x:v>
      </x:c>
      <x:c r="E197" s="2" t="str">
        <x:v>菊池郡大津町室</x:v>
      </x:c>
      <x:c r="F197" s="2" t="str">
        <x:v>休日</x:v>
      </x:c>
      <x:c r="G197" s="8" t="n">
        <x:v>29600</x:v>
      </x:c>
      <x:c r="H197" s="8" t="n">
        <x:v>28500</x:v>
      </x:c>
      <x:c r="I197" s="8" t="n">
        <x:v>1100</x:v>
      </x:c>
      <x:c r="J197" s="9" t="n">
        <x:f>IF(AND(ISNUMBER(I197),ISNUMBER(G197),G197&gt;0),I197/G197,"")</x:f>
        <x:v>0.037162162162162164</x:v>
      </x:c>
      <x:c r="K197" s="9" t="n">
        <x:f>IF(AND(ISNUMBER(I197),COUNTIFS($A$2:$A$313,EDATE(A197,-12),$B$2:$B$313,B197,$F$2:$F$313,F197,$I$2:$I$313,"&gt;0")=1),I197/SUMIFS($I$2:$I$313,$A$2:$A$313,EDATE(A197,-12),$B$2:$B$313,B197,$F$2:$F$313,F197)-1,"")</x:f>
        <x:v>-0.2142857142857143</x:v>
      </x:c>
      <x:c r="L197" s="2" t="str">
        <x:v>取得済</x:v>
      </x:c>
      <x:c r="M197" s="2" t="str">
        <x:v>https://www.qsr.mlit.go.jp/n-michi/useful/kotsuryo/shukei/data/tcdata.json</x:v>
      </x:c>
      <x:c r="N197" s="2" t="str">
        <x:v>https://www.qsr.mlit.go.jp/n-michi/useful/kotsuryo/shukei/data/tcmas.json</x:v>
      </x:c>
    </x:row>
    <x:row r="198" ht="21" customHeight="1">
      <x:c r="A198" s="7" t="n">
        <x:v>45870</x:v>
      </x:c>
      <x:c r="B198" s="2" t="str">
        <x:v>9310130</x:v>
      </x:c>
      <x:c r="C198" s="2" t="str">
        <x:v>大津</x:v>
      </x:c>
      <x:c r="D198" s="2" t="str">
        <x:v>一般国道57号</x:v>
      </x:c>
      <x:c r="E198" s="2" t="str">
        <x:v>菊池郡大津町室</x:v>
      </x:c>
      <x:c r="F198" s="2" t="str">
        <x:v>全日</x:v>
      </x:c>
      <x:c r="G198" s="8" t="n">
        <x:v>30400</x:v>
      </x:c>
      <x:c r="H198" s="8" t="n">
        <x:v>28700</x:v>
      </x:c>
      <x:c r="I198" s="8" t="n">
        <x:v>1700</x:v>
      </x:c>
      <x:c r="J198" s="9" t="n">
        <x:f>IF(AND(ISNUMBER(I198),ISNUMBER(G198),G198&gt;0),I198/G198,"")</x:f>
        <x:v>0.05592105263157895</x:v>
      </x:c>
      <x:c r="K198" s="9" t="n">
        <x:f>IF(AND(ISNUMBER(I198),COUNTIFS($A$2:$A$313,EDATE(A198,-12),$B$2:$B$313,B198,$F$2:$F$313,F198,$I$2:$I$313,"&gt;0")=1),I198/SUMIFS($I$2:$I$313,$A$2:$A$313,EDATE(A198,-12),$B$2:$B$313,B198,$F$2:$F$313,F198)-1,"")</x:f>
        <x:v>-0.10526315789473684</x:v>
      </x:c>
      <x:c r="L198" s="2" t="str">
        <x:v>取得済</x:v>
      </x:c>
      <x:c r="M198" s="2" t="str">
        <x:v>https://www.qsr.mlit.go.jp/n-michi/useful/kotsuryo/shukei/data/tcdata.json</x:v>
      </x:c>
      <x:c r="N198" s="2" t="str">
        <x:v>https://www.qsr.mlit.go.jp/n-michi/useful/kotsuryo/shukei/data/tcmas.json</x:v>
      </x:c>
    </x:row>
    <x:row r="199" ht="21" customHeight="1">
      <x:c r="A199" s="7" t="n">
        <x:v>45870</x:v>
      </x:c>
      <x:c r="B199" s="2" t="str">
        <x:v>9310130</x:v>
      </x:c>
      <x:c r="C199" s="2" t="str">
        <x:v>大津</x:v>
      </x:c>
      <x:c r="D199" s="2" t="str">
        <x:v>一般国道57号</x:v>
      </x:c>
      <x:c r="E199" s="2" t="str">
        <x:v>菊池郡大津町室</x:v>
      </x:c>
      <x:c r="F199" s="2" t="str">
        <x:v>平日</x:v>
      </x:c>
      <x:c r="G199" s="8" t="n">
        <x:v>30900</x:v>
      </x:c>
      <x:c r="H199" s="8" t="n">
        <x:v>28700</x:v>
      </x:c>
      <x:c r="I199" s="8" t="n">
        <x:v>2200</x:v>
      </x:c>
      <x:c r="J199" s="9" t="n">
        <x:f>IF(AND(ISNUMBER(I199),ISNUMBER(G199),G199&gt;0),I199/G199,"")</x:f>
        <x:v>0.07119741100323625</x:v>
      </x:c>
      <x:c r="K199" s="9" t="n">
        <x:f>IF(AND(ISNUMBER(I199),COUNTIFS($A$2:$A$313,EDATE(A199,-12),$B$2:$B$313,B199,$F$2:$F$313,F199,$I$2:$I$313,"&gt;0")=1),I199/SUMIFS($I$2:$I$313,$A$2:$A$313,EDATE(A199,-12),$B$2:$B$313,B199,$F$2:$F$313,F199)-1,"")</x:f>
        <x:v>0.10000000000000009</x:v>
      </x:c>
      <x:c r="L199" s="2" t="str">
        <x:v>取得済</x:v>
      </x:c>
      <x:c r="M199" s="2" t="str">
        <x:v>https://www.qsr.mlit.go.jp/n-michi/useful/kotsuryo/shukei/data/tcdata.json</x:v>
      </x:c>
      <x:c r="N199" s="2" t="str">
        <x:v>https://www.qsr.mlit.go.jp/n-michi/useful/kotsuryo/shukei/data/tcmas.json</x:v>
      </x:c>
    </x:row>
    <x:row r="200" ht="21" customHeight="1">
      <x:c r="A200" s="7" t="n">
        <x:v>45870</x:v>
      </x:c>
      <x:c r="B200" s="2" t="str">
        <x:v>9310140</x:v>
      </x:c>
      <x:c r="C200" s="2" t="str">
        <x:v>新南部</x:v>
      </x:c>
      <x:c r="D200" s="2" t="str">
        <x:v>一般国道57号</x:v>
      </x:c>
      <x:c r="E200" s="2" t="str">
        <x:v>熊本市東区下南部</x:v>
      </x:c>
      <x:c r="F200" s="2" t="str">
        <x:v>休日</x:v>
      </x:c>
      <x:c r="G200" s="8" t="n">
        <x:v>42000</x:v>
      </x:c>
      <x:c r="H200" s="8" t="n">
        <x:v>39600</x:v>
      </x:c>
      <x:c r="I200" s="8" t="n">
        <x:v>2400</x:v>
      </x:c>
      <x:c r="J200" s="9" t="n">
        <x:f>IF(AND(ISNUMBER(I200),ISNUMBER(G200),G200&gt;0),I200/G200,"")</x:f>
        <x:v>0.05714285714285714</x:v>
      </x:c>
      <x:c r="K200" s="9" t="n">
        <x:f>IF(AND(ISNUMBER(I200),COUNTIFS($A$2:$A$313,EDATE(A200,-12),$B$2:$B$313,B200,$F$2:$F$313,F200,$I$2:$I$313,"&gt;0")=1),I200/SUMIFS($I$2:$I$313,$A$2:$A$313,EDATE(A200,-12),$B$2:$B$313,B200,$F$2:$F$313,F200)-1,"")</x:f>
        <x:v>-0.07692307692307687</x:v>
      </x:c>
      <x:c r="L200" s="2" t="str">
        <x:v>取得済</x:v>
      </x:c>
      <x:c r="M200" s="2" t="str">
        <x:v>https://www.qsr.mlit.go.jp/n-michi/useful/kotsuryo/shukei/data/tcdata.json</x:v>
      </x:c>
      <x:c r="N200" s="2" t="str">
        <x:v>https://www.qsr.mlit.go.jp/n-michi/useful/kotsuryo/shukei/data/tcmas.json</x:v>
      </x:c>
    </x:row>
    <x:row r="201" ht="21" customHeight="1">
      <x:c r="A201" s="7" t="n">
        <x:v>45870</x:v>
      </x:c>
      <x:c r="B201" s="2" t="str">
        <x:v>9310140</x:v>
      </x:c>
      <x:c r="C201" s="2" t="str">
        <x:v>新南部</x:v>
      </x:c>
      <x:c r="D201" s="2" t="str">
        <x:v>一般国道57号</x:v>
      </x:c>
      <x:c r="E201" s="2" t="str">
        <x:v>熊本市東区下南部</x:v>
      </x:c>
      <x:c r="F201" s="2" t="str">
        <x:v>全日</x:v>
      </x:c>
      <x:c r="G201" s="8" t="n">
        <x:v>44200</x:v>
      </x:c>
      <x:c r="H201" s="8" t="n">
        <x:v>40600</x:v>
      </x:c>
      <x:c r="I201" s="8" t="n">
        <x:v>3600</x:v>
      </x:c>
      <x:c r="J201" s="9" t="n">
        <x:f>IF(AND(ISNUMBER(I201),ISNUMBER(G201),G201&gt;0),I201/G201,"")</x:f>
        <x:v>0.08144796380090498</x:v>
      </x:c>
      <x:c r="K201" s="9" t="n">
        <x:f>IF(AND(ISNUMBER(I201),COUNTIFS($A$2:$A$313,EDATE(A201,-12),$B$2:$B$313,B201,$F$2:$F$313,F201,$I$2:$I$313,"&gt;0")=1),I201/SUMIFS($I$2:$I$313,$A$2:$A$313,EDATE(A201,-12),$B$2:$B$313,B201,$F$2:$F$313,F201)-1,"")</x:f>
        <x:v>0</x:v>
      </x:c>
      <x:c r="L201" s="2" t="str">
        <x:v>取得済</x:v>
      </x:c>
      <x:c r="M201" s="2" t="str">
        <x:v>https://www.qsr.mlit.go.jp/n-michi/useful/kotsuryo/shukei/data/tcdata.json</x:v>
      </x:c>
      <x:c r="N201" s="2" t="str">
        <x:v>https://www.qsr.mlit.go.jp/n-michi/useful/kotsuryo/shukei/data/tcmas.json</x:v>
      </x:c>
    </x:row>
    <x:row r="202" ht="21" customHeight="1">
      <x:c r="A202" s="7" t="n">
        <x:v>45870</x:v>
      </x:c>
      <x:c r="B202" s="2" t="str">
        <x:v>9310140</x:v>
      </x:c>
      <x:c r="C202" s="2" t="str">
        <x:v>新南部</x:v>
      </x:c>
      <x:c r="D202" s="2" t="str">
        <x:v>一般国道57号</x:v>
      </x:c>
      <x:c r="E202" s="2" t="str">
        <x:v>熊本市東区下南部</x:v>
      </x:c>
      <x:c r="F202" s="2" t="str">
        <x:v>平日</x:v>
      </x:c>
      <x:c r="G202" s="8" t="n">
        <x:v>45300</x:v>
      </x:c>
      <x:c r="H202" s="8" t="n">
        <x:v>41100</x:v>
      </x:c>
      <x:c r="I202" s="8" t="n">
        <x:v>4200</x:v>
      </x:c>
      <x:c r="J202" s="9" t="n">
        <x:f>IF(AND(ISNUMBER(I202),ISNUMBER(G202),G202&gt;0),I202/G202,"")</x:f>
        <x:v>0.09271523178807947</x:v>
      </x:c>
      <x:c r="K202" s="9" t="n">
        <x:f>IF(AND(ISNUMBER(I202),COUNTIFS($A$2:$A$313,EDATE(A202,-12),$B$2:$B$313,B202,$F$2:$F$313,F202,$I$2:$I$313,"&gt;0")=1),I202/SUMIFS($I$2:$I$313,$A$2:$A$313,EDATE(A202,-12),$B$2:$B$313,B202,$F$2:$F$313,F202)-1,"")</x:f>
        <x:v>0.050000000000000044</x:v>
      </x:c>
      <x:c r="L202" s="2" t="str">
        <x:v>取得済</x:v>
      </x:c>
      <x:c r="M202" s="2" t="str">
        <x:v>https://www.qsr.mlit.go.jp/n-michi/useful/kotsuryo/shukei/data/tcdata.json</x:v>
      </x:c>
      <x:c r="N202" s="2" t="str">
        <x:v>https://www.qsr.mlit.go.jp/n-michi/useful/kotsuryo/shukei/data/tcmas.json</x:v>
      </x:c>
    </x:row>
    <x:row r="203" ht="21" customHeight="1">
      <x:c r="A203" s="7" t="n">
        <x:v>45870</x:v>
      </x:c>
      <x:c r="B203" s="2" t="str">
        <x:v>9110030</x:v>
      </x:c>
      <x:c r="C203" s="2" t="str">
        <x:v>熊本</x:v>
      </x:c>
      <x:c r="D203" s="2" t="str">
        <x:v>一般国道3号</x:v>
      </x:c>
      <x:c r="E203" s="2" t="str">
        <x:v>熊本市南区南高江</x:v>
      </x:c>
      <x:c r="F203" s="2" t="str">
        <x:v>休日</x:v>
      </x:c>
      <x:c r="G203" s="8" t="n">
        <x:v>37700</x:v>
      </x:c>
      <x:c r="H203" s="8" t="n">
        <x:v>35700</x:v>
      </x:c>
      <x:c r="I203" s="8" t="n">
        <x:v>2000</x:v>
      </x:c>
      <x:c r="J203" s="9" t="n">
        <x:f>IF(AND(ISNUMBER(I203),ISNUMBER(G203),G203&gt;0),I203/G203,"")</x:f>
        <x:v>0.05305039787798409</x:v>
      </x:c>
      <x:c r="K203" s="9" t="n">
        <x:f>IF(AND(ISNUMBER(I203),COUNTIFS($A$2:$A$313,EDATE(A203,-12),$B$2:$B$313,B203,$F$2:$F$313,F203,$I$2:$I$313,"&gt;0")=1),I203/SUMIFS($I$2:$I$313,$A$2:$A$313,EDATE(A203,-12),$B$2:$B$313,B203,$F$2:$F$313,F203)-1,"")</x:f>
        <x:v>0</x:v>
      </x:c>
      <x:c r="L203" s="2" t="str">
        <x:v>取得済</x:v>
      </x:c>
      <x:c r="M203" s="2" t="str">
        <x:v>https://www.qsr.mlit.go.jp/n-michi/useful/kotsuryo/shukei/data/tcdata.json</x:v>
      </x:c>
      <x:c r="N203" s="2" t="str">
        <x:v>https://www.qsr.mlit.go.jp/n-michi/useful/kotsuryo/shukei/data/tcmas.json</x:v>
      </x:c>
    </x:row>
    <x:row r="204" ht="21" customHeight="1">
      <x:c r="A204" s="7" t="n">
        <x:v>45870</x:v>
      </x:c>
      <x:c r="B204" s="2" t="str">
        <x:v>9110030</x:v>
      </x:c>
      <x:c r="C204" s="2" t="str">
        <x:v>熊本</x:v>
      </x:c>
      <x:c r="D204" s="2" t="str">
        <x:v>一般国道3号</x:v>
      </x:c>
      <x:c r="E204" s="2" t="str">
        <x:v>熊本市南区南高江</x:v>
      </x:c>
      <x:c r="F204" s="2" t="str">
        <x:v>全日</x:v>
      </x:c>
      <x:c r="G204" s="8" t="n">
        <x:v>38900</x:v>
      </x:c>
      <x:c r="H204" s="8" t="n">
        <x:v>35900</x:v>
      </x:c>
      <x:c r="I204" s="8" t="n">
        <x:v>3000</x:v>
      </x:c>
      <x:c r="J204" s="9" t="n">
        <x:f>IF(AND(ISNUMBER(I204),ISNUMBER(G204),G204&gt;0),I204/G204,"")</x:f>
        <x:v>0.07712082262210797</x:v>
      </x:c>
      <x:c r="K204" s="9" t="n">
        <x:f>IF(AND(ISNUMBER(I204),COUNTIFS($A$2:$A$313,EDATE(A204,-12),$B$2:$B$313,B204,$F$2:$F$313,F204,$I$2:$I$313,"&gt;0")=1),I204/SUMIFS($I$2:$I$313,$A$2:$A$313,EDATE(A204,-12),$B$2:$B$313,B204,$F$2:$F$313,F204)-1,"")</x:f>
        <x:v>0.0714285714285714</x:v>
      </x:c>
      <x:c r="L204" s="2" t="str">
        <x:v>取得済</x:v>
      </x:c>
      <x:c r="M204" s="2" t="str">
        <x:v>https://www.qsr.mlit.go.jp/n-michi/useful/kotsuryo/shukei/data/tcdata.json</x:v>
      </x:c>
      <x:c r="N204" s="2" t="str">
        <x:v>https://www.qsr.mlit.go.jp/n-michi/useful/kotsuryo/shukei/data/tcmas.json</x:v>
      </x:c>
    </x:row>
    <x:row r="205" ht="21" customHeight="1">
      <x:c r="A205" s="7" t="n">
        <x:v>45870</x:v>
      </x:c>
      <x:c r="B205" s="2" t="str">
        <x:v>9110030</x:v>
      </x:c>
      <x:c r="C205" s="2" t="str">
        <x:v>熊本</x:v>
      </x:c>
      <x:c r="D205" s="2" t="str">
        <x:v>一般国道3号</x:v>
      </x:c>
      <x:c r="E205" s="2" t="str">
        <x:v>熊本市南区南高江</x:v>
      </x:c>
      <x:c r="F205" s="2" t="str">
        <x:v>平日</x:v>
      </x:c>
      <x:c r="G205" s="8" t="n">
        <x:v>39500</x:v>
      </x:c>
      <x:c r="H205" s="8" t="n">
        <x:v>36000</x:v>
      </x:c>
      <x:c r="I205" s="8" t="n">
        <x:v>3500</x:v>
      </x:c>
      <x:c r="J205" s="9" t="n">
        <x:f>IF(AND(ISNUMBER(I205),ISNUMBER(G205),G205&gt;0),I205/G205,"")</x:f>
        <x:v>0.08860759493670886</x:v>
      </x:c>
      <x:c r="K205" s="9" t="n">
        <x:f>IF(AND(ISNUMBER(I205),COUNTIFS($A$2:$A$313,EDATE(A205,-12),$B$2:$B$313,B205,$F$2:$F$313,F205,$I$2:$I$313,"&gt;0")=1),I205/SUMIFS($I$2:$I$313,$A$2:$A$313,EDATE(A205,-12),$B$2:$B$313,B205,$F$2:$F$313,F205)-1,"")</x:f>
        <x:v>0.06060606060606055</x:v>
      </x:c>
      <x:c r="L205" s="2" t="str">
        <x:v>取得済</x:v>
      </x:c>
      <x:c r="M205" s="2" t="str">
        <x:v>https://www.qsr.mlit.go.jp/n-michi/useful/kotsuryo/shukei/data/tcdata.json</x:v>
      </x:c>
      <x:c r="N205" s="2" t="str">
        <x:v>https://www.qsr.mlit.go.jp/n-michi/useful/kotsuryo/shukei/data/tcmas.json</x:v>
      </x:c>
    </x:row>
    <x:row r="206" ht="21" customHeight="1">
      <x:c r="A206" s="7" t="n">
        <x:v>45901</x:v>
      </x:c>
      <x:c r="B206" s="2" t="str">
        <x:v>9110050</x:v>
      </x:c>
      <x:c r="C206" s="2" t="str">
        <x:v>八代</x:v>
      </x:c>
      <x:c r="D206" s="2" t="str">
        <x:v>一般国道3号</x:v>
      </x:c>
      <x:c r="E206" s="2" t="str">
        <x:v>八代市福正元町</x:v>
      </x:c>
      <x:c r="F206" s="2" t="str">
        <x:v>休日</x:v>
      </x:c>
      <x:c r="G206" s="8" t="n">
        <x:v>19400</x:v>
      </x:c>
      <x:c r="H206" s="8" t="n">
        <x:v>18000</x:v>
      </x:c>
      <x:c r="I206" s="8" t="n">
        <x:v>1400</x:v>
      </x:c>
      <x:c r="J206" s="9" t="n">
        <x:f>IF(AND(ISNUMBER(I206),ISNUMBER(G206),G206&gt;0),I206/G206,"")</x:f>
        <x:v>0.07216494845360824</x:v>
      </x:c>
      <x:c r="K206" s="9" t="n">
        <x:f>IF(AND(ISNUMBER(I206),COUNTIFS($A$2:$A$313,EDATE(A206,-12),$B$2:$B$313,B206,$F$2:$F$313,F206,$I$2:$I$313,"&gt;0")=1),I206/SUMIFS($I$2:$I$313,$A$2:$A$313,EDATE(A206,-12),$B$2:$B$313,B206,$F$2:$F$313,F206)-1,"")</x:f>
        <x:v>-0.06666666666666665</x:v>
      </x:c>
      <x:c r="L206" s="2" t="str">
        <x:v>取得済</x:v>
      </x:c>
      <x:c r="M206" s="2" t="str">
        <x:v>https://www.qsr.mlit.go.jp/n-michi/useful/kotsuryo/shukei/data/tcdata.json</x:v>
      </x:c>
      <x:c r="N206" s="2" t="str">
        <x:v>https://www.qsr.mlit.go.jp/n-michi/useful/kotsuryo/shukei/data/tcmas.json</x:v>
      </x:c>
    </x:row>
    <x:row r="207" ht="21" customHeight="1">
      <x:c r="A207" s="7" t="n">
        <x:v>45901</x:v>
      </x:c>
      <x:c r="B207" s="2" t="str">
        <x:v>9110050</x:v>
      </x:c>
      <x:c r="C207" s="2" t="str">
        <x:v>八代</x:v>
      </x:c>
      <x:c r="D207" s="2" t="str">
        <x:v>一般国道3号</x:v>
      </x:c>
      <x:c r="E207" s="2" t="str">
        <x:v>八代市福正元町</x:v>
      </x:c>
      <x:c r="F207" s="2" t="str">
        <x:v>全日</x:v>
      </x:c>
      <x:c r="G207" s="8" t="n">
        <x:v>21100</x:v>
      </x:c>
      <x:c r="H207" s="8" t="n">
        <x:v>18600</x:v>
      </x:c>
      <x:c r="I207" s="8" t="n">
        <x:v>2500</x:v>
      </x:c>
      <x:c r="J207" s="9" t="n">
        <x:f>IF(AND(ISNUMBER(I207),ISNUMBER(G207),G207&gt;0),I207/G207,"")</x:f>
        <x:v>0.11848341232227488</x:v>
      </x:c>
      <x:c r="K207" s="9" t="n">
        <x:f>IF(AND(ISNUMBER(I207),COUNTIFS($A$2:$A$313,EDATE(A207,-12),$B$2:$B$313,B207,$F$2:$F$313,F207,$I$2:$I$313,"&gt;0")=1),I207/SUMIFS($I$2:$I$313,$A$2:$A$313,EDATE(A207,-12),$B$2:$B$313,B207,$F$2:$F$313,F207)-1,"")</x:f>
        <x:v>0</x:v>
      </x:c>
      <x:c r="L207" s="2" t="str">
        <x:v>取得済</x:v>
      </x:c>
      <x:c r="M207" s="2" t="str">
        <x:v>https://www.qsr.mlit.go.jp/n-michi/useful/kotsuryo/shukei/data/tcdata.json</x:v>
      </x:c>
      <x:c r="N207" s="2" t="str">
        <x:v>https://www.qsr.mlit.go.jp/n-michi/useful/kotsuryo/shukei/data/tcmas.json</x:v>
      </x:c>
    </x:row>
    <x:row r="208" ht="21" customHeight="1">
      <x:c r="A208" s="7" t="n">
        <x:v>45901</x:v>
      </x:c>
      <x:c r="B208" s="2" t="str">
        <x:v>9110050</x:v>
      </x:c>
      <x:c r="C208" s="2" t="str">
        <x:v>八代</x:v>
      </x:c>
      <x:c r="D208" s="2" t="str">
        <x:v>一般国道3号</x:v>
      </x:c>
      <x:c r="E208" s="2" t="str">
        <x:v>八代市福正元町</x:v>
      </x:c>
      <x:c r="F208" s="2" t="str">
        <x:v>平日</x:v>
      </x:c>
      <x:c r="G208" s="8" t="n">
        <x:v>22000</x:v>
      </x:c>
      <x:c r="H208" s="8" t="n">
        <x:v>18900</x:v>
      </x:c>
      <x:c r="I208" s="8" t="n">
        <x:v>3100</x:v>
      </x:c>
      <x:c r="J208" s="9" t="n">
        <x:f>IF(AND(ISNUMBER(I208),ISNUMBER(G208),G208&gt;0),I208/G208,"")</x:f>
        <x:v>0.1409090909090909</x:v>
      </x:c>
      <x:c r="K208" s="9" t="n">
        <x:f>IF(AND(ISNUMBER(I208),COUNTIFS($A$2:$A$313,EDATE(A208,-12),$B$2:$B$313,B208,$F$2:$F$313,F208,$I$2:$I$313,"&gt;0")=1),I208/SUMIFS($I$2:$I$313,$A$2:$A$313,EDATE(A208,-12),$B$2:$B$313,B208,$F$2:$F$313,F208)-1,"")</x:f>
        <x:v>0</x:v>
      </x:c>
      <x:c r="L208" s="2" t="str">
        <x:v>取得済</x:v>
      </x:c>
      <x:c r="M208" s="2" t="str">
        <x:v>https://www.qsr.mlit.go.jp/n-michi/useful/kotsuryo/shukei/data/tcdata.json</x:v>
      </x:c>
      <x:c r="N208" s="2" t="str">
        <x:v>https://www.qsr.mlit.go.jp/n-michi/useful/kotsuryo/shukei/data/tcmas.json</x:v>
      </x:c>
    </x:row>
    <x:row r="209" ht="21" customHeight="1">
      <x:c r="A209" s="7" t="n">
        <x:v>45901</x:v>
      </x:c>
      <x:c r="B209" s="2" t="str">
        <x:v>9310130</x:v>
      </x:c>
      <x:c r="C209" s="2" t="str">
        <x:v>大津</x:v>
      </x:c>
      <x:c r="D209" s="2" t="str">
        <x:v>一般国道57号</x:v>
      </x:c>
      <x:c r="E209" s="2" t="str">
        <x:v>菊池郡大津町室</x:v>
      </x:c>
      <x:c r="F209" s="2" t="str">
        <x:v>休日</x:v>
      </x:c>
      <x:c r="G209" s="8" t="n">
        <x:v>30600</x:v>
      </x:c>
      <x:c r="H209" s="8" t="n">
        <x:v>29300</x:v>
      </x:c>
      <x:c r="I209" s="8" t="n">
        <x:v>1300</x:v>
      </x:c>
      <x:c r="J209" s="9" t="n">
        <x:f>IF(AND(ISNUMBER(I209),ISNUMBER(G209),G209&gt;0),I209/G209,"")</x:f>
        <x:v>0.042483660130718956</x:v>
      </x:c>
      <x:c r="K209" s="9" t="n">
        <x:f>IF(AND(ISNUMBER(I209),COUNTIFS($A$2:$A$313,EDATE(A209,-12),$B$2:$B$313,B209,$F$2:$F$313,F209,$I$2:$I$313,"&gt;0")=1),I209/SUMIFS($I$2:$I$313,$A$2:$A$313,EDATE(A209,-12),$B$2:$B$313,B209,$F$2:$F$313,F209)-1,"")</x:f>
        <x:v>0.08333333333333326</x:v>
      </x:c>
      <x:c r="L209" s="2" t="str">
        <x:v>取得済</x:v>
      </x:c>
      <x:c r="M209" s="2" t="str">
        <x:v>https://www.qsr.mlit.go.jp/n-michi/useful/kotsuryo/shukei/data/tcdata.json</x:v>
      </x:c>
      <x:c r="N209" s="2" t="str">
        <x:v>https://www.qsr.mlit.go.jp/n-michi/useful/kotsuryo/shukei/data/tcmas.json</x:v>
      </x:c>
    </x:row>
    <x:row r="210" ht="21" customHeight="1">
      <x:c r="A210" s="7" t="n">
        <x:v>45901</x:v>
      </x:c>
      <x:c r="B210" s="2" t="str">
        <x:v>9310130</x:v>
      </x:c>
      <x:c r="C210" s="2" t="str">
        <x:v>大津</x:v>
      </x:c>
      <x:c r="D210" s="2" t="str">
        <x:v>一般国道57号</x:v>
      </x:c>
      <x:c r="E210" s="2" t="str">
        <x:v>菊池郡大津町室</x:v>
      </x:c>
      <x:c r="F210" s="2" t="str">
        <x:v>全日</x:v>
      </x:c>
      <x:c r="G210" s="8" t="n">
        <x:v>29900</x:v>
      </x:c>
      <x:c r="H210" s="8" t="n">
        <x:v>27900</x:v>
      </x:c>
      <x:c r="I210" s="8" t="n">
        <x:v>2000</x:v>
      </x:c>
      <x:c r="J210" s="9" t="n">
        <x:f>IF(AND(ISNUMBER(I210),ISNUMBER(G210),G210&gt;0),I210/G210,"")</x:f>
        <x:v>0.06688963210702341</x:v>
      </x:c>
      <x:c r="K210" s="9" t="n">
        <x:f>IF(AND(ISNUMBER(I210),COUNTIFS($A$2:$A$313,EDATE(A210,-12),$B$2:$B$313,B210,$F$2:$F$313,F210,$I$2:$I$313,"&gt;0")=1),I210/SUMIFS($I$2:$I$313,$A$2:$A$313,EDATE(A210,-12),$B$2:$B$313,B210,$F$2:$F$313,F210)-1,"")</x:f>
        <x:v>0</x:v>
      </x:c>
      <x:c r="L210" s="2" t="str">
        <x:v>取得済</x:v>
      </x:c>
      <x:c r="M210" s="2" t="str">
        <x:v>https://www.qsr.mlit.go.jp/n-michi/useful/kotsuryo/shukei/data/tcdata.json</x:v>
      </x:c>
      <x:c r="N210" s="2" t="str">
        <x:v>https://www.qsr.mlit.go.jp/n-michi/useful/kotsuryo/shukei/data/tcmas.json</x:v>
      </x:c>
    </x:row>
    <x:row r="211" ht="21" customHeight="1">
      <x:c r="A211" s="7" t="n">
        <x:v>45901</x:v>
      </x:c>
      <x:c r="B211" s="2" t="str">
        <x:v>9310130</x:v>
      </x:c>
      <x:c r="C211" s="2" t="str">
        <x:v>大津</x:v>
      </x:c>
      <x:c r="D211" s="2" t="str">
        <x:v>一般国道57号</x:v>
      </x:c>
      <x:c r="E211" s="2" t="str">
        <x:v>菊池郡大津町室</x:v>
      </x:c>
      <x:c r="F211" s="2" t="str">
        <x:v>平日</x:v>
      </x:c>
      <x:c r="G211" s="8" t="n">
        <x:v>29600</x:v>
      </x:c>
      <x:c r="H211" s="8" t="n">
        <x:v>27100</x:v>
      </x:c>
      <x:c r="I211" s="8" t="n">
        <x:v>2500</x:v>
      </x:c>
      <x:c r="J211" s="9" t="n">
        <x:f>IF(AND(ISNUMBER(I211),ISNUMBER(G211),G211&gt;0),I211/G211,"")</x:f>
        <x:v>0.08445945945945946</x:v>
      </x:c>
      <x:c r="K211" s="9" t="n">
        <x:f>IF(AND(ISNUMBER(I211),COUNTIFS($A$2:$A$313,EDATE(A211,-12),$B$2:$B$313,B211,$F$2:$F$313,F211,$I$2:$I$313,"&gt;0")=1),I211/SUMIFS($I$2:$I$313,$A$2:$A$313,EDATE(A211,-12),$B$2:$B$313,B211,$F$2:$F$313,F211)-1,"")</x:f>
        <x:v>0</x:v>
      </x:c>
      <x:c r="L211" s="2" t="str">
        <x:v>取得済</x:v>
      </x:c>
      <x:c r="M211" s="2" t="str">
        <x:v>https://www.qsr.mlit.go.jp/n-michi/useful/kotsuryo/shukei/data/tcdata.json</x:v>
      </x:c>
      <x:c r="N211" s="2" t="str">
        <x:v>https://www.qsr.mlit.go.jp/n-michi/useful/kotsuryo/shukei/data/tcmas.json</x:v>
      </x:c>
    </x:row>
    <x:row r="212" ht="21" customHeight="1">
      <x:c r="A212" s="7" t="n">
        <x:v>45901</x:v>
      </x:c>
      <x:c r="B212" s="2" t="str">
        <x:v>9310140</x:v>
      </x:c>
      <x:c r="C212" s="2" t="str">
        <x:v>新南部</x:v>
      </x:c>
      <x:c r="D212" s="2" t="str">
        <x:v>一般国道57号</x:v>
      </x:c>
      <x:c r="E212" s="2" t="str">
        <x:v>熊本市東区下南部</x:v>
      </x:c>
      <x:c r="F212" s="2" t="str">
        <x:v>休日</x:v>
      </x:c>
      <x:c r="G212" s="8" t="n">
        <x:v>43100</x:v>
      </x:c>
      <x:c r="H212" s="8" t="n">
        <x:v>40600</x:v>
      </x:c>
      <x:c r="I212" s="8" t="n">
        <x:v>2500</x:v>
      </x:c>
      <x:c r="J212" s="9" t="n">
        <x:f>IF(AND(ISNUMBER(I212),ISNUMBER(G212),G212&gt;0),I212/G212,"")</x:f>
        <x:v>0.058004640371229696</x:v>
      </x:c>
      <x:c r="K212" s="9" t="n">
        <x:f>IF(AND(ISNUMBER(I212),COUNTIFS($A$2:$A$313,EDATE(A212,-12),$B$2:$B$313,B212,$F$2:$F$313,F212,$I$2:$I$313,"&gt;0")=1),I212/SUMIFS($I$2:$I$313,$A$2:$A$313,EDATE(A212,-12),$B$2:$B$313,B212,$F$2:$F$313,F212)-1,"")</x:f>
        <x:v>0</x:v>
      </x:c>
      <x:c r="L212" s="2" t="str">
        <x:v>取得済</x:v>
      </x:c>
      <x:c r="M212" s="2" t="str">
        <x:v>https://www.qsr.mlit.go.jp/n-michi/useful/kotsuryo/shukei/data/tcdata.json</x:v>
      </x:c>
      <x:c r="N212" s="2" t="str">
        <x:v>https://www.qsr.mlit.go.jp/n-michi/useful/kotsuryo/shukei/data/tcmas.json</x:v>
      </x:c>
    </x:row>
    <x:row r="213" ht="21" customHeight="1">
      <x:c r="A213" s="7" t="n">
        <x:v>45901</x:v>
      </x:c>
      <x:c r="B213" s="2" t="str">
        <x:v>9310140</x:v>
      </x:c>
      <x:c r="C213" s="2" t="str">
        <x:v>新南部</x:v>
      </x:c>
      <x:c r="D213" s="2" t="str">
        <x:v>一般国道57号</x:v>
      </x:c>
      <x:c r="E213" s="2" t="str">
        <x:v>熊本市東区下南部</x:v>
      </x:c>
      <x:c r="F213" s="2" t="str">
        <x:v>全日</x:v>
      </x:c>
      <x:c r="G213" s="8" t="n">
        <x:v>44600</x:v>
      </x:c>
      <x:c r="H213" s="8" t="n">
        <x:v>40600</x:v>
      </x:c>
      <x:c r="I213" s="8" t="n">
        <x:v>4000</x:v>
      </x:c>
      <x:c r="J213" s="9" t="n">
        <x:f>IF(AND(ISNUMBER(I213),ISNUMBER(G213),G213&gt;0),I213/G213,"")</x:f>
        <x:v>0.08968609865470852</x:v>
      </x:c>
      <x:c r="K213" s="9" t="n">
        <x:f>IF(AND(ISNUMBER(I213),COUNTIFS($A$2:$A$313,EDATE(A213,-12),$B$2:$B$313,B213,$F$2:$F$313,F213,$I$2:$I$313,"&gt;0")=1),I213/SUMIFS($I$2:$I$313,$A$2:$A$313,EDATE(A213,-12),$B$2:$B$313,B213,$F$2:$F$313,F213)-1,"")</x:f>
        <x:v>0</x:v>
      </x:c>
      <x:c r="L213" s="2" t="str">
        <x:v>取得済</x:v>
      </x:c>
      <x:c r="M213" s="2" t="str">
        <x:v>https://www.qsr.mlit.go.jp/n-michi/useful/kotsuryo/shukei/data/tcdata.json</x:v>
      </x:c>
      <x:c r="N213" s="2" t="str">
        <x:v>https://www.qsr.mlit.go.jp/n-michi/useful/kotsuryo/shukei/data/tcmas.json</x:v>
      </x:c>
    </x:row>
    <x:row r="214" ht="21" customHeight="1">
      <x:c r="A214" s="7" t="n">
        <x:v>45901</x:v>
      </x:c>
      <x:c r="B214" s="2" t="str">
        <x:v>9310140</x:v>
      </x:c>
      <x:c r="C214" s="2" t="str">
        <x:v>新南部</x:v>
      </x:c>
      <x:c r="D214" s="2" t="str">
        <x:v>一般国道57号</x:v>
      </x:c>
      <x:c r="E214" s="2" t="str">
        <x:v>熊本市東区下南部</x:v>
      </x:c>
      <x:c r="F214" s="2" t="str">
        <x:v>平日</x:v>
      </x:c>
      <x:c r="G214" s="8" t="n">
        <x:v>45300</x:v>
      </x:c>
      <x:c r="H214" s="8" t="n">
        <x:v>40700</x:v>
      </x:c>
      <x:c r="I214" s="8" t="n">
        <x:v>4600</x:v>
      </x:c>
      <x:c r="J214" s="9" t="n">
        <x:f>IF(AND(ISNUMBER(I214),ISNUMBER(G214),G214&gt;0),I214/G214,"")</x:f>
        <x:v>0.10154525386313466</x:v>
      </x:c>
      <x:c r="K214" s="9" t="n">
        <x:f>IF(AND(ISNUMBER(I214),COUNTIFS($A$2:$A$313,EDATE(A214,-12),$B$2:$B$313,B214,$F$2:$F$313,F214,$I$2:$I$313,"&gt;0")=1),I214/SUMIFS($I$2:$I$313,$A$2:$A$313,EDATE(A214,-12),$B$2:$B$313,B214,$F$2:$F$313,F214)-1,"")</x:f>
        <x:v>-0.04166666666666663</x:v>
      </x:c>
      <x:c r="L214" s="2" t="str">
        <x:v>取得済</x:v>
      </x:c>
      <x:c r="M214" s="2" t="str">
        <x:v>https://www.qsr.mlit.go.jp/n-michi/useful/kotsuryo/shukei/data/tcdata.json</x:v>
      </x:c>
      <x:c r="N214" s="2" t="str">
        <x:v>https://www.qsr.mlit.go.jp/n-michi/useful/kotsuryo/shukei/data/tcmas.json</x:v>
      </x:c>
    </x:row>
    <x:row r="215" ht="21" customHeight="1">
      <x:c r="A215" s="7" t="n">
        <x:v>45901</x:v>
      </x:c>
      <x:c r="B215" s="2" t="str">
        <x:v>9110030</x:v>
      </x:c>
      <x:c r="C215" s="2" t="str">
        <x:v>熊本</x:v>
      </x:c>
      <x:c r="D215" s="2" t="str">
        <x:v>一般国道3号</x:v>
      </x:c>
      <x:c r="E215" s="2" t="str">
        <x:v>熊本市南区南高江</x:v>
      </x:c>
      <x:c r="F215" s="2" t="str">
        <x:v>休日</x:v>
      </x:c>
      <x:c r="G215" s="8" t="n">
        <x:v>37600</x:v>
      </x:c>
      <x:c r="H215" s="8" t="n">
        <x:v>35600</x:v>
      </x:c>
      <x:c r="I215" s="8" t="n">
        <x:v>2000</x:v>
      </x:c>
      <x:c r="J215" s="9" t="n">
        <x:f>IF(AND(ISNUMBER(I215),ISNUMBER(G215),G215&gt;0),I215/G215,"")</x:f>
        <x:v>0.05319148936170213</x:v>
      </x:c>
      <x:c r="K215" s="9" t="n">
        <x:f>IF(AND(ISNUMBER(I215),COUNTIFS($A$2:$A$313,EDATE(A215,-12),$B$2:$B$313,B215,$F$2:$F$313,F215,$I$2:$I$313,"&gt;0")=1),I215/SUMIFS($I$2:$I$313,$A$2:$A$313,EDATE(A215,-12),$B$2:$B$313,B215,$F$2:$F$313,F215)-1,"")</x:f>
        <x:v>0.05263157894736836</x:v>
      </x:c>
      <x:c r="L215" s="2" t="str">
        <x:v>取得済</x:v>
      </x:c>
      <x:c r="M215" s="2" t="str">
        <x:v>https://www.qsr.mlit.go.jp/n-michi/useful/kotsuryo/shukei/data/tcdata.json</x:v>
      </x:c>
      <x:c r="N215" s="2" t="str">
        <x:v>https://www.qsr.mlit.go.jp/n-michi/useful/kotsuryo/shukei/data/tcmas.json</x:v>
      </x:c>
    </x:row>
    <x:row r="216" ht="21" customHeight="1">
      <x:c r="A216" s="7" t="n">
        <x:v>45901</x:v>
      </x:c>
      <x:c r="B216" s="2" t="str">
        <x:v>9110030</x:v>
      </x:c>
      <x:c r="C216" s="2" t="str">
        <x:v>熊本</x:v>
      </x:c>
      <x:c r="D216" s="2" t="str">
        <x:v>一般国道3号</x:v>
      </x:c>
      <x:c r="E216" s="2" t="str">
        <x:v>熊本市南区南高江</x:v>
      </x:c>
      <x:c r="F216" s="2" t="str">
        <x:v>全日</x:v>
      </x:c>
      <x:c r="G216" s="8" t="n">
        <x:v>37900</x:v>
      </x:c>
      <x:c r="H216" s="8" t="n">
        <x:v>34600</x:v>
      </x:c>
      <x:c r="I216" s="8" t="n">
        <x:v>3300</x:v>
      </x:c>
      <x:c r="J216" s="9" t="n">
        <x:f>IF(AND(ISNUMBER(I216),ISNUMBER(G216),G216&gt;0),I216/G216,"")</x:f>
        <x:v>0.0870712401055409</x:v>
      </x:c>
      <x:c r="K216" s="9" t="n">
        <x:f>IF(AND(ISNUMBER(I216),COUNTIFS($A$2:$A$313,EDATE(A216,-12),$B$2:$B$313,B216,$F$2:$F$313,F216,$I$2:$I$313,"&gt;0")=1),I216/SUMIFS($I$2:$I$313,$A$2:$A$313,EDATE(A216,-12),$B$2:$B$313,B216,$F$2:$F$313,F216)-1,"")</x:f>
        <x:v>0.03125</x:v>
      </x:c>
      <x:c r="L216" s="2" t="str">
        <x:v>取得済</x:v>
      </x:c>
      <x:c r="M216" s="2" t="str">
        <x:v>https://www.qsr.mlit.go.jp/n-michi/useful/kotsuryo/shukei/data/tcdata.json</x:v>
      </x:c>
      <x:c r="N216" s="2" t="str">
        <x:v>https://www.qsr.mlit.go.jp/n-michi/useful/kotsuryo/shukei/data/tcmas.json</x:v>
      </x:c>
    </x:row>
    <x:row r="217" ht="21" customHeight="1">
      <x:c r="A217" s="7" t="n">
        <x:v>45901</x:v>
      </x:c>
      <x:c r="B217" s="2" t="str">
        <x:v>9110030</x:v>
      </x:c>
      <x:c r="C217" s="2" t="str">
        <x:v>熊本</x:v>
      </x:c>
      <x:c r="D217" s="2" t="str">
        <x:v>一般国道3号</x:v>
      </x:c>
      <x:c r="E217" s="2" t="str">
        <x:v>熊本市南区南高江</x:v>
      </x:c>
      <x:c r="F217" s="2" t="str">
        <x:v>平日</x:v>
      </x:c>
      <x:c r="G217" s="8" t="n">
        <x:v>38100</x:v>
      </x:c>
      <x:c r="H217" s="8" t="n">
        <x:v>34100</x:v>
      </x:c>
      <x:c r="I217" s="8" t="n">
        <x:v>4000</x:v>
      </x:c>
      <x:c r="J217" s="9" t="n">
        <x:f>IF(AND(ISNUMBER(I217),ISNUMBER(G217),G217&gt;0),I217/G217,"")</x:f>
        <x:v>0.10498687664041995</x:v>
      </x:c>
      <x:c r="K217" s="9" t="n">
        <x:f>IF(AND(ISNUMBER(I217),COUNTIFS($A$2:$A$313,EDATE(A217,-12),$B$2:$B$313,B217,$F$2:$F$313,F217,$I$2:$I$313,"&gt;0")=1),I217/SUMIFS($I$2:$I$313,$A$2:$A$313,EDATE(A217,-12),$B$2:$B$313,B217,$F$2:$F$313,F217)-1,"")</x:f>
        <x:v>0.02564102564102555</x:v>
      </x:c>
      <x:c r="L217" s="2" t="str">
        <x:v>取得済</x:v>
      </x:c>
      <x:c r="M217" s="2" t="str">
        <x:v>https://www.qsr.mlit.go.jp/n-michi/useful/kotsuryo/shukei/data/tcdata.json</x:v>
      </x:c>
      <x:c r="N217" s="2" t="str">
        <x:v>https://www.qsr.mlit.go.jp/n-michi/useful/kotsuryo/shukei/data/tcmas.json</x:v>
      </x:c>
    </x:row>
    <x:row r="218" ht="21" customHeight="1">
      <x:c r="A218" s="7" t="n">
        <x:v>45931</x:v>
      </x:c>
      <x:c r="B218" s="2" t="str">
        <x:v>9110050</x:v>
      </x:c>
      <x:c r="C218" s="2" t="str">
        <x:v>八代</x:v>
      </x:c>
      <x:c r="D218" s="2" t="str">
        <x:v>一般国道3号</x:v>
      </x:c>
      <x:c r="E218" s="2" t="str">
        <x:v>八代市福正元町</x:v>
      </x:c>
      <x:c r="F218" s="2" t="str">
        <x:v>休日</x:v>
      </x:c>
      <x:c r="G218" s="8" t="n">
        <x:v>19700</x:v>
      </x:c>
      <x:c r="H218" s="8" t="n">
        <x:v>18400</x:v>
      </x:c>
      <x:c r="I218" s="8" t="n">
        <x:v>1300</x:v>
      </x:c>
      <x:c r="J218" s="9" t="n">
        <x:f>IF(AND(ISNUMBER(I218),ISNUMBER(G218),G218&gt;0),I218/G218,"")</x:f>
        <x:v>0.06598984771573604</x:v>
      </x:c>
      <x:c r="K218" s="9" t="n">
        <x:f>IF(AND(ISNUMBER(I218),COUNTIFS($A$2:$A$313,EDATE(A218,-12),$B$2:$B$313,B218,$F$2:$F$313,F218,$I$2:$I$313,"&gt;0")=1),I218/SUMIFS($I$2:$I$313,$A$2:$A$313,EDATE(A218,-12),$B$2:$B$313,B218,$F$2:$F$313,F218)-1,"")</x:f>
        <x:v>-0.0714285714285714</x:v>
      </x:c>
      <x:c r="L218" s="2" t="str">
        <x:v>取得済</x:v>
      </x:c>
      <x:c r="M218" s="2" t="str">
        <x:v>https://www.qsr.mlit.go.jp/n-michi/useful/kotsuryo/shukei/data/tcdata.json</x:v>
      </x:c>
      <x:c r="N218" s="2" t="str">
        <x:v>https://www.qsr.mlit.go.jp/n-michi/useful/kotsuryo/shukei/data/tcmas.json</x:v>
      </x:c>
    </x:row>
    <x:row r="219" ht="21" customHeight="1">
      <x:c r="A219" s="7" t="n">
        <x:v>45931</x:v>
      </x:c>
      <x:c r="B219" s="2" t="str">
        <x:v>9110050</x:v>
      </x:c>
      <x:c r="C219" s="2" t="str">
        <x:v>八代</x:v>
      </x:c>
      <x:c r="D219" s="2" t="str">
        <x:v>一般国道3号</x:v>
      </x:c>
      <x:c r="E219" s="2" t="str">
        <x:v>八代市福正元町</x:v>
      </x:c>
      <x:c r="F219" s="2" t="str">
        <x:v>全日</x:v>
      </x:c>
      <x:c r="G219" s="8" t="n">
        <x:v>21300</x:v>
      </x:c>
      <x:c r="H219" s="8" t="n">
        <x:v>18700</x:v>
      </x:c>
      <x:c r="I219" s="8" t="n">
        <x:v>2600</x:v>
      </x:c>
      <x:c r="J219" s="9" t="n">
        <x:f>IF(AND(ISNUMBER(I219),ISNUMBER(G219),G219&gt;0),I219/G219,"")</x:f>
        <x:v>0.12206572769953052</x:v>
      </x:c>
      <x:c r="K219" s="9" t="n">
        <x:f>IF(AND(ISNUMBER(I219),COUNTIFS($A$2:$A$313,EDATE(A219,-12),$B$2:$B$313,B219,$F$2:$F$313,F219,$I$2:$I$313,"&gt;0")=1),I219/SUMIFS($I$2:$I$313,$A$2:$A$313,EDATE(A219,-12),$B$2:$B$313,B219,$F$2:$F$313,F219)-1,"")</x:f>
        <x:v>0</x:v>
      </x:c>
      <x:c r="L219" s="2" t="str">
        <x:v>取得済</x:v>
      </x:c>
      <x:c r="M219" s="2" t="str">
        <x:v>https://www.qsr.mlit.go.jp/n-michi/useful/kotsuryo/shukei/data/tcdata.json</x:v>
      </x:c>
      <x:c r="N219" s="2" t="str">
        <x:v>https://www.qsr.mlit.go.jp/n-michi/useful/kotsuryo/shukei/data/tcmas.json</x:v>
      </x:c>
    </x:row>
    <x:row r="220" ht="21" customHeight="1">
      <x:c r="A220" s="7" t="n">
        <x:v>45931</x:v>
      </x:c>
      <x:c r="B220" s="2" t="str">
        <x:v>9110050</x:v>
      </x:c>
      <x:c r="C220" s="2" t="str">
        <x:v>八代</x:v>
      </x:c>
      <x:c r="D220" s="2" t="str">
        <x:v>一般国道3号</x:v>
      </x:c>
      <x:c r="E220" s="2" t="str">
        <x:v>八代市福正元町</x:v>
      </x:c>
      <x:c r="F220" s="2" t="str">
        <x:v>平日</x:v>
      </x:c>
      <x:c r="G220" s="8" t="n">
        <x:v>21900</x:v>
      </x:c>
      <x:c r="H220" s="8" t="n">
        <x:v>18800</x:v>
      </x:c>
      <x:c r="I220" s="8" t="n">
        <x:v>3100</x:v>
      </x:c>
      <x:c r="J220" s="9" t="n">
        <x:f>IF(AND(ISNUMBER(I220),ISNUMBER(G220),G220&gt;0),I220/G220,"")</x:f>
        <x:v>0.1415525114155251</x:v>
      </x:c>
      <x:c r="K220" s="9" t="n">
        <x:f>IF(AND(ISNUMBER(I220),COUNTIFS($A$2:$A$313,EDATE(A220,-12),$B$2:$B$313,B220,$F$2:$F$313,F220,$I$2:$I$313,"&gt;0")=1),I220/SUMIFS($I$2:$I$313,$A$2:$A$313,EDATE(A220,-12),$B$2:$B$313,B220,$F$2:$F$313,F220)-1,"")</x:f>
        <x:v>0</x:v>
      </x:c>
      <x:c r="L220" s="2" t="str">
        <x:v>取得済</x:v>
      </x:c>
      <x:c r="M220" s="2" t="str">
        <x:v>https://www.qsr.mlit.go.jp/n-michi/useful/kotsuryo/shukei/data/tcdata.json</x:v>
      </x:c>
      <x:c r="N220" s="2" t="str">
        <x:v>https://www.qsr.mlit.go.jp/n-michi/useful/kotsuryo/shukei/data/tcmas.json</x:v>
      </x:c>
    </x:row>
    <x:row r="221" ht="21" customHeight="1">
      <x:c r="A221" s="7" t="n">
        <x:v>45931</x:v>
      </x:c>
      <x:c r="B221" s="2" t="str">
        <x:v>9310130</x:v>
      </x:c>
      <x:c r="C221" s="2" t="str">
        <x:v>大津</x:v>
      </x:c>
      <x:c r="D221" s="2" t="str">
        <x:v>一般国道57号</x:v>
      </x:c>
      <x:c r="E221" s="2" t="str">
        <x:v>菊池郡大津町室</x:v>
      </x:c>
      <x:c r="F221" s="2" t="str">
        <x:v>休日</x:v>
      </x:c>
      <x:c r="G221" s="8" t="n">
        <x:v>31300</x:v>
      </x:c>
      <x:c r="H221" s="8" t="n">
        <x:v>30000</x:v>
      </x:c>
      <x:c r="I221" s="8" t="n">
        <x:v>1300</x:v>
      </x:c>
      <x:c r="J221" s="9" t="n">
        <x:f>IF(AND(ISNUMBER(I221),ISNUMBER(G221),G221&gt;0),I221/G221,"")</x:f>
        <x:v>0.04153354632587859</x:v>
      </x:c>
      <x:c r="K221" s="9" t="n">
        <x:f>IF(AND(ISNUMBER(I221),COUNTIFS($A$2:$A$313,EDATE(A221,-12),$B$2:$B$313,B221,$F$2:$F$313,F221,$I$2:$I$313,"&gt;0")=1),I221/SUMIFS($I$2:$I$313,$A$2:$A$313,EDATE(A221,-12),$B$2:$B$313,B221,$F$2:$F$313,F221)-1,"")</x:f>
        <x:v>0</x:v>
      </x:c>
      <x:c r="L221" s="2" t="str">
        <x:v>取得済</x:v>
      </x:c>
      <x:c r="M221" s="2" t="str">
        <x:v>https://www.qsr.mlit.go.jp/n-michi/useful/kotsuryo/shukei/data/tcdata.json</x:v>
      </x:c>
      <x:c r="N221" s="2" t="str">
        <x:v>https://www.qsr.mlit.go.jp/n-michi/useful/kotsuryo/shukei/data/tcmas.json</x:v>
      </x:c>
    </x:row>
    <x:row r="222" ht="21" customHeight="1">
      <x:c r="A222" s="7" t="n">
        <x:v>45931</x:v>
      </x:c>
      <x:c r="B222" s="2" t="str">
        <x:v>9310130</x:v>
      </x:c>
      <x:c r="C222" s="2" t="str">
        <x:v>大津</x:v>
      </x:c>
      <x:c r="D222" s="2" t="str">
        <x:v>一般国道57号</x:v>
      </x:c>
      <x:c r="E222" s="2" t="str">
        <x:v>菊池郡大津町室</x:v>
      </x:c>
      <x:c r="F222" s="2" t="str">
        <x:v>全日</x:v>
      </x:c>
      <x:c r="G222" s="8" t="n">
        <x:v>30000</x:v>
      </x:c>
      <x:c r="H222" s="8" t="n">
        <x:v>27900</x:v>
      </x:c>
      <x:c r="I222" s="8" t="n">
        <x:v>2100</x:v>
      </x:c>
      <x:c r="J222" s="9" t="n">
        <x:f>IF(AND(ISNUMBER(I222),ISNUMBER(G222),G222&gt;0),I222/G222,"")</x:f>
        <x:v>0.07</x:v>
      </x:c>
      <x:c r="K222" s="9" t="n">
        <x:f>IF(AND(ISNUMBER(I222),COUNTIFS($A$2:$A$313,EDATE(A222,-12),$B$2:$B$313,B222,$F$2:$F$313,F222,$I$2:$I$313,"&gt;0")=1),I222/SUMIFS($I$2:$I$313,$A$2:$A$313,EDATE(A222,-12),$B$2:$B$313,B222,$F$2:$F$313,F222)-1,"")</x:f>
        <x:v>0</x:v>
      </x:c>
      <x:c r="L222" s="2" t="str">
        <x:v>取得済</x:v>
      </x:c>
      <x:c r="M222" s="2" t="str">
        <x:v>https://www.qsr.mlit.go.jp/n-michi/useful/kotsuryo/shukei/data/tcdata.json</x:v>
      </x:c>
      <x:c r="N222" s="2" t="str">
        <x:v>https://www.qsr.mlit.go.jp/n-michi/useful/kotsuryo/shukei/data/tcmas.json</x:v>
      </x:c>
    </x:row>
    <x:row r="223" ht="21" customHeight="1">
      <x:c r="A223" s="7" t="n">
        <x:v>45931</x:v>
      </x:c>
      <x:c r="B223" s="2" t="str">
        <x:v>9310130</x:v>
      </x:c>
      <x:c r="C223" s="2" t="str">
        <x:v>大津</x:v>
      </x:c>
      <x:c r="D223" s="2" t="str">
        <x:v>一般国道57号</x:v>
      </x:c>
      <x:c r="E223" s="2" t="str">
        <x:v>菊池郡大津町室</x:v>
      </x:c>
      <x:c r="F223" s="2" t="str">
        <x:v>平日</x:v>
      </x:c>
      <x:c r="G223" s="8" t="n">
        <x:v>29500</x:v>
      </x:c>
      <x:c r="H223" s="8" t="n">
        <x:v>27100</x:v>
      </x:c>
      <x:c r="I223" s="8" t="n">
        <x:v>2400</x:v>
      </x:c>
      <x:c r="J223" s="9" t="n">
        <x:f>IF(AND(ISNUMBER(I223),ISNUMBER(G223),G223&gt;0),I223/G223,"")</x:f>
        <x:v>0.08135593220338982</x:v>
      </x:c>
      <x:c r="K223" s="9" t="n">
        <x:f>IF(AND(ISNUMBER(I223),COUNTIFS($A$2:$A$313,EDATE(A223,-12),$B$2:$B$313,B223,$F$2:$F$313,F223,$I$2:$I$313,"&gt;0")=1),I223/SUMIFS($I$2:$I$313,$A$2:$A$313,EDATE(A223,-12),$B$2:$B$313,B223,$F$2:$F$313,F223)-1,"")</x:f>
        <x:v>0</x:v>
      </x:c>
      <x:c r="L223" s="2" t="str">
        <x:v>取得済</x:v>
      </x:c>
      <x:c r="M223" s="2" t="str">
        <x:v>https://www.qsr.mlit.go.jp/n-michi/useful/kotsuryo/shukei/data/tcdata.json</x:v>
      </x:c>
      <x:c r="N223" s="2" t="str">
        <x:v>https://www.qsr.mlit.go.jp/n-michi/useful/kotsuryo/shukei/data/tcmas.json</x:v>
      </x:c>
    </x:row>
    <x:row r="224" ht="21" customHeight="1">
      <x:c r="A224" s="7" t="n">
        <x:v>45931</x:v>
      </x:c>
      <x:c r="B224" s="2" t="str">
        <x:v>9310140</x:v>
      </x:c>
      <x:c r="C224" s="2" t="str">
        <x:v>新南部</x:v>
      </x:c>
      <x:c r="D224" s="2" t="str">
        <x:v>一般国道57号</x:v>
      </x:c>
      <x:c r="E224" s="2" t="str">
        <x:v>熊本市東区下南部</x:v>
      </x:c>
      <x:c r="F224" s="2" t="str">
        <x:v>休日</x:v>
      </x:c>
      <x:c r="G224" s="8" t="n">
        <x:v>43400</x:v>
      </x:c>
      <x:c r="H224" s="8" t="n">
        <x:v>40800</x:v>
      </x:c>
      <x:c r="I224" s="8" t="n">
        <x:v>2600</x:v>
      </x:c>
      <x:c r="J224" s="9" t="n">
        <x:f>IF(AND(ISNUMBER(I224),ISNUMBER(G224),G224&gt;0),I224/G224,"")</x:f>
        <x:v>0.059907834101382486</x:v>
      </x:c>
      <x:c r="K224" s="9" t="n">
        <x:f>IF(AND(ISNUMBER(I224),COUNTIFS($A$2:$A$313,EDATE(A224,-12),$B$2:$B$313,B224,$F$2:$F$313,F224,$I$2:$I$313,"&gt;0")=1),I224/SUMIFS($I$2:$I$313,$A$2:$A$313,EDATE(A224,-12),$B$2:$B$313,B224,$F$2:$F$313,F224)-1,"")</x:f>
        <x:v>0</x:v>
      </x:c>
      <x:c r="L224" s="2" t="str">
        <x:v>取得済</x:v>
      </x:c>
      <x:c r="M224" s="2" t="str">
        <x:v>https://www.qsr.mlit.go.jp/n-michi/useful/kotsuryo/shukei/data/tcdata.json</x:v>
      </x:c>
      <x:c r="N224" s="2" t="str">
        <x:v>https://www.qsr.mlit.go.jp/n-michi/useful/kotsuryo/shukei/data/tcmas.json</x:v>
      </x:c>
    </x:row>
    <x:row r="225" ht="21" customHeight="1">
      <x:c r="A225" s="7" t="n">
        <x:v>45931</x:v>
      </x:c>
      <x:c r="B225" s="2" t="str">
        <x:v>9310140</x:v>
      </x:c>
      <x:c r="C225" s="2" t="str">
        <x:v>新南部</x:v>
      </x:c>
      <x:c r="D225" s="2" t="str">
        <x:v>一般国道57号</x:v>
      </x:c>
      <x:c r="E225" s="2" t="str">
        <x:v>熊本市東区下南部</x:v>
      </x:c>
      <x:c r="F225" s="2" t="str">
        <x:v>全日</x:v>
      </x:c>
      <x:c r="G225" s="8" t="n">
        <x:v>44300</x:v>
      </x:c>
      <x:c r="H225" s="8" t="n">
        <x:v>40200</x:v>
      </x:c>
      <x:c r="I225" s="8" t="n">
        <x:v>4100</x:v>
      </x:c>
      <x:c r="J225" s="9" t="n">
        <x:f>IF(AND(ISNUMBER(I225),ISNUMBER(G225),G225&gt;0),I225/G225,"")</x:f>
        <x:v>0.09255079006772009</x:v>
      </x:c>
      <x:c r="K225" s="9" t="n">
        <x:f>IF(AND(ISNUMBER(I225),COUNTIFS($A$2:$A$313,EDATE(A225,-12),$B$2:$B$313,B225,$F$2:$F$313,F225,$I$2:$I$313,"&gt;0")=1),I225/SUMIFS($I$2:$I$313,$A$2:$A$313,EDATE(A225,-12),$B$2:$B$313,B225,$F$2:$F$313,F225)-1,"")</x:f>
        <x:v>0</x:v>
      </x:c>
      <x:c r="L225" s="2" t="str">
        <x:v>取得済</x:v>
      </x:c>
      <x:c r="M225" s="2" t="str">
        <x:v>https://www.qsr.mlit.go.jp/n-michi/useful/kotsuryo/shukei/data/tcdata.json</x:v>
      </x:c>
      <x:c r="N225" s="2" t="str">
        <x:v>https://www.qsr.mlit.go.jp/n-michi/useful/kotsuryo/shukei/data/tcmas.json</x:v>
      </x:c>
    </x:row>
    <x:row r="226" ht="21" customHeight="1">
      <x:c r="A226" s="7" t="n">
        <x:v>45931</x:v>
      </x:c>
      <x:c r="B226" s="2" t="str">
        <x:v>9310140</x:v>
      </x:c>
      <x:c r="C226" s="2" t="str">
        <x:v>新南部</x:v>
      </x:c>
      <x:c r="D226" s="2" t="str">
        <x:v>一般国道57号</x:v>
      </x:c>
      <x:c r="E226" s="2" t="str">
        <x:v>熊本市東区下南部</x:v>
      </x:c>
      <x:c r="F226" s="2" t="str">
        <x:v>平日</x:v>
      </x:c>
      <x:c r="G226" s="8" t="n">
        <x:v>44700</x:v>
      </x:c>
      <x:c r="H226" s="8" t="n">
        <x:v>40000</x:v>
      </x:c>
      <x:c r="I226" s="8" t="n">
        <x:v>4700</x:v>
      </x:c>
      <x:c r="J226" s="9" t="n">
        <x:f>IF(AND(ISNUMBER(I226),ISNUMBER(G226),G226&gt;0),I226/G226,"")</x:f>
        <x:v>0.10514541387024609</x:v>
      </x:c>
      <x:c r="K226" s="9" t="n">
        <x:f>IF(AND(ISNUMBER(I226),COUNTIFS($A$2:$A$313,EDATE(A226,-12),$B$2:$B$313,B226,$F$2:$F$313,F226,$I$2:$I$313,"&gt;0")=1),I226/SUMIFS($I$2:$I$313,$A$2:$A$313,EDATE(A226,-12),$B$2:$B$313,B226,$F$2:$F$313,F226)-1,"")</x:f>
        <x:v>-0.02083333333333337</x:v>
      </x:c>
      <x:c r="L226" s="2" t="str">
        <x:v>取得済</x:v>
      </x:c>
      <x:c r="M226" s="2" t="str">
        <x:v>https://www.qsr.mlit.go.jp/n-michi/useful/kotsuryo/shukei/data/tcdata.json</x:v>
      </x:c>
      <x:c r="N226" s="2" t="str">
        <x:v>https://www.qsr.mlit.go.jp/n-michi/useful/kotsuryo/shukei/data/tcmas.json</x:v>
      </x:c>
    </x:row>
    <x:row r="227" ht="21" customHeight="1">
      <x:c r="A227" s="7" t="n">
        <x:v>45931</x:v>
      </x:c>
      <x:c r="B227" s="2" t="str">
        <x:v>9110030</x:v>
      </x:c>
      <x:c r="C227" s="2" t="str">
        <x:v>熊本</x:v>
      </x:c>
      <x:c r="D227" s="2" t="str">
        <x:v>一般国道3号</x:v>
      </x:c>
      <x:c r="E227" s="2" t="str">
        <x:v>熊本市南区南高江</x:v>
      </x:c>
      <x:c r="F227" s="2" t="str">
        <x:v>休日</x:v>
      </x:c>
      <x:c r="G227" s="8" t="n">
        <x:v>37500</x:v>
      </x:c>
      <x:c r="H227" s="8" t="n">
        <x:v>35600</x:v>
      </x:c>
      <x:c r="I227" s="8" t="n">
        <x:v>1900</x:v>
      </x:c>
      <x:c r="J227" s="9" t="n">
        <x:f>IF(AND(ISNUMBER(I227),ISNUMBER(G227),G227&gt;0),I227/G227,"")</x:f>
        <x:v>0.050666666666666665</x:v>
      </x:c>
      <x:c r="K227" s="9" t="n">
        <x:f>IF(AND(ISNUMBER(I227),COUNTIFS($A$2:$A$313,EDATE(A227,-12),$B$2:$B$313,B227,$F$2:$F$313,F227,$I$2:$I$313,"&gt;0")=1),I227/SUMIFS($I$2:$I$313,$A$2:$A$313,EDATE(A227,-12),$B$2:$B$313,B227,$F$2:$F$313,F227)-1,"")</x:f>
        <x:v>0</x:v>
      </x:c>
      <x:c r="L227" s="2" t="str">
        <x:v>取得済</x:v>
      </x:c>
      <x:c r="M227" s="2" t="str">
        <x:v>https://www.qsr.mlit.go.jp/n-michi/useful/kotsuryo/shukei/data/tcdata.json</x:v>
      </x:c>
      <x:c r="N227" s="2" t="str">
        <x:v>https://www.qsr.mlit.go.jp/n-michi/useful/kotsuryo/shukei/data/tcmas.json</x:v>
      </x:c>
    </x:row>
    <x:row r="228" ht="21" customHeight="1">
      <x:c r="A228" s="7" t="n">
        <x:v>45931</x:v>
      </x:c>
      <x:c r="B228" s="2" t="str">
        <x:v>9110030</x:v>
      </x:c>
      <x:c r="C228" s="2" t="str">
        <x:v>熊本</x:v>
      </x:c>
      <x:c r="D228" s="2" t="str">
        <x:v>一般国道3号</x:v>
      </x:c>
      <x:c r="E228" s="2" t="str">
        <x:v>熊本市南区南高江</x:v>
      </x:c>
      <x:c r="F228" s="2" t="str">
        <x:v>全日</x:v>
      </x:c>
      <x:c r="G228" s="8" t="n">
        <x:v>36300</x:v>
      </x:c>
      <x:c r="H228" s="8" t="n">
        <x:v>33000</x:v>
      </x:c>
      <x:c r="I228" s="8" t="n">
        <x:v>3300</x:v>
      </x:c>
      <x:c r="J228" s="9" t="n">
        <x:f>IF(AND(ISNUMBER(I228),ISNUMBER(G228),G228&gt;0),I228/G228,"")</x:f>
        <x:v>0.09090909090909091</x:v>
      </x:c>
      <x:c r="K228" s="9" t="n">
        <x:f>IF(AND(ISNUMBER(I228),COUNTIFS($A$2:$A$313,EDATE(A228,-12),$B$2:$B$313,B228,$F$2:$F$313,F228,$I$2:$I$313,"&gt;0")=1),I228/SUMIFS($I$2:$I$313,$A$2:$A$313,EDATE(A228,-12),$B$2:$B$313,B228,$F$2:$F$313,F228)-1,"")</x:f>
        <x:v>0.03125</x:v>
      </x:c>
      <x:c r="L228" s="2" t="str">
        <x:v>取得済</x:v>
      </x:c>
      <x:c r="M228" s="2" t="str">
        <x:v>https://www.qsr.mlit.go.jp/n-michi/useful/kotsuryo/shukei/data/tcdata.json</x:v>
      </x:c>
      <x:c r="N228" s="2" t="str">
        <x:v>https://www.qsr.mlit.go.jp/n-michi/useful/kotsuryo/shukei/data/tcmas.json</x:v>
      </x:c>
    </x:row>
    <x:row r="229" ht="21" customHeight="1">
      <x:c r="A229" s="7" t="n">
        <x:v>45931</x:v>
      </x:c>
      <x:c r="B229" s="2" t="str">
        <x:v>9110030</x:v>
      </x:c>
      <x:c r="C229" s="2" t="str">
        <x:v>熊本</x:v>
      </x:c>
      <x:c r="D229" s="2" t="str">
        <x:v>一般国道3号</x:v>
      </x:c>
      <x:c r="E229" s="2" t="str">
        <x:v>熊本市南区南高江</x:v>
      </x:c>
      <x:c r="F229" s="2" t="str">
        <x:v>平日</x:v>
      </x:c>
      <x:c r="G229" s="8" t="n">
        <x:v>35800</x:v>
      </x:c>
      <x:c r="H229" s="8" t="n">
        <x:v>32000</x:v>
      </x:c>
      <x:c r="I229" s="8" t="n">
        <x:v>3800</x:v>
      </x:c>
      <x:c r="J229" s="9" t="n">
        <x:f>IF(AND(ISNUMBER(I229),ISNUMBER(G229),G229&gt;0),I229/G229,"")</x:f>
        <x:v>0.10614525139664804</x:v>
      </x:c>
      <x:c r="K229" s="9" t="n">
        <x:f>IF(AND(ISNUMBER(I229),COUNTIFS($A$2:$A$313,EDATE(A229,-12),$B$2:$B$313,B229,$F$2:$F$313,F229,$I$2:$I$313,"&gt;0")=1),I229/SUMIFS($I$2:$I$313,$A$2:$A$313,EDATE(A229,-12),$B$2:$B$313,B229,$F$2:$F$313,F229)-1,"")</x:f>
        <x:v>0</x:v>
      </x:c>
      <x:c r="L229" s="2" t="str">
        <x:v>取得済</x:v>
      </x:c>
      <x:c r="M229" s="2" t="str">
        <x:v>https://www.qsr.mlit.go.jp/n-michi/useful/kotsuryo/shukei/data/tcdata.json</x:v>
      </x:c>
      <x:c r="N229" s="2" t="str">
        <x:v>https://www.qsr.mlit.go.jp/n-michi/useful/kotsuryo/shukei/data/tcmas.json</x:v>
      </x:c>
    </x:row>
    <x:row r="230" ht="21" customHeight="1">
      <x:c r="A230" s="7" t="n">
        <x:v>45962</x:v>
      </x:c>
      <x:c r="B230" s="2" t="str">
        <x:v>9110050</x:v>
      </x:c>
      <x:c r="C230" s="2" t="str">
        <x:v>八代</x:v>
      </x:c>
      <x:c r="D230" s="2" t="str">
        <x:v>一般国道3号</x:v>
      </x:c>
      <x:c r="E230" s="2" t="str">
        <x:v>八代市福正元町</x:v>
      </x:c>
      <x:c r="F230" s="2" t="str">
        <x:v>休日</x:v>
      </x:c>
      <x:c r="G230" s="8" t="n">
        <x:v>19700</x:v>
      </x:c>
      <x:c r="H230" s="8" t="n">
        <x:v>18200</x:v>
      </x:c>
      <x:c r="I230" s="8" t="n">
        <x:v>1500</x:v>
      </x:c>
      <x:c r="J230" s="9" t="n">
        <x:f>IF(AND(ISNUMBER(I230),ISNUMBER(G230),G230&gt;0),I230/G230,"")</x:f>
        <x:v>0.07614213197969544</x:v>
      </x:c>
      <x:c r="K230" s="9" t="n">
        <x:f>IF(AND(ISNUMBER(I230),COUNTIFS($A$2:$A$313,EDATE(A230,-12),$B$2:$B$313,B230,$F$2:$F$313,F230,$I$2:$I$313,"&gt;0")=1),I230/SUMIFS($I$2:$I$313,$A$2:$A$313,EDATE(A230,-12),$B$2:$B$313,B230,$F$2:$F$313,F230)-1,"")</x:f>
        <x:v>-0.0625</x:v>
      </x:c>
      <x:c r="L230" s="2" t="str">
        <x:v>取得済</x:v>
      </x:c>
      <x:c r="M230" s="2" t="str">
        <x:v>https://www.qsr.mlit.go.jp/n-michi/useful/kotsuryo/shukei/data/tcdata.json</x:v>
      </x:c>
      <x:c r="N230" s="2" t="str">
        <x:v>https://www.qsr.mlit.go.jp/n-michi/useful/kotsuryo/shukei/data/tcmas.json</x:v>
      </x:c>
    </x:row>
    <x:row r="231" ht="21" customHeight="1">
      <x:c r="A231" s="7" t="n">
        <x:v>45962</x:v>
      </x:c>
      <x:c r="B231" s="2" t="str">
        <x:v>9110050</x:v>
      </x:c>
      <x:c r="C231" s="2" t="str">
        <x:v>八代</x:v>
      </x:c>
      <x:c r="D231" s="2" t="str">
        <x:v>一般国道3号</x:v>
      </x:c>
      <x:c r="E231" s="2" t="str">
        <x:v>八代市福正元町</x:v>
      </x:c>
      <x:c r="F231" s="2" t="str">
        <x:v>全日</x:v>
      </x:c>
      <x:c r="G231" s="8" t="n">
        <x:v>21100</x:v>
      </x:c>
      <x:c r="H231" s="8" t="n">
        <x:v>18500</x:v>
      </x:c>
      <x:c r="I231" s="8" t="n">
        <x:v>2600</x:v>
      </x:c>
      <x:c r="J231" s="9" t="n">
        <x:f>IF(AND(ISNUMBER(I231),ISNUMBER(G231),G231&gt;0),I231/G231,"")</x:f>
        <x:v>0.12322274881516587</x:v>
      </x:c>
      <x:c r="K231" s="9" t="n">
        <x:f>IF(AND(ISNUMBER(I231),COUNTIFS($A$2:$A$313,EDATE(A231,-12),$B$2:$B$313,B231,$F$2:$F$313,F231,$I$2:$I$313,"&gt;0")=1),I231/SUMIFS($I$2:$I$313,$A$2:$A$313,EDATE(A231,-12),$B$2:$B$313,B231,$F$2:$F$313,F231)-1,"")</x:f>
        <x:v>-0.0714285714285714</x:v>
      </x:c>
      <x:c r="L231" s="2" t="str">
        <x:v>取得済</x:v>
      </x:c>
      <x:c r="M231" s="2" t="str">
        <x:v>https://www.qsr.mlit.go.jp/n-michi/useful/kotsuryo/shukei/data/tcdata.json</x:v>
      </x:c>
      <x:c r="N231" s="2" t="str">
        <x:v>https://www.qsr.mlit.go.jp/n-michi/useful/kotsuryo/shukei/data/tcmas.json</x:v>
      </x:c>
    </x:row>
    <x:row r="232" ht="21" customHeight="1">
      <x:c r="A232" s="7" t="n">
        <x:v>45962</x:v>
      </x:c>
      <x:c r="B232" s="2" t="str">
        <x:v>9110050</x:v>
      </x:c>
      <x:c r="C232" s="2" t="str">
        <x:v>八代</x:v>
      </x:c>
      <x:c r="D232" s="2" t="str">
        <x:v>一般国道3号</x:v>
      </x:c>
      <x:c r="E232" s="2" t="str">
        <x:v>八代市福正元町</x:v>
      </x:c>
      <x:c r="F232" s="2" t="str">
        <x:v>平日</x:v>
      </x:c>
      <x:c r="G232" s="8" t="n">
        <x:v>22000</x:v>
      </x:c>
      <x:c r="H232" s="8" t="n">
        <x:v>18700</x:v>
      </x:c>
      <x:c r="I232" s="8" t="n">
        <x:v>3300</x:v>
      </x:c>
      <x:c r="J232" s="9" t="n">
        <x:f>IF(AND(ISNUMBER(I232),ISNUMBER(G232),G232&gt;0),I232/G232,"")</x:f>
        <x:v>0.15</x:v>
      </x:c>
      <x:c r="K232" s="9" t="n">
        <x:f>IF(AND(ISNUMBER(I232),COUNTIFS($A$2:$A$313,EDATE(A232,-12),$B$2:$B$313,B232,$F$2:$F$313,F232,$I$2:$I$313,"&gt;0")=1),I232/SUMIFS($I$2:$I$313,$A$2:$A$313,EDATE(A232,-12),$B$2:$B$313,B232,$F$2:$F$313,F232)-1,"")</x:f>
        <x:v>-0.02941176470588236</x:v>
      </x:c>
      <x:c r="L232" s="2" t="str">
        <x:v>取得済</x:v>
      </x:c>
      <x:c r="M232" s="2" t="str">
        <x:v>https://www.qsr.mlit.go.jp/n-michi/useful/kotsuryo/shukei/data/tcdata.json</x:v>
      </x:c>
      <x:c r="N232" s="2" t="str">
        <x:v>https://www.qsr.mlit.go.jp/n-michi/useful/kotsuryo/shukei/data/tcmas.json</x:v>
      </x:c>
    </x:row>
    <x:row r="233" ht="21" customHeight="1">
      <x:c r="A233" s="7" t="n">
        <x:v>45962</x:v>
      </x:c>
      <x:c r="B233" s="2" t="str">
        <x:v>9310130</x:v>
      </x:c>
      <x:c r="C233" s="2" t="str">
        <x:v>大津</x:v>
      </x:c>
      <x:c r="D233" s="2" t="str">
        <x:v>一般国道57号</x:v>
      </x:c>
      <x:c r="E233" s="2" t="str">
        <x:v>菊池郡大津町室</x:v>
      </x:c>
      <x:c r="F233" s="2" t="str">
        <x:v>休日</x:v>
      </x:c>
      <x:c r="G233" s="8" t="n">
        <x:v>30300</x:v>
      </x:c>
      <x:c r="H233" s="8" t="n">
        <x:v>28900</x:v>
      </x:c>
      <x:c r="I233" s="8" t="n">
        <x:v>1400</x:v>
      </x:c>
      <x:c r="J233" s="9" t="n">
        <x:f>IF(AND(ISNUMBER(I233),ISNUMBER(G233),G233&gt;0),I233/G233,"")</x:f>
        <x:v>0.0462046204620462</x:v>
      </x:c>
      <x:c r="K233" s="9" t="n">
        <x:f>IF(AND(ISNUMBER(I233),COUNTIFS($A$2:$A$313,EDATE(A233,-12),$B$2:$B$313,B233,$F$2:$F$313,F233,$I$2:$I$313,"&gt;0")=1),I233/SUMIFS($I$2:$I$313,$A$2:$A$313,EDATE(A233,-12),$B$2:$B$313,B233,$F$2:$F$313,F233)-1,"")</x:f>
        <x:v>0</x:v>
      </x:c>
      <x:c r="L233" s="2" t="str">
        <x:v>取得済</x:v>
      </x:c>
      <x:c r="M233" s="2" t="str">
        <x:v>https://www.qsr.mlit.go.jp/n-michi/useful/kotsuryo/shukei/data/tcdata.json</x:v>
      </x:c>
      <x:c r="N233" s="2" t="str">
        <x:v>https://www.qsr.mlit.go.jp/n-michi/useful/kotsuryo/shukei/data/tcmas.json</x:v>
      </x:c>
    </x:row>
    <x:row r="234" ht="21" customHeight="1">
      <x:c r="A234" s="7" t="n">
        <x:v>45962</x:v>
      </x:c>
      <x:c r="B234" s="2" t="str">
        <x:v>9310130</x:v>
      </x:c>
      <x:c r="C234" s="2" t="str">
        <x:v>大津</x:v>
      </x:c>
      <x:c r="D234" s="2" t="str">
        <x:v>一般国道57号</x:v>
      </x:c>
      <x:c r="E234" s="2" t="str">
        <x:v>菊池郡大津町室</x:v>
      </x:c>
      <x:c r="F234" s="2" t="str">
        <x:v>全日</x:v>
      </x:c>
      <x:c r="G234" s="8" t="n">
        <x:v>29600</x:v>
      </x:c>
      <x:c r="H234" s="8" t="n">
        <x:v>27500</x:v>
      </x:c>
      <x:c r="I234" s="8" t="n">
        <x:v>2100</x:v>
      </x:c>
      <x:c r="J234" s="9" t="n">
        <x:f>IF(AND(ISNUMBER(I234),ISNUMBER(G234),G234&gt;0),I234/G234,"")</x:f>
        <x:v>0.07094594594594594</x:v>
      </x:c>
      <x:c r="K234" s="9" t="n">
        <x:f>IF(AND(ISNUMBER(I234),COUNTIFS($A$2:$A$313,EDATE(A234,-12),$B$2:$B$313,B234,$F$2:$F$313,F234,$I$2:$I$313,"&gt;0")=1),I234/SUMIFS($I$2:$I$313,$A$2:$A$313,EDATE(A234,-12),$B$2:$B$313,B234,$F$2:$F$313,F234)-1,"")</x:f>
        <x:v>-0.045454545454545414</x:v>
      </x:c>
      <x:c r="L234" s="2" t="str">
        <x:v>取得済</x:v>
      </x:c>
      <x:c r="M234" s="2" t="str">
        <x:v>https://www.qsr.mlit.go.jp/n-michi/useful/kotsuryo/shukei/data/tcdata.json</x:v>
      </x:c>
      <x:c r="N234" s="2" t="str">
        <x:v>https://www.qsr.mlit.go.jp/n-michi/useful/kotsuryo/shukei/data/tcmas.json</x:v>
      </x:c>
    </x:row>
    <x:row r="235" ht="21" customHeight="1">
      <x:c r="A235" s="7" t="n">
        <x:v>45962</x:v>
      </x:c>
      <x:c r="B235" s="2" t="str">
        <x:v>9310130</x:v>
      </x:c>
      <x:c r="C235" s="2" t="str">
        <x:v>大津</x:v>
      </x:c>
      <x:c r="D235" s="2" t="str">
        <x:v>一般国道57号</x:v>
      </x:c>
      <x:c r="E235" s="2" t="str">
        <x:v>菊池郡大津町室</x:v>
      </x:c>
      <x:c r="F235" s="2" t="str">
        <x:v>平日</x:v>
      </x:c>
      <x:c r="G235" s="8" t="n">
        <x:v>29100</x:v>
      </x:c>
      <x:c r="H235" s="8" t="n">
        <x:v>26600</x:v>
      </x:c>
      <x:c r="I235" s="8" t="n">
        <x:v>2500</x:v>
      </x:c>
      <x:c r="J235" s="9" t="n">
        <x:f>IF(AND(ISNUMBER(I235),ISNUMBER(G235),G235&gt;0),I235/G235,"")</x:f>
        <x:v>0.0859106529209622</x:v>
      </x:c>
      <x:c r="K235" s="9" t="n">
        <x:f>IF(AND(ISNUMBER(I235),COUNTIFS($A$2:$A$313,EDATE(A235,-12),$B$2:$B$313,B235,$F$2:$F$313,F235,$I$2:$I$313,"&gt;0")=1),I235/SUMIFS($I$2:$I$313,$A$2:$A$313,EDATE(A235,-12),$B$2:$B$313,B235,$F$2:$F$313,F235)-1,"")</x:f>
        <x:v>-0.038461538461538436</x:v>
      </x:c>
      <x:c r="L235" s="2" t="str">
        <x:v>取得済</x:v>
      </x:c>
      <x:c r="M235" s="2" t="str">
        <x:v>https://www.qsr.mlit.go.jp/n-michi/useful/kotsuryo/shukei/data/tcdata.json</x:v>
      </x:c>
      <x:c r="N235" s="2" t="str">
        <x:v>https://www.qsr.mlit.go.jp/n-michi/useful/kotsuryo/shukei/data/tcmas.json</x:v>
      </x:c>
    </x:row>
    <x:row r="236" ht="21" customHeight="1">
      <x:c r="A236" s="7" t="n">
        <x:v>45962</x:v>
      </x:c>
      <x:c r="B236" s="2" t="str">
        <x:v>9310140</x:v>
      </x:c>
      <x:c r="C236" s="2" t="str">
        <x:v>新南部</x:v>
      </x:c>
      <x:c r="D236" s="2" t="str">
        <x:v>一般国道57号</x:v>
      </x:c>
      <x:c r="E236" s="2" t="str">
        <x:v>熊本市東区下南部</x:v>
      </x:c>
      <x:c r="F236" s="2" t="str">
        <x:v>休日</x:v>
      </x:c>
      <x:c r="G236" s="8" t="n">
        <x:v>42200</x:v>
      </x:c>
      <x:c r="H236" s="8" t="n">
        <x:v>39600</x:v>
      </x:c>
      <x:c r="I236" s="8" t="n">
        <x:v>2600</x:v>
      </x:c>
      <x:c r="J236" s="9" t="n">
        <x:f>IF(AND(ISNUMBER(I236),ISNUMBER(G236),G236&gt;0),I236/G236,"")</x:f>
        <x:v>0.061611374407582936</x:v>
      </x:c>
      <x:c r="K236" s="9" t="n">
        <x:f>IF(AND(ISNUMBER(I236),COUNTIFS($A$2:$A$313,EDATE(A236,-12),$B$2:$B$313,B236,$F$2:$F$313,F236,$I$2:$I$313,"&gt;0")=1),I236/SUMIFS($I$2:$I$313,$A$2:$A$313,EDATE(A236,-12),$B$2:$B$313,B236,$F$2:$F$313,F236)-1,"")</x:f>
        <x:v>-0.03703703703703709</x:v>
      </x:c>
      <x:c r="L236" s="2" t="str">
        <x:v>取得済</x:v>
      </x:c>
      <x:c r="M236" s="2" t="str">
        <x:v>https://www.qsr.mlit.go.jp/n-michi/useful/kotsuryo/shukei/data/tcdata.json</x:v>
      </x:c>
      <x:c r="N236" s="2" t="str">
        <x:v>https://www.qsr.mlit.go.jp/n-michi/useful/kotsuryo/shukei/data/tcmas.json</x:v>
      </x:c>
    </x:row>
    <x:row r="237" ht="21" customHeight="1">
      <x:c r="A237" s="7" t="n">
        <x:v>45962</x:v>
      </x:c>
      <x:c r="B237" s="2" t="str">
        <x:v>9310140</x:v>
      </x:c>
      <x:c r="C237" s="2" t="str">
        <x:v>新南部</x:v>
      </x:c>
      <x:c r="D237" s="2" t="str">
        <x:v>一般国道57号</x:v>
      </x:c>
      <x:c r="E237" s="2" t="str">
        <x:v>熊本市東区下南部</x:v>
      </x:c>
      <x:c r="F237" s="2" t="str">
        <x:v>全日</x:v>
      </x:c>
      <x:c r="G237" s="8" t="n">
        <x:v>43300</x:v>
      </x:c>
      <x:c r="H237" s="8" t="n">
        <x:v>39500</x:v>
      </x:c>
      <x:c r="I237" s="8" t="n">
        <x:v>3800</x:v>
      </x:c>
      <x:c r="J237" s="9" t="n">
        <x:f>IF(AND(ISNUMBER(I237),ISNUMBER(G237),G237&gt;0),I237/G237,"")</x:f>
        <x:v>0.08775981524249422</x:v>
      </x:c>
      <x:c r="K237" s="9" t="n">
        <x:f>IF(AND(ISNUMBER(I237),COUNTIFS($A$2:$A$313,EDATE(A237,-12),$B$2:$B$313,B237,$F$2:$F$313,F237,$I$2:$I$313,"&gt;0")=1),I237/SUMIFS($I$2:$I$313,$A$2:$A$313,EDATE(A237,-12),$B$2:$B$313,B237,$F$2:$F$313,F237)-1,"")</x:f>
        <x:v>-0.07317073170731703</x:v>
      </x:c>
      <x:c r="L237" s="2" t="str">
        <x:v>取得済</x:v>
      </x:c>
      <x:c r="M237" s="2" t="str">
        <x:v>https://www.qsr.mlit.go.jp/n-michi/useful/kotsuryo/shukei/data/tcdata.json</x:v>
      </x:c>
      <x:c r="N237" s="2" t="str">
        <x:v>https://www.qsr.mlit.go.jp/n-michi/useful/kotsuryo/shukei/data/tcmas.json</x:v>
      </x:c>
    </x:row>
    <x:row r="238" ht="21" customHeight="1">
      <x:c r="A238" s="7" t="n">
        <x:v>45962</x:v>
      </x:c>
      <x:c r="B238" s="2" t="str">
        <x:v>9310140</x:v>
      </x:c>
      <x:c r="C238" s="2" t="str">
        <x:v>新南部</x:v>
      </x:c>
      <x:c r="D238" s="2" t="str">
        <x:v>一般国道57号</x:v>
      </x:c>
      <x:c r="E238" s="2" t="str">
        <x:v>熊本市東区下南部</x:v>
      </x:c>
      <x:c r="F238" s="2" t="str">
        <x:v>平日</x:v>
      </x:c>
      <x:c r="G238" s="8" t="n">
        <x:v>44100</x:v>
      </x:c>
      <x:c r="H238" s="8" t="n">
        <x:v>39400</x:v>
      </x:c>
      <x:c r="I238" s="8" t="n">
        <x:v>4700</x:v>
      </x:c>
      <x:c r="J238" s="9" t="n">
        <x:f>IF(AND(ISNUMBER(I238),ISNUMBER(G238),G238&gt;0),I238/G238,"")</x:f>
        <x:v>0.10657596371882086</x:v>
      </x:c>
      <x:c r="K238" s="9" t="n">
        <x:f>IF(AND(ISNUMBER(I238),COUNTIFS($A$2:$A$313,EDATE(A238,-12),$B$2:$B$313,B238,$F$2:$F$313,F238,$I$2:$I$313,"&gt;0")=1),I238/SUMIFS($I$2:$I$313,$A$2:$A$313,EDATE(A238,-12),$B$2:$B$313,B238,$F$2:$F$313,F238)-1,"")</x:f>
        <x:v>-0.04081632653061229</x:v>
      </x:c>
      <x:c r="L238" s="2" t="str">
        <x:v>取得済</x:v>
      </x:c>
      <x:c r="M238" s="2" t="str">
        <x:v>https://www.qsr.mlit.go.jp/n-michi/useful/kotsuryo/shukei/data/tcdata.json</x:v>
      </x:c>
      <x:c r="N238" s="2" t="str">
        <x:v>https://www.qsr.mlit.go.jp/n-michi/useful/kotsuryo/shukei/data/tcmas.json</x:v>
      </x:c>
    </x:row>
    <x:row r="239" ht="21" customHeight="1">
      <x:c r="A239" s="7" t="n">
        <x:v>45962</x:v>
      </x:c>
      <x:c r="B239" s="2" t="str">
        <x:v>9110030</x:v>
      </x:c>
      <x:c r="C239" s="2" t="str">
        <x:v>熊本</x:v>
      </x:c>
      <x:c r="D239" s="2" t="str">
        <x:v>一般国道3号</x:v>
      </x:c>
      <x:c r="E239" s="2" t="str">
        <x:v>熊本市南区南高江</x:v>
      </x:c>
      <x:c r="F239" s="2" t="str">
        <x:v>休日</x:v>
      </x:c>
      <x:c r="G239" s="8" t="n">
        <x:v>34200</x:v>
      </x:c>
      <x:c r="H239" s="8" t="n">
        <x:v>32100</x:v>
      </x:c>
      <x:c r="I239" s="8" t="n">
        <x:v>2100</x:v>
      </x:c>
      <x:c r="J239" s="9" t="n">
        <x:f>IF(AND(ISNUMBER(I239),ISNUMBER(G239),G239&gt;0),I239/G239,"")</x:f>
        <x:v>0.06140350877192982</x:v>
      </x:c>
      <x:c r="K239" s="9" t="n">
        <x:f>IF(AND(ISNUMBER(I239),COUNTIFS($A$2:$A$313,EDATE(A239,-12),$B$2:$B$313,B239,$F$2:$F$313,F239,$I$2:$I$313,"&gt;0")=1),I239/SUMIFS($I$2:$I$313,$A$2:$A$313,EDATE(A239,-12),$B$2:$B$313,B239,$F$2:$F$313,F239)-1,"")</x:f>
        <x:v>0.050000000000000044</x:v>
      </x:c>
      <x:c r="L239" s="2" t="str">
        <x:v>取得済</x:v>
      </x:c>
      <x:c r="M239" s="2" t="str">
        <x:v>https://www.qsr.mlit.go.jp/n-michi/useful/kotsuryo/shukei/data/tcdata.json</x:v>
      </x:c>
      <x:c r="N239" s="2" t="str">
        <x:v>https://www.qsr.mlit.go.jp/n-michi/useful/kotsuryo/shukei/data/tcmas.json</x:v>
      </x:c>
    </x:row>
    <x:row r="240" ht="21" customHeight="1">
      <x:c r="A240" s="7" t="n">
        <x:v>45962</x:v>
      </x:c>
      <x:c r="B240" s="2" t="str">
        <x:v>9110030</x:v>
      </x:c>
      <x:c r="C240" s="2" t="str">
        <x:v>熊本</x:v>
      </x:c>
      <x:c r="D240" s="2" t="str">
        <x:v>一般国道3号</x:v>
      </x:c>
      <x:c r="E240" s="2" t="str">
        <x:v>熊本市南区南高江</x:v>
      </x:c>
      <x:c r="F240" s="2" t="str">
        <x:v>全日</x:v>
      </x:c>
      <x:c r="G240" s="8" t="n">
        <x:v>34100</x:v>
      </x:c>
      <x:c r="H240" s="8" t="n">
        <x:v>31000</x:v>
      </x:c>
      <x:c r="I240" s="8" t="n">
        <x:v>3100</x:v>
      </x:c>
      <x:c r="J240" s="9" t="n">
        <x:f>IF(AND(ISNUMBER(I240),ISNUMBER(G240),G240&gt;0),I240/G240,"")</x:f>
        <x:v>0.09090909090909091</x:v>
      </x:c>
      <x:c r="K240" s="9" t="n">
        <x:f>IF(AND(ISNUMBER(I240),COUNTIFS($A$2:$A$313,EDATE(A240,-12),$B$2:$B$313,B240,$F$2:$F$313,F240,$I$2:$I$313,"&gt;0")=1),I240/SUMIFS($I$2:$I$313,$A$2:$A$313,EDATE(A240,-12),$B$2:$B$313,B240,$F$2:$F$313,F240)-1,"")</x:f>
        <x:v>-0.03125</x:v>
      </x:c>
      <x:c r="L240" s="2" t="str">
        <x:v>取得済</x:v>
      </x:c>
      <x:c r="M240" s="2" t="str">
        <x:v>https://www.qsr.mlit.go.jp/n-michi/useful/kotsuryo/shukei/data/tcdata.json</x:v>
      </x:c>
      <x:c r="N240" s="2" t="str">
        <x:v>https://www.qsr.mlit.go.jp/n-michi/useful/kotsuryo/shukei/data/tcmas.json</x:v>
      </x:c>
    </x:row>
    <x:row r="241" ht="21" customHeight="1">
      <x:c r="A241" s="7" t="n">
        <x:v>45962</x:v>
      </x:c>
      <x:c r="B241" s="2" t="str">
        <x:v>9110030</x:v>
      </x:c>
      <x:c r="C241" s="2" t="str">
        <x:v>熊本</x:v>
      </x:c>
      <x:c r="D241" s="2" t="str">
        <x:v>一般国道3号</x:v>
      </x:c>
      <x:c r="E241" s="2" t="str">
        <x:v>熊本市南区南高江</x:v>
      </x:c>
      <x:c r="F241" s="2" t="str">
        <x:v>平日</x:v>
      </x:c>
      <x:c r="G241" s="8" t="n">
        <x:v>34100</x:v>
      </x:c>
      <x:c r="H241" s="8" t="n">
        <x:v>30200</x:v>
      </x:c>
      <x:c r="I241" s="8" t="n">
        <x:v>3900</x:v>
      </x:c>
      <x:c r="J241" s="9" t="n">
        <x:f>IF(AND(ISNUMBER(I241),ISNUMBER(G241),G241&gt;0),I241/G241,"")</x:f>
        <x:v>0.11436950146627566</x:v>
      </x:c>
      <x:c r="K241" s="9" t="n">
        <x:f>IF(AND(ISNUMBER(I241),COUNTIFS($A$2:$A$313,EDATE(A241,-12),$B$2:$B$313,B241,$F$2:$F$313,F241,$I$2:$I$313,"&gt;0")=1),I241/SUMIFS($I$2:$I$313,$A$2:$A$313,EDATE(A241,-12),$B$2:$B$313,B241,$F$2:$F$313,F241)-1,"")</x:f>
        <x:v>0.026315789473684292</x:v>
      </x:c>
      <x:c r="L241" s="2" t="str">
        <x:v>取得済</x:v>
      </x:c>
      <x:c r="M241" s="2" t="str">
        <x:v>https://www.qsr.mlit.go.jp/n-michi/useful/kotsuryo/shukei/data/tcdata.json</x:v>
      </x:c>
      <x:c r="N241" s="2" t="str">
        <x:v>https://www.qsr.mlit.go.jp/n-michi/useful/kotsuryo/shukei/data/tcmas.json</x:v>
      </x:c>
    </x:row>
    <x:row r="242" ht="21" customHeight="1">
      <x:c r="A242" s="7" t="n">
        <x:v>45992</x:v>
      </x:c>
      <x:c r="B242" s="2" t="str">
        <x:v>9110050</x:v>
      </x:c>
      <x:c r="C242" s="2" t="str">
        <x:v>八代</x:v>
      </x:c>
      <x:c r="D242" s="2" t="str">
        <x:v>一般国道3号</x:v>
      </x:c>
      <x:c r="E242" s="2" t="str">
        <x:v>八代市福正元町</x:v>
      </x:c>
      <x:c r="F242" s="2" t="str">
        <x:v>休日</x:v>
      </x:c>
      <x:c r="G242" s="8" t="n">
        <x:v>19800</x:v>
      </x:c>
      <x:c r="H242" s="8" t="n">
        <x:v>18400</x:v>
      </x:c>
      <x:c r="I242" s="8" t="n">
        <x:v>1400</x:v>
      </x:c>
      <x:c r="J242" s="9" t="n">
        <x:f>IF(AND(ISNUMBER(I242),ISNUMBER(G242),G242&gt;0),I242/G242,"")</x:f>
        <x:v>0.0707070707070707</x:v>
      </x:c>
      <x:c r="K242" s="9" t="n">
        <x:f>IF(AND(ISNUMBER(I242),COUNTIFS($A$2:$A$313,EDATE(A242,-12),$B$2:$B$313,B242,$F$2:$F$313,F242,$I$2:$I$313,"&gt;0")=1),I242/SUMIFS($I$2:$I$313,$A$2:$A$313,EDATE(A242,-12),$B$2:$B$313,B242,$F$2:$F$313,F242)-1,"")</x:f>
        <x:v>0</x:v>
      </x:c>
      <x:c r="L242" s="2" t="str">
        <x:v>取得済</x:v>
      </x:c>
      <x:c r="M242" s="2" t="str">
        <x:v>https://www.qsr.mlit.go.jp/n-michi/useful/kotsuryo/shukei/data/tcdata.json</x:v>
      </x:c>
      <x:c r="N242" s="2" t="str">
        <x:v>https://www.qsr.mlit.go.jp/n-michi/useful/kotsuryo/shukei/data/tcmas.json</x:v>
      </x:c>
    </x:row>
    <x:row r="243" ht="21" customHeight="1">
      <x:c r="A243" s="7" t="n">
        <x:v>45992</x:v>
      </x:c>
      <x:c r="B243" s="2" t="str">
        <x:v>9110050</x:v>
      </x:c>
      <x:c r="C243" s="2" t="str">
        <x:v>八代</x:v>
      </x:c>
      <x:c r="D243" s="2" t="str">
        <x:v>一般国道3号</x:v>
      </x:c>
      <x:c r="E243" s="2" t="str">
        <x:v>八代市福正元町</x:v>
      </x:c>
      <x:c r="F243" s="2" t="str">
        <x:v>全日</x:v>
      </x:c>
      <x:c r="G243" s="8" t="n">
        <x:v>21300</x:v>
      </x:c>
      <x:c r="H243" s="8" t="n">
        <x:v>18800</x:v>
      </x:c>
      <x:c r="I243" s="8" t="n">
        <x:v>2500</x:v>
      </x:c>
      <x:c r="J243" s="9" t="n">
        <x:f>IF(AND(ISNUMBER(I243),ISNUMBER(G243),G243&gt;0),I243/G243,"")</x:f>
        <x:v>0.11737089201877934</x:v>
      </x:c>
      <x:c r="K243" s="9" t="n">
        <x:f>IF(AND(ISNUMBER(I243),COUNTIFS($A$2:$A$313,EDATE(A243,-12),$B$2:$B$313,B243,$F$2:$F$313,F243,$I$2:$I$313,"&gt;0")=1),I243/SUMIFS($I$2:$I$313,$A$2:$A$313,EDATE(A243,-12),$B$2:$B$313,B243,$F$2:$F$313,F243)-1,"")</x:f>
        <x:v>-0.038461538461538436</x:v>
      </x:c>
      <x:c r="L243" s="2" t="str">
        <x:v>取得済</x:v>
      </x:c>
      <x:c r="M243" s="2" t="str">
        <x:v>https://www.qsr.mlit.go.jp/n-michi/useful/kotsuryo/shukei/data/tcdata.json</x:v>
      </x:c>
      <x:c r="N243" s="2" t="str">
        <x:v>https://www.qsr.mlit.go.jp/n-michi/useful/kotsuryo/shukei/data/tcmas.json</x:v>
      </x:c>
    </x:row>
    <x:row r="244" ht="21" customHeight="1">
      <x:c r="A244" s="7" t="n">
        <x:v>45992</x:v>
      </x:c>
      <x:c r="B244" s="2" t="str">
        <x:v>9110050</x:v>
      </x:c>
      <x:c r="C244" s="2" t="str">
        <x:v>八代</x:v>
      </x:c>
      <x:c r="D244" s="2" t="str">
        <x:v>一般国道3号</x:v>
      </x:c>
      <x:c r="E244" s="2" t="str">
        <x:v>八代市福正元町</x:v>
      </x:c>
      <x:c r="F244" s="2" t="str">
        <x:v>平日</x:v>
      </x:c>
      <x:c r="G244" s="8" t="n">
        <x:v>21800</x:v>
      </x:c>
      <x:c r="H244" s="8" t="n">
        <x:v>18900</x:v>
      </x:c>
      <x:c r="I244" s="8" t="n">
        <x:v>2900</x:v>
      </x:c>
      <x:c r="J244" s="9" t="n">
        <x:f>IF(AND(ISNUMBER(I244),ISNUMBER(G244),G244&gt;0),I244/G244,"")</x:f>
        <x:v>0.13302752293577982</x:v>
      </x:c>
      <x:c r="K244" s="9" t="n">
        <x:f>IF(AND(ISNUMBER(I244),COUNTIFS($A$2:$A$313,EDATE(A244,-12),$B$2:$B$313,B244,$F$2:$F$313,F244,$I$2:$I$313,"&gt;0")=1),I244/SUMIFS($I$2:$I$313,$A$2:$A$313,EDATE(A244,-12),$B$2:$B$313,B244,$F$2:$F$313,F244)-1,"")</x:f>
        <x:v>-0.033333333333333326</x:v>
      </x:c>
      <x:c r="L244" s="2" t="str">
        <x:v>取得済</x:v>
      </x:c>
      <x:c r="M244" s="2" t="str">
        <x:v>https://www.qsr.mlit.go.jp/n-michi/useful/kotsuryo/shukei/data/tcdata.json</x:v>
      </x:c>
      <x:c r="N244" s="2" t="str">
        <x:v>https://www.qsr.mlit.go.jp/n-michi/useful/kotsuryo/shukei/data/tcmas.json</x:v>
      </x:c>
    </x:row>
    <x:row r="245" ht="21" customHeight="1">
      <x:c r="A245" s="7" t="n">
        <x:v>45992</x:v>
      </x:c>
      <x:c r="B245" s="2" t="str">
        <x:v>9310130</x:v>
      </x:c>
      <x:c r="C245" s="2" t="str">
        <x:v>大津</x:v>
      </x:c>
      <x:c r="D245" s="2" t="str">
        <x:v>一般国道57号</x:v>
      </x:c>
      <x:c r="E245" s="2" t="str">
        <x:v>菊池郡大津町室</x:v>
      </x:c>
      <x:c r="F245" s="2" t="str">
        <x:v>休日</x:v>
      </x:c>
      <x:c r="G245" s="8" t="n">
        <x:v>28400</x:v>
      </x:c>
      <x:c r="H245" s="8" t="n">
        <x:v>27200</x:v>
      </x:c>
      <x:c r="I245" s="8" t="n">
        <x:v>1200</x:v>
      </x:c>
      <x:c r="J245" s="9" t="n">
        <x:f>IF(AND(ISNUMBER(I245),ISNUMBER(G245),G245&gt;0),I245/G245,"")</x:f>
        <x:v>0.04225352112676056</x:v>
      </x:c>
      <x:c r="K245" s="9" t="n">
        <x:f>IF(AND(ISNUMBER(I245),COUNTIFS($A$2:$A$313,EDATE(A245,-12),$B$2:$B$313,B245,$F$2:$F$313,F245,$I$2:$I$313,"&gt;0")=1),I245/SUMIFS($I$2:$I$313,$A$2:$A$313,EDATE(A245,-12),$B$2:$B$313,B245,$F$2:$F$313,F245)-1,"")</x:f>
        <x:v>-0.07692307692307687</x:v>
      </x:c>
      <x:c r="L245" s="2" t="str">
        <x:v>取得済</x:v>
      </x:c>
      <x:c r="M245" s="2" t="str">
        <x:v>https://www.qsr.mlit.go.jp/n-michi/useful/kotsuryo/shukei/data/tcdata.json</x:v>
      </x:c>
      <x:c r="N245" s="2" t="str">
        <x:v>https://www.qsr.mlit.go.jp/n-michi/useful/kotsuryo/shukei/data/tcmas.json</x:v>
      </x:c>
    </x:row>
    <x:row r="246" ht="21" customHeight="1">
      <x:c r="A246" s="7" t="n">
        <x:v>45992</x:v>
      </x:c>
      <x:c r="B246" s="2" t="str">
        <x:v>9310130</x:v>
      </x:c>
      <x:c r="C246" s="2" t="str">
        <x:v>大津</x:v>
      </x:c>
      <x:c r="D246" s="2" t="str">
        <x:v>一般国道57号</x:v>
      </x:c>
      <x:c r="E246" s="2" t="str">
        <x:v>菊池郡大津町室</x:v>
      </x:c>
      <x:c r="F246" s="2" t="str">
        <x:v>全日</x:v>
      </x:c>
      <x:c r="G246" s="8" t="n">
        <x:v>28300</x:v>
      </x:c>
      <x:c r="H246" s="8" t="n">
        <x:v>26500</x:v>
      </x:c>
      <x:c r="I246" s="8" t="n">
        <x:v>1800</x:v>
      </x:c>
      <x:c r="J246" s="9" t="n">
        <x:f>IF(AND(ISNUMBER(I246),ISNUMBER(G246),G246&gt;0),I246/G246,"")</x:f>
        <x:v>0.0636042402826855</x:v>
      </x:c>
      <x:c r="K246" s="9" t="n">
        <x:f>IF(AND(ISNUMBER(I246),COUNTIFS($A$2:$A$313,EDATE(A246,-12),$B$2:$B$313,B246,$F$2:$F$313,F246,$I$2:$I$313,"&gt;0")=1),I246/SUMIFS($I$2:$I$313,$A$2:$A$313,EDATE(A246,-12),$B$2:$B$313,B246,$F$2:$F$313,F246)-1,"")</x:f>
        <x:v>-0.09999999999999998</x:v>
      </x:c>
      <x:c r="L246" s="2" t="str">
        <x:v>取得済</x:v>
      </x:c>
      <x:c r="M246" s="2" t="str">
        <x:v>https://www.qsr.mlit.go.jp/n-michi/useful/kotsuryo/shukei/data/tcdata.json</x:v>
      </x:c>
      <x:c r="N246" s="2" t="str">
        <x:v>https://www.qsr.mlit.go.jp/n-michi/useful/kotsuryo/shukei/data/tcmas.json</x:v>
      </x:c>
    </x:row>
    <x:row r="247" ht="21" customHeight="1">
      <x:c r="A247" s="7" t="n">
        <x:v>45992</x:v>
      </x:c>
      <x:c r="B247" s="2" t="str">
        <x:v>9310130</x:v>
      </x:c>
      <x:c r="C247" s="2" t="str">
        <x:v>大津</x:v>
      </x:c>
      <x:c r="D247" s="2" t="str">
        <x:v>一般国道57号</x:v>
      </x:c>
      <x:c r="E247" s="2" t="str">
        <x:v>菊池郡大津町室</x:v>
      </x:c>
      <x:c r="F247" s="2" t="str">
        <x:v>平日</x:v>
      </x:c>
      <x:c r="G247" s="8" t="n">
        <x:v>28300</x:v>
      </x:c>
      <x:c r="H247" s="8" t="n">
        <x:v>26200</x:v>
      </x:c>
      <x:c r="I247" s="8" t="n">
        <x:v>2100</x:v>
      </x:c>
      <x:c r="J247" s="9" t="n">
        <x:f>IF(AND(ISNUMBER(I247),ISNUMBER(G247),G247&gt;0),I247/G247,"")</x:f>
        <x:v>0.07420494699646643</x:v>
      </x:c>
      <x:c r="K247" s="9" t="n">
        <x:f>IF(AND(ISNUMBER(I247),COUNTIFS($A$2:$A$313,EDATE(A247,-12),$B$2:$B$313,B247,$F$2:$F$313,F247,$I$2:$I$313,"&gt;0")=1),I247/SUMIFS($I$2:$I$313,$A$2:$A$313,EDATE(A247,-12),$B$2:$B$313,B247,$F$2:$F$313,F247)-1,"")</x:f>
        <x:v>-0.08695652173913049</x:v>
      </x:c>
      <x:c r="L247" s="2" t="str">
        <x:v>取得済</x:v>
      </x:c>
      <x:c r="M247" s="2" t="str">
        <x:v>https://www.qsr.mlit.go.jp/n-michi/useful/kotsuryo/shukei/data/tcdata.json</x:v>
      </x:c>
      <x:c r="N247" s="2" t="str">
        <x:v>https://www.qsr.mlit.go.jp/n-michi/useful/kotsuryo/shukei/data/tcmas.json</x:v>
      </x:c>
    </x:row>
    <x:row r="248" ht="21" customHeight="1">
      <x:c r="A248" s="7" t="n">
        <x:v>45992</x:v>
      </x:c>
      <x:c r="B248" s="2" t="str">
        <x:v>9310140</x:v>
      </x:c>
      <x:c r="C248" s="2" t="str">
        <x:v>新南部</x:v>
      </x:c>
      <x:c r="D248" s="2" t="str">
        <x:v>一般国道57号</x:v>
      </x:c>
      <x:c r="E248" s="2" t="str">
        <x:v>熊本市東区下南部</x:v>
      </x:c>
      <x:c r="F248" s="2" t="str">
        <x:v>休日</x:v>
      </x:c>
      <x:c r="G248" s="8" t="n">
        <x:v>41700</x:v>
      </x:c>
      <x:c r="H248" s="8" t="n">
        <x:v>39200</x:v>
      </x:c>
      <x:c r="I248" s="8" t="n">
        <x:v>2500</x:v>
      </x:c>
      <x:c r="J248" s="9" t="n">
        <x:f>IF(AND(ISNUMBER(I248),ISNUMBER(G248),G248&gt;0),I248/G248,"")</x:f>
        <x:v>0.05995203836930456</x:v>
      </x:c>
      <x:c r="K248" s="9" t="n">
        <x:f>IF(AND(ISNUMBER(I248),COUNTIFS($A$2:$A$313,EDATE(A248,-12),$B$2:$B$313,B248,$F$2:$F$313,F248,$I$2:$I$313,"&gt;0")=1),I248/SUMIFS($I$2:$I$313,$A$2:$A$313,EDATE(A248,-12),$B$2:$B$313,B248,$F$2:$F$313,F248)-1,"")</x:f>
        <x:v>0</x:v>
      </x:c>
      <x:c r="L248" s="2" t="str">
        <x:v>取得済</x:v>
      </x:c>
      <x:c r="M248" s="2" t="str">
        <x:v>https://www.qsr.mlit.go.jp/n-michi/useful/kotsuryo/shukei/data/tcdata.json</x:v>
      </x:c>
      <x:c r="N248" s="2" t="str">
        <x:v>https://www.qsr.mlit.go.jp/n-michi/useful/kotsuryo/shukei/data/tcmas.json</x:v>
      </x:c>
    </x:row>
    <x:row r="249" ht="21" customHeight="1">
      <x:c r="A249" s="7" t="n">
        <x:v>45992</x:v>
      </x:c>
      <x:c r="B249" s="2" t="str">
        <x:v>9310140</x:v>
      </x:c>
      <x:c r="C249" s="2" t="str">
        <x:v>新南部</x:v>
      </x:c>
      <x:c r="D249" s="2" t="str">
        <x:v>一般国道57号</x:v>
      </x:c>
      <x:c r="E249" s="2" t="str">
        <x:v>熊本市東区下南部</x:v>
      </x:c>
      <x:c r="F249" s="2" t="str">
        <x:v>全日</x:v>
      </x:c>
      <x:c r="G249" s="8" t="n">
        <x:v>42800</x:v>
      </x:c>
      <x:c r="H249" s="8" t="n">
        <x:v>39000</x:v>
      </x:c>
      <x:c r="I249" s="8" t="n">
        <x:v>3800</x:v>
      </x:c>
      <x:c r="J249" s="9" t="n">
        <x:f>IF(AND(ISNUMBER(I249),ISNUMBER(G249),G249&gt;0),I249/G249,"")</x:f>
        <x:v>0.08878504672897196</x:v>
      </x:c>
      <x:c r="K249" s="9" t="n">
        <x:f>IF(AND(ISNUMBER(I249),COUNTIFS($A$2:$A$313,EDATE(A249,-12),$B$2:$B$313,B249,$F$2:$F$313,F249,$I$2:$I$313,"&gt;0")=1),I249/SUMIFS($I$2:$I$313,$A$2:$A$313,EDATE(A249,-12),$B$2:$B$313,B249,$F$2:$F$313,F249)-1,"")</x:f>
        <x:v>-0.050000000000000044</x:v>
      </x:c>
      <x:c r="L249" s="2" t="str">
        <x:v>取得済</x:v>
      </x:c>
      <x:c r="M249" s="2" t="str">
        <x:v>https://www.qsr.mlit.go.jp/n-michi/useful/kotsuryo/shukei/data/tcdata.json</x:v>
      </x:c>
      <x:c r="N249" s="2" t="str">
        <x:v>https://www.qsr.mlit.go.jp/n-michi/useful/kotsuryo/shukei/data/tcmas.json</x:v>
      </x:c>
    </x:row>
    <x:row r="250" ht="21" customHeight="1">
      <x:c r="A250" s="7" t="n">
        <x:v>45992</x:v>
      </x:c>
      <x:c r="B250" s="2" t="str">
        <x:v>9310140</x:v>
      </x:c>
      <x:c r="C250" s="2" t="str">
        <x:v>新南部</x:v>
      </x:c>
      <x:c r="D250" s="2" t="str">
        <x:v>一般国道57号</x:v>
      </x:c>
      <x:c r="E250" s="2" t="str">
        <x:v>熊本市東区下南部</x:v>
      </x:c>
      <x:c r="F250" s="2" t="str">
        <x:v>平日</x:v>
      </x:c>
      <x:c r="G250" s="8" t="n">
        <x:v>43200</x:v>
      </x:c>
      <x:c r="H250" s="8" t="n">
        <x:v>38900</x:v>
      </x:c>
      <x:c r="I250" s="8" t="n">
        <x:v>4300</x:v>
      </x:c>
      <x:c r="J250" s="9" t="n">
        <x:f>IF(AND(ISNUMBER(I250),ISNUMBER(G250),G250&gt;0),I250/G250,"")</x:f>
        <x:v>0.09953703703703703</x:v>
      </x:c>
      <x:c r="K250" s="9" t="n">
        <x:f>IF(AND(ISNUMBER(I250),COUNTIFS($A$2:$A$313,EDATE(A250,-12),$B$2:$B$313,B250,$F$2:$F$313,F250,$I$2:$I$313,"&gt;0")=1),I250/SUMIFS($I$2:$I$313,$A$2:$A$313,EDATE(A250,-12),$B$2:$B$313,B250,$F$2:$F$313,F250)-1,"")</x:f>
        <x:v>-0.06521739130434778</x:v>
      </x:c>
      <x:c r="L250" s="2" t="str">
        <x:v>取得済</x:v>
      </x:c>
      <x:c r="M250" s="2" t="str">
        <x:v>https://www.qsr.mlit.go.jp/n-michi/useful/kotsuryo/shukei/data/tcdata.json</x:v>
      </x:c>
      <x:c r="N250" s="2" t="str">
        <x:v>https://www.qsr.mlit.go.jp/n-michi/useful/kotsuryo/shukei/data/tcmas.json</x:v>
      </x:c>
    </x:row>
    <x:row r="251" ht="21" customHeight="1">
      <x:c r="A251" s="7" t="n">
        <x:v>45992</x:v>
      </x:c>
      <x:c r="B251" s="2" t="str">
        <x:v>9110030</x:v>
      </x:c>
      <x:c r="C251" s="2" t="str">
        <x:v>熊本</x:v>
      </x:c>
      <x:c r="D251" s="2" t="str">
        <x:v>一般国道3号</x:v>
      </x:c>
      <x:c r="E251" s="2" t="str">
        <x:v>熊本市南区南高江</x:v>
      </x:c>
      <x:c r="F251" s="2" t="str">
        <x:v>休日</x:v>
      </x:c>
      <x:c r="G251" s="8" t="n">
        <x:v>35000</x:v>
      </x:c>
      <x:c r="H251" s="8" t="n">
        <x:v>33100</x:v>
      </x:c>
      <x:c r="I251" s="8" t="n">
        <x:v>1900</x:v>
      </x:c>
      <x:c r="J251" s="9" t="n">
        <x:f>IF(AND(ISNUMBER(I251),ISNUMBER(G251),G251&gt;0),I251/G251,"")</x:f>
        <x:v>0.054285714285714284</x:v>
      </x:c>
      <x:c r="K251" s="9" t="n">
        <x:f>IF(AND(ISNUMBER(I251),COUNTIFS($A$2:$A$313,EDATE(A251,-12),$B$2:$B$313,B251,$F$2:$F$313,F251,$I$2:$I$313,"&gt;0")=1),I251/SUMIFS($I$2:$I$313,$A$2:$A$313,EDATE(A251,-12),$B$2:$B$313,B251,$F$2:$F$313,F251)-1,"")</x:f>
        <x:v>0</x:v>
      </x:c>
      <x:c r="L251" s="2" t="str">
        <x:v>取得済</x:v>
      </x:c>
      <x:c r="M251" s="2" t="str">
        <x:v>https://www.qsr.mlit.go.jp/n-michi/useful/kotsuryo/shukei/data/tcdata.json</x:v>
      </x:c>
      <x:c r="N251" s="2" t="str">
        <x:v>https://www.qsr.mlit.go.jp/n-michi/useful/kotsuryo/shukei/data/tcmas.json</x:v>
      </x:c>
    </x:row>
    <x:row r="252" ht="21" customHeight="1">
      <x:c r="A252" s="7" t="n">
        <x:v>45992</x:v>
      </x:c>
      <x:c r="B252" s="2" t="str">
        <x:v>9110030</x:v>
      </x:c>
      <x:c r="C252" s="2" t="str">
        <x:v>熊本</x:v>
      </x:c>
      <x:c r="D252" s="2" t="str">
        <x:v>一般国道3号</x:v>
      </x:c>
      <x:c r="E252" s="2" t="str">
        <x:v>熊本市南区南高江</x:v>
      </x:c>
      <x:c r="F252" s="2" t="str">
        <x:v>全日</x:v>
      </x:c>
      <x:c r="G252" s="8" t="n">
        <x:v>34500</x:v>
      </x:c>
      <x:c r="H252" s="8" t="n">
        <x:v>31400</x:v>
      </x:c>
      <x:c r="I252" s="8" t="n">
        <x:v>3100</x:v>
      </x:c>
      <x:c r="J252" s="9" t="n">
        <x:f>IF(AND(ISNUMBER(I252),ISNUMBER(G252),G252&gt;0),I252/G252,"")</x:f>
        <x:v>0.08985507246376812</x:v>
      </x:c>
      <x:c r="K252" s="9" t="n">
        <x:f>IF(AND(ISNUMBER(I252),COUNTIFS($A$2:$A$313,EDATE(A252,-12),$B$2:$B$313,B252,$F$2:$F$313,F252,$I$2:$I$313,"&gt;0")=1),I252/SUMIFS($I$2:$I$313,$A$2:$A$313,EDATE(A252,-12),$B$2:$B$313,B252,$F$2:$F$313,F252)-1,"")</x:f>
        <x:v>0</x:v>
      </x:c>
      <x:c r="L252" s="2" t="str">
        <x:v>取得済</x:v>
      </x:c>
      <x:c r="M252" s="2" t="str">
        <x:v>https://www.qsr.mlit.go.jp/n-michi/useful/kotsuryo/shukei/data/tcdata.json</x:v>
      </x:c>
      <x:c r="N252" s="2" t="str">
        <x:v>https://www.qsr.mlit.go.jp/n-michi/useful/kotsuryo/shukei/data/tcmas.json</x:v>
      </x:c>
    </x:row>
    <x:row r="253" ht="21" customHeight="1">
      <x:c r="A253" s="7" t="n">
        <x:v>45992</x:v>
      </x:c>
      <x:c r="B253" s="2" t="str">
        <x:v>9110030</x:v>
      </x:c>
      <x:c r="C253" s="2" t="str">
        <x:v>熊本</x:v>
      </x:c>
      <x:c r="D253" s="2" t="str">
        <x:v>一般国道3号</x:v>
      </x:c>
      <x:c r="E253" s="2" t="str">
        <x:v>熊本市南区南高江</x:v>
      </x:c>
      <x:c r="F253" s="2" t="str">
        <x:v>平日</x:v>
      </x:c>
      <x:c r="G253" s="8" t="n">
        <x:v>34300</x:v>
      </x:c>
      <x:c r="H253" s="8" t="n">
        <x:v>30800</x:v>
      </x:c>
      <x:c r="I253" s="8" t="n">
        <x:v>3500</x:v>
      </x:c>
      <x:c r="J253" s="9" t="n">
        <x:f>IF(AND(ISNUMBER(I253),ISNUMBER(G253),G253&gt;0),I253/G253,"")</x:f>
        <x:v>0.10204081632653061</x:v>
      </x:c>
      <x:c r="K253" s="9" t="n">
        <x:f>IF(AND(ISNUMBER(I253),COUNTIFS($A$2:$A$313,EDATE(A253,-12),$B$2:$B$313,B253,$F$2:$F$313,F253,$I$2:$I$313,"&gt;0")=1),I253/SUMIFS($I$2:$I$313,$A$2:$A$313,EDATE(A253,-12),$B$2:$B$313,B253,$F$2:$F$313,F253)-1,"")</x:f>
        <x:v>-0.05405405405405406</x:v>
      </x:c>
      <x:c r="L253" s="2" t="str">
        <x:v>取得済</x:v>
      </x:c>
      <x:c r="M253" s="2" t="str">
        <x:v>https://www.qsr.mlit.go.jp/n-michi/useful/kotsuryo/shukei/data/tcdata.json</x:v>
      </x:c>
      <x:c r="N253" s="2" t="str">
        <x:v>https://www.qsr.mlit.go.jp/n-michi/useful/kotsuryo/shukei/data/tcmas.json</x:v>
      </x:c>
    </x:row>
    <x:row r="254" ht="21" customHeight="1">
      <x:c r="A254" s="7" t="n">
        <x:v>46023</x:v>
      </x:c>
      <x:c r="B254" s="2" t="str">
        <x:v>9110050</x:v>
      </x:c>
      <x:c r="C254" s="2" t="str">
        <x:v>八代</x:v>
      </x:c>
      <x:c r="D254" s="2" t="str">
        <x:v>一般国道3号</x:v>
      </x:c>
      <x:c r="E254" s="2" t="str">
        <x:v>八代市福正元町</x:v>
      </x:c>
      <x:c r="F254" s="2" t="str">
        <x:v>休日</x:v>
      </x:c>
      <x:c r="G254" s="8" t="n">
        <x:v>18600</x:v>
      </x:c>
      <x:c r="H254" s="8" t="n">
        <x:v>17300</x:v>
      </x:c>
      <x:c r="I254" s="8" t="n">
        <x:v>1300</x:v>
      </x:c>
      <x:c r="J254" s="9" t="n">
        <x:f>IF(AND(ISNUMBER(I254),ISNUMBER(G254),G254&gt;0),I254/G254,"")</x:f>
        <x:v>0.06989247311827956</x:v>
      </x:c>
      <x:c r="K254" s="9" t="n">
        <x:f>IF(AND(ISNUMBER(I254),COUNTIFS($A$2:$A$313,EDATE(A254,-12),$B$2:$B$313,B254,$F$2:$F$313,F254,$I$2:$I$313,"&gt;0")=1),I254/SUMIFS($I$2:$I$313,$A$2:$A$313,EDATE(A254,-12),$B$2:$B$313,B254,$F$2:$F$313,F254)-1,"")</x:f>
        <x:v>0.08333333333333326</x:v>
      </x:c>
      <x:c r="L254" s="2" t="str">
        <x:v>取得済</x:v>
      </x:c>
      <x:c r="M254" s="2" t="str">
        <x:v>https://www.qsr.mlit.go.jp/n-michi/useful/kotsuryo/shukei/data/tcdata.json</x:v>
      </x:c>
      <x:c r="N254" s="2" t="str">
        <x:v>https://www.qsr.mlit.go.jp/n-michi/useful/kotsuryo/shukei/data/tcmas.json</x:v>
      </x:c>
    </x:row>
    <x:row r="255" ht="21" customHeight="1">
      <x:c r="A255" s="7" t="n">
        <x:v>46023</x:v>
      </x:c>
      <x:c r="B255" s="2" t="str">
        <x:v>9110050</x:v>
      </x:c>
      <x:c r="C255" s="2" t="str">
        <x:v>八代</x:v>
      </x:c>
      <x:c r="D255" s="2" t="str">
        <x:v>一般国道3号</x:v>
      </x:c>
      <x:c r="E255" s="2" t="str">
        <x:v>八代市福正元町</x:v>
      </x:c>
      <x:c r="F255" s="2" t="str">
        <x:v>全日</x:v>
      </x:c>
      <x:c r="G255" s="8" t="n">
        <x:v>20700</x:v>
      </x:c>
      <x:c r="H255" s="8" t="n">
        <x:v>18200</x:v>
      </x:c>
      <x:c r="I255" s="8" t="n">
        <x:v>2500</x:v>
      </x:c>
      <x:c r="J255" s="9" t="n">
        <x:f>IF(AND(ISNUMBER(I255),ISNUMBER(G255),G255&gt;0),I255/G255,"")</x:f>
        <x:v>0.12077294685990338</x:v>
      </x:c>
      <x:c r="K255" s="9" t="n">
        <x:f>IF(AND(ISNUMBER(I255),COUNTIFS($A$2:$A$313,EDATE(A255,-12),$B$2:$B$313,B255,$F$2:$F$313,F255,$I$2:$I$313,"&gt;0")=1),I255/SUMIFS($I$2:$I$313,$A$2:$A$313,EDATE(A255,-12),$B$2:$B$313,B255,$F$2:$F$313,F255)-1,"")</x:f>
        <x:v>0.04166666666666674</x:v>
      </x:c>
      <x:c r="L255" s="2" t="str">
        <x:v>取得済</x:v>
      </x:c>
      <x:c r="M255" s="2" t="str">
        <x:v>https://www.qsr.mlit.go.jp/n-michi/useful/kotsuryo/shukei/data/tcdata.json</x:v>
      </x:c>
      <x:c r="N255" s="2" t="str">
        <x:v>https://www.qsr.mlit.go.jp/n-michi/useful/kotsuryo/shukei/data/tcmas.json</x:v>
      </x:c>
    </x:row>
    <x:row r="256" ht="21" customHeight="1">
      <x:c r="A256" s="7" t="n">
        <x:v>46023</x:v>
      </x:c>
      <x:c r="B256" s="2" t="str">
        <x:v>9110050</x:v>
      </x:c>
      <x:c r="C256" s="2" t="str">
        <x:v>八代</x:v>
      </x:c>
      <x:c r="D256" s="2" t="str">
        <x:v>一般国道3号</x:v>
      </x:c>
      <x:c r="E256" s="2" t="str">
        <x:v>八代市福正元町</x:v>
      </x:c>
      <x:c r="F256" s="2" t="str">
        <x:v>平日</x:v>
      </x:c>
      <x:c r="G256" s="8" t="n">
        <x:v>21800</x:v>
      </x:c>
      <x:c r="H256" s="8" t="n">
        <x:v>18700</x:v>
      </x:c>
      <x:c r="I256" s="8" t="n">
        <x:v>3100</x:v>
      </x:c>
      <x:c r="J256" s="9" t="n">
        <x:f>IF(AND(ISNUMBER(I256),ISNUMBER(G256),G256&gt;0),I256/G256,"")</x:f>
        <x:v>0.14220183486238533</x:v>
      </x:c>
      <x:c r="K256" s="9" t="n">
        <x:f>IF(AND(ISNUMBER(I256),COUNTIFS($A$2:$A$313,EDATE(A256,-12),$B$2:$B$313,B256,$F$2:$F$313,F256,$I$2:$I$313,"&gt;0")=1),I256/SUMIFS($I$2:$I$313,$A$2:$A$313,EDATE(A256,-12),$B$2:$B$313,B256,$F$2:$F$313,F256)-1,"")</x:f>
        <x:v>0.06896551724137923</x:v>
      </x:c>
      <x:c r="L256" s="2" t="str">
        <x:v>取得済</x:v>
      </x:c>
      <x:c r="M256" s="2" t="str">
        <x:v>https://www.qsr.mlit.go.jp/n-michi/useful/kotsuryo/shukei/data/tcdata.json</x:v>
      </x:c>
      <x:c r="N256" s="2" t="str">
        <x:v>https://www.qsr.mlit.go.jp/n-michi/useful/kotsuryo/shukei/data/tcmas.json</x:v>
      </x:c>
    </x:row>
    <x:row r="257" ht="21" customHeight="1">
      <x:c r="A257" s="7" t="n">
        <x:v>46023</x:v>
      </x:c>
      <x:c r="B257" s="2" t="str">
        <x:v>9310130</x:v>
      </x:c>
      <x:c r="C257" s="2" t="str">
        <x:v>大津</x:v>
      </x:c>
      <x:c r="D257" s="2" t="str">
        <x:v>一般国道57号</x:v>
      </x:c>
      <x:c r="E257" s="2" t="str">
        <x:v>菊池郡大津町室</x:v>
      </x:c>
      <x:c r="F257" s="2" t="str">
        <x:v>休日</x:v>
      </x:c>
      <x:c r="G257" s="8" t="n">
        <x:v>27000</x:v>
      </x:c>
      <x:c r="H257" s="8" t="n">
        <x:v>26000</x:v>
      </x:c>
      <x:c r="I257" s="8" t="n">
        <x:v>1000</x:v>
      </x:c>
      <x:c r="J257" s="9" t="n">
        <x:f>IF(AND(ISNUMBER(I257),ISNUMBER(G257),G257&gt;0),I257/G257,"")</x:f>
        <x:v>0.037037037037037035</x:v>
      </x:c>
      <x:c r="K257" s="9" t="n">
        <x:f>IF(AND(ISNUMBER(I257),COUNTIFS($A$2:$A$313,EDATE(A257,-12),$B$2:$B$313,B257,$F$2:$F$313,F257,$I$2:$I$313,"&gt;0")=1),I257/SUMIFS($I$2:$I$313,$A$2:$A$313,EDATE(A257,-12),$B$2:$B$313,B257,$F$2:$F$313,F257)-1,"")</x:f>
        <x:v>0</x:v>
      </x:c>
      <x:c r="L257" s="2" t="str">
        <x:v>取得済</x:v>
      </x:c>
      <x:c r="M257" s="2" t="str">
        <x:v>https://www.qsr.mlit.go.jp/n-michi/useful/kotsuryo/shukei/data/tcdata.json</x:v>
      </x:c>
      <x:c r="N257" s="2" t="str">
        <x:v>https://www.qsr.mlit.go.jp/n-michi/useful/kotsuryo/shukei/data/tcmas.json</x:v>
      </x:c>
    </x:row>
    <x:row r="258" ht="21" customHeight="1">
      <x:c r="A258" s="7" t="n">
        <x:v>46023</x:v>
      </x:c>
      <x:c r="B258" s="2" t="str">
        <x:v>9310130</x:v>
      </x:c>
      <x:c r="C258" s="2" t="str">
        <x:v>大津</x:v>
      </x:c>
      <x:c r="D258" s="2" t="str">
        <x:v>一般国道57号</x:v>
      </x:c>
      <x:c r="E258" s="2" t="str">
        <x:v>菊池郡大津町室</x:v>
      </x:c>
      <x:c r="F258" s="2" t="str">
        <x:v>全日</x:v>
      </x:c>
      <x:c r="G258" s="8" t="n">
        <x:v>27500</x:v>
      </x:c>
      <x:c r="H258" s="8" t="n">
        <x:v>25800</x:v>
      </x:c>
      <x:c r="I258" s="8" t="n">
        <x:v>1700</x:v>
      </x:c>
      <x:c r="J258" s="9" t="n">
        <x:f>IF(AND(ISNUMBER(I258),ISNUMBER(G258),G258&gt;0),I258/G258,"")</x:f>
        <x:v>0.06181818181818182</x:v>
      </x:c>
      <x:c r="K258" s="9" t="n">
        <x:f>IF(AND(ISNUMBER(I258),COUNTIFS($A$2:$A$313,EDATE(A258,-12),$B$2:$B$313,B258,$F$2:$F$313,F258,$I$2:$I$313,"&gt;0")=1),I258/SUMIFS($I$2:$I$313,$A$2:$A$313,EDATE(A258,-12),$B$2:$B$313,B258,$F$2:$F$313,F258)-1,"")</x:f>
        <x:v>0</x:v>
      </x:c>
      <x:c r="L258" s="2" t="str">
        <x:v>取得済</x:v>
      </x:c>
      <x:c r="M258" s="2" t="str">
        <x:v>https://www.qsr.mlit.go.jp/n-michi/useful/kotsuryo/shukei/data/tcdata.json</x:v>
      </x:c>
      <x:c r="N258" s="2" t="str">
        <x:v>https://www.qsr.mlit.go.jp/n-michi/useful/kotsuryo/shukei/data/tcmas.json</x:v>
      </x:c>
    </x:row>
    <x:row r="259" ht="21" customHeight="1">
      <x:c r="A259" s="7" t="n">
        <x:v>46023</x:v>
      </x:c>
      <x:c r="B259" s="2" t="str">
        <x:v>9310130</x:v>
      </x:c>
      <x:c r="C259" s="2" t="str">
        <x:v>大津</x:v>
      </x:c>
      <x:c r="D259" s="2" t="str">
        <x:v>一般国道57号</x:v>
      </x:c>
      <x:c r="E259" s="2" t="str">
        <x:v>菊池郡大津町室</x:v>
      </x:c>
      <x:c r="F259" s="2" t="str">
        <x:v>平日</x:v>
      </x:c>
      <x:c r="G259" s="8" t="n">
        <x:v>27800</x:v>
      </x:c>
      <x:c r="H259" s="8" t="n">
        <x:v>25700</x:v>
      </x:c>
      <x:c r="I259" s="8" t="n">
        <x:v>2100</x:v>
      </x:c>
      <x:c r="J259" s="9" t="n">
        <x:f>IF(AND(ISNUMBER(I259),ISNUMBER(G259),G259&gt;0),I259/G259,"")</x:f>
        <x:v>0.07553956834532374</x:v>
      </x:c>
      <x:c r="K259" s="9" t="n">
        <x:f>IF(AND(ISNUMBER(I259),COUNTIFS($A$2:$A$313,EDATE(A259,-12),$B$2:$B$313,B259,$F$2:$F$313,F259,$I$2:$I$313,"&gt;0")=1),I259/SUMIFS($I$2:$I$313,$A$2:$A$313,EDATE(A259,-12),$B$2:$B$313,B259,$F$2:$F$313,F259)-1,"")</x:f>
        <x:v>0</x:v>
      </x:c>
      <x:c r="L259" s="2" t="str">
        <x:v>取得済</x:v>
      </x:c>
      <x:c r="M259" s="2" t="str">
        <x:v>https://www.qsr.mlit.go.jp/n-michi/useful/kotsuryo/shukei/data/tcdata.json</x:v>
      </x:c>
      <x:c r="N259" s="2" t="str">
        <x:v>https://www.qsr.mlit.go.jp/n-michi/useful/kotsuryo/shukei/data/tcmas.json</x:v>
      </x:c>
    </x:row>
    <x:row r="260" ht="21" customHeight="1">
      <x:c r="A260" s="7" t="n">
        <x:v>46023</x:v>
      </x:c>
      <x:c r="B260" s="2" t="str">
        <x:v>9310140</x:v>
      </x:c>
      <x:c r="C260" s="2" t="str">
        <x:v>新南部</x:v>
      </x:c>
      <x:c r="D260" s="2" t="str">
        <x:v>一般国道57号</x:v>
      </x:c>
      <x:c r="E260" s="2" t="str">
        <x:v>熊本市東区下南部</x:v>
      </x:c>
      <x:c r="F260" s="2" t="str">
        <x:v>休日</x:v>
      </x:c>
      <x:c r="G260" s="8" t="n">
        <x:v>39500</x:v>
      </x:c>
      <x:c r="H260" s="8" t="n">
        <x:v>37300</x:v>
      </x:c>
      <x:c r="I260" s="8" t="n">
        <x:v>2200</x:v>
      </x:c>
      <x:c r="J260" s="9" t="n">
        <x:f>IF(AND(ISNUMBER(I260),ISNUMBER(G260),G260&gt;0),I260/G260,"")</x:f>
        <x:v>0.05569620253164557</x:v>
      </x:c>
      <x:c r="K260" s="9" t="n">
        <x:f>IF(AND(ISNUMBER(I260),COUNTIFS($A$2:$A$313,EDATE(A260,-12),$B$2:$B$313,B260,$F$2:$F$313,F260,$I$2:$I$313,"&gt;0")=1),I260/SUMIFS($I$2:$I$313,$A$2:$A$313,EDATE(A260,-12),$B$2:$B$313,B260,$F$2:$F$313,F260)-1,"")</x:f>
        <x:v>-0.04347826086956519</x:v>
      </x:c>
      <x:c r="L260" s="2" t="str">
        <x:v>取得済</x:v>
      </x:c>
      <x:c r="M260" s="2" t="str">
        <x:v>https://www.qsr.mlit.go.jp/n-michi/useful/kotsuryo/shukei/data/tcdata.json</x:v>
      </x:c>
      <x:c r="N260" s="2" t="str">
        <x:v>https://www.qsr.mlit.go.jp/n-michi/useful/kotsuryo/shukei/data/tcmas.json</x:v>
      </x:c>
    </x:row>
    <x:row r="261" ht="21" customHeight="1">
      <x:c r="A261" s="7" t="n">
        <x:v>46023</x:v>
      </x:c>
      <x:c r="B261" s="2" t="str">
        <x:v>9310140</x:v>
      </x:c>
      <x:c r="C261" s="2" t="str">
        <x:v>新南部</x:v>
      </x:c>
      <x:c r="D261" s="2" t="str">
        <x:v>一般国道57号</x:v>
      </x:c>
      <x:c r="E261" s="2" t="str">
        <x:v>熊本市東区下南部</x:v>
      </x:c>
      <x:c r="F261" s="2" t="str">
        <x:v>全日</x:v>
      </x:c>
      <x:c r="G261" s="8" t="n">
        <x:v>42000</x:v>
      </x:c>
      <x:c r="H261" s="8" t="n">
        <x:v>38400</x:v>
      </x:c>
      <x:c r="I261" s="8" t="n">
        <x:v>3600</x:v>
      </x:c>
      <x:c r="J261" s="9" t="n">
        <x:f>IF(AND(ISNUMBER(I261),ISNUMBER(G261),G261&gt;0),I261/G261,"")</x:f>
        <x:v>0.08571428571428572</x:v>
      </x:c>
      <x:c r="K261" s="9" t="n">
        <x:f>IF(AND(ISNUMBER(I261),COUNTIFS($A$2:$A$313,EDATE(A261,-12),$B$2:$B$313,B261,$F$2:$F$313,F261,$I$2:$I$313,"&gt;0")=1),I261/SUMIFS($I$2:$I$313,$A$2:$A$313,EDATE(A261,-12),$B$2:$B$313,B261,$F$2:$F$313,F261)-1,"")</x:f>
        <x:v>-0.027027027027026973</x:v>
      </x:c>
      <x:c r="L261" s="2" t="str">
        <x:v>取得済</x:v>
      </x:c>
      <x:c r="M261" s="2" t="str">
        <x:v>https://www.qsr.mlit.go.jp/n-michi/useful/kotsuryo/shukei/data/tcdata.json</x:v>
      </x:c>
      <x:c r="N261" s="2" t="str">
        <x:v>https://www.qsr.mlit.go.jp/n-michi/useful/kotsuryo/shukei/data/tcmas.json</x:v>
      </x:c>
    </x:row>
    <x:row r="262" ht="21" customHeight="1">
      <x:c r="A262" s="7" t="n">
        <x:v>46023</x:v>
      </x:c>
      <x:c r="B262" s="2" t="str">
        <x:v>9310140</x:v>
      </x:c>
      <x:c r="C262" s="2" t="str">
        <x:v>新南部</x:v>
      </x:c>
      <x:c r="D262" s="2" t="str">
        <x:v>一般国道57号</x:v>
      </x:c>
      <x:c r="E262" s="2" t="str">
        <x:v>熊本市東区下南部</x:v>
      </x:c>
      <x:c r="F262" s="2" t="str">
        <x:v>平日</x:v>
      </x:c>
      <x:c r="G262" s="8" t="n">
        <x:v>43400</x:v>
      </x:c>
      <x:c r="H262" s="8" t="n">
        <x:v>39000</x:v>
      </x:c>
      <x:c r="I262" s="8" t="n">
        <x:v>4400</x:v>
      </x:c>
      <x:c r="J262" s="9" t="n">
        <x:f>IF(AND(ISNUMBER(I262),ISNUMBER(G262),G262&gt;0),I262/G262,"")</x:f>
        <x:v>0.10138248847926268</x:v>
      </x:c>
      <x:c r="K262" s="9" t="n">
        <x:f>IF(AND(ISNUMBER(I262),COUNTIFS($A$2:$A$313,EDATE(A262,-12),$B$2:$B$313,B262,$F$2:$F$313,F262,$I$2:$I$313,"&gt;0")=1),I262/SUMIFS($I$2:$I$313,$A$2:$A$313,EDATE(A262,-12),$B$2:$B$313,B262,$F$2:$F$313,F262)-1,"")</x:f>
        <x:v>0</x:v>
      </x:c>
      <x:c r="L262" s="2" t="str">
        <x:v>取得済</x:v>
      </x:c>
      <x:c r="M262" s="2" t="str">
        <x:v>https://www.qsr.mlit.go.jp/n-michi/useful/kotsuryo/shukei/data/tcdata.json</x:v>
      </x:c>
      <x:c r="N262" s="2" t="str">
        <x:v>https://www.qsr.mlit.go.jp/n-michi/useful/kotsuryo/shukei/data/tcmas.json</x:v>
      </x:c>
    </x:row>
    <x:row r="263" ht="21" customHeight="1">
      <x:c r="A263" s="7" t="n">
        <x:v>46023</x:v>
      </x:c>
      <x:c r="B263" s="2" t="str">
        <x:v>9110030</x:v>
      </x:c>
      <x:c r="C263" s="2" t="str">
        <x:v>熊本</x:v>
      </x:c>
      <x:c r="D263" s="2" t="str">
        <x:v>一般国道3号</x:v>
      </x:c>
      <x:c r="E263" s="2" t="str">
        <x:v>熊本市南区南高江</x:v>
      </x:c>
      <x:c r="F263" s="2" t="str">
        <x:v>休日</x:v>
      </x:c>
      <x:c r="G263" s="8" t="n">
        <x:v>35900</x:v>
      </x:c>
      <x:c r="H263" s="8" t="n">
        <x:v>34100</x:v>
      </x:c>
      <x:c r="I263" s="8" t="n">
        <x:v>1800</x:v>
      </x:c>
      <x:c r="J263" s="9" t="n">
        <x:f>IF(AND(ISNUMBER(I263),ISNUMBER(G263),G263&gt;0),I263/G263,"")</x:f>
        <x:v>0.05013927576601671</x:v>
      </x:c>
      <x:c r="K263" s="9" t="n">
        <x:f>IF(AND(ISNUMBER(I263),COUNTIFS($A$2:$A$313,EDATE(A263,-12),$B$2:$B$313,B263,$F$2:$F$313,F263,$I$2:$I$313,"&gt;0")=1),I263/SUMIFS($I$2:$I$313,$A$2:$A$313,EDATE(A263,-12),$B$2:$B$313,B263,$F$2:$F$313,F263)-1,"")</x:f>
        <x:v>0.05882352941176472</x:v>
      </x:c>
      <x:c r="L263" s="2" t="str">
        <x:v>取得済</x:v>
      </x:c>
      <x:c r="M263" s="2" t="str">
        <x:v>https://www.qsr.mlit.go.jp/n-michi/useful/kotsuryo/shukei/data/tcdata.json</x:v>
      </x:c>
      <x:c r="N263" s="2" t="str">
        <x:v>https://www.qsr.mlit.go.jp/n-michi/useful/kotsuryo/shukei/data/tcmas.json</x:v>
      </x:c>
    </x:row>
    <x:row r="264" ht="21" customHeight="1">
      <x:c r="A264" s="7" t="n">
        <x:v>46023</x:v>
      </x:c>
      <x:c r="B264" s="2" t="str">
        <x:v>9110030</x:v>
      </x:c>
      <x:c r="C264" s="2" t="str">
        <x:v>熊本</x:v>
      </x:c>
      <x:c r="D264" s="2" t="str">
        <x:v>一般国道3号</x:v>
      </x:c>
      <x:c r="E264" s="2" t="str">
        <x:v>熊本市南区南高江</x:v>
      </x:c>
      <x:c r="F264" s="2" t="str">
        <x:v>全日</x:v>
      </x:c>
      <x:c r="G264" s="8" t="n">
        <x:v>36800</x:v>
      </x:c>
      <x:c r="H264" s="8" t="n">
        <x:v>33700</x:v>
      </x:c>
      <x:c r="I264" s="8" t="n">
        <x:v>3100</x:v>
      </x:c>
      <x:c r="J264" s="9" t="n">
        <x:f>IF(AND(ISNUMBER(I264),ISNUMBER(G264),G264&gt;0),I264/G264,"")</x:f>
        <x:v>0.08423913043478261</x:v>
      </x:c>
      <x:c r="K264" s="9" t="n">
        <x:f>IF(AND(ISNUMBER(I264),COUNTIFS($A$2:$A$313,EDATE(A264,-12),$B$2:$B$313,B264,$F$2:$F$313,F264,$I$2:$I$313,"&gt;0")=1),I264/SUMIFS($I$2:$I$313,$A$2:$A$313,EDATE(A264,-12),$B$2:$B$313,B264,$F$2:$F$313,F264)-1,"")</x:f>
        <x:v>0.06896551724137923</x:v>
      </x:c>
      <x:c r="L264" s="2" t="str">
        <x:v>取得済</x:v>
      </x:c>
      <x:c r="M264" s="2" t="str">
        <x:v>https://www.qsr.mlit.go.jp/n-michi/useful/kotsuryo/shukei/data/tcdata.json</x:v>
      </x:c>
      <x:c r="N264" s="2" t="str">
        <x:v>https://www.qsr.mlit.go.jp/n-michi/useful/kotsuryo/shukei/data/tcmas.json</x:v>
      </x:c>
    </x:row>
    <x:row r="265" ht="21" customHeight="1">
      <x:c r="A265" s="7" t="n">
        <x:v>46023</x:v>
      </x:c>
      <x:c r="B265" s="2" t="str">
        <x:v>9110030</x:v>
      </x:c>
      <x:c r="C265" s="2" t="str">
        <x:v>熊本</x:v>
      </x:c>
      <x:c r="D265" s="2" t="str">
        <x:v>一般国道3号</x:v>
      </x:c>
      <x:c r="E265" s="2" t="str">
        <x:v>熊本市南区南高江</x:v>
      </x:c>
      <x:c r="F265" s="2" t="str">
        <x:v>平日</x:v>
      </x:c>
      <x:c r="G265" s="8" t="n">
        <x:v>37400</x:v>
      </x:c>
      <x:c r="H265" s="8" t="n">
        <x:v>33500</x:v>
      </x:c>
      <x:c r="I265" s="8" t="n">
        <x:v>3900</x:v>
      </x:c>
      <x:c r="J265" s="9" t="n">
        <x:f>IF(AND(ISNUMBER(I265),ISNUMBER(G265),G265&gt;0),I265/G265,"")</x:f>
        <x:v>0.10427807486631016</x:v>
      </x:c>
      <x:c r="K265" s="9" t="n">
        <x:f>IF(AND(ISNUMBER(I265),COUNTIFS($A$2:$A$313,EDATE(A265,-12),$B$2:$B$313,B265,$F$2:$F$313,F265,$I$2:$I$313,"&gt;0")=1),I265/SUMIFS($I$2:$I$313,$A$2:$A$313,EDATE(A265,-12),$B$2:$B$313,B265,$F$2:$F$313,F265)-1,"")</x:f>
        <x:v>0.1470588235294117</x:v>
      </x:c>
      <x:c r="L265" s="2" t="str">
        <x:v>取得済</x:v>
      </x:c>
      <x:c r="M265" s="2" t="str">
        <x:v>https://www.qsr.mlit.go.jp/n-michi/useful/kotsuryo/shukei/data/tcdata.json</x:v>
      </x:c>
      <x:c r="N265" s="2" t="str">
        <x:v>https://www.qsr.mlit.go.jp/n-michi/useful/kotsuryo/shukei/data/tcmas.json</x:v>
      </x:c>
    </x:row>
    <x:row r="266" ht="21" customHeight="1">
      <x:c r="A266" s="7" t="n">
        <x:v>46054</x:v>
      </x:c>
      <x:c r="B266" s="2" t="str">
        <x:v>9110050</x:v>
      </x:c>
      <x:c r="C266" s="2" t="str">
        <x:v>八代</x:v>
      </x:c>
      <x:c r="D266" s="2" t="str">
        <x:v>一般国道3号</x:v>
      </x:c>
      <x:c r="E266" s="2" t="str">
        <x:v>八代市福正元町</x:v>
      </x:c>
      <x:c r="F266" s="2" t="str">
        <x:v>休日</x:v>
      </x:c>
      <x:c r="G266" s="8" t="n">
        <x:v>18600</x:v>
      </x:c>
      <x:c r="H266" s="8" t="n">
        <x:v>17100</x:v>
      </x:c>
      <x:c r="I266" s="8" t="n">
        <x:v>1500</x:v>
      </x:c>
      <x:c r="J266" s="9" t="n">
        <x:f>IF(AND(ISNUMBER(I266),ISNUMBER(G266),G266&gt;0),I266/G266,"")</x:f>
        <x:v>0.08064516129032258</x:v>
      </x:c>
      <x:c r="K266" s="9" t="n">
        <x:f>IF(AND(ISNUMBER(I266),COUNTIFS($A$2:$A$313,EDATE(A266,-12),$B$2:$B$313,B266,$F$2:$F$313,F266,$I$2:$I$313,"&gt;0")=1),I266/SUMIFS($I$2:$I$313,$A$2:$A$313,EDATE(A266,-12),$B$2:$B$313,B266,$F$2:$F$313,F266)-1,"")</x:f>
        <x:v>0.0714285714285714</x:v>
      </x:c>
      <x:c r="L266" s="2" t="str">
        <x:v>取得済</x:v>
      </x:c>
      <x:c r="M266" s="2" t="str">
        <x:v>https://www.qsr.mlit.go.jp/n-michi/useful/kotsuryo/shukei/data/tcdata.json</x:v>
      </x:c>
      <x:c r="N266" s="2" t="str">
        <x:v>https://www.qsr.mlit.go.jp/n-michi/useful/kotsuryo/shukei/data/tcmas.json</x:v>
      </x:c>
    </x:row>
    <x:row r="267" ht="21" customHeight="1">
      <x:c r="A267" s="7" t="n">
        <x:v>46054</x:v>
      </x:c>
      <x:c r="B267" s="2" t="str">
        <x:v>9110050</x:v>
      </x:c>
      <x:c r="C267" s="2" t="str">
        <x:v>八代</x:v>
      </x:c>
      <x:c r="D267" s="2" t="str">
        <x:v>一般国道3号</x:v>
      </x:c>
      <x:c r="E267" s="2" t="str">
        <x:v>八代市福正元町</x:v>
      </x:c>
      <x:c r="F267" s="2" t="str">
        <x:v>全日</x:v>
      </x:c>
      <x:c r="G267" s="8" t="n">
        <x:v>20700</x:v>
      </x:c>
      <x:c r="H267" s="8" t="n">
        <x:v>18000</x:v>
      </x:c>
      <x:c r="I267" s="8" t="n">
        <x:v>2700</x:v>
      </x:c>
      <x:c r="J267" s="9" t="n">
        <x:f>IF(AND(ISNUMBER(I267),ISNUMBER(G267),G267&gt;0),I267/G267,"")</x:f>
        <x:v>0.13043478260869565</x:v>
      </x:c>
      <x:c r="K267" s="9" t="n">
        <x:f>IF(AND(ISNUMBER(I267),COUNTIFS($A$2:$A$313,EDATE(A267,-12),$B$2:$B$313,B267,$F$2:$F$313,F267,$I$2:$I$313,"&gt;0")=1),I267/SUMIFS($I$2:$I$313,$A$2:$A$313,EDATE(A267,-12),$B$2:$B$313,B267,$F$2:$F$313,F267)-1,"")</x:f>
        <x:v>0.03846153846153855</x:v>
      </x:c>
      <x:c r="L267" s="2" t="str">
        <x:v>取得済</x:v>
      </x:c>
      <x:c r="M267" s="2" t="str">
        <x:v>https://www.qsr.mlit.go.jp/n-michi/useful/kotsuryo/shukei/data/tcdata.json</x:v>
      </x:c>
      <x:c r="N267" s="2" t="str">
        <x:v>https://www.qsr.mlit.go.jp/n-michi/useful/kotsuryo/shukei/data/tcmas.json</x:v>
      </x:c>
    </x:row>
    <x:row r="268" ht="21" customHeight="1">
      <x:c r="A268" s="7" t="n">
        <x:v>46054</x:v>
      </x:c>
      <x:c r="B268" s="2" t="str">
        <x:v>9110050</x:v>
      </x:c>
      <x:c r="C268" s="2" t="str">
        <x:v>八代</x:v>
      </x:c>
      <x:c r="D268" s="2" t="str">
        <x:v>一般国道3号</x:v>
      </x:c>
      <x:c r="E268" s="2" t="str">
        <x:v>八代市福正元町</x:v>
      </x:c>
      <x:c r="F268" s="2" t="str">
        <x:v>平日</x:v>
      </x:c>
      <x:c r="G268" s="8" t="n">
        <x:v>21800</x:v>
      </x:c>
      <x:c r="H268" s="8" t="n">
        <x:v>18500</x:v>
      </x:c>
      <x:c r="I268" s="8" t="n">
        <x:v>3300</x:v>
      </x:c>
      <x:c r="J268" s="9" t="n">
        <x:f>IF(AND(ISNUMBER(I268),ISNUMBER(G268),G268&gt;0),I268/G268,"")</x:f>
        <x:v>0.15137614678899083</x:v>
      </x:c>
      <x:c r="K268" s="9" t="n">
        <x:f>IF(AND(ISNUMBER(I268),COUNTIFS($A$2:$A$313,EDATE(A268,-12),$B$2:$B$313,B268,$F$2:$F$313,F268,$I$2:$I$313,"&gt;0")=1),I268/SUMIFS($I$2:$I$313,$A$2:$A$313,EDATE(A268,-12),$B$2:$B$313,B268,$F$2:$F$313,F268)-1,"")</x:f>
        <x:v>0.03125</x:v>
      </x:c>
      <x:c r="L268" s="2" t="str">
        <x:v>取得済</x:v>
      </x:c>
      <x:c r="M268" s="2" t="str">
        <x:v>https://www.qsr.mlit.go.jp/n-michi/useful/kotsuryo/shukei/data/tcdata.json</x:v>
      </x:c>
      <x:c r="N268" s="2" t="str">
        <x:v>https://www.qsr.mlit.go.jp/n-michi/useful/kotsuryo/shukei/data/tcmas.json</x:v>
      </x:c>
    </x:row>
    <x:row r="269" ht="21" customHeight="1">
      <x:c r="A269" s="7" t="n">
        <x:v>46054</x:v>
      </x:c>
      <x:c r="B269" s="2" t="str">
        <x:v>9310130</x:v>
      </x:c>
      <x:c r="C269" s="2" t="str">
        <x:v>大津</x:v>
      </x:c>
      <x:c r="D269" s="2" t="str">
        <x:v>一般国道57号</x:v>
      </x:c>
      <x:c r="E269" s="2" t="str">
        <x:v>菊池郡大津町室</x:v>
      </x:c>
      <x:c r="F269" s="2" t="str">
        <x:v>休日</x:v>
      </x:c>
      <x:c r="G269" s="8" t="n">
        <x:v>27800</x:v>
      </x:c>
      <x:c r="H269" s="8" t="n">
        <x:v>26600</x:v>
      </x:c>
      <x:c r="I269" s="8" t="n">
        <x:v>1200</x:v>
      </x:c>
      <x:c r="J269" s="9" t="n">
        <x:f>IF(AND(ISNUMBER(I269),ISNUMBER(G269),G269&gt;0),I269/G269,"")</x:f>
        <x:v>0.04316546762589928</x:v>
      </x:c>
      <x:c r="K269" s="9" t="n">
        <x:f>IF(AND(ISNUMBER(I269),COUNTIFS($A$2:$A$313,EDATE(A269,-12),$B$2:$B$313,B269,$F$2:$F$313,F269,$I$2:$I$313,"&gt;0")=1),I269/SUMIFS($I$2:$I$313,$A$2:$A$313,EDATE(A269,-12),$B$2:$B$313,B269,$F$2:$F$313,F269)-1,"")</x:f>
        <x:v>-0.07692307692307687</x:v>
      </x:c>
      <x:c r="L269" s="2" t="str">
        <x:v>取得済</x:v>
      </x:c>
      <x:c r="M269" s="2" t="str">
        <x:v>https://www.qsr.mlit.go.jp/n-michi/useful/kotsuryo/shukei/data/tcdata.json</x:v>
      </x:c>
      <x:c r="N269" s="2" t="str">
        <x:v>https://www.qsr.mlit.go.jp/n-michi/useful/kotsuryo/shukei/data/tcmas.json</x:v>
      </x:c>
    </x:row>
    <x:row r="270" ht="21" customHeight="1">
      <x:c r="A270" s="7" t="n">
        <x:v>46054</x:v>
      </x:c>
      <x:c r="B270" s="2" t="str">
        <x:v>9310130</x:v>
      </x:c>
      <x:c r="C270" s="2" t="str">
        <x:v>大津</x:v>
      </x:c>
      <x:c r="D270" s="2" t="str">
        <x:v>一般国道57号</x:v>
      </x:c>
      <x:c r="E270" s="2" t="str">
        <x:v>菊池郡大津町室</x:v>
      </x:c>
      <x:c r="F270" s="2" t="str">
        <x:v>全日</x:v>
      </x:c>
      <x:c r="G270" s="8" t="n">
        <x:v>28200</x:v>
      </x:c>
      <x:c r="H270" s="8" t="n">
        <x:v>26300</x:v>
      </x:c>
      <x:c r="I270" s="8" t="n">
        <x:v>1900</x:v>
      </x:c>
      <x:c r="J270" s="9" t="n">
        <x:f>IF(AND(ISNUMBER(I270),ISNUMBER(G270),G270&gt;0),I270/G270,"")</x:f>
        <x:v>0.0673758865248227</x:v>
      </x:c>
      <x:c r="K270" s="9" t="n">
        <x:f>IF(AND(ISNUMBER(I270),COUNTIFS($A$2:$A$313,EDATE(A270,-12),$B$2:$B$313,B270,$F$2:$F$313,F270,$I$2:$I$313,"&gt;0")=1),I270/SUMIFS($I$2:$I$313,$A$2:$A$313,EDATE(A270,-12),$B$2:$B$313,B270,$F$2:$F$313,F270)-1,"")</x:f>
        <x:v>-0.050000000000000044</x:v>
      </x:c>
      <x:c r="L270" s="2" t="str">
        <x:v>取得済</x:v>
      </x:c>
      <x:c r="M270" s="2" t="str">
        <x:v>https://www.qsr.mlit.go.jp/n-michi/useful/kotsuryo/shukei/data/tcdata.json</x:v>
      </x:c>
      <x:c r="N270" s="2" t="str">
        <x:v>https://www.qsr.mlit.go.jp/n-michi/useful/kotsuryo/shukei/data/tcmas.json</x:v>
      </x:c>
    </x:row>
    <x:row r="271" ht="21" customHeight="1">
      <x:c r="A271" s="7" t="n">
        <x:v>46054</x:v>
      </x:c>
      <x:c r="B271" s="2" t="str">
        <x:v>9310130</x:v>
      </x:c>
      <x:c r="C271" s="2" t="str">
        <x:v>大津</x:v>
      </x:c>
      <x:c r="D271" s="2" t="str">
        <x:v>一般国道57号</x:v>
      </x:c>
      <x:c r="E271" s="2" t="str">
        <x:v>菊池郡大津町室</x:v>
      </x:c>
      <x:c r="F271" s="2" t="str">
        <x:v>平日</x:v>
      </x:c>
      <x:c r="G271" s="8" t="n">
        <x:v>28400</x:v>
      </x:c>
      <x:c r="H271" s="8" t="n">
        <x:v>26100</x:v>
      </x:c>
      <x:c r="I271" s="8" t="n">
        <x:v>2300</x:v>
      </x:c>
      <x:c r="J271" s="9" t="n">
        <x:f>IF(AND(ISNUMBER(I271),ISNUMBER(G271),G271&gt;0),I271/G271,"")</x:f>
        <x:v>0.08098591549295775</x:v>
      </x:c>
      <x:c r="K271" s="9" t="n">
        <x:f>IF(AND(ISNUMBER(I271),COUNTIFS($A$2:$A$313,EDATE(A271,-12),$B$2:$B$313,B271,$F$2:$F$313,F271,$I$2:$I$313,"&gt;0")=1),I271/SUMIFS($I$2:$I$313,$A$2:$A$313,EDATE(A271,-12),$B$2:$B$313,B271,$F$2:$F$313,F271)-1,"")</x:f>
        <x:v>-0.04166666666666663</x:v>
      </x:c>
      <x:c r="L271" s="2" t="str">
        <x:v>取得済</x:v>
      </x:c>
      <x:c r="M271" s="2" t="str">
        <x:v>https://www.qsr.mlit.go.jp/n-michi/useful/kotsuryo/shukei/data/tcdata.json</x:v>
      </x:c>
      <x:c r="N271" s="2" t="str">
        <x:v>https://www.qsr.mlit.go.jp/n-michi/useful/kotsuryo/shukei/data/tcmas.json</x:v>
      </x:c>
    </x:row>
    <x:row r="272" ht="21" customHeight="1">
      <x:c r="A272" s="7" t="n">
        <x:v>46054</x:v>
      </x:c>
      <x:c r="B272" s="2" t="str">
        <x:v>9310140</x:v>
      </x:c>
      <x:c r="C272" s="2" t="str">
        <x:v>新南部</x:v>
      </x:c>
      <x:c r="D272" s="2" t="str">
        <x:v>一般国道57号</x:v>
      </x:c>
      <x:c r="E272" s="2" t="str">
        <x:v>熊本市東区下南部</x:v>
      </x:c>
      <x:c r="F272" s="2" t="str">
        <x:v>休日</x:v>
      </x:c>
      <x:c r="G272" s="8" t="n">
        <x:v>41300</x:v>
      </x:c>
      <x:c r="H272" s="8" t="n">
        <x:v>38600</x:v>
      </x:c>
      <x:c r="I272" s="8" t="n">
        <x:v>2700</x:v>
      </x:c>
      <x:c r="J272" s="9" t="n">
        <x:f>IF(AND(ISNUMBER(I272),ISNUMBER(G272),G272&gt;0),I272/G272,"")</x:f>
        <x:v>0.06537530266343826</x:v>
      </x:c>
      <x:c r="K272" s="9" t="n">
        <x:f>IF(AND(ISNUMBER(I272),COUNTIFS($A$2:$A$313,EDATE(A272,-12),$B$2:$B$313,B272,$F$2:$F$313,F272,$I$2:$I$313,"&gt;0")=1),I272/SUMIFS($I$2:$I$313,$A$2:$A$313,EDATE(A272,-12),$B$2:$B$313,B272,$F$2:$F$313,F272)-1,"")</x:f>
        <x:v>-0.0357142857142857</x:v>
      </x:c>
      <x:c r="L272" s="2" t="str">
        <x:v>取得済</x:v>
      </x:c>
      <x:c r="M272" s="2" t="str">
        <x:v>https://www.qsr.mlit.go.jp/n-michi/useful/kotsuryo/shukei/data/tcdata.json</x:v>
      </x:c>
      <x:c r="N272" s="2" t="str">
        <x:v>https://www.qsr.mlit.go.jp/n-michi/useful/kotsuryo/shukei/data/tcmas.json</x:v>
      </x:c>
    </x:row>
    <x:row r="273" ht="21" customHeight="1">
      <x:c r="A273" s="7" t="n">
        <x:v>46054</x:v>
      </x:c>
      <x:c r="B273" s="2" t="str">
        <x:v>9310140</x:v>
      </x:c>
      <x:c r="C273" s="2" t="str">
        <x:v>新南部</x:v>
      </x:c>
      <x:c r="D273" s="2" t="str">
        <x:v>一般国道57号</x:v>
      </x:c>
      <x:c r="E273" s="2" t="str">
        <x:v>熊本市東区下南部</x:v>
      </x:c>
      <x:c r="F273" s="2" t="str">
        <x:v>全日</x:v>
      </x:c>
      <x:c r="G273" s="8" t="n">
        <x:v>43100</x:v>
      </x:c>
      <x:c r="H273" s="8" t="n">
        <x:v>39200</x:v>
      </x:c>
      <x:c r="I273" s="8" t="n">
        <x:v>3900</x:v>
      </x:c>
      <x:c r="J273" s="9" t="n">
        <x:f>IF(AND(ISNUMBER(I273),ISNUMBER(G273),G273&gt;0),I273/G273,"")</x:f>
        <x:v>0.09048723897911833</x:v>
      </x:c>
      <x:c r="K273" s="9" t="n">
        <x:f>IF(AND(ISNUMBER(I273),COUNTIFS($A$2:$A$313,EDATE(A273,-12),$B$2:$B$313,B273,$F$2:$F$313,F273,$I$2:$I$313,"&gt;0")=1),I273/SUMIFS($I$2:$I$313,$A$2:$A$313,EDATE(A273,-12),$B$2:$B$313,B273,$F$2:$F$313,F273)-1,"")</x:f>
        <x:v>-0.04878048780487809</x:v>
      </x:c>
      <x:c r="L273" s="2" t="str">
        <x:v>取得済</x:v>
      </x:c>
      <x:c r="M273" s="2" t="str">
        <x:v>https://www.qsr.mlit.go.jp/n-michi/useful/kotsuryo/shukei/data/tcdata.json</x:v>
      </x:c>
      <x:c r="N273" s="2" t="str">
        <x:v>https://www.qsr.mlit.go.jp/n-michi/useful/kotsuryo/shukei/data/tcmas.json</x:v>
      </x:c>
    </x:row>
    <x:row r="274" ht="21" customHeight="1">
      <x:c r="A274" s="7" t="n">
        <x:v>46054</x:v>
      </x:c>
      <x:c r="B274" s="2" t="str">
        <x:v>9310140</x:v>
      </x:c>
      <x:c r="C274" s="2" t="str">
        <x:v>新南部</x:v>
      </x:c>
      <x:c r="D274" s="2" t="str">
        <x:v>一般国道57号</x:v>
      </x:c>
      <x:c r="E274" s="2" t="str">
        <x:v>熊本市東区下南部</x:v>
      </x:c>
      <x:c r="F274" s="2" t="str">
        <x:v>平日</x:v>
      </x:c>
      <x:c r="G274" s="8" t="n">
        <x:v>44200</x:v>
      </x:c>
      <x:c r="H274" s="8" t="n">
        <x:v>39500</x:v>
      </x:c>
      <x:c r="I274" s="8" t="n">
        <x:v>4700</x:v>
      </x:c>
      <x:c r="J274" s="9" t="n">
        <x:f>IF(AND(ISNUMBER(I274),ISNUMBER(G274),G274&gt;0),I274/G274,"")</x:f>
        <x:v>0.10633484162895927</x:v>
      </x:c>
      <x:c r="K274" s="9" t="n">
        <x:f>IF(AND(ISNUMBER(I274),COUNTIFS($A$2:$A$313,EDATE(A274,-12),$B$2:$B$313,B274,$F$2:$F$313,F274,$I$2:$I$313,"&gt;0")=1),I274/SUMIFS($I$2:$I$313,$A$2:$A$313,EDATE(A274,-12),$B$2:$B$313,B274,$F$2:$F$313,F274)-1,"")</x:f>
        <x:v>-0.04081632653061229</x:v>
      </x:c>
      <x:c r="L274" s="2" t="str">
        <x:v>取得済</x:v>
      </x:c>
      <x:c r="M274" s="2" t="str">
        <x:v>https://www.qsr.mlit.go.jp/n-michi/useful/kotsuryo/shukei/data/tcdata.json</x:v>
      </x:c>
      <x:c r="N274" s="2" t="str">
        <x:v>https://www.qsr.mlit.go.jp/n-michi/useful/kotsuryo/shukei/data/tcmas.json</x:v>
      </x:c>
    </x:row>
    <x:row r="275" ht="21" customHeight="1">
      <x:c r="A275" s="7" t="n">
        <x:v>46054</x:v>
      </x:c>
      <x:c r="B275" s="2" t="str">
        <x:v>9110030</x:v>
      </x:c>
      <x:c r="C275" s="2" t="str">
        <x:v>熊本</x:v>
      </x:c>
      <x:c r="D275" s="2" t="str">
        <x:v>一般国道3号</x:v>
      </x:c>
      <x:c r="E275" s="2" t="str">
        <x:v>熊本市南区南高江</x:v>
      </x:c>
      <x:c r="F275" s="2" t="str">
        <x:v>休日</x:v>
      </x:c>
      <x:c r="G275" s="8" t="n">
        <x:v>36500</x:v>
      </x:c>
      <x:c r="H275" s="8" t="n">
        <x:v>34600</x:v>
      </x:c>
      <x:c r="I275" s="8" t="n">
        <x:v>1900</x:v>
      </x:c>
      <x:c r="J275" s="9" t="n">
        <x:f>IF(AND(ISNUMBER(I275),ISNUMBER(G275),G275&gt;0),I275/G275,"")</x:f>
        <x:v>0.052054794520547946</x:v>
      </x:c>
      <x:c r="K275" s="9" t="n">
        <x:f>IF(AND(ISNUMBER(I275),COUNTIFS($A$2:$A$313,EDATE(A275,-12),$B$2:$B$313,B275,$F$2:$F$313,F275,$I$2:$I$313,"&gt;0")=1),I275/SUMIFS($I$2:$I$313,$A$2:$A$313,EDATE(A275,-12),$B$2:$B$313,B275,$F$2:$F$313,F275)-1,"")</x:f>
        <x:v>-0.050000000000000044</x:v>
      </x:c>
      <x:c r="L275" s="2" t="str">
        <x:v>取得済</x:v>
      </x:c>
      <x:c r="M275" s="2" t="str">
        <x:v>https://www.qsr.mlit.go.jp/n-michi/useful/kotsuryo/shukei/data/tcdata.json</x:v>
      </x:c>
      <x:c r="N275" s="2" t="str">
        <x:v>https://www.qsr.mlit.go.jp/n-michi/useful/kotsuryo/shukei/data/tcmas.json</x:v>
      </x:c>
    </x:row>
    <x:row r="276" ht="21" customHeight="1">
      <x:c r="A276" s="7" t="n">
        <x:v>46054</x:v>
      </x:c>
      <x:c r="B276" s="2" t="str">
        <x:v>9110030</x:v>
      </x:c>
      <x:c r="C276" s="2" t="str">
        <x:v>熊本</x:v>
      </x:c>
      <x:c r="D276" s="2" t="str">
        <x:v>一般国道3号</x:v>
      </x:c>
      <x:c r="E276" s="2" t="str">
        <x:v>熊本市南区南高江</x:v>
      </x:c>
      <x:c r="F276" s="2" t="str">
        <x:v>全日</x:v>
      </x:c>
      <x:c r="G276" s="8" t="n">
        <x:v>37300</x:v>
      </x:c>
      <x:c r="H276" s="8" t="n">
        <x:v>34100</x:v>
      </x:c>
      <x:c r="I276" s="8" t="n">
        <x:v>3200</x:v>
      </x:c>
      <x:c r="J276" s="9" t="n">
        <x:f>IF(AND(ISNUMBER(I276),ISNUMBER(G276),G276&gt;0),I276/G276,"")</x:f>
        <x:v>0.08579088471849866</x:v>
      </x:c>
      <x:c r="K276" s="9" t="n">
        <x:f>IF(AND(ISNUMBER(I276),COUNTIFS($A$2:$A$313,EDATE(A276,-12),$B$2:$B$313,B276,$F$2:$F$313,F276,$I$2:$I$313,"&gt;0")=1),I276/SUMIFS($I$2:$I$313,$A$2:$A$313,EDATE(A276,-12),$B$2:$B$313,B276,$F$2:$F$313,F276)-1,"")</x:f>
        <x:v>-0.030303030303030276</x:v>
      </x:c>
      <x:c r="L276" s="2" t="str">
        <x:v>取得済</x:v>
      </x:c>
      <x:c r="M276" s="2" t="str">
        <x:v>https://www.qsr.mlit.go.jp/n-michi/useful/kotsuryo/shukei/data/tcdata.json</x:v>
      </x:c>
      <x:c r="N276" s="2" t="str">
        <x:v>https://www.qsr.mlit.go.jp/n-michi/useful/kotsuryo/shukei/data/tcmas.json</x:v>
      </x:c>
    </x:row>
    <x:row r="277" ht="21" customHeight="1">
      <x:c r="A277" s="7" t="n">
        <x:v>46054</x:v>
      </x:c>
      <x:c r="B277" s="2" t="str">
        <x:v>9110030</x:v>
      </x:c>
      <x:c r="C277" s="2" t="str">
        <x:v>熊本</x:v>
      </x:c>
      <x:c r="D277" s="2" t="str">
        <x:v>一般国道3号</x:v>
      </x:c>
      <x:c r="E277" s="2" t="str">
        <x:v>熊本市南区南高江</x:v>
      </x:c>
      <x:c r="F277" s="2" t="str">
        <x:v>平日</x:v>
      </x:c>
      <x:c r="G277" s="8" t="n">
        <x:v>37800</x:v>
      </x:c>
      <x:c r="H277" s="8" t="n">
        <x:v>33800</x:v>
      </x:c>
      <x:c r="I277" s="8" t="n">
        <x:v>4000</x:v>
      </x:c>
      <x:c r="J277" s="9" t="n">
        <x:f>IF(AND(ISNUMBER(I277),ISNUMBER(G277),G277&gt;0),I277/G277,"")</x:f>
        <x:v>0.10582010582010581</x:v>
      </x:c>
      <x:c r="K277" s="9" t="n">
        <x:f>IF(AND(ISNUMBER(I277),COUNTIFS($A$2:$A$313,EDATE(A277,-12),$B$2:$B$313,B277,$F$2:$F$313,F277,$I$2:$I$313,"&gt;0")=1),I277/SUMIFS($I$2:$I$313,$A$2:$A$313,EDATE(A277,-12),$B$2:$B$313,B277,$F$2:$F$313,F277)-1,"")</x:f>
        <x:v>0.02564102564102555</x:v>
      </x:c>
      <x:c r="L277" s="2" t="str">
        <x:v>取得済</x:v>
      </x:c>
      <x:c r="M277" s="2" t="str">
        <x:v>https://www.qsr.mlit.go.jp/n-michi/useful/kotsuryo/shukei/data/tcdata.json</x:v>
      </x:c>
      <x:c r="N277" s="2" t="str">
        <x:v>https://www.qsr.mlit.go.jp/n-michi/useful/kotsuryo/shukei/data/tcmas.json</x:v>
      </x:c>
    </x:row>
    <x:row r="278" ht="21" customHeight="1">
      <x:c r="A278" s="7" t="n">
        <x:v>46082</x:v>
      </x:c>
      <x:c r="B278" s="2" t="str">
        <x:v>9110050</x:v>
      </x:c>
      <x:c r="C278" s="2" t="str">
        <x:v>八代</x:v>
      </x:c>
      <x:c r="D278" s="2" t="str">
        <x:v>一般国道3号</x:v>
      </x:c>
      <x:c r="E278" s="2" t="str">
        <x:v>八代市福正元町</x:v>
      </x:c>
      <x:c r="F278" s="2" t="str">
        <x:v>休日</x:v>
      </x:c>
      <x:c r="G278" s="8" t="n">
        <x:v>19300</x:v>
      </x:c>
      <x:c r="H278" s="8" t="n">
        <x:v>17900</x:v>
      </x:c>
      <x:c r="I278" s="8" t="n">
        <x:v>1400</x:v>
      </x:c>
      <x:c r="J278" s="9" t="n">
        <x:f>IF(AND(ISNUMBER(I278),ISNUMBER(G278),G278&gt;0),I278/G278,"")</x:f>
        <x:v>0.07253886010362694</x:v>
      </x:c>
      <x:c r="K278" s="9" t="n">
        <x:f>IF(AND(ISNUMBER(I278),COUNTIFS($A$2:$A$313,EDATE(A278,-12),$B$2:$B$313,B278,$F$2:$F$313,F278,$I$2:$I$313,"&gt;0")=1),I278/SUMIFS($I$2:$I$313,$A$2:$A$313,EDATE(A278,-12),$B$2:$B$313,B278,$F$2:$F$313,F278)-1,"")</x:f>
        <x:v>-0.06666666666666665</x:v>
      </x:c>
      <x:c r="L278" s="2" t="str">
        <x:v>取得済</x:v>
      </x:c>
      <x:c r="M278" s="2" t="str">
        <x:v>https://www.qsr.mlit.go.jp/n-michi/useful/kotsuryo/shukei/data/tcdata.json</x:v>
      </x:c>
      <x:c r="N278" s="2" t="str">
        <x:v>https://www.qsr.mlit.go.jp/n-michi/useful/kotsuryo/shukei/data/tcmas.json</x:v>
      </x:c>
    </x:row>
    <x:row r="279" ht="21" customHeight="1">
      <x:c r="A279" s="7" t="n">
        <x:v>46082</x:v>
      </x:c>
      <x:c r="B279" s="2" t="str">
        <x:v>9110050</x:v>
      </x:c>
      <x:c r="C279" s="2" t="str">
        <x:v>八代</x:v>
      </x:c>
      <x:c r="D279" s="2" t="str">
        <x:v>一般国道3号</x:v>
      </x:c>
      <x:c r="E279" s="2" t="str">
        <x:v>八代市福正元町</x:v>
      </x:c>
      <x:c r="F279" s="2" t="str">
        <x:v>全日</x:v>
      </x:c>
      <x:c r="G279" s="8" t="n">
        <x:v>20800</x:v>
      </x:c>
      <x:c r="H279" s="8" t="n">
        <x:v>18300</x:v>
      </x:c>
      <x:c r="I279" s="8" t="n">
        <x:v>2500</x:v>
      </x:c>
      <x:c r="J279" s="9" t="n">
        <x:f>IF(AND(ISNUMBER(I279),ISNUMBER(G279),G279&gt;0),I279/G279,"")</x:f>
        <x:v>0.1201923076923077</x:v>
      </x:c>
      <x:c r="K279" s="9" t="n">
        <x:f>IF(AND(ISNUMBER(I279),COUNTIFS($A$2:$A$313,EDATE(A279,-12),$B$2:$B$313,B279,$F$2:$F$313,F279,$I$2:$I$313,"&gt;0")=1),I279/SUMIFS($I$2:$I$313,$A$2:$A$313,EDATE(A279,-12),$B$2:$B$313,B279,$F$2:$F$313,F279)-1,"")</x:f>
        <x:v>0</x:v>
      </x:c>
      <x:c r="L279" s="2" t="str">
        <x:v>取得済</x:v>
      </x:c>
      <x:c r="M279" s="2" t="str">
        <x:v>https://www.qsr.mlit.go.jp/n-michi/useful/kotsuryo/shukei/data/tcdata.json</x:v>
      </x:c>
      <x:c r="N279" s="2" t="str">
        <x:v>https://www.qsr.mlit.go.jp/n-michi/useful/kotsuryo/shukei/data/tcmas.json</x:v>
      </x:c>
    </x:row>
    <x:row r="280" ht="21" customHeight="1">
      <x:c r="A280" s="7" t="n">
        <x:v>46082</x:v>
      </x:c>
      <x:c r="B280" s="2" t="str">
        <x:v>9110050</x:v>
      </x:c>
      <x:c r="C280" s="2" t="str">
        <x:v>八代</x:v>
      </x:c>
      <x:c r="D280" s="2" t="str">
        <x:v>一般国道3号</x:v>
      </x:c>
      <x:c r="E280" s="2" t="str">
        <x:v>八代市福正元町</x:v>
      </x:c>
      <x:c r="F280" s="2" t="str">
        <x:v>平日</x:v>
      </x:c>
      <x:c r="G280" s="8" t="n">
        <x:v>21500</x:v>
      </x:c>
      <x:c r="H280" s="8" t="n">
        <x:v>18500</x:v>
      </x:c>
      <x:c r="I280" s="8" t="n">
        <x:v>3000</x:v>
      </x:c>
      <x:c r="J280" s="9" t="n">
        <x:f>IF(AND(ISNUMBER(I280),ISNUMBER(G280),G280&gt;0),I280/G280,"")</x:f>
        <x:v>0.13953488372093023</x:v>
      </x:c>
      <x:c r="K280" s="9" t="n">
        <x:f>IF(AND(ISNUMBER(I280),COUNTIFS($A$2:$A$313,EDATE(A280,-12),$B$2:$B$313,B280,$F$2:$F$313,F280,$I$2:$I$313,"&gt;0")=1),I280/SUMIFS($I$2:$I$313,$A$2:$A$313,EDATE(A280,-12),$B$2:$B$313,B280,$F$2:$F$313,F280)-1,"")</x:f>
        <x:v>-0.032258064516129004</x:v>
      </x:c>
      <x:c r="L280" s="2" t="str">
        <x:v>取得済</x:v>
      </x:c>
      <x:c r="M280" s="2" t="str">
        <x:v>https://www.qsr.mlit.go.jp/n-michi/useful/kotsuryo/shukei/data/tcdata.json</x:v>
      </x:c>
      <x:c r="N280" s="2" t="str">
        <x:v>https://www.qsr.mlit.go.jp/n-michi/useful/kotsuryo/shukei/data/tcmas.json</x:v>
      </x:c>
    </x:row>
    <x:row r="281" ht="21" customHeight="1">
      <x:c r="A281" s="7" t="n">
        <x:v>46082</x:v>
      </x:c>
      <x:c r="B281" s="2" t="str">
        <x:v>9310130</x:v>
      </x:c>
      <x:c r="C281" s="2" t="str">
        <x:v>大津</x:v>
      </x:c>
      <x:c r="D281" s="2" t="str">
        <x:v>一般国道57号</x:v>
      </x:c>
      <x:c r="E281" s="2" t="str">
        <x:v>菊池郡大津町室</x:v>
      </x:c>
      <x:c r="F281" s="2" t="str">
        <x:v>休日</x:v>
      </x:c>
      <x:c r="G281" s="8" t="n">
        <x:v>30000</x:v>
      </x:c>
      <x:c r="H281" s="8" t="n">
        <x:v>28800</x:v>
      </x:c>
      <x:c r="I281" s="8" t="n">
        <x:v>1200</x:v>
      </x:c>
      <x:c r="J281" s="9" t="n">
        <x:f>IF(AND(ISNUMBER(I281),ISNUMBER(G281),G281&gt;0),I281/G281,"")</x:f>
        <x:v>0.04</x:v>
      </x:c>
      <x:c r="K281" s="9" t="n">
        <x:f>IF(AND(ISNUMBER(I281),COUNTIFS($A$2:$A$313,EDATE(A281,-12),$B$2:$B$313,B281,$F$2:$F$313,F281,$I$2:$I$313,"&gt;0")=1),I281/SUMIFS($I$2:$I$313,$A$2:$A$313,EDATE(A281,-12),$B$2:$B$313,B281,$F$2:$F$313,F281)-1,"")</x:f>
        <x:v>-0.1428571428571429</x:v>
      </x:c>
      <x:c r="L281" s="2" t="str">
        <x:v>取得済</x:v>
      </x:c>
      <x:c r="M281" s="2" t="str">
        <x:v>https://www.qsr.mlit.go.jp/n-michi/useful/kotsuryo/shukei/data/tcdata.json</x:v>
      </x:c>
      <x:c r="N281" s="2" t="str">
        <x:v>https://www.qsr.mlit.go.jp/n-michi/useful/kotsuryo/shukei/data/tcmas.json</x:v>
      </x:c>
    </x:row>
    <x:row r="282" ht="21" customHeight="1">
      <x:c r="A282" s="7" t="n">
        <x:v>46082</x:v>
      </x:c>
      <x:c r="B282" s="2" t="str">
        <x:v>9310130</x:v>
      </x:c>
      <x:c r="C282" s="2" t="str">
        <x:v>大津</x:v>
      </x:c>
      <x:c r="D282" s="2" t="str">
        <x:v>一般国道57号</x:v>
      </x:c>
      <x:c r="E282" s="2" t="str">
        <x:v>菊池郡大津町室</x:v>
      </x:c>
      <x:c r="F282" s="2" t="str">
        <x:v>全日</x:v>
      </x:c>
      <x:c r="G282" s="8" t="n">
        <x:v>29700</x:v>
      </x:c>
      <x:c r="H282" s="8" t="n">
        <x:v>27700</x:v>
      </x:c>
      <x:c r="I282" s="8" t="n">
        <x:v>2000</x:v>
      </x:c>
      <x:c r="J282" s="9" t="n">
        <x:f>IF(AND(ISNUMBER(I282),ISNUMBER(G282),G282&gt;0),I282/G282,"")</x:f>
        <x:v>0.06734006734006734</x:v>
      </x:c>
      <x:c r="K282" s="9" t="n">
        <x:f>IF(AND(ISNUMBER(I282),COUNTIFS($A$2:$A$313,EDATE(A282,-12),$B$2:$B$313,B282,$F$2:$F$313,F282,$I$2:$I$313,"&gt;0")=1),I282/SUMIFS($I$2:$I$313,$A$2:$A$313,EDATE(A282,-12),$B$2:$B$313,B282,$F$2:$F$313,F282)-1,"")</x:f>
        <x:v>0</x:v>
      </x:c>
      <x:c r="L282" s="2" t="str">
        <x:v>取得済</x:v>
      </x:c>
      <x:c r="M282" s="2" t="str">
        <x:v>https://www.qsr.mlit.go.jp/n-michi/useful/kotsuryo/shukei/data/tcdata.json</x:v>
      </x:c>
      <x:c r="N282" s="2" t="str">
        <x:v>https://www.qsr.mlit.go.jp/n-michi/useful/kotsuryo/shukei/data/tcmas.json</x:v>
      </x:c>
    </x:row>
    <x:row r="283" ht="21" customHeight="1">
      <x:c r="A283" s="7" t="n">
        <x:v>46082</x:v>
      </x:c>
      <x:c r="B283" s="2" t="str">
        <x:v>9310130</x:v>
      </x:c>
      <x:c r="C283" s="2" t="str">
        <x:v>大津</x:v>
      </x:c>
      <x:c r="D283" s="2" t="str">
        <x:v>一般国道57号</x:v>
      </x:c>
      <x:c r="E283" s="2" t="str">
        <x:v>菊池郡大津町室</x:v>
      </x:c>
      <x:c r="F283" s="2" t="str">
        <x:v>平日</x:v>
      </x:c>
      <x:c r="G283" s="8" t="n">
        <x:v>29500</x:v>
      </x:c>
      <x:c r="H283" s="8" t="n">
        <x:v>27200</x:v>
      </x:c>
      <x:c r="I283" s="8" t="n">
        <x:v>2300</x:v>
      </x:c>
      <x:c r="J283" s="9" t="n">
        <x:f>IF(AND(ISNUMBER(I283),ISNUMBER(G283),G283&gt;0),I283/G283,"")</x:f>
        <x:v>0.07796610169491526</x:v>
      </x:c>
      <x:c r="K283" s="9" t="n">
        <x:f>IF(AND(ISNUMBER(I283),COUNTIFS($A$2:$A$313,EDATE(A283,-12),$B$2:$B$313,B283,$F$2:$F$313,F283,$I$2:$I$313,"&gt;0")=1),I283/SUMIFS($I$2:$I$313,$A$2:$A$313,EDATE(A283,-12),$B$2:$B$313,B283,$F$2:$F$313,F283)-1,"")</x:f>
        <x:v>0</x:v>
      </x:c>
      <x:c r="L283" s="2" t="str">
        <x:v>取得済</x:v>
      </x:c>
      <x:c r="M283" s="2" t="str">
        <x:v>https://www.qsr.mlit.go.jp/n-michi/useful/kotsuryo/shukei/data/tcdata.json</x:v>
      </x:c>
      <x:c r="N283" s="2" t="str">
        <x:v>https://www.qsr.mlit.go.jp/n-michi/useful/kotsuryo/shukei/data/tcmas.json</x:v>
      </x:c>
    </x:row>
    <x:row r="284" ht="21" customHeight="1">
      <x:c r="A284" s="7" t="n">
        <x:v>46082</x:v>
      </x:c>
      <x:c r="B284" s="2" t="str">
        <x:v>9310140</x:v>
      </x:c>
      <x:c r="C284" s="2" t="str">
        <x:v>新南部</x:v>
      </x:c>
      <x:c r="D284" s="2" t="str">
        <x:v>一般国道57号</x:v>
      </x:c>
      <x:c r="E284" s="2" t="str">
        <x:v>熊本市東区下南部</x:v>
      </x:c>
      <x:c r="F284" s="2" t="str">
        <x:v>休日</x:v>
      </x:c>
      <x:c r="G284" s="8" t="n">
        <x:v>42700</x:v>
      </x:c>
      <x:c r="H284" s="8" t="n">
        <x:v>39900</x:v>
      </x:c>
      <x:c r="I284" s="8" t="n">
        <x:v>2800</x:v>
      </x:c>
      <x:c r="J284" s="9" t="n">
        <x:f>IF(AND(ISNUMBER(I284),ISNUMBER(G284),G284&gt;0),I284/G284,"")</x:f>
        <x:v>0.06557377049180328</x:v>
      </x:c>
      <x:c r="K284" s="9" t="n">
        <x:f>IF(AND(ISNUMBER(I284),COUNTIFS($A$2:$A$313,EDATE(A284,-12),$B$2:$B$313,B284,$F$2:$F$313,F284,$I$2:$I$313,"&gt;0")=1),I284/SUMIFS($I$2:$I$313,$A$2:$A$313,EDATE(A284,-12),$B$2:$B$313,B284,$F$2:$F$313,F284)-1,"")</x:f>
        <x:v>-0.03448275862068961</x:v>
      </x:c>
      <x:c r="L284" s="2" t="str">
        <x:v>取得済</x:v>
      </x:c>
      <x:c r="M284" s="2" t="str">
        <x:v>https://www.qsr.mlit.go.jp/n-michi/useful/kotsuryo/shukei/data/tcdata.json</x:v>
      </x:c>
      <x:c r="N284" s="2" t="str">
        <x:v>https://www.qsr.mlit.go.jp/n-michi/useful/kotsuryo/shukei/data/tcmas.json</x:v>
      </x:c>
    </x:row>
    <x:row r="285" ht="21" customHeight="1">
      <x:c r="A285" s="7" t="n">
        <x:v>46082</x:v>
      </x:c>
      <x:c r="B285" s="2" t="str">
        <x:v>9310140</x:v>
      </x:c>
      <x:c r="C285" s="2" t="str">
        <x:v>新南部</x:v>
      </x:c>
      <x:c r="D285" s="2" t="str">
        <x:v>一般国道57号</x:v>
      </x:c>
      <x:c r="E285" s="2" t="str">
        <x:v>熊本市東区下南部</x:v>
      </x:c>
      <x:c r="F285" s="2" t="str">
        <x:v>全日</x:v>
      </x:c>
      <x:c r="G285" s="8" t="n">
        <x:v>44200</x:v>
      </x:c>
      <x:c r="H285" s="8" t="n">
        <x:v>40000</x:v>
      </x:c>
      <x:c r="I285" s="8" t="n">
        <x:v>4200</x:v>
      </x:c>
      <x:c r="J285" s="9" t="n">
        <x:f>IF(AND(ISNUMBER(I285),ISNUMBER(G285),G285&gt;0),I285/G285,"")</x:f>
        <x:v>0.09502262443438914</x:v>
      </x:c>
      <x:c r="K285" s="9" t="n">
        <x:f>IF(AND(ISNUMBER(I285),COUNTIFS($A$2:$A$313,EDATE(A285,-12),$B$2:$B$313,B285,$F$2:$F$313,F285,$I$2:$I$313,"&gt;0")=1),I285/SUMIFS($I$2:$I$313,$A$2:$A$313,EDATE(A285,-12),$B$2:$B$313,B285,$F$2:$F$313,F285)-1,"")</x:f>
        <x:v>0</x:v>
      </x:c>
      <x:c r="L285" s="2" t="str">
        <x:v>取得済</x:v>
      </x:c>
      <x:c r="M285" s="2" t="str">
        <x:v>https://www.qsr.mlit.go.jp/n-michi/useful/kotsuryo/shukei/data/tcdata.json</x:v>
      </x:c>
      <x:c r="N285" s="2" t="str">
        <x:v>https://www.qsr.mlit.go.jp/n-michi/useful/kotsuryo/shukei/data/tcmas.json</x:v>
      </x:c>
    </x:row>
    <x:row r="286" ht="21" customHeight="1">
      <x:c r="A286" s="7" t="n">
        <x:v>46082</x:v>
      </x:c>
      <x:c r="B286" s="2" t="str">
        <x:v>9310140</x:v>
      </x:c>
      <x:c r="C286" s="2" t="str">
        <x:v>新南部</x:v>
      </x:c>
      <x:c r="D286" s="2" t="str">
        <x:v>一般国道57号</x:v>
      </x:c>
      <x:c r="E286" s="2" t="str">
        <x:v>熊本市東区下南部</x:v>
      </x:c>
      <x:c r="F286" s="2" t="str">
        <x:v>平日</x:v>
      </x:c>
      <x:c r="G286" s="8" t="n">
        <x:v>44900</x:v>
      </x:c>
      <x:c r="H286" s="8" t="n">
        <x:v>40000</x:v>
      </x:c>
      <x:c r="I286" s="8" t="n">
        <x:v>4900</x:v>
      </x:c>
      <x:c r="J286" s="9" t="n">
        <x:f>IF(AND(ISNUMBER(I286),ISNUMBER(G286),G286&gt;0),I286/G286,"")</x:f>
        <x:v>0.1091314031180401</x:v>
      </x:c>
      <x:c r="K286" s="9" t="n">
        <x:f>IF(AND(ISNUMBER(I286),COUNTIFS($A$2:$A$313,EDATE(A286,-12),$B$2:$B$313,B286,$F$2:$F$313,F286,$I$2:$I$313,"&gt;0")=1),I286/SUMIFS($I$2:$I$313,$A$2:$A$313,EDATE(A286,-12),$B$2:$B$313,B286,$F$2:$F$313,F286)-1,"")</x:f>
        <x:v>0</x:v>
      </x:c>
      <x:c r="L286" s="2" t="str">
        <x:v>取得済</x:v>
      </x:c>
      <x:c r="M286" s="2" t="str">
        <x:v>https://www.qsr.mlit.go.jp/n-michi/useful/kotsuryo/shukei/data/tcdata.json</x:v>
      </x:c>
      <x:c r="N286" s="2" t="str">
        <x:v>https://www.qsr.mlit.go.jp/n-michi/useful/kotsuryo/shukei/data/tcmas.json</x:v>
      </x:c>
    </x:row>
    <x:row r="287" ht="21" customHeight="1">
      <x:c r="A287" s="7" t="n">
        <x:v>46082</x:v>
      </x:c>
      <x:c r="B287" s="2" t="str">
        <x:v>9110030</x:v>
      </x:c>
      <x:c r="C287" s="2" t="str">
        <x:v>熊本</x:v>
      </x:c>
      <x:c r="D287" s="2" t="str">
        <x:v>一般国道3号</x:v>
      </x:c>
      <x:c r="E287" s="2" t="str">
        <x:v>熊本市南区南高江</x:v>
      </x:c>
      <x:c r="F287" s="2" t="str">
        <x:v>休日</x:v>
      </x:c>
      <x:c r="G287" s="8" t="n">
        <x:v>37900</x:v>
      </x:c>
      <x:c r="H287" s="8" t="n">
        <x:v>35900</x:v>
      </x:c>
      <x:c r="I287" s="8" t="n">
        <x:v>2000</x:v>
      </x:c>
      <x:c r="J287" s="9" t="n">
        <x:f>IF(AND(ISNUMBER(I287),ISNUMBER(G287),G287&gt;0),I287/G287,"")</x:f>
        <x:v>0.052770448548812667</x:v>
      </x:c>
      <x:c r="K287" s="9" t="n">
        <x:f>IF(AND(ISNUMBER(I287),COUNTIFS($A$2:$A$313,EDATE(A287,-12),$B$2:$B$313,B287,$F$2:$F$313,F287,$I$2:$I$313,"&gt;0")=1),I287/SUMIFS($I$2:$I$313,$A$2:$A$313,EDATE(A287,-12),$B$2:$B$313,B287,$F$2:$F$313,F287)-1,"")</x:f>
        <x:v>-0.09090909090909094</x:v>
      </x:c>
      <x:c r="L287" s="2" t="str">
        <x:v>取得済</x:v>
      </x:c>
      <x:c r="M287" s="2" t="str">
        <x:v>https://www.qsr.mlit.go.jp/n-michi/useful/kotsuryo/shukei/data/tcdata.json</x:v>
      </x:c>
      <x:c r="N287" s="2" t="str">
        <x:v>https://www.qsr.mlit.go.jp/n-michi/useful/kotsuryo/shukei/data/tcmas.json</x:v>
      </x:c>
    </x:row>
    <x:row r="288" ht="21" customHeight="1">
      <x:c r="A288" s="7" t="n">
        <x:v>46082</x:v>
      </x:c>
      <x:c r="B288" s="2" t="str">
        <x:v>9110030</x:v>
      </x:c>
      <x:c r="C288" s="2" t="str">
        <x:v>熊本</x:v>
      </x:c>
      <x:c r="D288" s="2" t="str">
        <x:v>一般国道3号</x:v>
      </x:c>
      <x:c r="E288" s="2" t="str">
        <x:v>熊本市南区南高江</x:v>
      </x:c>
      <x:c r="F288" s="2" t="str">
        <x:v>全日</x:v>
      </x:c>
      <x:c r="G288" s="8" t="n">
        <x:v>38200</x:v>
      </x:c>
      <x:c r="H288" s="8" t="n">
        <x:v>34900</x:v>
      </x:c>
      <x:c r="I288" s="8" t="n">
        <x:v>3300</x:v>
      </x:c>
      <x:c r="J288" s="9" t="n">
        <x:f>IF(AND(ISNUMBER(I288),ISNUMBER(G288),G288&gt;0),I288/G288,"")</x:f>
        <x:v>0.08638743455497382</x:v>
      </x:c>
      <x:c r="K288" s="9" t="n">
        <x:f>IF(AND(ISNUMBER(I288),COUNTIFS($A$2:$A$313,EDATE(A288,-12),$B$2:$B$313,B288,$F$2:$F$313,F288,$I$2:$I$313,"&gt;0")=1),I288/SUMIFS($I$2:$I$313,$A$2:$A$313,EDATE(A288,-12),$B$2:$B$313,B288,$F$2:$F$313,F288)-1,"")</x:f>
        <x:v>0</x:v>
      </x:c>
      <x:c r="L288" s="2" t="str">
        <x:v>取得済</x:v>
      </x:c>
      <x:c r="M288" s="2" t="str">
        <x:v>https://www.qsr.mlit.go.jp/n-michi/useful/kotsuryo/shukei/data/tcdata.json</x:v>
      </x:c>
      <x:c r="N288" s="2" t="str">
        <x:v>https://www.qsr.mlit.go.jp/n-michi/useful/kotsuryo/shukei/data/tcmas.json</x:v>
      </x:c>
    </x:row>
    <x:row r="289" ht="21" customHeight="1">
      <x:c r="A289" s="7" t="n">
        <x:v>46082</x:v>
      </x:c>
      <x:c r="B289" s="2" t="str">
        <x:v>9110030</x:v>
      </x:c>
      <x:c r="C289" s="2" t="str">
        <x:v>熊本</x:v>
      </x:c>
      <x:c r="D289" s="2" t="str">
        <x:v>一般国道3号</x:v>
      </x:c>
      <x:c r="E289" s="2" t="str">
        <x:v>熊本市南区南高江</x:v>
      </x:c>
      <x:c r="F289" s="2" t="str">
        <x:v>平日</x:v>
      </x:c>
      <x:c r="G289" s="8" t="n">
        <x:v>38400</x:v>
      </x:c>
      <x:c r="H289" s="8" t="n">
        <x:v>34500</x:v>
      </x:c>
      <x:c r="I289" s="8" t="n">
        <x:v>3900</x:v>
      </x:c>
      <x:c r="J289" s="9" t="n">
        <x:f>IF(AND(ISNUMBER(I289),ISNUMBER(G289),G289&gt;0),I289/G289,"")</x:f>
        <x:v>0.1015625</x:v>
      </x:c>
      <x:c r="K289" s="9" t="n">
        <x:f>IF(AND(ISNUMBER(I289),COUNTIFS($A$2:$A$313,EDATE(A289,-12),$B$2:$B$313,B289,$F$2:$F$313,F289,$I$2:$I$313,"&gt;0")=1),I289/SUMIFS($I$2:$I$313,$A$2:$A$313,EDATE(A289,-12),$B$2:$B$313,B289,$F$2:$F$313,F289)-1,"")</x:f>
        <x:v>-0.025000000000000022</x:v>
      </x:c>
      <x:c r="L289" s="2" t="str">
        <x:v>取得済</x:v>
      </x:c>
      <x:c r="M289" s="2" t="str">
        <x:v>https://www.qsr.mlit.go.jp/n-michi/useful/kotsuryo/shukei/data/tcdata.json</x:v>
      </x:c>
      <x:c r="N289" s="2" t="str">
        <x:v>https://www.qsr.mlit.go.jp/n-michi/useful/kotsuryo/shukei/data/tcmas.json</x:v>
      </x:c>
    </x:row>
    <x:row r="290" ht="21" customHeight="1">
      <x:c r="A290" s="7" t="n">
        <x:v>46113</x:v>
      </x:c>
      <x:c r="B290" s="2" t="str">
        <x:v>9110050</x:v>
      </x:c>
      <x:c r="C290" s="2" t="str">
        <x:v>八代</x:v>
      </x:c>
      <x:c r="D290" s="2" t="str">
        <x:v>一般国道3号</x:v>
      </x:c>
      <x:c r="E290" s="2" t="str">
        <x:v>八代市福正元町</x:v>
      </x:c>
      <x:c r="F290" s="2" t="str">
        <x:v>休日</x:v>
      </x:c>
      <x:c r="G290" s="8" t="n">
        <x:v>18700</x:v>
      </x:c>
      <x:c r="H290" s="8" t="n">
        <x:v>17400</x:v>
      </x:c>
      <x:c r="I290" s="8" t="n">
        <x:v>1300</x:v>
      </x:c>
      <x:c r="J290" s="9" t="n">
        <x:f>IF(AND(ISNUMBER(I290),ISNUMBER(G290),G290&gt;0),I290/G290,"")</x:f>
        <x:v>0.06951871657754011</x:v>
      </x:c>
      <x:c r="K290" s="9" t="n">
        <x:f>IF(AND(ISNUMBER(I290),COUNTIFS($A$2:$A$313,EDATE(A290,-12),$B$2:$B$313,B290,$F$2:$F$313,F290,$I$2:$I$313,"&gt;0")=1),I290/SUMIFS($I$2:$I$313,$A$2:$A$313,EDATE(A290,-12),$B$2:$B$313,B290,$F$2:$F$313,F290)-1,"")</x:f>
        <x:v>-0.0714285714285714</x:v>
      </x:c>
      <x:c r="L290" s="2" t="str">
        <x:v>取得済</x:v>
      </x:c>
      <x:c r="M290" s="2" t="str">
        <x:v>https://www.qsr.mlit.go.jp/n-michi/useful/kotsuryo/shukei/data/tcdata.json</x:v>
      </x:c>
      <x:c r="N290" s="2" t="str">
        <x:v>https://www.qsr.mlit.go.jp/n-michi/useful/kotsuryo/shukei/data/tcmas.json</x:v>
      </x:c>
    </x:row>
    <x:row r="291" ht="21" customHeight="1">
      <x:c r="A291" s="7" t="n">
        <x:v>46113</x:v>
      </x:c>
      <x:c r="B291" s="2" t="str">
        <x:v>9110050</x:v>
      </x:c>
      <x:c r="C291" s="2" t="str">
        <x:v>八代</x:v>
      </x:c>
      <x:c r="D291" s="2" t="str">
        <x:v>一般国道3号</x:v>
      </x:c>
      <x:c r="E291" s="2" t="str">
        <x:v>八代市福正元町</x:v>
      </x:c>
      <x:c r="F291" s="2" t="str">
        <x:v>全日</x:v>
      </x:c>
      <x:c r="G291" s="8" t="n">
        <x:v>20500</x:v>
      </x:c>
      <x:c r="H291" s="8" t="n">
        <x:v>18000</x:v>
      </x:c>
      <x:c r="I291" s="8" t="n">
        <x:v>2500</x:v>
      </x:c>
      <x:c r="J291" s="9" t="n">
        <x:f>IF(AND(ISNUMBER(I291),ISNUMBER(G291),G291&gt;0),I291/G291,"")</x:f>
        <x:v>0.12195121951219512</x:v>
      </x:c>
      <x:c r="K291" s="9" t="n">
        <x:f>IF(AND(ISNUMBER(I291),COUNTIFS($A$2:$A$313,EDATE(A291,-12),$B$2:$B$313,B291,$F$2:$F$313,F291,$I$2:$I$313,"&gt;0")=1),I291/SUMIFS($I$2:$I$313,$A$2:$A$313,EDATE(A291,-12),$B$2:$B$313,B291,$F$2:$F$313,F291)-1,"")</x:f>
        <x:v>-0.038461538461538436</x:v>
      </x:c>
      <x:c r="L291" s="2" t="str">
        <x:v>取得済</x:v>
      </x:c>
      <x:c r="M291" s="2" t="str">
        <x:v>https://www.qsr.mlit.go.jp/n-michi/useful/kotsuryo/shukei/data/tcdata.json</x:v>
      </x:c>
      <x:c r="N291" s="2" t="str">
        <x:v>https://www.qsr.mlit.go.jp/n-michi/useful/kotsuryo/shukei/data/tcmas.json</x:v>
      </x:c>
    </x:row>
    <x:row r="292" ht="21" customHeight="1">
      <x:c r="A292" s="7" t="n">
        <x:v>46113</x:v>
      </x:c>
      <x:c r="B292" s="2" t="str">
        <x:v>9110050</x:v>
      </x:c>
      <x:c r="C292" s="2" t="str">
        <x:v>八代</x:v>
      </x:c>
      <x:c r="D292" s="2" t="str">
        <x:v>一般国道3号</x:v>
      </x:c>
      <x:c r="E292" s="2" t="str">
        <x:v>八代市福正元町</x:v>
      </x:c>
      <x:c r="F292" s="2" t="str">
        <x:v>平日</x:v>
      </x:c>
      <x:c r="G292" s="8" t="n">
        <x:v>21200</x:v>
      </x:c>
      <x:c r="H292" s="8" t="n">
        <x:v>18300</x:v>
      </x:c>
      <x:c r="I292" s="8" t="n">
        <x:v>2900</x:v>
      </x:c>
      <x:c r="J292" s="9" t="n">
        <x:f>IF(AND(ISNUMBER(I292),ISNUMBER(G292),G292&gt;0),I292/G292,"")</x:f>
        <x:v>0.13679245283018868</x:v>
      </x:c>
      <x:c r="K292" s="9" t="n">
        <x:f>IF(AND(ISNUMBER(I292),COUNTIFS($A$2:$A$313,EDATE(A292,-12),$B$2:$B$313,B292,$F$2:$F$313,F292,$I$2:$I$313,"&gt;0")=1),I292/SUMIFS($I$2:$I$313,$A$2:$A$313,EDATE(A292,-12),$B$2:$B$313,B292,$F$2:$F$313,F292)-1,"")</x:f>
        <x:v>-0.06451612903225812</x:v>
      </x:c>
      <x:c r="L292" s="2" t="str">
        <x:v>取得済</x:v>
      </x:c>
      <x:c r="M292" s="2" t="str">
        <x:v>https://www.qsr.mlit.go.jp/n-michi/useful/kotsuryo/shukei/data/tcdata.json</x:v>
      </x:c>
      <x:c r="N292" s="2" t="str">
        <x:v>https://www.qsr.mlit.go.jp/n-michi/useful/kotsuryo/shukei/data/tcmas.json</x:v>
      </x:c>
    </x:row>
    <x:row r="293" ht="21" customHeight="1">
      <x:c r="A293" s="7" t="n">
        <x:v>46113</x:v>
      </x:c>
      <x:c r="B293" s="2" t="str">
        <x:v>9310130</x:v>
      </x:c>
      <x:c r="C293" s="2" t="str">
        <x:v>大津</x:v>
      </x:c>
      <x:c r="D293" s="2" t="str">
        <x:v>一般国道57号</x:v>
      </x:c>
      <x:c r="E293" s="2" t="str">
        <x:v>菊池郡大津町室</x:v>
      </x:c>
      <x:c r="F293" s="2" t="str">
        <x:v>休日</x:v>
      </x:c>
      <x:c r="G293" s="8" t="n">
        <x:v>29700</x:v>
      </x:c>
      <x:c r="H293" s="8" t="n">
        <x:v>28500</x:v>
      </x:c>
      <x:c r="I293" s="8" t="n">
        <x:v>1200</x:v>
      </x:c>
      <x:c r="J293" s="9" t="n">
        <x:f>IF(AND(ISNUMBER(I293),ISNUMBER(G293),G293&gt;0),I293/G293,"")</x:f>
        <x:v>0.04040404040404041</x:v>
      </x:c>
      <x:c r="K293" s="9" t="n">
        <x:f>IF(AND(ISNUMBER(I293),COUNTIFS($A$2:$A$313,EDATE(A293,-12),$B$2:$B$313,B293,$F$2:$F$313,F293,$I$2:$I$313,"&gt;0")=1),I293/SUMIFS($I$2:$I$313,$A$2:$A$313,EDATE(A293,-12),$B$2:$B$313,B293,$F$2:$F$313,F293)-1,"")</x:f>
        <x:v>0</x:v>
      </x:c>
      <x:c r="L293" s="2" t="str">
        <x:v>取得済</x:v>
      </x:c>
      <x:c r="M293" s="2" t="str">
        <x:v>https://www.qsr.mlit.go.jp/n-michi/useful/kotsuryo/shukei/data/tcdata.json</x:v>
      </x:c>
      <x:c r="N293" s="2" t="str">
        <x:v>https://www.qsr.mlit.go.jp/n-michi/useful/kotsuryo/shukei/data/tcmas.json</x:v>
      </x:c>
    </x:row>
    <x:row r="294" ht="21" customHeight="1">
      <x:c r="A294" s="7" t="n">
        <x:v>46113</x:v>
      </x:c>
      <x:c r="B294" s="2" t="str">
        <x:v>9310130</x:v>
      </x:c>
      <x:c r="C294" s="2" t="str">
        <x:v>大津</x:v>
      </x:c>
      <x:c r="D294" s="2" t="str">
        <x:v>一般国道57号</x:v>
      </x:c>
      <x:c r="E294" s="2" t="str">
        <x:v>菊池郡大津町室</x:v>
      </x:c>
      <x:c r="F294" s="2" t="str">
        <x:v>全日</x:v>
      </x:c>
      <x:c r="G294" s="8" t="n">
        <x:v>29400</x:v>
      </x:c>
      <x:c r="H294" s="8" t="n">
        <x:v>27400</x:v>
      </x:c>
      <x:c r="I294" s="8" t="n">
        <x:v>2000</x:v>
      </x:c>
      <x:c r="J294" s="9" t="n">
        <x:f>IF(AND(ISNUMBER(I294),ISNUMBER(G294),G294&gt;0),I294/G294,"")</x:f>
        <x:v>0.06802721088435375</x:v>
      </x:c>
      <x:c r="K294" s="9" t="n">
        <x:f>IF(AND(ISNUMBER(I294),COUNTIFS($A$2:$A$313,EDATE(A294,-12),$B$2:$B$313,B294,$F$2:$F$313,F294,$I$2:$I$313,"&gt;0")=1),I294/SUMIFS($I$2:$I$313,$A$2:$A$313,EDATE(A294,-12),$B$2:$B$313,B294,$F$2:$F$313,F294)-1,"")</x:f>
        <x:v>0.05263157894736836</x:v>
      </x:c>
      <x:c r="L294" s="2" t="str">
        <x:v>取得済</x:v>
      </x:c>
      <x:c r="M294" s="2" t="str">
        <x:v>https://www.qsr.mlit.go.jp/n-michi/useful/kotsuryo/shukei/data/tcdata.json</x:v>
      </x:c>
      <x:c r="N294" s="2" t="str">
        <x:v>https://www.qsr.mlit.go.jp/n-michi/useful/kotsuryo/shukei/data/tcmas.json</x:v>
      </x:c>
    </x:row>
    <x:row r="295" ht="21" customHeight="1">
      <x:c r="A295" s="7" t="n">
        <x:v>46113</x:v>
      </x:c>
      <x:c r="B295" s="2" t="str">
        <x:v>9310130</x:v>
      </x:c>
      <x:c r="C295" s="2" t="str">
        <x:v>大津</x:v>
      </x:c>
      <x:c r="D295" s="2" t="str">
        <x:v>一般国道57号</x:v>
      </x:c>
      <x:c r="E295" s="2" t="str">
        <x:v>菊池郡大津町室</x:v>
      </x:c>
      <x:c r="F295" s="2" t="str">
        <x:v>平日</x:v>
      </x:c>
      <x:c r="G295" s="8" t="n">
        <x:v>29200</x:v>
      </x:c>
      <x:c r="H295" s="8" t="n">
        <x:v>27000</x:v>
      </x:c>
      <x:c r="I295" s="8" t="n">
        <x:v>2200</x:v>
      </x:c>
      <x:c r="J295" s="9" t="n">
        <x:f>IF(AND(ISNUMBER(I295),ISNUMBER(G295),G295&gt;0),I295/G295,"")</x:f>
        <x:v>0.07534246575342465</x:v>
      </x:c>
      <x:c r="K295" s="9" t="n">
        <x:f>IF(AND(ISNUMBER(I295),COUNTIFS($A$2:$A$313,EDATE(A295,-12),$B$2:$B$313,B295,$F$2:$F$313,F295,$I$2:$I$313,"&gt;0")=1),I295/SUMIFS($I$2:$I$313,$A$2:$A$313,EDATE(A295,-12),$B$2:$B$313,B295,$F$2:$F$313,F295)-1,"")</x:f>
        <x:v>-0.04347826086956519</x:v>
      </x:c>
      <x:c r="L295" s="2" t="str">
        <x:v>取得済</x:v>
      </x:c>
      <x:c r="M295" s="2" t="str">
        <x:v>https://www.qsr.mlit.go.jp/n-michi/useful/kotsuryo/shukei/data/tcdata.json</x:v>
      </x:c>
      <x:c r="N295" s="2" t="str">
        <x:v>https://www.qsr.mlit.go.jp/n-michi/useful/kotsuryo/shukei/data/tcmas.json</x:v>
      </x:c>
    </x:row>
    <x:row r="296" ht="21" customHeight="1">
      <x:c r="A296" s="7" t="n">
        <x:v>46113</x:v>
      </x:c>
      <x:c r="B296" s="2" t="str">
        <x:v>9310140</x:v>
      </x:c>
      <x:c r="C296" s="2" t="str">
        <x:v>新南部</x:v>
      </x:c>
      <x:c r="D296" s="2" t="str">
        <x:v>一般国道57号</x:v>
      </x:c>
      <x:c r="E296" s="2" t="str">
        <x:v>熊本市東区下南部</x:v>
      </x:c>
      <x:c r="F296" s="2" t="str">
        <x:v>休日</x:v>
      </x:c>
      <x:c r="G296" s="8" t="n">
        <x:v>42000</x:v>
      </x:c>
      <x:c r="H296" s="8" t="n">
        <x:v>39400</x:v>
      </x:c>
      <x:c r="I296" s="8" t="n">
        <x:v>2600</x:v>
      </x:c>
      <x:c r="J296" s="9" t="n">
        <x:f>IF(AND(ISNUMBER(I296),ISNUMBER(G296),G296&gt;0),I296/G296,"")</x:f>
        <x:v>0.06190476190476191</x:v>
      </x:c>
      <x:c r="K296" s="9" t="n">
        <x:f>IF(AND(ISNUMBER(I296),COUNTIFS($A$2:$A$313,EDATE(A296,-12),$B$2:$B$313,B296,$F$2:$F$313,F296,$I$2:$I$313,"&gt;0")=1),I296/SUMIFS($I$2:$I$313,$A$2:$A$313,EDATE(A296,-12),$B$2:$B$313,B296,$F$2:$F$313,F296)-1,"")</x:f>
        <x:v>-0.03703703703703709</x:v>
      </x:c>
      <x:c r="L296" s="2" t="str">
        <x:v>取得済</x:v>
      </x:c>
      <x:c r="M296" s="2" t="str">
        <x:v>https://www.qsr.mlit.go.jp/n-michi/useful/kotsuryo/shukei/data/tcdata.json</x:v>
      </x:c>
      <x:c r="N296" s="2" t="str">
        <x:v>https://www.qsr.mlit.go.jp/n-michi/useful/kotsuryo/shukei/data/tcmas.json</x:v>
      </x:c>
    </x:row>
    <x:row r="297" ht="21" customHeight="1">
      <x:c r="A297" s="7" t="n">
        <x:v>46113</x:v>
      </x:c>
      <x:c r="B297" s="2" t="str">
        <x:v>9310140</x:v>
      </x:c>
      <x:c r="C297" s="2" t="str">
        <x:v>新南部</x:v>
      </x:c>
      <x:c r="D297" s="2" t="str">
        <x:v>一般国道57号</x:v>
      </x:c>
      <x:c r="E297" s="2" t="str">
        <x:v>熊本市東区下南部</x:v>
      </x:c>
      <x:c r="F297" s="2" t="str">
        <x:v>全日</x:v>
      </x:c>
      <x:c r="G297" s="8" t="n">
        <x:v>43300</x:v>
      </x:c>
      <x:c r="H297" s="8" t="n">
        <x:v>39400</x:v>
      </x:c>
      <x:c r="I297" s="8" t="n">
        <x:v>3900</x:v>
      </x:c>
      <x:c r="J297" s="9" t="n">
        <x:f>IF(AND(ISNUMBER(I297),ISNUMBER(G297),G297&gt;0),I297/G297,"")</x:f>
        <x:v>0.09006928406466513</x:v>
      </x:c>
      <x:c r="K297" s="9" t="n">
        <x:f>IF(AND(ISNUMBER(I297),COUNTIFS($A$2:$A$313,EDATE(A297,-12),$B$2:$B$313,B297,$F$2:$F$313,F297,$I$2:$I$313,"&gt;0")=1),I297/SUMIFS($I$2:$I$313,$A$2:$A$313,EDATE(A297,-12),$B$2:$B$313,B297,$F$2:$F$313,F297)-1,"")</x:f>
        <x:v>-0.0714285714285714</x:v>
      </x:c>
      <x:c r="L297" s="2" t="str">
        <x:v>取得済</x:v>
      </x:c>
      <x:c r="M297" s="2" t="str">
        <x:v>https://www.qsr.mlit.go.jp/n-michi/useful/kotsuryo/shukei/data/tcdata.json</x:v>
      </x:c>
      <x:c r="N297" s="2" t="str">
        <x:v>https://www.qsr.mlit.go.jp/n-michi/useful/kotsuryo/shukei/data/tcmas.json</x:v>
      </x:c>
    </x:row>
    <x:row r="298" ht="21" customHeight="1">
      <x:c r="A298" s="7" t="n">
        <x:v>46113</x:v>
      </x:c>
      <x:c r="B298" s="2" t="str">
        <x:v>9310140</x:v>
      </x:c>
      <x:c r="C298" s="2" t="str">
        <x:v>新南部</x:v>
      </x:c>
      <x:c r="D298" s="2" t="str">
        <x:v>一般国道57号</x:v>
      </x:c>
      <x:c r="E298" s="2" t="str">
        <x:v>熊本市東区下南部</x:v>
      </x:c>
      <x:c r="F298" s="2" t="str">
        <x:v>平日</x:v>
      </x:c>
      <x:c r="G298" s="8" t="n">
        <x:v>43900</x:v>
      </x:c>
      <x:c r="H298" s="8" t="n">
        <x:v>39400</x:v>
      </x:c>
      <x:c r="I298" s="8" t="n">
        <x:v>4500</x:v>
      </x:c>
      <x:c r="J298" s="9" t="n">
        <x:f>IF(AND(ISNUMBER(I298),ISNUMBER(G298),G298&gt;0),I298/G298,"")</x:f>
        <x:v>0.10250569476082004</x:v>
      </x:c>
      <x:c r="K298" s="9" t="n">
        <x:f>IF(AND(ISNUMBER(I298),COUNTIFS($A$2:$A$313,EDATE(A298,-12),$B$2:$B$313,B298,$F$2:$F$313,F298,$I$2:$I$313,"&gt;0")=1),I298/SUMIFS($I$2:$I$313,$A$2:$A$313,EDATE(A298,-12),$B$2:$B$313,B298,$F$2:$F$313,F298)-1,"")</x:f>
        <x:v>-0.0625</x:v>
      </x:c>
      <x:c r="L298" s="2" t="str">
        <x:v>取得済</x:v>
      </x:c>
      <x:c r="M298" s="2" t="str">
        <x:v>https://www.qsr.mlit.go.jp/n-michi/useful/kotsuryo/shukei/data/tcdata.json</x:v>
      </x:c>
      <x:c r="N298" s="2" t="str">
        <x:v>https://www.qsr.mlit.go.jp/n-michi/useful/kotsuryo/shukei/data/tcmas.json</x:v>
      </x:c>
    </x:row>
    <x:row r="299" ht="21" customHeight="1">
      <x:c r="A299" s="7" t="n">
        <x:v>46113</x:v>
      </x:c>
      <x:c r="B299" s="2" t="str">
        <x:v>9110030</x:v>
      </x:c>
      <x:c r="C299" s="2" t="str">
        <x:v>熊本</x:v>
      </x:c>
      <x:c r="D299" s="2" t="str">
        <x:v>一般国道3号</x:v>
      </x:c>
      <x:c r="E299" s="2" t="str">
        <x:v>熊本市南区南高江</x:v>
      </x:c>
      <x:c r="F299" s="2" t="str">
        <x:v>休日</x:v>
      </x:c>
      <x:c r="G299" s="8" t="n">
        <x:v>38200</x:v>
      </x:c>
      <x:c r="H299" s="8" t="n">
        <x:v>36200</x:v>
      </x:c>
      <x:c r="I299" s="8" t="n">
        <x:v>2000</x:v>
      </x:c>
      <x:c r="J299" s="9" t="n">
        <x:f>IF(AND(ISNUMBER(I299),ISNUMBER(G299),G299&gt;0),I299/G299,"")</x:f>
        <x:v>0.05235602094240838</x:v>
      </x:c>
      <x:c r="K299" s="9" t="n">
        <x:f>IF(AND(ISNUMBER(I299),COUNTIFS($A$2:$A$313,EDATE(A299,-12),$B$2:$B$313,B299,$F$2:$F$313,F299,$I$2:$I$313,"&gt;0")=1),I299/SUMIFS($I$2:$I$313,$A$2:$A$313,EDATE(A299,-12),$B$2:$B$313,B299,$F$2:$F$313,F299)-1,"")</x:f>
        <x:v>-0.09090909090909094</x:v>
      </x:c>
      <x:c r="L299" s="2" t="str">
        <x:v>取得済</x:v>
      </x:c>
      <x:c r="M299" s="2" t="str">
        <x:v>https://www.qsr.mlit.go.jp/n-michi/useful/kotsuryo/shukei/data/tcdata.json</x:v>
      </x:c>
      <x:c r="N299" s="2" t="str">
        <x:v>https://www.qsr.mlit.go.jp/n-michi/useful/kotsuryo/shukei/data/tcmas.json</x:v>
      </x:c>
    </x:row>
    <x:row r="300" ht="21" customHeight="1">
      <x:c r="A300" s="7" t="n">
        <x:v>46113</x:v>
      </x:c>
      <x:c r="B300" s="2" t="str">
        <x:v>9110030</x:v>
      </x:c>
      <x:c r="C300" s="2" t="str">
        <x:v>熊本</x:v>
      </x:c>
      <x:c r="D300" s="2" t="str">
        <x:v>一般国道3号</x:v>
      </x:c>
      <x:c r="E300" s="2" t="str">
        <x:v>熊本市南区南高江</x:v>
      </x:c>
      <x:c r="F300" s="2" t="str">
        <x:v>全日</x:v>
      </x:c>
      <x:c r="G300" s="8" t="n">
        <x:v>38300</x:v>
      </x:c>
      <x:c r="H300" s="8" t="n">
        <x:v>35000</x:v>
      </x:c>
      <x:c r="I300" s="8" t="n">
        <x:v>3300</x:v>
      </x:c>
      <x:c r="J300" s="9" t="n">
        <x:f>IF(AND(ISNUMBER(I300),ISNUMBER(G300),G300&gt;0),I300/G300,"")</x:f>
        <x:v>0.08616187989556136</x:v>
      </x:c>
      <x:c r="K300" s="9" t="n">
        <x:f>IF(AND(ISNUMBER(I300),COUNTIFS($A$2:$A$313,EDATE(A300,-12),$B$2:$B$313,B300,$F$2:$F$313,F300,$I$2:$I$313,"&gt;0")=1),I300/SUMIFS($I$2:$I$313,$A$2:$A$313,EDATE(A300,-12),$B$2:$B$313,B300,$F$2:$F$313,F300)-1,"")</x:f>
        <x:v>-0.02941176470588236</x:v>
      </x:c>
      <x:c r="L300" s="2" t="str">
        <x:v>取得済</x:v>
      </x:c>
      <x:c r="M300" s="2" t="str">
        <x:v>https://www.qsr.mlit.go.jp/n-michi/useful/kotsuryo/shukei/data/tcdata.json</x:v>
      </x:c>
      <x:c r="N300" s="2" t="str">
        <x:v>https://www.qsr.mlit.go.jp/n-michi/useful/kotsuryo/shukei/data/tcmas.json</x:v>
      </x:c>
    </x:row>
    <x:row r="301" ht="21" customHeight="1">
      <x:c r="A301" s="7" t="n">
        <x:v>46113</x:v>
      </x:c>
      <x:c r="B301" s="2" t="str">
        <x:v>9110030</x:v>
      </x:c>
      <x:c r="C301" s="2" t="str">
        <x:v>熊本</x:v>
      </x:c>
      <x:c r="D301" s="2" t="str">
        <x:v>一般国道3号</x:v>
      </x:c>
      <x:c r="E301" s="2" t="str">
        <x:v>熊本市南区南高江</x:v>
      </x:c>
      <x:c r="F301" s="2" t="str">
        <x:v>平日</x:v>
      </x:c>
      <x:c r="G301" s="8" t="n">
        <x:v>38300</x:v>
      </x:c>
      <x:c r="H301" s="8" t="n">
        <x:v>34500</x:v>
      </x:c>
      <x:c r="I301" s="8" t="n">
        <x:v>3800</x:v>
      </x:c>
      <x:c r="J301" s="9" t="n">
        <x:f>IF(AND(ISNUMBER(I301),ISNUMBER(G301),G301&gt;0),I301/G301,"")</x:f>
        <x:v>0.09921671018276762</x:v>
      </x:c>
      <x:c r="K301" s="9" t="n">
        <x:f>IF(AND(ISNUMBER(I301),COUNTIFS($A$2:$A$313,EDATE(A301,-12),$B$2:$B$313,B301,$F$2:$F$313,F301,$I$2:$I$313,"&gt;0")=1),I301/SUMIFS($I$2:$I$313,$A$2:$A$313,EDATE(A301,-12),$B$2:$B$313,B301,$F$2:$F$313,F301)-1,"")</x:f>
        <x:v>-0.050000000000000044</x:v>
      </x:c>
      <x:c r="L301" s="2" t="str">
        <x:v>取得済</x:v>
      </x:c>
      <x:c r="M301" s="2" t="str">
        <x:v>https://www.qsr.mlit.go.jp/n-michi/useful/kotsuryo/shukei/data/tcdata.json</x:v>
      </x:c>
      <x:c r="N301" s="2" t="str">
        <x:v>https://www.qsr.mlit.go.jp/n-michi/useful/kotsuryo/shukei/data/tcmas.json</x:v>
      </x:c>
    </x:row>
    <x:row r="302" ht="21" customHeight="1">
      <x:c r="A302" s="7" t="n">
        <x:v>46143</x:v>
      </x:c>
      <x:c r="B302" s="2" t="str">
        <x:v>9110050</x:v>
      </x:c>
      <x:c r="C302" s="2" t="str">
        <x:v>八代</x:v>
      </x:c>
      <x:c r="D302" s="2" t="str">
        <x:v>一般国道3号</x:v>
      </x:c>
      <x:c r="E302" s="2" t="str">
        <x:v>八代市福正元町</x:v>
      </x:c>
      <x:c r="F302" s="2" t="str">
        <x:v>休日</x:v>
      </x:c>
      <x:c r="G302" s="8" t="n">
        <x:v>19700</x:v>
      </x:c>
      <x:c r="H302" s="8" t="n">
        <x:v>18400</x:v>
      </x:c>
      <x:c r="I302" s="8" t="n">
        <x:v>1300</x:v>
      </x:c>
      <x:c r="J302" s="9" t="n">
        <x:f>IF(AND(ISNUMBER(I302),ISNUMBER(G302),G302&gt;0),I302/G302,"")</x:f>
        <x:v>0.06598984771573604</x:v>
      </x:c>
      <x:c r="K302" s="9" t="n">
        <x:f>IF(AND(ISNUMBER(I302),COUNTIFS($A$2:$A$313,EDATE(A302,-12),$B$2:$B$313,B302,$F$2:$F$313,F302,$I$2:$I$313,"&gt;0")=1),I302/SUMIFS($I$2:$I$313,$A$2:$A$313,EDATE(A302,-12),$B$2:$B$313,B302,$F$2:$F$313,F302)-1,"")</x:f>
        <x:v>0</x:v>
      </x:c>
      <x:c r="L302" s="2" t="str">
        <x:v>取得済</x:v>
      </x:c>
      <x:c r="M302" s="2" t="str">
        <x:v>https://www.qsr.mlit.go.jp/n-michi/useful/kotsuryo/shukei/data/tcdata.json</x:v>
      </x:c>
      <x:c r="N302" s="2" t="str">
        <x:v>https://www.qsr.mlit.go.jp/n-michi/useful/kotsuryo/shukei/data/tcmas.json</x:v>
      </x:c>
    </x:row>
    <x:row r="303" ht="21" customHeight="1">
      <x:c r="A303" s="7" t="n">
        <x:v>46143</x:v>
      </x:c>
      <x:c r="B303" s="2" t="str">
        <x:v>9110050</x:v>
      </x:c>
      <x:c r="C303" s="2" t="str">
        <x:v>八代</x:v>
      </x:c>
      <x:c r="D303" s="2" t="str">
        <x:v>一般国道3号</x:v>
      </x:c>
      <x:c r="E303" s="2" t="str">
        <x:v>八代市福正元町</x:v>
      </x:c>
      <x:c r="F303" s="2" t="str">
        <x:v>全日</x:v>
      </x:c>
      <x:c r="G303" s="8" t="n">
        <x:v>20800</x:v>
      </x:c>
      <x:c r="H303" s="8" t="n">
        <x:v>18600</x:v>
      </x:c>
      <x:c r="I303" s="8" t="n">
        <x:v>2200</x:v>
      </x:c>
      <x:c r="J303" s="9" t="n">
        <x:f>IF(AND(ISNUMBER(I303),ISNUMBER(G303),G303&gt;0),I303/G303,"")</x:f>
        <x:v>0.10576923076923077</x:v>
      </x:c>
      <x:c r="K303" s="9" t="n">
        <x:f>IF(AND(ISNUMBER(I303),COUNTIFS($A$2:$A$313,EDATE(A303,-12),$B$2:$B$313,B303,$F$2:$F$313,F303,$I$2:$I$313,"&gt;0")=1),I303/SUMIFS($I$2:$I$313,$A$2:$A$313,EDATE(A303,-12),$B$2:$B$313,B303,$F$2:$F$313,F303)-1,"")</x:f>
        <x:v>-0.12</x:v>
      </x:c>
      <x:c r="L303" s="2" t="str">
        <x:v>取得済</x:v>
      </x:c>
      <x:c r="M303" s="2" t="str">
        <x:v>https://www.qsr.mlit.go.jp/n-michi/useful/kotsuryo/shukei/data/tcdata.json</x:v>
      </x:c>
      <x:c r="N303" s="2" t="str">
        <x:v>https://www.qsr.mlit.go.jp/n-michi/useful/kotsuryo/shukei/data/tcmas.json</x:v>
      </x:c>
    </x:row>
    <x:row r="304" ht="21" customHeight="1">
      <x:c r="A304" s="7" t="n">
        <x:v>46143</x:v>
      </x:c>
      <x:c r="B304" s="2" t="str">
        <x:v>9110050</x:v>
      </x:c>
      <x:c r="C304" s="2" t="str">
        <x:v>八代</x:v>
      </x:c>
      <x:c r="D304" s="2" t="str">
        <x:v>一般国道3号</x:v>
      </x:c>
      <x:c r="E304" s="2" t="str">
        <x:v>八代市福正元町</x:v>
      </x:c>
      <x:c r="F304" s="2" t="str">
        <x:v>平日</x:v>
      </x:c>
      <x:c r="G304" s="8" t="n">
        <x:v>21700</x:v>
      </x:c>
      <x:c r="H304" s="8" t="n">
        <x:v>18800</x:v>
      </x:c>
      <x:c r="I304" s="8" t="n">
        <x:v>2900</x:v>
      </x:c>
      <x:c r="J304" s="9" t="n">
        <x:f>IF(AND(ISNUMBER(I304),ISNUMBER(G304),G304&gt;0),I304/G304,"")</x:f>
        <x:v>0.1336405529953917</x:v>
      </x:c>
      <x:c r="K304" s="9" t="n">
        <x:f>IF(AND(ISNUMBER(I304),COUNTIFS($A$2:$A$313,EDATE(A304,-12),$B$2:$B$313,B304,$F$2:$F$313,F304,$I$2:$I$313,"&gt;0")=1),I304/SUMIFS($I$2:$I$313,$A$2:$A$313,EDATE(A304,-12),$B$2:$B$313,B304,$F$2:$F$313,F304)-1,"")</x:f>
        <x:v>-0.09375</x:v>
      </x:c>
      <x:c r="L304" s="2" t="str">
        <x:v>取得済</x:v>
      </x:c>
      <x:c r="M304" s="2" t="str">
        <x:v>https://www.qsr.mlit.go.jp/n-michi/useful/kotsuryo/shukei/data/tcdata.json</x:v>
      </x:c>
      <x:c r="N304" s="2" t="str">
        <x:v>https://www.qsr.mlit.go.jp/n-michi/useful/kotsuryo/shukei/data/tcmas.json</x:v>
      </x:c>
    </x:row>
    <x:row r="305" ht="21" customHeight="1">
      <x:c r="A305" s="7" t="n">
        <x:v>46143</x:v>
      </x:c>
      <x:c r="B305" s="2" t="str">
        <x:v>9310130</x:v>
      </x:c>
      <x:c r="C305" s="2" t="str">
        <x:v>大津</x:v>
      </x:c>
      <x:c r="D305" s="2" t="str">
        <x:v>一般国道57号</x:v>
      </x:c>
      <x:c r="E305" s="2" t="str">
        <x:v>菊池郡大津町室</x:v>
      </x:c>
      <x:c r="F305" s="2" t="str">
        <x:v>休日</x:v>
      </x:c>
      <x:c r="G305" s="8" t="n">
        <x:v>31100</x:v>
      </x:c>
      <x:c r="H305" s="8" t="n">
        <x:v>29900</x:v>
      </x:c>
      <x:c r="I305" s="8" t="n">
        <x:v>1200</x:v>
      </x:c>
      <x:c r="J305" s="9" t="n">
        <x:f>IF(AND(ISNUMBER(I305),ISNUMBER(G305),G305&gt;0),I305/G305,"")</x:f>
        <x:v>0.03858520900321544</x:v>
      </x:c>
      <x:c r="K305" s="9" t="n">
        <x:f>IF(AND(ISNUMBER(I305),COUNTIFS($A$2:$A$313,EDATE(A305,-12),$B$2:$B$313,B305,$F$2:$F$313,F305,$I$2:$I$313,"&gt;0")=1),I305/SUMIFS($I$2:$I$313,$A$2:$A$313,EDATE(A305,-12),$B$2:$B$313,B305,$F$2:$F$313,F305)-1,"")</x:f>
        <x:v>0.09090909090909083</x:v>
      </x:c>
      <x:c r="L305" s="2" t="str">
        <x:v>取得済</x:v>
      </x:c>
      <x:c r="M305" s="2" t="str">
        <x:v>https://www.qsr.mlit.go.jp/n-michi/useful/kotsuryo/shukei/data/tcdata.json</x:v>
      </x:c>
      <x:c r="N305" s="2" t="str">
        <x:v>https://www.qsr.mlit.go.jp/n-michi/useful/kotsuryo/shukei/data/tcmas.json</x:v>
      </x:c>
    </x:row>
    <x:row r="306" ht="21" customHeight="1">
      <x:c r="A306" s="7" t="n">
        <x:v>46143</x:v>
      </x:c>
      <x:c r="B306" s="2" t="str">
        <x:v>9310130</x:v>
      </x:c>
      <x:c r="C306" s="2" t="str">
        <x:v>大津</x:v>
      </x:c>
      <x:c r="D306" s="2" t="str">
        <x:v>一般国道57号</x:v>
      </x:c>
      <x:c r="E306" s="2" t="str">
        <x:v>菊池郡大津町室</x:v>
      </x:c>
      <x:c r="F306" s="2" t="str">
        <x:v>全日</x:v>
      </x:c>
      <x:c r="G306" s="8" t="n">
        <x:v>30400</x:v>
      </x:c>
      <x:c r="H306" s="8" t="n">
        <x:v>28600</x:v>
      </x:c>
      <x:c r="I306" s="8" t="n">
        <x:v>1800</x:v>
      </x:c>
      <x:c r="J306" s="9" t="n">
        <x:f>IF(AND(ISNUMBER(I306),ISNUMBER(G306),G306&gt;0),I306/G306,"")</x:f>
        <x:v>0.05921052631578947</x:v>
      </x:c>
      <x:c r="K306" s="9" t="n">
        <x:f>IF(AND(ISNUMBER(I306),COUNTIFS($A$2:$A$313,EDATE(A306,-12),$B$2:$B$313,B306,$F$2:$F$313,F306,$I$2:$I$313,"&gt;0")=1),I306/SUMIFS($I$2:$I$313,$A$2:$A$313,EDATE(A306,-12),$B$2:$B$313,B306,$F$2:$F$313,F306)-1,"")</x:f>
        <x:v>0</x:v>
      </x:c>
      <x:c r="L306" s="2" t="str">
        <x:v>取得済</x:v>
      </x:c>
      <x:c r="M306" s="2" t="str">
        <x:v>https://www.qsr.mlit.go.jp/n-michi/useful/kotsuryo/shukei/data/tcdata.json</x:v>
      </x:c>
      <x:c r="N306" s="2" t="str">
        <x:v>https://www.qsr.mlit.go.jp/n-michi/useful/kotsuryo/shukei/data/tcmas.json</x:v>
      </x:c>
    </x:row>
    <x:row r="307" ht="21" customHeight="1">
      <x:c r="A307" s="7" t="n">
        <x:v>46143</x:v>
      </x:c>
      <x:c r="B307" s="2" t="str">
        <x:v>9310130</x:v>
      </x:c>
      <x:c r="C307" s="2" t="str">
        <x:v>大津</x:v>
      </x:c>
      <x:c r="D307" s="2" t="str">
        <x:v>一般国道57号</x:v>
      </x:c>
      <x:c r="E307" s="2" t="str">
        <x:v>菊池郡大津町室</x:v>
      </x:c>
      <x:c r="F307" s="2" t="str">
        <x:v>平日</x:v>
      </x:c>
      <x:c r="G307" s="8" t="n">
        <x:v>30000</x:v>
      </x:c>
      <x:c r="H307" s="8" t="n">
        <x:v>27600</x:v>
      </x:c>
      <x:c r="I307" s="8" t="n">
        <x:v>2400</x:v>
      </x:c>
      <x:c r="J307" s="9" t="n">
        <x:f>IF(AND(ISNUMBER(I307),ISNUMBER(G307),G307&gt;0),I307/G307,"")</x:f>
        <x:v>0.08</x:v>
      </x:c>
      <x:c r="K307" s="9" t="n">
        <x:f>IF(AND(ISNUMBER(I307),COUNTIFS($A$2:$A$313,EDATE(A307,-12),$B$2:$B$313,B307,$F$2:$F$313,F307,$I$2:$I$313,"&gt;0")=1),I307/SUMIFS($I$2:$I$313,$A$2:$A$313,EDATE(A307,-12),$B$2:$B$313,B307,$F$2:$F$313,F307)-1,"")</x:f>
        <x:v>0.09090909090909083</x:v>
      </x:c>
      <x:c r="L307" s="2" t="str">
        <x:v>取得済</x:v>
      </x:c>
      <x:c r="M307" s="2" t="str">
        <x:v>https://www.qsr.mlit.go.jp/n-michi/useful/kotsuryo/shukei/data/tcdata.json</x:v>
      </x:c>
      <x:c r="N307" s="2" t="str">
        <x:v>https://www.qsr.mlit.go.jp/n-michi/useful/kotsuryo/shukei/data/tcmas.json</x:v>
      </x:c>
    </x:row>
    <x:row r="308" ht="21" customHeight="1">
      <x:c r="A308" s="7" t="n">
        <x:v>46143</x:v>
      </x:c>
      <x:c r="B308" s="2" t="str">
        <x:v>9310140</x:v>
      </x:c>
      <x:c r="C308" s="2" t="str">
        <x:v>新南部</x:v>
      </x:c>
      <x:c r="D308" s="2" t="str">
        <x:v>一般国道57号</x:v>
      </x:c>
      <x:c r="E308" s="2" t="str">
        <x:v>熊本市東区下南部</x:v>
      </x:c>
      <x:c r="F308" s="2" t="str">
        <x:v>休日</x:v>
      </x:c>
      <x:c r="G308" s="8" t="n">
        <x:v>42100</x:v>
      </x:c>
      <x:c r="H308" s="8" t="n">
        <x:v>39700</x:v>
      </x:c>
      <x:c r="I308" s="8" t="n">
        <x:v>2400</x:v>
      </x:c>
      <x:c r="J308" s="9" t="n">
        <x:f>IF(AND(ISNUMBER(I308),ISNUMBER(G308),G308&gt;0),I308/G308,"")</x:f>
        <x:v>0.057007125890736345</x:v>
      </x:c>
      <x:c r="K308" s="9" t="n">
        <x:f>IF(AND(ISNUMBER(I308),COUNTIFS($A$2:$A$313,EDATE(A308,-12),$B$2:$B$313,B308,$F$2:$F$313,F308,$I$2:$I$313,"&gt;0")=1),I308/SUMIFS($I$2:$I$313,$A$2:$A$313,EDATE(A308,-12),$B$2:$B$313,B308,$F$2:$F$313,F308)-1,"")</x:f>
        <x:v>0.04347826086956519</x:v>
      </x:c>
      <x:c r="L308" s="2" t="str">
        <x:v>取得済</x:v>
      </x:c>
      <x:c r="M308" s="2" t="str">
        <x:v>https://www.qsr.mlit.go.jp/n-michi/useful/kotsuryo/shukei/data/tcdata.json</x:v>
      </x:c>
      <x:c r="N308" s="2" t="str">
        <x:v>https://www.qsr.mlit.go.jp/n-michi/useful/kotsuryo/shukei/data/tcmas.json</x:v>
      </x:c>
    </x:row>
    <x:row r="309" ht="21" customHeight="1">
      <x:c r="A309" s="7" t="n">
        <x:v>46143</x:v>
      </x:c>
      <x:c r="B309" s="2" t="str">
        <x:v>9310140</x:v>
      </x:c>
      <x:c r="C309" s="2" t="str">
        <x:v>新南部</x:v>
      </x:c>
      <x:c r="D309" s="2" t="str">
        <x:v>一般国道57号</x:v>
      </x:c>
      <x:c r="E309" s="2" t="str">
        <x:v>熊本市東区下南部</x:v>
      </x:c>
      <x:c r="F309" s="2" t="str">
        <x:v>全日</x:v>
      </x:c>
      <x:c r="G309" s="8" t="n">
        <x:v>43500</x:v>
      </x:c>
      <x:c r="H309" s="8" t="n">
        <x:v>39800</x:v>
      </x:c>
      <x:c r="I309" s="8" t="n">
        <x:v>3700</x:v>
      </x:c>
      <x:c r="J309" s="9" t="n">
        <x:f>IF(AND(ISNUMBER(I309),ISNUMBER(G309),G309&gt;0),I309/G309,"")</x:f>
        <x:v>0.08505747126436781</x:v>
      </x:c>
      <x:c r="K309" s="9" t="n">
        <x:f>IF(AND(ISNUMBER(I309),COUNTIFS($A$2:$A$313,EDATE(A309,-12),$B$2:$B$313,B309,$F$2:$F$313,F309,$I$2:$I$313,"&gt;0")=1),I309/SUMIFS($I$2:$I$313,$A$2:$A$313,EDATE(A309,-12),$B$2:$B$313,B309,$F$2:$F$313,F309)-1,"")</x:f>
        <x:v>-0.02631578947368418</x:v>
      </x:c>
      <x:c r="L309" s="2" t="str">
        <x:v>取得済</x:v>
      </x:c>
      <x:c r="M309" s="2" t="str">
        <x:v>https://www.qsr.mlit.go.jp/n-michi/useful/kotsuryo/shukei/data/tcdata.json</x:v>
      </x:c>
      <x:c r="N309" s="2" t="str">
        <x:v>https://www.qsr.mlit.go.jp/n-michi/useful/kotsuryo/shukei/data/tcmas.json</x:v>
      </x:c>
    </x:row>
    <x:row r="310" ht="21" customHeight="1">
      <x:c r="A310" s="7" t="n">
        <x:v>46143</x:v>
      </x:c>
      <x:c r="B310" s="2" t="str">
        <x:v>9310140</x:v>
      </x:c>
      <x:c r="C310" s="2" t="str">
        <x:v>新南部</x:v>
      </x:c>
      <x:c r="D310" s="2" t="str">
        <x:v>一般国道57号</x:v>
      </x:c>
      <x:c r="E310" s="2" t="str">
        <x:v>熊本市東区下南部</x:v>
      </x:c>
      <x:c r="F310" s="2" t="str">
        <x:v>平日</x:v>
      </x:c>
      <x:c r="G310" s="8" t="n">
        <x:v>44500</x:v>
      </x:c>
      <x:c r="H310" s="8" t="n">
        <x:v>39900</x:v>
      </x:c>
      <x:c r="I310" s="8" t="n">
        <x:v>4600</x:v>
      </x:c>
      <x:c r="J310" s="9" t="n">
        <x:f>IF(AND(ISNUMBER(I310),ISNUMBER(G310),G310&gt;0),I310/G310,"")</x:f>
        <x:v>0.10337078651685393</x:v>
      </x:c>
      <x:c r="K310" s="9" t="n">
        <x:f>IF(AND(ISNUMBER(I310),COUNTIFS($A$2:$A$313,EDATE(A310,-12),$B$2:$B$313,B310,$F$2:$F$313,F310,$I$2:$I$313,"&gt;0")=1),I310/SUMIFS($I$2:$I$313,$A$2:$A$313,EDATE(A310,-12),$B$2:$B$313,B310,$F$2:$F$313,F310)-1,"")</x:f>
        <x:v>-0.021276595744680882</x:v>
      </x:c>
      <x:c r="L310" s="2" t="str">
        <x:v>取得済</x:v>
      </x:c>
      <x:c r="M310" s="2" t="str">
        <x:v>https://www.qsr.mlit.go.jp/n-michi/useful/kotsuryo/shukei/data/tcdata.json</x:v>
      </x:c>
      <x:c r="N310" s="2" t="str">
        <x:v>https://www.qsr.mlit.go.jp/n-michi/useful/kotsuryo/shukei/data/tcmas.json</x:v>
      </x:c>
    </x:row>
    <x:row r="311" ht="21" customHeight="1">
      <x:c r="A311" s="7" t="n">
        <x:v>46143</x:v>
      </x:c>
      <x:c r="B311" s="2" t="str">
        <x:v>9110030</x:v>
      </x:c>
      <x:c r="C311" s="2" t="str">
        <x:v>熊本</x:v>
      </x:c>
      <x:c r="D311" s="2" t="str">
        <x:v>一般国道3号</x:v>
      </x:c>
      <x:c r="E311" s="2" t="str">
        <x:v>熊本市南区南高江</x:v>
      </x:c>
      <x:c r="F311" s="2" t="str">
        <x:v>休日</x:v>
      </x:c>
      <x:c r="G311" s="8" t="n">
        <x:v>38700</x:v>
      </x:c>
      <x:c r="H311" s="8" t="n">
        <x:v>36800</x:v>
      </x:c>
      <x:c r="I311" s="8" t="n">
        <x:v>1900</x:v>
      </x:c>
      <x:c r="J311" s="9" t="n">
        <x:f>IF(AND(ISNUMBER(I311),ISNUMBER(G311),G311&gt;0),I311/G311,"")</x:f>
        <x:v>0.04909560723514212</x:v>
      </x:c>
      <x:c r="K311" s="9" t="n">
        <x:f>IF(AND(ISNUMBER(I311),COUNTIFS($A$2:$A$313,EDATE(A311,-12),$B$2:$B$313,B311,$F$2:$F$313,F311,$I$2:$I$313,"&gt;0")=1),I311/SUMIFS($I$2:$I$313,$A$2:$A$313,EDATE(A311,-12),$B$2:$B$313,B311,$F$2:$F$313,F311)-1,"")</x:f>
        <x:v>0</x:v>
      </x:c>
      <x:c r="L311" s="2" t="str">
        <x:v>取得済</x:v>
      </x:c>
      <x:c r="M311" s="2" t="str">
        <x:v>https://www.qsr.mlit.go.jp/n-michi/useful/kotsuryo/shukei/data/tcdata.json</x:v>
      </x:c>
      <x:c r="N311" s="2" t="str">
        <x:v>https://www.qsr.mlit.go.jp/n-michi/useful/kotsuryo/shukei/data/tcmas.json</x:v>
      </x:c>
    </x:row>
    <x:row r="312" ht="21" customHeight="1">
      <x:c r="A312" s="7" t="n">
        <x:v>46143</x:v>
      </x:c>
      <x:c r="B312" s="2" t="str">
        <x:v>9110030</x:v>
      </x:c>
      <x:c r="C312" s="2" t="str">
        <x:v>熊本</x:v>
      </x:c>
      <x:c r="D312" s="2" t="str">
        <x:v>一般国道3号</x:v>
      </x:c>
      <x:c r="E312" s="2" t="str">
        <x:v>熊本市南区南高江</x:v>
      </x:c>
      <x:c r="F312" s="2" t="str">
        <x:v>全日</x:v>
      </x:c>
      <x:c r="G312" s="8" t="n">
        <x:v>39400</x:v>
      </x:c>
      <x:c r="H312" s="8" t="n">
        <x:v>36400</x:v>
      </x:c>
      <x:c r="I312" s="8" t="n">
        <x:v>3000</x:v>
      </x:c>
      <x:c r="J312" s="9" t="n">
        <x:f>IF(AND(ISNUMBER(I312),ISNUMBER(G312),G312&gt;0),I312/G312,"")</x:f>
        <x:v>0.07614213197969544</x:v>
      </x:c>
      <x:c r="K312" s="9" t="n">
        <x:f>IF(AND(ISNUMBER(I312),COUNTIFS($A$2:$A$313,EDATE(A312,-12),$B$2:$B$313,B312,$F$2:$F$313,F312,$I$2:$I$313,"&gt;0")=1),I312/SUMIFS($I$2:$I$313,$A$2:$A$313,EDATE(A312,-12),$B$2:$B$313,B312,$F$2:$F$313,F312)-1,"")</x:f>
        <x:v>-0.0625</x:v>
      </x:c>
      <x:c r="L312" s="2" t="str">
        <x:v>取得済</x:v>
      </x:c>
      <x:c r="M312" s="2" t="str">
        <x:v>https://www.qsr.mlit.go.jp/n-michi/useful/kotsuryo/shukei/data/tcdata.json</x:v>
      </x:c>
      <x:c r="N312" s="2" t="str">
        <x:v>https://www.qsr.mlit.go.jp/n-michi/useful/kotsuryo/shukei/data/tcmas.json</x:v>
      </x:c>
    </x:row>
    <x:row r="313" ht="21" customHeight="1">
      <x:c r="A313" s="7" t="n">
        <x:v>46143</x:v>
      </x:c>
      <x:c r="B313" s="2" t="str">
        <x:v>9110030</x:v>
      </x:c>
      <x:c r="C313" s="2" t="str">
        <x:v>熊本</x:v>
      </x:c>
      <x:c r="D313" s="2" t="str">
        <x:v>一般国道3号</x:v>
      </x:c>
      <x:c r="E313" s="2" t="str">
        <x:v>熊本市南区南高江</x:v>
      </x:c>
      <x:c r="F313" s="2" t="str">
        <x:v>平日</x:v>
      </x:c>
      <x:c r="G313" s="8" t="n">
        <x:v>39900</x:v>
      </x:c>
      <x:c r="H313" s="8" t="n">
        <x:v>36000</x:v>
      </x:c>
      <x:c r="I313" s="8" t="n">
        <x:v>3900</x:v>
      </x:c>
      <x:c r="J313" s="9" t="n">
        <x:f>IF(AND(ISNUMBER(I313),ISNUMBER(G313),G313&gt;0),I313/G313,"")</x:f>
        <x:v>0.09774436090225563</x:v>
      </x:c>
      <x:c r="K313" s="9" t="n">
        <x:f>IF(AND(ISNUMBER(I313),COUNTIFS($A$2:$A$313,EDATE(A313,-12),$B$2:$B$313,B313,$F$2:$F$313,F313,$I$2:$I$313,"&gt;0")=1),I313/SUMIFS($I$2:$I$313,$A$2:$A$313,EDATE(A313,-12),$B$2:$B$313,B313,$F$2:$F$313,F313)-1,"")</x:f>
        <x:v>0</x:v>
      </x:c>
      <x:c r="L313" s="2" t="str">
        <x:v>取得済</x:v>
      </x:c>
      <x:c r="M313" s="2" t="str">
        <x:v>https://www.qsr.mlit.go.jp/n-michi/useful/kotsuryo/shukei/data/tcdata.json</x:v>
      </x:c>
      <x:c r="N313" s="2" t="str">
        <x:v>https://www.qsr.mlit.go.jp/n-michi/useful/kotsuryo/shukei/data/tcmas.json</x:v>
      </x:c>
    </x:row>
  </x:sheetData>
  <x:pageMargins left="0.7" right="0.7" top="0.75" bottom="0.75" header="0.3" footer="0.3"/>
  <x:tableParts count="1">
    <x:tablePart xmlns:r="http://schemas.openxmlformats.org/officeDocument/2006/relationships" r:id="R6738e7d1c56e46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70" hidden="0" customWidth="1"/>
    <x:col min="16" max="16" width="25" hidden="0" customWidth="1"/>
    <x:col min="17" max="17" width="14" hidden="0" customWidth="1"/>
  </x:cols>
  <x:sheetData>
    <x:row r="1" ht="43" customHeight="1">
      <x:c r="A1" s="6" t="str">
        <x:v>年月</x:v>
      </x:c>
      <x:c r="B1" s="6" t="str">
        <x:v>貨物合計
千トン</x:v>
      </x:c>
      <x:c r="C1" s="6" t="str">
        <x:v>営業用計
千トン</x:v>
      </x:c>
      <x:c r="D1" s="6" t="str">
        <x:v>自家用計
千トン</x:v>
      </x:c>
      <x:c r="E1" s="6" t="str">
        <x:v>営業用普通車
千トン</x:v>
      </x:c>
      <x:c r="F1" s="6" t="str">
        <x:v>普通車3t未満
千トン</x:v>
      </x:c>
      <x:c r="G1" s="6" t="str">
        <x:v>普通車3～6.5t
千トン</x:v>
      </x:c>
      <x:c r="H1" s="6" t="str">
        <x:v>普通車6.5～11t
千トン</x:v>
      </x:c>
      <x:c r="I1" s="6" t="str">
        <x:v>普通車11～16t
千トン</x:v>
      </x:c>
      <x:c r="J1" s="6" t="str">
        <x:v>普通車16t以上
千トン</x:v>
      </x:c>
      <x:c r="K1" s="6" t="str">
        <x:v>貨物合計
前年比</x:v>
      </x:c>
      <x:c r="L1" s="6" t="str">
        <x:v>営業用計
前年比</x:v>
      </x:c>
      <x:c r="M1" s="6" t="str">
        <x:v>営業用3か月平均
千トン</x:v>
      </x:c>
      <x:c r="N1" s="6" t="str">
        <x:v>公開・更新日</x:v>
      </x:c>
      <x:c r="O1" s="6" t="str">
        <x:v>出典URL</x:v>
      </x:c>
      <x:c r="P1" s="6" t="str">
        <x:v>原表位置</x:v>
      </x:c>
      <x:c r="Q1" s="6" t="str">
        <x:v>原表合計との差
千トン</x:v>
      </x:c>
    </x:row>
    <x:row r="2" ht="21" customHeight="1">
      <x:c r="A2" s="7" t="n">
        <x:v>44197</x:v>
      </x:c>
      <x:c r="B2" s="8" t="n">
        <x:v>298198</x:v>
      </x:c>
      <x:c r="C2" s="8" t="n">
        <x:v>206373</x:v>
      </x:c>
      <x:c r="D2" s="8" t="n">
        <x:v>91825</x:v>
      </x:c>
      <x:c r="E2" s="8" t="n">
        <x:v>162728</x:v>
      </x:c>
      <x:c r="F2" s="8" t="n">
        <x:v>11310</x:v>
      </x:c>
      <x:c r="G2" s="8" t="n">
        <x:v>11642</x:v>
      </x:c>
      <x:c r="H2" s="8" t="n">
        <x:v>53886</x:v>
      </x:c>
      <x:c r="I2" s="8" t="n">
        <x:v>58720</x:v>
      </x:c>
      <x:c r="J2" s="8" t="n">
        <x:v>27170</x:v>
      </x:c>
      <x:c r="K2" s="9" t="str">
        <x:f>IF(COUNTIFS($A$2:$A$64,EDATE(A2,-12),$B$2:$B$64,"&gt;0")=1,B2/SUMIFS($B$2:$B$64,$A$2:$A$64,EDATE(A2,-12))-1,"")</x:f>
      </x:c>
      <x:c r="L2" s="9" t="str">
        <x:f>IF(COUNTIFS($A$2:$A$64,EDATE(A2,-12),$C$2:$C$64,"&gt;0")=1,C2/SUMIFS($C$2:$C$64,$A$2:$A$64,EDATE(A2,-12))-1,"")</x:f>
      </x:c>
      <x:c r="M2" s="10" t="str">
        <x:f>IF(COUNTIFS($A$2:$A$64,"&gt;="&amp;EDATE(A2,-2),$A$2:$A$64,"&lt;="&amp;A2,$C$2:$C$64,"&gt;=0")=3,SUMIFS($C$2:$C$64,$A$2:$A$64,"&gt;="&amp;EDATE(A2,-2),$A$2:$A$64,"&lt;="&amp;A2)/3,"")</x:f>
      </x:c>
      <x:c r="N2" s="2" t="str">
        <x:v>2022-03-22</x:v>
      </x:c>
      <x:c r="O2" s="2" t="str">
        <x:v>https://www.e-stat.go.jp/stat-search/file-download?statInfId=000032180512&amp;fileKind=0</x:v>
      </x:c>
      <x:c r="P2" s="2" t="str">
        <x:v>2-1!23行</x:v>
      </x:c>
      <x:c r="Q2" s="8" t="n">
        <x:f>B2-C2-D2</x:f>
        <x:v>0</x:v>
      </x:c>
    </x:row>
    <x:row r="3" ht="21" customHeight="1">
      <x:c r="A3" s="7" t="n">
        <x:v>44228</x:v>
      </x:c>
      <x:c r="B3" s="8" t="n">
        <x:v>309864</x:v>
      </x:c>
      <x:c r="C3" s="8" t="n">
        <x:v>209290</x:v>
      </x:c>
      <x:c r="D3" s="8" t="n">
        <x:v>100574</x:v>
      </x:c>
      <x:c r="E3" s="8" t="n">
        <x:v>168127</x:v>
      </x:c>
      <x:c r="F3" s="8" t="n">
        <x:v>8891</x:v>
      </x:c>
      <x:c r="G3" s="8" t="n">
        <x:v>12801</x:v>
      </x:c>
      <x:c r="H3" s="8" t="n">
        <x:v>59301</x:v>
      </x:c>
      <x:c r="I3" s="8" t="n">
        <x:v>57949</x:v>
      </x:c>
      <x:c r="J3" s="8" t="n">
        <x:v>29185</x:v>
      </x:c>
      <x:c r="K3" s="9" t="str">
        <x:f>IF(COUNTIFS($A$2:$A$64,EDATE(A3,-12),$B$2:$B$64,"&gt;0")=1,B3/SUMIFS($B$2:$B$64,$A$2:$A$64,EDATE(A3,-12))-1,"")</x:f>
      </x:c>
      <x:c r="L3" s="9" t="str">
        <x:f>IF(COUNTIFS($A$2:$A$64,EDATE(A3,-12),$C$2:$C$64,"&gt;0")=1,C3/SUMIFS($C$2:$C$64,$A$2:$A$64,EDATE(A3,-12))-1,"")</x:f>
      </x:c>
      <x:c r="M3" s="10" t="str">
        <x:f>IF(COUNTIFS($A$2:$A$64,"&gt;="&amp;EDATE(A3,-2),$A$2:$A$64,"&lt;="&amp;A3,$C$2:$C$64,"&gt;=0")=3,SUMIFS($C$2:$C$64,$A$2:$A$64,"&gt;="&amp;EDATE(A3,-2),$A$2:$A$64,"&lt;="&amp;A3)/3,"")</x:f>
      </x:c>
      <x:c r="N3" s="2" t="str">
        <x:v>2022-03-22</x:v>
      </x:c>
      <x:c r="O3" s="2" t="str">
        <x:v>https://www.e-stat.go.jp/stat-search/file-download?statInfId=000032180512&amp;fileKind=0</x:v>
      </x:c>
      <x:c r="P3" s="2" t="str">
        <x:v>2-1!24行</x:v>
      </x:c>
      <x:c r="Q3" s="8" t="n">
        <x:f>B3-C3-D3</x:f>
        <x:v>0</x:v>
      </x:c>
    </x:row>
    <x:row r="4" ht="21" customHeight="1">
      <x:c r="A4" s="7" t="n">
        <x:v>44256</x:v>
      </x:c>
      <x:c r="B4" s="8" t="n">
        <x:v>349725</x:v>
      </x:c>
      <x:c r="C4" s="8" t="n">
        <x:v>232733</x:v>
      </x:c>
      <x:c r="D4" s="8" t="n">
        <x:v>116992</x:v>
      </x:c>
      <x:c r="E4" s="8" t="n">
        <x:v>188045</x:v>
      </x:c>
      <x:c r="F4" s="8" t="n">
        <x:v>13249</x:v>
      </x:c>
      <x:c r="G4" s="8" t="n">
        <x:v>14317</x:v>
      </x:c>
      <x:c r="H4" s="8" t="n">
        <x:v>63527</x:v>
      </x:c>
      <x:c r="I4" s="8" t="n">
        <x:v>66631</x:v>
      </x:c>
      <x:c r="J4" s="8" t="n">
        <x:v>30322</x:v>
      </x:c>
      <x:c r="K4" s="9" t="str">
        <x:f>IF(COUNTIFS($A$2:$A$64,EDATE(A4,-12),$B$2:$B$64,"&gt;0")=1,B4/SUMIFS($B$2:$B$64,$A$2:$A$64,EDATE(A4,-12))-1,"")</x:f>
      </x:c>
      <x:c r="L4" s="9" t="str">
        <x:f>IF(COUNTIFS($A$2:$A$64,EDATE(A4,-12),$C$2:$C$64,"&gt;0")=1,C4/SUMIFS($C$2:$C$64,$A$2:$A$64,EDATE(A4,-12))-1,"")</x:f>
      </x:c>
      <x:c r="M4" s="10" t="n">
        <x:f>IF(COUNTIFS($A$2:$A$64,"&gt;="&amp;EDATE(A4,-2),$A$2:$A$64,"&lt;="&amp;A4,$C$2:$C$64,"&gt;=0")=3,SUMIFS($C$2:$C$64,$A$2:$A$64,"&gt;="&amp;EDATE(A4,-2),$A$2:$A$64,"&lt;="&amp;A4)/3,"")</x:f>
        <x:v>216132</x:v>
      </x:c>
      <x:c r="N4" s="2" t="str">
        <x:v>2022-03-22</x:v>
      </x:c>
      <x:c r="O4" s="2" t="str">
        <x:v>https://www.e-stat.go.jp/stat-search/file-download?statInfId=000032180512&amp;fileKind=0</x:v>
      </x:c>
      <x:c r="P4" s="2" t="str">
        <x:v>2-1!25行</x:v>
      </x:c>
      <x:c r="Q4" s="8" t="n">
        <x:f>B4-C4-D4</x:f>
        <x:v>0</x:v>
      </x:c>
    </x:row>
    <x:row r="5" ht="21" customHeight="1">
      <x:c r="A5" s="7" t="n">
        <x:v>44287</x:v>
      </x:c>
      <x:c r="B5" s="8" t="n">
        <x:v>322185</x:v>
      </x:c>
      <x:c r="C5" s="8" t="n">
        <x:v>212105</x:v>
      </x:c>
      <x:c r="D5" s="8" t="n">
        <x:v>110079</x:v>
      </x:c>
      <x:c r="E5" s="8" t="n">
        <x:v>168554</x:v>
      </x:c>
      <x:c r="F5" s="8" t="n">
        <x:v>10905</x:v>
      </x:c>
      <x:c r="G5" s="8" t="n">
        <x:v>13138</x:v>
      </x:c>
      <x:c r="H5" s="8" t="n">
        <x:v>53781</x:v>
      </x:c>
      <x:c r="I5" s="8" t="n">
        <x:v>61309</x:v>
      </x:c>
      <x:c r="J5" s="8" t="n">
        <x:v>29421</x:v>
      </x:c>
      <x:c r="K5" s="9" t="str">
        <x:f>IF(COUNTIFS($A$2:$A$64,EDATE(A5,-12),$B$2:$B$64,"&gt;0")=1,B5/SUMIFS($B$2:$B$64,$A$2:$A$64,EDATE(A5,-12))-1,"")</x:f>
      </x:c>
      <x:c r="L5" s="9" t="str">
        <x:f>IF(COUNTIFS($A$2:$A$64,EDATE(A5,-12),$C$2:$C$64,"&gt;0")=1,C5/SUMIFS($C$2:$C$64,$A$2:$A$64,EDATE(A5,-12))-1,"")</x:f>
      </x:c>
      <x:c r="M5" s="10" t="n">
        <x:f>IF(COUNTIFS($A$2:$A$64,"&gt;="&amp;EDATE(A5,-2),$A$2:$A$64,"&lt;="&amp;A5,$C$2:$C$64,"&gt;=0")=3,SUMIFS($C$2:$C$64,$A$2:$A$64,"&gt;="&amp;EDATE(A5,-2),$A$2:$A$64,"&lt;="&amp;A5)/3,"")</x:f>
        <x:v>218042.66666666666</x:v>
      </x:c>
      <x:c r="N5" s="2" t="str">
        <x:v>2022-03-22</x:v>
      </x:c>
      <x:c r="O5" s="2" t="str">
        <x:v>https://www.e-stat.go.jp/stat-search/file-download?statInfId=000032180512&amp;fileKind=0</x:v>
      </x:c>
      <x:c r="P5" s="2" t="str">
        <x:v>2-1!26行</x:v>
      </x:c>
      <x:c r="Q5" s="8" t="n">
        <x:f>B5-C5-D5</x:f>
        <x:v>1</x:v>
      </x:c>
    </x:row>
    <x:row r="6" ht="21" customHeight="1">
      <x:c r="A6" s="7" t="n">
        <x:v>44317</x:v>
      </x:c>
      <x:c r="B6" s="8" t="n">
        <x:v>305255</x:v>
      </x:c>
      <x:c r="C6" s="8" t="n">
        <x:v>208124</x:v>
      </x:c>
      <x:c r="D6" s="8" t="n">
        <x:v>97132</x:v>
      </x:c>
      <x:c r="E6" s="8" t="n">
        <x:v>163450</x:v>
      </x:c>
      <x:c r="F6" s="8" t="n">
        <x:v>10173</x:v>
      </x:c>
      <x:c r="G6" s="8" t="n">
        <x:v>11892</x:v>
      </x:c>
      <x:c r="H6" s="8" t="n">
        <x:v>51839</x:v>
      </x:c>
      <x:c r="I6" s="8" t="n">
        <x:v>63668</x:v>
      </x:c>
      <x:c r="J6" s="8" t="n">
        <x:v>25877</x:v>
      </x:c>
      <x:c r="K6" s="9" t="str">
        <x:f>IF(COUNTIFS($A$2:$A$64,EDATE(A6,-12),$B$2:$B$64,"&gt;0")=1,B6/SUMIFS($B$2:$B$64,$A$2:$A$64,EDATE(A6,-12))-1,"")</x:f>
      </x:c>
      <x:c r="L6" s="9" t="str">
        <x:f>IF(COUNTIFS($A$2:$A$64,EDATE(A6,-12),$C$2:$C$64,"&gt;0")=1,C6/SUMIFS($C$2:$C$64,$A$2:$A$64,EDATE(A6,-12))-1,"")</x:f>
      </x:c>
      <x:c r="M6" s="10" t="n">
        <x:f>IF(COUNTIFS($A$2:$A$64,"&gt;="&amp;EDATE(A6,-2),$A$2:$A$64,"&lt;="&amp;A6,$C$2:$C$64,"&gt;=0")=3,SUMIFS($C$2:$C$64,$A$2:$A$64,"&gt;="&amp;EDATE(A6,-2),$A$2:$A$64,"&lt;="&amp;A6)/3,"")</x:f>
        <x:v>217654</x:v>
      </x:c>
      <x:c r="N6" s="2" t="str">
        <x:v>2022-03-22</x:v>
      </x:c>
      <x:c r="O6" s="2" t="str">
        <x:v>https://www.e-stat.go.jp/stat-search/file-download?statInfId=000032180512&amp;fileKind=0</x:v>
      </x:c>
      <x:c r="P6" s="2" t="str">
        <x:v>2-1!27行</x:v>
      </x:c>
      <x:c r="Q6" s="8" t="n">
        <x:f>B6-C6-D6</x:f>
        <x:v>-1</x:v>
      </x:c>
    </x:row>
    <x:row r="7" ht="21" customHeight="1">
      <x:c r="A7" s="7" t="n">
        <x:v>44348</x:v>
      </x:c>
      <x:c r="B7" s="8" t="n">
        <x:v>319526</x:v>
      </x:c>
      <x:c r="C7" s="8" t="n">
        <x:v>211836</x:v>
      </x:c>
      <x:c r="D7" s="8" t="n">
        <x:v>97132</x:v>
      </x:c>
      <x:c r="E7" s="8" t="n">
        <x:v>168106</x:v>
      </x:c>
      <x:c r="F7" s="8" t="n">
        <x:v>11208</x:v>
      </x:c>
      <x:c r="G7" s="8" t="n">
        <x:v>13525</x:v>
      </x:c>
      <x:c r="H7" s="8" t="n">
        <x:v>55479</x:v>
      </x:c>
      <x:c r="I7" s="8" t="n">
        <x:v>57929</x:v>
      </x:c>
      <x:c r="J7" s="8" t="n">
        <x:v>25877</x:v>
      </x:c>
      <x:c r="K7" s="9" t="str">
        <x:f>IF(COUNTIFS($A$2:$A$64,EDATE(A7,-12),$B$2:$B$64,"&gt;0")=1,B7/SUMIFS($B$2:$B$64,$A$2:$A$64,EDATE(A7,-12))-1,"")</x:f>
      </x:c>
      <x:c r="L7" s="9" t="str">
        <x:f>IF(COUNTIFS($A$2:$A$64,EDATE(A7,-12),$C$2:$C$64,"&gt;0")=1,C7/SUMIFS($C$2:$C$64,$A$2:$A$64,EDATE(A7,-12))-1,"")</x:f>
      </x:c>
      <x:c r="M7" s="10" t="n">
        <x:f>IF(COUNTIFS($A$2:$A$64,"&gt;="&amp;EDATE(A7,-2),$A$2:$A$64,"&lt;="&amp;A7,$C$2:$C$64,"&gt;=0")=3,SUMIFS($C$2:$C$64,$A$2:$A$64,"&gt;="&amp;EDATE(A7,-2),$A$2:$A$64,"&lt;="&amp;A7)/3,"")</x:f>
        <x:v>210688.33333333334</x:v>
      </x:c>
      <x:c r="N7" s="2" t="str">
        <x:v>2022-03-22</x:v>
      </x:c>
      <x:c r="O7" s="2" t="str">
        <x:v>https://www.e-stat.go.jp/stat-search/file-download?statInfId=000032180512&amp;fileKind=0</x:v>
      </x:c>
      <x:c r="P7" s="2" t="str">
        <x:v>2-1!28行</x:v>
      </x:c>
      <x:c r="Q7" s="8" t="n">
        <x:f>B7-C7-D7</x:f>
        <x:v>10558</x:v>
      </x:c>
    </x:row>
    <x:row r="8" ht="21" customHeight="1">
      <x:c r="A8" s="7" t="n">
        <x:v>44378</x:v>
      </x:c>
      <x:c r="B8" s="8" t="n">
        <x:v>333367</x:v>
      </x:c>
      <x:c r="C8" s="8" t="n">
        <x:v>226338</x:v>
      </x:c>
      <x:c r="D8" s="8" t="n">
        <x:v>107030</x:v>
      </x:c>
      <x:c r="E8" s="8" t="n">
        <x:v>181323</x:v>
      </x:c>
      <x:c r="F8" s="8" t="n">
        <x:v>11610</x:v>
      </x:c>
      <x:c r="G8" s="8" t="n">
        <x:v>12877</x:v>
      </x:c>
      <x:c r="H8" s="8" t="n">
        <x:v>55693</x:v>
      </x:c>
      <x:c r="I8" s="8" t="n">
        <x:v>72586</x:v>
      </x:c>
      <x:c r="J8" s="8" t="n">
        <x:v>28557</x:v>
      </x:c>
      <x:c r="K8" s="9" t="str">
        <x:f>IF(COUNTIFS($A$2:$A$64,EDATE(A8,-12),$B$2:$B$64,"&gt;0")=1,B8/SUMIFS($B$2:$B$64,$A$2:$A$64,EDATE(A8,-12))-1,"")</x:f>
      </x:c>
      <x:c r="L8" s="9" t="str">
        <x:f>IF(COUNTIFS($A$2:$A$64,EDATE(A8,-12),$C$2:$C$64,"&gt;0")=1,C8/SUMIFS($C$2:$C$64,$A$2:$A$64,EDATE(A8,-12))-1,"")</x:f>
      </x:c>
      <x:c r="M8" s="10" t="n">
        <x:f>IF(COUNTIFS($A$2:$A$64,"&gt;="&amp;EDATE(A8,-2),$A$2:$A$64,"&lt;="&amp;A8,$C$2:$C$64,"&gt;=0")=3,SUMIFS($C$2:$C$64,$A$2:$A$64,"&gt;="&amp;EDATE(A8,-2),$A$2:$A$64,"&lt;="&amp;A8)/3,"")</x:f>
        <x:v>215432.66666666666</x:v>
      </x:c>
      <x:c r="N8" s="2" t="str">
        <x:v>2022-03-22</x:v>
      </x:c>
      <x:c r="O8" s="2" t="str">
        <x:v>https://www.e-stat.go.jp/stat-search/file-download?statInfId=000032180512&amp;fileKind=0</x:v>
      </x:c>
      <x:c r="P8" s="2" t="str">
        <x:v>2-1!29行</x:v>
      </x:c>
      <x:c r="Q8" s="8" t="n">
        <x:f>B8-C8-D8</x:f>
        <x:v>-1</x:v>
      </x:c>
    </x:row>
    <x:row r="9" ht="21" customHeight="1">
      <x:c r="A9" s="7" t="n">
        <x:v>44409</x:v>
      </x:c>
      <x:c r="B9" s="8" t="n">
        <x:v>288989</x:v>
      </x:c>
      <x:c r="C9" s="8" t="n">
        <x:v>196876</x:v>
      </x:c>
      <x:c r="D9" s="8" t="n">
        <x:v>92113</x:v>
      </x:c>
      <x:c r="E9" s="8" t="n">
        <x:v>159432</x:v>
      </x:c>
      <x:c r="F9" s="8" t="n">
        <x:v>10517</x:v>
      </x:c>
      <x:c r="G9" s="8" t="n">
        <x:v>10935</x:v>
      </x:c>
      <x:c r="H9" s="8" t="n">
        <x:v>49197</x:v>
      </x:c>
      <x:c r="I9" s="8" t="n">
        <x:v>61737</x:v>
      </x:c>
      <x:c r="J9" s="8" t="n">
        <x:v>27046</x:v>
      </x:c>
      <x:c r="K9" s="9" t="str">
        <x:f>IF(COUNTIFS($A$2:$A$64,EDATE(A9,-12),$B$2:$B$64,"&gt;0")=1,B9/SUMIFS($B$2:$B$64,$A$2:$A$64,EDATE(A9,-12))-1,"")</x:f>
      </x:c>
      <x:c r="L9" s="9" t="str">
        <x:f>IF(COUNTIFS($A$2:$A$64,EDATE(A9,-12),$C$2:$C$64,"&gt;0")=1,C9/SUMIFS($C$2:$C$64,$A$2:$A$64,EDATE(A9,-12))-1,"")</x:f>
      </x:c>
      <x:c r="M9" s="10" t="n">
        <x:f>IF(COUNTIFS($A$2:$A$64,"&gt;="&amp;EDATE(A9,-2),$A$2:$A$64,"&lt;="&amp;A9,$C$2:$C$64,"&gt;=0")=3,SUMIFS($C$2:$C$64,$A$2:$A$64,"&gt;="&amp;EDATE(A9,-2),$A$2:$A$64,"&lt;="&amp;A9)/3,"")</x:f>
        <x:v>211683.33333333334</x:v>
      </x:c>
      <x:c r="N9" s="2" t="str">
        <x:v>2022-03-22</x:v>
      </x:c>
      <x:c r="O9" s="2" t="str">
        <x:v>https://www.e-stat.go.jp/stat-search/file-download?statInfId=000032180512&amp;fileKind=0</x:v>
      </x:c>
      <x:c r="P9" s="2" t="str">
        <x:v>2-1!30行</x:v>
      </x:c>
      <x:c r="Q9" s="8" t="n">
        <x:f>B9-C9-D9</x:f>
        <x:v>0</x:v>
      </x:c>
    </x:row>
    <x:row r="10" ht="21" customHeight="1">
      <x:c r="A10" s="7" t="n">
        <x:v>44440</x:v>
      </x:c>
      <x:c r="B10" s="8" t="n">
        <x:v>323458</x:v>
      </x:c>
      <x:c r="C10" s="8" t="n">
        <x:v>212091</x:v>
      </x:c>
      <x:c r="D10" s="8" t="n">
        <x:v>111367</x:v>
      </x:c>
      <x:c r="E10" s="8" t="n">
        <x:v>169095</x:v>
      </x:c>
      <x:c r="F10" s="8" t="n">
        <x:v>11514</x:v>
      </x:c>
      <x:c r="G10" s="8" t="n">
        <x:v>12375</x:v>
      </x:c>
      <x:c r="H10" s="8" t="n">
        <x:v>55712</x:v>
      </x:c>
      <x:c r="I10" s="8" t="n">
        <x:v>64111</x:v>
      </x:c>
      <x:c r="J10" s="8" t="n">
        <x:v>25383</x:v>
      </x:c>
      <x:c r="K10" s="9" t="str">
        <x:f>IF(COUNTIFS($A$2:$A$64,EDATE(A10,-12),$B$2:$B$64,"&gt;0")=1,B10/SUMIFS($B$2:$B$64,$A$2:$A$64,EDATE(A10,-12))-1,"")</x:f>
      </x:c>
      <x:c r="L10" s="9" t="str">
        <x:f>IF(COUNTIFS($A$2:$A$64,EDATE(A10,-12),$C$2:$C$64,"&gt;0")=1,C10/SUMIFS($C$2:$C$64,$A$2:$A$64,EDATE(A10,-12))-1,"")</x:f>
      </x:c>
      <x:c r="M10" s="10" t="n">
        <x:f>IF(COUNTIFS($A$2:$A$64,"&gt;="&amp;EDATE(A10,-2),$A$2:$A$64,"&lt;="&amp;A10,$C$2:$C$64,"&gt;=0")=3,SUMIFS($C$2:$C$64,$A$2:$A$64,"&gt;="&amp;EDATE(A10,-2),$A$2:$A$64,"&lt;="&amp;A10)/3,"")</x:f>
        <x:v>211768.33333333334</x:v>
      </x:c>
      <x:c r="N10" s="2" t="str">
        <x:v>2022-03-22</x:v>
      </x:c>
      <x:c r="O10" s="2" t="str">
        <x:v>https://www.e-stat.go.jp/stat-search/file-download?statInfId=000032180512&amp;fileKind=0</x:v>
      </x:c>
      <x:c r="P10" s="2" t="str">
        <x:v>2-1!31行</x:v>
      </x:c>
      <x:c r="Q10" s="8" t="n">
        <x:f>B10-C10-D10</x:f>
        <x:v>0</x:v>
      </x:c>
    </x:row>
    <x:row r="11" ht="21" customHeight="1">
      <x:c r="A11" s="7" t="n">
        <x:v>44470</x:v>
      </x:c>
      <x:c r="B11" s="8" t="n">
        <x:v>352309</x:v>
      </x:c>
      <x:c r="C11" s="8" t="n">
        <x:v>237849</x:v>
      </x:c>
      <x:c r="D11" s="8" t="n">
        <x:v>114460</x:v>
      </x:c>
      <x:c r="E11" s="8" t="n">
        <x:v>184937</x:v>
      </x:c>
      <x:c r="F11" s="8" t="n">
        <x:v>11293</x:v>
      </x:c>
      <x:c r="G11" s="8" t="n">
        <x:v>13333</x:v>
      </x:c>
      <x:c r="H11" s="8" t="n">
        <x:v>56682</x:v>
      </x:c>
      <x:c r="I11" s="8" t="n">
        <x:v>69860</x:v>
      </x:c>
      <x:c r="J11" s="8" t="n">
        <x:v>33768</x:v>
      </x:c>
      <x:c r="K11" s="9" t="str">
        <x:f>IF(COUNTIFS($A$2:$A$64,EDATE(A11,-12),$B$2:$B$64,"&gt;0")=1,B11/SUMIFS($B$2:$B$64,$A$2:$A$64,EDATE(A11,-12))-1,"")</x:f>
      </x:c>
      <x:c r="L11" s="9" t="str">
        <x:f>IF(COUNTIFS($A$2:$A$64,EDATE(A11,-12),$C$2:$C$64,"&gt;0")=1,C11/SUMIFS($C$2:$C$64,$A$2:$A$64,EDATE(A11,-12))-1,"")</x:f>
      </x:c>
      <x:c r="M11" s="10" t="n">
        <x:f>IF(COUNTIFS($A$2:$A$64,"&gt;="&amp;EDATE(A11,-2),$A$2:$A$64,"&lt;="&amp;A11,$C$2:$C$64,"&gt;=0")=3,SUMIFS($C$2:$C$64,$A$2:$A$64,"&gt;="&amp;EDATE(A11,-2),$A$2:$A$64,"&lt;="&amp;A11)/3,"")</x:f>
        <x:v>215605.33333333334</x:v>
      </x:c>
      <x:c r="N11" s="2" t="str">
        <x:v>2022-03-22</x:v>
      </x:c>
      <x:c r="O11" s="2" t="str">
        <x:v>https://www.e-stat.go.jp/stat-search/file-download?statInfId=000032180512&amp;fileKind=0</x:v>
      </x:c>
      <x:c r="P11" s="2" t="str">
        <x:v>2-1!32行</x:v>
      </x:c>
      <x:c r="Q11" s="8" t="n">
        <x:f>B11-C11-D11</x:f>
        <x:v>0</x:v>
      </x:c>
    </x:row>
    <x:row r="12" ht="21" customHeight="1">
      <x:c r="A12" s="7" t="n">
        <x:v>44501</x:v>
      </x:c>
      <x:c r="B12" s="8" t="n">
        <x:v>347552</x:v>
      </x:c>
      <x:c r="C12" s="8" t="n">
        <x:v>231896</x:v>
      </x:c>
      <x:c r="D12" s="8" t="n">
        <x:v>115656</x:v>
      </x:c>
      <x:c r="E12" s="8" t="n">
        <x:v>184164</x:v>
      </x:c>
      <x:c r="F12" s="8" t="n">
        <x:v>11403</x:v>
      </x:c>
      <x:c r="G12" s="8" t="n">
        <x:v>13600</x:v>
      </x:c>
      <x:c r="H12" s="8" t="n">
        <x:v>55695</x:v>
      </x:c>
      <x:c r="I12" s="8" t="n">
        <x:v>70972</x:v>
      </x:c>
      <x:c r="J12" s="8" t="n">
        <x:v>32495</x:v>
      </x:c>
      <x:c r="K12" s="9" t="str">
        <x:f>IF(COUNTIFS($A$2:$A$64,EDATE(A12,-12),$B$2:$B$64,"&gt;0")=1,B12/SUMIFS($B$2:$B$64,$A$2:$A$64,EDATE(A12,-12))-1,"")</x:f>
      </x:c>
      <x:c r="L12" s="9" t="str">
        <x:f>IF(COUNTIFS($A$2:$A$64,EDATE(A12,-12),$C$2:$C$64,"&gt;0")=1,C12/SUMIFS($C$2:$C$64,$A$2:$A$64,EDATE(A12,-12))-1,"")</x:f>
      </x:c>
      <x:c r="M12" s="10" t="n">
        <x:f>IF(COUNTIFS($A$2:$A$64,"&gt;="&amp;EDATE(A12,-2),$A$2:$A$64,"&lt;="&amp;A12,$C$2:$C$64,"&gt;=0")=3,SUMIFS($C$2:$C$64,$A$2:$A$64,"&gt;="&amp;EDATE(A12,-2),$A$2:$A$64,"&lt;="&amp;A12)/3,"")</x:f>
        <x:v>227278.66666666666</x:v>
      </x:c>
      <x:c r="N12" s="2" t="str">
        <x:v>2022-03-22</x:v>
      </x:c>
      <x:c r="O12" s="2" t="str">
        <x:v>https://www.e-stat.go.jp/stat-search/file-download?statInfId=000032180512&amp;fileKind=0</x:v>
      </x:c>
      <x:c r="P12" s="2" t="str">
        <x:v>2-1!33行</x:v>
      </x:c>
      <x:c r="Q12" s="8" t="n">
        <x:f>B12-C12-D12</x:f>
        <x:v>0</x:v>
      </x:c>
    </x:row>
    <x:row r="13" ht="21" customHeight="1">
      <x:c r="A13" s="7" t="n">
        <x:v>44531</x:v>
      </x:c>
      <x:c r="B13" s="8" t="n">
        <x:v>339781</x:v>
      </x:c>
      <x:c r="C13" s="8" t="n">
        <x:v>232281</x:v>
      </x:c>
      <x:c r="D13" s="8" t="n">
        <x:v>107500</x:v>
      </x:c>
      <x:c r="E13" s="8" t="n">
        <x:v>178473</x:v>
      </x:c>
      <x:c r="F13" s="8" t="n">
        <x:v>10844</x:v>
      </x:c>
      <x:c r="G13" s="8" t="n">
        <x:v>13623</x:v>
      </x:c>
      <x:c r="H13" s="8" t="n">
        <x:v>52309</x:v>
      </x:c>
      <x:c r="I13" s="8" t="n">
        <x:v>70434</x:v>
      </x:c>
      <x:c r="J13" s="8" t="n">
        <x:v>31263</x:v>
      </x:c>
      <x:c r="K13" s="9" t="str">
        <x:f>IF(COUNTIFS($A$2:$A$64,EDATE(A13,-12),$B$2:$B$64,"&gt;0")=1,B13/SUMIFS($B$2:$B$64,$A$2:$A$64,EDATE(A13,-12))-1,"")</x:f>
      </x:c>
      <x:c r="L13" s="9" t="str">
        <x:f>IF(COUNTIFS($A$2:$A$64,EDATE(A13,-12),$C$2:$C$64,"&gt;0")=1,C13/SUMIFS($C$2:$C$64,$A$2:$A$64,EDATE(A13,-12))-1,"")</x:f>
      </x:c>
      <x:c r="M13" s="10" t="n">
        <x:f>IF(COUNTIFS($A$2:$A$64,"&gt;="&amp;EDATE(A13,-2),$A$2:$A$64,"&lt;="&amp;A13,$C$2:$C$64,"&gt;=0")=3,SUMIFS($C$2:$C$64,$A$2:$A$64,"&gt;="&amp;EDATE(A13,-2),$A$2:$A$64,"&lt;="&amp;A13)/3,"")</x:f>
        <x:v>234008.66666666666</x:v>
      </x:c>
      <x:c r="N13" s="2" t="str">
        <x:v>2023-03-27</x:v>
      </x:c>
      <x:c r="O13" s="2" t="str">
        <x:v>https://www.e-stat.go.jp/stat-search/file-download?statInfId=000040040356&amp;fileKind=0</x:v>
      </x:c>
      <x:c r="P13" s="2" t="str">
        <x:v>2-1!23行</x:v>
      </x:c>
      <x:c r="Q13" s="8" t="n">
        <x:f>B13-C13-D13</x:f>
        <x:v>0</x:v>
      </x:c>
    </x:row>
    <x:row r="14" ht="21" customHeight="1">
      <x:c r="A14" s="7" t="n">
        <x:v>44562</x:v>
      </x:c>
      <x:c r="B14" s="8" t="n">
        <x:v>313019</x:v>
      </x:c>
      <x:c r="C14" s="8" t="n">
        <x:v>206963</x:v>
      </x:c>
      <x:c r="D14" s="8" t="n">
        <x:v>106056</x:v>
      </x:c>
      <x:c r="E14" s="8" t="n">
        <x:v>162605</x:v>
      </x:c>
      <x:c r="F14" s="8" t="n">
        <x:v>10629</x:v>
      </x:c>
      <x:c r="G14" s="8" t="n">
        <x:v>12192</x:v>
      </x:c>
      <x:c r="H14" s="8" t="n">
        <x:v>56879</x:v>
      </x:c>
      <x:c r="I14" s="8" t="n">
        <x:v>56128</x:v>
      </x:c>
      <x:c r="J14" s="8" t="n">
        <x:v>26777</x:v>
      </x:c>
      <x:c r="K14" s="9" t="n">
        <x:f>IF(COUNTIFS($A$2:$A$64,EDATE(A14,-12),$B$2:$B$64,"&gt;0")=1,B14/SUMIFS($B$2:$B$64,$A$2:$A$64,EDATE(A14,-12))-1,"")</x:f>
        <x:v>0.04970187593478159</x:v>
      </x:c>
      <x:c r="L14" s="9" t="n">
        <x:f>IF(COUNTIFS($A$2:$A$64,EDATE(A14,-12),$C$2:$C$64,"&gt;0")=1,C14/SUMIFS($C$2:$C$64,$A$2:$A$64,EDATE(A14,-12))-1,"")</x:f>
        <x:v>0.0028589011159405597</x:v>
      </x:c>
      <x:c r="M14" s="10" t="n">
        <x:f>IF(COUNTIFS($A$2:$A$64,"&gt;="&amp;EDATE(A14,-2),$A$2:$A$64,"&lt;="&amp;A14,$C$2:$C$64,"&gt;=0")=3,SUMIFS($C$2:$C$64,$A$2:$A$64,"&gt;="&amp;EDATE(A14,-2),$A$2:$A$64,"&lt;="&amp;A14)/3,"")</x:f>
        <x:v>223713.33333333334</x:v>
      </x:c>
      <x:c r="N14" s="2" t="str">
        <x:v>2023-03-27</x:v>
      </x:c>
      <x:c r="O14" s="2" t="str">
        <x:v>https://www.e-stat.go.jp/stat-search/file-download?statInfId=000040040356&amp;fileKind=0</x:v>
      </x:c>
      <x:c r="P14" s="2" t="str">
        <x:v>2-1!24行</x:v>
      </x:c>
      <x:c r="Q14" s="8" t="n">
        <x:f>B14-C14-D14</x:f>
        <x:v>0</x:v>
      </x:c>
    </x:row>
    <x:row r="15" ht="21" customHeight="1">
      <x:c r="A15" s="7" t="n">
        <x:v>44593</x:v>
      </x:c>
      <x:c r="B15" s="8" t="n">
        <x:v>309154</x:v>
      </x:c>
      <x:c r="C15" s="8" t="n">
        <x:v>203574</x:v>
      </x:c>
      <x:c r="D15" s="8" t="n">
        <x:v>105580</x:v>
      </x:c>
      <x:c r="E15" s="8" t="n">
        <x:v>158129</x:v>
      </x:c>
      <x:c r="F15" s="8" t="n">
        <x:v>10003</x:v>
      </x:c>
      <x:c r="G15" s="8" t="n">
        <x:v>13600</x:v>
      </x:c>
      <x:c r="H15" s="8" t="n">
        <x:v>55675</x:v>
      </x:c>
      <x:c r="I15" s="8" t="n">
        <x:v>51843</x:v>
      </x:c>
      <x:c r="J15" s="8" t="n">
        <x:v>27007</x:v>
      </x:c>
      <x:c r="K15" s="9" t="n">
        <x:f>IF(COUNTIFS($A$2:$A$64,EDATE(A15,-12),$B$2:$B$64,"&gt;0")=1,B15/SUMIFS($B$2:$B$64,$A$2:$A$64,EDATE(A15,-12))-1,"")</x:f>
        <x:v>-0.002291327808328858</x:v>
      </x:c>
      <x:c r="L15" s="9" t="n">
        <x:f>IF(COUNTIFS($A$2:$A$64,EDATE(A15,-12),$C$2:$C$64,"&gt;0")=1,C15/SUMIFS($C$2:$C$64,$A$2:$A$64,EDATE(A15,-12))-1,"")</x:f>
        <x:v>-0.02731138611496009</x:v>
      </x:c>
      <x:c r="M15" s="10" t="n">
        <x:f>IF(COUNTIFS($A$2:$A$64,"&gt;="&amp;EDATE(A15,-2),$A$2:$A$64,"&lt;="&amp;A15,$C$2:$C$64,"&gt;=0")=3,SUMIFS($C$2:$C$64,$A$2:$A$64,"&gt;="&amp;EDATE(A15,-2),$A$2:$A$64,"&lt;="&amp;A15)/3,"")</x:f>
        <x:v>214272.66666666666</x:v>
      </x:c>
      <x:c r="N15" s="2" t="str">
        <x:v>2023-03-27</x:v>
      </x:c>
      <x:c r="O15" s="2" t="str">
        <x:v>https://www.e-stat.go.jp/stat-search/file-download?statInfId=000040040356&amp;fileKind=0</x:v>
      </x:c>
      <x:c r="P15" s="2" t="str">
        <x:v>2-1!25行</x:v>
      </x:c>
      <x:c r="Q15" s="8" t="n">
        <x:f>B15-C15-D15</x:f>
        <x:v>0</x:v>
      </x:c>
    </x:row>
    <x:row r="16" ht="21" customHeight="1">
      <x:c r="A16" s="7" t="n">
        <x:v>44621</x:v>
      </x:c>
      <x:c r="B16" s="8" t="n">
        <x:v>333801</x:v>
      </x:c>
      <x:c r="C16" s="8" t="n">
        <x:v>222119</x:v>
      </x:c>
      <x:c r="D16" s="8" t="n">
        <x:v>111682</x:v>
      </x:c>
      <x:c r="E16" s="8" t="n">
        <x:v>180022</x:v>
      </x:c>
      <x:c r="F16" s="8" t="n">
        <x:v>12373</x:v>
      </x:c>
      <x:c r="G16" s="8" t="n">
        <x:v>13176</x:v>
      </x:c>
      <x:c r="H16" s="8" t="n">
        <x:v>60446</x:v>
      </x:c>
      <x:c r="I16" s="8" t="n">
        <x:v>62533</x:v>
      </x:c>
      <x:c r="J16" s="8" t="n">
        <x:v>31494</x:v>
      </x:c>
      <x:c r="K16" s="9" t="n">
        <x:f>IF(COUNTIFS($A$2:$A$64,EDATE(A16,-12),$B$2:$B$64,"&gt;0")=1,B16/SUMIFS($B$2:$B$64,$A$2:$A$64,EDATE(A16,-12))-1,"")</x:f>
        <x:v>-0.04553291872185283</x:v>
      </x:c>
      <x:c r="L16" s="9" t="n">
        <x:f>IF(COUNTIFS($A$2:$A$64,EDATE(A16,-12),$C$2:$C$64,"&gt;0")=1,C16/SUMIFS($C$2:$C$64,$A$2:$A$64,EDATE(A16,-12))-1,"")</x:f>
        <x:v>-0.04560590891708527</x:v>
      </x:c>
      <x:c r="M16" s="10" t="n">
        <x:f>IF(COUNTIFS($A$2:$A$64,"&gt;="&amp;EDATE(A16,-2),$A$2:$A$64,"&lt;="&amp;A16,$C$2:$C$64,"&gt;=0")=3,SUMIFS($C$2:$C$64,$A$2:$A$64,"&gt;="&amp;EDATE(A16,-2),$A$2:$A$64,"&lt;="&amp;A16)/3,"")</x:f>
        <x:v>210885.33333333334</x:v>
      </x:c>
      <x:c r="N16" s="2" t="str">
        <x:v>2023-03-27</x:v>
      </x:c>
      <x:c r="O16" s="2" t="str">
        <x:v>https://www.e-stat.go.jp/stat-search/file-download?statInfId=000040040356&amp;fileKind=0</x:v>
      </x:c>
      <x:c r="P16" s="2" t="str">
        <x:v>2-1!26行</x:v>
      </x:c>
      <x:c r="Q16" s="8" t="n">
        <x:f>B16-C16-D16</x:f>
        <x:v>0</x:v>
      </x:c>
    </x:row>
    <x:row r="17" ht="21" customHeight="1">
      <x:c r="A17" s="7" t="n">
        <x:v>44652</x:v>
      </x:c>
      <x:c r="B17" s="8" t="n">
        <x:v>322927</x:v>
      </x:c>
      <x:c r="C17" s="8" t="n">
        <x:v>215404</x:v>
      </x:c>
      <x:c r="D17" s="8" t="n">
        <x:v>107522</x:v>
      </x:c>
      <x:c r="E17" s="8" t="n">
        <x:v>170212</x:v>
      </x:c>
      <x:c r="F17" s="8" t="n">
        <x:v>11198</x:v>
      </x:c>
      <x:c r="G17" s="8" t="n">
        <x:v>12329</x:v>
      </x:c>
      <x:c r="H17" s="8" t="n">
        <x:v>51503</x:v>
      </x:c>
      <x:c r="I17" s="8" t="n">
        <x:v>66060</x:v>
      </x:c>
      <x:c r="J17" s="8" t="n">
        <x:v>29122</x:v>
      </x:c>
      <x:c r="K17" s="9" t="n">
        <x:f>IF(COUNTIFS($A$2:$A$64,EDATE(A17,-12),$B$2:$B$64,"&gt;0")=1,B17/SUMIFS($B$2:$B$64,$A$2:$A$64,EDATE(A17,-12))-1,"")</x:f>
        <x:v>0.0023030246597450788</x:v>
      </x:c>
      <x:c r="L17" s="9" t="n">
        <x:f>IF(COUNTIFS($A$2:$A$64,EDATE(A17,-12),$C$2:$C$64,"&gt;0")=1,C17/SUMIFS($C$2:$C$64,$A$2:$A$64,EDATE(A17,-12))-1,"")</x:f>
        <x:v>0.01555361731218019</x:v>
      </x:c>
      <x:c r="M17" s="10" t="n">
        <x:f>IF(COUNTIFS($A$2:$A$64,"&gt;="&amp;EDATE(A17,-2),$A$2:$A$64,"&lt;="&amp;A17,$C$2:$C$64,"&gt;=0")=3,SUMIFS($C$2:$C$64,$A$2:$A$64,"&gt;="&amp;EDATE(A17,-2),$A$2:$A$64,"&lt;="&amp;A17)/3,"")</x:f>
        <x:v>213699</x:v>
      </x:c>
      <x:c r="N17" s="2" t="str">
        <x:v>2023-03-27</x:v>
      </x:c>
      <x:c r="O17" s="2" t="str">
        <x:v>https://www.e-stat.go.jp/stat-search/file-download?statInfId=000040040356&amp;fileKind=0</x:v>
      </x:c>
      <x:c r="P17" s="2" t="str">
        <x:v>2-1!27行</x:v>
      </x:c>
      <x:c r="Q17" s="8" t="n">
        <x:f>B17-C17-D17</x:f>
        <x:v>1</x:v>
      </x:c>
    </x:row>
    <x:row r="18" ht="21" customHeight="1">
      <x:c r="A18" s="7" t="n">
        <x:v>44682</x:v>
      </x:c>
      <x:c r="B18" s="8" t="n">
        <x:v>283381</x:v>
      </x:c>
      <x:c r="C18" s="8" t="n">
        <x:v>185335</x:v>
      </x:c>
      <x:c r="D18" s="8" t="n">
        <x:v>98046</x:v>
      </x:c>
      <x:c r="E18" s="8" t="n">
        <x:v>145495</x:v>
      </x:c>
      <x:c r="F18" s="8" t="n">
        <x:v>8477</x:v>
      </x:c>
      <x:c r="G18" s="8" t="n">
        <x:v>10453</x:v>
      </x:c>
      <x:c r="H18" s="8" t="n">
        <x:v>45966</x:v>
      </x:c>
      <x:c r="I18" s="8" t="n">
        <x:v>54439</x:v>
      </x:c>
      <x:c r="J18" s="8" t="n">
        <x:v>26160</x:v>
      </x:c>
      <x:c r="K18" s="9" t="n">
        <x:f>IF(COUNTIFS($A$2:$A$64,EDATE(A18,-12),$B$2:$B$64,"&gt;0")=1,B18/SUMIFS($B$2:$B$64,$A$2:$A$64,EDATE(A18,-12))-1,"")</x:f>
        <x:v>-0.07165812189808518</x:v>
      </x:c>
      <x:c r="L18" s="9" t="n">
        <x:f>IF(COUNTIFS($A$2:$A$64,EDATE(A18,-12),$C$2:$C$64,"&gt;0")=1,C18/SUMIFS($C$2:$C$64,$A$2:$A$64,EDATE(A18,-12))-1,"")</x:f>
        <x:v>-0.10949722280947893</x:v>
      </x:c>
      <x:c r="M18" s="10" t="n">
        <x:f>IF(COUNTIFS($A$2:$A$64,"&gt;="&amp;EDATE(A18,-2),$A$2:$A$64,"&lt;="&amp;A18,$C$2:$C$64,"&gt;=0")=3,SUMIFS($C$2:$C$64,$A$2:$A$64,"&gt;="&amp;EDATE(A18,-2),$A$2:$A$64,"&lt;="&amp;A18)/3,"")</x:f>
        <x:v>207619.33333333334</x:v>
      </x:c>
      <x:c r="N18" s="2" t="str">
        <x:v>2023-03-27</x:v>
      </x:c>
      <x:c r="O18" s="2" t="str">
        <x:v>https://www.e-stat.go.jp/stat-search/file-download?statInfId=000040040356&amp;fileKind=0</x:v>
      </x:c>
      <x:c r="P18" s="2" t="str">
        <x:v>2-1!28行</x:v>
      </x:c>
      <x:c r="Q18" s="8" t="n">
        <x:f>B18-C18-D18</x:f>
        <x:v>0</x:v>
      </x:c>
    </x:row>
    <x:row r="19" ht="21" customHeight="1">
      <x:c r="A19" s="7" t="n">
        <x:v>44713</x:v>
      </x:c>
      <x:c r="B19" s="8" t="n">
        <x:v>328269</x:v>
      </x:c>
      <x:c r="C19" s="8" t="n">
        <x:v>225829</x:v>
      </x:c>
      <x:c r="D19" s="8" t="n">
        <x:v>102440</x:v>
      </x:c>
      <x:c r="E19" s="8" t="n">
        <x:v>179945</x:v>
      </x:c>
      <x:c r="F19" s="8" t="n">
        <x:v>11174</x:v>
      </x:c>
      <x:c r="G19" s="8" t="n">
        <x:v>11953</x:v>
      </x:c>
      <x:c r="H19" s="8" t="n">
        <x:v>54315</x:v>
      </x:c>
      <x:c r="I19" s="8" t="n">
        <x:v>70098</x:v>
      </x:c>
      <x:c r="J19" s="8" t="n">
        <x:v>32404</x:v>
      </x:c>
      <x:c r="K19" s="9" t="n">
        <x:f>IF(COUNTIFS($A$2:$A$64,EDATE(A19,-12),$B$2:$B$64,"&gt;0")=1,B19/SUMIFS($B$2:$B$64,$A$2:$A$64,EDATE(A19,-12))-1,"")</x:f>
        <x:v>0.027362405563240655</x:v>
      </x:c>
      <x:c r="L19" s="9" t="n">
        <x:f>IF(COUNTIFS($A$2:$A$64,EDATE(A19,-12),$C$2:$C$64,"&gt;0")=1,C19/SUMIFS($C$2:$C$64,$A$2:$A$64,EDATE(A19,-12))-1,"")</x:f>
        <x:v>0.06605581676391181</x:v>
      </x:c>
      <x:c r="M19" s="10" t="n">
        <x:f>IF(COUNTIFS($A$2:$A$64,"&gt;="&amp;EDATE(A19,-2),$A$2:$A$64,"&lt;="&amp;A19,$C$2:$C$64,"&gt;=0")=3,SUMIFS($C$2:$C$64,$A$2:$A$64,"&gt;="&amp;EDATE(A19,-2),$A$2:$A$64,"&lt;="&amp;A19)/3,"")</x:f>
        <x:v>208856</x:v>
      </x:c>
      <x:c r="N19" s="2" t="str">
        <x:v>2023-03-27</x:v>
      </x:c>
      <x:c r="O19" s="2" t="str">
        <x:v>https://www.e-stat.go.jp/stat-search/file-download?statInfId=000040040356&amp;fileKind=0</x:v>
      </x:c>
      <x:c r="P19" s="2" t="str">
        <x:v>2-1!29行</x:v>
      </x:c>
      <x:c r="Q19" s="8" t="n">
        <x:f>B19-C19-D19</x:f>
        <x:v>0</x:v>
      </x:c>
    </x:row>
    <x:row r="20" ht="21" customHeight="1">
      <x:c r="A20" s="7" t="n">
        <x:v>44743</x:v>
      </x:c>
      <x:c r="B20" s="8" t="n">
        <x:v>322496</x:v>
      </x:c>
      <x:c r="C20" s="8" t="n">
        <x:v>219871</x:v>
      </x:c>
      <x:c r="D20" s="8" t="n">
        <x:v>102625</x:v>
      </x:c>
      <x:c r="E20" s="8" t="n">
        <x:v>175779</x:v>
      </x:c>
      <x:c r="F20" s="8" t="n">
        <x:v>12354</x:v>
      </x:c>
      <x:c r="G20" s="8" t="n">
        <x:v>11485</x:v>
      </x:c>
      <x:c r="H20" s="8" t="n">
        <x:v>52765</x:v>
      </x:c>
      <x:c r="I20" s="8" t="n">
        <x:v>67614</x:v>
      </x:c>
      <x:c r="J20" s="8" t="n">
        <x:v>31561</x:v>
      </x:c>
      <x:c r="K20" s="9" t="n">
        <x:f>IF(COUNTIFS($A$2:$A$64,EDATE(A20,-12),$B$2:$B$64,"&gt;0")=1,B20/SUMIFS($B$2:$B$64,$A$2:$A$64,EDATE(A20,-12))-1,"")</x:f>
        <x:v>-0.03260970641965166</x:v>
      </x:c>
      <x:c r="L20" s="9" t="n">
        <x:f>IF(COUNTIFS($A$2:$A$64,EDATE(A20,-12),$C$2:$C$64,"&gt;0")=1,C20/SUMIFS($C$2:$C$64,$A$2:$A$64,EDATE(A20,-12))-1,"")</x:f>
        <x:v>-0.028572312205639383</x:v>
      </x:c>
      <x:c r="M20" s="10" t="n">
        <x:f>IF(COUNTIFS($A$2:$A$64,"&gt;="&amp;EDATE(A20,-2),$A$2:$A$64,"&lt;="&amp;A20,$C$2:$C$64,"&gt;=0")=3,SUMIFS($C$2:$C$64,$A$2:$A$64,"&gt;="&amp;EDATE(A20,-2),$A$2:$A$64,"&lt;="&amp;A20)/3,"")</x:f>
        <x:v>210345</x:v>
      </x:c>
      <x:c r="N20" s="2" t="str">
        <x:v>2023-03-27</x:v>
      </x:c>
      <x:c r="O20" s="2" t="str">
        <x:v>https://www.e-stat.go.jp/stat-search/file-download?statInfId=000040040356&amp;fileKind=0</x:v>
      </x:c>
      <x:c r="P20" s="2" t="str">
        <x:v>2-1!30行</x:v>
      </x:c>
      <x:c r="Q20" s="8" t="n">
        <x:f>B20-C20-D20</x:f>
        <x:v>0</x:v>
      </x:c>
    </x:row>
    <x:row r="21" ht="21" customHeight="1">
      <x:c r="A21" s="7" t="n">
        <x:v>44774</x:v>
      </x:c>
      <x:c r="B21" s="8" t="n">
        <x:v>306664</x:v>
      </x:c>
      <x:c r="C21" s="8" t="n">
        <x:v>205879</x:v>
      </x:c>
      <x:c r="D21" s="8" t="n">
        <x:v>100786</x:v>
      </x:c>
      <x:c r="E21" s="8" t="n">
        <x:v>163383</x:v>
      </x:c>
      <x:c r="F21" s="8" t="n">
        <x:v>12220</x:v>
      </x:c>
      <x:c r="G21" s="8" t="n">
        <x:v>10261</x:v>
      </x:c>
      <x:c r="H21" s="8" t="n">
        <x:v>50498</x:v>
      </x:c>
      <x:c r="I21" s="8" t="n">
        <x:v>60469</x:v>
      </x:c>
      <x:c r="J21" s="8" t="n">
        <x:v>29935</x:v>
      </x:c>
      <x:c r="K21" s="9" t="n">
        <x:f>IF(COUNTIFS($A$2:$A$64,EDATE(A21,-12),$B$2:$B$64,"&gt;0")=1,B21/SUMIFS($B$2:$B$64,$A$2:$A$64,EDATE(A21,-12))-1,"")</x:f>
        <x:v>0.061161497496444506</x:v>
      </x:c>
      <x:c r="L21" s="9" t="n">
        <x:f>IF(COUNTIFS($A$2:$A$64,EDATE(A21,-12),$C$2:$C$64,"&gt;0")=1,C21/SUMIFS($C$2:$C$64,$A$2:$A$64,EDATE(A21,-12))-1,"")</x:f>
        <x:v>0.045729291533757266</x:v>
      </x:c>
      <x:c r="M21" s="10" t="n">
        <x:f>IF(COUNTIFS($A$2:$A$64,"&gt;="&amp;EDATE(A21,-2),$A$2:$A$64,"&lt;="&amp;A21,$C$2:$C$64,"&gt;=0")=3,SUMIFS($C$2:$C$64,$A$2:$A$64,"&gt;="&amp;EDATE(A21,-2),$A$2:$A$64,"&lt;="&amp;A21)/3,"")</x:f>
        <x:v>217193</x:v>
      </x:c>
      <x:c r="N21" s="2" t="str">
        <x:v>2023-03-27</x:v>
      </x:c>
      <x:c r="O21" s="2" t="str">
        <x:v>https://www.e-stat.go.jp/stat-search/file-download?statInfId=000040040356&amp;fileKind=0</x:v>
      </x:c>
      <x:c r="P21" s="2" t="str">
        <x:v>2-1!31行</x:v>
      </x:c>
      <x:c r="Q21" s="8" t="n">
        <x:f>B21-C21-D21</x:f>
        <x:v>-1</x:v>
      </x:c>
    </x:row>
    <x:row r="22" ht="21" customHeight="1">
      <x:c r="A22" s="7" t="n">
        <x:v>44805</x:v>
      </x:c>
      <x:c r="B22" s="8" t="n">
        <x:v>323818</x:v>
      </x:c>
      <x:c r="C22" s="8" t="n">
        <x:v>219767</x:v>
      </x:c>
      <x:c r="D22" s="8" t="n">
        <x:v>104051</x:v>
      </x:c>
      <x:c r="E22" s="8" t="n">
        <x:v>178001</x:v>
      </x:c>
      <x:c r="F22" s="8" t="n">
        <x:v>11755</x:v>
      </x:c>
      <x:c r="G22" s="8" t="n">
        <x:v>11173</x:v>
      </x:c>
      <x:c r="H22" s="8" t="n">
        <x:v>61465</x:v>
      </x:c>
      <x:c r="I22" s="8" t="n">
        <x:v>62988</x:v>
      </x:c>
      <x:c r="J22" s="8" t="n">
        <x:v>30620</x:v>
      </x:c>
      <x:c r="K22" s="9" t="n">
        <x:f>IF(COUNTIFS($A$2:$A$64,EDATE(A22,-12),$B$2:$B$64,"&gt;0")=1,B22/SUMIFS($B$2:$B$64,$A$2:$A$64,EDATE(A22,-12))-1,"")</x:f>
        <x:v>0.0011129729362080454</x:v>
      </x:c>
      <x:c r="L22" s="9" t="n">
        <x:f>IF(COUNTIFS($A$2:$A$64,EDATE(A22,-12),$C$2:$C$64,"&gt;0")=1,C22/SUMIFS($C$2:$C$64,$A$2:$A$64,EDATE(A22,-12))-1,"")</x:f>
        <x:v>0.036192011919411904</x:v>
      </x:c>
      <x:c r="M22" s="10" t="n">
        <x:f>IF(COUNTIFS($A$2:$A$64,"&gt;="&amp;EDATE(A22,-2),$A$2:$A$64,"&lt;="&amp;A22,$C$2:$C$64,"&gt;=0")=3,SUMIFS($C$2:$C$64,$A$2:$A$64,"&gt;="&amp;EDATE(A22,-2),$A$2:$A$64,"&lt;="&amp;A22)/3,"")</x:f>
        <x:v>215172.33333333334</x:v>
      </x:c>
      <x:c r="N22" s="2" t="str">
        <x:v>2023-03-27</x:v>
      </x:c>
      <x:c r="O22" s="2" t="str">
        <x:v>https://www.e-stat.go.jp/stat-search/file-download?statInfId=000040040356&amp;fileKind=0</x:v>
      </x:c>
      <x:c r="P22" s="2" t="str">
        <x:v>2-1!32行</x:v>
      </x:c>
      <x:c r="Q22" s="8" t="n">
        <x:f>B22-C22-D22</x:f>
        <x:v>0</x:v>
      </x:c>
    </x:row>
    <x:row r="23" ht="21" customHeight="1">
      <x:c r="A23" s="7" t="n">
        <x:v>44835</x:v>
      </x:c>
      <x:c r="B23" s="8" t="n">
        <x:v>338516</x:v>
      </x:c>
      <x:c r="C23" s="8" t="n">
        <x:v>225008</x:v>
      </x:c>
      <x:c r="D23" s="8" t="n">
        <x:v>113507</x:v>
      </x:c>
      <x:c r="E23" s="8" t="n">
        <x:v>180236</x:v>
      </x:c>
      <x:c r="F23" s="8" t="n">
        <x:v>10917</x:v>
      </x:c>
      <x:c r="G23" s="8" t="n">
        <x:v>12680</x:v>
      </x:c>
      <x:c r="H23" s="8" t="n">
        <x:v>58504</x:v>
      </x:c>
      <x:c r="I23" s="8" t="n">
        <x:v>68058</x:v>
      </x:c>
      <x:c r="J23" s="8" t="n">
        <x:v>30077</x:v>
      </x:c>
      <x:c r="K23" s="9" t="n">
        <x:f>IF(COUNTIFS($A$2:$A$64,EDATE(A23,-12),$B$2:$B$64,"&gt;0")=1,B23/SUMIFS($B$2:$B$64,$A$2:$A$64,EDATE(A23,-12))-1,"")</x:f>
        <x:v>-0.03915029136354731</x:v>
      </x:c>
      <x:c r="L23" s="9" t="n">
        <x:f>IF(COUNTIFS($A$2:$A$64,EDATE(A23,-12),$C$2:$C$64,"&gt;0")=1,C23/SUMIFS($C$2:$C$64,$A$2:$A$64,EDATE(A23,-12))-1,"")</x:f>
        <x:v>-0.0539880344252025</x:v>
      </x:c>
      <x:c r="M23" s="10" t="n">
        <x:f>IF(COUNTIFS($A$2:$A$64,"&gt;="&amp;EDATE(A23,-2),$A$2:$A$64,"&lt;="&amp;A23,$C$2:$C$64,"&gt;=0")=3,SUMIFS($C$2:$C$64,$A$2:$A$64,"&gt;="&amp;EDATE(A23,-2),$A$2:$A$64,"&lt;="&amp;A23)/3,"")</x:f>
        <x:v>216884.66666666666</x:v>
      </x:c>
      <x:c r="N23" s="2" t="str">
        <x:v>2023-03-27</x:v>
      </x:c>
      <x:c r="O23" s="2" t="str">
        <x:v>https://www.e-stat.go.jp/stat-search/file-download?statInfId=000040040356&amp;fileKind=0</x:v>
      </x:c>
      <x:c r="P23" s="2" t="str">
        <x:v>2-1!33行</x:v>
      </x:c>
      <x:c r="Q23" s="8" t="n">
        <x:f>B23-C23-D23</x:f>
        <x:v>1</x:v>
      </x:c>
    </x:row>
    <x:row r="24" ht="21" customHeight="1">
      <x:c r="A24" s="7" t="n">
        <x:v>44866</x:v>
      </x:c>
      <x:c r="B24" s="8" t="n">
        <x:v>347688</x:v>
      </x:c>
      <x:c r="C24" s="8" t="n">
        <x:v>221691</x:v>
      </x:c>
      <x:c r="D24" s="8" t="n">
        <x:v>125997</x:v>
      </x:c>
      <x:c r="E24" s="8" t="n">
        <x:v>177893</x:v>
      </x:c>
      <x:c r="F24" s="8" t="n">
        <x:v>10658</x:v>
      </x:c>
      <x:c r="G24" s="8" t="n">
        <x:v>12181</x:v>
      </x:c>
      <x:c r="H24" s="8" t="n">
        <x:v>58789</x:v>
      </x:c>
      <x:c r="I24" s="8" t="n">
        <x:v>66333</x:v>
      </x:c>
      <x:c r="J24" s="8" t="n">
        <x:v>29932</x:v>
      </x:c>
      <x:c r="K24" s="9" t="n">
        <x:f>IF(COUNTIFS($A$2:$A$64,EDATE(A24,-12),$B$2:$B$64,"&gt;0")=1,B24/SUMIFS($B$2:$B$64,$A$2:$A$64,EDATE(A24,-12))-1,"")</x:f>
        <x:v>0.00039130835098055705</x:v>
      </x:c>
      <x:c r="L24" s="9" t="n">
        <x:f>IF(COUNTIFS($A$2:$A$64,EDATE(A24,-12),$C$2:$C$64,"&gt;0")=1,C24/SUMIFS($C$2:$C$64,$A$2:$A$64,EDATE(A24,-12))-1,"")</x:f>
        <x:v>-0.04400679614999825</x:v>
      </x:c>
      <x:c r="M24" s="10" t="n">
        <x:f>IF(COUNTIFS($A$2:$A$64,"&gt;="&amp;EDATE(A24,-2),$A$2:$A$64,"&lt;="&amp;A24,$C$2:$C$64,"&gt;=0")=3,SUMIFS($C$2:$C$64,$A$2:$A$64,"&gt;="&amp;EDATE(A24,-2),$A$2:$A$64,"&lt;="&amp;A24)/3,"")</x:f>
        <x:v>222155.33333333334</x:v>
      </x:c>
      <x:c r="N24" s="2" t="str">
        <x:v>2023-03-27</x:v>
      </x:c>
      <x:c r="O24" s="2" t="str">
        <x:v>https://www.e-stat.go.jp/stat-search/file-download?statInfId=000040040356&amp;fileKind=0</x:v>
      </x:c>
      <x:c r="P24" s="2" t="str">
        <x:v>2-1!34行</x:v>
      </x:c>
      <x:c r="Q24" s="8" t="n">
        <x:f>B24-C24-D24</x:f>
        <x:v>0</x:v>
      </x:c>
    </x:row>
    <x:row r="25" ht="21" customHeight="1">
      <x:c r="A25" s="7" t="n">
        <x:v>44896</x:v>
      </x:c>
      <x:c r="B25" s="8" t="n">
        <x:v>323242</x:v>
      </x:c>
      <x:c r="C25" s="8" t="n">
        <x:v>215771</x:v>
      </x:c>
      <x:c r="D25" s="8" t="n">
        <x:v>107470</x:v>
      </x:c>
      <x:c r="E25" s="8" t="n">
        <x:v>170418</x:v>
      </x:c>
      <x:c r="F25" s="8" t="n">
        <x:v>10781</x:v>
      </x:c>
      <x:c r="G25" s="8" t="n">
        <x:v>12548</x:v>
      </x:c>
      <x:c r="H25" s="8" t="n">
        <x:v>51797</x:v>
      </x:c>
      <x:c r="I25" s="8" t="n">
        <x:v>65904</x:v>
      </x:c>
      <x:c r="J25" s="8" t="n">
        <x:v>29387</x:v>
      </x:c>
      <x:c r="K25" s="9" t="n">
        <x:f>IF(COUNTIFS($A$2:$A$64,EDATE(A25,-12),$B$2:$B$64,"&gt;0")=1,B25/SUMIFS($B$2:$B$64,$A$2:$A$64,EDATE(A25,-12))-1,"")</x:f>
        <x:v>-0.04867547037650721</x:v>
      </x:c>
      <x:c r="L25" s="9" t="n">
        <x:f>IF(COUNTIFS($A$2:$A$64,EDATE(A25,-12),$C$2:$C$64,"&gt;0")=1,C25/SUMIFS($C$2:$C$64,$A$2:$A$64,EDATE(A25,-12))-1,"")</x:f>
        <x:v>-0.07107770329902141</x:v>
      </x:c>
      <x:c r="M25" s="10" t="n">
        <x:f>IF(COUNTIFS($A$2:$A$64,"&gt;="&amp;EDATE(A25,-2),$A$2:$A$64,"&lt;="&amp;A25,$C$2:$C$64,"&gt;=0")=3,SUMIFS($C$2:$C$64,$A$2:$A$64,"&gt;="&amp;EDATE(A25,-2),$A$2:$A$64,"&lt;="&amp;A25)/3,"")</x:f>
        <x:v>220823.33333333334</x:v>
      </x:c>
      <x:c r="N25" s="2" t="str">
        <x:v>2024-03-25</x:v>
      </x:c>
      <x:c r="O25" s="2" t="str">
        <x:v>https://www.e-stat.go.jp/stat-search/file-download?statInfId=000040165993&amp;fileKind=0</x:v>
      </x:c>
      <x:c r="P25" s="2" t="str">
        <x:v>2-1!24行</x:v>
      </x:c>
      <x:c r="Q25" s="8" t="n">
        <x:f>B25-C25-D25</x:f>
        <x:v>1</x:v>
      </x:c>
    </x:row>
    <x:row r="26" ht="21" customHeight="1">
      <x:c r="A26" s="7" t="n">
        <x:v>44927</x:v>
      </x:c>
      <x:c r="B26" s="8" t="n">
        <x:v>292486</x:v>
      </x:c>
      <x:c r="C26" s="8" t="n">
        <x:v>198164</x:v>
      </x:c>
      <x:c r="D26" s="8" t="n">
        <x:v>94322</x:v>
      </x:c>
      <x:c r="E26" s="8" t="n">
        <x:v>157139</x:v>
      </x:c>
      <x:c r="F26" s="8" t="n">
        <x:v>9513</x:v>
      </x:c>
      <x:c r="G26" s="8" t="n">
        <x:v>11174</x:v>
      </x:c>
      <x:c r="H26" s="8" t="n">
        <x:v>52504</x:v>
      </x:c>
      <x:c r="I26" s="8" t="n">
        <x:v>57636</x:v>
      </x:c>
      <x:c r="J26" s="8" t="n">
        <x:v>26311</x:v>
      </x:c>
      <x:c r="K26" s="9" t="n">
        <x:f>IF(COUNTIFS($A$2:$A$64,EDATE(A26,-12),$B$2:$B$64,"&gt;0")=1,B26/SUMIFS($B$2:$B$64,$A$2:$A$64,EDATE(A26,-12))-1,"")</x:f>
        <x:v>-0.06559665707193496</x:v>
      </x:c>
      <x:c r="L26" s="9" t="n">
        <x:f>IF(COUNTIFS($A$2:$A$64,EDATE(A26,-12),$C$2:$C$64,"&gt;0")=1,C26/SUMIFS($C$2:$C$64,$A$2:$A$64,EDATE(A26,-12))-1,"")</x:f>
        <x:v>-0.0425148456487392</x:v>
      </x:c>
      <x:c r="M26" s="10" t="n">
        <x:f>IF(COUNTIFS($A$2:$A$64,"&gt;="&amp;EDATE(A26,-2),$A$2:$A$64,"&lt;="&amp;A26,$C$2:$C$64,"&gt;=0")=3,SUMIFS($C$2:$C$64,$A$2:$A$64,"&gt;="&amp;EDATE(A26,-2),$A$2:$A$64,"&lt;="&amp;A26)/3,"")</x:f>
        <x:v>211875.33333333334</x:v>
      </x:c>
      <x:c r="N26" s="2" t="str">
        <x:v>2024-03-25</x:v>
      </x:c>
      <x:c r="O26" s="2" t="str">
        <x:v>https://www.e-stat.go.jp/stat-search/file-download?statInfId=000040165993&amp;fileKind=0</x:v>
      </x:c>
      <x:c r="P26" s="2" t="str">
        <x:v>2-1!25行</x:v>
      </x:c>
      <x:c r="Q26" s="8" t="n">
        <x:f>B26-C26-D26</x:f>
        <x:v>0</x:v>
      </x:c>
    </x:row>
    <x:row r="27" ht="21" customHeight="1">
      <x:c r="A27" s="7" t="n">
        <x:v>44958</x:v>
      </x:c>
      <x:c r="B27" s="8" t="n">
        <x:v>306548</x:v>
      </x:c>
      <x:c r="C27" s="8" t="n">
        <x:v>207690</x:v>
      </x:c>
      <x:c r="D27" s="8" t="n">
        <x:v>98858</x:v>
      </x:c>
      <x:c r="E27" s="8" t="n">
        <x:v>166881</x:v>
      </x:c>
      <x:c r="F27" s="8" t="n">
        <x:v>9589</x:v>
      </x:c>
      <x:c r="G27" s="8" t="n">
        <x:v>12457</x:v>
      </x:c>
      <x:c r="H27" s="8" t="n">
        <x:v>57052</x:v>
      </x:c>
      <x:c r="I27" s="8" t="n">
        <x:v>61868</x:v>
      </x:c>
      <x:c r="J27" s="8" t="n">
        <x:v>25916</x:v>
      </x:c>
      <x:c r="K27" s="9" t="n">
        <x:f>IF(COUNTIFS($A$2:$A$64,EDATE(A27,-12),$B$2:$B$64,"&gt;0")=1,B27/SUMIFS($B$2:$B$64,$A$2:$A$64,EDATE(A27,-12))-1,"")</x:f>
        <x:v>-0.008429455869890079</x:v>
      </x:c>
      <x:c r="L27" s="9" t="n">
        <x:f>IF(COUNTIFS($A$2:$A$64,EDATE(A27,-12),$C$2:$C$64,"&gt;0")=1,C27/SUMIFS($C$2:$C$64,$A$2:$A$64,EDATE(A27,-12))-1,"")</x:f>
        <x:v>0.02021869197441717</x:v>
      </x:c>
      <x:c r="M27" s="10" t="n">
        <x:f>IF(COUNTIFS($A$2:$A$64,"&gt;="&amp;EDATE(A27,-2),$A$2:$A$64,"&lt;="&amp;A27,$C$2:$C$64,"&gt;=0")=3,SUMIFS($C$2:$C$64,$A$2:$A$64,"&gt;="&amp;EDATE(A27,-2),$A$2:$A$64,"&lt;="&amp;A27)/3,"")</x:f>
        <x:v>207208.33333333334</x:v>
      </x:c>
      <x:c r="N27" s="2" t="str">
        <x:v>2024-03-25</x:v>
      </x:c>
      <x:c r="O27" s="2" t="str">
        <x:v>https://www.e-stat.go.jp/stat-search/file-download?statInfId=000040165993&amp;fileKind=0</x:v>
      </x:c>
      <x:c r="P27" s="2" t="str">
        <x:v>2-1!26行</x:v>
      </x:c>
      <x:c r="Q27" s="8" t="n">
        <x:f>B27-C27-D27</x:f>
        <x:v>0</x:v>
      </x:c>
    </x:row>
    <x:row r="28" ht="21" customHeight="1">
      <x:c r="A28" s="7" t="n">
        <x:v>44986</x:v>
      </x:c>
      <x:c r="B28" s="8" t="n">
        <x:v>329965</x:v>
      </x:c>
      <x:c r="C28" s="8" t="n">
        <x:v>217138</x:v>
      </x:c>
      <x:c r="D28" s="8" t="n">
        <x:v>112827</x:v>
      </x:c>
      <x:c r="E28" s="8" t="n">
        <x:v>174424</x:v>
      </x:c>
      <x:c r="F28" s="8" t="n">
        <x:v>10787</x:v>
      </x:c>
      <x:c r="G28" s="8" t="n">
        <x:v>12066</x:v>
      </x:c>
      <x:c r="H28" s="8" t="n">
        <x:v>53509</x:v>
      </x:c>
      <x:c r="I28" s="8" t="n">
        <x:v>66117</x:v>
      </x:c>
      <x:c r="J28" s="8" t="n">
        <x:v>31945</x:v>
      </x:c>
      <x:c r="K28" s="9" t="n">
        <x:f>IF(COUNTIFS($A$2:$A$64,EDATE(A28,-12),$B$2:$B$64,"&gt;0")=1,B28/SUMIFS($B$2:$B$64,$A$2:$A$64,EDATE(A28,-12))-1,"")</x:f>
        <x:v>-0.011491876896713937</x:v>
      </x:c>
      <x:c r="L28" s="9" t="n">
        <x:f>IF(COUNTIFS($A$2:$A$64,EDATE(A28,-12),$C$2:$C$64,"&gt;0")=1,C28/SUMIFS($C$2:$C$64,$A$2:$A$64,EDATE(A28,-12))-1,"")</x:f>
        <x:v>-0.022424916373655512</x:v>
      </x:c>
      <x:c r="M28" s="10" t="n">
        <x:f>IF(COUNTIFS($A$2:$A$64,"&gt;="&amp;EDATE(A28,-2),$A$2:$A$64,"&lt;="&amp;A28,$C$2:$C$64,"&gt;=0")=3,SUMIFS($C$2:$C$64,$A$2:$A$64,"&gt;="&amp;EDATE(A28,-2),$A$2:$A$64,"&lt;="&amp;A28)/3,"")</x:f>
        <x:v>207664</x:v>
      </x:c>
      <x:c r="N28" s="2" t="str">
        <x:v>2024-03-25</x:v>
      </x:c>
      <x:c r="O28" s="2" t="str">
        <x:v>https://www.e-stat.go.jp/stat-search/file-download?statInfId=000040165993&amp;fileKind=0</x:v>
      </x:c>
      <x:c r="P28" s="2" t="str">
        <x:v>2-1!27行</x:v>
      </x:c>
      <x:c r="Q28" s="8" t="n">
        <x:f>B28-C28-D28</x:f>
        <x:v>0</x:v>
      </x:c>
    </x:row>
    <x:row r="29" ht="21" customHeight="1">
      <x:c r="A29" s="7" t="n">
        <x:v>45017</x:v>
      </x:c>
      <x:c r="B29" s="8" t="n">
        <x:v>317310</x:v>
      </x:c>
      <x:c r="C29" s="8" t="n">
        <x:v>208474</x:v>
      </x:c>
      <x:c r="D29" s="8" t="n">
        <x:v>108836</x:v>
      </x:c>
      <x:c r="E29" s="8" t="n">
        <x:v>165896</x:v>
      </x:c>
      <x:c r="F29" s="8" t="n">
        <x:v>10293</x:v>
      </x:c>
      <x:c r="G29" s="8" t="n">
        <x:v>10967</x:v>
      </x:c>
      <x:c r="H29" s="8" t="n">
        <x:v>49095</x:v>
      </x:c>
      <x:c r="I29" s="8" t="n">
        <x:v>67820</x:v>
      </x:c>
      <x:c r="J29" s="8" t="n">
        <x:v>27720</x:v>
      </x:c>
      <x:c r="K29" s="9" t="n">
        <x:f>IF(COUNTIFS($A$2:$A$64,EDATE(A29,-12),$B$2:$B$64,"&gt;0")=1,B29/SUMIFS($B$2:$B$64,$A$2:$A$64,EDATE(A29,-12))-1,"")</x:f>
        <x:v>-0.01739402403639212</x:v>
      </x:c>
      <x:c r="L29" s="9" t="n">
        <x:f>IF(COUNTIFS($A$2:$A$64,EDATE(A29,-12),$C$2:$C$64,"&gt;0")=1,C29/SUMIFS($C$2:$C$64,$A$2:$A$64,EDATE(A29,-12))-1,"")</x:f>
        <x:v>-0.032172104510594046</x:v>
      </x:c>
      <x:c r="M29" s="10" t="n">
        <x:f>IF(COUNTIFS($A$2:$A$64,"&gt;="&amp;EDATE(A29,-2),$A$2:$A$64,"&lt;="&amp;A29,$C$2:$C$64,"&gt;=0")=3,SUMIFS($C$2:$C$64,$A$2:$A$64,"&gt;="&amp;EDATE(A29,-2),$A$2:$A$64,"&lt;="&amp;A29)/3,"")</x:f>
        <x:v>211100.66666666666</x:v>
      </x:c>
      <x:c r="N29" s="2" t="str">
        <x:v>2024-03-25</x:v>
      </x:c>
      <x:c r="O29" s="2" t="str">
        <x:v>https://www.e-stat.go.jp/stat-search/file-download?statInfId=000040165993&amp;fileKind=0</x:v>
      </x:c>
      <x:c r="P29" s="2" t="str">
        <x:v>2-1!28行</x:v>
      </x:c>
      <x:c r="Q29" s="8" t="n">
        <x:f>B29-C29-D29</x:f>
        <x:v>0</x:v>
      </x:c>
    </x:row>
    <x:row r="30" ht="21" customHeight="1">
      <x:c r="A30" s="7" t="n">
        <x:v>45047</x:v>
      </x:c>
      <x:c r="B30" s="8" t="n">
        <x:v>275927</x:v>
      </x:c>
      <x:c r="C30" s="8" t="n">
        <x:v>191690</x:v>
      </x:c>
      <x:c r="D30" s="8" t="n">
        <x:v>84237</x:v>
      </x:c>
      <x:c r="E30" s="8" t="n">
        <x:v>151342</x:v>
      </x:c>
      <x:c r="F30" s="8" t="n">
        <x:v>10115</x:v>
      </x:c>
      <x:c r="G30" s="8" t="n">
        <x:v>11020</x:v>
      </x:c>
      <x:c r="H30" s="8" t="n">
        <x:v>44622</x:v>
      </x:c>
      <x:c r="I30" s="8" t="n">
        <x:v>59536</x:v>
      </x:c>
      <x:c r="J30" s="8" t="n">
        <x:v>26048</x:v>
      </x:c>
      <x:c r="K30" s="9" t="n">
        <x:f>IF(COUNTIFS($A$2:$A$64,EDATE(A30,-12),$B$2:$B$64,"&gt;0")=1,B30/SUMIFS($B$2:$B$64,$A$2:$A$64,EDATE(A30,-12))-1,"")</x:f>
        <x:v>-0.026303810064895017</x:v>
      </x:c>
      <x:c r="L30" s="9" t="n">
        <x:f>IF(COUNTIFS($A$2:$A$64,EDATE(A30,-12),$C$2:$C$64,"&gt;0")=1,C30/SUMIFS($C$2:$C$64,$A$2:$A$64,EDATE(A30,-12))-1,"")</x:f>
        <x:v>0.034289259988669274</x:v>
      </x:c>
      <x:c r="M30" s="10" t="n">
        <x:f>IF(COUNTIFS($A$2:$A$64,"&gt;="&amp;EDATE(A30,-2),$A$2:$A$64,"&lt;="&amp;A30,$C$2:$C$64,"&gt;=0")=3,SUMIFS($C$2:$C$64,$A$2:$A$64,"&gt;="&amp;EDATE(A30,-2),$A$2:$A$64,"&lt;="&amp;A30)/3,"")</x:f>
        <x:v>205767.33333333334</x:v>
      </x:c>
      <x:c r="N30" s="2" t="str">
        <x:v>2024-03-25</x:v>
      </x:c>
      <x:c r="O30" s="2" t="str">
        <x:v>https://www.e-stat.go.jp/stat-search/file-download?statInfId=000040165993&amp;fileKind=0</x:v>
      </x:c>
      <x:c r="P30" s="2" t="str">
        <x:v>2-1!29行</x:v>
      </x:c>
      <x:c r="Q30" s="8" t="n">
        <x:f>B30-C30-D30</x:f>
        <x:v>0</x:v>
      </x:c>
    </x:row>
    <x:row r="31" ht="21" customHeight="1">
      <x:c r="A31" s="7" t="n">
        <x:v>45078</x:v>
      </x:c>
      <x:c r="B31" s="8" t="n">
        <x:v>313533</x:v>
      </x:c>
      <x:c r="C31" s="8" t="n">
        <x:v>207666</x:v>
      </x:c>
      <x:c r="D31" s="8" t="n">
        <x:v>105867</x:v>
      </x:c>
      <x:c r="E31" s="8" t="n">
        <x:v>161045</x:v>
      </x:c>
      <x:c r="F31" s="8" t="n">
        <x:v>10298</x:v>
      </x:c>
      <x:c r="G31" s="8" t="n">
        <x:v>10149</x:v>
      </x:c>
      <x:c r="H31" s="8" t="n">
        <x:v>46159</x:v>
      </x:c>
      <x:c r="I31" s="8" t="n">
        <x:v>67005</x:v>
      </x:c>
      <x:c r="J31" s="8" t="n">
        <x:v>27433</x:v>
      </x:c>
      <x:c r="K31" s="9" t="n">
        <x:f>IF(COUNTIFS($A$2:$A$64,EDATE(A31,-12),$B$2:$B$64,"&gt;0")=1,B31/SUMIFS($B$2:$B$64,$A$2:$A$64,EDATE(A31,-12))-1,"")</x:f>
        <x:v>-0.044890013982435084</x:v>
      </x:c>
      <x:c r="L31" s="9" t="n">
        <x:f>IF(COUNTIFS($A$2:$A$64,EDATE(A31,-12),$C$2:$C$64,"&gt;0")=1,C31/SUMIFS($C$2:$C$64,$A$2:$A$64,EDATE(A31,-12))-1,"")</x:f>
        <x:v>-0.0804281115357195</x:v>
      </x:c>
      <x:c r="M31" s="10" t="n">
        <x:f>IF(COUNTIFS($A$2:$A$64,"&gt;="&amp;EDATE(A31,-2),$A$2:$A$64,"&lt;="&amp;A31,$C$2:$C$64,"&gt;=0")=3,SUMIFS($C$2:$C$64,$A$2:$A$64,"&gt;="&amp;EDATE(A31,-2),$A$2:$A$64,"&lt;="&amp;A31)/3,"")</x:f>
        <x:v>202610</x:v>
      </x:c>
      <x:c r="N31" s="2" t="str">
        <x:v>2024-03-25</x:v>
      </x:c>
      <x:c r="O31" s="2" t="str">
        <x:v>https://www.e-stat.go.jp/stat-search/file-download?statInfId=000040165993&amp;fileKind=0</x:v>
      </x:c>
      <x:c r="P31" s="2" t="str">
        <x:v>2-1!30行</x:v>
      </x:c>
      <x:c r="Q31" s="8" t="n">
        <x:f>B31-C31-D31</x:f>
        <x:v>0</x:v>
      </x:c>
    </x:row>
    <x:row r="32" ht="21" customHeight="1">
      <x:c r="A32" s="7" t="n">
        <x:v>45108</x:v>
      </x:c>
      <x:c r="B32" s="8" t="n">
        <x:v>336813</x:v>
      </x:c>
      <x:c r="C32" s="8" t="n">
        <x:v>222870</x:v>
      </x:c>
      <x:c r="D32" s="8" t="n">
        <x:v>113943</x:v>
      </x:c>
      <x:c r="E32" s="8" t="n">
        <x:v>176823</x:v>
      </x:c>
      <x:c r="F32" s="8" t="n">
        <x:v>11573</x:v>
      </x:c>
      <x:c r="G32" s="8" t="n">
        <x:v>11478</x:v>
      </x:c>
      <x:c r="H32" s="8" t="n">
        <x:v>55695</x:v>
      </x:c>
      <x:c r="I32" s="8" t="n">
        <x:v>68730</x:v>
      </x:c>
      <x:c r="J32" s="8" t="n">
        <x:v>29347</x:v>
      </x:c>
      <x:c r="K32" s="9" t="n">
        <x:f>IF(COUNTIFS($A$2:$A$64,EDATE(A32,-12),$B$2:$B$64,"&gt;0")=1,B32/SUMIFS($B$2:$B$64,$A$2:$A$64,EDATE(A32,-12))-1,"")</x:f>
        <x:v>0.04439434907719786</x:v>
      </x:c>
      <x:c r="L32" s="9" t="n">
        <x:f>IF(COUNTIFS($A$2:$A$64,EDATE(A32,-12),$C$2:$C$64,"&gt;0")=1,C32/SUMIFS($C$2:$C$64,$A$2:$A$64,EDATE(A32,-12))-1,"")</x:f>
        <x:v>0.013639816073970579</x:v>
      </x:c>
      <x:c r="M32" s="10" t="n">
        <x:f>IF(COUNTIFS($A$2:$A$64,"&gt;="&amp;EDATE(A32,-2),$A$2:$A$64,"&lt;="&amp;A32,$C$2:$C$64,"&gt;=0")=3,SUMIFS($C$2:$C$64,$A$2:$A$64,"&gt;="&amp;EDATE(A32,-2),$A$2:$A$64,"&lt;="&amp;A32)/3,"")</x:f>
        <x:v>207408.66666666666</x:v>
      </x:c>
      <x:c r="N32" s="2" t="str">
        <x:v>2024-03-25</x:v>
      </x:c>
      <x:c r="O32" s="2" t="str">
        <x:v>https://www.e-stat.go.jp/stat-search/file-download?statInfId=000040165993&amp;fileKind=0</x:v>
      </x:c>
      <x:c r="P32" s="2" t="str">
        <x:v>2-1!31行</x:v>
      </x:c>
      <x:c r="Q32" s="8" t="n">
        <x:f>B32-C32-D32</x:f>
        <x:v>0</x:v>
      </x:c>
    </x:row>
    <x:row r="33" ht="21" customHeight="1">
      <x:c r="A33" s="7" t="n">
        <x:v>45139</x:v>
      </x:c>
      <x:c r="B33" s="8" t="n">
        <x:v>299254</x:v>
      </x:c>
      <x:c r="C33" s="8" t="n">
        <x:v>196140</x:v>
      </x:c>
      <x:c r="D33" s="8" t="n">
        <x:v>103114</x:v>
      </x:c>
      <x:c r="E33" s="8" t="n">
        <x:v>155527</x:v>
      </x:c>
      <x:c r="F33" s="8" t="n">
        <x:v>9709</x:v>
      </x:c>
      <x:c r="G33" s="8" t="n">
        <x:v>9500</x:v>
      </x:c>
      <x:c r="H33" s="8" t="n">
        <x:v>48685</x:v>
      </x:c>
      <x:c r="I33" s="8" t="n">
        <x:v>62061</x:v>
      </x:c>
      <x:c r="J33" s="8" t="n">
        <x:v>25571</x:v>
      </x:c>
      <x:c r="K33" s="9" t="n">
        <x:f>IF(COUNTIFS($A$2:$A$64,EDATE(A33,-12),$B$2:$B$64,"&gt;0")=1,B33/SUMIFS($B$2:$B$64,$A$2:$A$64,EDATE(A33,-12))-1,"")</x:f>
        <x:v>-0.02416325359350946</x:v>
      </x:c>
      <x:c r="L33" s="9" t="n">
        <x:f>IF(COUNTIFS($A$2:$A$64,EDATE(A33,-12),$C$2:$C$64,"&gt;0")=1,C33/SUMIFS($C$2:$C$64,$A$2:$A$64,EDATE(A33,-12))-1,"")</x:f>
        <x:v>-0.04730448467303605</x:v>
      </x:c>
      <x:c r="M33" s="10" t="n">
        <x:f>IF(COUNTIFS($A$2:$A$64,"&gt;="&amp;EDATE(A33,-2),$A$2:$A$64,"&lt;="&amp;A33,$C$2:$C$64,"&gt;=0")=3,SUMIFS($C$2:$C$64,$A$2:$A$64,"&gt;="&amp;EDATE(A33,-2),$A$2:$A$64,"&lt;="&amp;A33)/3,"")</x:f>
        <x:v>208892</x:v>
      </x:c>
      <x:c r="N33" s="2" t="str">
        <x:v>2024-03-25</x:v>
      </x:c>
      <x:c r="O33" s="2" t="str">
        <x:v>https://www.e-stat.go.jp/stat-search/file-download?statInfId=000040165993&amp;fileKind=0</x:v>
      </x:c>
      <x:c r="P33" s="2" t="str">
        <x:v>2-1!32行</x:v>
      </x:c>
      <x:c r="Q33" s="8" t="n">
        <x:f>B33-C33-D33</x:f>
        <x:v>0</x:v>
      </x:c>
    </x:row>
    <x:row r="34" ht="21" customHeight="1">
      <x:c r="A34" s="7" t="n">
        <x:v>45170</x:v>
      </x:c>
      <x:c r="B34" s="8" t="n">
        <x:v>322509</x:v>
      </x:c>
      <x:c r="C34" s="8" t="n">
        <x:v>210784</x:v>
      </x:c>
      <x:c r="D34" s="8" t="n">
        <x:v>111725</x:v>
      </x:c>
      <x:c r="E34" s="8" t="n">
        <x:v>164704</x:v>
      </x:c>
      <x:c r="F34" s="8" t="n">
        <x:v>10579</x:v>
      </x:c>
      <x:c r="G34" s="8" t="n">
        <x:v>10530</x:v>
      </x:c>
      <x:c r="H34" s="8" t="n">
        <x:v>53657</x:v>
      </x:c>
      <x:c r="I34" s="8" t="n">
        <x:v>59861</x:v>
      </x:c>
      <x:c r="J34" s="8" t="n">
        <x:v>30076</x:v>
      </x:c>
      <x:c r="K34" s="9" t="n">
        <x:f>IF(COUNTIFS($A$2:$A$64,EDATE(A34,-12),$B$2:$B$64,"&gt;0")=1,B34/SUMIFS($B$2:$B$64,$A$2:$A$64,EDATE(A34,-12))-1,"")</x:f>
        <x:v>-0.0040423941843875655</x:v>
      </x:c>
      <x:c r="L34" s="9" t="n">
        <x:f>IF(COUNTIFS($A$2:$A$64,EDATE(A34,-12),$C$2:$C$64,"&gt;0")=1,C34/SUMIFS($C$2:$C$64,$A$2:$A$64,EDATE(A34,-12))-1,"")</x:f>
        <x:v>-0.04087510863778454</x:v>
      </x:c>
      <x:c r="M34" s="10" t="n">
        <x:f>IF(COUNTIFS($A$2:$A$64,"&gt;="&amp;EDATE(A34,-2),$A$2:$A$64,"&lt;="&amp;A34,$C$2:$C$64,"&gt;=0")=3,SUMIFS($C$2:$C$64,$A$2:$A$64,"&gt;="&amp;EDATE(A34,-2),$A$2:$A$64,"&lt;="&amp;A34)/3,"")</x:f>
        <x:v>209931.33333333334</x:v>
      </x:c>
      <x:c r="N34" s="2" t="str">
        <x:v>2024-03-25</x:v>
      </x:c>
      <x:c r="O34" s="2" t="str">
        <x:v>https://www.e-stat.go.jp/stat-search/file-download?statInfId=000040165993&amp;fileKind=0</x:v>
      </x:c>
      <x:c r="P34" s="2" t="str">
        <x:v>2-1!33行</x:v>
      </x:c>
      <x:c r="Q34" s="8" t="n">
        <x:f>B34-C34-D34</x:f>
        <x:v>0</x:v>
      </x:c>
    </x:row>
    <x:row r="35" ht="21" customHeight="1">
      <x:c r="A35" s="7" t="n">
        <x:v>45200</x:v>
      </x:c>
      <x:c r="B35" s="8" t="n">
        <x:v>340336</x:v>
      </x:c>
      <x:c r="C35" s="8" t="n">
        <x:v>222972</x:v>
      </x:c>
      <x:c r="D35" s="8" t="n">
        <x:v>117363</x:v>
      </x:c>
      <x:c r="E35" s="8" t="n">
        <x:v>179340</x:v>
      </x:c>
      <x:c r="F35" s="8" t="n">
        <x:v>11568</x:v>
      </x:c>
      <x:c r="G35" s="8" t="n">
        <x:v>11828</x:v>
      </x:c>
      <x:c r="H35" s="8" t="n">
        <x:v>60152</x:v>
      </x:c>
      <x:c r="I35" s="8" t="n">
        <x:v>65051</x:v>
      </x:c>
      <x:c r="J35" s="8" t="n">
        <x:v>30740</x:v>
      </x:c>
      <x:c r="K35" s="9" t="n">
        <x:f>IF(COUNTIFS($A$2:$A$64,EDATE(A35,-12),$B$2:$B$64,"&gt;0")=1,B35/SUMIFS($B$2:$B$64,$A$2:$A$64,EDATE(A35,-12))-1,"")</x:f>
        <x:v>0.0053764076144111606</x:v>
      </x:c>
      <x:c r="L35" s="9" t="n">
        <x:f>IF(COUNTIFS($A$2:$A$64,EDATE(A35,-12),$C$2:$C$64,"&gt;0")=1,C35/SUMIFS($C$2:$C$64,$A$2:$A$64,EDATE(A35,-12))-1,"")</x:f>
        <x:v>-0.009048567162056487</x:v>
      </x:c>
      <x:c r="M35" s="10" t="n">
        <x:f>IF(COUNTIFS($A$2:$A$64,"&gt;="&amp;EDATE(A35,-2),$A$2:$A$64,"&lt;="&amp;A35,$C$2:$C$64,"&gt;=0")=3,SUMIFS($C$2:$C$64,$A$2:$A$64,"&gt;="&amp;EDATE(A35,-2),$A$2:$A$64,"&lt;="&amp;A35)/3,"")</x:f>
        <x:v>209965.33333333334</x:v>
      </x:c>
      <x:c r="N35" s="2" t="str">
        <x:v>2024-03-25</x:v>
      </x:c>
      <x:c r="O35" s="2" t="str">
        <x:v>https://www.e-stat.go.jp/stat-search/file-download?statInfId=000040165993&amp;fileKind=0</x:v>
      </x:c>
      <x:c r="P35" s="2" t="str">
        <x:v>2-1!34行</x:v>
      </x:c>
      <x:c r="Q35" s="8" t="n">
        <x:f>B35-C35-D35</x:f>
        <x:v>1</x:v>
      </x:c>
    </x:row>
    <x:row r="36" ht="21" customHeight="1">
      <x:c r="A36" s="7" t="n">
        <x:v>45231</x:v>
      </x:c>
      <x:c r="B36" s="8" t="n">
        <x:v>333927</x:v>
      </x:c>
      <x:c r="C36" s="8" t="n">
        <x:v>216823</x:v>
      </x:c>
      <x:c r="D36" s="8" t="n">
        <x:v>117104</x:v>
      </x:c>
      <x:c r="E36" s="8" t="n">
        <x:v>176020</x:v>
      </x:c>
      <x:c r="F36" s="8" t="n">
        <x:v>11566</x:v>
      </x:c>
      <x:c r="G36" s="8" t="n">
        <x:v>11400</x:v>
      </x:c>
      <x:c r="H36" s="8" t="n">
        <x:v>56031</x:v>
      </x:c>
      <x:c r="I36" s="8" t="n">
        <x:v>66646</x:v>
      </x:c>
      <x:c r="J36" s="8" t="n">
        <x:v>30376</x:v>
      </x:c>
      <x:c r="K36" s="9" t="n">
        <x:f>IF(COUNTIFS($A$2:$A$64,EDATE(A36,-12),$B$2:$B$64,"&gt;0")=1,B36/SUMIFS($B$2:$B$64,$A$2:$A$64,EDATE(A36,-12))-1,"")</x:f>
        <x:v>-0.03957858769931666</x:v>
      </x:c>
      <x:c r="L36" s="9" t="n">
        <x:f>IF(COUNTIFS($A$2:$A$64,EDATE(A36,-12),$C$2:$C$64,"&gt;0")=1,C36/SUMIFS($C$2:$C$64,$A$2:$A$64,EDATE(A36,-12))-1,"")</x:f>
        <x:v>-0.021958491774587197</x:v>
      </x:c>
      <x:c r="M36" s="10" t="n">
        <x:f>IF(COUNTIFS($A$2:$A$64,"&gt;="&amp;EDATE(A36,-2),$A$2:$A$64,"&lt;="&amp;A36,$C$2:$C$64,"&gt;=0")=3,SUMIFS($C$2:$C$64,$A$2:$A$64,"&gt;="&amp;EDATE(A36,-2),$A$2:$A$64,"&lt;="&amp;A36)/3,"")</x:f>
        <x:v>216859.66666666666</x:v>
      </x:c>
      <x:c r="N36" s="2" t="str">
        <x:v>2024-03-25</x:v>
      </x:c>
      <x:c r="O36" s="2" t="str">
        <x:v>https://www.e-stat.go.jp/stat-search/file-download?statInfId=000040165993&amp;fileKind=0</x:v>
      </x:c>
      <x:c r="P36" s="2" t="str">
        <x:v>2-1!35行</x:v>
      </x:c>
      <x:c r="Q36" s="8" t="n">
        <x:f>B36-C36-D36</x:f>
        <x:v>0</x:v>
      </x:c>
    </x:row>
    <x:row r="37" ht="21" customHeight="1">
      <x:c r="A37" s="7" t="n">
        <x:v>45261</x:v>
      </x:c>
      <x:c r="B37" s="8" t="n">
        <x:v>330203</x:v>
      </x:c>
      <x:c r="C37" s="8" t="n">
        <x:v>221529</x:v>
      </x:c>
      <x:c r="D37" s="8" t="n">
        <x:v>108674</x:v>
      </x:c>
      <x:c r="E37" s="8" t="n">
        <x:v>173275</x:v>
      </x:c>
      <x:c r="F37" s="8" t="n">
        <x:v>12760</x:v>
      </x:c>
      <x:c r="G37" s="8" t="n">
        <x:v>12023</x:v>
      </x:c>
      <x:c r="H37" s="8" t="n">
        <x:v>54098</x:v>
      </x:c>
      <x:c r="I37" s="8" t="n">
        <x:v>60271</x:v>
      </x:c>
      <x:c r="J37" s="8" t="n">
        <x:v>34123</x:v>
      </x:c>
      <x:c r="K37" s="9" t="n">
        <x:f>IF(COUNTIFS($A$2:$A$64,EDATE(A37,-12),$B$2:$B$64,"&gt;0")=1,B37/SUMIFS($B$2:$B$64,$A$2:$A$64,EDATE(A37,-12))-1,"")</x:f>
        <x:v>0.02153494904746278</x:v>
      </x:c>
      <x:c r="L37" s="9" t="n">
        <x:f>IF(COUNTIFS($A$2:$A$64,EDATE(A37,-12),$C$2:$C$64,"&gt;0")=1,C37/SUMIFS($C$2:$C$64,$A$2:$A$64,EDATE(A37,-12))-1,"")</x:f>
        <x:v>0.026685699190345247</x:v>
      </x:c>
      <x:c r="M37" s="10" t="n">
        <x:f>IF(COUNTIFS($A$2:$A$64,"&gt;="&amp;EDATE(A37,-2),$A$2:$A$64,"&lt;="&amp;A37,$C$2:$C$64,"&gt;=0")=3,SUMIFS($C$2:$C$64,$A$2:$A$64,"&gt;="&amp;EDATE(A37,-2),$A$2:$A$64,"&lt;="&amp;A37)/3,"")</x:f>
        <x:v>220441.33333333334</x:v>
      </x:c>
      <x:c r="N37" s="2" t="str">
        <x:v>2025-03-31</x:v>
      </x:c>
      <x:c r="O37" s="2" t="str">
        <x:v>https://www.e-stat.go.jp/stat-search/file-download?statInfId=000040268883&amp;fileKind=0</x:v>
      </x:c>
      <x:c r="P37" s="2" t="str">
        <x:v>2-1!25行</x:v>
      </x:c>
      <x:c r="Q37" s="8" t="n">
        <x:f>B37-C37-D37</x:f>
        <x:v>0</x:v>
      </x:c>
    </x:row>
    <x:row r="38" ht="21" customHeight="1">
      <x:c r="A38" s="7" t="n">
        <x:v>45292</x:v>
      </x:c>
      <x:c r="B38" s="8" t="n">
        <x:v>284817</x:v>
      </x:c>
      <x:c r="C38" s="8" t="n">
        <x:v>193400</x:v>
      </x:c>
      <x:c r="D38" s="8" t="n">
        <x:v>91417</x:v>
      </x:c>
      <x:c r="E38" s="8" t="n">
        <x:v>152817</x:v>
      </x:c>
      <x:c r="F38" s="8" t="n">
        <x:v>10937</x:v>
      </x:c>
      <x:c r="G38" s="8" t="n">
        <x:v>10131</x:v>
      </x:c>
      <x:c r="H38" s="8" t="n">
        <x:v>46183</x:v>
      </x:c>
      <x:c r="I38" s="8" t="n">
        <x:v>61787</x:v>
      </x:c>
      <x:c r="J38" s="8" t="n">
        <x:v>23780</x:v>
      </x:c>
      <x:c r="K38" s="9" t="n">
        <x:f>IF(COUNTIFS($A$2:$A$64,EDATE(A38,-12),$B$2:$B$64,"&gt;0")=1,B38/SUMIFS($B$2:$B$64,$A$2:$A$64,EDATE(A38,-12))-1,"")</x:f>
        <x:v>-0.026220058395957424</x:v>
      </x:c>
      <x:c r="L38" s="9" t="n">
        <x:f>IF(COUNTIFS($A$2:$A$64,EDATE(A38,-12),$C$2:$C$64,"&gt;0")=1,C38/SUMIFS($C$2:$C$64,$A$2:$A$64,EDATE(A38,-12))-1,"")</x:f>
        <x:v>-0.024040693566944604</x:v>
      </x:c>
      <x:c r="M38" s="10" t="n">
        <x:f>IF(COUNTIFS($A$2:$A$64,"&gt;="&amp;EDATE(A38,-2),$A$2:$A$64,"&lt;="&amp;A38,$C$2:$C$64,"&gt;=0")=3,SUMIFS($C$2:$C$64,$A$2:$A$64,"&gt;="&amp;EDATE(A38,-2),$A$2:$A$64,"&lt;="&amp;A38)/3,"")</x:f>
        <x:v>210584</x:v>
      </x:c>
      <x:c r="N38" s="2" t="str">
        <x:v>2025-03-31</x:v>
      </x:c>
      <x:c r="O38" s="2" t="str">
        <x:v>https://www.e-stat.go.jp/stat-search/file-download?statInfId=000040268883&amp;fileKind=0</x:v>
      </x:c>
      <x:c r="P38" s="2" t="str">
        <x:v>2-1!26行</x:v>
      </x:c>
      <x:c r="Q38" s="8" t="n">
        <x:f>B38-C38-D38</x:f>
        <x:v>0</x:v>
      </x:c>
    </x:row>
    <x:row r="39" ht="21" customHeight="1">
      <x:c r="A39" s="7" t="n">
        <x:v>45323</x:v>
      </x:c>
      <x:c r="B39" s="8" t="n">
        <x:v>307211</x:v>
      </x:c>
      <x:c r="C39" s="8" t="n">
        <x:v>202835</x:v>
      </x:c>
      <x:c r="D39" s="8" t="n">
        <x:v>104376</x:v>
      </x:c>
      <x:c r="E39" s="8" t="n">
        <x:v>158840</x:v>
      </x:c>
      <x:c r="F39" s="8" t="n">
        <x:v>9623</x:v>
      </x:c>
      <x:c r="G39" s="8" t="n">
        <x:v>10906</x:v>
      </x:c>
      <x:c r="H39" s="8" t="n">
        <x:v>51632</x:v>
      </x:c>
      <x:c r="I39" s="8" t="n">
        <x:v>62755</x:v>
      </x:c>
      <x:c r="J39" s="8" t="n">
        <x:v>23925</x:v>
      </x:c>
      <x:c r="K39" s="9" t="n">
        <x:f>IF(COUNTIFS($A$2:$A$64,EDATE(A39,-12),$B$2:$B$64,"&gt;0")=1,B39/SUMIFS($B$2:$B$64,$A$2:$A$64,EDATE(A39,-12))-1,"")</x:f>
        <x:v>0.002162793428761578</x:v>
      </x:c>
      <x:c r="L39" s="9" t="n">
        <x:f>IF(COUNTIFS($A$2:$A$64,EDATE(A39,-12),$C$2:$C$64,"&gt;0")=1,C39/SUMIFS($C$2:$C$64,$A$2:$A$64,EDATE(A39,-12))-1,"")</x:f>
        <x:v>-0.023376185661322157</x:v>
      </x:c>
      <x:c r="M39" s="10" t="n">
        <x:f>IF(COUNTIFS($A$2:$A$64,"&gt;="&amp;EDATE(A39,-2),$A$2:$A$64,"&lt;="&amp;A39,$C$2:$C$64,"&gt;=0")=3,SUMIFS($C$2:$C$64,$A$2:$A$64,"&gt;="&amp;EDATE(A39,-2),$A$2:$A$64,"&lt;="&amp;A39)/3,"")</x:f>
        <x:v>205921.33333333334</x:v>
      </x:c>
      <x:c r="N39" s="2" t="str">
        <x:v>2025-03-31</x:v>
      </x:c>
      <x:c r="O39" s="2" t="str">
        <x:v>https://www.e-stat.go.jp/stat-search/file-download?statInfId=000040268883&amp;fileKind=0</x:v>
      </x:c>
      <x:c r="P39" s="2" t="str">
        <x:v>2-1!27行</x:v>
      </x:c>
      <x:c r="Q39" s="8" t="n">
        <x:f>B39-C39-D39</x:f>
        <x:v>0</x:v>
      </x:c>
    </x:row>
    <x:row r="40" ht="21" customHeight="1">
      <x:c r="A40" s="7" t="n">
        <x:v>45352</x:v>
      </x:c>
      <x:c r="B40" s="8" t="n">
        <x:v>318665</x:v>
      </x:c>
      <x:c r="C40" s="8" t="n">
        <x:v>216875</x:v>
      </x:c>
      <x:c r="D40" s="8" t="n">
        <x:v>101790</x:v>
      </x:c>
      <x:c r="E40" s="8" t="n">
        <x:v>175826</x:v>
      </x:c>
      <x:c r="F40" s="8" t="n">
        <x:v>13324</x:v>
      </x:c>
      <x:c r="G40" s="8" t="n">
        <x:v>11508</x:v>
      </x:c>
      <x:c r="H40" s="8" t="n">
        <x:v>51656</x:v>
      </x:c>
      <x:c r="I40" s="8" t="n">
        <x:v>68004</x:v>
      </x:c>
      <x:c r="J40" s="8" t="n">
        <x:v>31333</x:v>
      </x:c>
      <x:c r="K40" s="9" t="n">
        <x:f>IF(COUNTIFS($A$2:$A$64,EDATE(A40,-12),$B$2:$B$64,"&gt;0")=1,B40/SUMIFS($B$2:$B$64,$A$2:$A$64,EDATE(A40,-12))-1,"")</x:f>
        <x:v>-0.034246056399921176</x:v>
      </x:c>
      <x:c r="L40" s="9" t="n">
        <x:f>IF(COUNTIFS($A$2:$A$64,EDATE(A40,-12),$C$2:$C$64,"&gt;0")=1,C40/SUMIFS($C$2:$C$64,$A$2:$A$64,EDATE(A40,-12))-1,"")</x:f>
        <x:v>-0.0012112113034107308</x:v>
      </x:c>
      <x:c r="M40" s="10" t="n">
        <x:f>IF(COUNTIFS($A$2:$A$64,"&gt;="&amp;EDATE(A40,-2),$A$2:$A$64,"&lt;="&amp;A40,$C$2:$C$64,"&gt;=0")=3,SUMIFS($C$2:$C$64,$A$2:$A$64,"&gt;="&amp;EDATE(A40,-2),$A$2:$A$64,"&lt;="&amp;A40)/3,"")</x:f>
        <x:v>204370</x:v>
      </x:c>
      <x:c r="N40" s="2" t="str">
        <x:v>2025-03-31</x:v>
      </x:c>
      <x:c r="O40" s="2" t="str">
        <x:v>https://www.e-stat.go.jp/stat-search/file-download?statInfId=000040268883&amp;fileKind=0</x:v>
      </x:c>
      <x:c r="P40" s="2" t="str">
        <x:v>2-1!28行</x:v>
      </x:c>
      <x:c r="Q40" s="8" t="n">
        <x:f>B40-C40-D40</x:f>
        <x:v>0</x:v>
      </x:c>
    </x:row>
    <x:row r="41" ht="21" customHeight="1">
      <x:c r="A41" s="7" t="n">
        <x:v>45383</x:v>
      </x:c>
      <x:c r="B41" s="8" t="n">
        <x:v>327523</x:v>
      </x:c>
      <x:c r="C41" s="8" t="n">
        <x:v>215403</x:v>
      </x:c>
      <x:c r="D41" s="8" t="n">
        <x:v>112119</x:v>
      </x:c>
      <x:c r="E41" s="8" t="n">
        <x:v>170994</x:v>
      </x:c>
      <x:c r="F41" s="8" t="n">
        <x:v>12448</x:v>
      </x:c>
      <x:c r="G41" s="8" t="n">
        <x:v>11019</x:v>
      </x:c>
      <x:c r="H41" s="8" t="n">
        <x:v>50777</x:v>
      </x:c>
      <x:c r="I41" s="8" t="n">
        <x:v>67332</x:v>
      </x:c>
      <x:c r="J41" s="8" t="n">
        <x:v>29418</x:v>
      </x:c>
      <x:c r="K41" s="9" t="n">
        <x:f>IF(COUNTIFS($A$2:$A$64,EDATE(A41,-12),$B$2:$B$64,"&gt;0")=1,B41/SUMIFS($B$2:$B$64,$A$2:$A$64,EDATE(A41,-12))-1,"")</x:f>
        <x:v>0.032186190161041184</x:v>
      </x:c>
      <x:c r="L41" s="9" t="n">
        <x:f>IF(COUNTIFS($A$2:$A$64,EDATE(A41,-12),$C$2:$C$64,"&gt;0")=1,C41/SUMIFS($C$2:$C$64,$A$2:$A$64,EDATE(A41,-12))-1,"")</x:f>
        <x:v>0.03323675854063346</x:v>
      </x:c>
      <x:c r="M41" s="10" t="n">
        <x:f>IF(COUNTIFS($A$2:$A$64,"&gt;="&amp;EDATE(A41,-2),$A$2:$A$64,"&lt;="&amp;A41,$C$2:$C$64,"&gt;=0")=3,SUMIFS($C$2:$C$64,$A$2:$A$64,"&gt;="&amp;EDATE(A41,-2),$A$2:$A$64,"&lt;="&amp;A41)/3,"")</x:f>
        <x:v>211704.33333333334</x:v>
      </x:c>
      <x:c r="N41" s="2" t="str">
        <x:v>2025-03-31</x:v>
      </x:c>
      <x:c r="O41" s="2" t="str">
        <x:v>https://www.e-stat.go.jp/stat-search/file-download?statInfId=000040268883&amp;fileKind=0</x:v>
      </x:c>
      <x:c r="P41" s="2" t="str">
        <x:v>2-1!29行</x:v>
      </x:c>
      <x:c r="Q41" s="8" t="n">
        <x:f>B41-C41-D41</x:f>
        <x:v>1</x:v>
      </x:c>
    </x:row>
    <x:row r="42" ht="21" customHeight="1">
      <x:c r="A42" s="7" t="n">
        <x:v>45413</x:v>
      </x:c>
      <x:c r="B42" s="8" t="n">
        <x:v>294992</x:v>
      </x:c>
      <x:c r="C42" s="8" t="n">
        <x:v>199372</x:v>
      </x:c>
      <x:c r="D42" s="8" t="n">
        <x:v>95621</x:v>
      </x:c>
      <x:c r="E42" s="8" t="n">
        <x:v>159490</x:v>
      </x:c>
      <x:c r="F42" s="8" t="n">
        <x:v>12458</x:v>
      </x:c>
      <x:c r="G42" s="8" t="n">
        <x:v>9676</x:v>
      </x:c>
      <x:c r="H42" s="8" t="n">
        <x:v>49093</x:v>
      </x:c>
      <x:c r="I42" s="8" t="n">
        <x:v>64273</x:v>
      </x:c>
      <x:c r="J42" s="8" t="n">
        <x:v>23989</x:v>
      </x:c>
      <x:c r="K42" s="9" t="n">
        <x:f>IF(COUNTIFS($A$2:$A$64,EDATE(A42,-12),$B$2:$B$64,"&gt;0")=1,B42/SUMIFS($B$2:$B$64,$A$2:$A$64,EDATE(A42,-12))-1,"")</x:f>
        <x:v>0.0690943619145643</x:v>
      </x:c>
      <x:c r="L42" s="9" t="n">
        <x:f>IF(COUNTIFS($A$2:$A$64,EDATE(A42,-12),$C$2:$C$64,"&gt;0")=1,C42/SUMIFS($C$2:$C$64,$A$2:$A$64,EDATE(A42,-12))-1,"")</x:f>
        <x:v>0.04007512128958224</x:v>
      </x:c>
      <x:c r="M42" s="10" t="n">
        <x:f>IF(COUNTIFS($A$2:$A$64,"&gt;="&amp;EDATE(A42,-2),$A$2:$A$64,"&lt;="&amp;A42,$C$2:$C$64,"&gt;=0")=3,SUMIFS($C$2:$C$64,$A$2:$A$64,"&gt;="&amp;EDATE(A42,-2),$A$2:$A$64,"&lt;="&amp;A42)/3,"")</x:f>
        <x:v>210550</x:v>
      </x:c>
      <x:c r="N42" s="2" t="str">
        <x:v>2025-03-31</x:v>
      </x:c>
      <x:c r="O42" s="2" t="str">
        <x:v>https://www.e-stat.go.jp/stat-search/file-download?statInfId=000040268883&amp;fileKind=0</x:v>
      </x:c>
      <x:c r="P42" s="2" t="str">
        <x:v>2-1!30行</x:v>
      </x:c>
      <x:c r="Q42" s="8" t="n">
        <x:f>B42-C42-D42</x:f>
        <x:v>-1</x:v>
      </x:c>
    </x:row>
    <x:row r="43" ht="21" customHeight="1">
      <x:c r="A43" s="7" t="n">
        <x:v>45444</x:v>
      </x:c>
      <x:c r="B43" s="8" t="n">
        <x:v>329373</x:v>
      </x:c>
      <x:c r="C43" s="8" t="n">
        <x:v>220391</x:v>
      </x:c>
      <x:c r="D43" s="8" t="n">
        <x:v>108982</x:v>
      </x:c>
      <x:c r="E43" s="8" t="n">
        <x:v>174968</x:v>
      </x:c>
      <x:c r="F43" s="8" t="n">
        <x:v>11513</x:v>
      </x:c>
      <x:c r="G43" s="8" t="n">
        <x:v>11722</x:v>
      </x:c>
      <x:c r="H43" s="8" t="n">
        <x:v>55346</x:v>
      </x:c>
      <x:c r="I43" s="8" t="n">
        <x:v>66769</x:v>
      </x:c>
      <x:c r="J43" s="8" t="n">
        <x:v>29618</x:v>
      </x:c>
      <x:c r="K43" s="9" t="n">
        <x:f>IF(COUNTIFS($A$2:$A$64,EDATE(A43,-12),$B$2:$B$64,"&gt;0")=1,B43/SUMIFS($B$2:$B$64,$A$2:$A$64,EDATE(A43,-12))-1,"")</x:f>
        <x:v>0.05052099778970631</x:v>
      </x:c>
      <x:c r="L43" s="9" t="n">
        <x:f>IF(COUNTIFS($A$2:$A$64,EDATE(A43,-12),$C$2:$C$64,"&gt;0")=1,C43/SUMIFS($C$2:$C$64,$A$2:$A$64,EDATE(A43,-12))-1,"")</x:f>
        <x:v>0.06127628018067477</x:v>
      </x:c>
      <x:c r="M43" s="10" t="n">
        <x:f>IF(COUNTIFS($A$2:$A$64,"&gt;="&amp;EDATE(A43,-2),$A$2:$A$64,"&lt;="&amp;A43,$C$2:$C$64,"&gt;=0")=3,SUMIFS($C$2:$C$64,$A$2:$A$64,"&gt;="&amp;EDATE(A43,-2),$A$2:$A$64,"&lt;="&amp;A43)/3,"")</x:f>
        <x:v>211722</x:v>
      </x:c>
      <x:c r="N43" s="2" t="str">
        <x:v>2025-03-31</x:v>
      </x:c>
      <x:c r="O43" s="2" t="str">
        <x:v>https://www.e-stat.go.jp/stat-search/file-download?statInfId=000040268883&amp;fileKind=0</x:v>
      </x:c>
      <x:c r="P43" s="2" t="str">
        <x:v>2-1!31行</x:v>
      </x:c>
      <x:c r="Q43" s="8" t="n">
        <x:f>B43-C43-D43</x:f>
        <x:v>0</x:v>
      </x:c>
    </x:row>
    <x:row r="44" ht="21" customHeight="1">
      <x:c r="A44" s="7" t="n">
        <x:v>45474</x:v>
      </x:c>
      <x:c r="B44" s="8" t="n">
        <x:v>331105</x:v>
      </x:c>
      <x:c r="C44" s="8" t="n">
        <x:v>225219</x:v>
      </x:c>
      <x:c r="D44" s="8" t="n">
        <x:v>105886</x:v>
      </x:c>
      <x:c r="E44" s="8" t="n">
        <x:v>179293</x:v>
      </x:c>
      <x:c r="F44" s="8" t="n">
        <x:v>12474</x:v>
      </x:c>
      <x:c r="G44" s="8" t="n">
        <x:v>11957</x:v>
      </x:c>
      <x:c r="H44" s="8" t="n">
        <x:v>51694</x:v>
      </x:c>
      <x:c r="I44" s="8" t="n">
        <x:v>74438</x:v>
      </x:c>
      <x:c r="J44" s="8" t="n">
        <x:v>28731</x:v>
      </x:c>
      <x:c r="K44" s="9" t="n">
        <x:f>IF(COUNTIFS($A$2:$A$64,EDATE(A44,-12),$B$2:$B$64,"&gt;0")=1,B44/SUMIFS($B$2:$B$64,$A$2:$A$64,EDATE(A44,-12))-1,"")</x:f>
        <x:v>-0.01694708933443778</x:v>
      </x:c>
      <x:c r="L44" s="9" t="n">
        <x:f>IF(COUNTIFS($A$2:$A$64,EDATE(A44,-12),$C$2:$C$64,"&gt;0")=1,C44/SUMIFS($C$2:$C$64,$A$2:$A$64,EDATE(A44,-12))-1,"")</x:f>
        <x:v>0.010539776551352853</x:v>
      </x:c>
      <x:c r="M44" s="10" t="n">
        <x:f>IF(COUNTIFS($A$2:$A$64,"&gt;="&amp;EDATE(A44,-2),$A$2:$A$64,"&lt;="&amp;A44,$C$2:$C$64,"&gt;=0")=3,SUMIFS($C$2:$C$64,$A$2:$A$64,"&gt;="&amp;EDATE(A44,-2),$A$2:$A$64,"&lt;="&amp;A44)/3,"")</x:f>
        <x:v>214994</x:v>
      </x:c>
      <x:c r="N44" s="2" t="str">
        <x:v>2025-03-31</x:v>
      </x:c>
      <x:c r="O44" s="2" t="str">
        <x:v>https://www.e-stat.go.jp/stat-search/file-download?statInfId=000040268883&amp;fileKind=0</x:v>
      </x:c>
      <x:c r="P44" s="2" t="str">
        <x:v>2-1!32行</x:v>
      </x:c>
      <x:c r="Q44" s="8" t="n">
        <x:f>B44-C44-D44</x:f>
        <x:v>0</x:v>
      </x:c>
    </x:row>
    <x:row r="45" ht="21" customHeight="1">
      <x:c r="A45" s="7" t="n">
        <x:v>45505</x:v>
      </x:c>
      <x:c r="B45" s="8" t="n">
        <x:v>269176</x:v>
      </x:c>
      <x:c r="C45" s="8" t="n">
        <x:v>186729</x:v>
      </x:c>
      <x:c r="D45" s="8" t="n">
        <x:v>82447</x:v>
      </x:c>
      <x:c r="E45" s="8" t="n">
        <x:v>149037</x:v>
      </x:c>
      <x:c r="F45" s="8" t="n">
        <x:v>9999</x:v>
      </x:c>
      <x:c r="G45" s="8" t="n">
        <x:v>11154</x:v>
      </x:c>
      <x:c r="H45" s="8" t="n">
        <x:v>39213</x:v>
      </x:c>
      <x:c r="I45" s="8" t="n">
        <x:v>61252</x:v>
      </x:c>
      <x:c r="J45" s="8" t="n">
        <x:v>27419</x:v>
      </x:c>
      <x:c r="K45" s="9" t="n">
        <x:f>IF(COUNTIFS($A$2:$A$64,EDATE(A45,-12),$B$2:$B$64,"&gt;0")=1,B45/SUMIFS($B$2:$B$64,$A$2:$A$64,EDATE(A45,-12))-1,"")</x:f>
        <x:v>-0.10050993470429803</x:v>
      </x:c>
      <x:c r="L45" s="9" t="n">
        <x:f>IF(COUNTIFS($A$2:$A$64,EDATE(A45,-12),$C$2:$C$64,"&gt;0")=1,C45/SUMIFS($C$2:$C$64,$A$2:$A$64,EDATE(A45,-12))-1,"")</x:f>
        <x:v>-0.04798103395533804</x:v>
      </x:c>
      <x:c r="M45" s="10" t="n">
        <x:f>IF(COUNTIFS($A$2:$A$64,"&gt;="&amp;EDATE(A45,-2),$A$2:$A$64,"&lt;="&amp;A45,$C$2:$C$64,"&gt;=0")=3,SUMIFS($C$2:$C$64,$A$2:$A$64,"&gt;="&amp;EDATE(A45,-2),$A$2:$A$64,"&lt;="&amp;A45)/3,"")</x:f>
        <x:v>210779.66666666666</x:v>
      </x:c>
      <x:c r="N45" s="2" t="str">
        <x:v>2025-03-31</x:v>
      </x:c>
      <x:c r="O45" s="2" t="str">
        <x:v>https://www.e-stat.go.jp/stat-search/file-download?statInfId=000040268883&amp;fileKind=0</x:v>
      </x:c>
      <x:c r="P45" s="2" t="str">
        <x:v>2-1!33行</x:v>
      </x:c>
      <x:c r="Q45" s="8" t="n">
        <x:f>B45-C45-D45</x:f>
        <x:v>0</x:v>
      </x:c>
    </x:row>
    <x:row r="46" ht="21" customHeight="1">
      <x:c r="A46" s="7" t="n">
        <x:v>45536</x:v>
      </x:c>
      <x:c r="B46" s="8" t="n">
        <x:v>320141</x:v>
      </x:c>
      <x:c r="C46" s="8" t="n">
        <x:v>222180</x:v>
      </x:c>
      <x:c r="D46" s="8" t="n">
        <x:v>97961</x:v>
      </x:c>
      <x:c r="E46" s="8" t="n">
        <x:v>180260</x:v>
      </x:c>
      <x:c r="F46" s="8" t="n">
        <x:v>11590</x:v>
      </x:c>
      <x:c r="G46" s="8" t="n">
        <x:v>11385</x:v>
      </x:c>
      <x:c r="H46" s="8" t="n">
        <x:v>48935</x:v>
      </x:c>
      <x:c r="I46" s="8" t="n">
        <x:v>77282</x:v>
      </x:c>
      <x:c r="J46" s="8" t="n">
        <x:v>31068</x:v>
      </x:c>
      <x:c r="K46" s="9" t="n">
        <x:f>IF(COUNTIFS($A$2:$A$64,EDATE(A46,-12),$B$2:$B$64,"&gt;0")=1,B46/SUMIFS($B$2:$B$64,$A$2:$A$64,EDATE(A46,-12))-1,"")</x:f>
        <x:v>-0.0073424307538704214</x:v>
      </x:c>
      <x:c r="L46" s="9" t="n">
        <x:f>IF(COUNTIFS($A$2:$A$64,EDATE(A46,-12),$C$2:$C$64,"&gt;0")=1,C46/SUMIFS($C$2:$C$64,$A$2:$A$64,EDATE(A46,-12))-1,"")</x:f>
        <x:v>0.0540648246546227</x:v>
      </x:c>
      <x:c r="M46" s="10" t="n">
        <x:f>IF(COUNTIFS($A$2:$A$64,"&gt;="&amp;EDATE(A46,-2),$A$2:$A$64,"&lt;="&amp;A46,$C$2:$C$64,"&gt;=0")=3,SUMIFS($C$2:$C$64,$A$2:$A$64,"&gt;="&amp;EDATE(A46,-2),$A$2:$A$64,"&lt;="&amp;A46)/3,"")</x:f>
        <x:v>211376</x:v>
      </x:c>
      <x:c r="N46" s="2" t="str">
        <x:v>2025-03-31</x:v>
      </x:c>
      <x:c r="O46" s="2" t="str">
        <x:v>https://www.e-stat.go.jp/stat-search/file-download?statInfId=000040268883&amp;fileKind=0</x:v>
      </x:c>
      <x:c r="P46" s="2" t="str">
        <x:v>2-1!34行</x:v>
      </x:c>
      <x:c r="Q46" s="8" t="n">
        <x:f>B46-C46-D46</x:f>
        <x:v>0</x:v>
      </x:c>
    </x:row>
    <x:row r="47" ht="21" customHeight="1">
      <x:c r="A47" s="7" t="n">
        <x:v>45566</x:v>
      </x:c>
      <x:c r="B47" s="8" t="n">
        <x:v>321374</x:v>
      </x:c>
      <x:c r="C47" s="8" t="n">
        <x:v>208662</x:v>
      </x:c>
      <x:c r="D47" s="8" t="n">
        <x:v>112712</x:v>
      </x:c>
      <x:c r="E47" s="8" t="n">
        <x:v>167973</x:v>
      </x:c>
      <x:c r="F47" s="8" t="n">
        <x:v>11951</x:v>
      </x:c>
      <x:c r="G47" s="8" t="n">
        <x:v>9648</x:v>
      </x:c>
      <x:c r="H47" s="8" t="n">
        <x:v>47785</x:v>
      </x:c>
      <x:c r="I47" s="8" t="n">
        <x:v>70685</x:v>
      </x:c>
      <x:c r="J47" s="8" t="n">
        <x:v>27904</x:v>
      </x:c>
      <x:c r="K47" s="9" t="n">
        <x:f>IF(COUNTIFS($A$2:$A$64,EDATE(A47,-12),$B$2:$B$64,"&gt;0")=1,B47/SUMIFS($B$2:$B$64,$A$2:$A$64,EDATE(A47,-12))-1,"")</x:f>
        <x:v>-0.055715528183912344</x:v>
      </x:c>
      <x:c r="L47" s="9" t="n">
        <x:f>IF(COUNTIFS($A$2:$A$64,EDATE(A47,-12),$C$2:$C$64,"&gt;0")=1,C47/SUMIFS($C$2:$C$64,$A$2:$A$64,EDATE(A47,-12))-1,"")</x:f>
        <x:v>-0.06417846186965181</x:v>
      </x:c>
      <x:c r="M47" s="10" t="n">
        <x:f>IF(COUNTIFS($A$2:$A$64,"&gt;="&amp;EDATE(A47,-2),$A$2:$A$64,"&lt;="&amp;A47,$C$2:$C$64,"&gt;=0")=3,SUMIFS($C$2:$C$64,$A$2:$A$64,"&gt;="&amp;EDATE(A47,-2),$A$2:$A$64,"&lt;="&amp;A47)/3,"")</x:f>
        <x:v>205857</x:v>
      </x:c>
      <x:c r="N47" s="2" t="str">
        <x:v>2025-03-31</x:v>
      </x:c>
      <x:c r="O47" s="2" t="str">
        <x:v>https://www.e-stat.go.jp/stat-search/file-download?statInfId=000040268883&amp;fileKind=0</x:v>
      </x:c>
      <x:c r="P47" s="2" t="str">
        <x:v>2-1!35行</x:v>
      </x:c>
      <x:c r="Q47" s="8" t="n">
        <x:f>B47-C47-D47</x:f>
        <x:v>0</x:v>
      </x:c>
    </x:row>
    <x:row r="48" ht="21" customHeight="1">
      <x:c r="A48" s="7" t="n">
        <x:v>45597</x:v>
      </x:c>
      <x:c r="B48" s="8" t="n">
        <x:v>320374</x:v>
      </x:c>
      <x:c r="C48" s="8" t="n">
        <x:v>214478</x:v>
      </x:c>
      <x:c r="D48" s="8" t="n">
        <x:v>105896</x:v>
      </x:c>
      <x:c r="E48" s="8" t="n">
        <x:v>171923</x:v>
      </x:c>
      <x:c r="F48" s="8" t="n">
        <x:v>11308</x:v>
      </x:c>
      <x:c r="G48" s="8" t="n">
        <x:v>8672</x:v>
      </x:c>
      <x:c r="H48" s="8" t="n">
        <x:v>49745</x:v>
      </x:c>
      <x:c r="I48" s="8" t="n">
        <x:v>72364</x:v>
      </x:c>
      <x:c r="J48" s="8" t="n">
        <x:v>29835</x:v>
      </x:c>
      <x:c r="K48" s="9" t="n">
        <x:f>IF(COUNTIFS($A$2:$A$64,EDATE(A48,-12),$B$2:$B$64,"&gt;0")=1,B48/SUMIFS($B$2:$B$64,$A$2:$A$64,EDATE(A48,-12))-1,"")</x:f>
        <x:v>-0.040586715060477285</x:v>
      </x:c>
      <x:c r="L48" s="9" t="n">
        <x:f>IF(COUNTIFS($A$2:$A$64,EDATE(A48,-12),$C$2:$C$64,"&gt;0")=1,C48/SUMIFS($C$2:$C$64,$A$2:$A$64,EDATE(A48,-12))-1,"")</x:f>
        <x:v>-0.01081527328742804</x:v>
      </x:c>
      <x:c r="M48" s="10" t="n">
        <x:f>IF(COUNTIFS($A$2:$A$64,"&gt;="&amp;EDATE(A48,-2),$A$2:$A$64,"&lt;="&amp;A48,$C$2:$C$64,"&gt;=0")=3,SUMIFS($C$2:$C$64,$A$2:$A$64,"&gt;="&amp;EDATE(A48,-2),$A$2:$A$64,"&lt;="&amp;A48)/3,"")</x:f>
        <x:v>215106.66666666666</x:v>
      </x:c>
      <x:c r="N48" s="2" t="str">
        <x:v>2025-03-31</x:v>
      </x:c>
      <x:c r="O48" s="2" t="str">
        <x:v>https://www.e-stat.go.jp/stat-search/file-download?statInfId=000040268883&amp;fileKind=0</x:v>
      </x:c>
      <x:c r="P48" s="2" t="str">
        <x:v>2-1!36行</x:v>
      </x:c>
      <x:c r="Q48" s="8" t="n">
        <x:f>B48-C48-D48</x:f>
        <x:v>0</x:v>
      </x:c>
    </x:row>
    <x:row r="49" ht="21" customHeight="1">
      <x:c r="A49" s="7" t="n">
        <x:v>45627</x:v>
      </x:c>
      <x:c r="B49" s="8" t="n">
        <x:v>319647</x:v>
      </x:c>
      <x:c r="C49" s="8" t="n">
        <x:v>215921</x:v>
      </x:c>
      <x:c r="D49" s="8" t="n">
        <x:v>103726</x:v>
      </x:c>
      <x:c r="E49" s="8" t="n">
        <x:v>170674</x:v>
      </x:c>
      <x:c r="F49" s="8" t="n">
        <x:v>13084</x:v>
      </x:c>
      <x:c r="G49" s="8" t="n">
        <x:v>9994</x:v>
      </x:c>
      <x:c r="H49" s="8" t="n">
        <x:v>48541</x:v>
      </x:c>
      <x:c r="I49" s="8" t="n">
        <x:v>69754</x:v>
      </x:c>
      <x:c r="J49" s="8" t="n">
        <x:v>29300</x:v>
      </x:c>
      <x:c r="K49" s="9" t="n">
        <x:f>IF(COUNTIFS($A$2:$A$64,EDATE(A49,-12),$B$2:$B$64,"&gt;0")=1,B49/SUMIFS($B$2:$B$64,$A$2:$A$64,EDATE(A49,-12))-1,"")</x:f>
        <x:v>-0.0319682134929119</x:v>
      </x:c>
      <x:c r="L49" s="9" t="n">
        <x:f>IF(COUNTIFS($A$2:$A$64,EDATE(A49,-12),$C$2:$C$64,"&gt;0")=1,C49/SUMIFS($C$2:$C$64,$A$2:$A$64,EDATE(A49,-12))-1,"")</x:f>
        <x:v>-0.02531497004906802</x:v>
      </x:c>
      <x:c r="M49" s="10" t="n">
        <x:f>IF(COUNTIFS($A$2:$A$64,"&gt;="&amp;EDATE(A49,-2),$A$2:$A$64,"&lt;="&amp;A49,$C$2:$C$64,"&gt;=0")=3,SUMIFS($C$2:$C$64,$A$2:$A$64,"&gt;="&amp;EDATE(A49,-2),$A$2:$A$64,"&lt;="&amp;A49)/3,"")</x:f>
        <x:v>213020.33333333334</x:v>
      </x:c>
      <x:c r="N49" s="2" t="str">
        <x:v>2026-06-09</x:v>
      </x:c>
      <x:c r="O49" s="2" t="str">
        <x:v>https://www.e-stat.go.jp/stat-search/file-download?statInfId=000040463224&amp;fileKind=0</x:v>
      </x:c>
      <x:c r="P49" s="2" t="str">
        <x:v>2-1!18行</x:v>
      </x:c>
      <x:c r="Q49" s="8" t="n">
        <x:f>B49-C49-D49</x:f>
        <x:v>0</x:v>
      </x:c>
    </x:row>
    <x:row r="50" ht="21" customHeight="1">
      <x:c r="A50" s="7" t="n">
        <x:v>45658</x:v>
      </x:c>
      <x:c r="B50" s="8" t="n">
        <x:v>287292</x:v>
      </x:c>
      <x:c r="C50" s="8" t="n">
        <x:v>195247</x:v>
      </x:c>
      <x:c r="D50" s="8" t="n">
        <x:v>92045</x:v>
      </x:c>
      <x:c r="E50" s="8" t="n">
        <x:v>155432</x:v>
      </x:c>
      <x:c r="F50" s="8" t="n">
        <x:v>11195</x:v>
      </x:c>
      <x:c r="G50" s="8" t="n">
        <x:v>10853</x:v>
      </x:c>
      <x:c r="H50" s="8" t="n">
        <x:v>49574</x:v>
      </x:c>
      <x:c r="I50" s="8" t="n">
        <x:v>57570</x:v>
      </x:c>
      <x:c r="J50" s="8" t="n">
        <x:v>26239</x:v>
      </x:c>
      <x:c r="K50" s="9" t="n">
        <x:f>IF(COUNTIFS($A$2:$A$64,EDATE(A50,-12),$B$2:$B$64,"&gt;0")=1,B50/SUMIFS($B$2:$B$64,$A$2:$A$64,EDATE(A50,-12))-1,"")</x:f>
        <x:v>0.008689790286394494</x:v>
      </x:c>
      <x:c r="L50" s="9" t="n">
        <x:f>IF(COUNTIFS($A$2:$A$64,EDATE(A50,-12),$C$2:$C$64,"&gt;0")=1,C50/SUMIFS($C$2:$C$64,$A$2:$A$64,EDATE(A50,-12))-1,"")</x:f>
        <x:v>0.009550155118924541</x:v>
      </x:c>
      <x:c r="M50" s="10" t="n">
        <x:f>IF(COUNTIFS($A$2:$A$64,"&gt;="&amp;EDATE(A50,-2),$A$2:$A$64,"&lt;="&amp;A50,$C$2:$C$64,"&gt;=0")=3,SUMIFS($C$2:$C$64,$A$2:$A$64,"&gt;="&amp;EDATE(A50,-2),$A$2:$A$64,"&lt;="&amp;A50)/3,"")</x:f>
        <x:v>208548.66666666666</x:v>
      </x:c>
      <x:c r="N50" s="2" t="str">
        <x:v>2026-06-09</x:v>
      </x:c>
      <x:c r="O50" s="2" t="str">
        <x:v>https://www.e-stat.go.jp/stat-search/file-download?statInfId=000040463224&amp;fileKind=0</x:v>
      </x:c>
      <x:c r="P50" s="2" t="str">
        <x:v>2-1!19行</x:v>
      </x:c>
      <x:c r="Q50" s="8" t="n">
        <x:f>B50-C50-D50</x:f>
        <x:v>0</x:v>
      </x:c>
    </x:row>
    <x:row r="51" ht="21" customHeight="1">
      <x:c r="A51" s="7" t="n">
        <x:v>45689</x:v>
      </x:c>
      <x:c r="B51" s="8" t="n">
        <x:v>286009</x:v>
      </x:c>
      <x:c r="C51" s="8" t="n">
        <x:v>187803</x:v>
      </x:c>
      <x:c r="D51" s="8" t="n">
        <x:v>98206</x:v>
      </x:c>
      <x:c r="E51" s="8" t="n">
        <x:v>148389</x:v>
      </x:c>
      <x:c r="F51" s="8" t="n">
        <x:v>10814</x:v>
      </x:c>
      <x:c r="G51" s="8" t="n">
        <x:v>11241</x:v>
      </x:c>
      <x:c r="H51" s="8" t="n">
        <x:v>48929</x:v>
      </x:c>
      <x:c r="I51" s="8" t="n">
        <x:v>53110</x:v>
      </x:c>
      <x:c r="J51" s="8" t="n">
        <x:v>24295</x:v>
      </x:c>
      <x:c r="K51" s="9" t="n">
        <x:f>IF(COUNTIFS($A$2:$A$64,EDATE(A51,-12),$B$2:$B$64,"&gt;0")=1,B51/SUMIFS($B$2:$B$64,$A$2:$A$64,EDATE(A51,-12))-1,"")</x:f>
        <x:v>-0.06901445586258304</x:v>
      </x:c>
      <x:c r="L51" s="9" t="n">
        <x:f>IF(COUNTIFS($A$2:$A$64,EDATE(A51,-12),$C$2:$C$64,"&gt;0")=1,C51/SUMIFS($C$2:$C$64,$A$2:$A$64,EDATE(A51,-12))-1,"")</x:f>
        <x:v>-0.07410949786772503</x:v>
      </x:c>
      <x:c r="M51" s="10" t="n">
        <x:f>IF(COUNTIFS($A$2:$A$64,"&gt;="&amp;EDATE(A51,-2),$A$2:$A$64,"&lt;="&amp;A51,$C$2:$C$64,"&gt;=0")=3,SUMIFS($C$2:$C$64,$A$2:$A$64,"&gt;="&amp;EDATE(A51,-2),$A$2:$A$64,"&lt;="&amp;A51)/3,"")</x:f>
        <x:v>199657</x:v>
      </x:c>
      <x:c r="N51" s="2" t="str">
        <x:v>2026-06-09</x:v>
      </x:c>
      <x:c r="O51" s="2" t="str">
        <x:v>https://www.e-stat.go.jp/stat-search/file-download?statInfId=000040463224&amp;fileKind=0</x:v>
      </x:c>
      <x:c r="P51" s="2" t="str">
        <x:v>2-1!20行</x:v>
      </x:c>
      <x:c r="Q51" s="8" t="n">
        <x:f>B51-C51-D51</x:f>
        <x:v>0</x:v>
      </x:c>
    </x:row>
    <x:row r="52" ht="21" customHeight="1">
      <x:c r="A52" s="7" t="n">
        <x:v>45717</x:v>
      </x:c>
      <x:c r="B52" s="8" t="n">
        <x:v>317790</x:v>
      </x:c>
      <x:c r="C52" s="8" t="n">
        <x:v>218071</x:v>
      </x:c>
      <x:c r="D52" s="8" t="n">
        <x:v>99719</x:v>
      </x:c>
      <x:c r="E52" s="8" t="n">
        <x:v>175683</x:v>
      </x:c>
      <x:c r="F52" s="8" t="n">
        <x:v>13511</x:v>
      </x:c>
      <x:c r="G52" s="8" t="n">
        <x:v>10292</x:v>
      </x:c>
      <x:c r="H52" s="8" t="n">
        <x:v>51692</x:v>
      </x:c>
      <x:c r="I52" s="8" t="n">
        <x:v>67742</x:v>
      </x:c>
      <x:c r="J52" s="8" t="n">
        <x:v>32446</x:v>
      </x:c>
      <x:c r="K52" s="9" t="n">
        <x:f>IF(COUNTIFS($A$2:$A$64,EDATE(A52,-12),$B$2:$B$64,"&gt;0")=1,B52/SUMIFS($B$2:$B$64,$A$2:$A$64,EDATE(A52,-12))-1,"")</x:f>
        <x:v>-0.002745830260618476</x:v>
      </x:c>
      <x:c r="L52" s="9" t="n">
        <x:f>IF(COUNTIFS($A$2:$A$64,EDATE(A52,-12),$C$2:$C$64,"&gt;0")=1,C52/SUMIFS($C$2:$C$64,$A$2:$A$64,EDATE(A52,-12))-1,"")</x:f>
        <x:v>0.00551469740634003</x:v>
      </x:c>
      <x:c r="M52" s="10" t="n">
        <x:f>IF(COUNTIFS($A$2:$A$64,"&gt;="&amp;EDATE(A52,-2),$A$2:$A$64,"&lt;="&amp;A52,$C$2:$C$64,"&gt;=0")=3,SUMIFS($C$2:$C$64,$A$2:$A$64,"&gt;="&amp;EDATE(A52,-2),$A$2:$A$64,"&lt;="&amp;A52)/3,"")</x:f>
        <x:v>200373.66666666666</x:v>
      </x:c>
      <x:c r="N52" s="2" t="str">
        <x:v>2026-09-17</x:v>
      </x:c>
      <x:c r="O52" s="2" t="str">
        <x:v>https://www.e-stat.go.jp/stat-search/file-download?statInfId=000040507132&amp;fileKind=0</x:v>
      </x:c>
      <x:c r="P52" s="2" t="str">
        <x:v>2-1!19行</x:v>
      </x:c>
      <x:c r="Q52" s="8" t="n">
        <x:f>B52-C52-D52</x:f>
        <x:v>0</x:v>
      </x:c>
    </x:row>
    <x:row r="53" ht="21" customHeight="1">
      <x:c r="A53" s="7" t="n">
        <x:v>45748</x:v>
      </x:c>
      <x:c r="B53" s="8" t="n">
        <x:v>304841</x:v>
      </x:c>
      <x:c r="C53" s="8" t="n">
        <x:v>209073</x:v>
      </x:c>
      <x:c r="D53" s="8" t="n">
        <x:v>95769</x:v>
      </x:c>
      <x:c r="E53" s="8" t="n">
        <x:v>164922</x:v>
      </x:c>
      <x:c r="F53" s="8" t="n">
        <x:v>12425</x:v>
      </x:c>
      <x:c r="G53" s="8" t="n">
        <x:v>11441</x:v>
      </x:c>
      <x:c r="H53" s="8" t="n">
        <x:v>46700</x:v>
      </x:c>
      <x:c r="I53" s="8" t="n">
        <x:v>65770</x:v>
      </x:c>
      <x:c r="J53" s="8" t="n">
        <x:v>28586</x:v>
      </x:c>
      <x:c r="K53" s="9" t="n">
        <x:f>IF(COUNTIFS($A$2:$A$64,EDATE(A53,-12),$B$2:$B$64,"&gt;0")=1,B53/SUMIFS($B$2:$B$64,$A$2:$A$64,EDATE(A53,-12))-1,"")</x:f>
        <x:v>-0.06925315168705715</x:v>
      </x:c>
      <x:c r="L53" s="9" t="n">
        <x:f>IF(COUNTIFS($A$2:$A$64,EDATE(A53,-12),$C$2:$C$64,"&gt;0")=1,C53/SUMIFS($C$2:$C$64,$A$2:$A$64,EDATE(A53,-12))-1,"")</x:f>
        <x:v>-0.029386777342933934</x:v>
      </x:c>
      <x:c r="M53" s="10" t="n">
        <x:f>IF(COUNTIFS($A$2:$A$64,"&gt;="&amp;EDATE(A53,-2),$A$2:$A$64,"&lt;="&amp;A53,$C$2:$C$64,"&gt;=0")=3,SUMIFS($C$2:$C$64,$A$2:$A$64,"&gt;="&amp;EDATE(A53,-2),$A$2:$A$64,"&lt;="&amp;A53)/3,"")</x:f>
        <x:v>204982.33333333334</x:v>
      </x:c>
      <x:c r="N53" s="2" t="str">
        <x:v>2026-09-17</x:v>
      </x:c>
      <x:c r="O53" s="2" t="str">
        <x:v>https://www.e-stat.go.jp/stat-search/file-download?statInfId=000040507132&amp;fileKind=0</x:v>
      </x:c>
      <x:c r="P53" s="2" t="str">
        <x:v>2-1!20行</x:v>
      </x:c>
      <x:c r="Q53" s="8" t="n">
        <x:f>B53-C53-D53</x:f>
        <x:v>-1</x:v>
      </x:c>
    </x:row>
    <x:row r="54" ht="21" customHeight="1">
      <x:c r="A54" s="7" t="n">
        <x:v>45778</x:v>
      </x:c>
      <x:c r="B54" s="8" t="n">
        <x:v>282930</x:v>
      </x:c>
      <x:c r="C54" s="8" t="n">
        <x:v>195809</x:v>
      </x:c>
      <x:c r="D54" s="8" t="n">
        <x:v>87121</x:v>
      </x:c>
      <x:c r="E54" s="8" t="n">
        <x:v>154017</x:v>
      </x:c>
      <x:c r="F54" s="8" t="n">
        <x:v>11042</x:v>
      </x:c>
      <x:c r="G54" s="8" t="n">
        <x:v>10019</x:v>
      </x:c>
      <x:c r="H54" s="8" t="n">
        <x:v>40095</x:v>
      </x:c>
      <x:c r="I54" s="8" t="n">
        <x:v>62813</x:v>
      </x:c>
      <x:c r="J54" s="8" t="n">
        <x:v>30048</x:v>
      </x:c>
      <x:c r="K54" s="9" t="n">
        <x:f>IF(COUNTIFS($A$2:$A$64,EDATE(A54,-12),$B$2:$B$64,"&gt;0")=1,B54/SUMIFS($B$2:$B$64,$A$2:$A$64,EDATE(A54,-12))-1,"")</x:f>
        <x:v>-0.040889244454086926</x:v>
      </x:c>
      <x:c r="L54" s="9" t="n">
        <x:f>IF(COUNTIFS($A$2:$A$64,EDATE(A54,-12),$C$2:$C$64,"&gt;0")=1,C54/SUMIFS($C$2:$C$64,$A$2:$A$64,EDATE(A54,-12))-1,"")</x:f>
        <x:v>-0.017871115302048435</x:v>
      </x:c>
      <x:c r="M54" s="10" t="n">
        <x:f>IF(COUNTIFS($A$2:$A$64,"&gt;="&amp;EDATE(A54,-2),$A$2:$A$64,"&lt;="&amp;A54,$C$2:$C$64,"&gt;=0")=3,SUMIFS($C$2:$C$64,$A$2:$A$64,"&gt;="&amp;EDATE(A54,-2),$A$2:$A$64,"&lt;="&amp;A54)/3,"")</x:f>
        <x:v>207651</x:v>
      </x:c>
      <x:c r="N54" s="2" t="str">
        <x:v>2026-09-17</x:v>
      </x:c>
      <x:c r="O54" s="2" t="str">
        <x:v>https://www.e-stat.go.jp/stat-search/file-download?statInfId=000040507132&amp;fileKind=0</x:v>
      </x:c>
      <x:c r="P54" s="2" t="str">
        <x:v>2-1!21行</x:v>
      </x:c>
      <x:c r="Q54" s="8" t="n">
        <x:f>B54-C54-D54</x:f>
        <x:v>0</x:v>
      </x:c>
    </x:row>
    <x:row r="55" ht="21" customHeight="1">
      <x:c r="A55" s="7" t="n">
        <x:v>45809</x:v>
      </x:c>
      <x:c r="B55" s="8" t="n">
        <x:v>307733</x:v>
      </x:c>
      <x:c r="C55" s="8" t="n">
        <x:v>203901</x:v>
      </x:c>
      <x:c r="D55" s="8" t="n">
        <x:v>103832</x:v>
      </x:c>
      <x:c r="E55" s="8" t="n">
        <x:v>164224</x:v>
      </x:c>
      <x:c r="F55" s="8" t="n">
        <x:v>12139</x:v>
      </x:c>
      <x:c r="G55" s="8" t="n">
        <x:v>10903</x:v>
      </x:c>
      <x:c r="H55" s="8" t="n">
        <x:v>48794</x:v>
      </x:c>
      <x:c r="I55" s="8" t="n">
        <x:v>59364</x:v>
      </x:c>
      <x:c r="J55" s="8" t="n">
        <x:v>33024</x:v>
      </x:c>
      <x:c r="K55" s="9" t="n">
        <x:f>IF(COUNTIFS($A$2:$A$64,EDATE(A55,-12),$B$2:$B$64,"&gt;0")=1,B55/SUMIFS($B$2:$B$64,$A$2:$A$64,EDATE(A55,-12))-1,"")</x:f>
        <x:v>-0.06570058869427675</x:v>
      </x:c>
      <x:c r="L55" s="9" t="n">
        <x:f>IF(COUNTIFS($A$2:$A$64,EDATE(A55,-12),$C$2:$C$64,"&gt;0")=1,C55/SUMIFS($C$2:$C$64,$A$2:$A$64,EDATE(A55,-12))-1,"")</x:f>
        <x:v>-0.07482156712388432</x:v>
      </x:c>
      <x:c r="M55" s="10" t="n">
        <x:f>IF(COUNTIFS($A$2:$A$64,"&gt;="&amp;EDATE(A55,-2),$A$2:$A$64,"&lt;="&amp;A55,$C$2:$C$64,"&gt;=0")=3,SUMIFS($C$2:$C$64,$A$2:$A$64,"&gt;="&amp;EDATE(A55,-2),$A$2:$A$64,"&lt;="&amp;A55)/3,"")</x:f>
        <x:v>202927.66666666666</x:v>
      </x:c>
      <x:c r="N55" s="2" t="str">
        <x:v>2026-09-17</x:v>
      </x:c>
      <x:c r="O55" s="2" t="str">
        <x:v>https://www.e-stat.go.jp/stat-search/file-download?statInfId=000040507132&amp;fileKind=0</x:v>
      </x:c>
      <x:c r="P55" s="2" t="str">
        <x:v>2-1!22行</x:v>
      </x:c>
      <x:c r="Q55" s="8" t="n">
        <x:f>B55-C55-D55</x:f>
        <x:v>0</x:v>
      </x:c>
    </x:row>
    <x:row r="56" ht="21" customHeight="1">
      <x:c r="A56" s="7" t="n">
        <x:v>45839</x:v>
      </x:c>
      <x:c r="B56" s="8" t="n">
        <x:v>315444</x:v>
      </x:c>
      <x:c r="C56" s="8" t="n">
        <x:v>212599</x:v>
      </x:c>
      <x:c r="D56" s="8" t="n">
        <x:v>102845</x:v>
      </x:c>
      <x:c r="E56" s="8" t="n">
        <x:v>171251</x:v>
      </x:c>
      <x:c r="F56" s="8" t="n">
        <x:v>12386</x:v>
      </x:c>
      <x:c r="G56" s="8" t="n">
        <x:v>11464</x:v>
      </x:c>
      <x:c r="H56" s="8" t="n">
        <x:v>48892</x:v>
      </x:c>
      <x:c r="I56" s="8" t="n">
        <x:v>70085</x:v>
      </x:c>
      <x:c r="J56" s="8" t="n">
        <x:v>28424</x:v>
      </x:c>
      <x:c r="K56" s="9" t="n">
        <x:f>IF(COUNTIFS($A$2:$A$64,EDATE(A56,-12),$B$2:$B$64,"&gt;0")=1,B56/SUMIFS($B$2:$B$64,$A$2:$A$64,EDATE(A56,-12))-1,"")</x:f>
        <x:v>-0.04729919511937297</x:v>
      </x:c>
      <x:c r="L56" s="9" t="n">
        <x:f>IF(COUNTIFS($A$2:$A$64,EDATE(A56,-12),$C$2:$C$64,"&gt;0")=1,C56/SUMIFS($C$2:$C$64,$A$2:$A$64,EDATE(A56,-12))-1,"")</x:f>
        <x:v>-0.0560343487894005</x:v>
      </x:c>
      <x:c r="M56" s="10" t="n">
        <x:f>IF(COUNTIFS($A$2:$A$64,"&gt;="&amp;EDATE(A56,-2),$A$2:$A$64,"&lt;="&amp;A56,$C$2:$C$64,"&gt;=0")=3,SUMIFS($C$2:$C$64,$A$2:$A$64,"&gt;="&amp;EDATE(A56,-2),$A$2:$A$64,"&lt;="&amp;A56)/3,"")</x:f>
        <x:v>204103</x:v>
      </x:c>
      <x:c r="N56" s="2" t="str">
        <x:v>2026-09-17</x:v>
      </x:c>
      <x:c r="O56" s="2" t="str">
        <x:v>https://www.e-stat.go.jp/stat-search/file-download?statInfId=000040507132&amp;fileKind=0</x:v>
      </x:c>
      <x:c r="P56" s="2" t="str">
        <x:v>2-1!23行</x:v>
      </x:c>
      <x:c r="Q56" s="8" t="n">
        <x:f>B56-C56-D56</x:f>
        <x:v>0</x:v>
      </x:c>
    </x:row>
    <x:row r="57" ht="21" customHeight="1">
      <x:c r="A57" s="7" t="n">
        <x:v>45870</x:v>
      </x:c>
      <x:c r="B57" s="8" t="n">
        <x:v>280671</x:v>
      </x:c>
      <x:c r="C57" s="8" t="n">
        <x:v>191747</x:v>
      </x:c>
      <x:c r="D57" s="8" t="n">
        <x:v>88924</x:v>
      </x:c>
      <x:c r="E57" s="8" t="n">
        <x:v>152194</x:v>
      </x:c>
      <x:c r="F57" s="8" t="n">
        <x:v>10336</x:v>
      </x:c>
      <x:c r="G57" s="8" t="n">
        <x:v>10811</x:v>
      </x:c>
      <x:c r="H57" s="8" t="n">
        <x:v>45302</x:v>
      </x:c>
      <x:c r="I57" s="8" t="n">
        <x:v>58055</x:v>
      </x:c>
      <x:c r="J57" s="8" t="n">
        <x:v>27690</x:v>
      </x:c>
      <x:c r="K57" s="9" t="n">
        <x:f>IF(COUNTIFS($A$2:$A$64,EDATE(A57,-12),$B$2:$B$64,"&gt;0")=1,B57/SUMIFS($B$2:$B$64,$A$2:$A$64,EDATE(A57,-12))-1,"")</x:f>
        <x:v>0.04270440158112154</x:v>
      </x:c>
      <x:c r="L57" s="9" t="n">
        <x:f>IF(COUNTIFS($A$2:$A$64,EDATE(A57,-12),$C$2:$C$64,"&gt;0")=1,C57/SUMIFS($C$2:$C$64,$A$2:$A$64,EDATE(A57,-12))-1,"")</x:f>
        <x:v>0.026873169138162734</x:v>
      </x:c>
      <x:c r="M57" s="10" t="n">
        <x:f>IF(COUNTIFS($A$2:$A$64,"&gt;="&amp;EDATE(A57,-2),$A$2:$A$64,"&lt;="&amp;A57,$C$2:$C$64,"&gt;=0")=3,SUMIFS($C$2:$C$64,$A$2:$A$64,"&gt;="&amp;EDATE(A57,-2),$A$2:$A$64,"&lt;="&amp;A57)/3,"")</x:f>
        <x:v>202749</x:v>
      </x:c>
      <x:c r="N57" s="2" t="str">
        <x:v>2026-09-17</x:v>
      </x:c>
      <x:c r="O57" s="2" t="str">
        <x:v>https://www.e-stat.go.jp/stat-search/file-download?statInfId=000040507132&amp;fileKind=0</x:v>
      </x:c>
      <x:c r="P57" s="2" t="str">
        <x:v>2-1!24行</x:v>
      </x:c>
      <x:c r="Q57" s="8" t="n">
        <x:f>B57-C57-D57</x:f>
        <x:v>0</x:v>
      </x:c>
    </x:row>
    <x:row r="58" ht="21" customHeight="1">
      <x:c r="A58" s="7" t="n">
        <x:v>45901</x:v>
      </x:c>
      <x:c r="B58" s="8" t="n">
        <x:v>302608</x:v>
      </x:c>
      <x:c r="C58" s="8" t="n">
        <x:v>204439</x:v>
      </x:c>
      <x:c r="D58" s="8" t="n">
        <x:v>98169</x:v>
      </x:c>
      <x:c r="E58" s="8" t="n">
        <x:v>162932</x:v>
      </x:c>
      <x:c r="F58" s="8" t="n">
        <x:v>11040</x:v>
      </x:c>
      <x:c r="G58" s="8" t="n">
        <x:v>10949</x:v>
      </x:c>
      <x:c r="H58" s="8" t="n">
        <x:v>44130</x:v>
      </x:c>
      <x:c r="I58" s="8" t="n">
        <x:v>70549</x:v>
      </x:c>
      <x:c r="J58" s="8" t="n">
        <x:v>26263</x:v>
      </x:c>
      <x:c r="K58" s="9" t="n">
        <x:f>IF(COUNTIFS($A$2:$A$64,EDATE(A58,-12),$B$2:$B$64,"&gt;0")=1,B58/SUMIFS($B$2:$B$64,$A$2:$A$64,EDATE(A58,-12))-1,"")</x:f>
        <x:v>-0.05476649351379548</x:v>
      </x:c>
      <x:c r="L58" s="9" t="n">
        <x:f>IF(COUNTIFS($A$2:$A$64,EDATE(A58,-12),$C$2:$C$64,"&gt;0")=1,C58/SUMIFS($C$2:$C$64,$A$2:$A$64,EDATE(A58,-12))-1,"")</x:f>
        <x:v>-0.07984967143757316</x:v>
      </x:c>
      <x:c r="M58" s="10" t="n">
        <x:f>IF(COUNTIFS($A$2:$A$64,"&gt;="&amp;EDATE(A58,-2),$A$2:$A$64,"&lt;="&amp;A58,$C$2:$C$64,"&gt;=0")=3,SUMIFS($C$2:$C$64,$A$2:$A$64,"&gt;="&amp;EDATE(A58,-2),$A$2:$A$64,"&lt;="&amp;A58)/3,"")</x:f>
        <x:v>202928.33333333334</x:v>
      </x:c>
      <x:c r="N58" s="2" t="str">
        <x:v>2026-09-17</x:v>
      </x:c>
      <x:c r="O58" s="2" t="str">
        <x:v>https://www.e-stat.go.jp/stat-search/file-download?statInfId=000040507132&amp;fileKind=0</x:v>
      </x:c>
      <x:c r="P58" s="2" t="str">
        <x:v>2-1!25行</x:v>
      </x:c>
      <x:c r="Q58" s="8" t="n">
        <x:f>B58-C58-D58</x:f>
        <x:v>0</x:v>
      </x:c>
    </x:row>
    <x:row r="59" ht="21" customHeight="1">
      <x:c r="A59" s="7" t="n">
        <x:v>45931</x:v>
      </x:c>
      <x:c r="B59" s="8" t="n">
        <x:v>309790</x:v>
      </x:c>
      <x:c r="C59" s="8" t="n">
        <x:v>204844</x:v>
      </x:c>
      <x:c r="D59" s="8" t="n">
        <x:v>104946</x:v>
      </x:c>
      <x:c r="E59" s="8" t="n">
        <x:v>164415</x:v>
      </x:c>
      <x:c r="F59" s="8" t="n">
        <x:v>11743</x:v>
      </x:c>
      <x:c r="G59" s="8" t="n">
        <x:v>11072</x:v>
      </x:c>
      <x:c r="H59" s="8" t="n">
        <x:v>47371</x:v>
      </x:c>
      <x:c r="I59" s="8" t="n">
        <x:v>67341</x:v>
      </x:c>
      <x:c r="J59" s="8" t="n">
        <x:v>26889</x:v>
      </x:c>
      <x:c r="K59" s="9" t="n">
        <x:f>IF(COUNTIFS($A$2:$A$64,EDATE(A59,-12),$B$2:$B$64,"&gt;0")=1,B59/SUMIFS($B$2:$B$64,$A$2:$A$64,EDATE(A59,-12))-1,"")</x:f>
        <x:v>-0.0360452307902942</x:v>
      </x:c>
      <x:c r="L59" s="9" t="n">
        <x:f>IF(COUNTIFS($A$2:$A$64,EDATE(A59,-12),$C$2:$C$64,"&gt;0")=1,C59/SUMIFS($C$2:$C$64,$A$2:$A$64,EDATE(A59,-12))-1,"")</x:f>
        <x:v>-0.01829753381066035</x:v>
      </x:c>
      <x:c r="M59" s="10" t="n">
        <x:f>IF(COUNTIFS($A$2:$A$64,"&gt;="&amp;EDATE(A59,-2),$A$2:$A$64,"&lt;="&amp;A59,$C$2:$C$64,"&gt;=0")=3,SUMIFS($C$2:$C$64,$A$2:$A$64,"&gt;="&amp;EDATE(A59,-2),$A$2:$A$64,"&lt;="&amp;A59)/3,"")</x:f>
        <x:v>200343.33333333334</x:v>
      </x:c>
      <x:c r="N59" s="2" t="str">
        <x:v>2026-09-17</x:v>
      </x:c>
      <x:c r="O59" s="2" t="str">
        <x:v>https://www.e-stat.go.jp/stat-search/file-download?statInfId=000040507132&amp;fileKind=0</x:v>
      </x:c>
      <x:c r="P59" s="2" t="str">
        <x:v>2-1!26行</x:v>
      </x:c>
      <x:c r="Q59" s="8" t="n">
        <x:f>B59-C59-D59</x:f>
        <x:v>0</x:v>
      </x:c>
    </x:row>
    <x:row r="60" ht="21" customHeight="1">
      <x:c r="A60" s="7" t="n">
        <x:v>45962</x:v>
      </x:c>
      <x:c r="B60" s="8" t="n">
        <x:v>313990</x:v>
      </x:c>
      <x:c r="C60" s="8" t="n">
        <x:v>208550</x:v>
      </x:c>
      <x:c r="D60" s="8" t="n">
        <x:v>105440</x:v>
      </x:c>
      <x:c r="E60" s="8" t="n">
        <x:v>167446</x:v>
      </x:c>
      <x:c r="F60" s="8" t="n">
        <x:v>12301</x:v>
      </x:c>
      <x:c r="G60" s="8" t="n">
        <x:v>10949</x:v>
      </x:c>
      <x:c r="H60" s="8" t="n">
        <x:v>46017</x:v>
      </x:c>
      <x:c r="I60" s="8" t="n">
        <x:v>71015</x:v>
      </x:c>
      <x:c r="J60" s="8" t="n">
        <x:v>27163</x:v>
      </x:c>
      <x:c r="K60" s="9" t="n">
        <x:f>IF(COUNTIFS($A$2:$A$64,EDATE(A60,-12),$B$2:$B$64,"&gt;0")=1,B60/SUMIFS($B$2:$B$64,$A$2:$A$64,EDATE(A60,-12))-1,"")</x:f>
        <x:v>-0.019926710656919755</x:v>
      </x:c>
      <x:c r="L60" s="9" t="n">
        <x:f>IF(COUNTIFS($A$2:$A$64,EDATE(A60,-12),$C$2:$C$64,"&gt;0")=1,C60/SUMIFS($C$2:$C$64,$A$2:$A$64,EDATE(A60,-12))-1,"")</x:f>
        <x:v>-0.027639198425945755</x:v>
      </x:c>
      <x:c r="M60" s="10" t="n">
        <x:f>IF(COUNTIFS($A$2:$A$64,"&gt;="&amp;EDATE(A60,-2),$A$2:$A$64,"&lt;="&amp;A60,$C$2:$C$64,"&gt;=0")=3,SUMIFS($C$2:$C$64,$A$2:$A$64,"&gt;="&amp;EDATE(A60,-2),$A$2:$A$64,"&lt;="&amp;A60)/3,"")</x:f>
        <x:v>205944.33333333334</x:v>
      </x:c>
      <x:c r="N60" s="2" t="str">
        <x:v>2026-09-17</x:v>
      </x:c>
      <x:c r="O60" s="2" t="str">
        <x:v>https://www.e-stat.go.jp/stat-search/file-download?statInfId=000040507132&amp;fileKind=0</x:v>
      </x:c>
      <x:c r="P60" s="2" t="str">
        <x:v>2-1!27行</x:v>
      </x:c>
      <x:c r="Q60" s="8" t="n">
        <x:f>B60-C60-D60</x:f>
        <x:v>0</x:v>
      </x:c>
    </x:row>
    <x:row r="61" ht="21" customHeight="1">
      <x:c r="A61" s="7" t="n">
        <x:v>45992</x:v>
      </x:c>
      <x:c r="B61" s="8" t="n">
        <x:v>307335</x:v>
      </x:c>
      <x:c r="C61" s="8" t="n">
        <x:v>204468</x:v>
      </x:c>
      <x:c r="D61" s="8" t="n">
        <x:v>102867</x:v>
      </x:c>
      <x:c r="E61" s="8" t="n">
        <x:v>164992</x:v>
      </x:c>
      <x:c r="F61" s="8" t="n">
        <x:v>12116</x:v>
      </x:c>
      <x:c r="G61" s="8" t="n">
        <x:v>10791</x:v>
      </x:c>
      <x:c r="H61" s="8" t="n">
        <x:v>46634</x:v>
      </x:c>
      <x:c r="I61" s="8" t="n">
        <x:v>69242</x:v>
      </x:c>
      <x:c r="J61" s="8" t="n">
        <x:v>26209</x:v>
      </x:c>
      <x:c r="K61" s="9" t="n">
        <x:f>IF(COUNTIFS($A$2:$A$64,EDATE(A61,-12),$B$2:$B$64,"&gt;0")=1,B61/SUMIFS($B$2:$B$64,$A$2:$A$64,EDATE(A61,-12))-1,"")</x:f>
        <x:v>-0.03851748960572132</x:v>
      </x:c>
      <x:c r="L61" s="9" t="n">
        <x:f>IF(COUNTIFS($A$2:$A$64,EDATE(A61,-12),$C$2:$C$64,"&gt;0")=1,C61/SUMIFS($C$2:$C$64,$A$2:$A$64,EDATE(A61,-12))-1,"")</x:f>
        <x:v>-0.05304254796893304</x:v>
      </x:c>
      <x:c r="M61" s="10" t="n">
        <x:f>IF(COUNTIFS($A$2:$A$64,"&gt;="&amp;EDATE(A61,-2),$A$2:$A$64,"&lt;="&amp;A61,$C$2:$C$64,"&gt;=0")=3,SUMIFS($C$2:$C$64,$A$2:$A$64,"&gt;="&amp;EDATE(A61,-2),$A$2:$A$64,"&lt;="&amp;A61)/3,"")</x:f>
        <x:v>205954</x:v>
      </x:c>
      <x:c r="N61" s="2" t="str">
        <x:v>2026-09-17</x:v>
      </x:c>
      <x:c r="O61" s="2" t="str">
        <x:v>https://www.e-stat.go.jp/stat-search/file-download?statInfId=000040507132&amp;fileKind=0</x:v>
      </x:c>
      <x:c r="P61" s="2" t="str">
        <x:v>2-1!28行</x:v>
      </x:c>
      <x:c r="Q61" s="8" t="n">
        <x:f>B61-C61-D61</x:f>
        <x:v>0</x:v>
      </x:c>
    </x:row>
    <x:row r="62" ht="21" customHeight="1">
      <x:c r="A62" s="7" t="n">
        <x:v>46023</x:v>
      </x:c>
      <x:c r="B62" s="8" t="n">
        <x:v>302490</x:v>
      </x:c>
      <x:c r="C62" s="8" t="n">
        <x:v>198288</x:v>
      </x:c>
      <x:c r="D62" s="8" t="n">
        <x:v>104202</x:v>
      </x:c>
      <x:c r="E62" s="8" t="n">
        <x:v>158958</x:v>
      </x:c>
      <x:c r="F62" s="8" t="n">
        <x:v>11679</x:v>
      </x:c>
      <x:c r="G62" s="8" t="n">
        <x:v>10039</x:v>
      </x:c>
      <x:c r="H62" s="8" t="n">
        <x:v>48056</x:v>
      </x:c>
      <x:c r="I62" s="8" t="n">
        <x:v>62152</x:v>
      </x:c>
      <x:c r="J62" s="8" t="n">
        <x:v>27033</x:v>
      </x:c>
      <x:c r="K62" s="9" t="n">
        <x:f>IF(COUNTIFS($A$2:$A$64,EDATE(A62,-12),$B$2:$B$64,"&gt;0")=1,B62/SUMIFS($B$2:$B$64,$A$2:$A$64,EDATE(A62,-12))-1,"")</x:f>
        <x:v>0.05290088133327764</x:v>
      </x:c>
      <x:c r="L62" s="9" t="n">
        <x:f>IF(COUNTIFS($A$2:$A$64,EDATE(A62,-12),$C$2:$C$64,"&gt;0")=1,C62/SUMIFS($C$2:$C$64,$A$2:$A$64,EDATE(A62,-12))-1,"")</x:f>
        <x:v>0.015575143280050385</x:v>
      </x:c>
      <x:c r="M62" s="10" t="n">
        <x:f>IF(COUNTIFS($A$2:$A$64,"&gt;="&amp;EDATE(A62,-2),$A$2:$A$64,"&lt;="&amp;A62,$C$2:$C$64,"&gt;=0")=3,SUMIFS($C$2:$C$64,$A$2:$A$64,"&gt;="&amp;EDATE(A62,-2),$A$2:$A$64,"&lt;="&amp;A62)/3,"")</x:f>
        <x:v>203768.66666666666</x:v>
      </x:c>
      <x:c r="N62" s="2" t="str">
        <x:v>2026-09-17</x:v>
      </x:c>
      <x:c r="O62" s="2" t="str">
        <x:v>https://www.e-stat.go.jp/stat-search/file-download?statInfId=000040507132&amp;fileKind=0</x:v>
      </x:c>
      <x:c r="P62" s="2" t="str">
        <x:v>2-1!29行</x:v>
      </x:c>
      <x:c r="Q62" s="8" t="n">
        <x:f>B62-C62-D62</x:f>
        <x:v>0</x:v>
      </x:c>
    </x:row>
    <x:row r="63" ht="21" customHeight="1">
      <x:c r="A63" s="7" t="n">
        <x:v>46054</x:v>
      </x:c>
      <x:c r="B63" s="8" t="n">
        <x:v>294056</x:v>
      </x:c>
      <x:c r="C63" s="8" t="n">
        <x:v>190492</x:v>
      </x:c>
      <x:c r="D63" s="8" t="n">
        <x:v>103564</x:v>
      </x:c>
      <x:c r="E63" s="8" t="n">
        <x:v>152765</x:v>
      </x:c>
      <x:c r="F63" s="8" t="n">
        <x:v>10839</x:v>
      </x:c>
      <x:c r="G63" s="8" t="n">
        <x:v>9354</x:v>
      </x:c>
      <x:c r="H63" s="8" t="n">
        <x:v>46531</x:v>
      </x:c>
      <x:c r="I63" s="8" t="n">
        <x:v>60406</x:v>
      </x:c>
      <x:c r="J63" s="8" t="n">
        <x:v>25635</x:v>
      </x:c>
      <x:c r="K63" s="9" t="n">
        <x:f>IF(COUNTIFS($A$2:$A$64,EDATE(A63,-12),$B$2:$B$64,"&gt;0")=1,B63/SUMIFS($B$2:$B$64,$A$2:$A$64,EDATE(A63,-12))-1,"")</x:f>
        <x:v>0.028135478254180724</x:v>
      </x:c>
      <x:c r="L63" s="9" t="n">
        <x:f>IF(COUNTIFS($A$2:$A$64,EDATE(A63,-12),$C$2:$C$64,"&gt;0")=1,C63/SUMIFS($C$2:$C$64,$A$2:$A$64,EDATE(A63,-12))-1,"")</x:f>
        <x:v>0.01431819513000332</x:v>
      </x:c>
      <x:c r="M63" s="10" t="n">
        <x:f>IF(COUNTIFS($A$2:$A$64,"&gt;="&amp;EDATE(A63,-2),$A$2:$A$64,"&lt;="&amp;A63,$C$2:$C$64,"&gt;=0")=3,SUMIFS($C$2:$C$64,$A$2:$A$64,"&gt;="&amp;EDATE(A63,-2),$A$2:$A$64,"&lt;="&amp;A63)/3,"")</x:f>
        <x:v>197749.33333333334</x:v>
      </x:c>
      <x:c r="N63" s="2" t="str">
        <x:v>2026-09-17</x:v>
      </x:c>
      <x:c r="O63" s="2" t="str">
        <x:v>https://www.e-stat.go.jp/stat-search/file-download?statInfId=000040507132&amp;fileKind=0</x:v>
      </x:c>
      <x:c r="P63" s="2" t="str">
        <x:v>2-1!30行</x:v>
      </x:c>
      <x:c r="Q63" s="8" t="n">
        <x:f>B63-C63-D63</x:f>
        <x:v>0</x:v>
      </x:c>
    </x:row>
    <x:row r="64" ht="21" customHeight="1">
      <x:c r="A64" s="7" t="n">
        <x:v>46082</x:v>
      </x:c>
      <x:c r="B64" s="8" t="n">
        <x:v>304526</x:v>
      </x:c>
      <x:c r="C64" s="8" t="n">
        <x:v>201368</x:v>
      </x:c>
      <x:c r="D64" s="8" t="n">
        <x:v>103158</x:v>
      </x:c>
      <x:c r="E64" s="8" t="n">
        <x:v>162193</x:v>
      </x:c>
      <x:c r="F64" s="8" t="n">
        <x:v>11633</x:v>
      </x:c>
      <x:c r="G64" s="8" t="n">
        <x:v>10379</x:v>
      </x:c>
      <x:c r="H64" s="8" t="n">
        <x:v>48764</x:v>
      </x:c>
      <x:c r="I64" s="8" t="n">
        <x:v>63822</x:v>
      </x:c>
      <x:c r="J64" s="8" t="n">
        <x:v>27595</x:v>
      </x:c>
      <x:c r="K64" s="9" t="n">
        <x:f>IF(COUNTIFS($A$2:$A$64,EDATE(A64,-12),$B$2:$B$64,"&gt;0")=1,B64/SUMIFS($B$2:$B$64,$A$2:$A$64,EDATE(A64,-12))-1,"")</x:f>
        <x:v>-0.04173825482236693</x:v>
      </x:c>
      <x:c r="L64" s="9" t="n">
        <x:f>IF(COUNTIFS($A$2:$A$64,EDATE(A64,-12),$C$2:$C$64,"&gt;0")=1,C64/SUMIFS($C$2:$C$64,$A$2:$A$64,EDATE(A64,-12))-1,"")</x:f>
        <x:v>-0.07659432019846746</x:v>
      </x:c>
      <x:c r="M64" s="10" t="n">
        <x:f>IF(COUNTIFS($A$2:$A$64,"&gt;="&amp;EDATE(A64,-2),$A$2:$A$64,"&lt;="&amp;A64,$C$2:$C$64,"&gt;=0")=3,SUMIFS($C$2:$C$64,$A$2:$A$64,"&gt;="&amp;EDATE(A64,-2),$A$2:$A$64,"&lt;="&amp;A64)/3,"")</x:f>
        <x:v>196716</x:v>
      </x:c>
      <x:c r="N64" s="2" t="str">
        <x:v>2026-09-17</x:v>
      </x:c>
      <x:c r="O64" s="2" t="str">
        <x:v>https://www.e-stat.go.jp/stat-search/file-download?statInfId=000040507132&amp;fileKind=0</x:v>
      </x:c>
      <x:c r="P64" s="2" t="str">
        <x:v>2-1!31行</x:v>
      </x:c>
      <x:c r="Q64" s="8" t="n">
        <x:f>B64-C64-D64</x:f>
        <x:v>0</x:v>
      </x:c>
    </x:row>
  </x:sheetData>
  <x:conditionalFormatting sqref="Q2:Q64">
    <x:cfRule type="expression" dxfId="1" priority="1">
      <x:formula>ABS(Q2)&gt;1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baf4287fe14d3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38" hidden="0" customWidth="1"/>
    <x:col min="6" max="6" width="38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71" hidden="0" customWidth="1"/>
    <x:col min="23" max="23" width="14" hidden="0" customWidth="1"/>
  </x:cols>
  <x:sheetData>
    <x:row r="1" ht="43" customHeight="1">
      <x:c r="A1" s="6" t="str">
        <x:v>対象地域</x:v>
      </x:c>
      <x:c r="B1" s="6" t="str">
        <x:v>基本区間番号</x:v>
      </x:c>
      <x:c r="C1" s="6" t="str">
        <x:v>交通量調査単位ID</x:v>
      </x:c>
      <x:c r="D1" s="6" t="str">
        <x:v>市区町村コード</x:v>
      </x:c>
      <x:c r="E1" s="6" t="str">
        <x:v>路線名</x:v>
      </x:c>
      <x:c r="F1" s="6" t="str">
        <x:v>上り観測地点</x:v>
      </x:c>
      <x:c r="G1" s="6" t="str">
        <x:v>下り観測地点</x:v>
      </x:c>
      <x:c r="H1" s="6" t="str">
        <x:v>上り
観測・推定</x:v>
      </x:c>
      <x:c r="I1" s="6" t="str">
        <x:v>下り
観測・推定</x:v>
      </x:c>
      <x:c r="J1" s="6" t="str">
        <x:v>上り
観測時間</x:v>
      </x:c>
      <x:c r="K1" s="6" t="str">
        <x:v>下り
観測時間</x:v>
      </x:c>
      <x:c r="L1" s="6" t="str">
        <x:v>上り観測日
原表コード</x:v>
      </x:c>
      <x:c r="M1" s="6" t="str">
        <x:v>下り観測日
原表コード</x:v>
      </x:c>
      <x:c r="N1" s="6" t="str">
        <x:v>12時間小型車
上下合計 台</x:v>
      </x:c>
      <x:c r="O1" s="6" t="str">
        <x:v>12時間大型車
上下合計 台</x:v>
      </x:c>
      <x:c r="P1" s="6" t="str">
        <x:v>12時間全車
上下合計 台</x:v>
      </x:c>
      <x:c r="Q1" s="6" t="str">
        <x:v>24時間小型車
上下合計 台</x:v>
      </x:c>
      <x:c r="R1" s="6" t="str">
        <x:v>24時間大型車
上下合計 台</x:v>
      </x:c>
      <x:c r="S1" s="6" t="str">
        <x:v>24時間全車
上下合計 台</x:v>
      </x:c>
      <x:c r="T1" s="6" t="str">
        <x:v>12時間大型車
混入率 %</x:v>
      </x:c>
      <x:c r="U1" s="6" t="str">
        <x:v>調査年度</x:v>
      </x:c>
      <x:c r="V1" s="6" t="str">
        <x:v>出典URL</x:v>
      </x:c>
      <x:c r="W1" s="6" t="str">
        <x:v>原表CSV行</x:v>
      </x:c>
    </x:row>
    <x:row r="2" ht="21" customHeight="1">
      <x:c r="A2" s="7" t="str">
        <x:v>宮城：大和町・富谷市</x:v>
      </x:c>
      <x:c r="B2" s="2" t="str">
        <x:v>4110400150</x:v>
      </x:c>
      <x:c r="C2" s="2" t="str">
        <x:v>4000_50</x:v>
      </x:c>
      <x:c r="D2" s="2" t="str">
        <x:v>4216</x:v>
      </x:c>
      <x:c r="E2" s="2" t="str">
        <x:v>東北自動車道</x:v>
      </x:c>
      <x:c r="F2" s="2" t="str">
        <x:v>泉～富谷JCT</x:v>
      </x:c>
      <x:c r="G2" s="2" t="str">
        <x:v>泉～富谷JCT</x:v>
      </x:c>
      <x:c r="H2" s="2" t="str">
        <x:v>観測</x:v>
      </x:c>
      <x:c r="I2" s="2" t="str">
        <x:v>観測</x:v>
      </x:c>
      <x:c r="J2" s="2" t="str">
        <x:v>24時間</x:v>
      </x:c>
      <x:c r="K2" s="2" t="str">
        <x:v>24時間</x:v>
      </x:c>
      <x:c r="L2" s="2" t="str">
        <x:v>20210929</x:v>
      </x:c>
      <x:c r="M2" s="2" t="str">
        <x:v>20210929</x:v>
      </x:c>
      <x:c r="N2" s="8" t="n">
        <x:v>17069</x:v>
      </x:c>
      <x:c r="O2" s="8" t="n">
        <x:v>5636</x:v>
      </x:c>
      <x:c r="P2" s="8" t="n">
        <x:v>22705</x:v>
      </x:c>
      <x:c r="Q2" s="8" t="n">
        <x:v>20580</x:v>
      </x:c>
      <x:c r="R2" s="8" t="n">
        <x:v>10527</x:v>
      </x:c>
      <x:c r="S2" s="8" t="n">
        <x:v>31107</x:v>
      </x:c>
      <x:c r="T2" s="11" t="n">
        <x:v>24.8</x:v>
      </x:c>
      <x:c r="U2" s="2" t="n">
        <x:v>2021</x:v>
      </x:c>
      <x:c r="V2" s="2" t="str">
        <x:v>https://www.mlit.go.jp/road/census/r3/data/csv/kasyo04.csv</x:v>
      </x:c>
      <x:c r="W2" s="2" t="n">
        <x:v>16</x:v>
      </x:c>
    </x:row>
    <x:row r="3" ht="21" customHeight="1">
      <x:c r="A3" s="7" t="str">
        <x:v>宮城：大和町・富谷市</x:v>
      </x:c>
      <x:c r="B3" s="2" t="str">
        <x:v>4110400160</x:v>
      </x:c>
      <x:c r="C3" s="2" t="str">
        <x:v>4000_60</x:v>
      </x:c>
      <x:c r="D3" s="2" t="str">
        <x:v>4216</x:v>
      </x:c>
      <x:c r="E3" s="2" t="str">
        <x:v>東北自動車道</x:v>
      </x:c>
      <x:c r="F3" s="2" t="str">
        <x:v>富谷JCT～大和</x:v>
      </x:c>
      <x:c r="G3" s="2" t="str">
        <x:v>富谷JCT～大和</x:v>
      </x:c>
      <x:c r="H3" s="2" t="str">
        <x:v>観測</x:v>
      </x:c>
      <x:c r="I3" s="2" t="str">
        <x:v>観測</x:v>
      </x:c>
      <x:c r="J3" s="2" t="str">
        <x:v>24時間</x:v>
      </x:c>
      <x:c r="K3" s="2" t="str">
        <x:v>24時間</x:v>
      </x:c>
      <x:c r="L3" s="2" t="str">
        <x:v>20210929</x:v>
      </x:c>
      <x:c r="M3" s="2" t="str">
        <x:v>20210929</x:v>
      </x:c>
      <x:c r="N3" s="8" t="n">
        <x:v>19393</x:v>
      </x:c>
      <x:c r="O3" s="8" t="n">
        <x:v>8274</x:v>
      </x:c>
      <x:c r="P3" s="8" t="n">
        <x:v>27667</x:v>
      </x:c>
      <x:c r="Q3" s="8" t="n">
        <x:v>23461</x:v>
      </x:c>
      <x:c r="R3" s="8" t="n">
        <x:v>14893</x:v>
      </x:c>
      <x:c r="S3" s="8" t="n">
        <x:v>38354</x:v>
      </x:c>
      <x:c r="T3" s="11" t="n">
        <x:v>29.9</x:v>
      </x:c>
      <x:c r="U3" s="2" t="n">
        <x:v>2021</x:v>
      </x:c>
      <x:c r="V3" s="2" t="str">
        <x:v>https://www.mlit.go.jp/road/census/r3/data/csv/kasyo04.csv</x:v>
      </x:c>
      <x:c r="W3" s="2" t="n">
        <x:v>17</x:v>
      </x:c>
    </x:row>
    <x:row r="4" ht="21" customHeight="1">
      <x:c r="A4" s="7" t="str">
        <x:v>宮城：大和町・富谷市</x:v>
      </x:c>
      <x:c r="B4" s="2" t="str">
        <x:v>4110400170</x:v>
      </x:c>
      <x:c r="C4" s="2" t="str">
        <x:v>4000_60</x:v>
      </x:c>
      <x:c r="D4" s="2" t="str">
        <x:v>4421</x:v>
      </x:c>
      <x:c r="E4" s="2" t="str">
        <x:v>東北自動車道</x:v>
      </x:c>
      <x:c r="F4" s="2" t="str">
        <x:v>富谷JCT～大和</x:v>
      </x:c>
      <x:c r="G4" s="2" t="str">
        <x:v>富谷JCT～大和</x:v>
      </x:c>
      <x:c r="H4" s="2" t="str">
        <x:v>観測</x:v>
      </x:c>
      <x:c r="I4" s="2" t="str">
        <x:v>観測</x:v>
      </x:c>
      <x:c r="J4" s="2" t="str">
        <x:v>24時間</x:v>
      </x:c>
      <x:c r="K4" s="2" t="str">
        <x:v>24時間</x:v>
      </x:c>
      <x:c r="L4" s="2" t="str">
        <x:v>20210929</x:v>
      </x:c>
      <x:c r="M4" s="2" t="str">
        <x:v>20210929</x:v>
      </x:c>
      <x:c r="N4" s="8" t="n">
        <x:v>19393</x:v>
      </x:c>
      <x:c r="O4" s="8" t="n">
        <x:v>8274</x:v>
      </x:c>
      <x:c r="P4" s="8" t="n">
        <x:v>27667</x:v>
      </x:c>
      <x:c r="Q4" s="8" t="n">
        <x:v>23461</x:v>
      </x:c>
      <x:c r="R4" s="8" t="n">
        <x:v>14893</x:v>
      </x:c>
      <x:c r="S4" s="8" t="n">
        <x:v>38354</x:v>
      </x:c>
      <x:c r="T4" s="11" t="n">
        <x:v>29.9</x:v>
      </x:c>
      <x:c r="U4" s="2" t="n">
        <x:v>2021</x:v>
      </x:c>
      <x:c r="V4" s="2" t="str">
        <x:v>https://www.mlit.go.jp/road/census/r3/data/csv/kasyo04.csv</x:v>
      </x:c>
      <x:c r="W4" s="2" t="n">
        <x:v>18</x:v>
      </x:c>
    </x:row>
    <x:row r="5" ht="21" customHeight="1">
      <x:c r="A5" s="7" t="str">
        <x:v>宮城：大和町・富谷市</x:v>
      </x:c>
      <x:c r="B5" s="2" t="str">
        <x:v>4110400180</x:v>
      </x:c>
      <x:c r="C5" s="2" t="str">
        <x:v>4000_70</x:v>
      </x:c>
      <x:c r="D5" s="2" t="str">
        <x:v>4421</x:v>
      </x:c>
      <x:c r="E5" s="2" t="str">
        <x:v>東北自動車道</x:v>
      </x:c>
      <x:c r="F5" s="2" t="str">
        <x:v>大和～大衡</x:v>
      </x:c>
      <x:c r="G5" s="2" t="str">
        <x:v>大和～大衡</x:v>
      </x:c>
      <x:c r="H5" s="2" t="str">
        <x:v>観測</x:v>
      </x:c>
      <x:c r="I5" s="2" t="str">
        <x:v>観測</x:v>
      </x:c>
      <x:c r="J5" s="2" t="str">
        <x:v>24時間</x:v>
      </x:c>
      <x:c r="K5" s="2" t="str">
        <x:v>24時間</x:v>
      </x:c>
      <x:c r="L5" s="2" t="str">
        <x:v>20210929</x:v>
      </x:c>
      <x:c r="M5" s="2" t="str">
        <x:v>20210929</x:v>
      </x:c>
      <x:c r="N5" s="8" t="n">
        <x:v>18039</x:v>
      </x:c>
      <x:c r="O5" s="8" t="n">
        <x:v>7392</x:v>
      </x:c>
      <x:c r="P5" s="8" t="n">
        <x:v>25431</x:v>
      </x:c>
      <x:c r="Q5" s="8" t="n">
        <x:v>21796</x:v>
      </x:c>
      <x:c r="R5" s="8" t="n">
        <x:v>13643</x:v>
      </x:c>
      <x:c r="S5" s="8" t="n">
        <x:v>35439</x:v>
      </x:c>
      <x:c r="T5" s="11" t="n">
        <x:v>29.1</x:v>
      </x:c>
      <x:c r="U5" s="2" t="n">
        <x:v>2021</x:v>
      </x:c>
      <x:c r="V5" s="2" t="str">
        <x:v>https://www.mlit.go.jp/road/census/r3/data/csv/kasyo04.csv</x:v>
      </x:c>
      <x:c r="W5" s="2" t="n">
        <x:v>19</x:v>
      </x:c>
    </x:row>
    <x:row r="6" ht="21" customHeight="1">
      <x:c r="A6" s="7" t="str">
        <x:v>宮城：大和町・富谷市</x:v>
      </x:c>
      <x:c r="B6" s="2" t="str">
        <x:v>4300040580</x:v>
      </x:c>
      <x:c r="C6" s="2" t="str">
        <x:v>4000_10180</x:v>
      </x:c>
      <x:c r="D6" s="2" t="str">
        <x:v>4216</x:v>
      </x:c>
      <x:c r="E6" s="2" t="str">
        <x:v>一般国道４号</x:v>
      </x:c>
      <x:c r="F6" s="2" t="str">
        <x:v>富谷市富ヶ丘一丁目</x:v>
      </x:c>
      <x:c r="G6" s="2" t="str">
        <x:v>富谷市富ヶ丘一丁目</x:v>
      </x:c>
      <x:c r="H6" s="2" t="str">
        <x:v>観測</x:v>
      </x:c>
      <x:c r="I6" s="2" t="str">
        <x:v>観測</x:v>
      </x:c>
      <x:c r="J6" s="2" t="str">
        <x:v>12時間</x:v>
      </x:c>
      <x:c r="K6" s="2" t="str">
        <x:v>12時間</x:v>
      </x:c>
      <x:c r="L6" s="2" t="str">
        <x:v>20211005</x:v>
      </x:c>
      <x:c r="M6" s="2" t="str">
        <x:v>20211005</x:v>
      </x:c>
      <x:c r="N6" s="8" t="n">
        <x:v>25355</x:v>
      </x:c>
      <x:c r="O6" s="8" t="n">
        <x:v>2517</x:v>
      </x:c>
      <x:c r="P6" s="8" t="n">
        <x:v>27872</x:v>
      </x:c>
      <x:c r="Q6" s="8" t="n">
        <x:v>35206</x:v>
      </x:c>
      <x:c r="R6" s="8" t="n">
        <x:v>4094</x:v>
      </x:c>
      <x:c r="S6" s="8" t="n">
        <x:v>39300</x:v>
      </x:c>
      <x:c r="T6" s="11" t="n">
        <x:v>9</x:v>
      </x:c>
      <x:c r="U6" s="2" t="n">
        <x:v>2021</x:v>
      </x:c>
      <x:c r="V6" s="2" t="str">
        <x:v>https://www.mlit.go.jp/road/census/r3/data/csv/kasyo04.csv</x:v>
      </x:c>
      <x:c r="W6" s="2" t="n">
        <x:v>98</x:v>
      </x:c>
    </x:row>
    <x:row r="7" ht="21" customHeight="1">
      <x:c r="A7" s="7" t="str">
        <x:v>宮城：大和町・富谷市</x:v>
      </x:c>
      <x:c r="B7" s="2" t="str">
        <x:v>4300040585</x:v>
      </x:c>
      <x:c r="C7" s="2" t="str">
        <x:v>4000_10190</x:v>
      </x:c>
      <x:c r="D7" s="2" t="str">
        <x:v>4216</x:v>
      </x:c>
      <x:c r="E7" s="2" t="str">
        <x:v>一般国道４号</x:v>
      </x:c>
      <x:c r="F7" s="2" t="str">
        <x:v>富谷市富谷源内</x:v>
      </x:c>
      <x:c r="G7" s="2" t="str">
        <x:v>富谷市富谷源内</x:v>
      </x:c>
      <x:c r="H7" s="2" t="str">
        <x:v>推定</x:v>
      </x:c>
      <x:c r="I7" s="2" t="str">
        <x:v>推定</x:v>
      </x:c>
      <x:c r="J7" s="2" t="str">
        <x:v>24時間</x:v>
      </x:c>
      <x:c r="K7" s="2" t="str">
        <x:v>24時間</x:v>
      </x:c>
      <x:c r="L7" s="2" t="str">
        <x:v>20201110</x:v>
      </x:c>
      <x:c r="M7" s="2" t="str">
        <x:v>20201110</x:v>
      </x:c>
      <x:c r="N7" s="8" t="n">
        <x:v>25230</x:v>
      </x:c>
      <x:c r="O7" s="8" t="n">
        <x:v>2897</x:v>
      </x:c>
      <x:c r="P7" s="8" t="n">
        <x:v>28127</x:v>
      </x:c>
      <x:c r="Q7" s="8" t="n">
        <x:v>32712</x:v>
      </x:c>
      <x:c r="R7" s="8" t="n">
        <x:v>4135</x:v>
      </x:c>
      <x:c r="S7" s="8" t="n">
        <x:v>36847</x:v>
      </x:c>
      <x:c r="T7" s="11" t="n">
        <x:v>10.3</x:v>
      </x:c>
      <x:c r="U7" s="2" t="n">
        <x:v>2021</x:v>
      </x:c>
      <x:c r="V7" s="2" t="str">
        <x:v>https://www.mlit.go.jp/road/census/r3/data/csv/kasyo04.csv</x:v>
      </x:c>
      <x:c r="W7" s="2" t="n">
        <x:v>99</x:v>
      </x:c>
    </x:row>
    <x:row r="8" ht="21" customHeight="1">
      <x:c r="A8" s="7" t="str">
        <x:v>宮城：大和町・富谷市</x:v>
      </x:c>
      <x:c r="B8" s="2" t="str">
        <x:v>4300040590</x:v>
      </x:c>
      <x:c r="C8" s="2" t="str">
        <x:v>4000_10200</x:v>
      </x:c>
      <x:c r="D8" s="2" t="str">
        <x:v>4216</x:v>
      </x:c>
      <x:c r="E8" s="2" t="str">
        <x:v>一般国道４号</x:v>
      </x:c>
      <x:c r="F8" s="2" t="str">
        <x:v>富谷市二ノ関中道北</x:v>
      </x:c>
      <x:c r="G8" s="2" t="str">
        <x:v>富谷市二ノ関中道北</x:v>
      </x:c>
      <x:c r="H8" s="2" t="str">
        <x:v>観測</x:v>
      </x:c>
      <x:c r="I8" s="2" t="str">
        <x:v>観測</x:v>
      </x:c>
      <x:c r="J8" s="2" t="str">
        <x:v>12時間</x:v>
      </x:c>
      <x:c r="K8" s="2" t="str">
        <x:v>12時間</x:v>
      </x:c>
      <x:c r="L8" s="2" t="str">
        <x:v>20211028</x:v>
      </x:c>
      <x:c r="M8" s="2" t="str">
        <x:v>20211028</x:v>
      </x:c>
      <x:c r="N8" s="8" t="n">
        <x:v>24352</x:v>
      </x:c>
      <x:c r="O8" s="8" t="n">
        <x:v>2665</x:v>
      </x:c>
      <x:c r="P8" s="8" t="n">
        <x:v>27017</x:v>
      </x:c>
      <x:c r="Q8" s="8" t="n">
        <x:v>32869</x:v>
      </x:c>
      <x:c r="R8" s="8" t="n">
        <x:v>4144</x:v>
      </x:c>
      <x:c r="S8" s="8" t="n">
        <x:v>37013</x:v>
      </x:c>
      <x:c r="T8" s="11" t="n">
        <x:v>9.9</x:v>
      </x:c>
      <x:c r="U8" s="2" t="n">
        <x:v>2021</x:v>
      </x:c>
      <x:c r="V8" s="2" t="str">
        <x:v>https://www.mlit.go.jp/road/census/r3/data/csv/kasyo04.csv</x:v>
      </x:c>
      <x:c r="W8" s="2" t="n">
        <x:v>100</x:v>
      </x:c>
    </x:row>
    <x:row r="9" ht="21" customHeight="1">
      <x:c r="A9" s="7" t="str">
        <x:v>宮城：大和町・富谷市</x:v>
      </x:c>
      <x:c r="B9" s="2" t="str">
        <x:v>4300040600</x:v>
      </x:c>
      <x:c r="C9" s="2" t="str">
        <x:v>4000_10200</x:v>
      </x:c>
      <x:c r="D9" s="2" t="str">
        <x:v>4216</x:v>
      </x:c>
      <x:c r="E9" s="2" t="str">
        <x:v>一般国道４号</x:v>
      </x:c>
      <x:c r="F9" s="2" t="str">
        <x:v>富谷市二ノ関中道北</x:v>
      </x:c>
      <x:c r="G9" s="2" t="str">
        <x:v>富谷市二ノ関中道北</x:v>
      </x:c>
      <x:c r="H9" s="2" t="str">
        <x:v>観測</x:v>
      </x:c>
      <x:c r="I9" s="2" t="str">
        <x:v>観測</x:v>
      </x:c>
      <x:c r="J9" s="2" t="str">
        <x:v>12時間</x:v>
      </x:c>
      <x:c r="K9" s="2" t="str">
        <x:v>12時間</x:v>
      </x:c>
      <x:c r="L9" s="2" t="str">
        <x:v>20211028</x:v>
      </x:c>
      <x:c r="M9" s="2" t="str">
        <x:v>20211028</x:v>
      </x:c>
      <x:c r="N9" s="8" t="n">
        <x:v>24352</x:v>
      </x:c>
      <x:c r="O9" s="8" t="n">
        <x:v>2665</x:v>
      </x:c>
      <x:c r="P9" s="8" t="n">
        <x:v>27017</x:v>
      </x:c>
      <x:c r="Q9" s="8" t="n">
        <x:v>32869</x:v>
      </x:c>
      <x:c r="R9" s="8" t="n">
        <x:v>4144</x:v>
      </x:c>
      <x:c r="S9" s="8" t="n">
        <x:v>37013</x:v>
      </x:c>
      <x:c r="T9" s="11" t="n">
        <x:v>9.9</x:v>
      </x:c>
      <x:c r="U9" s="2" t="n">
        <x:v>2021</x:v>
      </x:c>
      <x:c r="V9" s="2" t="str">
        <x:v>https://www.mlit.go.jp/road/census/r3/data/csv/kasyo04.csv</x:v>
      </x:c>
      <x:c r="W9" s="2" t="n">
        <x:v>101</x:v>
      </x:c>
    </x:row>
    <x:row r="10" ht="21" customHeight="1">
      <x:c r="A10" s="7" t="str">
        <x:v>宮城：大和町・富谷市</x:v>
      </x:c>
      <x:c r="B10" s="2" t="str">
        <x:v>4300040610</x:v>
      </x:c>
      <x:c r="C10" s="2" t="str">
        <x:v>4000_10200</x:v>
      </x:c>
      <x:c r="D10" s="2" t="str">
        <x:v>4421</x:v>
      </x:c>
      <x:c r="E10" s="2" t="str">
        <x:v>一般国道４号</x:v>
      </x:c>
      <x:c r="F10" s="2" t="str">
        <x:v>富谷市二ノ関中道北</x:v>
      </x:c>
      <x:c r="G10" s="2" t="str">
        <x:v>富谷市二ノ関中道北</x:v>
      </x:c>
      <x:c r="H10" s="2" t="str">
        <x:v>観測</x:v>
      </x:c>
      <x:c r="I10" s="2" t="str">
        <x:v>観測</x:v>
      </x:c>
      <x:c r="J10" s="2" t="str">
        <x:v>12時間</x:v>
      </x:c>
      <x:c r="K10" s="2" t="str">
        <x:v>12時間</x:v>
      </x:c>
      <x:c r="L10" s="2" t="str">
        <x:v>20211028</x:v>
      </x:c>
      <x:c r="M10" s="2" t="str">
        <x:v>20211028</x:v>
      </x:c>
      <x:c r="N10" s="8" t="n">
        <x:v>24352</x:v>
      </x:c>
      <x:c r="O10" s="8" t="n">
        <x:v>2665</x:v>
      </x:c>
      <x:c r="P10" s="8" t="n">
        <x:v>27017</x:v>
      </x:c>
      <x:c r="Q10" s="8" t="n">
        <x:v>32869</x:v>
      </x:c>
      <x:c r="R10" s="8" t="n">
        <x:v>4144</x:v>
      </x:c>
      <x:c r="S10" s="8" t="n">
        <x:v>37013</x:v>
      </x:c>
      <x:c r="T10" s="11" t="n">
        <x:v>9.9</x:v>
      </x:c>
      <x:c r="U10" s="2" t="n">
        <x:v>2021</x:v>
      </x:c>
      <x:c r="V10" s="2" t="str">
        <x:v>https://www.mlit.go.jp/road/census/r3/data/csv/kasyo04.csv</x:v>
      </x:c>
      <x:c r="W10" s="2" t="n">
        <x:v>102</x:v>
      </x:c>
    </x:row>
    <x:row r="11" ht="21" customHeight="1">
      <x:c r="A11" s="7" t="str">
        <x:v>宮城：大和町・富谷市</x:v>
      </x:c>
      <x:c r="B11" s="2" t="str">
        <x:v>4300040620</x:v>
      </x:c>
      <x:c r="C11" s="2" t="str">
        <x:v>4000_10210</x:v>
      </x:c>
      <x:c r="D11" s="2" t="str">
        <x:v>4421</x:v>
      </x:c>
      <x:c r="E11" s="2" t="str">
        <x:v>一般国道４号</x:v>
      </x:c>
      <x:c r="F11" s="2" t="str">
        <x:v>黒川郡大和町吉岡字志田町</x:v>
      </x:c>
      <x:c r="G11" s="2" t="str">
        <x:v>黒川郡大和町吉岡字志田町</x:v>
      </x:c>
      <x:c r="H11" s="2" t="str">
        <x:v>観測</x:v>
      </x:c>
      <x:c r="I11" s="2" t="str">
        <x:v>観測</x:v>
      </x:c>
      <x:c r="J11" s="2" t="str">
        <x:v>12時間</x:v>
      </x:c>
      <x:c r="K11" s="2" t="str">
        <x:v>12時間</x:v>
      </x:c>
      <x:c r="L11" s="2" t="str">
        <x:v>20211027</x:v>
      </x:c>
      <x:c r="M11" s="2" t="str">
        <x:v>20211027</x:v>
      </x:c>
      <x:c r="N11" s="8" t="n">
        <x:v>18602</x:v>
      </x:c>
      <x:c r="O11" s="8" t="n">
        <x:v>3981</x:v>
      </x:c>
      <x:c r="P11" s="8" t="n">
        <x:v>22583</x:v>
      </x:c>
      <x:c r="Q11" s="8" t="n">
        <x:v>25721</x:v>
      </x:c>
      <x:c r="R11" s="8" t="n">
        <x:v>5218</x:v>
      </x:c>
      <x:c r="S11" s="8" t="n">
        <x:v>30939</x:v>
      </x:c>
      <x:c r="T11" s="11" t="n">
        <x:v>17.6</x:v>
      </x:c>
      <x:c r="U11" s="2" t="n">
        <x:v>2021</x:v>
      </x:c>
      <x:c r="V11" s="2" t="str">
        <x:v>https://www.mlit.go.jp/road/census/r3/data/csv/kasyo04.csv</x:v>
      </x:c>
      <x:c r="W11" s="2" t="n">
        <x:v>103</x:v>
      </x:c>
    </x:row>
    <x:row r="12" ht="21" customHeight="1">
      <x:c r="A12" s="7" t="str">
        <x:v>宮城：大和町・富谷市</x:v>
      </x:c>
      <x:c r="B12" s="2" t="str">
        <x:v>4300040630</x:v>
      </x:c>
      <x:c r="C12" s="2" t="str">
        <x:v>4000_10210</x:v>
      </x:c>
      <x:c r="D12" s="2" t="str">
        <x:v>4421</x:v>
      </x:c>
      <x:c r="E12" s="2" t="str">
        <x:v>一般国道４号</x:v>
      </x:c>
      <x:c r="F12" s="2" t="str">
        <x:v>黒川郡大和町吉岡字志田町</x:v>
      </x:c>
      <x:c r="G12" s="2" t="str">
        <x:v>黒川郡大和町吉岡字志田町</x:v>
      </x:c>
      <x:c r="H12" s="2" t="str">
        <x:v>観測</x:v>
      </x:c>
      <x:c r="I12" s="2" t="str">
        <x:v>観測</x:v>
      </x:c>
      <x:c r="J12" s="2" t="str">
        <x:v>12時間</x:v>
      </x:c>
      <x:c r="K12" s="2" t="str">
        <x:v>12時間</x:v>
      </x:c>
      <x:c r="L12" s="2" t="str">
        <x:v>20211027</x:v>
      </x:c>
      <x:c r="M12" s="2" t="str">
        <x:v>20211027</x:v>
      </x:c>
      <x:c r="N12" s="8" t="n">
        <x:v>18602</x:v>
      </x:c>
      <x:c r="O12" s="8" t="n">
        <x:v>3981</x:v>
      </x:c>
      <x:c r="P12" s="8" t="n">
        <x:v>22583</x:v>
      </x:c>
      <x:c r="Q12" s="8" t="n">
        <x:v>25721</x:v>
      </x:c>
      <x:c r="R12" s="8" t="n">
        <x:v>5218</x:v>
      </x:c>
      <x:c r="S12" s="8" t="n">
        <x:v>30939</x:v>
      </x:c>
      <x:c r="T12" s="11" t="n">
        <x:v>17.6</x:v>
      </x:c>
      <x:c r="U12" s="2" t="n">
        <x:v>2021</x:v>
      </x:c>
      <x:c r="V12" s="2" t="str">
        <x:v>https://www.mlit.go.jp/road/census/r3/data/csv/kasyo04.csv</x:v>
      </x:c>
      <x:c r="W12" s="2" t="n">
        <x:v>104</x:v>
      </x:c>
    </x:row>
    <x:row r="13" ht="21" customHeight="1">
      <x:c r="A13" s="7" t="str">
        <x:v>宮城：大和町・富谷市</x:v>
      </x:c>
      <x:c r="B13" s="2" t="str">
        <x:v>4300040650</x:v>
      </x:c>
      <x:c r="C13" s="2" t="str">
        <x:v>4000_10210</x:v>
      </x:c>
      <x:c r="D13" s="2" t="str">
        <x:v>4421</x:v>
      </x:c>
      <x:c r="E13" s="2" t="str">
        <x:v>一般国道４号</x:v>
      </x:c>
      <x:c r="F13" s="2" t="str">
        <x:v>黒川郡大和町吉岡字志田町</x:v>
      </x:c>
      <x:c r="G13" s="2" t="str">
        <x:v>黒川郡大和町吉岡字志田町</x:v>
      </x:c>
      <x:c r="H13" s="2" t="str">
        <x:v>観測</x:v>
      </x:c>
      <x:c r="I13" s="2" t="str">
        <x:v>観測</x:v>
      </x:c>
      <x:c r="J13" s="2" t="str">
        <x:v>12時間</x:v>
      </x:c>
      <x:c r="K13" s="2" t="str">
        <x:v>12時間</x:v>
      </x:c>
      <x:c r="L13" s="2" t="str">
        <x:v>20211027</x:v>
      </x:c>
      <x:c r="M13" s="2" t="str">
        <x:v>20211027</x:v>
      </x:c>
      <x:c r="N13" s="8" t="n">
        <x:v>18602</x:v>
      </x:c>
      <x:c r="O13" s="8" t="n">
        <x:v>3981</x:v>
      </x:c>
      <x:c r="P13" s="8" t="n">
        <x:v>22583</x:v>
      </x:c>
      <x:c r="Q13" s="8" t="n">
        <x:v>25721</x:v>
      </x:c>
      <x:c r="R13" s="8" t="n">
        <x:v>5218</x:v>
      </x:c>
      <x:c r="S13" s="8" t="n">
        <x:v>30939</x:v>
      </x:c>
      <x:c r="T13" s="11" t="n">
        <x:v>17.6</x:v>
      </x:c>
      <x:c r="U13" s="2" t="n">
        <x:v>2021</x:v>
      </x:c>
      <x:c r="V13" s="2" t="str">
        <x:v>https://www.mlit.go.jp/road/census/r3/data/csv/kasyo04.csv</x:v>
      </x:c>
      <x:c r="W13" s="2" t="n">
        <x:v>106</x:v>
      </x:c>
    </x:row>
    <x:row r="14" ht="21" customHeight="1">
      <x:c r="A14" s="7" t="str">
        <x:v>宮城：大和町・富谷市</x:v>
      </x:c>
      <x:c r="B14" s="2" t="str">
        <x:v>4300470180</x:v>
      </x:c>
      <x:c r="C14" s="2" t="str">
        <x:v>4000_19110</x:v>
      </x:c>
      <x:c r="D14" s="2" t="str">
        <x:v>4421</x:v>
      </x:c>
      <x:c r="E14" s="2" t="str">
        <x:v>一般国道４７号（仙台北部道路）</x:v>
      </x:c>
      <x:c r="F14" s="2" t="str">
        <x:v>利府しらかし台～富谷JCT</x:v>
      </x:c>
      <x:c r="G14" s="2" t="str">
        <x:v>利府しらかし台～富谷JCT</x:v>
      </x:c>
      <x:c r="H14" s="2" t="str">
        <x:v>観測</x:v>
      </x:c>
      <x:c r="I14" s="2" t="str">
        <x:v>観測</x:v>
      </x:c>
      <x:c r="J14" s="2" t="str">
        <x:v>24時間</x:v>
      </x:c>
      <x:c r="K14" s="2" t="str">
        <x:v>24時間</x:v>
      </x:c>
      <x:c r="L14" s="2" t="str">
        <x:v>20210929</x:v>
      </x:c>
      <x:c r="M14" s="2" t="str">
        <x:v>20210929</x:v>
      </x:c>
      <x:c r="N14" s="8" t="n">
        <x:v>10204</x:v>
      </x:c>
      <x:c r="O14" s="8" t="n">
        <x:v>4580</x:v>
      </x:c>
      <x:c r="P14" s="8" t="n">
        <x:v>14784</x:v>
      </x:c>
      <x:c r="Q14" s="8" t="n">
        <x:v>11954</x:v>
      </x:c>
      <x:c r="R14" s="8" t="n">
        <x:v>6855</x:v>
      </x:c>
      <x:c r="S14" s="8" t="n">
        <x:v>18809</x:v>
      </x:c>
      <x:c r="T14" s="11" t="n">
        <x:v>31</x:v>
      </x:c>
      <x:c r="U14" s="2" t="n">
        <x:v>2021</x:v>
      </x:c>
      <x:c r="V14" s="2" t="str">
        <x:v>https://www.mlit.go.jp/road/census/r3/data/csv/kasyo04.csv</x:v>
      </x:c>
      <x:c r="W14" s="2" t="n">
        <x:v>332</x:v>
      </x:c>
    </x:row>
    <x:row r="15" ht="21" customHeight="1">
      <x:c r="A15" s="7" t="str">
        <x:v>宮城：大和町・富谷市</x:v>
      </x:c>
      <x:c r="B15" s="2" t="str">
        <x:v>4300470190</x:v>
      </x:c>
      <x:c r="C15" s="2" t="str">
        <x:v>4000_19110</x:v>
      </x:c>
      <x:c r="D15" s="2" t="str">
        <x:v>4216</x:v>
      </x:c>
      <x:c r="E15" s="2" t="str">
        <x:v>一般国道４７号（仙台北部道路）</x:v>
      </x:c>
      <x:c r="F15" s="2" t="str">
        <x:v>利府しらかし台～富谷JCT</x:v>
      </x:c>
      <x:c r="G15" s="2" t="str">
        <x:v>利府しらかし台～富谷JCT</x:v>
      </x:c>
      <x:c r="H15" s="2" t="str">
        <x:v>観測</x:v>
      </x:c>
      <x:c r="I15" s="2" t="str">
        <x:v>観測</x:v>
      </x:c>
      <x:c r="J15" s="2" t="str">
        <x:v>24時間</x:v>
      </x:c>
      <x:c r="K15" s="2" t="str">
        <x:v>24時間</x:v>
      </x:c>
      <x:c r="L15" s="2" t="str">
        <x:v>20210929</x:v>
      </x:c>
      <x:c r="M15" s="2" t="str">
        <x:v>20210929</x:v>
      </x:c>
      <x:c r="N15" s="8" t="n">
        <x:v>10204</x:v>
      </x:c>
      <x:c r="O15" s="8" t="n">
        <x:v>4580</x:v>
      </x:c>
      <x:c r="P15" s="8" t="n">
        <x:v>14784</x:v>
      </x:c>
      <x:c r="Q15" s="8" t="n">
        <x:v>11954</x:v>
      </x:c>
      <x:c r="R15" s="8" t="n">
        <x:v>6855</x:v>
      </x:c>
      <x:c r="S15" s="8" t="n">
        <x:v>18809</x:v>
      </x:c>
      <x:c r="T15" s="11" t="n">
        <x:v>31</x:v>
      </x:c>
      <x:c r="U15" s="2" t="n">
        <x:v>2021</x:v>
      </x:c>
      <x:c r="V15" s="2" t="str">
        <x:v>https://www.mlit.go.jp/road/census/r3/data/csv/kasyo04.csv</x:v>
      </x:c>
      <x:c r="W15" s="2" t="n">
        <x:v>333</x:v>
      </x:c>
    </x:row>
    <x:row r="16" ht="21" customHeight="1">
      <x:c r="A16" s="7" t="str">
        <x:v>宮城：大和町・富谷市</x:v>
      </x:c>
      <x:c r="B16" s="2" t="str">
        <x:v>4110401000</x:v>
      </x:c>
      <x:c r="C16" s="2" t="str">
        <x:v>4000_19120</x:v>
      </x:c>
      <x:c r="D16" s="2" t="str">
        <x:v>4216</x:v>
      </x:c>
      <x:c r="E16" s="2" t="str">
        <x:v>一般国道４７号（仙台北部道路）</x:v>
      </x:c>
      <x:c r="F16" s="2" t="str">
        <x:v>富谷JCT～富谷</x:v>
      </x:c>
      <x:c r="G16" s="2" t="str">
        <x:v>富谷JCT～富谷</x:v>
      </x:c>
      <x:c r="H16" s="2" t="str">
        <x:v>観測</x:v>
      </x:c>
      <x:c r="I16" s="2" t="str">
        <x:v>観測</x:v>
      </x:c>
      <x:c r="J16" s="2" t="str">
        <x:v>24時間</x:v>
      </x:c>
      <x:c r="K16" s="2" t="str">
        <x:v>24時間</x:v>
      </x:c>
      <x:c r="L16" s="2" t="str">
        <x:v>20210929</x:v>
      </x:c>
      <x:c r="M16" s="2" t="str">
        <x:v>20210929</x:v>
      </x:c>
      <x:c r="N16" s="8" t="n">
        <x:v>1855</x:v>
      </x:c>
      <x:c r="O16" s="8" t="n">
        <x:v>405</x:v>
      </x:c>
      <x:c r="P16" s="8" t="n">
        <x:v>2260</x:v>
      </x:c>
      <x:c r="Q16" s="8" t="n">
        <x:v>2087</x:v>
      </x:c>
      <x:c r="R16" s="8" t="n">
        <x:v>477</x:v>
      </x:c>
      <x:c r="S16" s="8" t="n">
        <x:v>2564</x:v>
      </x:c>
      <x:c r="T16" s="11" t="n">
        <x:v>17.9</x:v>
      </x:c>
      <x:c r="U16" s="2" t="n">
        <x:v>2021</x:v>
      </x:c>
      <x:c r="V16" s="2" t="str">
        <x:v>https://www.mlit.go.jp/road/census/r3/data/csv/kasyo04.csv</x:v>
      </x:c>
      <x:c r="W16" s="2" t="n">
        <x:v>334</x:v>
      </x:c>
    </x:row>
    <x:row r="17" ht="21" customHeight="1">
      <x:c r="A17" s="7" t="str">
        <x:v>宮城：大和町・富谷市</x:v>
      </x:c>
      <x:c r="B17" s="2" t="str">
        <x:v>4304570270</x:v>
      </x:c>
      <x:c r="C17" s="2" t="str">
        <x:v>4000_12980</x:v>
      </x:c>
      <x:c r="D17" s="2" t="str">
        <x:v>4421</x:v>
      </x:c>
      <x:c r="E17" s="2" t="str">
        <x:v>一般国道４５７号</x:v>
      </x:c>
      <x:c r="F17" s="2" t="str">
        <x:v>黒川郡大和町吉田宮口５</x:v>
      </x:c>
      <x:c r="G17" s="2" t="str">
        <x:v>黒川郡大和町吉田宮口５</x:v>
      </x:c>
      <x:c r="H17" s="2" t="str">
        <x:v>観測</x:v>
      </x:c>
      <x:c r="I17" s="2" t="str">
        <x:v>観測</x:v>
      </x:c>
      <x:c r="J17" s="2" t="str">
        <x:v>12時間</x:v>
      </x:c>
      <x:c r="K17" s="2" t="str">
        <x:v>12時間</x:v>
      </x:c>
      <x:c r="L17" s="2" t="str">
        <x:v>20211117</x:v>
      </x:c>
      <x:c r="M17" s="2" t="str">
        <x:v>20211117</x:v>
      </x:c>
      <x:c r="N17" s="8" t="n">
        <x:v>8198</x:v>
      </x:c>
      <x:c r="O17" s="8" t="n">
        <x:v>1296</x:v>
      </x:c>
      <x:c r="P17" s="8" t="n">
        <x:v>9494</x:v>
      </x:c>
      <x:c r="Q17" s="8" t="n">
        <x:v>9816</x:v>
      </x:c>
      <x:c r="R17" s="8" t="n">
        <x:v>1862</x:v>
      </x:c>
      <x:c r="S17" s="8" t="n">
        <x:v>11678</x:v>
      </x:c>
      <x:c r="T17" s="11" t="n">
        <x:v>13.7</x:v>
      </x:c>
      <x:c r="U17" s="2" t="n">
        <x:v>2021</x:v>
      </x:c>
      <x:c r="V17" s="2" t="str">
        <x:v>https://www.mlit.go.jp/road/census/r3/data/csv/kasyo04.csv</x:v>
      </x:c>
      <x:c r="W17" s="2" t="n">
        <x:v>593</x:v>
      </x:c>
    </x:row>
    <x:row r="18" ht="21" customHeight="1">
      <x:c r="A18" s="7" t="str">
        <x:v>宮城：大和町・富谷市</x:v>
      </x:c>
      <x:c r="B18" s="2" t="str">
        <x:v>4304570280</x:v>
      </x:c>
      <x:c r="C18" s="2" t="str">
        <x:v>4000_12980</x:v>
      </x:c>
      <x:c r="D18" s="2" t="str">
        <x:v>4421</x:v>
      </x:c>
      <x:c r="E18" s="2" t="str">
        <x:v>一般国道４５７号</x:v>
      </x:c>
      <x:c r="F18" s="2" t="str">
        <x:v>黒川郡大和町吉田宮口５</x:v>
      </x:c>
      <x:c r="G18" s="2" t="str">
        <x:v>黒川郡大和町吉田宮口５</x:v>
      </x:c>
      <x:c r="H18" s="2" t="str">
        <x:v>観測</x:v>
      </x:c>
      <x:c r="I18" s="2" t="str">
        <x:v>観測</x:v>
      </x:c>
      <x:c r="J18" s="2" t="str">
        <x:v>12時間</x:v>
      </x:c>
      <x:c r="K18" s="2" t="str">
        <x:v>12時間</x:v>
      </x:c>
      <x:c r="L18" s="2" t="str">
        <x:v>20211117</x:v>
      </x:c>
      <x:c r="M18" s="2" t="str">
        <x:v>20211117</x:v>
      </x:c>
      <x:c r="N18" s="8" t="n">
        <x:v>8198</x:v>
      </x:c>
      <x:c r="O18" s="8" t="n">
        <x:v>1296</x:v>
      </x:c>
      <x:c r="P18" s="8" t="n">
        <x:v>9494</x:v>
      </x:c>
      <x:c r="Q18" s="8" t="n">
        <x:v>9816</x:v>
      </x:c>
      <x:c r="R18" s="8" t="n">
        <x:v>1862</x:v>
      </x:c>
      <x:c r="S18" s="8" t="n">
        <x:v>11678</x:v>
      </x:c>
      <x:c r="T18" s="11" t="n">
        <x:v>13.7</x:v>
      </x:c>
      <x:c r="U18" s="2" t="n">
        <x:v>2021</x:v>
      </x:c>
      <x:c r="V18" s="2" t="str">
        <x:v>https://www.mlit.go.jp/road/census/r3/data/csv/kasyo04.csv</x:v>
      </x:c>
      <x:c r="W18" s="2" t="n">
        <x:v>594</x:v>
      </x:c>
    </x:row>
    <x:row r="19" ht="21" customHeight="1">
      <x:c r="A19" s="7" t="str">
        <x:v>宮城：大和町・富谷市</x:v>
      </x:c>
      <x:c r="B19" s="2" t="str">
        <x:v>4304570290</x:v>
      </x:c>
      <x:c r="C19" s="2" t="str">
        <x:v>4000_12990</x:v>
      </x:c>
      <x:c r="D19" s="2" t="str">
        <x:v>4421</x:v>
      </x:c>
      <x:c r="E19" s="2" t="str">
        <x:v>一般国道４５７号</x:v>
      </x:c>
      <x:c r="F19" s="2" t="str">
        <x:v>黒川郡大和町宮床八坊原31</x:v>
      </x:c>
      <x:c r="G19" s="2" t="str">
        <x:v>黒川郡大和町宮床八坊原31</x:v>
      </x:c>
      <x:c r="H19" s="2" t="str">
        <x:v>観測</x:v>
      </x:c>
      <x:c r="I19" s="2" t="str">
        <x:v>観測</x:v>
      </x:c>
      <x:c r="J19" s="2" t="str">
        <x:v>12時間</x:v>
      </x:c>
      <x:c r="K19" s="2" t="str">
        <x:v>12時間</x:v>
      </x:c>
      <x:c r="L19" s="2" t="str">
        <x:v>20211117</x:v>
      </x:c>
      <x:c r="M19" s="2" t="str">
        <x:v>20211117</x:v>
      </x:c>
      <x:c r="N19" s="8" t="n">
        <x:v>3874</x:v>
      </x:c>
      <x:c r="O19" s="8" t="n">
        <x:v>1223</x:v>
      </x:c>
      <x:c r="P19" s="8" t="n">
        <x:v>5097</x:v>
      </x:c>
      <x:c r="Q19" s="8" t="n">
        <x:v>4698</x:v>
      </x:c>
      <x:c r="R19" s="8" t="n">
        <x:v>1520</x:v>
      </x:c>
      <x:c r="S19" s="8" t="n">
        <x:v>6218</x:v>
      </x:c>
      <x:c r="T19" s="11" t="n">
        <x:v>24</x:v>
      </x:c>
      <x:c r="U19" s="2" t="n">
        <x:v>2021</x:v>
      </x:c>
      <x:c r="V19" s="2" t="str">
        <x:v>https://www.mlit.go.jp/road/census/r3/data/csv/kasyo04.csv</x:v>
      </x:c>
      <x:c r="W19" s="2" t="n">
        <x:v>595</x:v>
      </x:c>
    </x:row>
    <x:row r="20" ht="21" customHeight="1">
      <x:c r="A20" s="7" t="str">
        <x:v>宮城：大和町・富谷市</x:v>
      </x:c>
      <x:c r="B20" s="2" t="str">
        <x:v>4304570300</x:v>
      </x:c>
      <x:c r="C20" s="2" t="str">
        <x:v>4000_12990</x:v>
      </x:c>
      <x:c r="D20" s="2" t="str">
        <x:v>4421</x:v>
      </x:c>
      <x:c r="E20" s="2" t="str">
        <x:v>一般国道４５７号</x:v>
      </x:c>
      <x:c r="F20" s="2" t="str">
        <x:v>黒川郡大和町宮床八坊原31</x:v>
      </x:c>
      <x:c r="G20" s="2" t="str">
        <x:v>黒川郡大和町宮床八坊原31</x:v>
      </x:c>
      <x:c r="H20" s="2" t="str">
        <x:v>観測</x:v>
      </x:c>
      <x:c r="I20" s="2" t="str">
        <x:v>観測</x:v>
      </x:c>
      <x:c r="J20" s="2" t="str">
        <x:v>12時間</x:v>
      </x:c>
      <x:c r="K20" s="2" t="str">
        <x:v>12時間</x:v>
      </x:c>
      <x:c r="L20" s="2" t="str">
        <x:v>20211117</x:v>
      </x:c>
      <x:c r="M20" s="2" t="str">
        <x:v>20211117</x:v>
      </x:c>
      <x:c r="N20" s="8" t="n">
        <x:v>3874</x:v>
      </x:c>
      <x:c r="O20" s="8" t="n">
        <x:v>1223</x:v>
      </x:c>
      <x:c r="P20" s="8" t="n">
        <x:v>5097</x:v>
      </x:c>
      <x:c r="Q20" s="8" t="n">
        <x:v>4698</x:v>
      </x:c>
      <x:c r="R20" s="8" t="n">
        <x:v>1520</x:v>
      </x:c>
      <x:c r="S20" s="8" t="n">
        <x:v>6218</x:v>
      </x:c>
      <x:c r="T20" s="11" t="n">
        <x:v>24</x:v>
      </x:c>
      <x:c r="U20" s="2" t="n">
        <x:v>2021</x:v>
      </x:c>
      <x:c r="V20" s="2" t="str">
        <x:v>https://www.mlit.go.jp/road/census/r3/data/csv/kasyo04.csv</x:v>
      </x:c>
      <x:c r="W20" s="2" t="n">
        <x:v>596</x:v>
      </x:c>
    </x:row>
    <x:row r="21" ht="21" customHeight="1">
      <x:c r="A21" s="7" t="str">
        <x:v>宮城：大和町・富谷市</x:v>
      </x:c>
      <x:c r="B21" s="2" t="str">
        <x:v>4304570690</x:v>
      </x:c>
      <x:c r="C21" s="2" t="str">
        <x:v>4000_13060</x:v>
      </x:c>
      <x:c r="D21" s="2" t="str">
        <x:v>4421</x:v>
      </x:c>
      <x:c r="E21" s="2" t="str">
        <x:v>一般国道４５７号</x:v>
      </x:c>
      <x:c r="F21" s="2"/>
      <x:c r="G21" s="2"/>
      <x:c r="H21" s="2" t="str">
        <x:v>推定</x:v>
      </x:c>
      <x:c r="I21" s="2" t="str">
        <x:v>推定</x:v>
      </x:c>
      <x:c r="J21" s="2" t="str">
        <x:v>未記載</x:v>
      </x:c>
      <x:c r="K21" s="2" t="str">
        <x:v>未記載</x:v>
      </x:c>
      <x:c r="L21" s="2"/>
      <x:c r="M21" s="2"/>
      <x:c r="N21" s="8" t="n">
        <x:v>7587</x:v>
      </x:c>
      <x:c r="O21" s="8" t="n">
        <x:v>1945</x:v>
      </x:c>
      <x:c r="P21" s="8" t="n">
        <x:v>9532</x:v>
      </x:c>
      <x:c r="Q21" s="8" t="n">
        <x:v>9305</x:v>
      </x:c>
      <x:c r="R21" s="8" t="n">
        <x:v>2515</x:v>
      </x:c>
      <x:c r="S21" s="8" t="n">
        <x:v>11820</x:v>
      </x:c>
      <x:c r="T21" s="11" t="n">
        <x:v>20.4</x:v>
      </x:c>
      <x:c r="U21" s="2" t="n">
        <x:v>2021</x:v>
      </x:c>
      <x:c r="V21" s="2" t="str">
        <x:v>https://www.mlit.go.jp/road/census/r3/data/csv/kasyo04.csv</x:v>
      </x:c>
      <x:c r="W21" s="2" t="n">
        <x:v>630</x:v>
      </x:c>
    </x:row>
    <x:row r="22" ht="21" customHeight="1">
      <x:c r="A22" s="7" t="str">
        <x:v>宮城：大和町・富谷市</x:v>
      </x:c>
      <x:c r="B22" s="2" t="str">
        <x:v>4400030100</x:v>
      </x:c>
      <x:c r="C22" s="2" t="str">
        <x:v>4000_40130</x:v>
      </x:c>
      <x:c r="D22" s="2" t="str">
        <x:v>4421</x:v>
      </x:c>
      <x:c r="E22" s="2" t="str">
        <x:v>塩釜吉岡線</x:v>
      </x:c>
      <x:c r="F22" s="2" t="str">
        <x:v>宮城郡利府町沢乙白石沢</x:v>
      </x:c>
      <x:c r="G22" s="2" t="str">
        <x:v>宮城郡利府町沢乙白石沢</x:v>
      </x:c>
      <x:c r="H22" s="2" t="str">
        <x:v>観測</x:v>
      </x:c>
      <x:c r="I22" s="2" t="str">
        <x:v>観測</x:v>
      </x:c>
      <x:c r="J22" s="2" t="str">
        <x:v>12時間</x:v>
      </x:c>
      <x:c r="K22" s="2" t="str">
        <x:v>12時間</x:v>
      </x:c>
      <x:c r="L22" s="2" t="str">
        <x:v>20211111</x:v>
      </x:c>
      <x:c r="M22" s="2" t="str">
        <x:v>20211111</x:v>
      </x:c>
      <x:c r="N22" s="8" t="n">
        <x:v>8511</x:v>
      </x:c>
      <x:c r="O22" s="8" t="n">
        <x:v>4447</x:v>
      </x:c>
      <x:c r="P22" s="8" t="n">
        <x:v>12958</x:v>
      </x:c>
      <x:c r="Q22" s="8" t="n">
        <x:v>11095</x:v>
      </x:c>
      <x:c r="R22" s="8" t="n">
        <x:v>5232</x:v>
      </x:c>
      <x:c r="S22" s="8" t="n">
        <x:v>16327</x:v>
      </x:c>
      <x:c r="T22" s="11" t="n">
        <x:v>34.3</x:v>
      </x:c>
      <x:c r="U22" s="2" t="n">
        <x:v>2021</x:v>
      </x:c>
      <x:c r="V22" s="2" t="str">
        <x:v>https://www.mlit.go.jp/road/census/r3/data/csv/kasyo04.csv</x:v>
      </x:c>
      <x:c r="W22" s="2" t="n">
        <x:v>666</x:v>
      </x:c>
    </x:row>
    <x:row r="23" ht="21" customHeight="1">
      <x:c r="A23" s="7" t="str">
        <x:v>宮城：大和町・富谷市</x:v>
      </x:c>
      <x:c r="B23" s="2" t="str">
        <x:v>4400030110</x:v>
      </x:c>
      <x:c r="C23" s="2" t="str">
        <x:v>4000_40140</x:v>
      </x:c>
      <x:c r="D23" s="2" t="str">
        <x:v>4421</x:v>
      </x:c>
      <x:c r="E23" s="2" t="str">
        <x:v>塩釜吉岡線</x:v>
      </x:c>
      <x:c r="F23" s="2" t="str">
        <x:v>黒川郡大和町鶴巣太田字屋敷下</x:v>
      </x:c>
      <x:c r="G23" s="2" t="str">
        <x:v>黒川郡大和町鶴巣太田字屋敷下</x:v>
      </x:c>
      <x:c r="H23" s="2" t="str">
        <x:v>観測</x:v>
      </x:c>
      <x:c r="I23" s="2" t="str">
        <x:v>観測</x:v>
      </x:c>
      <x:c r="J23" s="2" t="str">
        <x:v>12時間</x:v>
      </x:c>
      <x:c r="K23" s="2" t="str">
        <x:v>12時間</x:v>
      </x:c>
      <x:c r="L23" s="2" t="str">
        <x:v>20211021</x:v>
      </x:c>
      <x:c r="M23" s="2" t="str">
        <x:v>20211021</x:v>
      </x:c>
      <x:c r="N23" s="8" t="n">
        <x:v>5207</x:v>
      </x:c>
      <x:c r="O23" s="8" t="n">
        <x:v>3205</x:v>
      </x:c>
      <x:c r="P23" s="8" t="n">
        <x:v>8412</x:v>
      </x:c>
      <x:c r="Q23" s="8" t="n">
        <x:v>6649</x:v>
      </x:c>
      <x:c r="R23" s="8" t="n">
        <x:v>3698</x:v>
      </x:c>
      <x:c r="S23" s="8" t="n">
        <x:v>10347</x:v>
      </x:c>
      <x:c r="T23" s="11" t="n">
        <x:v>38.1</x:v>
      </x:c>
      <x:c r="U23" s="2" t="n">
        <x:v>2021</x:v>
      </x:c>
      <x:c r="V23" s="2" t="str">
        <x:v>https://www.mlit.go.jp/road/census/r3/data/csv/kasyo04.csv</x:v>
      </x:c>
      <x:c r="W23" s="2" t="n">
        <x:v>667</x:v>
      </x:c>
    </x:row>
    <x:row r="24" ht="21" customHeight="1">
      <x:c r="A24" s="7" t="str">
        <x:v>宮城：大和町・富谷市</x:v>
      </x:c>
      <x:c r="B24" s="2" t="str">
        <x:v>4400030120</x:v>
      </x:c>
      <x:c r="C24" s="2" t="str">
        <x:v>4000_40150</x:v>
      </x:c>
      <x:c r="D24" s="2" t="str">
        <x:v>4421</x:v>
      </x:c>
      <x:c r="E24" s="2" t="str">
        <x:v>塩釜吉岡線</x:v>
      </x:c>
      <x:c r="F24" s="2" t="str">
        <x:v>黒川郡大和町鶴巣鳥屋檀ノ輿55-5</x:v>
      </x:c>
      <x:c r="G24" s="2" t="str">
        <x:v>黒川郡大和町鶴巣鳥屋檀ノ輿55-5</x:v>
      </x:c>
      <x:c r="H24" s="2" t="str">
        <x:v>観測</x:v>
      </x:c>
      <x:c r="I24" s="2" t="str">
        <x:v>観測</x:v>
      </x:c>
      <x:c r="J24" s="2" t="str">
        <x:v>12時間</x:v>
      </x:c>
      <x:c r="K24" s="2" t="str">
        <x:v>12時間</x:v>
      </x:c>
      <x:c r="L24" s="2" t="str">
        <x:v>20211117</x:v>
      </x:c>
      <x:c r="M24" s="2" t="str">
        <x:v>20211117</x:v>
      </x:c>
      <x:c r="N24" s="8" t="n">
        <x:v>8848</x:v>
      </x:c>
      <x:c r="O24" s="8" t="n">
        <x:v>3496</x:v>
      </x:c>
      <x:c r="P24" s="8" t="n">
        <x:v>12344</x:v>
      </x:c>
      <x:c r="Q24" s="8" t="n">
        <x:v>11316</x:v>
      </x:c>
      <x:c r="R24" s="8" t="n">
        <x:v>4237</x:v>
      </x:c>
      <x:c r="S24" s="8" t="n">
        <x:v>15553</x:v>
      </x:c>
      <x:c r="T24" s="11" t="n">
        <x:v>28.3</x:v>
      </x:c>
      <x:c r="U24" s="2" t="n">
        <x:v>2021</x:v>
      </x:c>
      <x:c r="V24" s="2" t="str">
        <x:v>https://www.mlit.go.jp/road/census/r3/data/csv/kasyo04.csv</x:v>
      </x:c>
      <x:c r="W24" s="2" t="n">
        <x:v>668</x:v>
      </x:c>
    </x:row>
    <x:row r="25" ht="21" customHeight="1">
      <x:c r="A25" s="7" t="str">
        <x:v>宮城：大和町・富谷市</x:v>
      </x:c>
      <x:c r="B25" s="2" t="str">
        <x:v>4400030130</x:v>
      </x:c>
      <x:c r="C25" s="2" t="str">
        <x:v>4000_40160</x:v>
      </x:c>
      <x:c r="D25" s="2" t="str">
        <x:v>4421</x:v>
      </x:c>
      <x:c r="E25" s="2" t="str">
        <x:v>塩釜吉岡線</x:v>
      </x:c>
      <x:c r="F25" s="2" t="str">
        <x:v>黒川郡大和町まいの3丁目4-2</x:v>
      </x:c>
      <x:c r="G25" s="2" t="str">
        <x:v>黒川郡大和町まいの3丁目4-2</x:v>
      </x:c>
      <x:c r="H25" s="2" t="str">
        <x:v>観測</x:v>
      </x:c>
      <x:c r="I25" s="2" t="str">
        <x:v>観測</x:v>
      </x:c>
      <x:c r="J25" s="2" t="str">
        <x:v>12時間</x:v>
      </x:c>
      <x:c r="K25" s="2" t="str">
        <x:v>12時間</x:v>
      </x:c>
      <x:c r="L25" s="2" t="str">
        <x:v>20211111</x:v>
      </x:c>
      <x:c r="M25" s="2" t="str">
        <x:v>20211111</x:v>
      </x:c>
      <x:c r="N25" s="8" t="n">
        <x:v>13019</x:v>
      </x:c>
      <x:c r="O25" s="8" t="n">
        <x:v>2054</x:v>
      </x:c>
      <x:c r="P25" s="8" t="n">
        <x:v>15073</x:v>
      </x:c>
      <x:c r="Q25" s="8" t="n">
        <x:v>15894</x:v>
      </x:c>
      <x:c r="R25" s="8" t="n">
        <x:v>2947</x:v>
      </x:c>
      <x:c r="S25" s="8" t="n">
        <x:v>18841</x:v>
      </x:c>
      <x:c r="T25" s="11" t="n">
        <x:v>13.6</x:v>
      </x:c>
      <x:c r="U25" s="2" t="n">
        <x:v>2021</x:v>
      </x:c>
      <x:c r="V25" s="2" t="str">
        <x:v>https://www.mlit.go.jp/road/census/r3/data/csv/kasyo04.csv</x:v>
      </x:c>
      <x:c r="W25" s="2" t="n">
        <x:v>669</x:v>
      </x:c>
    </x:row>
    <x:row r="26" ht="21" customHeight="1">
      <x:c r="A26" s="7" t="str">
        <x:v>宮城：大和町・富谷市</x:v>
      </x:c>
      <x:c r="B26" s="2" t="str">
        <x:v>4400030140</x:v>
      </x:c>
      <x:c r="C26" s="2" t="str">
        <x:v>4000_40160</x:v>
      </x:c>
      <x:c r="D26" s="2" t="str">
        <x:v>4421</x:v>
      </x:c>
      <x:c r="E26" s="2" t="str">
        <x:v>塩釜吉岡線</x:v>
      </x:c>
      <x:c r="F26" s="2" t="str">
        <x:v>黒川郡大和町まいの3丁目4-2</x:v>
      </x:c>
      <x:c r="G26" s="2" t="str">
        <x:v>黒川郡大和町まいの3丁目4-2</x:v>
      </x:c>
      <x:c r="H26" s="2" t="str">
        <x:v>観測</x:v>
      </x:c>
      <x:c r="I26" s="2" t="str">
        <x:v>観測</x:v>
      </x:c>
      <x:c r="J26" s="2" t="str">
        <x:v>12時間</x:v>
      </x:c>
      <x:c r="K26" s="2" t="str">
        <x:v>12時間</x:v>
      </x:c>
      <x:c r="L26" s="2" t="str">
        <x:v>20211111</x:v>
      </x:c>
      <x:c r="M26" s="2" t="str">
        <x:v>20211111</x:v>
      </x:c>
      <x:c r="N26" s="8" t="n">
        <x:v>13019</x:v>
      </x:c>
      <x:c r="O26" s="8" t="n">
        <x:v>2054</x:v>
      </x:c>
      <x:c r="P26" s="8" t="n">
        <x:v>15073</x:v>
      </x:c>
      <x:c r="Q26" s="8" t="n">
        <x:v>15894</x:v>
      </x:c>
      <x:c r="R26" s="8" t="n">
        <x:v>2947</x:v>
      </x:c>
      <x:c r="S26" s="8" t="n">
        <x:v>18841</x:v>
      </x:c>
      <x:c r="T26" s="11" t="n">
        <x:v>13.6</x:v>
      </x:c>
      <x:c r="U26" s="2" t="n">
        <x:v>2021</x:v>
      </x:c>
      <x:c r="V26" s="2" t="str">
        <x:v>https://www.mlit.go.jp/road/census/r3/data/csv/kasyo04.csv</x:v>
      </x:c>
      <x:c r="W26" s="2" t="n">
        <x:v>670</x:v>
      </x:c>
    </x:row>
    <x:row r="27" ht="21" customHeight="1">
      <x:c r="A27" s="7" t="str">
        <x:v>宮城：大和町・富谷市</x:v>
      </x:c>
      <x:c r="B27" s="2" t="str">
        <x:v>4400030150</x:v>
      </x:c>
      <x:c r="C27" s="2" t="str">
        <x:v>4000_40170</x:v>
      </x:c>
      <x:c r="D27" s="2" t="str">
        <x:v>4421</x:v>
      </x:c>
      <x:c r="E27" s="2" t="str">
        <x:v>塩釜吉岡線</x:v>
      </x:c>
      <x:c r="F27" s="2" t="str">
        <x:v>黒川郡大和町吉岡南白鳥</x:v>
      </x:c>
      <x:c r="G27" s="2" t="str">
        <x:v>黒川郡大和町吉岡南白鳥</x:v>
      </x:c>
      <x:c r="H27" s="2" t="str">
        <x:v>観測</x:v>
      </x:c>
      <x:c r="I27" s="2" t="str">
        <x:v>観測</x:v>
      </x:c>
      <x:c r="J27" s="2" t="str">
        <x:v>24時間</x:v>
      </x:c>
      <x:c r="K27" s="2" t="str">
        <x:v>24時間</x:v>
      </x:c>
      <x:c r="L27" s="2" t="str">
        <x:v>20211027</x:v>
      </x:c>
      <x:c r="M27" s="2" t="str">
        <x:v>20211027</x:v>
      </x:c>
      <x:c r="N27" s="8" t="n">
        <x:v>10582</x:v>
      </x:c>
      <x:c r="O27" s="8" t="n">
        <x:v>2880</x:v>
      </x:c>
      <x:c r="P27" s="8" t="n">
        <x:v>13462</x:v>
      </x:c>
      <x:c r="Q27" s="8" t="n">
        <x:v>13166</x:v>
      </x:c>
      <x:c r="R27" s="8" t="n">
        <x:v>3711</x:v>
      </x:c>
      <x:c r="S27" s="8" t="n">
        <x:v>16877</x:v>
      </x:c>
      <x:c r="T27" s="11" t="n">
        <x:v>21.4</x:v>
      </x:c>
      <x:c r="U27" s="2" t="n">
        <x:v>2021</x:v>
      </x:c>
      <x:c r="V27" s="2" t="str">
        <x:v>https://www.mlit.go.jp/road/census/r3/data/csv/kasyo04.csv</x:v>
      </x:c>
      <x:c r="W27" s="2" t="n">
        <x:v>671</x:v>
      </x:c>
    </x:row>
    <x:row r="28" ht="21" customHeight="1">
      <x:c r="A28" s="7" t="str">
        <x:v>宮城：大和町・富谷市</x:v>
      </x:c>
      <x:c r="B28" s="2" t="str">
        <x:v>4400030160</x:v>
      </x:c>
      <x:c r="C28" s="2" t="str">
        <x:v>4000_40170</x:v>
      </x:c>
      <x:c r="D28" s="2" t="str">
        <x:v>4421</x:v>
      </x:c>
      <x:c r="E28" s="2" t="str">
        <x:v>塩釜吉岡線</x:v>
      </x:c>
      <x:c r="F28" s="2" t="str">
        <x:v>黒川郡大和町吉岡南白鳥</x:v>
      </x:c>
      <x:c r="G28" s="2" t="str">
        <x:v>黒川郡大和町吉岡南白鳥</x:v>
      </x:c>
      <x:c r="H28" s="2" t="str">
        <x:v>観測</x:v>
      </x:c>
      <x:c r="I28" s="2" t="str">
        <x:v>観測</x:v>
      </x:c>
      <x:c r="J28" s="2" t="str">
        <x:v>24時間</x:v>
      </x:c>
      <x:c r="K28" s="2" t="str">
        <x:v>24時間</x:v>
      </x:c>
      <x:c r="L28" s="2" t="str">
        <x:v>20211027</x:v>
      </x:c>
      <x:c r="M28" s="2" t="str">
        <x:v>20211027</x:v>
      </x:c>
      <x:c r="N28" s="8" t="n">
        <x:v>10582</x:v>
      </x:c>
      <x:c r="O28" s="8" t="n">
        <x:v>2880</x:v>
      </x:c>
      <x:c r="P28" s="8" t="n">
        <x:v>13462</x:v>
      </x:c>
      <x:c r="Q28" s="8" t="n">
        <x:v>13166</x:v>
      </x:c>
      <x:c r="R28" s="8" t="n">
        <x:v>3711</x:v>
      </x:c>
      <x:c r="S28" s="8" t="n">
        <x:v>16877</x:v>
      </x:c>
      <x:c r="T28" s="11" t="n">
        <x:v>21.4</x:v>
      </x:c>
      <x:c r="U28" s="2" t="n">
        <x:v>2021</x:v>
      </x:c>
      <x:c r="V28" s="2" t="str">
        <x:v>https://www.mlit.go.jp/road/census/r3/data/csv/kasyo04.csv</x:v>
      </x:c>
      <x:c r="W28" s="2" t="n">
        <x:v>672</x:v>
      </x:c>
    </x:row>
    <x:row r="29" ht="21" customHeight="1">
      <x:c r="A29" s="7" t="str">
        <x:v>宮城：大和町・富谷市</x:v>
      </x:c>
      <x:c r="B29" s="2" t="str">
        <x:v>4400030240</x:v>
      </x:c>
      <x:c r="C29" s="2" t="str">
        <x:v>4000_40190</x:v>
      </x:c>
      <x:c r="D29" s="2" t="str">
        <x:v>4216</x:v>
      </x:c>
      <x:c r="E29" s="2" t="str">
        <x:v>塩釜吉岡線</x:v>
      </x:c>
      <x:c r="F29" s="2" t="str">
        <x:v>宮城郡利府町沢乙字唄沢</x:v>
      </x:c>
      <x:c r="G29" s="2" t="str">
        <x:v>宮城郡利府町沢乙字唄沢</x:v>
      </x:c>
      <x:c r="H29" s="2" t="str">
        <x:v>観測</x:v>
      </x:c>
      <x:c r="I29" s="2" t="str">
        <x:v>観測</x:v>
      </x:c>
      <x:c r="J29" s="2" t="str">
        <x:v>12時間</x:v>
      </x:c>
      <x:c r="K29" s="2" t="str">
        <x:v>12時間</x:v>
      </x:c>
      <x:c r="L29" s="2" t="str">
        <x:v>20211021</x:v>
      </x:c>
      <x:c r="M29" s="2" t="str">
        <x:v>20211021</x:v>
      </x:c>
      <x:c r="N29" s="8" t="n">
        <x:v>6518</x:v>
      </x:c>
      <x:c r="O29" s="8" t="n">
        <x:v>2760</x:v>
      </x:c>
      <x:c r="P29" s="8" t="n">
        <x:v>9278</x:v>
      </x:c>
      <x:c r="Q29" s="8" t="n">
        <x:v>8182</x:v>
      </x:c>
      <x:c r="R29" s="8" t="n">
        <x:v>3323</x:v>
      </x:c>
      <x:c r="S29" s="8" t="n">
        <x:v>11505</x:v>
      </x:c>
      <x:c r="T29" s="11" t="n">
        <x:v>29.7</x:v>
      </x:c>
      <x:c r="U29" s="2" t="n">
        <x:v>2021</x:v>
      </x:c>
      <x:c r="V29" s="2" t="str">
        <x:v>https://www.mlit.go.jp/road/census/r3/data/csv/kasyo04.csv</x:v>
      </x:c>
      <x:c r="W29" s="2" t="n">
        <x:v>678</x:v>
      </x:c>
    </x:row>
    <x:row r="30" ht="21" customHeight="1">
      <x:c r="A30" s="7" t="str">
        <x:v>宮城：大和町・富谷市</x:v>
      </x:c>
      <x:c r="B30" s="2" t="str">
        <x:v>4400030280</x:v>
      </x:c>
      <x:c r="C30" s="2" t="str">
        <x:v>4000_40200</x:v>
      </x:c>
      <x:c r="D30" s="2" t="str">
        <x:v>4421</x:v>
      </x:c>
      <x:c r="E30" s="2" t="str">
        <x:v>塩釜吉岡線</x:v>
      </x:c>
      <x:c r="F30" s="2"/>
      <x:c r="G30" s="2"/>
      <x:c r="H30" s="2" t="str">
        <x:v>未記載</x:v>
      </x:c>
      <x:c r="I30" s="2" t="str">
        <x:v>未記載</x:v>
      </x:c>
      <x:c r="J30" s="2" t="str">
        <x:v>未記載</x:v>
      </x:c>
      <x:c r="K30" s="2" t="str">
        <x:v>未記載</x:v>
      </x:c>
      <x:c r="L30" s="2"/>
      <x:c r="M30" s="2"/>
      <x:c r="N30" s="8"/>
      <x:c r="O30" s="8"/>
      <x:c r="P30" s="8"/>
      <x:c r="Q30" s="8"/>
      <x:c r="R30" s="8"/>
      <x:c r="S30" s="8"/>
      <x:c r="T30" s="11"/>
      <x:c r="U30" s="2" t="n">
        <x:v>2021</x:v>
      </x:c>
      <x:c r="V30" s="2" t="str">
        <x:v>https://www.mlit.go.jp/road/census/r3/data/csv/kasyo04.csv</x:v>
      </x:c>
      <x:c r="W30" s="2" t="n">
        <x:v>679</x:v>
      </x:c>
    </x:row>
    <x:row r="31" ht="21" customHeight="1">
      <x:c r="A31" s="7" t="str">
        <x:v>宮城：大和町・富谷市</x:v>
      </x:c>
      <x:c r="B31" s="2" t="str">
        <x:v>4400090010</x:v>
      </x:c>
      <x:c r="C31" s="2" t="str">
        <x:v>4000_40400</x:v>
      </x:c>
      <x:c r="D31" s="2" t="str">
        <x:v>4421</x:v>
      </x:c>
      <x:c r="E31" s="2" t="str">
        <x:v>大和松島線</x:v>
      </x:c>
      <x:c r="F31" s="2" t="str">
        <x:v>黒川郡大和町吉田新小原</x:v>
      </x:c>
      <x:c r="G31" s="2" t="str">
        <x:v>黒川郡大和町吉田新小原</x:v>
      </x:c>
      <x:c r="H31" s="2" t="str">
        <x:v>観測</x:v>
      </x:c>
      <x:c r="I31" s="2" t="str">
        <x:v>観測</x:v>
      </x:c>
      <x:c r="J31" s="2" t="str">
        <x:v>12時間</x:v>
      </x:c>
      <x:c r="K31" s="2" t="str">
        <x:v>12時間</x:v>
      </x:c>
      <x:c r="L31" s="2" t="str">
        <x:v>20211111</x:v>
      </x:c>
      <x:c r="M31" s="2" t="str">
        <x:v>20211111</x:v>
      </x:c>
      <x:c r="N31" s="8" t="n">
        <x:v>12176</x:v>
      </x:c>
      <x:c r="O31" s="8" t="n">
        <x:v>780</x:v>
      </x:c>
      <x:c r="P31" s="8" t="n">
        <x:v>12956</x:v>
      </x:c>
      <x:c r="Q31" s="8" t="n">
        <x:v>14628</x:v>
      </x:c>
      <x:c r="R31" s="8" t="n">
        <x:v>1567</x:v>
      </x:c>
      <x:c r="S31" s="8" t="n">
        <x:v>16195</x:v>
      </x:c>
      <x:c r="T31" s="11" t="n">
        <x:v>6</x:v>
      </x:c>
      <x:c r="U31" s="2" t="n">
        <x:v>2021</x:v>
      </x:c>
      <x:c r="V31" s="2" t="str">
        <x:v>https://www.mlit.go.jp/road/census/r3/data/csv/kasyo04.csv</x:v>
      </x:c>
      <x:c r="W31" s="2" t="n">
        <x:v>728</x:v>
      </x:c>
    </x:row>
    <x:row r="32" ht="21" customHeight="1">
      <x:c r="A32" s="7" t="str">
        <x:v>宮城：大和町・富谷市</x:v>
      </x:c>
      <x:c r="B32" s="2" t="str">
        <x:v>4400090030</x:v>
      </x:c>
      <x:c r="C32" s="2" t="str">
        <x:v>4000_40410</x:v>
      </x:c>
      <x:c r="D32" s="2" t="str">
        <x:v>4421</x:v>
      </x:c>
      <x:c r="E32" s="2" t="str">
        <x:v>大和松島線</x:v>
      </x:c>
      <x:c r="F32" s="2" t="str">
        <x:v>黒川郡大郷町中村北浦1-2</x:v>
      </x:c>
      <x:c r="G32" s="2" t="str">
        <x:v>黒川郡大郷町中村北浦1-2</x:v>
      </x:c>
      <x:c r="H32" s="2" t="str">
        <x:v>観測</x:v>
      </x:c>
      <x:c r="I32" s="2" t="str">
        <x:v>観測</x:v>
      </x:c>
      <x:c r="J32" s="2" t="str">
        <x:v>12時間</x:v>
      </x:c>
      <x:c r="K32" s="2" t="str">
        <x:v>12時間</x:v>
      </x:c>
      <x:c r="L32" s="2" t="str">
        <x:v>20211026</x:v>
      </x:c>
      <x:c r="M32" s="2" t="str">
        <x:v>20211026</x:v>
      </x:c>
      <x:c r="N32" s="8" t="n">
        <x:v>7913</x:v>
      </x:c>
      <x:c r="O32" s="8" t="n">
        <x:v>1267</x:v>
      </x:c>
      <x:c r="P32" s="8" t="n">
        <x:v>9180</x:v>
      </x:c>
      <x:c r="Q32" s="8" t="n">
        <x:v>9662</x:v>
      </x:c>
      <x:c r="R32" s="8" t="n">
        <x:v>1813</x:v>
      </x:c>
      <x:c r="S32" s="8" t="n">
        <x:v>11475</x:v>
      </x:c>
      <x:c r="T32" s="11" t="n">
        <x:v>13.8</x:v>
      </x:c>
      <x:c r="U32" s="2" t="n">
        <x:v>2021</x:v>
      </x:c>
      <x:c r="V32" s="2" t="str">
        <x:v>https://www.mlit.go.jp/road/census/r3/data/csv/kasyo04.csv</x:v>
      </x:c>
      <x:c r="W32" s="2" t="n">
        <x:v>729</x:v>
      </x:c>
    </x:row>
    <x:row r="33" ht="21" customHeight="1">
      <x:c r="A33" s="7" t="str">
        <x:v>宮城：大和町・富谷市</x:v>
      </x:c>
      <x:c r="B33" s="2" t="str">
        <x:v>4400400020</x:v>
      </x:c>
      <x:c r="C33" s="2" t="str">
        <x:v>4000_41760</x:v>
      </x:c>
      <x:c r="D33" s="2" t="str">
        <x:v>4421</x:v>
      </x:c>
      <x:c r="E33" s="2" t="str">
        <x:v>利府松山線</x:v>
      </x:c>
      <x:c r="F33" s="2" t="str">
        <x:v>黒川郡大郷町東成田清水</x:v>
      </x:c>
      <x:c r="G33" s="2" t="str">
        <x:v>黒川郡大郷町東成田清水</x:v>
      </x:c>
      <x:c r="H33" s="2" t="str">
        <x:v>観測</x:v>
      </x:c>
      <x:c r="I33" s="2" t="str">
        <x:v>観測</x:v>
      </x:c>
      <x:c r="J33" s="2" t="str">
        <x:v>12時間</x:v>
      </x:c>
      <x:c r="K33" s="2" t="str">
        <x:v>12時間</x:v>
      </x:c>
      <x:c r="L33" s="2" t="str">
        <x:v>20211027</x:v>
      </x:c>
      <x:c r="M33" s="2" t="str">
        <x:v>20211027</x:v>
      </x:c>
      <x:c r="N33" s="8" t="n">
        <x:v>6309</x:v>
      </x:c>
      <x:c r="O33" s="8" t="n">
        <x:v>1156</x:v>
      </x:c>
      <x:c r="P33" s="8" t="n">
        <x:v>7465</x:v>
      </x:c>
      <x:c r="Q33" s="8" t="n">
        <x:v>7573</x:v>
      </x:c>
      <x:c r="R33" s="8" t="n">
        <x:v>1609</x:v>
      </x:c>
      <x:c r="S33" s="8" t="n">
        <x:v>9182</x:v>
      </x:c>
      <x:c r="T33" s="11" t="n">
        <x:v>15.5</x:v>
      </x:c>
      <x:c r="U33" s="2" t="n">
        <x:v>2021</x:v>
      </x:c>
      <x:c r="V33" s="2" t="str">
        <x:v>https://www.mlit.go.jp/road/census/r3/data/csv/kasyo04.csv</x:v>
      </x:c>
      <x:c r="W33" s="2" t="n">
        <x:v>1085</x:v>
      </x:c>
    </x:row>
    <x:row r="34" ht="21" customHeight="1">
      <x:c r="A34" s="7" t="str">
        <x:v>宮城：大和町・富谷市</x:v>
      </x:c>
      <x:c r="B34" s="2" t="str">
        <x:v>4400560020</x:v>
      </x:c>
      <x:c r="C34" s="2" t="str">
        <x:v>4000_42130</x:v>
      </x:c>
      <x:c r="D34" s="2" t="str">
        <x:v>4216</x:v>
      </x:c>
      <x:c r="E34" s="2" t="str">
        <x:v>仙台三本木線</x:v>
      </x:c>
      <x:c r="F34" s="2" t="str">
        <x:v>富谷市明石下向田</x:v>
      </x:c>
      <x:c r="G34" s="2" t="str">
        <x:v>富谷市明石下向田</x:v>
      </x:c>
      <x:c r="H34" s="2" t="str">
        <x:v>観測</x:v>
      </x:c>
      <x:c r="I34" s="2" t="str">
        <x:v>観測</x:v>
      </x:c>
      <x:c r="J34" s="2" t="str">
        <x:v>12時間</x:v>
      </x:c>
      <x:c r="K34" s="2" t="str">
        <x:v>12時間</x:v>
      </x:c>
      <x:c r="L34" s="2" t="str">
        <x:v>20211021</x:v>
      </x:c>
      <x:c r="M34" s="2" t="str">
        <x:v>20211021</x:v>
      </x:c>
      <x:c r="N34" s="8" t="n">
        <x:v>6862</x:v>
      </x:c>
      <x:c r="O34" s="8" t="n">
        <x:v>775</x:v>
      </x:c>
      <x:c r="P34" s="8" t="n">
        <x:v>7637</x:v>
      </x:c>
      <x:c r="Q34" s="8" t="n">
        <x:v>8171</x:v>
      </x:c>
      <x:c r="R34" s="8" t="n">
        <x:v>1223</x:v>
      </x:c>
      <x:c r="S34" s="8" t="n">
        <x:v>9394</x:v>
      </x:c>
      <x:c r="T34" s="11" t="n">
        <x:v>10.1</x:v>
      </x:c>
      <x:c r="U34" s="2" t="n">
        <x:v>2021</x:v>
      </x:c>
      <x:c r="V34" s="2" t="str">
        <x:v>https://www.mlit.go.jp/road/census/r3/data/csv/kasyo04.csv</x:v>
      </x:c>
      <x:c r="W34" s="2" t="n">
        <x:v>1162</x:v>
      </x:c>
    </x:row>
    <x:row r="35" ht="21" customHeight="1">
      <x:c r="A35" s="7" t="str">
        <x:v>宮城：大和町・富谷市</x:v>
      </x:c>
      <x:c r="B35" s="2" t="str">
        <x:v>4400560030</x:v>
      </x:c>
      <x:c r="C35" s="2" t="str">
        <x:v>4000_42140</x:v>
      </x:c>
      <x:c r="D35" s="2" t="str">
        <x:v>4216</x:v>
      </x:c>
      <x:c r="E35" s="2" t="str">
        <x:v>仙台三本木線</x:v>
      </x:c>
      <x:c r="F35" s="2" t="str">
        <x:v>富谷市西成田南田</x:v>
      </x:c>
      <x:c r="G35" s="2" t="str">
        <x:v>富谷市西成田南田</x:v>
      </x:c>
      <x:c r="H35" s="2" t="str">
        <x:v>観測</x:v>
      </x:c>
      <x:c r="I35" s="2" t="str">
        <x:v>観測</x:v>
      </x:c>
      <x:c r="J35" s="2" t="str">
        <x:v>12時間</x:v>
      </x:c>
      <x:c r="K35" s="2" t="str">
        <x:v>12時間</x:v>
      </x:c>
      <x:c r="L35" s="2" t="str">
        <x:v>20211110</x:v>
      </x:c>
      <x:c r="M35" s="2" t="str">
        <x:v>20211110</x:v>
      </x:c>
      <x:c r="N35" s="8" t="n">
        <x:v>8344</x:v>
      </x:c>
      <x:c r="O35" s="8" t="n">
        <x:v>794</x:v>
      </x:c>
      <x:c r="P35" s="8" t="n">
        <x:v>9138</x:v>
      </x:c>
      <x:c r="Q35" s="8" t="n">
        <x:v>9989</x:v>
      </x:c>
      <x:c r="R35" s="8" t="n">
        <x:v>1342</x:v>
      </x:c>
      <x:c r="S35" s="8" t="n">
        <x:v>11331</x:v>
      </x:c>
      <x:c r="T35" s="11" t="n">
        <x:v>8.7</x:v>
      </x:c>
      <x:c r="U35" s="2" t="n">
        <x:v>2021</x:v>
      </x:c>
      <x:c r="V35" s="2" t="str">
        <x:v>https://www.mlit.go.jp/road/census/r3/data/csv/kasyo04.csv</x:v>
      </x:c>
      <x:c r="W35" s="2" t="n">
        <x:v>1163</x:v>
      </x:c>
    </x:row>
    <x:row r="36" ht="21" customHeight="1">
      <x:c r="A36" s="7" t="str">
        <x:v>宮城：大和町・富谷市</x:v>
      </x:c>
      <x:c r="B36" s="2" t="str">
        <x:v>4400560040</x:v>
      </x:c>
      <x:c r="C36" s="2" t="str">
        <x:v>4000_42150</x:v>
      </x:c>
      <x:c r="D36" s="2" t="str">
        <x:v>4216</x:v>
      </x:c>
      <x:c r="E36" s="2" t="str">
        <x:v>仙台三本木線</x:v>
      </x:c>
      <x:c r="F36" s="2" t="str">
        <x:v>富谷市西成田千刈沖</x:v>
      </x:c>
      <x:c r="G36" s="2" t="str">
        <x:v>富谷市西成田千刈沖</x:v>
      </x:c>
      <x:c r="H36" s="2" t="str">
        <x:v>観測</x:v>
      </x:c>
      <x:c r="I36" s="2" t="str">
        <x:v>観測</x:v>
      </x:c>
      <x:c r="J36" s="2" t="str">
        <x:v>12時間</x:v>
      </x:c>
      <x:c r="K36" s="2" t="str">
        <x:v>12時間</x:v>
      </x:c>
      <x:c r="L36" s="2" t="str">
        <x:v>20211111</x:v>
      </x:c>
      <x:c r="M36" s="2" t="str">
        <x:v>20211111</x:v>
      </x:c>
      <x:c r="N36" s="8" t="n">
        <x:v>5669</x:v>
      </x:c>
      <x:c r="O36" s="8" t="n">
        <x:v>835</x:v>
      </x:c>
      <x:c r="P36" s="8" t="n">
        <x:v>6504</x:v>
      </x:c>
      <x:c r="Q36" s="8" t="n">
        <x:v>6769</x:v>
      </x:c>
      <x:c r="R36" s="8" t="n">
        <x:v>1231</x:v>
      </x:c>
      <x:c r="S36" s="8" t="n">
        <x:v>8000</x:v>
      </x:c>
      <x:c r="T36" s="11" t="n">
        <x:v>12.8</x:v>
      </x:c>
      <x:c r="U36" s="2" t="n">
        <x:v>2021</x:v>
      </x:c>
      <x:c r="V36" s="2" t="str">
        <x:v>https://www.mlit.go.jp/road/census/r3/data/csv/kasyo04.csv</x:v>
      </x:c>
      <x:c r="W36" s="2" t="n">
        <x:v>1164</x:v>
      </x:c>
    </x:row>
    <x:row r="37" ht="21" customHeight="1">
      <x:c r="A37" s="7" t="str">
        <x:v>宮城：大和町・富谷市</x:v>
      </x:c>
      <x:c r="B37" s="2" t="str">
        <x:v>4400560050</x:v>
      </x:c>
      <x:c r="C37" s="2" t="str">
        <x:v>4000_42150</x:v>
      </x:c>
      <x:c r="D37" s="2" t="str">
        <x:v>4421</x:v>
      </x:c>
      <x:c r="E37" s="2" t="str">
        <x:v>仙台三本木線</x:v>
      </x:c>
      <x:c r="F37" s="2" t="str">
        <x:v>富谷市西成田千刈沖</x:v>
      </x:c>
      <x:c r="G37" s="2" t="str">
        <x:v>富谷市西成田千刈沖</x:v>
      </x:c>
      <x:c r="H37" s="2" t="str">
        <x:v>観測</x:v>
      </x:c>
      <x:c r="I37" s="2" t="str">
        <x:v>観測</x:v>
      </x:c>
      <x:c r="J37" s="2" t="str">
        <x:v>12時間</x:v>
      </x:c>
      <x:c r="K37" s="2" t="str">
        <x:v>12時間</x:v>
      </x:c>
      <x:c r="L37" s="2" t="str">
        <x:v>20211111</x:v>
      </x:c>
      <x:c r="M37" s="2" t="str">
        <x:v>20211111</x:v>
      </x:c>
      <x:c r="N37" s="8" t="n">
        <x:v>5669</x:v>
      </x:c>
      <x:c r="O37" s="8" t="n">
        <x:v>835</x:v>
      </x:c>
      <x:c r="P37" s="8" t="n">
        <x:v>6504</x:v>
      </x:c>
      <x:c r="Q37" s="8" t="n">
        <x:v>6769</x:v>
      </x:c>
      <x:c r="R37" s="8" t="n">
        <x:v>1231</x:v>
      </x:c>
      <x:c r="S37" s="8" t="n">
        <x:v>8000</x:v>
      </x:c>
      <x:c r="T37" s="11" t="n">
        <x:v>12.8</x:v>
      </x:c>
      <x:c r="U37" s="2" t="n">
        <x:v>2021</x:v>
      </x:c>
      <x:c r="V37" s="2" t="str">
        <x:v>https://www.mlit.go.jp/road/census/r3/data/csv/kasyo04.csv</x:v>
      </x:c>
      <x:c r="W37" s="2" t="n">
        <x:v>1165</x:v>
      </x:c>
    </x:row>
    <x:row r="38" ht="21" customHeight="1">
      <x:c r="A38" s="7" t="str">
        <x:v>宮城：大和町・富谷市</x:v>
      </x:c>
      <x:c r="B38" s="2" t="str">
        <x:v>4400560070</x:v>
      </x:c>
      <x:c r="C38" s="2" t="str">
        <x:v>4000_42160</x:v>
      </x:c>
      <x:c r="D38" s="2" t="str">
        <x:v>4421</x:v>
      </x:c>
      <x:c r="E38" s="2" t="str">
        <x:v>仙台三本木線</x:v>
      </x:c>
      <x:c r="F38" s="2" t="str">
        <x:v>黒川郡大和町落合相川堰昭</x:v>
      </x:c>
      <x:c r="G38" s="2" t="str">
        <x:v>黒川郡大和町落合相川堰昭</x:v>
      </x:c>
      <x:c r="H38" s="2" t="str">
        <x:v>観測</x:v>
      </x:c>
      <x:c r="I38" s="2" t="str">
        <x:v>観測</x:v>
      </x:c>
      <x:c r="J38" s="2" t="str">
        <x:v>12時間</x:v>
      </x:c>
      <x:c r="K38" s="2" t="str">
        <x:v>12時間</x:v>
      </x:c>
      <x:c r="L38" s="2" t="str">
        <x:v>20211026</x:v>
      </x:c>
      <x:c r="M38" s="2" t="str">
        <x:v>20211026</x:v>
      </x:c>
      <x:c r="N38" s="8" t="n">
        <x:v>5989</x:v>
      </x:c>
      <x:c r="O38" s="8" t="n">
        <x:v>2299</x:v>
      </x:c>
      <x:c r="P38" s="8" t="n">
        <x:v>8288</x:v>
      </x:c>
      <x:c r="Q38" s="8" t="n">
        <x:v>7483</x:v>
      </x:c>
      <x:c r="R38" s="8" t="n">
        <x:v>2794</x:v>
      </x:c>
      <x:c r="S38" s="8" t="n">
        <x:v>10277</x:v>
      </x:c>
      <x:c r="T38" s="11" t="n">
        <x:v>27.7</x:v>
      </x:c>
      <x:c r="U38" s="2" t="n">
        <x:v>2021</x:v>
      </x:c>
      <x:c r="V38" s="2" t="str">
        <x:v>https://www.mlit.go.jp/road/census/r3/data/csv/kasyo04.csv</x:v>
      </x:c>
      <x:c r="W38" s="2" t="n">
        <x:v>1166</x:v>
      </x:c>
    </x:row>
    <x:row r="39" ht="21" customHeight="1">
      <x:c r="A39" s="7" t="str">
        <x:v>宮城：大和町・富谷市</x:v>
      </x:c>
      <x:c r="B39" s="2" t="str">
        <x:v>4400560080</x:v>
      </x:c>
      <x:c r="C39" s="2" t="str">
        <x:v>4000_42160</x:v>
      </x:c>
      <x:c r="D39" s="2" t="str">
        <x:v>4421</x:v>
      </x:c>
      <x:c r="E39" s="2" t="str">
        <x:v>仙台三本木線</x:v>
      </x:c>
      <x:c r="F39" s="2" t="str">
        <x:v>黒川郡大和町落合相川堰昭</x:v>
      </x:c>
      <x:c r="G39" s="2" t="str">
        <x:v>黒川郡大和町落合相川堰昭</x:v>
      </x:c>
      <x:c r="H39" s="2" t="str">
        <x:v>観測</x:v>
      </x:c>
      <x:c r="I39" s="2" t="str">
        <x:v>観測</x:v>
      </x:c>
      <x:c r="J39" s="2" t="str">
        <x:v>12時間</x:v>
      </x:c>
      <x:c r="K39" s="2" t="str">
        <x:v>12時間</x:v>
      </x:c>
      <x:c r="L39" s="2" t="str">
        <x:v>20211026</x:v>
      </x:c>
      <x:c r="M39" s="2" t="str">
        <x:v>20211026</x:v>
      </x:c>
      <x:c r="N39" s="8" t="n">
        <x:v>5989</x:v>
      </x:c>
      <x:c r="O39" s="8" t="n">
        <x:v>2299</x:v>
      </x:c>
      <x:c r="P39" s="8" t="n">
        <x:v>8288</x:v>
      </x:c>
      <x:c r="Q39" s="8" t="n">
        <x:v>7483</x:v>
      </x:c>
      <x:c r="R39" s="8" t="n">
        <x:v>2794</x:v>
      </x:c>
      <x:c r="S39" s="8" t="n">
        <x:v>10277</x:v>
      </x:c>
      <x:c r="T39" s="11" t="n">
        <x:v>27.7</x:v>
      </x:c>
      <x:c r="U39" s="2" t="n">
        <x:v>2021</x:v>
      </x:c>
      <x:c r="V39" s="2" t="str">
        <x:v>https://www.mlit.go.jp/road/census/r3/data/csv/kasyo04.csv</x:v>
      </x:c>
      <x:c r="W39" s="2" t="n">
        <x:v>1167</x:v>
      </x:c>
    </x:row>
    <x:row r="40" ht="21" customHeight="1">
      <x:c r="A40" s="7" t="str">
        <x:v>宮城：大和町・富谷市</x:v>
      </x:c>
      <x:c r="B40" s="2" t="str">
        <x:v>4400560090</x:v>
      </x:c>
      <x:c r="C40" s="2" t="str">
        <x:v>4000_42170</x:v>
      </x:c>
      <x:c r="D40" s="2" t="str">
        <x:v>4421</x:v>
      </x:c>
      <x:c r="E40" s="2" t="str">
        <x:v>仙台三本木線</x:v>
      </x:c>
      <x:c r="F40" s="2" t="str">
        <x:v>黒川郡大和町落合松坂赤坂</x:v>
      </x:c>
      <x:c r="G40" s="2" t="str">
        <x:v>黒川郡大和町落合松坂赤坂</x:v>
      </x:c>
      <x:c r="H40" s="2" t="str">
        <x:v>観測</x:v>
      </x:c>
      <x:c r="I40" s="2" t="str">
        <x:v>観測</x:v>
      </x:c>
      <x:c r="J40" s="2" t="str">
        <x:v>12時間</x:v>
      </x:c>
      <x:c r="K40" s="2" t="str">
        <x:v>12時間</x:v>
      </x:c>
      <x:c r="L40" s="2" t="str">
        <x:v>20211027</x:v>
      </x:c>
      <x:c r="M40" s="2" t="str">
        <x:v>20211027</x:v>
      </x:c>
      <x:c r="N40" s="8" t="n">
        <x:v>2540</x:v>
      </x:c>
      <x:c r="O40" s="8" t="n">
        <x:v>783</x:v>
      </x:c>
      <x:c r="P40" s="8" t="n">
        <x:v>3323</x:v>
      </x:c>
      <x:c r="Q40" s="8" t="n">
        <x:v>3038</x:v>
      </x:c>
      <x:c r="R40" s="8" t="n">
        <x:v>983</x:v>
      </x:c>
      <x:c r="S40" s="8" t="n">
        <x:v>4021</x:v>
      </x:c>
      <x:c r="T40" s="11" t="n">
        <x:v>23.6</x:v>
      </x:c>
      <x:c r="U40" s="2" t="n">
        <x:v>2021</x:v>
      </x:c>
      <x:c r="V40" s="2" t="str">
        <x:v>https://www.mlit.go.jp/road/census/r3/data/csv/kasyo04.csv</x:v>
      </x:c>
      <x:c r="W40" s="2" t="n">
        <x:v>1168</x:v>
      </x:c>
    </x:row>
    <x:row r="41" ht="21" customHeight="1">
      <x:c r="A41" s="7" t="str">
        <x:v>宮城：大和町・富谷市</x:v>
      </x:c>
      <x:c r="B41" s="2" t="str">
        <x:v>4400570040</x:v>
      </x:c>
      <x:c r="C41" s="2" t="str">
        <x:v>4000_42210</x:v>
      </x:c>
      <x:c r="D41" s="2" t="str">
        <x:v>4421</x:v>
      </x:c>
      <x:c r="E41" s="2" t="str">
        <x:v>大衡落合線</x:v>
      </x:c>
      <x:c r="F41" s="2" t="str">
        <x:v>黒川郡大和町落合松坂字大成</x:v>
      </x:c>
      <x:c r="G41" s="2" t="str">
        <x:v>黒川郡大和町落合松坂字大成</x:v>
      </x:c>
      <x:c r="H41" s="2" t="str">
        <x:v>観測</x:v>
      </x:c>
      <x:c r="I41" s="2" t="str">
        <x:v>観測</x:v>
      </x:c>
      <x:c r="J41" s="2" t="str">
        <x:v>12時間</x:v>
      </x:c>
      <x:c r="K41" s="2" t="str">
        <x:v>12時間</x:v>
      </x:c>
      <x:c r="L41" s="2" t="str">
        <x:v>20211026</x:v>
      </x:c>
      <x:c r="M41" s="2" t="str">
        <x:v>20211026</x:v>
      </x:c>
      <x:c r="N41" s="8" t="n">
        <x:v>1594</x:v>
      </x:c>
      <x:c r="O41" s="8" t="n">
        <x:v>911</x:v>
      </x:c>
      <x:c r="P41" s="8" t="n">
        <x:v>2505</x:v>
      </x:c>
      <x:c r="Q41" s="8" t="n">
        <x:v>1970</x:v>
      </x:c>
      <x:c r="R41" s="8" t="n">
        <x:v>1086</x:v>
      </x:c>
      <x:c r="S41" s="8" t="n">
        <x:v>3056</x:v>
      </x:c>
      <x:c r="T41" s="11" t="n">
        <x:v>36.4</x:v>
      </x:c>
      <x:c r="U41" s="2" t="n">
        <x:v>2021</x:v>
      </x:c>
      <x:c r="V41" s="2" t="str">
        <x:v>https://www.mlit.go.jp/road/census/r3/data/csv/kasyo04.csv</x:v>
      </x:c>
      <x:c r="W41" s="2" t="n">
        <x:v>1180</x:v>
      </x:c>
    </x:row>
    <x:row r="42" ht="21" customHeight="1">
      <x:c r="A42" s="7" t="str">
        <x:v>宮城：大和町・富谷市</x:v>
      </x:c>
      <x:c r="B42" s="2" t="str">
        <x:v>4601470010</x:v>
      </x:c>
      <x:c r="C42" s="2" t="str">
        <x:v>4000_60540</x:v>
      </x:c>
      <x:c r="D42" s="2" t="str">
        <x:v>4421</x:v>
      </x:c>
      <x:c r="E42" s="2" t="str">
        <x:v>桝沢吉岡線</x:v>
      </x:c>
      <x:c r="F42" s="2"/>
      <x:c r="G42" s="2"/>
      <x:c r="H42" s="2" t="str">
        <x:v>推定</x:v>
      </x:c>
      <x:c r="I42" s="2" t="str">
        <x:v>推定</x:v>
      </x:c>
      <x:c r="J42" s="2" t="str">
        <x:v>未記載</x:v>
      </x:c>
      <x:c r="K42" s="2" t="str">
        <x:v>未記載</x:v>
      </x:c>
      <x:c r="L42" s="2"/>
      <x:c r="M42" s="2"/>
      <x:c r="N42" s="8" t="n">
        <x:v>616</x:v>
      </x:c>
      <x:c r="O42" s="8" t="n">
        <x:v>59</x:v>
      </x:c>
      <x:c r="P42" s="8" t="n">
        <x:v>675</x:v>
      </x:c>
      <x:c r="Q42" s="8" t="n">
        <x:v>701</x:v>
      </x:c>
      <x:c r="R42" s="8" t="n">
        <x:v>89</x:v>
      </x:c>
      <x:c r="S42" s="8" t="n">
        <x:v>790</x:v>
      </x:c>
      <x:c r="T42" s="11" t="n">
        <x:v>8.8</x:v>
      </x:c>
      <x:c r="U42" s="2" t="n">
        <x:v>2021</x:v>
      </x:c>
      <x:c r="V42" s="2" t="str">
        <x:v>https://www.mlit.go.jp/road/census/r3/data/csv/kasyo04.csv</x:v>
      </x:c>
      <x:c r="W42" s="2" t="n">
        <x:v>1349</x:v>
      </x:c>
    </x:row>
    <x:row r="43" ht="21" customHeight="1">
      <x:c r="A43" s="7" t="str">
        <x:v>宮城：大和町・富谷市</x:v>
      </x:c>
      <x:c r="B43" s="2" t="str">
        <x:v>4601470020</x:v>
      </x:c>
      <x:c r="C43" s="2" t="str">
        <x:v>4000_60550</x:v>
      </x:c>
      <x:c r="D43" s="2" t="str">
        <x:v>4421</x:v>
      </x:c>
      <x:c r="E43" s="2" t="str">
        <x:v>桝沢吉岡線</x:v>
      </x:c>
      <x:c r="F43" s="2" t="str">
        <x:v>黒川郡大和町吉岡西原16-4</x:v>
      </x:c>
      <x:c r="G43" s="2" t="str">
        <x:v>黒川郡大和町吉岡西原16-4</x:v>
      </x:c>
      <x:c r="H43" s="2" t="str">
        <x:v>観測</x:v>
      </x:c>
      <x:c r="I43" s="2" t="str">
        <x:v>観測</x:v>
      </x:c>
      <x:c r="J43" s="2" t="str">
        <x:v>12時間</x:v>
      </x:c>
      <x:c r="K43" s="2" t="str">
        <x:v>12時間</x:v>
      </x:c>
      <x:c r="L43" s="2" t="str">
        <x:v>20211026</x:v>
      </x:c>
      <x:c r="M43" s="2" t="str">
        <x:v>20211026</x:v>
      </x:c>
      <x:c r="N43" s="8" t="n">
        <x:v>2167</x:v>
      </x:c>
      <x:c r="O43" s="8" t="n">
        <x:v>104</x:v>
      </x:c>
      <x:c r="P43" s="8" t="n">
        <x:v>2271</x:v>
      </x:c>
      <x:c r="Q43" s="8" t="n">
        <x:v>2513</x:v>
      </x:c>
      <x:c r="R43" s="8" t="n">
        <x:v>258</x:v>
      </x:c>
      <x:c r="S43" s="8" t="n">
        <x:v>2771</x:v>
      </x:c>
      <x:c r="T43" s="11" t="n">
        <x:v>4.6</x:v>
      </x:c>
      <x:c r="U43" s="2" t="n">
        <x:v>2021</x:v>
      </x:c>
      <x:c r="V43" s="2" t="str">
        <x:v>https://www.mlit.go.jp/road/census/r3/data/csv/kasyo04.csv</x:v>
      </x:c>
      <x:c r="W43" s="2" t="n">
        <x:v>1350</x:v>
      </x:c>
    </x:row>
    <x:row r="44" ht="21" customHeight="1">
      <x:c r="A44" s="7" t="str">
        <x:v>宮城：大和町・富谷市</x:v>
      </x:c>
      <x:c r="B44" s="2" t="str">
        <x:v>4601470030</x:v>
      </x:c>
      <x:c r="C44" s="2" t="str">
        <x:v>4000_60550</x:v>
      </x:c>
      <x:c r="D44" s="2" t="str">
        <x:v>4421</x:v>
      </x:c>
      <x:c r="E44" s="2" t="str">
        <x:v>桝沢吉岡線</x:v>
      </x:c>
      <x:c r="F44" s="2" t="str">
        <x:v>黒川郡大和町吉岡西原16-4</x:v>
      </x:c>
      <x:c r="G44" s="2" t="str">
        <x:v>黒川郡大和町吉岡西原16-4</x:v>
      </x:c>
      <x:c r="H44" s="2" t="str">
        <x:v>観測</x:v>
      </x:c>
      <x:c r="I44" s="2" t="str">
        <x:v>観測</x:v>
      </x:c>
      <x:c r="J44" s="2" t="str">
        <x:v>12時間</x:v>
      </x:c>
      <x:c r="K44" s="2" t="str">
        <x:v>12時間</x:v>
      </x:c>
      <x:c r="L44" s="2" t="str">
        <x:v>20211026</x:v>
      </x:c>
      <x:c r="M44" s="2" t="str">
        <x:v>20211026</x:v>
      </x:c>
      <x:c r="N44" s="8" t="n">
        <x:v>2167</x:v>
      </x:c>
      <x:c r="O44" s="8" t="n">
        <x:v>104</x:v>
      </x:c>
      <x:c r="P44" s="8" t="n">
        <x:v>2271</x:v>
      </x:c>
      <x:c r="Q44" s="8" t="n">
        <x:v>2513</x:v>
      </x:c>
      <x:c r="R44" s="8" t="n">
        <x:v>258</x:v>
      </x:c>
      <x:c r="S44" s="8" t="n">
        <x:v>2771</x:v>
      </x:c>
      <x:c r="T44" s="11" t="n">
        <x:v>4.6</x:v>
      </x:c>
      <x:c r="U44" s="2" t="n">
        <x:v>2021</x:v>
      </x:c>
      <x:c r="V44" s="2" t="str">
        <x:v>https://www.mlit.go.jp/road/census/r3/data/csv/kasyo04.csv</x:v>
      </x:c>
      <x:c r="W44" s="2" t="n">
        <x:v>1351</x:v>
      </x:c>
    </x:row>
    <x:row r="45" ht="21" customHeight="1">
      <x:c r="A45" s="7" t="str">
        <x:v>宮城：大和町・富谷市</x:v>
      </x:c>
      <x:c r="B45" s="2" t="str">
        <x:v>4601470050</x:v>
      </x:c>
      <x:c r="C45" s="2" t="str">
        <x:v>4000_60560</x:v>
      </x:c>
      <x:c r="D45" s="2" t="str">
        <x:v>4421</x:v>
      </x:c>
      <x:c r="E45" s="2" t="str">
        <x:v>桝沢吉岡線</x:v>
      </x:c>
      <x:c r="F45" s="2"/>
      <x:c r="G45" s="2"/>
      <x:c r="H45" s="2" t="str">
        <x:v>未記載</x:v>
      </x:c>
      <x:c r="I45" s="2" t="str">
        <x:v>未記載</x:v>
      </x:c>
      <x:c r="J45" s="2" t="str">
        <x:v>未記載</x:v>
      </x:c>
      <x:c r="K45" s="2" t="str">
        <x:v>未記載</x:v>
      </x:c>
      <x:c r="L45" s="2"/>
      <x:c r="M45" s="2"/>
      <x:c r="N45" s="8"/>
      <x:c r="O45" s="8"/>
      <x:c r="P45" s="8"/>
      <x:c r="Q45" s="8"/>
      <x:c r="R45" s="8"/>
      <x:c r="S45" s="8"/>
      <x:c r="T45" s="11"/>
      <x:c r="U45" s="2" t="n">
        <x:v>2021</x:v>
      </x:c>
      <x:c r="V45" s="2" t="str">
        <x:v>https://www.mlit.go.jp/road/census/r3/data/csv/kasyo04.csv</x:v>
      </x:c>
      <x:c r="W45" s="2" t="n">
        <x:v>1352</x:v>
      </x:c>
    </x:row>
    <x:row r="46" ht="21" customHeight="1">
      <x:c r="A46" s="7" t="str">
        <x:v>宮城：大和町・富谷市</x:v>
      </x:c>
      <x:c r="B46" s="2" t="str">
        <x:v>4602410010</x:v>
      </x:c>
      <x:c r="C46" s="2" t="str">
        <x:v>4000_61930</x:v>
      </x:c>
      <x:c r="D46" s="2" t="str">
        <x:v>4421</x:v>
      </x:c>
      <x:c r="E46" s="2" t="str">
        <x:v>竹谷大和線（旧大和幡谷線）</x:v>
      </x:c>
      <x:c r="F46" s="2" t="str">
        <x:v>黒川郡大和町落合報恩寺竹沢下</x:v>
      </x:c>
      <x:c r="G46" s="2" t="str">
        <x:v>黒川郡大和町落合報恩寺竹沢下</x:v>
      </x:c>
      <x:c r="H46" s="2" t="str">
        <x:v>観測</x:v>
      </x:c>
      <x:c r="I46" s="2" t="str">
        <x:v>観測</x:v>
      </x:c>
      <x:c r="J46" s="2" t="str">
        <x:v>12時間</x:v>
      </x:c>
      <x:c r="K46" s="2" t="str">
        <x:v>12時間</x:v>
      </x:c>
      <x:c r="L46" s="2" t="str">
        <x:v>20211026</x:v>
      </x:c>
      <x:c r="M46" s="2" t="str">
        <x:v>20211026</x:v>
      </x:c>
      <x:c r="N46" s="8" t="n">
        <x:v>1941</x:v>
      </x:c>
      <x:c r="O46" s="8" t="n">
        <x:v>262</x:v>
      </x:c>
      <x:c r="P46" s="8" t="n">
        <x:v>2203</x:v>
      </x:c>
      <x:c r="Q46" s="8" t="n">
        <x:v>2274</x:v>
      </x:c>
      <x:c r="R46" s="8" t="n">
        <x:v>414</x:v>
      </x:c>
      <x:c r="S46" s="8" t="n">
        <x:v>2688</x:v>
      </x:c>
      <x:c r="T46" s="11" t="n">
        <x:v>11.9</x:v>
      </x:c>
      <x:c r="U46" s="2" t="n">
        <x:v>2021</x:v>
      </x:c>
      <x:c r="V46" s="2" t="str">
        <x:v>https://www.mlit.go.jp/road/census/r3/data/csv/kasyo04.csv</x:v>
      </x:c>
      <x:c r="W46" s="2" t="n">
        <x:v>1602</x:v>
      </x:c>
    </x:row>
    <x:row r="47" ht="21" customHeight="1">
      <x:c r="A47" s="7" t="str">
        <x:v>宮城：大和町・富谷市</x:v>
      </x:c>
      <x:c r="B47" s="2" t="str">
        <x:v>4602560010</x:v>
      </x:c>
      <x:c r="C47" s="2" t="str">
        <x:v>4000_62100</x:v>
      </x:c>
      <x:c r="D47" s="2" t="str">
        <x:v>4216</x:v>
      </x:c>
      <x:c r="E47" s="2" t="str">
        <x:v>西成田宮床線</x:v>
      </x:c>
      <x:c r="F47" s="2" t="str">
        <x:v>富谷市富谷原前南</x:v>
      </x:c>
      <x:c r="G47" s="2" t="str">
        <x:v>富谷市富谷原前南</x:v>
      </x:c>
      <x:c r="H47" s="2" t="str">
        <x:v>観測</x:v>
      </x:c>
      <x:c r="I47" s="2" t="str">
        <x:v>観測</x:v>
      </x:c>
      <x:c r="J47" s="2" t="str">
        <x:v>12時間</x:v>
      </x:c>
      <x:c r="K47" s="2" t="str">
        <x:v>12時間</x:v>
      </x:c>
      <x:c r="L47" s="2" t="str">
        <x:v>20211110</x:v>
      </x:c>
      <x:c r="M47" s="2" t="str">
        <x:v>20211110</x:v>
      </x:c>
      <x:c r="N47" s="8" t="n">
        <x:v>6482</x:v>
      </x:c>
      <x:c r="O47" s="8" t="n">
        <x:v>617</x:v>
      </x:c>
      <x:c r="P47" s="8" t="n">
        <x:v>7099</x:v>
      </x:c>
      <x:c r="Q47" s="8" t="n">
        <x:v>7702</x:v>
      </x:c>
      <x:c r="R47" s="8" t="n">
        <x:v>1030</x:v>
      </x:c>
      <x:c r="S47" s="8" t="n">
        <x:v>8732</x:v>
      </x:c>
      <x:c r="T47" s="11" t="n">
        <x:v>8.7</x:v>
      </x:c>
      <x:c r="U47" s="2" t="n">
        <x:v>2021</x:v>
      </x:c>
      <x:c r="V47" s="2" t="str">
        <x:v>https://www.mlit.go.jp/road/census/r3/data/csv/kasyo04.csv</x:v>
      </x:c>
      <x:c r="W47" s="2" t="n">
        <x:v>1628</x:v>
      </x:c>
    </x:row>
    <x:row r="48" ht="21" customHeight="1">
      <x:c r="A48" s="7" t="str">
        <x:v>宮城：大和町・富谷市</x:v>
      </x:c>
      <x:c r="B48" s="2" t="str">
        <x:v>4602560020</x:v>
      </x:c>
      <x:c r="C48" s="2" t="str">
        <x:v>4000_62110</x:v>
      </x:c>
      <x:c r="D48" s="2" t="str">
        <x:v>4216</x:v>
      </x:c>
      <x:c r="E48" s="2" t="str">
        <x:v>西成田宮床線</x:v>
      </x:c>
      <x:c r="F48" s="2"/>
      <x:c r="G48" s="2"/>
      <x:c r="H48" s="2" t="str">
        <x:v>推定</x:v>
      </x:c>
      <x:c r="I48" s="2" t="str">
        <x:v>推定</x:v>
      </x:c>
      <x:c r="J48" s="2" t="str">
        <x:v>未記載</x:v>
      </x:c>
      <x:c r="K48" s="2" t="str">
        <x:v>未記載</x:v>
      </x:c>
      <x:c r="L48" s="2"/>
      <x:c r="M48" s="2"/>
      <x:c r="N48" s="8" t="n">
        <x:v>1598</x:v>
      </x:c>
      <x:c r="O48" s="8" t="n">
        <x:v>214</x:v>
      </x:c>
      <x:c r="P48" s="8" t="n">
        <x:v>1812</x:v>
      </x:c>
      <x:c r="Q48" s="8" t="n">
        <x:v>1872</x:v>
      </x:c>
      <x:c r="R48" s="8" t="n">
        <x:v>339</x:v>
      </x:c>
      <x:c r="S48" s="8" t="n">
        <x:v>2211</x:v>
      </x:c>
      <x:c r="T48" s="11" t="n">
        <x:v>11.8</x:v>
      </x:c>
      <x:c r="U48" s="2" t="n">
        <x:v>2021</x:v>
      </x:c>
      <x:c r="V48" s="2" t="str">
        <x:v>https://www.mlit.go.jp/road/census/r3/data/csv/kasyo04.csv</x:v>
      </x:c>
      <x:c r="W48" s="2" t="n">
        <x:v>1629</x:v>
      </x:c>
    </x:row>
    <x:row r="49" ht="21" customHeight="1">
      <x:c r="A49" s="7" t="str">
        <x:v>宮城：大和町・富谷市</x:v>
      </x:c>
      <x:c r="B49" s="2" t="str">
        <x:v>4602560025</x:v>
      </x:c>
      <x:c r="C49" s="2" t="str">
        <x:v>4000_62110</x:v>
      </x:c>
      <x:c r="D49" s="2" t="str">
        <x:v>4421</x:v>
      </x:c>
      <x:c r="E49" s="2" t="str">
        <x:v>西成田宮床線</x:v>
      </x:c>
      <x:c r="F49" s="2"/>
      <x:c r="G49" s="2"/>
      <x:c r="H49" s="2" t="str">
        <x:v>推定</x:v>
      </x:c>
      <x:c r="I49" s="2" t="str">
        <x:v>推定</x:v>
      </x:c>
      <x:c r="J49" s="2" t="str">
        <x:v>未記載</x:v>
      </x:c>
      <x:c r="K49" s="2" t="str">
        <x:v>未記載</x:v>
      </x:c>
      <x:c r="L49" s="2"/>
      <x:c r="M49" s="2"/>
      <x:c r="N49" s="8" t="n">
        <x:v>1598</x:v>
      </x:c>
      <x:c r="O49" s="8" t="n">
        <x:v>214</x:v>
      </x:c>
      <x:c r="P49" s="8" t="n">
        <x:v>1812</x:v>
      </x:c>
      <x:c r="Q49" s="8" t="n">
        <x:v>1872</x:v>
      </x:c>
      <x:c r="R49" s="8" t="n">
        <x:v>339</x:v>
      </x:c>
      <x:c r="S49" s="8" t="n">
        <x:v>2211</x:v>
      </x:c>
      <x:c r="T49" s="11" t="n">
        <x:v>11.8</x:v>
      </x:c>
      <x:c r="U49" s="2" t="n">
        <x:v>2021</x:v>
      </x:c>
      <x:c r="V49" s="2" t="str">
        <x:v>https://www.mlit.go.jp/road/census/r3/data/csv/kasyo04.csv</x:v>
      </x:c>
      <x:c r="W49" s="2" t="n">
        <x:v>1630</x:v>
      </x:c>
    </x:row>
    <x:row r="50" ht="21" customHeight="1">
      <x:c r="A50" s="7" t="str">
        <x:v>宮城：大和町・富谷市</x:v>
      </x:c>
      <x:c r="B50" s="2" t="str">
        <x:v>4602560030</x:v>
      </x:c>
      <x:c r="C50" s="2" t="str">
        <x:v>4000_62120</x:v>
      </x:c>
      <x:c r="D50" s="2" t="str">
        <x:v>4421</x:v>
      </x:c>
      <x:c r="E50" s="2" t="str">
        <x:v>西成田宮床線</x:v>
      </x:c>
      <x:c r="F50" s="2" t="str">
        <x:v>黒川郡大和町宮床新小路3</x:v>
      </x:c>
      <x:c r="G50" s="2" t="str">
        <x:v>黒川郡大和町宮床新小路3</x:v>
      </x:c>
      <x:c r="H50" s="2" t="str">
        <x:v>観測</x:v>
      </x:c>
      <x:c r="I50" s="2" t="str">
        <x:v>観測</x:v>
      </x:c>
      <x:c r="J50" s="2" t="str">
        <x:v>12時間</x:v>
      </x:c>
      <x:c r="K50" s="2" t="str">
        <x:v>12時間</x:v>
      </x:c>
      <x:c r="L50" s="2" t="str">
        <x:v>20211027</x:v>
      </x:c>
      <x:c r="M50" s="2" t="str">
        <x:v>20211027</x:v>
      </x:c>
      <x:c r="N50" s="8" t="n">
        <x:v>1317</x:v>
      </x:c>
      <x:c r="O50" s="8" t="n">
        <x:v>170</x:v>
      </x:c>
      <x:c r="P50" s="8" t="n">
        <x:v>1487</x:v>
      </x:c>
      <x:c r="Q50" s="8" t="n">
        <x:v>1523</x:v>
      </x:c>
      <x:c r="R50" s="8" t="n">
        <x:v>261</x:v>
      </x:c>
      <x:c r="S50" s="8" t="n">
        <x:v>1784</x:v>
      </x:c>
      <x:c r="T50" s="11" t="n">
        <x:v>11.4</x:v>
      </x:c>
      <x:c r="U50" s="2" t="n">
        <x:v>2021</x:v>
      </x:c>
      <x:c r="V50" s="2" t="str">
        <x:v>https://www.mlit.go.jp/road/census/r3/data/csv/kasyo04.csv</x:v>
      </x:c>
      <x:c r="W50" s="2" t="n">
        <x:v>1631</x:v>
      </x:c>
    </x:row>
    <x:row r="51" ht="21" customHeight="1">
      <x:c r="A51" s="7" t="str">
        <x:v>宮城：大和町・富谷市</x:v>
      </x:c>
      <x:c r="B51" s="2" t="str">
        <x:v>4602640150</x:v>
      </x:c>
      <x:c r="C51" s="2" t="str">
        <x:v>4000_62260</x:v>
      </x:c>
      <x:c r="D51" s="2" t="str">
        <x:v>4421</x:v>
      </x:c>
      <x:c r="E51" s="2" t="str">
        <x:v>大衡仙台線</x:v>
      </x:c>
      <x:c r="F51" s="2" t="str">
        <x:v>黒川郡大和町宮床山田下</x:v>
      </x:c>
      <x:c r="G51" s="2" t="str">
        <x:v>黒川郡大和町宮床山田下</x:v>
      </x:c>
      <x:c r="H51" s="2" t="str">
        <x:v>観測</x:v>
      </x:c>
      <x:c r="I51" s="2" t="str">
        <x:v>観測</x:v>
      </x:c>
      <x:c r="J51" s="2" t="str">
        <x:v>12時間</x:v>
      </x:c>
      <x:c r="K51" s="2" t="str">
        <x:v>12時間</x:v>
      </x:c>
      <x:c r="L51" s="2" t="str">
        <x:v>20211026</x:v>
      </x:c>
      <x:c r="M51" s="2" t="str">
        <x:v>20211026</x:v>
      </x:c>
      <x:c r="N51" s="8" t="n">
        <x:v>6868</x:v>
      </x:c>
      <x:c r="O51" s="8" t="n">
        <x:v>601</x:v>
      </x:c>
      <x:c r="P51" s="8" t="n">
        <x:v>7469</x:v>
      </x:c>
      <x:c r="Q51" s="8" t="n">
        <x:v>8134</x:v>
      </x:c>
      <x:c r="R51" s="8" t="n">
        <x:v>1053</x:v>
      </x:c>
      <x:c r="S51" s="8" t="n">
        <x:v>9187</x:v>
      </x:c>
      <x:c r="T51" s="11" t="n">
        <x:v>8</x:v>
      </x:c>
      <x:c r="U51" s="2" t="n">
        <x:v>2021</x:v>
      </x:c>
      <x:c r="V51" s="2" t="str">
        <x:v>https://www.mlit.go.jp/road/census/r3/data/csv/kasyo04.csv</x:v>
      </x:c>
      <x:c r="W51" s="2" t="n">
        <x:v>1660</x:v>
      </x:c>
    </x:row>
    <x:row r="52" ht="21" customHeight="1">
      <x:c r="A52" s="7" t="str">
        <x:v>宮城：大和町・富谷市</x:v>
      </x:c>
      <x:c r="B52" s="2" t="str">
        <x:v>4602640130</x:v>
      </x:c>
      <x:c r="C52" s="2" t="str">
        <x:v>4000_62260</x:v>
      </x:c>
      <x:c r="D52" s="2" t="str">
        <x:v>4421</x:v>
      </x:c>
      <x:c r="E52" s="2" t="str">
        <x:v>大衡仙台線</x:v>
      </x:c>
      <x:c r="F52" s="2" t="str">
        <x:v>黒川郡大和町宮床山田下</x:v>
      </x:c>
      <x:c r="G52" s="2" t="str">
        <x:v>黒川郡大和町宮床山田下</x:v>
      </x:c>
      <x:c r="H52" s="2" t="str">
        <x:v>観測</x:v>
      </x:c>
      <x:c r="I52" s="2" t="str">
        <x:v>観測</x:v>
      </x:c>
      <x:c r="J52" s="2" t="str">
        <x:v>12時間</x:v>
      </x:c>
      <x:c r="K52" s="2" t="str">
        <x:v>12時間</x:v>
      </x:c>
      <x:c r="L52" s="2" t="str">
        <x:v>20211026</x:v>
      </x:c>
      <x:c r="M52" s="2" t="str">
        <x:v>20211026</x:v>
      </x:c>
      <x:c r="N52" s="8" t="n">
        <x:v>6868</x:v>
      </x:c>
      <x:c r="O52" s="8" t="n">
        <x:v>601</x:v>
      </x:c>
      <x:c r="P52" s="8" t="n">
        <x:v>7469</x:v>
      </x:c>
      <x:c r="Q52" s="8" t="n">
        <x:v>8134</x:v>
      </x:c>
      <x:c r="R52" s="8" t="n">
        <x:v>1053</x:v>
      </x:c>
      <x:c r="S52" s="8" t="n">
        <x:v>9187</x:v>
      </x:c>
      <x:c r="T52" s="11" t="n">
        <x:v>8</x:v>
      </x:c>
      <x:c r="U52" s="2" t="n">
        <x:v>2021</x:v>
      </x:c>
      <x:c r="V52" s="2" t="str">
        <x:v>https://www.mlit.go.jp/road/census/r3/data/csv/kasyo04.csv</x:v>
      </x:c>
      <x:c r="W52" s="2" t="n">
        <x:v>1661</x:v>
      </x:c>
    </x:row>
    <x:row r="53" ht="21" customHeight="1">
      <x:c r="A53" s="7" t="str">
        <x:v>宮城：大和町・富谷市</x:v>
      </x:c>
      <x:c r="B53" s="2" t="str">
        <x:v>4602640010</x:v>
      </x:c>
      <x:c r="C53" s="2" t="str">
        <x:v>4000_62270</x:v>
      </x:c>
      <x:c r="D53" s="2" t="str">
        <x:v>4421</x:v>
      </x:c>
      <x:c r="E53" s="2" t="str">
        <x:v>大衡仙台線</x:v>
      </x:c>
      <x:c r="F53" s="2" t="str">
        <x:v>黒川郡大和町テクノヒルズ52</x:v>
      </x:c>
      <x:c r="G53" s="2" t="str">
        <x:v>黒川郡大和町テクノヒルズ52</x:v>
      </x:c>
      <x:c r="H53" s="2" t="str">
        <x:v>観測</x:v>
      </x:c>
      <x:c r="I53" s="2" t="str">
        <x:v>観測</x:v>
      </x:c>
      <x:c r="J53" s="2" t="str">
        <x:v>12時間</x:v>
      </x:c>
      <x:c r="K53" s="2" t="str">
        <x:v>12時間</x:v>
      </x:c>
      <x:c r="L53" s="2" t="str">
        <x:v>20211026</x:v>
      </x:c>
      <x:c r="M53" s="2" t="str">
        <x:v>20211026</x:v>
      </x:c>
      <x:c r="N53" s="8" t="n">
        <x:v>13110</x:v>
      </x:c>
      <x:c r="O53" s="8" t="n">
        <x:v>749</x:v>
      </x:c>
      <x:c r="P53" s="8" t="n">
        <x:v>13859</x:v>
      </x:c>
      <x:c r="Q53" s="8" t="n">
        <x:v>15870</x:v>
      </x:c>
      <x:c r="R53" s="8" t="n">
        <x:v>1592</x:v>
      </x:c>
      <x:c r="S53" s="8" t="n">
        <x:v>17462</x:v>
      </x:c>
      <x:c r="T53" s="11" t="n">
        <x:v>5.4</x:v>
      </x:c>
      <x:c r="U53" s="2" t="n">
        <x:v>2021</x:v>
      </x:c>
      <x:c r="V53" s="2" t="str">
        <x:v>https://www.mlit.go.jp/road/census/r3/data/csv/kasyo04.csv</x:v>
      </x:c>
      <x:c r="W53" s="2" t="n">
        <x:v>1662</x:v>
      </x:c>
    </x:row>
    <x:row r="54" ht="21" customHeight="1">
      <x:c r="A54" s="7" t="str">
        <x:v>宮城：大和町・富谷市</x:v>
      </x:c>
      <x:c r="B54" s="2" t="str">
        <x:v>4602640125</x:v>
      </x:c>
      <x:c r="C54" s="2" t="str">
        <x:v>4000_62280</x:v>
      </x:c>
      <x:c r="D54" s="2" t="str">
        <x:v>4421</x:v>
      </x:c>
      <x:c r="E54" s="2" t="str">
        <x:v>大衡仙台線</x:v>
      </x:c>
      <x:c r="F54" s="2" t="str">
        <x:v>黒川郡大和町宮床四辻</x:v>
      </x:c>
      <x:c r="G54" s="2" t="str">
        <x:v>黒川郡大和町宮床四辻</x:v>
      </x:c>
      <x:c r="H54" s="2" t="str">
        <x:v>観測</x:v>
      </x:c>
      <x:c r="I54" s="2" t="str">
        <x:v>観測</x:v>
      </x:c>
      <x:c r="J54" s="2" t="str">
        <x:v>12時間</x:v>
      </x:c>
      <x:c r="K54" s="2" t="str">
        <x:v>12時間</x:v>
      </x:c>
      <x:c r="L54" s="2" t="str">
        <x:v>20211027</x:v>
      </x:c>
      <x:c r="M54" s="2" t="str">
        <x:v>20211027</x:v>
      </x:c>
      <x:c r="N54" s="8" t="n">
        <x:v>9445</x:v>
      </x:c>
      <x:c r="O54" s="8" t="n">
        <x:v>925</x:v>
      </x:c>
      <x:c r="P54" s="8" t="n">
        <x:v>10370</x:v>
      </x:c>
      <x:c r="Q54" s="8" t="n">
        <x:v>11203</x:v>
      </x:c>
      <x:c r="R54" s="8" t="n">
        <x:v>1552</x:v>
      </x:c>
      <x:c r="S54" s="8" t="n">
        <x:v>12755</x:v>
      </x:c>
      <x:c r="T54" s="11" t="n">
        <x:v>8.9</x:v>
      </x:c>
      <x:c r="U54" s="2" t="n">
        <x:v>2021</x:v>
      </x:c>
      <x:c r="V54" s="2" t="str">
        <x:v>https://www.mlit.go.jp/road/census/r3/data/csv/kasyo04.csv</x:v>
      </x:c>
      <x:c r="W54" s="2" t="n">
        <x:v>1671</x:v>
      </x:c>
    </x:row>
    <x:row r="55" ht="21" customHeight="1">
      <x:c r="A55" s="7" t="str">
        <x:v>岩手：奥州市</x:v>
      </x:c>
      <x:c r="B55" s="2" t="str">
        <x:v>3110400040</x:v>
      </x:c>
      <x:c r="C55" s="2" t="str">
        <x:v>3000_20</x:v>
      </x:c>
      <x:c r="D55" s="2" t="str">
        <x:v>3215</x:v>
      </x:c>
      <x:c r="E55" s="2" t="str">
        <x:v>東北自動車道</x:v>
      </x:c>
      <x:c r="F55" s="2" t="str">
        <x:v>一関～平泉前沢</x:v>
      </x:c>
      <x:c r="G55" s="2" t="str">
        <x:v>一関～平泉前沢</x:v>
      </x:c>
      <x:c r="H55" s="2" t="str">
        <x:v>観測</x:v>
      </x:c>
      <x:c r="I55" s="2" t="str">
        <x:v>観測</x:v>
      </x:c>
      <x:c r="J55" s="2" t="str">
        <x:v>24時間</x:v>
      </x:c>
      <x:c r="K55" s="2" t="str">
        <x:v>24時間</x:v>
      </x:c>
      <x:c r="L55" s="2" t="str">
        <x:v>20210929</x:v>
      </x:c>
      <x:c r="M55" s="2" t="str">
        <x:v>20210929</x:v>
      </x:c>
      <x:c r="N55" s="8" t="n">
        <x:v>8700</x:v>
      </x:c>
      <x:c r="O55" s="8" t="n">
        <x:v>5834</x:v>
      </x:c>
      <x:c r="P55" s="8" t="n">
        <x:v>14534</x:v>
      </x:c>
      <x:c r="Q55" s="8" t="n">
        <x:v>10361</x:v>
      </x:c>
      <x:c r="R55" s="8" t="n">
        <x:v>11187</x:v>
      </x:c>
      <x:c r="S55" s="8" t="n">
        <x:v>21548</x:v>
      </x:c>
      <x:c r="T55" s="11" t="n">
        <x:v>40.1</x:v>
      </x:c>
      <x:c r="U55" s="2" t="n">
        <x:v>2021</x:v>
      </x:c>
      <x:c r="V55" s="2" t="str">
        <x:v>https://www.mlit.go.jp/road/census/r3/data/csv/kasyo03.csv</x:v>
      </x:c>
      <x:c r="W55" s="2" t="n">
        <x:v>5</x:v>
      </x:c>
    </x:row>
    <x:row r="56" ht="21" customHeight="1">
      <x:c r="A56" s="7" t="str">
        <x:v>岩手：奥州市</x:v>
      </x:c>
      <x:c r="B56" s="2" t="str">
        <x:v>3110400065</x:v>
      </x:c>
      <x:c r="C56" s="2" t="str">
        <x:v>3000_30</x:v>
      </x:c>
      <x:c r="D56" s="2" t="str">
        <x:v>3215</x:v>
      </x:c>
      <x:c r="E56" s="2" t="str">
        <x:v>東北自動車道</x:v>
      </x:c>
      <x:c r="F56" s="2" t="str">
        <x:v>平泉前沢～奥州スマート～水沢</x:v>
      </x:c>
      <x:c r="G56" s="2" t="str">
        <x:v>平泉前沢～奥州スマート～水沢</x:v>
      </x:c>
      <x:c r="H56" s="2" t="str">
        <x:v>観測</x:v>
      </x:c>
      <x:c r="I56" s="2" t="str">
        <x:v>観測</x:v>
      </x:c>
      <x:c r="J56" s="2" t="str">
        <x:v>24時間</x:v>
      </x:c>
      <x:c r="K56" s="2" t="str">
        <x:v>24時間</x:v>
      </x:c>
      <x:c r="L56" s="2" t="str">
        <x:v>20210929</x:v>
      </x:c>
      <x:c r="M56" s="2" t="str">
        <x:v>20210929</x:v>
      </x:c>
      <x:c r="N56" s="8" t="n">
        <x:v>9410</x:v>
      </x:c>
      <x:c r="O56" s="8" t="n">
        <x:v>5936</x:v>
      </x:c>
      <x:c r="P56" s="8" t="n">
        <x:v>15346</x:v>
      </x:c>
      <x:c r="Q56" s="8" t="n">
        <x:v>11109</x:v>
      </x:c>
      <x:c r="R56" s="8" t="n">
        <x:v>11248</x:v>
      </x:c>
      <x:c r="S56" s="8" t="n">
        <x:v>22357</x:v>
      </x:c>
      <x:c r="T56" s="11" t="n">
        <x:v>38.7</x:v>
      </x:c>
      <x:c r="U56" s="2" t="n">
        <x:v>2021</x:v>
      </x:c>
      <x:c r="V56" s="2" t="str">
        <x:v>https://www.mlit.go.jp/road/census/r3/data/csv/kasyo03.csv</x:v>
      </x:c>
      <x:c r="W56" s="2" t="n">
        <x:v>8</x:v>
      </x:c>
    </x:row>
    <x:row r="57" ht="21" customHeight="1">
      <x:c r="A57" s="7" t="str">
        <x:v>岩手：奥州市</x:v>
      </x:c>
      <x:c r="B57" s="2" t="str">
        <x:v>3110400070</x:v>
      </x:c>
      <x:c r="C57" s="2" t="str">
        <x:v>3000_30</x:v>
      </x:c>
      <x:c r="D57" s="2" t="str">
        <x:v>3215</x:v>
      </x:c>
      <x:c r="E57" s="2" t="str">
        <x:v>東北自動車道</x:v>
      </x:c>
      <x:c r="F57" s="2" t="str">
        <x:v>平泉前沢～奥州スマート～水沢</x:v>
      </x:c>
      <x:c r="G57" s="2" t="str">
        <x:v>平泉前沢～奥州スマート～水沢</x:v>
      </x:c>
      <x:c r="H57" s="2" t="str">
        <x:v>観測</x:v>
      </x:c>
      <x:c r="I57" s="2" t="str">
        <x:v>観測</x:v>
      </x:c>
      <x:c r="J57" s="2" t="str">
        <x:v>24時間</x:v>
      </x:c>
      <x:c r="K57" s="2" t="str">
        <x:v>24時間</x:v>
      </x:c>
      <x:c r="L57" s="2" t="str">
        <x:v>20210929</x:v>
      </x:c>
      <x:c r="M57" s="2" t="str">
        <x:v>20210929</x:v>
      </x:c>
      <x:c r="N57" s="8" t="n">
        <x:v>9410</x:v>
      </x:c>
      <x:c r="O57" s="8" t="n">
        <x:v>5936</x:v>
      </x:c>
      <x:c r="P57" s="8" t="n">
        <x:v>15346</x:v>
      </x:c>
      <x:c r="Q57" s="8" t="n">
        <x:v>11109</x:v>
      </x:c>
      <x:c r="R57" s="8" t="n">
        <x:v>11248</x:v>
      </x:c>
      <x:c r="S57" s="8" t="n">
        <x:v>22357</x:v>
      </x:c>
      <x:c r="T57" s="11" t="n">
        <x:v>38.7</x:v>
      </x:c>
      <x:c r="U57" s="2" t="n">
        <x:v>2021</x:v>
      </x:c>
      <x:c r="V57" s="2" t="str">
        <x:v>https://www.mlit.go.jp/road/census/r3/data/csv/kasyo03.csv</x:v>
      </x:c>
      <x:c r="W57" s="2" t="n">
        <x:v>9</x:v>
      </x:c>
    </x:row>
    <x:row r="58" ht="21" customHeight="1">
      <x:c r="A58" s="7" t="str">
        <x:v>岩手：奥州市</x:v>
      </x:c>
      <x:c r="B58" s="2" t="str">
        <x:v>3110400080</x:v>
      </x:c>
      <x:c r="C58" s="2" t="str">
        <x:v>3000_40</x:v>
      </x:c>
      <x:c r="D58" s="2" t="str">
        <x:v>3215</x:v>
      </x:c>
      <x:c r="E58" s="2" t="str">
        <x:v>東北自動車道</x:v>
      </x:c>
      <x:c r="F58" s="2" t="str">
        <x:v>水沢～北上金ヶ崎</x:v>
      </x:c>
      <x:c r="G58" s="2" t="str">
        <x:v>水沢～北上金ヶ崎</x:v>
      </x:c>
      <x:c r="H58" s="2" t="str">
        <x:v>観測</x:v>
      </x:c>
      <x:c r="I58" s="2" t="str">
        <x:v>観測</x:v>
      </x:c>
      <x:c r="J58" s="2" t="str">
        <x:v>24時間</x:v>
      </x:c>
      <x:c r="K58" s="2" t="str">
        <x:v>24時間</x:v>
      </x:c>
      <x:c r="L58" s="2" t="str">
        <x:v>20210929</x:v>
      </x:c>
      <x:c r="M58" s="2" t="str">
        <x:v>20210929</x:v>
      </x:c>
      <x:c r="N58" s="8" t="n">
        <x:v>11539</x:v>
      </x:c>
      <x:c r="O58" s="8" t="n">
        <x:v>5599</x:v>
      </x:c>
      <x:c r="P58" s="8" t="n">
        <x:v>17138</x:v>
      </x:c>
      <x:c r="Q58" s="8" t="n">
        <x:v>13652</x:v>
      </x:c>
      <x:c r="R58" s="8" t="n">
        <x:v>10381</x:v>
      </x:c>
      <x:c r="S58" s="8" t="n">
        <x:v>24033</x:v>
      </x:c>
      <x:c r="T58" s="11" t="n">
        <x:v>32.7</x:v>
      </x:c>
      <x:c r="U58" s="2" t="n">
        <x:v>2021</x:v>
      </x:c>
      <x:c r="V58" s="2" t="str">
        <x:v>https://www.mlit.go.jp/road/census/r3/data/csv/kasyo03.csv</x:v>
      </x:c>
      <x:c r="W58" s="2" t="n">
        <x:v>10</x:v>
      </x:c>
    </x:row>
    <x:row r="59" ht="21" customHeight="1">
      <x:c r="A59" s="7" t="str">
        <x:v>岩手：奥州市</x:v>
      </x:c>
      <x:c r="B59" s="2" t="str">
        <x:v>3134020010</x:v>
      </x:c>
      <x:c r="C59" s="2" t="str">
        <x:v>3000_290</x:v>
      </x:c>
      <x:c r="D59" s="2" t="str">
        <x:v>3215</x:v>
      </x:c>
      <x:c r="E59" s="2" t="str">
        <x:v>東北横断自動車道釜石秋田線</x:v>
      </x:c>
      <x:c r="F59" s="2" t="str">
        <x:v>岩手県花巻市東和町倉沢１１区</x:v>
      </x:c>
      <x:c r="G59" s="2" t="str">
        <x:v>岩手県花巻市東和町倉沢１１区</x:v>
      </x:c>
      <x:c r="H59" s="2" t="str">
        <x:v>観測</x:v>
      </x:c>
      <x:c r="I59" s="2" t="str">
        <x:v>観測</x:v>
      </x:c>
      <x:c r="J59" s="2" t="str">
        <x:v>24時間</x:v>
      </x:c>
      <x:c r="K59" s="2" t="str">
        <x:v>24時間</x:v>
      </x:c>
      <x:c r="L59" s="2" t="str">
        <x:v>20211000</x:v>
      </x:c>
      <x:c r="M59" s="2" t="str">
        <x:v>20211000</x:v>
      </x:c>
      <x:c r="N59" s="8" t="n">
        <x:v>3770</x:v>
      </x:c>
      <x:c r="O59" s="8" t="n">
        <x:v>656</x:v>
      </x:c>
      <x:c r="P59" s="8" t="n">
        <x:v>4426</x:v>
      </x:c>
      <x:c r="Q59" s="8" t="n">
        <x:v>4333</x:v>
      </x:c>
      <x:c r="R59" s="8" t="n">
        <x:v>815</x:v>
      </x:c>
      <x:c r="S59" s="8" t="n">
        <x:v>5148</x:v>
      </x:c>
      <x:c r="T59" s="11" t="n">
        <x:v>14.8</x:v>
      </x:c>
      <x:c r="U59" s="2" t="n">
        <x:v>2021</x:v>
      </x:c>
      <x:c r="V59" s="2" t="str">
        <x:v>https://www.mlit.go.jp/road/census/r3/data/csv/kasyo03.csv</x:v>
      </x:c>
      <x:c r="W59" s="2" t="n">
        <x:v>50</x:v>
      </x:c>
    </x:row>
    <x:row r="60" ht="21" customHeight="1">
      <x:c r="A60" s="7" t="str">
        <x:v>岩手：奥州市</x:v>
      </x:c>
      <x:c r="B60" s="2" t="str">
        <x:v>3134020020</x:v>
      </x:c>
      <x:c r="C60" s="2" t="str">
        <x:v>3000_295</x:v>
      </x:c>
      <x:c r="D60" s="2" t="str">
        <x:v>3215</x:v>
      </x:c>
      <x:c r="E60" s="2" t="str">
        <x:v>東北横断自動車道釜石秋田線</x:v>
      </x:c>
      <x:c r="F60" s="2" t="str">
        <x:v>岩手県花巻市東和町田瀬２７区</x:v>
      </x:c>
      <x:c r="G60" s="2" t="str">
        <x:v>岩手県花巻市東和町田瀬２７区</x:v>
      </x:c>
      <x:c r="H60" s="2" t="str">
        <x:v>観測</x:v>
      </x:c>
      <x:c r="I60" s="2" t="str">
        <x:v>観測</x:v>
      </x:c>
      <x:c r="J60" s="2" t="str">
        <x:v>24時間</x:v>
      </x:c>
      <x:c r="K60" s="2" t="str">
        <x:v>24時間</x:v>
      </x:c>
      <x:c r="L60" s="2" t="str">
        <x:v>20211000</x:v>
      </x:c>
      <x:c r="M60" s="2" t="str">
        <x:v>20211000</x:v>
      </x:c>
      <x:c r="N60" s="8" t="n">
        <x:v>6389</x:v>
      </x:c>
      <x:c r="O60" s="8" t="n">
        <x:v>1415</x:v>
      </x:c>
      <x:c r="P60" s="8" t="n">
        <x:v>7804</x:v>
      </x:c>
      <x:c r="Q60" s="8" t="n">
        <x:v>7642</x:v>
      </x:c>
      <x:c r="R60" s="8" t="n">
        <x:v>1803</x:v>
      </x:c>
      <x:c r="S60" s="8" t="n">
        <x:v>9445</x:v>
      </x:c>
      <x:c r="T60" s="11" t="n">
        <x:v>18.1</x:v>
      </x:c>
      <x:c r="U60" s="2" t="n">
        <x:v>2021</x:v>
      </x:c>
      <x:c r="V60" s="2" t="str">
        <x:v>https://www.mlit.go.jp/road/census/r3/data/csv/kasyo03.csv</x:v>
      </x:c>
      <x:c r="W60" s="2" t="n">
        <x:v>51</x:v>
      </x:c>
    </x:row>
    <x:row r="61" ht="21" customHeight="1">
      <x:c r="A61" s="7" t="str">
        <x:v>岩手：奥州市</x:v>
      </x:c>
      <x:c r="B61" s="2" t="str">
        <x:v>3300040120</x:v>
      </x:c>
      <x:c r="C61" s="2" t="str">
        <x:v>3000_10050</x:v>
      </x:c>
      <x:c r="D61" s="2" t="str">
        <x:v>3215</x:v>
      </x:c>
      <x:c r="E61" s="2" t="str">
        <x:v>一般国道４号</x:v>
      </x:c>
      <x:c r="F61" s="2" t="str">
        <x:v>前沢町字新城</x:v>
      </x:c>
      <x:c r="G61" s="2" t="str">
        <x:v>前沢町字新城</x:v>
      </x:c>
      <x:c r="H61" s="2" t="str">
        <x:v>観測</x:v>
      </x:c>
      <x:c r="I61" s="2" t="str">
        <x:v>観測</x:v>
      </x:c>
      <x:c r="J61" s="2" t="str">
        <x:v>12時間</x:v>
      </x:c>
      <x:c r="K61" s="2" t="str">
        <x:v>12時間</x:v>
      </x:c>
      <x:c r="L61" s="2" t="str">
        <x:v>20211005</x:v>
      </x:c>
      <x:c r="M61" s="2" t="str">
        <x:v>20211005</x:v>
      </x:c>
      <x:c r="N61" s="8" t="n">
        <x:v>12343</x:v>
      </x:c>
      <x:c r="O61" s="8" t="n">
        <x:v>3101</x:v>
      </x:c>
      <x:c r="P61" s="8" t="n">
        <x:v>15444</x:v>
      </x:c>
      <x:c r="Q61" s="8" t="n">
        <x:v>15500</x:v>
      </x:c>
      <x:c r="R61" s="8" t="n">
        <x:v>4114</x:v>
      </x:c>
      <x:c r="S61" s="8" t="n">
        <x:v>19614</x:v>
      </x:c>
      <x:c r="T61" s="11" t="n">
        <x:v>20.1</x:v>
      </x:c>
      <x:c r="U61" s="2" t="n">
        <x:v>2021</x:v>
      </x:c>
      <x:c r="V61" s="2" t="str">
        <x:v>https://www.mlit.go.jp/road/census/r3/data/csv/kasyo03.csv</x:v>
      </x:c>
      <x:c r="W61" s="2" t="n">
        <x:v>66</x:v>
      </x:c>
    </x:row>
    <x:row r="62" ht="21" customHeight="1">
      <x:c r="A62" s="7" t="str">
        <x:v>岩手：奥州市</x:v>
      </x:c>
      <x:c r="B62" s="2" t="str">
        <x:v>3300040130</x:v>
      </x:c>
      <x:c r="C62" s="2" t="str">
        <x:v>3000_10060</x:v>
      </x:c>
      <x:c r="D62" s="2" t="str">
        <x:v>3215</x:v>
      </x:c>
      <x:c r="E62" s="2" t="str">
        <x:v>一般国道４号</x:v>
      </x:c>
      <x:c r="F62" s="2" t="str">
        <x:v>奥州市前沢区古城丑沢北谷地</x:v>
      </x:c>
      <x:c r="G62" s="2" t="str">
        <x:v>奥州市前沢区古城丑沢北谷地</x:v>
      </x:c>
      <x:c r="H62" s="2" t="str">
        <x:v>観測</x:v>
      </x:c>
      <x:c r="I62" s="2" t="str">
        <x:v>観測</x:v>
      </x:c>
      <x:c r="J62" s="2" t="str">
        <x:v>24時間</x:v>
      </x:c>
      <x:c r="K62" s="2" t="str">
        <x:v>24時間</x:v>
      </x:c>
      <x:c r="L62" s="2" t="str">
        <x:v>20211005</x:v>
      </x:c>
      <x:c r="M62" s="2" t="str">
        <x:v>20211005</x:v>
      </x:c>
      <x:c r="N62" s="8" t="n">
        <x:v>10866</x:v>
      </x:c>
      <x:c r="O62" s="8" t="n">
        <x:v>1776</x:v>
      </x:c>
      <x:c r="P62" s="8" t="n">
        <x:v>12642</x:v>
      </x:c>
      <x:c r="Q62" s="8" t="n">
        <x:v>13463</x:v>
      </x:c>
      <x:c r="R62" s="8" t="n">
        <x:v>2608</x:v>
      </x:c>
      <x:c r="S62" s="8" t="n">
        <x:v>16071</x:v>
      </x:c>
      <x:c r="T62" s="11" t="n">
        <x:v>14</x:v>
      </x:c>
      <x:c r="U62" s="2" t="n">
        <x:v>2021</x:v>
      </x:c>
      <x:c r="V62" s="2" t="str">
        <x:v>https://www.mlit.go.jp/road/census/r3/data/csv/kasyo03.csv</x:v>
      </x:c>
      <x:c r="W62" s="2" t="n">
        <x:v>67</x:v>
      </x:c>
    </x:row>
    <x:row r="63" ht="21" customHeight="1">
      <x:c r="A63" s="7" t="str">
        <x:v>岩手：奥州市</x:v>
      </x:c>
      <x:c r="B63" s="2" t="str">
        <x:v>3300040140</x:v>
      </x:c>
      <x:c r="C63" s="2" t="str">
        <x:v>3000_10060</x:v>
      </x:c>
      <x:c r="D63" s="2" t="str">
        <x:v>3215</x:v>
      </x:c>
      <x:c r="E63" s="2" t="str">
        <x:v>一般国道４号</x:v>
      </x:c>
      <x:c r="F63" s="2" t="str">
        <x:v>奥州市前沢区古城丑沢北谷地</x:v>
      </x:c>
      <x:c r="G63" s="2" t="str">
        <x:v>奥州市前沢区古城丑沢北谷地</x:v>
      </x:c>
      <x:c r="H63" s="2" t="str">
        <x:v>観測</x:v>
      </x:c>
      <x:c r="I63" s="2" t="str">
        <x:v>観測</x:v>
      </x:c>
      <x:c r="J63" s="2" t="str">
        <x:v>24時間</x:v>
      </x:c>
      <x:c r="K63" s="2" t="str">
        <x:v>24時間</x:v>
      </x:c>
      <x:c r="L63" s="2" t="str">
        <x:v>20211005</x:v>
      </x:c>
      <x:c r="M63" s="2" t="str">
        <x:v>20211005</x:v>
      </x:c>
      <x:c r="N63" s="8" t="n">
        <x:v>10866</x:v>
      </x:c>
      <x:c r="O63" s="8" t="n">
        <x:v>1776</x:v>
      </x:c>
      <x:c r="P63" s="8" t="n">
        <x:v>12642</x:v>
      </x:c>
      <x:c r="Q63" s="8" t="n">
        <x:v>13463</x:v>
      </x:c>
      <x:c r="R63" s="8" t="n">
        <x:v>2608</x:v>
      </x:c>
      <x:c r="S63" s="8" t="n">
        <x:v>16071</x:v>
      </x:c>
      <x:c r="T63" s="11" t="n">
        <x:v>14</x:v>
      </x:c>
      <x:c r="U63" s="2" t="n">
        <x:v>2021</x:v>
      </x:c>
      <x:c r="V63" s="2" t="str">
        <x:v>https://www.mlit.go.jp/road/census/r3/data/csv/kasyo03.csv</x:v>
      </x:c>
      <x:c r="W63" s="2" t="n">
        <x:v>68</x:v>
      </x:c>
    </x:row>
    <x:row r="64" ht="21" customHeight="1">
      <x:c r="A64" s="7" t="str">
        <x:v>岩手：奥州市</x:v>
      </x:c>
      <x:c r="B64" s="2" t="str">
        <x:v>3300040150</x:v>
      </x:c>
      <x:c r="C64" s="2" t="str">
        <x:v>3000_10060</x:v>
      </x:c>
      <x:c r="D64" s="2" t="str">
        <x:v>3215</x:v>
      </x:c>
      <x:c r="E64" s="2" t="str">
        <x:v>一般国道４号</x:v>
      </x:c>
      <x:c r="F64" s="2" t="str">
        <x:v>奥州市前沢区古城丑沢北谷地</x:v>
      </x:c>
      <x:c r="G64" s="2" t="str">
        <x:v>奥州市前沢区古城丑沢北谷地</x:v>
      </x:c>
      <x:c r="H64" s="2" t="str">
        <x:v>観測</x:v>
      </x:c>
      <x:c r="I64" s="2" t="str">
        <x:v>観測</x:v>
      </x:c>
      <x:c r="J64" s="2" t="str">
        <x:v>24時間</x:v>
      </x:c>
      <x:c r="K64" s="2" t="str">
        <x:v>24時間</x:v>
      </x:c>
      <x:c r="L64" s="2" t="str">
        <x:v>20211005</x:v>
      </x:c>
      <x:c r="M64" s="2" t="str">
        <x:v>20211005</x:v>
      </x:c>
      <x:c r="N64" s="8" t="n">
        <x:v>10866</x:v>
      </x:c>
      <x:c r="O64" s="8" t="n">
        <x:v>1776</x:v>
      </x:c>
      <x:c r="P64" s="8" t="n">
        <x:v>12642</x:v>
      </x:c>
      <x:c r="Q64" s="8" t="n">
        <x:v>13463</x:v>
      </x:c>
      <x:c r="R64" s="8" t="n">
        <x:v>2608</x:v>
      </x:c>
      <x:c r="S64" s="8" t="n">
        <x:v>16071</x:v>
      </x:c>
      <x:c r="T64" s="11" t="n">
        <x:v>14</x:v>
      </x:c>
      <x:c r="U64" s="2" t="n">
        <x:v>2021</x:v>
      </x:c>
      <x:c r="V64" s="2" t="str">
        <x:v>https://www.mlit.go.jp/road/census/r3/data/csv/kasyo03.csv</x:v>
      </x:c>
      <x:c r="W64" s="2" t="n">
        <x:v>69</x:v>
      </x:c>
    </x:row>
    <x:row r="65" ht="21" customHeight="1">
      <x:c r="A65" s="7" t="str">
        <x:v>岩手：奥州市</x:v>
      </x:c>
      <x:c r="B65" s="2" t="str">
        <x:v>3300040160</x:v>
      </x:c>
      <x:c r="C65" s="2" t="str">
        <x:v>3000_10070</x:v>
      </x:c>
      <x:c r="D65" s="2" t="str">
        <x:v>3215</x:v>
      </x:c>
      <x:c r="E65" s="2" t="str">
        <x:v>一般国道４号</x:v>
      </x:c>
      <x:c r="F65" s="2" t="str">
        <x:v>奥州市前沢古城北町</x:v>
      </x:c>
      <x:c r="G65" s="2" t="str">
        <x:v>奥州市前沢古城北町</x:v>
      </x:c>
      <x:c r="H65" s="2" t="str">
        <x:v>推定</x:v>
      </x:c>
      <x:c r="I65" s="2" t="str">
        <x:v>推定</x:v>
      </x:c>
      <x:c r="J65" s="2" t="str">
        <x:v>12時間</x:v>
      </x:c>
      <x:c r="K65" s="2" t="str">
        <x:v>12時間</x:v>
      </x:c>
      <x:c r="L65" s="2" t="str">
        <x:v>20200901</x:v>
      </x:c>
      <x:c r="M65" s="2" t="str">
        <x:v>20200901</x:v>
      </x:c>
      <x:c r="N65" s="8" t="n">
        <x:v>10898</x:v>
      </x:c>
      <x:c r="O65" s="8" t="n">
        <x:v>1833</x:v>
      </x:c>
      <x:c r="P65" s="8" t="n">
        <x:v>12731</x:v>
      </x:c>
      <x:c r="Q65" s="8" t="n">
        <x:v>13501</x:v>
      </x:c>
      <x:c r="R65" s="8" t="n">
        <x:v>2668</x:v>
      </x:c>
      <x:c r="S65" s="8" t="n">
        <x:v>16169</x:v>
      </x:c>
      <x:c r="T65" s="11" t="n">
        <x:v>14.4</x:v>
      </x:c>
      <x:c r="U65" s="2" t="n">
        <x:v>2021</x:v>
      </x:c>
      <x:c r="V65" s="2" t="str">
        <x:v>https://www.mlit.go.jp/road/census/r3/data/csv/kasyo03.csv</x:v>
      </x:c>
      <x:c r="W65" s="2" t="n">
        <x:v>70</x:v>
      </x:c>
    </x:row>
    <x:row r="66" ht="21" customHeight="1">
      <x:c r="A66" s="7" t="str">
        <x:v>岩手：奥州市</x:v>
      </x:c>
      <x:c r="B66" s="2" t="str">
        <x:v>3300040170</x:v>
      </x:c>
      <x:c r="C66" s="2" t="str">
        <x:v>3000_10070</x:v>
      </x:c>
      <x:c r="D66" s="2" t="str">
        <x:v>3215</x:v>
      </x:c>
      <x:c r="E66" s="2" t="str">
        <x:v>一般国道４号</x:v>
      </x:c>
      <x:c r="F66" s="2" t="str">
        <x:v>奥州市前沢古城北町</x:v>
      </x:c>
      <x:c r="G66" s="2" t="str">
        <x:v>奥州市前沢古城北町</x:v>
      </x:c>
      <x:c r="H66" s="2" t="str">
        <x:v>推定</x:v>
      </x:c>
      <x:c r="I66" s="2" t="str">
        <x:v>推定</x:v>
      </x:c>
      <x:c r="J66" s="2" t="str">
        <x:v>12時間</x:v>
      </x:c>
      <x:c r="K66" s="2" t="str">
        <x:v>12時間</x:v>
      </x:c>
      <x:c r="L66" s="2" t="str">
        <x:v>20200901</x:v>
      </x:c>
      <x:c r="M66" s="2" t="str">
        <x:v>20200901</x:v>
      </x:c>
      <x:c r="N66" s="8" t="n">
        <x:v>10898</x:v>
      </x:c>
      <x:c r="O66" s="8" t="n">
        <x:v>1833</x:v>
      </x:c>
      <x:c r="P66" s="8" t="n">
        <x:v>12731</x:v>
      </x:c>
      <x:c r="Q66" s="8" t="n">
        <x:v>13501</x:v>
      </x:c>
      <x:c r="R66" s="8" t="n">
        <x:v>2668</x:v>
      </x:c>
      <x:c r="S66" s="8" t="n">
        <x:v>16169</x:v>
      </x:c>
      <x:c r="T66" s="11" t="n">
        <x:v>14.4</x:v>
      </x:c>
      <x:c r="U66" s="2" t="n">
        <x:v>2021</x:v>
      </x:c>
      <x:c r="V66" s="2" t="str">
        <x:v>https://www.mlit.go.jp/road/census/r3/data/csv/kasyo03.csv</x:v>
      </x:c>
      <x:c r="W66" s="2" t="n">
        <x:v>71</x:v>
      </x:c>
    </x:row>
    <x:row r="67" ht="21" customHeight="1">
      <x:c r="A67" s="7" t="str">
        <x:v>岩手：奥州市</x:v>
      </x:c>
      <x:c r="B67" s="2" t="str">
        <x:v>3300040180</x:v>
      </x:c>
      <x:c r="C67" s="2" t="str">
        <x:v>3000_10080</x:v>
      </x:c>
      <x:c r="D67" s="2" t="str">
        <x:v>3215</x:v>
      </x:c>
      <x:c r="E67" s="2" t="str">
        <x:v>一般国道４号</x:v>
      </x:c>
      <x:c r="F67" s="2" t="str">
        <x:v>岩手県奥州市水沢中田町5</x:v>
      </x:c>
      <x:c r="G67" s="2" t="str">
        <x:v>岩手県奥州市水沢中田町5</x:v>
      </x:c>
      <x:c r="H67" s="2" t="str">
        <x:v>推定</x:v>
      </x:c>
      <x:c r="I67" s="2" t="str">
        <x:v>推定</x:v>
      </x:c>
      <x:c r="J67" s="2" t="str">
        <x:v>12時間</x:v>
      </x:c>
      <x:c r="K67" s="2" t="str">
        <x:v>12時間</x:v>
      </x:c>
      <x:c r="L67" s="2" t="str">
        <x:v>20200324</x:v>
      </x:c>
      <x:c r="M67" s="2" t="str">
        <x:v>20200324</x:v>
      </x:c>
      <x:c r="N67" s="8" t="n">
        <x:v>7708</x:v>
      </x:c>
      <x:c r="O67" s="8" t="n">
        <x:v>1479</x:v>
      </x:c>
      <x:c r="P67" s="8" t="n">
        <x:v>9187</x:v>
      </x:c>
      <x:c r="Q67" s="8" t="n">
        <x:v>9507</x:v>
      </x:c>
      <x:c r="R67" s="8" t="n">
        <x:v>1977</x:v>
      </x:c>
      <x:c r="S67" s="8" t="n">
        <x:v>11484</x:v>
      </x:c>
      <x:c r="T67" s="11" t="n">
        <x:v>16.1</x:v>
      </x:c>
      <x:c r="U67" s="2" t="n">
        <x:v>2021</x:v>
      </x:c>
      <x:c r="V67" s="2" t="str">
        <x:v>https://www.mlit.go.jp/road/census/r3/data/csv/kasyo03.csv</x:v>
      </x:c>
      <x:c r="W67" s="2" t="n">
        <x:v>72</x:v>
      </x:c>
    </x:row>
    <x:row r="68" ht="21" customHeight="1">
      <x:c r="A68" s="7" t="str">
        <x:v>岩手：奥州市</x:v>
      </x:c>
      <x:c r="B68" s="2" t="str">
        <x:v>3300040190</x:v>
      </x:c>
      <x:c r="C68" s="2" t="str">
        <x:v>3000_10090</x:v>
      </x:c>
      <x:c r="D68" s="2" t="str">
        <x:v>3215</x:v>
      </x:c>
      <x:c r="E68" s="2" t="str">
        <x:v>一般国道４号</x:v>
      </x:c>
      <x:c r="F68" s="2" t="str">
        <x:v>奥州市水沢太日通り2</x:v>
      </x:c>
      <x:c r="G68" s="2" t="str">
        <x:v>奥州市水沢太日通り2</x:v>
      </x:c>
      <x:c r="H68" s="2" t="str">
        <x:v>推定</x:v>
      </x:c>
      <x:c r="I68" s="2" t="str">
        <x:v>推定</x:v>
      </x:c>
      <x:c r="J68" s="2" t="str">
        <x:v>12時間</x:v>
      </x:c>
      <x:c r="K68" s="2" t="str">
        <x:v>12時間</x:v>
      </x:c>
      <x:c r="L68" s="2" t="str">
        <x:v>20200324</x:v>
      </x:c>
      <x:c r="M68" s="2" t="str">
        <x:v>20200324</x:v>
      </x:c>
      <x:c r="N68" s="8" t="n">
        <x:v>9961</x:v>
      </x:c>
      <x:c r="O68" s="8" t="n">
        <x:v>1595</x:v>
      </x:c>
      <x:c r="P68" s="8" t="n">
        <x:v>11556</x:v>
      </x:c>
      <x:c r="Q68" s="8" t="n">
        <x:v>12223</x:v>
      </x:c>
      <x:c r="R68" s="8" t="n">
        <x:v>2222</x:v>
      </x:c>
      <x:c r="S68" s="8" t="n">
        <x:v>14445</x:v>
      </x:c>
      <x:c r="T68" s="11" t="n">
        <x:v>13.8</x:v>
      </x:c>
      <x:c r="U68" s="2" t="n">
        <x:v>2021</x:v>
      </x:c>
      <x:c r="V68" s="2" t="str">
        <x:v>https://www.mlit.go.jp/road/census/r3/data/csv/kasyo03.csv</x:v>
      </x:c>
      <x:c r="W68" s="2" t="n">
        <x:v>73</x:v>
      </x:c>
    </x:row>
    <x:row r="69" ht="21" customHeight="1">
      <x:c r="A69" s="7" t="str">
        <x:v>岩手：奥州市</x:v>
      </x:c>
      <x:c r="B69" s="2" t="str">
        <x:v>3300040200</x:v>
      </x:c>
      <x:c r="C69" s="2" t="str">
        <x:v>3000_10090</x:v>
      </x:c>
      <x:c r="D69" s="2" t="str">
        <x:v>3215</x:v>
      </x:c>
      <x:c r="E69" s="2" t="str">
        <x:v>一般国道４号</x:v>
      </x:c>
      <x:c r="F69" s="2" t="str">
        <x:v>奥州市水沢太日通り2</x:v>
      </x:c>
      <x:c r="G69" s="2" t="str">
        <x:v>奥州市水沢太日通り2</x:v>
      </x:c>
      <x:c r="H69" s="2" t="str">
        <x:v>推定</x:v>
      </x:c>
      <x:c r="I69" s="2" t="str">
        <x:v>推定</x:v>
      </x:c>
      <x:c r="J69" s="2" t="str">
        <x:v>12時間</x:v>
      </x:c>
      <x:c r="K69" s="2" t="str">
        <x:v>12時間</x:v>
      </x:c>
      <x:c r="L69" s="2" t="str">
        <x:v>20200324</x:v>
      </x:c>
      <x:c r="M69" s="2" t="str">
        <x:v>20200324</x:v>
      </x:c>
      <x:c r="N69" s="8" t="n">
        <x:v>9961</x:v>
      </x:c>
      <x:c r="O69" s="8" t="n">
        <x:v>1595</x:v>
      </x:c>
      <x:c r="P69" s="8" t="n">
        <x:v>11556</x:v>
      </x:c>
      <x:c r="Q69" s="8" t="n">
        <x:v>12223</x:v>
      </x:c>
      <x:c r="R69" s="8" t="n">
        <x:v>2222</x:v>
      </x:c>
      <x:c r="S69" s="8" t="n">
        <x:v>14445</x:v>
      </x:c>
      <x:c r="T69" s="11" t="n">
        <x:v>13.8</x:v>
      </x:c>
      <x:c r="U69" s="2" t="n">
        <x:v>2021</x:v>
      </x:c>
      <x:c r="V69" s="2" t="str">
        <x:v>https://www.mlit.go.jp/road/census/r3/data/csv/kasyo03.csv</x:v>
      </x:c>
      <x:c r="W69" s="2" t="n">
        <x:v>74</x:v>
      </x:c>
    </x:row>
    <x:row r="70" ht="21" customHeight="1">
      <x:c r="A70" s="7" t="str">
        <x:v>岩手：奥州市</x:v>
      </x:c>
      <x:c r="B70" s="2" t="str">
        <x:v>3300040210</x:v>
      </x:c>
      <x:c r="C70" s="2" t="str">
        <x:v>3000_10090</x:v>
      </x:c>
      <x:c r="D70" s="2" t="str">
        <x:v>3215</x:v>
      </x:c>
      <x:c r="E70" s="2" t="str">
        <x:v>一般国道４号</x:v>
      </x:c>
      <x:c r="F70" s="2" t="str">
        <x:v>奥州市水沢太日通り2</x:v>
      </x:c>
      <x:c r="G70" s="2" t="str">
        <x:v>奥州市水沢太日通り2</x:v>
      </x:c>
      <x:c r="H70" s="2" t="str">
        <x:v>推定</x:v>
      </x:c>
      <x:c r="I70" s="2" t="str">
        <x:v>推定</x:v>
      </x:c>
      <x:c r="J70" s="2" t="str">
        <x:v>12時間</x:v>
      </x:c>
      <x:c r="K70" s="2" t="str">
        <x:v>12時間</x:v>
      </x:c>
      <x:c r="L70" s="2" t="str">
        <x:v>20200324</x:v>
      </x:c>
      <x:c r="M70" s="2" t="str">
        <x:v>20200324</x:v>
      </x:c>
      <x:c r="N70" s="8" t="n">
        <x:v>9961</x:v>
      </x:c>
      <x:c r="O70" s="8" t="n">
        <x:v>1595</x:v>
      </x:c>
      <x:c r="P70" s="8" t="n">
        <x:v>11556</x:v>
      </x:c>
      <x:c r="Q70" s="8" t="n">
        <x:v>12223</x:v>
      </x:c>
      <x:c r="R70" s="8" t="n">
        <x:v>2222</x:v>
      </x:c>
      <x:c r="S70" s="8" t="n">
        <x:v>14445</x:v>
      </x:c>
      <x:c r="T70" s="11" t="n">
        <x:v>13.8</x:v>
      </x:c>
      <x:c r="U70" s="2" t="n">
        <x:v>2021</x:v>
      </x:c>
      <x:c r="V70" s="2" t="str">
        <x:v>https://www.mlit.go.jp/road/census/r3/data/csv/kasyo03.csv</x:v>
      </x:c>
      <x:c r="W70" s="2" t="n">
        <x:v>75</x:v>
      </x:c>
    </x:row>
    <x:row r="71" ht="21" customHeight="1">
      <x:c r="A71" s="7" t="str">
        <x:v>岩手：奥州市</x:v>
      </x:c>
      <x:c r="B71" s="2" t="str">
        <x:v>3300040220</x:v>
      </x:c>
      <x:c r="C71" s="2" t="str">
        <x:v>3000_10100</x:v>
      </x:c>
      <x:c r="D71" s="2" t="str">
        <x:v>3215</x:v>
      </x:c>
      <x:c r="E71" s="2" t="str">
        <x:v>一般国道４号</x:v>
      </x:c>
      <x:c r="F71" s="2" t="str">
        <x:v>奥州市水沢区佐倉河白井坂</x:v>
      </x:c>
      <x:c r="G71" s="2" t="str">
        <x:v>西磐井郡平泉町平泉坂下</x:v>
      </x:c>
      <x:c r="H71" s="2" t="str">
        <x:v>観測</x:v>
      </x:c>
      <x:c r="I71" s="2" t="str">
        <x:v>観測</x:v>
      </x:c>
      <x:c r="J71" s="2" t="str">
        <x:v>24時間</x:v>
      </x:c>
      <x:c r="K71" s="2" t="str">
        <x:v>24時間</x:v>
      </x:c>
      <x:c r="L71" s="2" t="str">
        <x:v>20211000</x:v>
      </x:c>
      <x:c r="M71" s="2" t="str">
        <x:v>20211000</x:v>
      </x:c>
      <x:c r="N71" s="8" t="n">
        <x:v>8776</x:v>
      </x:c>
      <x:c r="O71" s="8" t="n">
        <x:v>1332</x:v>
      </x:c>
      <x:c r="P71" s="8" t="n">
        <x:v>10108</x:v>
      </x:c>
      <x:c r="Q71" s="8" t="n">
        <x:v>10764</x:v>
      </x:c>
      <x:c r="R71" s="8" t="n">
        <x:v>1884</x:v>
      </x:c>
      <x:c r="S71" s="8" t="n">
        <x:v>12648</x:v>
      </x:c>
      <x:c r="T71" s="11" t="n">
        <x:v>13.2</x:v>
      </x:c>
      <x:c r="U71" s="2" t="n">
        <x:v>2021</x:v>
      </x:c>
      <x:c r="V71" s="2" t="str">
        <x:v>https://www.mlit.go.jp/road/census/r3/data/csv/kasyo03.csv</x:v>
      </x:c>
      <x:c r="W71" s="2" t="n">
        <x:v>76</x:v>
      </x:c>
    </x:row>
    <x:row r="72" ht="21" customHeight="1">
      <x:c r="A72" s="7" t="str">
        <x:v>岩手：奥州市</x:v>
      </x:c>
      <x:c r="B72" s="2" t="str">
        <x:v>3300040230</x:v>
      </x:c>
      <x:c r="C72" s="2" t="str">
        <x:v>3000_10100</x:v>
      </x:c>
      <x:c r="D72" s="2" t="str">
        <x:v>3215</x:v>
      </x:c>
      <x:c r="E72" s="2" t="str">
        <x:v>一般国道４号</x:v>
      </x:c>
      <x:c r="F72" s="2" t="str">
        <x:v>奥州市水沢区佐倉河白井坂</x:v>
      </x:c>
      <x:c r="G72" s="2" t="str">
        <x:v>西磐井郡平泉町平泉坂下</x:v>
      </x:c>
      <x:c r="H72" s="2" t="str">
        <x:v>観測</x:v>
      </x:c>
      <x:c r="I72" s="2" t="str">
        <x:v>観測</x:v>
      </x:c>
      <x:c r="J72" s="2" t="str">
        <x:v>24時間</x:v>
      </x:c>
      <x:c r="K72" s="2" t="str">
        <x:v>24時間</x:v>
      </x:c>
      <x:c r="L72" s="2" t="str">
        <x:v>20211000</x:v>
      </x:c>
      <x:c r="M72" s="2" t="str">
        <x:v>20211000</x:v>
      </x:c>
      <x:c r="N72" s="8" t="n">
        <x:v>8776</x:v>
      </x:c>
      <x:c r="O72" s="8" t="n">
        <x:v>1332</x:v>
      </x:c>
      <x:c r="P72" s="8" t="n">
        <x:v>10108</x:v>
      </x:c>
      <x:c r="Q72" s="8" t="n">
        <x:v>10764</x:v>
      </x:c>
      <x:c r="R72" s="8" t="n">
        <x:v>1884</x:v>
      </x:c>
      <x:c r="S72" s="8" t="n">
        <x:v>12648</x:v>
      </x:c>
      <x:c r="T72" s="11" t="n">
        <x:v>13.2</x:v>
      </x:c>
      <x:c r="U72" s="2" t="n">
        <x:v>2021</x:v>
      </x:c>
      <x:c r="V72" s="2" t="str">
        <x:v>https://www.mlit.go.jp/road/census/r3/data/csv/kasyo03.csv</x:v>
      </x:c>
      <x:c r="W72" s="2" t="n">
        <x:v>77</x:v>
      </x:c>
    </x:row>
    <x:row r="73" ht="21" customHeight="1">
      <x:c r="A73" s="7" t="str">
        <x:v>岩手：奥州市</x:v>
      </x:c>
      <x:c r="B73" s="2" t="str">
        <x:v>3300040235</x:v>
      </x:c>
      <x:c r="C73" s="2" t="str">
        <x:v>3000_10110</x:v>
      </x:c>
      <x:c r="D73" s="2" t="str">
        <x:v>3215</x:v>
      </x:c>
      <x:c r="E73" s="2" t="str">
        <x:v>一般国道４号</x:v>
      </x:c>
      <x:c r="F73" s="2" t="str">
        <x:v>奥州市水沢区佐倉河神子田</x:v>
      </x:c>
      <x:c r="G73" s="2" t="str">
        <x:v>奥州市水沢区佐倉河神子田</x:v>
      </x:c>
      <x:c r="H73" s="2" t="str">
        <x:v>観測</x:v>
      </x:c>
      <x:c r="I73" s="2" t="str">
        <x:v>観測</x:v>
      </x:c>
      <x:c r="J73" s="2" t="str">
        <x:v>12時間</x:v>
      </x:c>
      <x:c r="K73" s="2" t="str">
        <x:v>12時間</x:v>
      </x:c>
      <x:c r="L73" s="2" t="str">
        <x:v>20211013</x:v>
      </x:c>
      <x:c r="M73" s="2" t="str">
        <x:v>20211013</x:v>
      </x:c>
      <x:c r="N73" s="8" t="n">
        <x:v>13515</x:v>
      </x:c>
      <x:c r="O73" s="8" t="n">
        <x:v>2616</x:v>
      </x:c>
      <x:c r="P73" s="8" t="n">
        <x:v>16131</x:v>
      </x:c>
      <x:c r="Q73" s="8" t="n">
        <x:v>16673</x:v>
      </x:c>
      <x:c r="R73" s="8" t="n">
        <x:v>3491</x:v>
      </x:c>
      <x:c r="S73" s="8" t="n">
        <x:v>20164</x:v>
      </x:c>
      <x:c r="T73" s="11" t="n">
        <x:v>16.2</x:v>
      </x:c>
      <x:c r="U73" s="2" t="n">
        <x:v>2021</x:v>
      </x:c>
      <x:c r="V73" s="2" t="str">
        <x:v>https://www.mlit.go.jp/road/census/r3/data/csv/kasyo03.csv</x:v>
      </x:c>
      <x:c r="W73" s="2" t="n">
        <x:v>78</x:v>
      </x:c>
    </x:row>
    <x:row r="74" ht="21" customHeight="1">
      <x:c r="A74" s="7" t="str">
        <x:v>岩手：奥州市</x:v>
      </x:c>
      <x:c r="B74" s="2" t="str">
        <x:v>3300040240</x:v>
      </x:c>
      <x:c r="C74" s="2" t="str">
        <x:v>3000_10110</x:v>
      </x:c>
      <x:c r="D74" s="2" t="str">
        <x:v>3215</x:v>
      </x:c>
      <x:c r="E74" s="2" t="str">
        <x:v>一般国道４号</x:v>
      </x:c>
      <x:c r="F74" s="2" t="str">
        <x:v>奥州市水沢区佐倉河神子田</x:v>
      </x:c>
      <x:c r="G74" s="2" t="str">
        <x:v>奥州市水沢区佐倉河神子田</x:v>
      </x:c>
      <x:c r="H74" s="2" t="str">
        <x:v>観測</x:v>
      </x:c>
      <x:c r="I74" s="2" t="str">
        <x:v>観測</x:v>
      </x:c>
      <x:c r="J74" s="2" t="str">
        <x:v>12時間</x:v>
      </x:c>
      <x:c r="K74" s="2" t="str">
        <x:v>12時間</x:v>
      </x:c>
      <x:c r="L74" s="2" t="str">
        <x:v>20211013</x:v>
      </x:c>
      <x:c r="M74" s="2" t="str">
        <x:v>20211013</x:v>
      </x:c>
      <x:c r="N74" s="8" t="n">
        <x:v>13515</x:v>
      </x:c>
      <x:c r="O74" s="8" t="n">
        <x:v>2616</x:v>
      </x:c>
      <x:c r="P74" s="8" t="n">
        <x:v>16131</x:v>
      </x:c>
      <x:c r="Q74" s="8" t="n">
        <x:v>16673</x:v>
      </x:c>
      <x:c r="R74" s="8" t="n">
        <x:v>3491</x:v>
      </x:c>
      <x:c r="S74" s="8" t="n">
        <x:v>20164</x:v>
      </x:c>
      <x:c r="T74" s="11" t="n">
        <x:v>16.2</x:v>
      </x:c>
      <x:c r="U74" s="2" t="n">
        <x:v>2021</x:v>
      </x:c>
      <x:c r="V74" s="2" t="str">
        <x:v>https://www.mlit.go.jp/road/census/r3/data/csv/kasyo03.csv</x:v>
      </x:c>
      <x:c r="W74" s="2" t="n">
        <x:v>79</x:v>
      </x:c>
    </x:row>
    <x:row r="75" ht="21" customHeight="1">
      <x:c r="A75" s="7" t="str">
        <x:v>岩手：奥州市</x:v>
      </x:c>
      <x:c r="B75" s="2" t="str">
        <x:v>3300040250</x:v>
      </x:c>
      <x:c r="C75" s="2" t="str">
        <x:v>3000_10120</x:v>
      </x:c>
      <x:c r="D75" s="2" t="str">
        <x:v>3215</x:v>
      </x:c>
      <x:c r="E75" s="2" t="str">
        <x:v>一般国道４号</x:v>
      </x:c>
      <x:c r="F75" s="2" t="str">
        <x:v>胆沢郡金ケ崎町西根縦街道南</x:v>
      </x:c>
      <x:c r="G75" s="2" t="str">
        <x:v>胆沢郡金ケ崎町西根縦街道南</x:v>
      </x:c>
      <x:c r="H75" s="2" t="str">
        <x:v>推定</x:v>
      </x:c>
      <x:c r="I75" s="2" t="str">
        <x:v>推定</x:v>
      </x:c>
      <x:c r="J75" s="2" t="str">
        <x:v>12時間</x:v>
      </x:c>
      <x:c r="K75" s="2" t="str">
        <x:v>12時間</x:v>
      </x:c>
      <x:c r="L75" s="2" t="str">
        <x:v>20170606</x:v>
      </x:c>
      <x:c r="M75" s="2" t="str">
        <x:v>20170606</x:v>
      </x:c>
      <x:c r="N75" s="8" t="n">
        <x:v>10815</x:v>
      </x:c>
      <x:c r="O75" s="8" t="n">
        <x:v>2406</x:v>
      </x:c>
      <x:c r="P75" s="8" t="n">
        <x:v>13221</x:v>
      </x:c>
      <x:c r="Q75" s="8" t="n">
        <x:v>13403</x:v>
      </x:c>
      <x:c r="R75" s="8" t="n">
        <x:v>3123</x:v>
      </x:c>
      <x:c r="S75" s="8" t="n">
        <x:v>16526</x:v>
      </x:c>
      <x:c r="T75" s="11" t="n">
        <x:v>18.2</x:v>
      </x:c>
      <x:c r="U75" s="2" t="n">
        <x:v>2021</x:v>
      </x:c>
      <x:c r="V75" s="2" t="str">
        <x:v>https://www.mlit.go.jp/road/census/r3/data/csv/kasyo03.csv</x:v>
      </x:c>
      <x:c r="W75" s="2" t="n">
        <x:v>80</x:v>
      </x:c>
    </x:row>
    <x:row r="76" ht="21" customHeight="1">
      <x:c r="A76" s="7" t="str">
        <x:v>岩手：奥州市</x:v>
      </x:c>
      <x:c r="B76" s="2" t="str">
        <x:v>3300041290</x:v>
      </x:c>
      <x:c r="C76" s="2" t="str">
        <x:v>3000_10430</x:v>
      </x:c>
      <x:c r="D76" s="2" t="str">
        <x:v>3215</x:v>
      </x:c>
      <x:c r="E76" s="2" t="str">
        <x:v>一般国道４号</x:v>
      </x:c>
      <x:c r="F76" s="2" t="str">
        <x:v>奥州市水沢東中通り2丁目</x:v>
      </x:c>
      <x:c r="G76" s="2" t="str">
        <x:v>奥州市水沢東中通り2丁目</x:v>
      </x:c>
      <x:c r="H76" s="2" t="str">
        <x:v>推定</x:v>
      </x:c>
      <x:c r="I76" s="2" t="str">
        <x:v>推定</x:v>
      </x:c>
      <x:c r="J76" s="2" t="str">
        <x:v>12時間</x:v>
      </x:c>
      <x:c r="K76" s="2" t="str">
        <x:v>12時間</x:v>
      </x:c>
      <x:c r="L76" s="2" t="str">
        <x:v>20200324</x:v>
      </x:c>
      <x:c r="M76" s="2" t="str">
        <x:v>20200324</x:v>
      </x:c>
      <x:c r="N76" s="8" t="n">
        <x:v>7166</x:v>
      </x:c>
      <x:c r="O76" s="8" t="n">
        <x:v>548</x:v>
      </x:c>
      <x:c r="P76" s="8" t="n">
        <x:v>7714</x:v>
      </x:c>
      <x:c r="Q76" s="8" t="n">
        <x:v>8676</x:v>
      </x:c>
      <x:c r="R76" s="8" t="n">
        <x:v>967</x:v>
      </x:c>
      <x:c r="S76" s="8" t="n">
        <x:v>9643</x:v>
      </x:c>
      <x:c r="T76" s="11" t="n">
        <x:v>7.1</x:v>
      </x:c>
      <x:c r="U76" s="2" t="n">
        <x:v>2021</x:v>
      </x:c>
      <x:c r="V76" s="2" t="str">
        <x:v>https://www.mlit.go.jp/road/census/r3/data/csv/kasyo03.csv</x:v>
      </x:c>
      <x:c r="W76" s="2" t="n">
        <x:v>163</x:v>
      </x:c>
    </x:row>
    <x:row r="77" ht="21" customHeight="1">
      <x:c r="A77" s="7" t="str">
        <x:v>岩手：奥州市</x:v>
      </x:c>
      <x:c r="B77" s="2" t="str">
        <x:v>3300041300</x:v>
      </x:c>
      <x:c r="C77" s="2" t="str">
        <x:v>3000_10430</x:v>
      </x:c>
      <x:c r="D77" s="2" t="str">
        <x:v>3215</x:v>
      </x:c>
      <x:c r="E77" s="2" t="str">
        <x:v>一般国道４号</x:v>
      </x:c>
      <x:c r="F77" s="2" t="str">
        <x:v>奥州市水沢東中通り2丁目</x:v>
      </x:c>
      <x:c r="G77" s="2" t="str">
        <x:v>奥州市水沢東中通り2丁目</x:v>
      </x:c>
      <x:c r="H77" s="2" t="str">
        <x:v>推定</x:v>
      </x:c>
      <x:c r="I77" s="2" t="str">
        <x:v>推定</x:v>
      </x:c>
      <x:c r="J77" s="2" t="str">
        <x:v>12時間</x:v>
      </x:c>
      <x:c r="K77" s="2" t="str">
        <x:v>12時間</x:v>
      </x:c>
      <x:c r="L77" s="2" t="str">
        <x:v>20200324</x:v>
      </x:c>
      <x:c r="M77" s="2" t="str">
        <x:v>20200324</x:v>
      </x:c>
      <x:c r="N77" s="8" t="n">
        <x:v>7166</x:v>
      </x:c>
      <x:c r="O77" s="8" t="n">
        <x:v>548</x:v>
      </x:c>
      <x:c r="P77" s="8" t="n">
        <x:v>7714</x:v>
      </x:c>
      <x:c r="Q77" s="8" t="n">
        <x:v>8676</x:v>
      </x:c>
      <x:c r="R77" s="8" t="n">
        <x:v>967</x:v>
      </x:c>
      <x:c r="S77" s="8" t="n">
        <x:v>9643</x:v>
      </x:c>
      <x:c r="T77" s="11" t="n">
        <x:v>7.1</x:v>
      </x:c>
      <x:c r="U77" s="2" t="n">
        <x:v>2021</x:v>
      </x:c>
      <x:c r="V77" s="2" t="str">
        <x:v>https://www.mlit.go.jp/road/census/r3/data/csv/kasyo03.csv</x:v>
      </x:c>
      <x:c r="W77" s="2" t="n">
        <x:v>164</x:v>
      </x:c>
    </x:row>
    <x:row r="78" ht="21" customHeight="1">
      <x:c r="A78" s="7" t="str">
        <x:v>岩手：奥州市</x:v>
      </x:c>
      <x:c r="B78" s="2" t="str">
        <x:v>3300041120</x:v>
      </x:c>
      <x:c r="C78" s="2" t="str">
        <x:v>3000_10440</x:v>
      </x:c>
      <x:c r="D78" s="2" t="str">
        <x:v>3215</x:v>
      </x:c>
      <x:c r="E78" s="2" t="str">
        <x:v>一般国道４号</x:v>
      </x:c>
      <x:c r="F78" s="2" t="str">
        <x:v>奥州市水沢東中通り2丁目</x:v>
      </x:c>
      <x:c r="G78" s="2" t="str">
        <x:v>奥州市水沢東中通り2丁目</x:v>
      </x:c>
      <x:c r="H78" s="2" t="str">
        <x:v>推定</x:v>
      </x:c>
      <x:c r="I78" s="2" t="str">
        <x:v>推定</x:v>
      </x:c>
      <x:c r="J78" s="2" t="str">
        <x:v>12時間</x:v>
      </x:c>
      <x:c r="K78" s="2" t="str">
        <x:v>12時間</x:v>
      </x:c>
      <x:c r="L78" s="2" t="str">
        <x:v>20200324</x:v>
      </x:c>
      <x:c r="M78" s="2" t="str">
        <x:v>20200324</x:v>
      </x:c>
      <x:c r="N78" s="8" t="n">
        <x:v>8539</x:v>
      </x:c>
      <x:c r="O78" s="8" t="n">
        <x:v>712</x:v>
      </x:c>
      <x:c r="P78" s="8" t="n">
        <x:v>9251</x:v>
      </x:c>
      <x:c r="Q78" s="8" t="n">
        <x:v>10350</x:v>
      </x:c>
      <x:c r="R78" s="8" t="n">
        <x:v>1214</x:v>
      </x:c>
      <x:c r="S78" s="8" t="n">
        <x:v>11564</x:v>
      </x:c>
      <x:c r="T78" s="11" t="n">
        <x:v>7.7</x:v>
      </x:c>
      <x:c r="U78" s="2" t="n">
        <x:v>2021</x:v>
      </x:c>
      <x:c r="V78" s="2" t="str">
        <x:v>https://www.mlit.go.jp/road/census/r3/data/csv/kasyo03.csv</x:v>
      </x:c>
      <x:c r="W78" s="2" t="n">
        <x:v>165</x:v>
      </x:c>
    </x:row>
    <x:row r="79" ht="21" customHeight="1">
      <x:c r="A79" s="7" t="str">
        <x:v>岩手：奥州市</x:v>
      </x:c>
      <x:c r="B79" s="2" t="str">
        <x:v>3300041130</x:v>
      </x:c>
      <x:c r="C79" s="2" t="str">
        <x:v>3000_10440</x:v>
      </x:c>
      <x:c r="D79" s="2" t="str">
        <x:v>3215</x:v>
      </x:c>
      <x:c r="E79" s="2" t="str">
        <x:v>一般国道４号</x:v>
      </x:c>
      <x:c r="F79" s="2" t="str">
        <x:v>奥州市水沢東中通り2丁目</x:v>
      </x:c>
      <x:c r="G79" s="2" t="str">
        <x:v>奥州市水沢東中通り2丁目</x:v>
      </x:c>
      <x:c r="H79" s="2" t="str">
        <x:v>推定</x:v>
      </x:c>
      <x:c r="I79" s="2" t="str">
        <x:v>推定</x:v>
      </x:c>
      <x:c r="J79" s="2" t="str">
        <x:v>12時間</x:v>
      </x:c>
      <x:c r="K79" s="2" t="str">
        <x:v>12時間</x:v>
      </x:c>
      <x:c r="L79" s="2" t="str">
        <x:v>20200324</x:v>
      </x:c>
      <x:c r="M79" s="2" t="str">
        <x:v>20200324</x:v>
      </x:c>
      <x:c r="N79" s="8" t="n">
        <x:v>8539</x:v>
      </x:c>
      <x:c r="O79" s="8" t="n">
        <x:v>712</x:v>
      </x:c>
      <x:c r="P79" s="8" t="n">
        <x:v>9251</x:v>
      </x:c>
      <x:c r="Q79" s="8" t="n">
        <x:v>10350</x:v>
      </x:c>
      <x:c r="R79" s="8" t="n">
        <x:v>1214</x:v>
      </x:c>
      <x:c r="S79" s="8" t="n">
        <x:v>11564</x:v>
      </x:c>
      <x:c r="T79" s="11" t="n">
        <x:v>7.7</x:v>
      </x:c>
      <x:c r="U79" s="2" t="n">
        <x:v>2021</x:v>
      </x:c>
      <x:c r="V79" s="2" t="str">
        <x:v>https://www.mlit.go.jp/road/census/r3/data/csv/kasyo03.csv</x:v>
      </x:c>
      <x:c r="W79" s="2" t="n">
        <x:v>166</x:v>
      </x:c>
    </x:row>
    <x:row r="80" ht="21" customHeight="1">
      <x:c r="A80" s="7" t="str">
        <x:v>岩手：奥州市</x:v>
      </x:c>
      <x:c r="B80" s="2" t="str">
        <x:v>3300041140</x:v>
      </x:c>
      <x:c r="C80" s="2" t="str">
        <x:v>3000_10440</x:v>
      </x:c>
      <x:c r="D80" s="2" t="str">
        <x:v>3215</x:v>
      </x:c>
      <x:c r="E80" s="2" t="str">
        <x:v>一般国道４号</x:v>
      </x:c>
      <x:c r="F80" s="2" t="str">
        <x:v>奥州市水沢東中通り2丁目</x:v>
      </x:c>
      <x:c r="G80" s="2" t="str">
        <x:v>奥州市水沢東中通り2丁目</x:v>
      </x:c>
      <x:c r="H80" s="2" t="str">
        <x:v>推定</x:v>
      </x:c>
      <x:c r="I80" s="2" t="str">
        <x:v>推定</x:v>
      </x:c>
      <x:c r="J80" s="2" t="str">
        <x:v>12時間</x:v>
      </x:c>
      <x:c r="K80" s="2" t="str">
        <x:v>12時間</x:v>
      </x:c>
      <x:c r="L80" s="2" t="str">
        <x:v>20200324</x:v>
      </x:c>
      <x:c r="M80" s="2" t="str">
        <x:v>20200324</x:v>
      </x:c>
      <x:c r="N80" s="8" t="n">
        <x:v>8539</x:v>
      </x:c>
      <x:c r="O80" s="8" t="n">
        <x:v>712</x:v>
      </x:c>
      <x:c r="P80" s="8" t="n">
        <x:v>9251</x:v>
      </x:c>
      <x:c r="Q80" s="8" t="n">
        <x:v>10350</x:v>
      </x:c>
      <x:c r="R80" s="8" t="n">
        <x:v>1214</x:v>
      </x:c>
      <x:c r="S80" s="8" t="n">
        <x:v>11564</x:v>
      </x:c>
      <x:c r="T80" s="11" t="n">
        <x:v>7.7</x:v>
      </x:c>
      <x:c r="U80" s="2" t="n">
        <x:v>2021</x:v>
      </x:c>
      <x:c r="V80" s="2" t="str">
        <x:v>https://www.mlit.go.jp/road/census/r3/data/csv/kasyo03.csv</x:v>
      </x:c>
      <x:c r="W80" s="2" t="n">
        <x:v>167</x:v>
      </x:c>
    </x:row>
    <x:row r="81" ht="21" customHeight="1">
      <x:c r="A81" s="7" t="str">
        <x:v>岩手：奥州市</x:v>
      </x:c>
      <x:c r="B81" s="2" t="str">
        <x:v>3301070134</x:v>
      </x:c>
      <x:c r="C81" s="2" t="str">
        <x:v>3000_20220</x:v>
      </x:c>
      <x:c r="D81" s="2" t="str">
        <x:v>3215</x:v>
      </x:c>
      <x:c r="E81" s="2" t="str">
        <x:v>一般国道１０７号</x:v>
      </x:c>
      <x:c r="F81" s="2" t="str">
        <x:v>奥州市江刺区梁川(IC東側)</x:v>
      </x:c>
      <x:c r="G81" s="2" t="str">
        <x:v>奥州市江刺区梁川(IC東側)</x:v>
      </x:c>
      <x:c r="H81" s="2" t="str">
        <x:v>観測</x:v>
      </x:c>
      <x:c r="I81" s="2" t="str">
        <x:v>観測</x:v>
      </x:c>
      <x:c r="J81" s="2" t="str">
        <x:v>12時間</x:v>
      </x:c>
      <x:c r="K81" s="2" t="str">
        <x:v>12時間</x:v>
      </x:c>
      <x:c r="L81" s="2" t="str">
        <x:v>20211021</x:v>
      </x:c>
      <x:c r="M81" s="2" t="str">
        <x:v>20211021</x:v>
      </x:c>
      <x:c r="N81" s="8" t="n">
        <x:v>394</x:v>
      </x:c>
      <x:c r="O81" s="8" t="n">
        <x:v>34</x:v>
      </x:c>
      <x:c r="P81" s="8" t="n">
        <x:v>428</x:v>
      </x:c>
      <x:c r="Q81" s="8" t="n">
        <x:v>473</x:v>
      </x:c>
      <x:c r="R81" s="8" t="n">
        <x:v>58</x:v>
      </x:c>
      <x:c r="S81" s="8" t="n">
        <x:v>531</x:v>
      </x:c>
      <x:c r="T81" s="11" t="n">
        <x:v>7.9</x:v>
      </x:c>
      <x:c r="U81" s="2" t="n">
        <x:v>2021</x:v>
      </x:c>
      <x:c r="V81" s="2" t="str">
        <x:v>https://www.mlit.go.jp/road/census/r3/data/csv/kasyo03.csv</x:v>
      </x:c>
      <x:c r="W81" s="2" t="n">
        <x:v>432</x:v>
      </x:c>
    </x:row>
    <x:row r="82" ht="21" customHeight="1">
      <x:c r="A82" s="7" t="str">
        <x:v>岩手：奥州市</x:v>
      </x:c>
      <x:c r="B82" s="2" t="str">
        <x:v>3301070370</x:v>
      </x:c>
      <x:c r="C82" s="2" t="str">
        <x:v>3000_20220</x:v>
      </x:c>
      <x:c r="D82" s="2" t="str">
        <x:v>3215</x:v>
      </x:c>
      <x:c r="E82" s="2" t="str">
        <x:v>一般国道１０７号</x:v>
      </x:c>
      <x:c r="F82" s="2" t="str">
        <x:v>奥州市江刺区梁川(IC東側)</x:v>
      </x:c>
      <x:c r="G82" s="2" t="str">
        <x:v>奥州市江刺区梁川(IC東側)</x:v>
      </x:c>
      <x:c r="H82" s="2" t="str">
        <x:v>観測</x:v>
      </x:c>
      <x:c r="I82" s="2" t="str">
        <x:v>観測</x:v>
      </x:c>
      <x:c r="J82" s="2" t="str">
        <x:v>12時間</x:v>
      </x:c>
      <x:c r="K82" s="2" t="str">
        <x:v>12時間</x:v>
      </x:c>
      <x:c r="L82" s="2" t="str">
        <x:v>20211021</x:v>
      </x:c>
      <x:c r="M82" s="2" t="str">
        <x:v>20211021</x:v>
      </x:c>
      <x:c r="N82" s="8" t="n">
        <x:v>394</x:v>
      </x:c>
      <x:c r="O82" s="8" t="n">
        <x:v>34</x:v>
      </x:c>
      <x:c r="P82" s="8" t="n">
        <x:v>428</x:v>
      </x:c>
      <x:c r="Q82" s="8" t="n">
        <x:v>473</x:v>
      </x:c>
      <x:c r="R82" s="8" t="n">
        <x:v>58</x:v>
      </x:c>
      <x:c r="S82" s="8" t="n">
        <x:v>531</x:v>
      </x:c>
      <x:c r="T82" s="11" t="n">
        <x:v>7.9</x:v>
      </x:c>
      <x:c r="U82" s="2" t="n">
        <x:v>2021</x:v>
      </x:c>
      <x:c r="V82" s="2" t="str">
        <x:v>https://www.mlit.go.jp/road/census/r3/data/csv/kasyo03.csv</x:v>
      </x:c>
      <x:c r="W82" s="2" t="n">
        <x:v>433</x:v>
      </x:c>
    </x:row>
    <x:row r="83" ht="21" customHeight="1">
      <x:c r="A83" s="7" t="str">
        <x:v>岩手：奥州市</x:v>
      </x:c>
      <x:c r="B83" s="2" t="str">
        <x:v>3301070380</x:v>
      </x:c>
      <x:c r="C83" s="2" t="str">
        <x:v>3000_20230</x:v>
      </x:c>
      <x:c r="D83" s="2" t="str">
        <x:v>3215</x:v>
      </x:c>
      <x:c r="E83" s="2" t="str">
        <x:v>一般国道１０７号</x:v>
      </x:c>
      <x:c r="F83" s="2" t="str">
        <x:v>奥州市江刺区梁川字猫沢(IC西側)</x:v>
      </x:c>
      <x:c r="G83" s="2" t="str">
        <x:v>奥州市江刺区梁川字猫沢(IC西側)</x:v>
      </x:c>
      <x:c r="H83" s="2" t="str">
        <x:v>観測</x:v>
      </x:c>
      <x:c r="I83" s="2" t="str">
        <x:v>観測</x:v>
      </x:c>
      <x:c r="J83" s="2" t="str">
        <x:v>12時間</x:v>
      </x:c>
      <x:c r="K83" s="2" t="str">
        <x:v>12時間</x:v>
      </x:c>
      <x:c r="L83" s="2" t="str">
        <x:v>20211021</x:v>
      </x:c>
      <x:c r="M83" s="2" t="str">
        <x:v>20211021</x:v>
      </x:c>
      <x:c r="N83" s="8" t="n">
        <x:v>3479</x:v>
      </x:c>
      <x:c r="O83" s="8" t="n">
        <x:v>787</x:v>
      </x:c>
      <x:c r="P83" s="8" t="n">
        <x:v>4266</x:v>
      </x:c>
      <x:c r="Q83" s="8" t="n">
        <x:v>4117</x:v>
      </x:c>
      <x:c r="R83" s="8" t="n">
        <x:v>1088</x:v>
      </x:c>
      <x:c r="S83" s="8" t="n">
        <x:v>5205</x:v>
      </x:c>
      <x:c r="T83" s="11" t="n">
        <x:v>18.4</x:v>
      </x:c>
      <x:c r="U83" s="2" t="n">
        <x:v>2021</x:v>
      </x:c>
      <x:c r="V83" s="2" t="str">
        <x:v>https://www.mlit.go.jp/road/census/r3/data/csv/kasyo03.csv</x:v>
      </x:c>
      <x:c r="W83" s="2" t="n">
        <x:v>434</x:v>
      </x:c>
    </x:row>
    <x:row r="84" ht="21" customHeight="1">
      <x:c r="A84" s="7" t="str">
        <x:v>岩手：奥州市</x:v>
      </x:c>
      <x:c r="B84" s="2" t="str">
        <x:v>3301070140</x:v>
      </x:c>
      <x:c r="C84" s="2" t="str">
        <x:v>3000_20230</x:v>
      </x:c>
      <x:c r="D84" s="2" t="str">
        <x:v>3215</x:v>
      </x:c>
      <x:c r="E84" s="2" t="str">
        <x:v>一般国道１０７号</x:v>
      </x:c>
      <x:c r="F84" s="2" t="str">
        <x:v>奥州市江刺区梁川字猫沢(IC西側)</x:v>
      </x:c>
      <x:c r="G84" s="2" t="str">
        <x:v>奥州市江刺区梁川字猫沢(IC西側)</x:v>
      </x:c>
      <x:c r="H84" s="2" t="str">
        <x:v>観測</x:v>
      </x:c>
      <x:c r="I84" s="2" t="str">
        <x:v>観測</x:v>
      </x:c>
      <x:c r="J84" s="2" t="str">
        <x:v>12時間</x:v>
      </x:c>
      <x:c r="K84" s="2" t="str">
        <x:v>12時間</x:v>
      </x:c>
      <x:c r="L84" s="2" t="str">
        <x:v>20211021</x:v>
      </x:c>
      <x:c r="M84" s="2" t="str">
        <x:v>20211021</x:v>
      </x:c>
      <x:c r="N84" s="8" t="n">
        <x:v>3479</x:v>
      </x:c>
      <x:c r="O84" s="8" t="n">
        <x:v>787</x:v>
      </x:c>
      <x:c r="P84" s="8" t="n">
        <x:v>4266</x:v>
      </x:c>
      <x:c r="Q84" s="8" t="n">
        <x:v>4117</x:v>
      </x:c>
      <x:c r="R84" s="8" t="n">
        <x:v>1088</x:v>
      </x:c>
      <x:c r="S84" s="8" t="n">
        <x:v>5205</x:v>
      </x:c>
      <x:c r="T84" s="11" t="n">
        <x:v>18.4</x:v>
      </x:c>
      <x:c r="U84" s="2" t="n">
        <x:v>2021</x:v>
      </x:c>
      <x:c r="V84" s="2" t="str">
        <x:v>https://www.mlit.go.jp/road/census/r3/data/csv/kasyo03.csv</x:v>
      </x:c>
      <x:c r="W84" s="2" t="n">
        <x:v>435</x:v>
      </x:c>
    </x:row>
    <x:row r="85" ht="21" customHeight="1">
      <x:c r="A85" s="7" t="str">
        <x:v>岩手：奥州市</x:v>
      </x:c>
      <x:c r="B85" s="2" t="str">
        <x:v>3301070145</x:v>
      </x:c>
      <x:c r="C85" s="2" t="str">
        <x:v>3000_20230</x:v>
      </x:c>
      <x:c r="D85" s="2" t="str">
        <x:v>3215</x:v>
      </x:c>
      <x:c r="E85" s="2" t="str">
        <x:v>一般国道１０７号</x:v>
      </x:c>
      <x:c r="F85" s="2" t="str">
        <x:v>奥州市江刺区梁川字猫沢(IC西側)</x:v>
      </x:c>
      <x:c r="G85" s="2" t="str">
        <x:v>奥州市江刺区梁川字猫沢(IC西側)</x:v>
      </x:c>
      <x:c r="H85" s="2" t="str">
        <x:v>観測</x:v>
      </x:c>
      <x:c r="I85" s="2" t="str">
        <x:v>観測</x:v>
      </x:c>
      <x:c r="J85" s="2" t="str">
        <x:v>12時間</x:v>
      </x:c>
      <x:c r="K85" s="2" t="str">
        <x:v>12時間</x:v>
      </x:c>
      <x:c r="L85" s="2" t="str">
        <x:v>20211021</x:v>
      </x:c>
      <x:c r="M85" s="2" t="str">
        <x:v>20211021</x:v>
      </x:c>
      <x:c r="N85" s="8" t="n">
        <x:v>3479</x:v>
      </x:c>
      <x:c r="O85" s="8" t="n">
        <x:v>787</x:v>
      </x:c>
      <x:c r="P85" s="8" t="n">
        <x:v>4266</x:v>
      </x:c>
      <x:c r="Q85" s="8" t="n">
        <x:v>4117</x:v>
      </x:c>
      <x:c r="R85" s="8" t="n">
        <x:v>1088</x:v>
      </x:c>
      <x:c r="S85" s="8" t="n">
        <x:v>5205</x:v>
      </x:c>
      <x:c r="T85" s="11" t="n">
        <x:v>18.4</x:v>
      </x:c>
      <x:c r="U85" s="2" t="n">
        <x:v>2021</x:v>
      </x:c>
      <x:c r="V85" s="2" t="str">
        <x:v>https://www.mlit.go.jp/road/census/r3/data/csv/kasyo03.csv</x:v>
      </x:c>
      <x:c r="W85" s="2" t="n">
        <x:v>436</x:v>
      </x:c>
    </x:row>
    <x:row r="86" ht="21" customHeight="1">
      <x:c r="A86" s="7" t="str">
        <x:v>岩手：奥州市</x:v>
      </x:c>
      <x:c r="B86" s="2" t="str">
        <x:v>3301070150</x:v>
      </x:c>
      <x:c r="C86" s="2" t="str">
        <x:v>3000_20340</x:v>
      </x:c>
      <x:c r="D86" s="2" t="str">
        <x:v>3215</x:v>
      </x:c>
      <x:c r="E86" s="2" t="str">
        <x:v>一般国道１０７号</x:v>
      </x:c>
      <x:c r="F86" s="2"/>
      <x:c r="G86" s="2"/>
      <x:c r="H86" s="2" t="str">
        <x:v>推定</x:v>
      </x:c>
      <x:c r="I86" s="2" t="str">
        <x:v>推定</x:v>
      </x:c>
      <x:c r="J86" s="2" t="str">
        <x:v>未記載</x:v>
      </x:c>
      <x:c r="K86" s="2" t="str">
        <x:v>未記載</x:v>
      </x:c>
      <x:c r="L86" s="2"/>
      <x:c r="M86" s="2"/>
      <x:c r="N86" s="8" t="n">
        <x:v>4822</x:v>
      </x:c>
      <x:c r="O86" s="8" t="n">
        <x:v>798</x:v>
      </x:c>
      <x:c r="P86" s="8" t="n">
        <x:v>5620</x:v>
      </x:c>
      <x:c r="Q86" s="8" t="n">
        <x:v>5756</x:v>
      </x:c>
      <x:c r="R86" s="8" t="n">
        <x:v>1157</x:v>
      </x:c>
      <x:c r="S86" s="8" t="n">
        <x:v>6913</x:v>
      </x:c>
      <x:c r="T86" s="11" t="n">
        <x:v>14.2</x:v>
      </x:c>
      <x:c r="U86" s="2" t="n">
        <x:v>2021</x:v>
      </x:c>
      <x:c r="V86" s="2" t="str">
        <x:v>https://www.mlit.go.jp/road/census/r3/data/csv/kasyo03.csv</x:v>
      </x:c>
      <x:c r="W86" s="2" t="n">
        <x:v>437</x:v>
      </x:c>
    </x:row>
    <x:row r="87" ht="21" customHeight="1">
      <x:c r="A87" s="7" t="str">
        <x:v>岩手：奥州市</x:v>
      </x:c>
      <x:c r="B87" s="2" t="str">
        <x:v>3301070400</x:v>
      </x:c>
      <x:c r="C87" s="2" t="str">
        <x:v>3000_20250</x:v>
      </x:c>
      <x:c r="D87" s="2" t="str">
        <x:v>3215</x:v>
      </x:c>
      <x:c r="E87" s="2" t="str">
        <x:v>一般国道１０７号</x:v>
      </x:c>
      <x:c r="F87" s="2" t="str">
        <x:v>北上市口内町青木田</x:v>
      </x:c>
      <x:c r="G87" s="2" t="str">
        <x:v>北上市口内町青木田</x:v>
      </x:c>
      <x:c r="H87" s="2" t="str">
        <x:v>観測</x:v>
      </x:c>
      <x:c r="I87" s="2" t="str">
        <x:v>観測</x:v>
      </x:c>
      <x:c r="J87" s="2" t="str">
        <x:v>12時間</x:v>
      </x:c>
      <x:c r="K87" s="2" t="str">
        <x:v>12時間</x:v>
      </x:c>
      <x:c r="L87" s="2" t="str">
        <x:v>20211012</x:v>
      </x:c>
      <x:c r="M87" s="2" t="str">
        <x:v>20211012</x:v>
      </x:c>
      <x:c r="N87" s="8" t="n">
        <x:v>4793</x:v>
      </x:c>
      <x:c r="O87" s="8" t="n">
        <x:v>932</x:v>
      </x:c>
      <x:c r="P87" s="8" t="n">
        <x:v>5725</x:v>
      </x:c>
      <x:c r="Q87" s="8" t="n">
        <x:v>5744</x:v>
      </x:c>
      <x:c r="R87" s="8" t="n">
        <x:v>1298</x:v>
      </x:c>
      <x:c r="S87" s="8" t="n">
        <x:v>7042</x:v>
      </x:c>
      <x:c r="T87" s="11" t="n">
        <x:v>16.3</x:v>
      </x:c>
      <x:c r="U87" s="2" t="n">
        <x:v>2021</x:v>
      </x:c>
      <x:c r="V87" s="2" t="str">
        <x:v>https://www.mlit.go.jp/road/census/r3/data/csv/kasyo03.csv</x:v>
      </x:c>
      <x:c r="W87" s="2" t="n">
        <x:v>460</x:v>
      </x:c>
    </x:row>
    <x:row r="88" ht="21" customHeight="1">
      <x:c r="A88" s="7" t="str">
        <x:v>岩手：奥州市</x:v>
      </x:c>
      <x:c r="B88" s="2" t="str">
        <x:v>3303430150</x:v>
      </x:c>
      <x:c r="C88" s="2" t="str">
        <x:v>3000_21150</x:v>
      </x:c>
      <x:c r="D88" s="2" t="str">
        <x:v>3215</x:v>
      </x:c>
      <x:c r="E88" s="2" t="str">
        <x:v>一般国道３４３号</x:v>
      </x:c>
      <x:c r="F88" s="2" t="str">
        <x:v>奥州市水沢区黒石町山内</x:v>
      </x:c>
      <x:c r="G88" s="2" t="str">
        <x:v>奥州市水沢区黒石町山内</x:v>
      </x:c>
      <x:c r="H88" s="2" t="str">
        <x:v>観測</x:v>
      </x:c>
      <x:c r="I88" s="2" t="str">
        <x:v>観測</x:v>
      </x:c>
      <x:c r="J88" s="2" t="str">
        <x:v>12時間</x:v>
      </x:c>
      <x:c r="K88" s="2" t="str">
        <x:v>12時間</x:v>
      </x:c>
      <x:c r="L88" s="2" t="str">
        <x:v>20210930</x:v>
      </x:c>
      <x:c r="M88" s="2" t="str">
        <x:v>20210930</x:v>
      </x:c>
      <x:c r="N88" s="8" t="n">
        <x:v>3015</x:v>
      </x:c>
      <x:c r="O88" s="8" t="n">
        <x:v>469</x:v>
      </x:c>
      <x:c r="P88" s="8" t="n">
        <x:v>3484</x:v>
      </x:c>
      <x:c r="Q88" s="8" t="n">
        <x:v>3539</x:v>
      </x:c>
      <x:c r="R88" s="8" t="n">
        <x:v>711</x:v>
      </x:c>
      <x:c r="S88" s="8" t="n">
        <x:v>4250</x:v>
      </x:c>
      <x:c r="T88" s="11" t="n">
        <x:v>13.5</x:v>
      </x:c>
      <x:c r="U88" s="2" t="n">
        <x:v>2021</x:v>
      </x:c>
      <x:c r="V88" s="2" t="str">
        <x:v>https://www.mlit.go.jp/road/census/r3/data/csv/kasyo03.csv</x:v>
      </x:c>
      <x:c r="W88" s="2" t="n">
        <x:v>640</x:v>
      </x:c>
    </x:row>
    <x:row r="89" ht="21" customHeight="1">
      <x:c r="A89" s="7" t="str">
        <x:v>岩手：奥州市</x:v>
      </x:c>
      <x:c r="B89" s="2" t="str">
        <x:v>3303430160</x:v>
      </x:c>
      <x:c r="C89" s="2" t="str">
        <x:v>3000_21150</x:v>
      </x:c>
      <x:c r="D89" s="2" t="str">
        <x:v>3215</x:v>
      </x:c>
      <x:c r="E89" s="2" t="str">
        <x:v>一般国道３４３号</x:v>
      </x:c>
      <x:c r="F89" s="2" t="str">
        <x:v>奥州市水沢区黒石町山内</x:v>
      </x:c>
      <x:c r="G89" s="2" t="str">
        <x:v>奥州市水沢区黒石町山内</x:v>
      </x:c>
      <x:c r="H89" s="2" t="str">
        <x:v>観測</x:v>
      </x:c>
      <x:c r="I89" s="2" t="str">
        <x:v>観測</x:v>
      </x:c>
      <x:c r="J89" s="2" t="str">
        <x:v>12時間</x:v>
      </x:c>
      <x:c r="K89" s="2" t="str">
        <x:v>12時間</x:v>
      </x:c>
      <x:c r="L89" s="2" t="str">
        <x:v>20210930</x:v>
      </x:c>
      <x:c r="M89" s="2" t="str">
        <x:v>20210930</x:v>
      </x:c>
      <x:c r="N89" s="8" t="n">
        <x:v>3015</x:v>
      </x:c>
      <x:c r="O89" s="8" t="n">
        <x:v>469</x:v>
      </x:c>
      <x:c r="P89" s="8" t="n">
        <x:v>3484</x:v>
      </x:c>
      <x:c r="Q89" s="8" t="n">
        <x:v>3539</x:v>
      </x:c>
      <x:c r="R89" s="8" t="n">
        <x:v>711</x:v>
      </x:c>
      <x:c r="S89" s="8" t="n">
        <x:v>4250</x:v>
      </x:c>
      <x:c r="T89" s="11" t="n">
        <x:v>13.5</x:v>
      </x:c>
      <x:c r="U89" s="2" t="n">
        <x:v>2021</x:v>
      </x:c>
      <x:c r="V89" s="2" t="str">
        <x:v>https://www.mlit.go.jp/road/census/r3/data/csv/kasyo03.csv</x:v>
      </x:c>
      <x:c r="W89" s="2" t="n">
        <x:v>641</x:v>
      </x:c>
    </x:row>
    <x:row r="90" ht="21" customHeight="1">
      <x:c r="A90" s="7" t="str">
        <x:v>岩手：奥州市</x:v>
      </x:c>
      <x:c r="B90" s="2" t="str">
        <x:v>3303430170</x:v>
      </x:c>
      <x:c r="C90" s="2" t="str">
        <x:v>3000_21160</x:v>
      </x:c>
      <x:c r="D90" s="2" t="str">
        <x:v>3215</x:v>
      </x:c>
      <x:c r="E90" s="2" t="str">
        <x:v>一般国道３４３号</x:v>
      </x:c>
      <x:c r="F90" s="2" t="str">
        <x:v>奥州市水沢区姉体町字姉体</x:v>
      </x:c>
      <x:c r="G90" s="2" t="str">
        <x:v>奥州市水沢区姉体町字姉体</x:v>
      </x:c>
      <x:c r="H90" s="2" t="str">
        <x:v>観測</x:v>
      </x:c>
      <x:c r="I90" s="2" t="str">
        <x:v>観測</x:v>
      </x:c>
      <x:c r="J90" s="2" t="str">
        <x:v>12時間</x:v>
      </x:c>
      <x:c r="K90" s="2" t="str">
        <x:v>12時間</x:v>
      </x:c>
      <x:c r="L90" s="2" t="str">
        <x:v>20211005</x:v>
      </x:c>
      <x:c r="M90" s="2" t="str">
        <x:v>20211005</x:v>
      </x:c>
      <x:c r="N90" s="8" t="n">
        <x:v>4474</x:v>
      </x:c>
      <x:c r="O90" s="8" t="n">
        <x:v>519</x:v>
      </x:c>
      <x:c r="P90" s="8" t="n">
        <x:v>4993</x:v>
      </x:c>
      <x:c r="Q90" s="8" t="n">
        <x:v>5273</x:v>
      </x:c>
      <x:c r="R90" s="8" t="n">
        <x:v>868</x:v>
      </x:c>
      <x:c r="S90" s="8" t="n">
        <x:v>6141</x:v>
      </x:c>
      <x:c r="T90" s="11" t="n">
        <x:v>10.4</x:v>
      </x:c>
      <x:c r="U90" s="2" t="n">
        <x:v>2021</x:v>
      </x:c>
      <x:c r="V90" s="2" t="str">
        <x:v>https://www.mlit.go.jp/road/census/r3/data/csv/kasyo03.csv</x:v>
      </x:c>
      <x:c r="W90" s="2" t="n">
        <x:v>642</x:v>
      </x:c>
    </x:row>
    <x:row r="91" ht="21" customHeight="1">
      <x:c r="A91" s="7" t="str">
        <x:v>岩手：奥州市</x:v>
      </x:c>
      <x:c r="B91" s="2" t="str">
        <x:v>3303430180</x:v>
      </x:c>
      <x:c r="C91" s="2" t="str">
        <x:v>3000_21160</x:v>
      </x:c>
      <x:c r="D91" s="2" t="str">
        <x:v>3215</x:v>
      </x:c>
      <x:c r="E91" s="2" t="str">
        <x:v>一般国道３４３号</x:v>
      </x:c>
      <x:c r="F91" s="2" t="str">
        <x:v>奥州市水沢区姉体町字姉体</x:v>
      </x:c>
      <x:c r="G91" s="2" t="str">
        <x:v>奥州市水沢区姉体町字姉体</x:v>
      </x:c>
      <x:c r="H91" s="2" t="str">
        <x:v>観測</x:v>
      </x:c>
      <x:c r="I91" s="2" t="str">
        <x:v>観測</x:v>
      </x:c>
      <x:c r="J91" s="2" t="str">
        <x:v>12時間</x:v>
      </x:c>
      <x:c r="K91" s="2" t="str">
        <x:v>12時間</x:v>
      </x:c>
      <x:c r="L91" s="2" t="str">
        <x:v>20211005</x:v>
      </x:c>
      <x:c r="M91" s="2" t="str">
        <x:v>20211005</x:v>
      </x:c>
      <x:c r="N91" s="8" t="n">
        <x:v>4474</x:v>
      </x:c>
      <x:c r="O91" s="8" t="n">
        <x:v>519</x:v>
      </x:c>
      <x:c r="P91" s="8" t="n">
        <x:v>4993</x:v>
      </x:c>
      <x:c r="Q91" s="8" t="n">
        <x:v>5273</x:v>
      </x:c>
      <x:c r="R91" s="8" t="n">
        <x:v>868</x:v>
      </x:c>
      <x:c r="S91" s="8" t="n">
        <x:v>6141</x:v>
      </x:c>
      <x:c r="T91" s="11" t="n">
        <x:v>10.4</x:v>
      </x:c>
      <x:c r="U91" s="2" t="n">
        <x:v>2021</x:v>
      </x:c>
      <x:c r="V91" s="2" t="str">
        <x:v>https://www.mlit.go.jp/road/census/r3/data/csv/kasyo03.csv</x:v>
      </x:c>
      <x:c r="W91" s="2" t="n">
        <x:v>643</x:v>
      </x:c>
    </x:row>
    <x:row r="92" ht="21" customHeight="1">
      <x:c r="A92" s="7" t="str">
        <x:v>岩手：奥州市</x:v>
      </x:c>
      <x:c r="B92" s="2" t="str">
        <x:v>3303430185</x:v>
      </x:c>
      <x:c r="C92" s="2" t="str">
        <x:v>3000_21160</x:v>
      </x:c>
      <x:c r="D92" s="2" t="str">
        <x:v>3215</x:v>
      </x:c>
      <x:c r="E92" s="2" t="str">
        <x:v>一般国道３４３号</x:v>
      </x:c>
      <x:c r="F92" s="2" t="str">
        <x:v>奥州市水沢区姉体町字姉体</x:v>
      </x:c>
      <x:c r="G92" s="2" t="str">
        <x:v>奥州市水沢区姉体町字姉体</x:v>
      </x:c>
      <x:c r="H92" s="2" t="str">
        <x:v>観測</x:v>
      </x:c>
      <x:c r="I92" s="2" t="str">
        <x:v>観測</x:v>
      </x:c>
      <x:c r="J92" s="2" t="str">
        <x:v>12時間</x:v>
      </x:c>
      <x:c r="K92" s="2" t="str">
        <x:v>12時間</x:v>
      </x:c>
      <x:c r="L92" s="2" t="str">
        <x:v>20211005</x:v>
      </x:c>
      <x:c r="M92" s="2" t="str">
        <x:v>20211005</x:v>
      </x:c>
      <x:c r="N92" s="8" t="n">
        <x:v>4474</x:v>
      </x:c>
      <x:c r="O92" s="8" t="n">
        <x:v>519</x:v>
      </x:c>
      <x:c r="P92" s="8" t="n">
        <x:v>4993</x:v>
      </x:c>
      <x:c r="Q92" s="8" t="n">
        <x:v>5273</x:v>
      </x:c>
      <x:c r="R92" s="8" t="n">
        <x:v>868</x:v>
      </x:c>
      <x:c r="S92" s="8" t="n">
        <x:v>6141</x:v>
      </x:c>
      <x:c r="T92" s="11" t="n">
        <x:v>10.4</x:v>
      </x:c>
      <x:c r="U92" s="2" t="n">
        <x:v>2021</x:v>
      </x:c>
      <x:c r="V92" s="2" t="str">
        <x:v>https://www.mlit.go.jp/road/census/r3/data/csv/kasyo03.csv</x:v>
      </x:c>
      <x:c r="W92" s="2" t="n">
        <x:v>644</x:v>
      </x:c>
    </x:row>
    <x:row r="93" ht="21" customHeight="1">
      <x:c r="A93" s="7" t="str">
        <x:v>岩手：奥州市</x:v>
      </x:c>
      <x:c r="B93" s="2" t="str">
        <x:v>3303430190</x:v>
      </x:c>
      <x:c r="C93" s="2" t="str">
        <x:v>3000_21160</x:v>
      </x:c>
      <x:c r="D93" s="2" t="str">
        <x:v>3215</x:v>
      </x:c>
      <x:c r="E93" s="2" t="str">
        <x:v>一般国道３４３号</x:v>
      </x:c>
      <x:c r="F93" s="2" t="str">
        <x:v>奥州市水沢区姉体町字姉体</x:v>
      </x:c>
      <x:c r="G93" s="2" t="str">
        <x:v>奥州市水沢区姉体町字姉体</x:v>
      </x:c>
      <x:c r="H93" s="2" t="str">
        <x:v>観測</x:v>
      </x:c>
      <x:c r="I93" s="2" t="str">
        <x:v>観測</x:v>
      </x:c>
      <x:c r="J93" s="2" t="str">
        <x:v>12時間</x:v>
      </x:c>
      <x:c r="K93" s="2" t="str">
        <x:v>12時間</x:v>
      </x:c>
      <x:c r="L93" s="2" t="str">
        <x:v>20211005</x:v>
      </x:c>
      <x:c r="M93" s="2" t="str">
        <x:v>20211005</x:v>
      </x:c>
      <x:c r="N93" s="8" t="n">
        <x:v>4474</x:v>
      </x:c>
      <x:c r="O93" s="8" t="n">
        <x:v>519</x:v>
      </x:c>
      <x:c r="P93" s="8" t="n">
        <x:v>4993</x:v>
      </x:c>
      <x:c r="Q93" s="8" t="n">
        <x:v>5273</x:v>
      </x:c>
      <x:c r="R93" s="8" t="n">
        <x:v>868</x:v>
      </x:c>
      <x:c r="S93" s="8" t="n">
        <x:v>6141</x:v>
      </x:c>
      <x:c r="T93" s="11" t="n">
        <x:v>10.4</x:v>
      </x:c>
      <x:c r="U93" s="2" t="n">
        <x:v>2021</x:v>
      </x:c>
      <x:c r="V93" s="2" t="str">
        <x:v>https://www.mlit.go.jp/road/census/r3/data/csv/kasyo03.csv</x:v>
      </x:c>
      <x:c r="W93" s="2" t="n">
        <x:v>645</x:v>
      </x:c>
    </x:row>
    <x:row r="94" ht="21" customHeight="1">
      <x:c r="A94" s="7" t="str">
        <x:v>岩手：奥州市</x:v>
      </x:c>
      <x:c r="B94" s="2" t="str">
        <x:v>3303970030</x:v>
      </x:c>
      <x:c r="C94" s="2" t="str">
        <x:v>3000_21300</x:v>
      </x:c>
      <x:c r="D94" s="2" t="str">
        <x:v>3215</x:v>
      </x:c>
      <x:c r="E94" s="2" t="str">
        <x:v>一般国道３９７号</x:v>
      </x:c>
      <x:c r="F94" s="2" t="str">
        <x:v>気仙郡住田町字大股</x:v>
      </x:c>
      <x:c r="G94" s="2" t="str">
        <x:v>気仙郡住田町字大股</x:v>
      </x:c>
      <x:c r="H94" s="2" t="str">
        <x:v>観測</x:v>
      </x:c>
      <x:c r="I94" s="2" t="str">
        <x:v>観測</x:v>
      </x:c>
      <x:c r="J94" s="2" t="str">
        <x:v>12時間</x:v>
      </x:c>
      <x:c r="K94" s="2" t="str">
        <x:v>12時間</x:v>
      </x:c>
      <x:c r="L94" s="2" t="str">
        <x:v>20211027</x:v>
      </x:c>
      <x:c r="M94" s="2" t="str">
        <x:v>20211027</x:v>
      </x:c>
      <x:c r="N94" s="8" t="n">
        <x:v>1047</x:v>
      </x:c>
      <x:c r="O94" s="8" t="n">
        <x:v>199</x:v>
      </x:c>
      <x:c r="P94" s="8" t="n">
        <x:v>1246</x:v>
      </x:c>
      <x:c r="Q94" s="8" t="n">
        <x:v>1233</x:v>
      </x:c>
      <x:c r="R94" s="8" t="n">
        <x:v>287</x:v>
      </x:c>
      <x:c r="S94" s="8" t="n">
        <x:v>1520</x:v>
      </x:c>
      <x:c r="T94" s="11" t="n">
        <x:v>16</x:v>
      </x:c>
      <x:c r="U94" s="2" t="n">
        <x:v>2021</x:v>
      </x:c>
      <x:c r="V94" s="2" t="str">
        <x:v>https://www.mlit.go.jp/road/census/r3/data/csv/kasyo03.csv</x:v>
      </x:c>
      <x:c r="W94" s="2" t="n">
        <x:v>689</x:v>
      </x:c>
    </x:row>
    <x:row r="95" ht="21" customHeight="1">
      <x:c r="A95" s="7" t="str">
        <x:v>岩手：奥州市</x:v>
      </x:c>
      <x:c r="B95" s="2" t="str">
        <x:v>3303970040</x:v>
      </x:c>
      <x:c r="C95" s="2" t="str">
        <x:v>3000_21300</x:v>
      </x:c>
      <x:c r="D95" s="2" t="str">
        <x:v>3215</x:v>
      </x:c>
      <x:c r="E95" s="2" t="str">
        <x:v>一般国道３９７号</x:v>
      </x:c>
      <x:c r="F95" s="2" t="str">
        <x:v>気仙郡住田町字大股</x:v>
      </x:c>
      <x:c r="G95" s="2" t="str">
        <x:v>気仙郡住田町字大股</x:v>
      </x:c>
      <x:c r="H95" s="2" t="str">
        <x:v>観測</x:v>
      </x:c>
      <x:c r="I95" s="2" t="str">
        <x:v>観測</x:v>
      </x:c>
      <x:c r="J95" s="2" t="str">
        <x:v>12時間</x:v>
      </x:c>
      <x:c r="K95" s="2" t="str">
        <x:v>12時間</x:v>
      </x:c>
      <x:c r="L95" s="2" t="str">
        <x:v>20211027</x:v>
      </x:c>
      <x:c r="M95" s="2" t="str">
        <x:v>20211027</x:v>
      </x:c>
      <x:c r="N95" s="8" t="n">
        <x:v>1047</x:v>
      </x:c>
      <x:c r="O95" s="8" t="n">
        <x:v>199</x:v>
      </x:c>
      <x:c r="P95" s="8" t="n">
        <x:v>1246</x:v>
      </x:c>
      <x:c r="Q95" s="8" t="n">
        <x:v>1233</x:v>
      </x:c>
      <x:c r="R95" s="8" t="n">
        <x:v>287</x:v>
      </x:c>
      <x:c r="S95" s="8" t="n">
        <x:v>1520</x:v>
      </x:c>
      <x:c r="T95" s="11" t="n">
        <x:v>16</x:v>
      </x:c>
      <x:c r="U95" s="2" t="n">
        <x:v>2021</x:v>
      </x:c>
      <x:c r="V95" s="2" t="str">
        <x:v>https://www.mlit.go.jp/road/census/r3/data/csv/kasyo03.csv</x:v>
      </x:c>
      <x:c r="W95" s="2" t="n">
        <x:v>690</x:v>
      </x:c>
    </x:row>
    <x:row r="96" ht="21" customHeight="1">
      <x:c r="A96" s="7" t="str">
        <x:v>岩手：奥州市</x:v>
      </x:c>
      <x:c r="B96" s="2" t="str">
        <x:v>3303970050</x:v>
      </x:c>
      <x:c r="C96" s="2" t="str">
        <x:v>3000_21310</x:v>
      </x:c>
      <x:c r="D96" s="2" t="str">
        <x:v>3215</x:v>
      </x:c>
      <x:c r="E96" s="2" t="str">
        <x:v>一般国道３９７号</x:v>
      </x:c>
      <x:c r="F96" s="2" t="str">
        <x:v>奥州市江刺区伊手字伊手</x:v>
      </x:c>
      <x:c r="G96" s="2" t="str">
        <x:v>奥州市江刺区伊手字伊手</x:v>
      </x:c>
      <x:c r="H96" s="2" t="str">
        <x:v>観測</x:v>
      </x:c>
      <x:c r="I96" s="2" t="str">
        <x:v>観測</x:v>
      </x:c>
      <x:c r="J96" s="2" t="str">
        <x:v>12時間</x:v>
      </x:c>
      <x:c r="K96" s="2" t="str">
        <x:v>12時間</x:v>
      </x:c>
      <x:c r="L96" s="2" t="str">
        <x:v>20210930</x:v>
      </x:c>
      <x:c r="M96" s="2" t="str">
        <x:v>20210930</x:v>
      </x:c>
      <x:c r="N96" s="8" t="n">
        <x:v>1423</x:v>
      </x:c>
      <x:c r="O96" s="8" t="n">
        <x:v>252</x:v>
      </x:c>
      <x:c r="P96" s="8" t="n">
        <x:v>1675</x:v>
      </x:c>
      <x:c r="Q96" s="8" t="n">
        <x:v>1672</x:v>
      </x:c>
      <x:c r="R96" s="8" t="n">
        <x:v>372</x:v>
      </x:c>
      <x:c r="S96" s="8" t="n">
        <x:v>2044</x:v>
      </x:c>
      <x:c r="T96" s="11" t="n">
        <x:v>15</x:v>
      </x:c>
      <x:c r="U96" s="2" t="n">
        <x:v>2021</x:v>
      </x:c>
      <x:c r="V96" s="2" t="str">
        <x:v>https://www.mlit.go.jp/road/census/r3/data/csv/kasyo03.csv</x:v>
      </x:c>
      <x:c r="W96" s="2" t="n">
        <x:v>691</x:v>
      </x:c>
    </x:row>
    <x:row r="97" ht="21" customHeight="1">
      <x:c r="A97" s="7" t="str">
        <x:v>岩手：奥州市</x:v>
      </x:c>
      <x:c r="B97" s="2" t="str">
        <x:v>3303970059</x:v>
      </x:c>
      <x:c r="C97" s="2" t="str">
        <x:v>3000_21310</x:v>
      </x:c>
      <x:c r="D97" s="2" t="str">
        <x:v>3215</x:v>
      </x:c>
      <x:c r="E97" s="2" t="str">
        <x:v>一般国道３９７号</x:v>
      </x:c>
      <x:c r="F97" s="2" t="str">
        <x:v>奥州市江刺区伊手字伊手</x:v>
      </x:c>
      <x:c r="G97" s="2" t="str">
        <x:v>奥州市江刺区伊手字伊手</x:v>
      </x:c>
      <x:c r="H97" s="2" t="str">
        <x:v>観測</x:v>
      </x:c>
      <x:c r="I97" s="2" t="str">
        <x:v>観測</x:v>
      </x:c>
      <x:c r="J97" s="2" t="str">
        <x:v>12時間</x:v>
      </x:c>
      <x:c r="K97" s="2" t="str">
        <x:v>12時間</x:v>
      </x:c>
      <x:c r="L97" s="2" t="str">
        <x:v>20210930</x:v>
      </x:c>
      <x:c r="M97" s="2" t="str">
        <x:v>20210930</x:v>
      </x:c>
      <x:c r="N97" s="8" t="n">
        <x:v>1423</x:v>
      </x:c>
      <x:c r="O97" s="8" t="n">
        <x:v>252</x:v>
      </x:c>
      <x:c r="P97" s="8" t="n">
        <x:v>1675</x:v>
      </x:c>
      <x:c r="Q97" s="8" t="n">
        <x:v>1672</x:v>
      </x:c>
      <x:c r="R97" s="8" t="n">
        <x:v>372</x:v>
      </x:c>
      <x:c r="S97" s="8" t="n">
        <x:v>2044</x:v>
      </x:c>
      <x:c r="T97" s="11" t="n">
        <x:v>15</x:v>
      </x:c>
      <x:c r="U97" s="2" t="n">
        <x:v>2021</x:v>
      </x:c>
      <x:c r="V97" s="2" t="str">
        <x:v>https://www.mlit.go.jp/road/census/r3/data/csv/kasyo03.csv</x:v>
      </x:c>
      <x:c r="W97" s="2" t="n">
        <x:v>692</x:v>
      </x:c>
    </x:row>
    <x:row r="98" ht="21" customHeight="1">
      <x:c r="A98" s="7" t="str">
        <x:v>岩手：奥州市</x:v>
      </x:c>
      <x:c r="B98" s="2" t="str">
        <x:v>3303970310</x:v>
      </x:c>
      <x:c r="C98" s="2" t="str">
        <x:v>3000_21320</x:v>
      </x:c>
      <x:c r="D98" s="2" t="str">
        <x:v>3215</x:v>
      </x:c>
      <x:c r="E98" s="2" t="str">
        <x:v>一般国道３９７号</x:v>
      </x:c>
      <x:c r="F98" s="2" t="str">
        <x:v>奥州市江刺区藤里字上小屋</x:v>
      </x:c>
      <x:c r="G98" s="2" t="str">
        <x:v>奥州市江刺区藤里字上小屋</x:v>
      </x:c>
      <x:c r="H98" s="2" t="str">
        <x:v>観測</x:v>
      </x:c>
      <x:c r="I98" s="2" t="str">
        <x:v>観測</x:v>
      </x:c>
      <x:c r="J98" s="2" t="str">
        <x:v>12時間</x:v>
      </x:c>
      <x:c r="K98" s="2" t="str">
        <x:v>12時間</x:v>
      </x:c>
      <x:c r="L98" s="2" t="str">
        <x:v>20210930</x:v>
      </x:c>
      <x:c r="M98" s="2" t="str">
        <x:v>20210930</x:v>
      </x:c>
      <x:c r="N98" s="8" t="n">
        <x:v>1366</x:v>
      </x:c>
      <x:c r="O98" s="8" t="n">
        <x:v>139</x:v>
      </x:c>
      <x:c r="P98" s="8" t="n">
        <x:v>1505</x:v>
      </x:c>
      <x:c r="Q98" s="8" t="n">
        <x:v>1591</x:v>
      </x:c>
      <x:c r="R98" s="8" t="n">
        <x:v>245</x:v>
      </x:c>
      <x:c r="S98" s="8" t="n">
        <x:v>1836</x:v>
      </x:c>
      <x:c r="T98" s="11" t="n">
        <x:v>9.2</x:v>
      </x:c>
      <x:c r="U98" s="2" t="n">
        <x:v>2021</x:v>
      </x:c>
      <x:c r="V98" s="2" t="str">
        <x:v>https://www.mlit.go.jp/road/census/r3/data/csv/kasyo03.csv</x:v>
      </x:c>
      <x:c r="W98" s="2" t="n">
        <x:v>693</x:v>
      </x:c>
    </x:row>
    <x:row r="99" ht="21" customHeight="1">
      <x:c r="A99" s="7" t="str">
        <x:v>岩手：奥州市</x:v>
      </x:c>
      <x:c r="B99" s="2" t="str">
        <x:v>3303970070</x:v>
      </x:c>
      <x:c r="C99" s="2" t="str">
        <x:v>3000_21320</x:v>
      </x:c>
      <x:c r="D99" s="2" t="str">
        <x:v>3215</x:v>
      </x:c>
      <x:c r="E99" s="2" t="str">
        <x:v>一般国道３９７号</x:v>
      </x:c>
      <x:c r="F99" s="2" t="str">
        <x:v>奥州市江刺区藤里字上小屋</x:v>
      </x:c>
      <x:c r="G99" s="2" t="str">
        <x:v>奥州市江刺区藤里字上小屋</x:v>
      </x:c>
      <x:c r="H99" s="2" t="str">
        <x:v>観測</x:v>
      </x:c>
      <x:c r="I99" s="2" t="str">
        <x:v>観測</x:v>
      </x:c>
      <x:c r="J99" s="2" t="str">
        <x:v>12時間</x:v>
      </x:c>
      <x:c r="K99" s="2" t="str">
        <x:v>12時間</x:v>
      </x:c>
      <x:c r="L99" s="2" t="str">
        <x:v>20210930</x:v>
      </x:c>
      <x:c r="M99" s="2" t="str">
        <x:v>20210930</x:v>
      </x:c>
      <x:c r="N99" s="8" t="n">
        <x:v>1366</x:v>
      </x:c>
      <x:c r="O99" s="8" t="n">
        <x:v>139</x:v>
      </x:c>
      <x:c r="P99" s="8" t="n">
        <x:v>1505</x:v>
      </x:c>
      <x:c r="Q99" s="8" t="n">
        <x:v>1591</x:v>
      </x:c>
      <x:c r="R99" s="8" t="n">
        <x:v>245</x:v>
      </x:c>
      <x:c r="S99" s="8" t="n">
        <x:v>1836</x:v>
      </x:c>
      <x:c r="T99" s="11" t="n">
        <x:v>9.2</x:v>
      </x:c>
      <x:c r="U99" s="2" t="n">
        <x:v>2021</x:v>
      </x:c>
      <x:c r="V99" s="2" t="str">
        <x:v>https://www.mlit.go.jp/road/census/r3/data/csv/kasyo03.csv</x:v>
      </x:c>
      <x:c r="W99" s="2" t="n">
        <x:v>694</x:v>
      </x:c>
    </x:row>
    <x:row r="100" ht="21" customHeight="1">
      <x:c r="A100" s="7" t="str">
        <x:v>岩手：奥州市</x:v>
      </x:c>
      <x:c r="B100" s="2" t="str">
        <x:v>3303970080</x:v>
      </x:c>
      <x:c r="C100" s="2" t="str">
        <x:v>3000_21330</x:v>
      </x:c>
      <x:c r="D100" s="2" t="str">
        <x:v>3215</x:v>
      </x:c>
      <x:c r="E100" s="2" t="str">
        <x:v>一般国道３９７号</x:v>
      </x:c>
      <x:c r="F100" s="2" t="str">
        <x:v>水沢羽田町明正</x:v>
      </x:c>
      <x:c r="G100" s="2" t="str">
        <x:v>水沢羽田町明正</x:v>
      </x:c>
      <x:c r="H100" s="2" t="str">
        <x:v>推定</x:v>
      </x:c>
      <x:c r="I100" s="2" t="str">
        <x:v>推定</x:v>
      </x:c>
      <x:c r="J100" s="2" t="str">
        <x:v>12時間</x:v>
      </x:c>
      <x:c r="K100" s="2" t="str">
        <x:v>12時間</x:v>
      </x:c>
      <x:c r="L100" s="2" t="str">
        <x:v>20211111</x:v>
      </x:c>
      <x:c r="M100" s="2" t="str">
        <x:v>20211111</x:v>
      </x:c>
      <x:c r="N100" s="8" t="n">
        <x:v>3963</x:v>
      </x:c>
      <x:c r="O100" s="8" t="n">
        <x:v>426</x:v>
      </x:c>
      <x:c r="P100" s="8" t="n">
        <x:v>4389</x:v>
      </x:c>
      <x:c r="Q100" s="8" t="n">
        <x:v>4709</x:v>
      </x:c>
      <x:c r="R100" s="8" t="n">
        <x:v>690</x:v>
      </x:c>
      <x:c r="S100" s="8" t="n">
        <x:v>5399</x:v>
      </x:c>
      <x:c r="T100" s="11" t="n">
        <x:v>9.7</x:v>
      </x:c>
      <x:c r="U100" s="2" t="n">
        <x:v>2021</x:v>
      </x:c>
      <x:c r="V100" s="2" t="str">
        <x:v>https://www.mlit.go.jp/road/census/r3/data/csv/kasyo03.csv</x:v>
      </x:c>
      <x:c r="W100" s="2" t="n">
        <x:v>695</x:v>
      </x:c>
    </x:row>
    <x:row r="101" ht="21" customHeight="1">
      <x:c r="A101" s="7" t="str">
        <x:v>岩手：奥州市</x:v>
      </x:c>
      <x:c r="B101" s="2" t="str">
        <x:v>3303970085</x:v>
      </x:c>
      <x:c r="C101" s="2" t="str">
        <x:v>3000_21330</x:v>
      </x:c>
      <x:c r="D101" s="2" t="str">
        <x:v>3215</x:v>
      </x:c>
      <x:c r="E101" s="2" t="str">
        <x:v>一般国道３９７号</x:v>
      </x:c>
      <x:c r="F101" s="2" t="str">
        <x:v>水沢羽田町明正</x:v>
      </x:c>
      <x:c r="G101" s="2" t="str">
        <x:v>水沢羽田町明正</x:v>
      </x:c>
      <x:c r="H101" s="2" t="str">
        <x:v>推定</x:v>
      </x:c>
      <x:c r="I101" s="2" t="str">
        <x:v>推定</x:v>
      </x:c>
      <x:c r="J101" s="2" t="str">
        <x:v>12時間</x:v>
      </x:c>
      <x:c r="K101" s="2" t="str">
        <x:v>12時間</x:v>
      </x:c>
      <x:c r="L101" s="2" t="str">
        <x:v>20211111</x:v>
      </x:c>
      <x:c r="M101" s="2" t="str">
        <x:v>20211111</x:v>
      </x:c>
      <x:c r="N101" s="8" t="n">
        <x:v>3963</x:v>
      </x:c>
      <x:c r="O101" s="8" t="n">
        <x:v>426</x:v>
      </x:c>
      <x:c r="P101" s="8" t="n">
        <x:v>4389</x:v>
      </x:c>
      <x:c r="Q101" s="8" t="n">
        <x:v>4709</x:v>
      </x:c>
      <x:c r="R101" s="8" t="n">
        <x:v>690</x:v>
      </x:c>
      <x:c r="S101" s="8" t="n">
        <x:v>5399</x:v>
      </x:c>
      <x:c r="T101" s="11" t="n">
        <x:v>9.7</x:v>
      </x:c>
      <x:c r="U101" s="2" t="n">
        <x:v>2021</x:v>
      </x:c>
      <x:c r="V101" s="2" t="str">
        <x:v>https://www.mlit.go.jp/road/census/r3/data/csv/kasyo03.csv</x:v>
      </x:c>
      <x:c r="W101" s="2" t="n">
        <x:v>696</x:v>
      </x:c>
    </x:row>
    <x:row r="102" ht="21" customHeight="1">
      <x:c r="A102" s="7" t="str">
        <x:v>岩手：奥州市</x:v>
      </x:c>
      <x:c r="B102" s="2" t="str">
        <x:v>3303970350</x:v>
      </x:c>
      <x:c r="C102" s="2" t="str">
        <x:v>3000_21330</x:v>
      </x:c>
      <x:c r="D102" s="2" t="str">
        <x:v>3215</x:v>
      </x:c>
      <x:c r="E102" s="2" t="str">
        <x:v>一般国道３９７号</x:v>
      </x:c>
      <x:c r="F102" s="2" t="str">
        <x:v>水沢羽田町明正</x:v>
      </x:c>
      <x:c r="G102" s="2" t="str">
        <x:v>水沢羽田町明正</x:v>
      </x:c>
      <x:c r="H102" s="2" t="str">
        <x:v>推定</x:v>
      </x:c>
      <x:c r="I102" s="2" t="str">
        <x:v>推定</x:v>
      </x:c>
      <x:c r="J102" s="2" t="str">
        <x:v>12時間</x:v>
      </x:c>
      <x:c r="K102" s="2" t="str">
        <x:v>12時間</x:v>
      </x:c>
      <x:c r="L102" s="2" t="str">
        <x:v>20211111</x:v>
      </x:c>
      <x:c r="M102" s="2" t="str">
        <x:v>20211111</x:v>
      </x:c>
      <x:c r="N102" s="8" t="n">
        <x:v>3963</x:v>
      </x:c>
      <x:c r="O102" s="8" t="n">
        <x:v>426</x:v>
      </x:c>
      <x:c r="P102" s="8" t="n">
        <x:v>4389</x:v>
      </x:c>
      <x:c r="Q102" s="8" t="n">
        <x:v>4709</x:v>
      </x:c>
      <x:c r="R102" s="8" t="n">
        <x:v>690</x:v>
      </x:c>
      <x:c r="S102" s="8" t="n">
        <x:v>5399</x:v>
      </x:c>
      <x:c r="T102" s="11" t="n">
        <x:v>9.7</x:v>
      </x:c>
      <x:c r="U102" s="2" t="n">
        <x:v>2021</x:v>
      </x:c>
      <x:c r="V102" s="2" t="str">
        <x:v>https://www.mlit.go.jp/road/census/r3/data/csv/kasyo03.csv</x:v>
      </x:c>
      <x:c r="W102" s="2" t="n">
        <x:v>697</x:v>
      </x:c>
    </x:row>
    <x:row r="103" ht="21" customHeight="1">
      <x:c r="A103" s="7" t="str">
        <x:v>岩手：奥州市</x:v>
      </x:c>
      <x:c r="B103" s="2" t="str">
        <x:v>3303970360</x:v>
      </x:c>
      <x:c r="C103" s="2" t="str">
        <x:v>3000_21330</x:v>
      </x:c>
      <x:c r="D103" s="2" t="str">
        <x:v>3215</x:v>
      </x:c>
      <x:c r="E103" s="2" t="str">
        <x:v>一般国道３９７号</x:v>
      </x:c>
      <x:c r="F103" s="2" t="str">
        <x:v>水沢羽田町明正</x:v>
      </x:c>
      <x:c r="G103" s="2" t="str">
        <x:v>水沢羽田町明正</x:v>
      </x:c>
      <x:c r="H103" s="2" t="str">
        <x:v>推定</x:v>
      </x:c>
      <x:c r="I103" s="2" t="str">
        <x:v>推定</x:v>
      </x:c>
      <x:c r="J103" s="2" t="str">
        <x:v>12時間</x:v>
      </x:c>
      <x:c r="K103" s="2" t="str">
        <x:v>12時間</x:v>
      </x:c>
      <x:c r="L103" s="2" t="str">
        <x:v>20211111</x:v>
      </x:c>
      <x:c r="M103" s="2" t="str">
        <x:v>20211111</x:v>
      </x:c>
      <x:c r="N103" s="8" t="n">
        <x:v>3963</x:v>
      </x:c>
      <x:c r="O103" s="8" t="n">
        <x:v>426</x:v>
      </x:c>
      <x:c r="P103" s="8" t="n">
        <x:v>4389</x:v>
      </x:c>
      <x:c r="Q103" s="8" t="n">
        <x:v>4709</x:v>
      </x:c>
      <x:c r="R103" s="8" t="n">
        <x:v>690</x:v>
      </x:c>
      <x:c r="S103" s="8" t="n">
        <x:v>5399</x:v>
      </x:c>
      <x:c r="T103" s="11" t="n">
        <x:v>9.7</x:v>
      </x:c>
      <x:c r="U103" s="2" t="n">
        <x:v>2021</x:v>
      </x:c>
      <x:c r="V103" s="2" t="str">
        <x:v>https://www.mlit.go.jp/road/census/r3/data/csv/kasyo03.csv</x:v>
      </x:c>
      <x:c r="W103" s="2" t="n">
        <x:v>698</x:v>
      </x:c>
    </x:row>
    <x:row r="104" ht="21" customHeight="1">
      <x:c r="A104" s="7" t="str">
        <x:v>岩手：奥州市</x:v>
      </x:c>
      <x:c r="B104" s="2" t="str">
        <x:v>3303970370</x:v>
      </x:c>
      <x:c r="C104" s="2" t="str">
        <x:v>3000_21330</x:v>
      </x:c>
      <x:c r="D104" s="2" t="str">
        <x:v>3215</x:v>
      </x:c>
      <x:c r="E104" s="2" t="str">
        <x:v>一般国道３９７号</x:v>
      </x:c>
      <x:c r="F104" s="2" t="str">
        <x:v>水沢羽田町明正</x:v>
      </x:c>
      <x:c r="G104" s="2" t="str">
        <x:v>水沢羽田町明正</x:v>
      </x:c>
      <x:c r="H104" s="2" t="str">
        <x:v>推定</x:v>
      </x:c>
      <x:c r="I104" s="2" t="str">
        <x:v>推定</x:v>
      </x:c>
      <x:c r="J104" s="2" t="str">
        <x:v>12時間</x:v>
      </x:c>
      <x:c r="K104" s="2" t="str">
        <x:v>12時間</x:v>
      </x:c>
      <x:c r="L104" s="2" t="str">
        <x:v>20211111</x:v>
      </x:c>
      <x:c r="M104" s="2" t="str">
        <x:v>20211111</x:v>
      </x:c>
      <x:c r="N104" s="8" t="n">
        <x:v>3963</x:v>
      </x:c>
      <x:c r="O104" s="8" t="n">
        <x:v>426</x:v>
      </x:c>
      <x:c r="P104" s="8" t="n">
        <x:v>4389</x:v>
      </x:c>
      <x:c r="Q104" s="8" t="n">
        <x:v>4709</x:v>
      </x:c>
      <x:c r="R104" s="8" t="n">
        <x:v>690</x:v>
      </x:c>
      <x:c r="S104" s="8" t="n">
        <x:v>5399</x:v>
      </x:c>
      <x:c r="T104" s="11" t="n">
        <x:v>9.7</x:v>
      </x:c>
      <x:c r="U104" s="2" t="n">
        <x:v>2021</x:v>
      </x:c>
      <x:c r="V104" s="2" t="str">
        <x:v>https://www.mlit.go.jp/road/census/r3/data/csv/kasyo03.csv</x:v>
      </x:c>
      <x:c r="W104" s="2" t="n">
        <x:v>699</x:v>
      </x:c>
    </x:row>
    <x:row r="105" ht="21" customHeight="1">
      <x:c r="A105" s="7" t="str">
        <x:v>岩手：奥州市</x:v>
      </x:c>
      <x:c r="B105" s="2" t="str">
        <x:v>3303970120</x:v>
      </x:c>
      <x:c r="C105" s="2" t="str">
        <x:v>3000_21340</x:v>
      </x:c>
      <x:c r="D105" s="2" t="str">
        <x:v>3215</x:v>
      </x:c>
      <x:c r="E105" s="2" t="str">
        <x:v>一般国道３９７号</x:v>
      </x:c>
      <x:c r="F105" s="2" t="str">
        <x:v>奥州市水沢区常盤</x:v>
      </x:c>
      <x:c r="G105" s="2" t="str">
        <x:v>奥州市水沢区常盤</x:v>
      </x:c>
      <x:c r="H105" s="2" t="str">
        <x:v>観測</x:v>
      </x:c>
      <x:c r="I105" s="2" t="str">
        <x:v>観測</x:v>
      </x:c>
      <x:c r="J105" s="2" t="str">
        <x:v>12時間</x:v>
      </x:c>
      <x:c r="K105" s="2" t="str">
        <x:v>12時間</x:v>
      </x:c>
      <x:c r="L105" s="2" t="str">
        <x:v>20211021</x:v>
      </x:c>
      <x:c r="M105" s="2" t="str">
        <x:v>20211021</x:v>
      </x:c>
      <x:c r="N105" s="8" t="n">
        <x:v>7423</x:v>
      </x:c>
      <x:c r="O105" s="8" t="n">
        <x:v>357</x:v>
      </x:c>
      <x:c r="P105" s="8" t="n">
        <x:v>7780</x:v>
      </x:c>
      <x:c r="Q105" s="8" t="n">
        <x:v>8754</x:v>
      </x:c>
      <x:c r="R105" s="8" t="n">
        <x:v>815</x:v>
      </x:c>
      <x:c r="S105" s="8" t="n">
        <x:v>9569</x:v>
      </x:c>
      <x:c r="T105" s="11" t="n">
        <x:v>4.6</x:v>
      </x:c>
      <x:c r="U105" s="2" t="n">
        <x:v>2021</x:v>
      </x:c>
      <x:c r="V105" s="2" t="str">
        <x:v>https://www.mlit.go.jp/road/census/r3/data/csv/kasyo03.csv</x:v>
      </x:c>
      <x:c r="W105" s="2" t="n">
        <x:v>700</x:v>
      </x:c>
    </x:row>
    <x:row r="106" ht="21" customHeight="1">
      <x:c r="A106" s="7" t="str">
        <x:v>岩手：奥州市</x:v>
      </x:c>
      <x:c r="B106" s="2" t="str">
        <x:v>3303970130</x:v>
      </x:c>
      <x:c r="C106" s="2" t="str">
        <x:v>3000_21350</x:v>
      </x:c>
      <x:c r="D106" s="2" t="str">
        <x:v>3215</x:v>
      </x:c>
      <x:c r="E106" s="2" t="str">
        <x:v>一般国道３９７号</x:v>
      </x:c>
      <x:c r="F106" s="2" t="str">
        <x:v>奥州市水沢区石田</x:v>
      </x:c>
      <x:c r="G106" s="2" t="str">
        <x:v>奥州市水沢区石田</x:v>
      </x:c>
      <x:c r="H106" s="2" t="str">
        <x:v>観測</x:v>
      </x:c>
      <x:c r="I106" s="2" t="str">
        <x:v>観測</x:v>
      </x:c>
      <x:c r="J106" s="2" t="str">
        <x:v>12時間</x:v>
      </x:c>
      <x:c r="K106" s="2" t="str">
        <x:v>12時間</x:v>
      </x:c>
      <x:c r="L106" s="2" t="str">
        <x:v>20211005</x:v>
      </x:c>
      <x:c r="M106" s="2" t="str">
        <x:v>20211005</x:v>
      </x:c>
      <x:c r="N106" s="8" t="n">
        <x:v>7896</x:v>
      </x:c>
      <x:c r="O106" s="8" t="n">
        <x:v>339</x:v>
      </x:c>
      <x:c r="P106" s="8" t="n">
        <x:v>8235</x:v>
      </x:c>
      <x:c r="Q106" s="8" t="n">
        <x:v>9311</x:v>
      </x:c>
      <x:c r="R106" s="8" t="n">
        <x:v>818</x:v>
      </x:c>
      <x:c r="S106" s="8" t="n">
        <x:v>10129</x:v>
      </x:c>
      <x:c r="T106" s="11" t="n">
        <x:v>4.1</x:v>
      </x:c>
      <x:c r="U106" s="2" t="n">
        <x:v>2021</x:v>
      </x:c>
      <x:c r="V106" s="2" t="str">
        <x:v>https://www.mlit.go.jp/road/census/r3/data/csv/kasyo03.csv</x:v>
      </x:c>
      <x:c r="W106" s="2" t="n">
        <x:v>701</x:v>
      </x:c>
    </x:row>
    <x:row r="107" ht="21" customHeight="1">
      <x:c r="A107" s="7" t="str">
        <x:v>岩手：奥州市</x:v>
      </x:c>
      <x:c r="B107" s="2" t="str">
        <x:v>3303970140</x:v>
      </x:c>
      <x:c r="C107" s="2" t="str">
        <x:v>3000_21350</x:v>
      </x:c>
      <x:c r="D107" s="2" t="str">
        <x:v>3215</x:v>
      </x:c>
      <x:c r="E107" s="2" t="str">
        <x:v>一般国道３９７号</x:v>
      </x:c>
      <x:c r="F107" s="2" t="str">
        <x:v>奥州市水沢区石田</x:v>
      </x:c>
      <x:c r="G107" s="2" t="str">
        <x:v>奥州市水沢区石田</x:v>
      </x:c>
      <x:c r="H107" s="2" t="str">
        <x:v>観測</x:v>
      </x:c>
      <x:c r="I107" s="2" t="str">
        <x:v>観測</x:v>
      </x:c>
      <x:c r="J107" s="2" t="str">
        <x:v>12時間</x:v>
      </x:c>
      <x:c r="K107" s="2" t="str">
        <x:v>12時間</x:v>
      </x:c>
      <x:c r="L107" s="2" t="str">
        <x:v>20211005</x:v>
      </x:c>
      <x:c r="M107" s="2" t="str">
        <x:v>20211005</x:v>
      </x:c>
      <x:c r="N107" s="8" t="n">
        <x:v>7896</x:v>
      </x:c>
      <x:c r="O107" s="8" t="n">
        <x:v>339</x:v>
      </x:c>
      <x:c r="P107" s="8" t="n">
        <x:v>8235</x:v>
      </x:c>
      <x:c r="Q107" s="8" t="n">
        <x:v>9311</x:v>
      </x:c>
      <x:c r="R107" s="8" t="n">
        <x:v>818</x:v>
      </x:c>
      <x:c r="S107" s="8" t="n">
        <x:v>10129</x:v>
      </x:c>
      <x:c r="T107" s="11" t="n">
        <x:v>4.1</x:v>
      </x:c>
      <x:c r="U107" s="2" t="n">
        <x:v>2021</x:v>
      </x:c>
      <x:c r="V107" s="2" t="str">
        <x:v>https://www.mlit.go.jp/road/census/r3/data/csv/kasyo03.csv</x:v>
      </x:c>
      <x:c r="W107" s="2" t="n">
        <x:v>702</x:v>
      </x:c>
    </x:row>
    <x:row r="108" ht="21" customHeight="1">
      <x:c r="A108" s="7" t="str">
        <x:v>岩手：奥州市</x:v>
      </x:c>
      <x:c r="B108" s="2" t="str">
        <x:v>3303970150</x:v>
      </x:c>
      <x:c r="C108" s="2" t="str">
        <x:v>3000_21350</x:v>
      </x:c>
      <x:c r="D108" s="2" t="str">
        <x:v>3215</x:v>
      </x:c>
      <x:c r="E108" s="2" t="str">
        <x:v>一般国道３９７号</x:v>
      </x:c>
      <x:c r="F108" s="2" t="str">
        <x:v>奥州市水沢区石田</x:v>
      </x:c>
      <x:c r="G108" s="2" t="str">
        <x:v>奥州市水沢区石田</x:v>
      </x:c>
      <x:c r="H108" s="2" t="str">
        <x:v>観測</x:v>
      </x:c>
      <x:c r="I108" s="2" t="str">
        <x:v>観測</x:v>
      </x:c>
      <x:c r="J108" s="2" t="str">
        <x:v>12時間</x:v>
      </x:c>
      <x:c r="K108" s="2" t="str">
        <x:v>12時間</x:v>
      </x:c>
      <x:c r="L108" s="2" t="str">
        <x:v>20211005</x:v>
      </x:c>
      <x:c r="M108" s="2" t="str">
        <x:v>20211005</x:v>
      </x:c>
      <x:c r="N108" s="8" t="n">
        <x:v>7896</x:v>
      </x:c>
      <x:c r="O108" s="8" t="n">
        <x:v>339</x:v>
      </x:c>
      <x:c r="P108" s="8" t="n">
        <x:v>8235</x:v>
      </x:c>
      <x:c r="Q108" s="8" t="n">
        <x:v>9311</x:v>
      </x:c>
      <x:c r="R108" s="8" t="n">
        <x:v>818</x:v>
      </x:c>
      <x:c r="S108" s="8" t="n">
        <x:v>10129</x:v>
      </x:c>
      <x:c r="T108" s="11" t="n">
        <x:v>4.1</x:v>
      </x:c>
      <x:c r="U108" s="2" t="n">
        <x:v>2021</x:v>
      </x:c>
      <x:c r="V108" s="2" t="str">
        <x:v>https://www.mlit.go.jp/road/census/r3/data/csv/kasyo03.csv</x:v>
      </x:c>
      <x:c r="W108" s="2" t="n">
        <x:v>703</x:v>
      </x:c>
    </x:row>
    <x:row r="109" ht="21" customHeight="1">
      <x:c r="A109" s="7" t="str">
        <x:v>岩手：奥州市</x:v>
      </x:c>
      <x:c r="B109" s="2" t="str">
        <x:v>3303970160</x:v>
      </x:c>
      <x:c r="C109" s="2" t="str">
        <x:v>3000_21350</x:v>
      </x:c>
      <x:c r="D109" s="2" t="str">
        <x:v>3215</x:v>
      </x:c>
      <x:c r="E109" s="2" t="str">
        <x:v>一般国道３９７号</x:v>
      </x:c>
      <x:c r="F109" s="2" t="str">
        <x:v>奥州市水沢区石田</x:v>
      </x:c>
      <x:c r="G109" s="2" t="str">
        <x:v>奥州市水沢区石田</x:v>
      </x:c>
      <x:c r="H109" s="2" t="str">
        <x:v>観測</x:v>
      </x:c>
      <x:c r="I109" s="2" t="str">
        <x:v>観測</x:v>
      </x:c>
      <x:c r="J109" s="2" t="str">
        <x:v>12時間</x:v>
      </x:c>
      <x:c r="K109" s="2" t="str">
        <x:v>12時間</x:v>
      </x:c>
      <x:c r="L109" s="2" t="str">
        <x:v>20211005</x:v>
      </x:c>
      <x:c r="M109" s="2" t="str">
        <x:v>20211005</x:v>
      </x:c>
      <x:c r="N109" s="8" t="n">
        <x:v>7896</x:v>
      </x:c>
      <x:c r="O109" s="8" t="n">
        <x:v>339</x:v>
      </x:c>
      <x:c r="P109" s="8" t="n">
        <x:v>8235</x:v>
      </x:c>
      <x:c r="Q109" s="8" t="n">
        <x:v>9311</x:v>
      </x:c>
      <x:c r="R109" s="8" t="n">
        <x:v>818</x:v>
      </x:c>
      <x:c r="S109" s="8" t="n">
        <x:v>10129</x:v>
      </x:c>
      <x:c r="T109" s="11" t="n">
        <x:v>4.1</x:v>
      </x:c>
      <x:c r="U109" s="2" t="n">
        <x:v>2021</x:v>
      </x:c>
      <x:c r="V109" s="2" t="str">
        <x:v>https://www.mlit.go.jp/road/census/r3/data/csv/kasyo03.csv</x:v>
      </x:c>
      <x:c r="W109" s="2" t="n">
        <x:v>704</x:v>
      </x:c>
    </x:row>
    <x:row r="110" ht="21" customHeight="1">
      <x:c r="A110" s="7" t="str">
        <x:v>岩手：奥州市</x:v>
      </x:c>
      <x:c r="B110" s="2" t="str">
        <x:v>3303970170</x:v>
      </x:c>
      <x:c r="C110" s="2" t="str">
        <x:v>3000_21350</x:v>
      </x:c>
      <x:c r="D110" s="2" t="str">
        <x:v>3215</x:v>
      </x:c>
      <x:c r="E110" s="2" t="str">
        <x:v>一般国道３９７号</x:v>
      </x:c>
      <x:c r="F110" s="2" t="str">
        <x:v>奥州市水沢区石田</x:v>
      </x:c>
      <x:c r="G110" s="2" t="str">
        <x:v>奥州市水沢区石田</x:v>
      </x:c>
      <x:c r="H110" s="2" t="str">
        <x:v>観測</x:v>
      </x:c>
      <x:c r="I110" s="2" t="str">
        <x:v>観測</x:v>
      </x:c>
      <x:c r="J110" s="2" t="str">
        <x:v>12時間</x:v>
      </x:c>
      <x:c r="K110" s="2" t="str">
        <x:v>12時間</x:v>
      </x:c>
      <x:c r="L110" s="2" t="str">
        <x:v>20211005</x:v>
      </x:c>
      <x:c r="M110" s="2" t="str">
        <x:v>20211005</x:v>
      </x:c>
      <x:c r="N110" s="8" t="n">
        <x:v>7896</x:v>
      </x:c>
      <x:c r="O110" s="8" t="n">
        <x:v>339</x:v>
      </x:c>
      <x:c r="P110" s="8" t="n">
        <x:v>8235</x:v>
      </x:c>
      <x:c r="Q110" s="8" t="n">
        <x:v>9311</x:v>
      </x:c>
      <x:c r="R110" s="8" t="n">
        <x:v>818</x:v>
      </x:c>
      <x:c r="S110" s="8" t="n">
        <x:v>10129</x:v>
      </x:c>
      <x:c r="T110" s="11" t="n">
        <x:v>4.1</x:v>
      </x:c>
      <x:c r="U110" s="2" t="n">
        <x:v>2021</x:v>
      </x:c>
      <x:c r="V110" s="2" t="str">
        <x:v>https://www.mlit.go.jp/road/census/r3/data/csv/kasyo03.csv</x:v>
      </x:c>
      <x:c r="W110" s="2" t="n">
        <x:v>705</x:v>
      </x:c>
    </x:row>
    <x:row r="111" ht="21" customHeight="1">
      <x:c r="A111" s="7" t="str">
        <x:v>岩手：奥州市</x:v>
      </x:c>
      <x:c r="B111" s="2" t="str">
        <x:v>3303970175</x:v>
      </x:c>
      <x:c r="C111" s="2" t="str">
        <x:v>3000_21360</x:v>
      </x:c>
      <x:c r="D111" s="2" t="str">
        <x:v>3215</x:v>
      </x:c>
      <x:c r="E111" s="2" t="str">
        <x:v>一般国道３９７号</x:v>
      </x:c>
      <x:c r="F111" s="2" t="str">
        <x:v>奥州市胆沢区出店</x:v>
      </x:c>
      <x:c r="G111" s="2" t="str">
        <x:v>奥州市胆沢区出店</x:v>
      </x:c>
      <x:c r="H111" s="2" t="str">
        <x:v>観測</x:v>
      </x:c>
      <x:c r="I111" s="2" t="str">
        <x:v>観測</x:v>
      </x:c>
      <x:c r="J111" s="2" t="str">
        <x:v>12時間</x:v>
      </x:c>
      <x:c r="K111" s="2" t="str">
        <x:v>12時間</x:v>
      </x:c>
      <x:c r="L111" s="2" t="str">
        <x:v>20211005</x:v>
      </x:c>
      <x:c r="M111" s="2" t="str">
        <x:v>20211005</x:v>
      </x:c>
      <x:c r="N111" s="8" t="n">
        <x:v>2484</x:v>
      </x:c>
      <x:c r="O111" s="8" t="n">
        <x:v>364</x:v>
      </x:c>
      <x:c r="P111" s="8" t="n">
        <x:v>2848</x:v>
      </x:c>
      <x:c r="Q111" s="8" t="n">
        <x:v>2906</x:v>
      </x:c>
      <x:c r="R111" s="8" t="n">
        <x:v>540</x:v>
      </x:c>
      <x:c r="S111" s="8" t="n">
        <x:v>3446</x:v>
      </x:c>
      <x:c r="T111" s="11" t="n">
        <x:v>12.8</x:v>
      </x:c>
      <x:c r="U111" s="2" t="n">
        <x:v>2021</x:v>
      </x:c>
      <x:c r="V111" s="2" t="str">
        <x:v>https://www.mlit.go.jp/road/census/r3/data/csv/kasyo03.csv</x:v>
      </x:c>
      <x:c r="W111" s="2" t="n">
        <x:v>706</x:v>
      </x:c>
    </x:row>
    <x:row r="112" ht="21" customHeight="1">
      <x:c r="A112" s="7" t="str">
        <x:v>岩手：奥州市</x:v>
      </x:c>
      <x:c r="B112" s="2" t="str">
        <x:v>3303970180</x:v>
      </x:c>
      <x:c r="C112" s="2" t="str">
        <x:v>3000_21360</x:v>
      </x:c>
      <x:c r="D112" s="2" t="str">
        <x:v>3215</x:v>
      </x:c>
      <x:c r="E112" s="2" t="str">
        <x:v>一般国道３９７号</x:v>
      </x:c>
      <x:c r="F112" s="2" t="str">
        <x:v>奥州市胆沢区出店</x:v>
      </x:c>
      <x:c r="G112" s="2" t="str">
        <x:v>奥州市胆沢区出店</x:v>
      </x:c>
      <x:c r="H112" s="2" t="str">
        <x:v>観測</x:v>
      </x:c>
      <x:c r="I112" s="2" t="str">
        <x:v>観測</x:v>
      </x:c>
      <x:c r="J112" s="2" t="str">
        <x:v>12時間</x:v>
      </x:c>
      <x:c r="K112" s="2" t="str">
        <x:v>12時間</x:v>
      </x:c>
      <x:c r="L112" s="2" t="str">
        <x:v>20211005</x:v>
      </x:c>
      <x:c r="M112" s="2" t="str">
        <x:v>20211005</x:v>
      </x:c>
      <x:c r="N112" s="8" t="n">
        <x:v>2484</x:v>
      </x:c>
      <x:c r="O112" s="8" t="n">
        <x:v>364</x:v>
      </x:c>
      <x:c r="P112" s="8" t="n">
        <x:v>2848</x:v>
      </x:c>
      <x:c r="Q112" s="8" t="n">
        <x:v>2906</x:v>
      </x:c>
      <x:c r="R112" s="8" t="n">
        <x:v>540</x:v>
      </x:c>
      <x:c r="S112" s="8" t="n">
        <x:v>3446</x:v>
      </x:c>
      <x:c r="T112" s="11" t="n">
        <x:v>12.8</x:v>
      </x:c>
      <x:c r="U112" s="2" t="n">
        <x:v>2021</x:v>
      </x:c>
      <x:c r="V112" s="2" t="str">
        <x:v>https://www.mlit.go.jp/road/census/r3/data/csv/kasyo03.csv</x:v>
      </x:c>
      <x:c r="W112" s="2" t="n">
        <x:v>707</x:v>
      </x:c>
    </x:row>
    <x:row r="113" ht="21" customHeight="1">
      <x:c r="A113" s="7" t="str">
        <x:v>岩手：奥州市</x:v>
      </x:c>
      <x:c r="B113" s="2" t="str">
        <x:v>3303970190</x:v>
      </x:c>
      <x:c r="C113" s="2" t="str">
        <x:v>3000_21360</x:v>
      </x:c>
      <x:c r="D113" s="2" t="str">
        <x:v>3215</x:v>
      </x:c>
      <x:c r="E113" s="2" t="str">
        <x:v>一般国道３９７号</x:v>
      </x:c>
      <x:c r="F113" s="2" t="str">
        <x:v>奥州市胆沢区出店</x:v>
      </x:c>
      <x:c r="G113" s="2" t="str">
        <x:v>奥州市胆沢区出店</x:v>
      </x:c>
      <x:c r="H113" s="2" t="str">
        <x:v>観測</x:v>
      </x:c>
      <x:c r="I113" s="2" t="str">
        <x:v>観測</x:v>
      </x:c>
      <x:c r="J113" s="2" t="str">
        <x:v>12時間</x:v>
      </x:c>
      <x:c r="K113" s="2" t="str">
        <x:v>12時間</x:v>
      </x:c>
      <x:c r="L113" s="2" t="str">
        <x:v>20211005</x:v>
      </x:c>
      <x:c r="M113" s="2" t="str">
        <x:v>20211005</x:v>
      </x:c>
      <x:c r="N113" s="8" t="n">
        <x:v>2484</x:v>
      </x:c>
      <x:c r="O113" s="8" t="n">
        <x:v>364</x:v>
      </x:c>
      <x:c r="P113" s="8" t="n">
        <x:v>2848</x:v>
      </x:c>
      <x:c r="Q113" s="8" t="n">
        <x:v>2906</x:v>
      </x:c>
      <x:c r="R113" s="8" t="n">
        <x:v>540</x:v>
      </x:c>
      <x:c r="S113" s="8" t="n">
        <x:v>3446</x:v>
      </x:c>
      <x:c r="T113" s="11" t="n">
        <x:v>12.8</x:v>
      </x:c>
      <x:c r="U113" s="2" t="n">
        <x:v>2021</x:v>
      </x:c>
      <x:c r="V113" s="2" t="str">
        <x:v>https://www.mlit.go.jp/road/census/r3/data/csv/kasyo03.csv</x:v>
      </x:c>
      <x:c r="W113" s="2" t="n">
        <x:v>708</x:v>
      </x:c>
    </x:row>
    <x:row r="114" ht="21" customHeight="1">
      <x:c r="A114" s="7" t="str">
        <x:v>岩手：奥州市</x:v>
      </x:c>
      <x:c r="B114" s="2" t="str">
        <x:v>3303970200</x:v>
      </x:c>
      <x:c r="C114" s="2" t="str">
        <x:v>3000_21360</x:v>
      </x:c>
      <x:c r="D114" s="2" t="str">
        <x:v>3215</x:v>
      </x:c>
      <x:c r="E114" s="2" t="str">
        <x:v>一般国道３９７号</x:v>
      </x:c>
      <x:c r="F114" s="2" t="str">
        <x:v>奥州市胆沢区出店</x:v>
      </x:c>
      <x:c r="G114" s="2" t="str">
        <x:v>奥州市胆沢区出店</x:v>
      </x:c>
      <x:c r="H114" s="2" t="str">
        <x:v>観測</x:v>
      </x:c>
      <x:c r="I114" s="2" t="str">
        <x:v>観測</x:v>
      </x:c>
      <x:c r="J114" s="2" t="str">
        <x:v>12時間</x:v>
      </x:c>
      <x:c r="K114" s="2" t="str">
        <x:v>12時間</x:v>
      </x:c>
      <x:c r="L114" s="2" t="str">
        <x:v>20211005</x:v>
      </x:c>
      <x:c r="M114" s="2" t="str">
        <x:v>20211005</x:v>
      </x:c>
      <x:c r="N114" s="8" t="n">
        <x:v>2484</x:v>
      </x:c>
      <x:c r="O114" s="8" t="n">
        <x:v>364</x:v>
      </x:c>
      <x:c r="P114" s="8" t="n">
        <x:v>2848</x:v>
      </x:c>
      <x:c r="Q114" s="8" t="n">
        <x:v>2906</x:v>
      </x:c>
      <x:c r="R114" s="8" t="n">
        <x:v>540</x:v>
      </x:c>
      <x:c r="S114" s="8" t="n">
        <x:v>3446</x:v>
      </x:c>
      <x:c r="T114" s="11" t="n">
        <x:v>12.8</x:v>
      </x:c>
      <x:c r="U114" s="2" t="n">
        <x:v>2021</x:v>
      </x:c>
      <x:c r="V114" s="2" t="str">
        <x:v>https://www.mlit.go.jp/road/census/r3/data/csv/kasyo03.csv</x:v>
      </x:c>
      <x:c r="W114" s="2" t="n">
        <x:v>709</x:v>
      </x:c>
    </x:row>
    <x:row r="115" ht="21" customHeight="1">
      <x:c r="A115" s="7" t="str">
        <x:v>岩手：奥州市</x:v>
      </x:c>
      <x:c r="B115" s="2" t="str">
        <x:v>3303970210</x:v>
      </x:c>
      <x:c r="C115" s="2" t="str">
        <x:v>3000_21370</x:v>
      </x:c>
      <x:c r="D115" s="2" t="str">
        <x:v>3215</x:v>
      </x:c>
      <x:c r="E115" s="2" t="str">
        <x:v>一般国道３９７号</x:v>
      </x:c>
      <x:c r="F115" s="2" t="str">
        <x:v>奥州市胆沢区</x:v>
      </x:c>
      <x:c r="G115" s="2" t="str">
        <x:v>奥州市胆沢区</x:v>
      </x:c>
      <x:c r="H115" s="2" t="str">
        <x:v>観測</x:v>
      </x:c>
      <x:c r="I115" s="2" t="str">
        <x:v>観測</x:v>
      </x:c>
      <x:c r="J115" s="2" t="str">
        <x:v>12時間</x:v>
      </x:c>
      <x:c r="K115" s="2" t="str">
        <x:v>12時間</x:v>
      </x:c>
      <x:c r="L115" s="2" t="str">
        <x:v>20211013</x:v>
      </x:c>
      <x:c r="M115" s="2" t="str">
        <x:v>20211013</x:v>
      </x:c>
      <x:c r="N115" s="8" t="n">
        <x:v>671</x:v>
      </x:c>
      <x:c r="O115" s="8" t="n">
        <x:v>70</x:v>
      </x:c>
      <x:c r="P115" s="8" t="n">
        <x:v>741</x:v>
      </x:c>
      <x:c r="Q115" s="8" t="n">
        <x:v>752</x:v>
      </x:c>
      <x:c r="R115" s="8" t="n">
        <x:v>85</x:v>
      </x:c>
      <x:c r="S115" s="8" t="n">
        <x:v>837</x:v>
      </x:c>
      <x:c r="T115" s="11" t="n">
        <x:v>9.4</x:v>
      </x:c>
      <x:c r="U115" s="2" t="n">
        <x:v>2021</x:v>
      </x:c>
      <x:c r="V115" s="2" t="str">
        <x:v>https://www.mlit.go.jp/road/census/r3/data/csv/kasyo03.csv</x:v>
      </x:c>
      <x:c r="W115" s="2" t="n">
        <x:v>710</x:v>
      </x:c>
    </x:row>
    <x:row r="116" ht="21" customHeight="1">
      <x:c r="A116" s="7" t="str">
        <x:v>岩手：奥州市</x:v>
      </x:c>
      <x:c r="B116" s="2" t="str">
        <x:v>3303970240</x:v>
      </x:c>
      <x:c r="C116" s="2" t="str">
        <x:v>3000_21370</x:v>
      </x:c>
      <x:c r="D116" s="2" t="str">
        <x:v>3215</x:v>
      </x:c>
      <x:c r="E116" s="2" t="str">
        <x:v>一般国道３９７号</x:v>
      </x:c>
      <x:c r="F116" s="2" t="str">
        <x:v>奥州市胆沢区</x:v>
      </x:c>
      <x:c r="G116" s="2" t="str">
        <x:v>奥州市胆沢区</x:v>
      </x:c>
      <x:c r="H116" s="2" t="str">
        <x:v>観測</x:v>
      </x:c>
      <x:c r="I116" s="2" t="str">
        <x:v>観測</x:v>
      </x:c>
      <x:c r="J116" s="2" t="str">
        <x:v>12時間</x:v>
      </x:c>
      <x:c r="K116" s="2" t="str">
        <x:v>12時間</x:v>
      </x:c>
      <x:c r="L116" s="2" t="str">
        <x:v>20211013</x:v>
      </x:c>
      <x:c r="M116" s="2" t="str">
        <x:v>20211013</x:v>
      </x:c>
      <x:c r="N116" s="8" t="n">
        <x:v>671</x:v>
      </x:c>
      <x:c r="O116" s="8" t="n">
        <x:v>70</x:v>
      </x:c>
      <x:c r="P116" s="8" t="n">
        <x:v>741</x:v>
      </x:c>
      <x:c r="Q116" s="8" t="n">
        <x:v>752</x:v>
      </x:c>
      <x:c r="R116" s="8" t="n">
        <x:v>85</x:v>
      </x:c>
      <x:c r="S116" s="8" t="n">
        <x:v>837</x:v>
      </x:c>
      <x:c r="T116" s="11" t="n">
        <x:v>9.4</x:v>
      </x:c>
      <x:c r="U116" s="2" t="n">
        <x:v>2021</x:v>
      </x:c>
      <x:c r="V116" s="2" t="str">
        <x:v>https://www.mlit.go.jp/road/census/r3/data/csv/kasyo03.csv</x:v>
      </x:c>
      <x:c r="W116" s="2" t="n">
        <x:v>711</x:v>
      </x:c>
    </x:row>
    <x:row r="117" ht="21" customHeight="1">
      <x:c r="A117" s="7" t="str">
        <x:v>岩手：奥州市</x:v>
      </x:c>
      <x:c r="B117" s="2" t="str">
        <x:v>3303970260</x:v>
      </x:c>
      <x:c r="C117" s="2" t="str">
        <x:v>3000_21370</x:v>
      </x:c>
      <x:c r="D117" s="2" t="str">
        <x:v>3215</x:v>
      </x:c>
      <x:c r="E117" s="2" t="str">
        <x:v>一般国道３９７号</x:v>
      </x:c>
      <x:c r="F117" s="2" t="str">
        <x:v>奥州市胆沢区</x:v>
      </x:c>
      <x:c r="G117" s="2" t="str">
        <x:v>奥州市胆沢区</x:v>
      </x:c>
      <x:c r="H117" s="2" t="str">
        <x:v>観測</x:v>
      </x:c>
      <x:c r="I117" s="2" t="str">
        <x:v>観測</x:v>
      </x:c>
      <x:c r="J117" s="2" t="str">
        <x:v>12時間</x:v>
      </x:c>
      <x:c r="K117" s="2" t="str">
        <x:v>12時間</x:v>
      </x:c>
      <x:c r="L117" s="2" t="str">
        <x:v>20211013</x:v>
      </x:c>
      <x:c r="M117" s="2" t="str">
        <x:v>20211013</x:v>
      </x:c>
      <x:c r="N117" s="8" t="n">
        <x:v>671</x:v>
      </x:c>
      <x:c r="O117" s="8" t="n">
        <x:v>70</x:v>
      </x:c>
      <x:c r="P117" s="8" t="n">
        <x:v>741</x:v>
      </x:c>
      <x:c r="Q117" s="8" t="n">
        <x:v>752</x:v>
      </x:c>
      <x:c r="R117" s="8" t="n">
        <x:v>85</x:v>
      </x:c>
      <x:c r="S117" s="8" t="n">
        <x:v>837</x:v>
      </x:c>
      <x:c r="T117" s="11" t="n">
        <x:v>9.4</x:v>
      </x:c>
      <x:c r="U117" s="2" t="n">
        <x:v>2021</x:v>
      </x:c>
      <x:c r="V117" s="2" t="str">
        <x:v>https://www.mlit.go.jp/road/census/r3/data/csv/kasyo03.csv</x:v>
      </x:c>
      <x:c r="W117" s="2" t="n">
        <x:v>712</x:v>
      </x:c>
    </x:row>
    <x:row r="118" ht="21" customHeight="1">
      <x:c r="A118" s="7" t="str">
        <x:v>岩手：奥州市</x:v>
      </x:c>
      <x:c r="B118" s="2" t="str">
        <x:v>3303970290</x:v>
      </x:c>
      <x:c r="C118" s="2" t="str">
        <x:v>3000_21380</x:v>
      </x:c>
      <x:c r="D118" s="2" t="str">
        <x:v>3215</x:v>
      </x:c>
      <x:c r="E118" s="2" t="str">
        <x:v>一般国道３９７号</x:v>
      </x:c>
      <x:c r="F118" s="2" t="str">
        <x:v>奥州市胆沢区</x:v>
      </x:c>
      <x:c r="G118" s="2" t="str">
        <x:v>奥州市胆沢区</x:v>
      </x:c>
      <x:c r="H118" s="2" t="str">
        <x:v>観測</x:v>
      </x:c>
      <x:c r="I118" s="2" t="str">
        <x:v>観測</x:v>
      </x:c>
      <x:c r="J118" s="2" t="str">
        <x:v>12時間</x:v>
      </x:c>
      <x:c r="K118" s="2" t="str">
        <x:v>12時間</x:v>
      </x:c>
      <x:c r="L118" s="2" t="str">
        <x:v>20211005</x:v>
      </x:c>
      <x:c r="M118" s="2" t="str">
        <x:v>20211005</x:v>
      </x:c>
      <x:c r="N118" s="8" t="n">
        <x:v>122</x:v>
      </x:c>
      <x:c r="O118" s="8" t="n">
        <x:v>36</x:v>
      </x:c>
      <x:c r="P118" s="8" t="n">
        <x:v>158</x:v>
      </x:c>
      <x:c r="Q118" s="8" t="n">
        <x:v>151</x:v>
      </x:c>
      <x:c r="R118" s="8" t="n">
        <x:v>45</x:v>
      </x:c>
      <x:c r="S118" s="8" t="n">
        <x:v>196</x:v>
      </x:c>
      <x:c r="T118" s="11" t="n">
        <x:v>22.8</x:v>
      </x:c>
      <x:c r="U118" s="2" t="n">
        <x:v>2021</x:v>
      </x:c>
      <x:c r="V118" s="2" t="str">
        <x:v>https://www.mlit.go.jp/road/census/r3/data/csv/kasyo03.csv</x:v>
      </x:c>
      <x:c r="W118" s="2" t="n">
        <x:v>713</x:v>
      </x:c>
    </x:row>
    <x:row r="119" ht="21" customHeight="1">
      <x:c r="A119" s="7" t="str">
        <x:v>岩手：奥州市</x:v>
      </x:c>
      <x:c r="B119" s="2" t="str">
        <x:v>3303970090</x:v>
      </x:c>
      <x:c r="C119" s="2" t="str">
        <x:v>3000_21335</x:v>
      </x:c>
      <x:c r="D119" s="2" t="str">
        <x:v>3215</x:v>
      </x:c>
      <x:c r="E119" s="2" t="str">
        <x:v>一般国道３９７号</x:v>
      </x:c>
      <x:c r="F119" s="2" t="str">
        <x:v>水沢羽田町久保</x:v>
      </x:c>
      <x:c r="G119" s="2" t="str">
        <x:v>水沢羽田町久保</x:v>
      </x:c>
      <x:c r="H119" s="2" t="str">
        <x:v>推定</x:v>
      </x:c>
      <x:c r="I119" s="2" t="str">
        <x:v>推定</x:v>
      </x:c>
      <x:c r="J119" s="2" t="str">
        <x:v>12時間</x:v>
      </x:c>
      <x:c r="K119" s="2" t="str">
        <x:v>12時間</x:v>
      </x:c>
      <x:c r="L119" s="2" t="str">
        <x:v>20211111</x:v>
      </x:c>
      <x:c r="M119" s="2" t="str">
        <x:v>20211111</x:v>
      </x:c>
      <x:c r="N119" s="8" t="n">
        <x:v>4271</x:v>
      </x:c>
      <x:c r="O119" s="8" t="n">
        <x:v>550</x:v>
      </x:c>
      <x:c r="P119" s="8" t="n">
        <x:v>4821</x:v>
      </x:c>
      <x:c r="Q119" s="8" t="n">
        <x:v>5091</x:v>
      </x:c>
      <x:c r="R119" s="8" t="n">
        <x:v>839</x:v>
      </x:c>
      <x:c r="S119" s="8" t="n">
        <x:v>5930</x:v>
      </x:c>
      <x:c r="T119" s="11" t="n">
        <x:v>11.4</x:v>
      </x:c>
      <x:c r="U119" s="2" t="n">
        <x:v>2021</x:v>
      </x:c>
      <x:c r="V119" s="2" t="str">
        <x:v>https://www.mlit.go.jp/road/census/r3/data/csv/kasyo03.csv</x:v>
      </x:c>
      <x:c r="W119" s="2" t="n">
        <x:v>714</x:v>
      </x:c>
    </x:row>
    <x:row r="120" ht="21" customHeight="1">
      <x:c r="A120" s="7" t="str">
        <x:v>岩手：奥州市</x:v>
      </x:c>
      <x:c r="B120" s="2" t="str">
        <x:v>3303970100</x:v>
      </x:c>
      <x:c r="C120" s="2" t="str">
        <x:v>3000_21335</x:v>
      </x:c>
      <x:c r="D120" s="2" t="str">
        <x:v>3215</x:v>
      </x:c>
      <x:c r="E120" s="2" t="str">
        <x:v>一般国道３９７号</x:v>
      </x:c>
      <x:c r="F120" s="2" t="str">
        <x:v>水沢羽田町久保</x:v>
      </x:c>
      <x:c r="G120" s="2" t="str">
        <x:v>水沢羽田町久保</x:v>
      </x:c>
      <x:c r="H120" s="2" t="str">
        <x:v>推定</x:v>
      </x:c>
      <x:c r="I120" s="2" t="str">
        <x:v>推定</x:v>
      </x:c>
      <x:c r="J120" s="2" t="str">
        <x:v>12時間</x:v>
      </x:c>
      <x:c r="K120" s="2" t="str">
        <x:v>12時間</x:v>
      </x:c>
      <x:c r="L120" s="2" t="str">
        <x:v>20211111</x:v>
      </x:c>
      <x:c r="M120" s="2" t="str">
        <x:v>20211111</x:v>
      </x:c>
      <x:c r="N120" s="8" t="n">
        <x:v>4271</x:v>
      </x:c>
      <x:c r="O120" s="8" t="n">
        <x:v>550</x:v>
      </x:c>
      <x:c r="P120" s="8" t="n">
        <x:v>4821</x:v>
      </x:c>
      <x:c r="Q120" s="8" t="n">
        <x:v>5091</x:v>
      </x:c>
      <x:c r="R120" s="8" t="n">
        <x:v>839</x:v>
      </x:c>
      <x:c r="S120" s="8" t="n">
        <x:v>5930</x:v>
      </x:c>
      <x:c r="T120" s="11" t="n">
        <x:v>11.4</x:v>
      </x:c>
      <x:c r="U120" s="2" t="n">
        <x:v>2021</x:v>
      </x:c>
      <x:c r="V120" s="2" t="str">
        <x:v>https://www.mlit.go.jp/road/census/r3/data/csv/kasyo03.csv</x:v>
      </x:c>
      <x:c r="W120" s="2" t="n">
        <x:v>715</x:v>
      </x:c>
    </x:row>
    <x:row r="121" ht="21" customHeight="1">
      <x:c r="A121" s="7" t="str">
        <x:v>岩手：奥州市</x:v>
      </x:c>
      <x:c r="B121" s="2" t="str">
        <x:v>3303970105</x:v>
      </x:c>
      <x:c r="C121" s="2" t="str">
        <x:v>3000_21335</x:v>
      </x:c>
      <x:c r="D121" s="2" t="str">
        <x:v>3215</x:v>
      </x:c>
      <x:c r="E121" s="2" t="str">
        <x:v>一般国道３９７号</x:v>
      </x:c>
      <x:c r="F121" s="2" t="str">
        <x:v>水沢羽田町久保</x:v>
      </x:c>
      <x:c r="G121" s="2" t="str">
        <x:v>水沢羽田町久保</x:v>
      </x:c>
      <x:c r="H121" s="2" t="str">
        <x:v>推定</x:v>
      </x:c>
      <x:c r="I121" s="2" t="str">
        <x:v>推定</x:v>
      </x:c>
      <x:c r="J121" s="2" t="str">
        <x:v>12時間</x:v>
      </x:c>
      <x:c r="K121" s="2" t="str">
        <x:v>12時間</x:v>
      </x:c>
      <x:c r="L121" s="2" t="str">
        <x:v>20211111</x:v>
      </x:c>
      <x:c r="M121" s="2" t="str">
        <x:v>20211111</x:v>
      </x:c>
      <x:c r="N121" s="8" t="n">
        <x:v>4271</x:v>
      </x:c>
      <x:c r="O121" s="8" t="n">
        <x:v>550</x:v>
      </x:c>
      <x:c r="P121" s="8" t="n">
        <x:v>4821</x:v>
      </x:c>
      <x:c r="Q121" s="8" t="n">
        <x:v>5091</x:v>
      </x:c>
      <x:c r="R121" s="8" t="n">
        <x:v>839</x:v>
      </x:c>
      <x:c r="S121" s="8" t="n">
        <x:v>5930</x:v>
      </x:c>
      <x:c r="T121" s="11" t="n">
        <x:v>11.4</x:v>
      </x:c>
      <x:c r="U121" s="2" t="n">
        <x:v>2021</x:v>
      </x:c>
      <x:c r="V121" s="2" t="str">
        <x:v>https://www.mlit.go.jp/road/census/r3/data/csv/kasyo03.csv</x:v>
      </x:c>
      <x:c r="W121" s="2" t="n">
        <x:v>716</x:v>
      </x:c>
    </x:row>
    <x:row r="122" ht="21" customHeight="1">
      <x:c r="A122" s="7" t="str">
        <x:v>岩手：奥州市</x:v>
      </x:c>
      <x:c r="B122" s="2" t="str">
        <x:v>3304560140</x:v>
      </x:c>
      <x:c r="C122" s="2" t="str">
        <x:v>3000_21510</x:v>
      </x:c>
      <x:c r="D122" s="2" t="str">
        <x:v>3215</x:v>
      </x:c>
      <x:c r="E122" s="2" t="str">
        <x:v>一般国道４５６号</x:v>
      </x:c>
      <x:c r="F122" s="2" t="str">
        <x:v>北上市口内町相談</x:v>
      </x:c>
      <x:c r="G122" s="2" t="str">
        <x:v>北上市口内町相談</x:v>
      </x:c>
      <x:c r="H122" s="2" t="str">
        <x:v>観測</x:v>
      </x:c>
      <x:c r="I122" s="2" t="str">
        <x:v>観測</x:v>
      </x:c>
      <x:c r="J122" s="2" t="str">
        <x:v>12時間</x:v>
      </x:c>
      <x:c r="K122" s="2" t="str">
        <x:v>12時間</x:v>
      </x:c>
      <x:c r="L122" s="2" t="str">
        <x:v>20210929</x:v>
      </x:c>
      <x:c r="M122" s="2" t="str">
        <x:v>20210929</x:v>
      </x:c>
      <x:c r="N122" s="8" t="n">
        <x:v>1116</x:v>
      </x:c>
      <x:c r="O122" s="8" t="n">
        <x:v>270</x:v>
      </x:c>
      <x:c r="P122" s="8" t="n">
        <x:v>1386</x:v>
      </x:c>
      <x:c r="Q122" s="8" t="n">
        <x:v>1305</x:v>
      </x:c>
      <x:c r="R122" s="8" t="n">
        <x:v>317</x:v>
      </x:c>
      <x:c r="S122" s="8" t="n">
        <x:v>1622</x:v>
      </x:c>
      <x:c r="T122" s="11" t="n">
        <x:v>19.5</x:v>
      </x:c>
      <x:c r="U122" s="2" t="n">
        <x:v>2021</x:v>
      </x:c>
      <x:c r="V122" s="2" t="str">
        <x:v>https://www.mlit.go.jp/road/census/r3/data/csv/kasyo03.csv</x:v>
      </x:c>
      <x:c r="W122" s="2" t="n">
        <x:v>747</x:v>
      </x:c>
    </x:row>
    <x:row r="123" ht="21" customHeight="1">
      <x:c r="A123" s="7" t="str">
        <x:v>岩手：奥州市</x:v>
      </x:c>
      <x:c r="B123" s="2" t="str">
        <x:v>3304560150</x:v>
      </x:c>
      <x:c r="C123" s="2" t="str">
        <x:v>3000_21520</x:v>
      </x:c>
      <x:c r="D123" s="2" t="str">
        <x:v>3215</x:v>
      </x:c>
      <x:c r="E123" s="2" t="str">
        <x:v>一般国道４５６号</x:v>
      </x:c>
      <x:c r="F123" s="2" t="str">
        <x:v>奥州市江刺区岩谷堂字歌読</x:v>
      </x:c>
      <x:c r="G123" s="2" t="str">
        <x:v>奥州市江刺区岩谷堂字歌読</x:v>
      </x:c>
      <x:c r="H123" s="2" t="str">
        <x:v>観測</x:v>
      </x:c>
      <x:c r="I123" s="2" t="str">
        <x:v>観測</x:v>
      </x:c>
      <x:c r="J123" s="2" t="str">
        <x:v>12時間</x:v>
      </x:c>
      <x:c r="K123" s="2" t="str">
        <x:v>12時間</x:v>
      </x:c>
      <x:c r="L123" s="2" t="str">
        <x:v>20211021</x:v>
      </x:c>
      <x:c r="M123" s="2" t="str">
        <x:v>20211021</x:v>
      </x:c>
      <x:c r="N123" s="8" t="n">
        <x:v>444</x:v>
      </x:c>
      <x:c r="O123" s="8" t="n">
        <x:v>48</x:v>
      </x:c>
      <x:c r="P123" s="8" t="n">
        <x:v>492</x:v>
      </x:c>
      <x:c r="Q123" s="8" t="n">
        <x:v>534</x:v>
      </x:c>
      <x:c r="R123" s="8" t="n">
        <x:v>76</x:v>
      </x:c>
      <x:c r="S123" s="8" t="n">
        <x:v>610</x:v>
      </x:c>
      <x:c r="T123" s="11" t="n">
        <x:v>9.8</x:v>
      </x:c>
      <x:c r="U123" s="2" t="n">
        <x:v>2021</x:v>
      </x:c>
      <x:c r="V123" s="2" t="str">
        <x:v>https://www.mlit.go.jp/road/census/r3/data/csv/kasyo03.csv</x:v>
      </x:c>
      <x:c r="W123" s="2" t="n">
        <x:v>748</x:v>
      </x:c>
    </x:row>
    <x:row r="124" ht="21" customHeight="1">
      <x:c r="A124" s="7" t="str">
        <x:v>岩手：奥州市</x:v>
      </x:c>
      <x:c r="B124" s="2" t="str">
        <x:v>3304560160</x:v>
      </x:c>
      <x:c r="C124" s="2" t="str">
        <x:v>3000_21520</x:v>
      </x:c>
      <x:c r="D124" s="2" t="str">
        <x:v>3215</x:v>
      </x:c>
      <x:c r="E124" s="2" t="str">
        <x:v>一般国道４５６号</x:v>
      </x:c>
      <x:c r="F124" s="2" t="str">
        <x:v>奥州市江刺区岩谷堂字歌読</x:v>
      </x:c>
      <x:c r="G124" s="2" t="str">
        <x:v>奥州市江刺区岩谷堂字歌読</x:v>
      </x:c>
      <x:c r="H124" s="2" t="str">
        <x:v>観測</x:v>
      </x:c>
      <x:c r="I124" s="2" t="str">
        <x:v>観測</x:v>
      </x:c>
      <x:c r="J124" s="2" t="str">
        <x:v>12時間</x:v>
      </x:c>
      <x:c r="K124" s="2" t="str">
        <x:v>12時間</x:v>
      </x:c>
      <x:c r="L124" s="2" t="str">
        <x:v>20211021</x:v>
      </x:c>
      <x:c r="M124" s="2" t="str">
        <x:v>20211021</x:v>
      </x:c>
      <x:c r="N124" s="8" t="n">
        <x:v>444</x:v>
      </x:c>
      <x:c r="O124" s="8" t="n">
        <x:v>48</x:v>
      </x:c>
      <x:c r="P124" s="8" t="n">
        <x:v>492</x:v>
      </x:c>
      <x:c r="Q124" s="8" t="n">
        <x:v>534</x:v>
      </x:c>
      <x:c r="R124" s="8" t="n">
        <x:v>76</x:v>
      </x:c>
      <x:c r="S124" s="8" t="n">
        <x:v>610</x:v>
      </x:c>
      <x:c r="T124" s="11" t="n">
        <x:v>9.8</x:v>
      </x:c>
      <x:c r="U124" s="2" t="n">
        <x:v>2021</x:v>
      </x:c>
      <x:c r="V124" s="2" t="str">
        <x:v>https://www.mlit.go.jp/road/census/r3/data/csv/kasyo03.csv</x:v>
      </x:c>
      <x:c r="W124" s="2" t="n">
        <x:v>749</x:v>
      </x:c>
    </x:row>
    <x:row r="125" ht="21" customHeight="1">
      <x:c r="A125" s="7" t="str">
        <x:v>岩手：奥州市</x:v>
      </x:c>
      <x:c r="B125" s="2" t="str">
        <x:v>3304560170</x:v>
      </x:c>
      <x:c r="C125" s="2" t="str">
        <x:v>3000_21520</x:v>
      </x:c>
      <x:c r="D125" s="2" t="str">
        <x:v>3215</x:v>
      </x:c>
      <x:c r="E125" s="2" t="str">
        <x:v>一般国道４５６号</x:v>
      </x:c>
      <x:c r="F125" s="2" t="str">
        <x:v>奥州市江刺区岩谷堂字歌読</x:v>
      </x:c>
      <x:c r="G125" s="2" t="str">
        <x:v>奥州市江刺区岩谷堂字歌読</x:v>
      </x:c>
      <x:c r="H125" s="2" t="str">
        <x:v>観測</x:v>
      </x:c>
      <x:c r="I125" s="2" t="str">
        <x:v>観測</x:v>
      </x:c>
      <x:c r="J125" s="2" t="str">
        <x:v>12時間</x:v>
      </x:c>
      <x:c r="K125" s="2" t="str">
        <x:v>12時間</x:v>
      </x:c>
      <x:c r="L125" s="2" t="str">
        <x:v>20211021</x:v>
      </x:c>
      <x:c r="M125" s="2" t="str">
        <x:v>20211021</x:v>
      </x:c>
      <x:c r="N125" s="8" t="n">
        <x:v>444</x:v>
      </x:c>
      <x:c r="O125" s="8" t="n">
        <x:v>48</x:v>
      </x:c>
      <x:c r="P125" s="8" t="n">
        <x:v>492</x:v>
      </x:c>
      <x:c r="Q125" s="8" t="n">
        <x:v>534</x:v>
      </x:c>
      <x:c r="R125" s="8" t="n">
        <x:v>76</x:v>
      </x:c>
      <x:c r="S125" s="8" t="n">
        <x:v>610</x:v>
      </x:c>
      <x:c r="T125" s="11" t="n">
        <x:v>9.8</x:v>
      </x:c>
      <x:c r="U125" s="2" t="n">
        <x:v>2021</x:v>
      </x:c>
      <x:c r="V125" s="2" t="str">
        <x:v>https://www.mlit.go.jp/road/census/r3/data/csv/kasyo03.csv</x:v>
      </x:c>
      <x:c r="W125" s="2" t="n">
        <x:v>750</x:v>
      </x:c>
    </x:row>
    <x:row r="126" ht="21" customHeight="1">
      <x:c r="A126" s="7" t="str">
        <x:v>岩手：奥州市</x:v>
      </x:c>
      <x:c r="B126" s="2" t="str">
        <x:v>3304560180</x:v>
      </x:c>
      <x:c r="C126" s="2" t="str">
        <x:v>3000_21530</x:v>
      </x:c>
      <x:c r="D126" s="2" t="str">
        <x:v>3215</x:v>
      </x:c>
      <x:c r="E126" s="2" t="str">
        <x:v>一般国道４５６号</x:v>
      </x:c>
      <x:c r="F126" s="2" t="str">
        <x:v>奥州市江刺区大通り</x:v>
      </x:c>
      <x:c r="G126" s="2" t="str">
        <x:v>奥州市江刺区大通り</x:v>
      </x:c>
      <x:c r="H126" s="2" t="str">
        <x:v>観測</x:v>
      </x:c>
      <x:c r="I126" s="2" t="str">
        <x:v>観測</x:v>
      </x:c>
      <x:c r="J126" s="2" t="str">
        <x:v>12時間</x:v>
      </x:c>
      <x:c r="K126" s="2" t="str">
        <x:v>12時間</x:v>
      </x:c>
      <x:c r="L126" s="2" t="str">
        <x:v>20211021</x:v>
      </x:c>
      <x:c r="M126" s="2" t="str">
        <x:v>20211021</x:v>
      </x:c>
      <x:c r="N126" s="8" t="n">
        <x:v>5837</x:v>
      </x:c>
      <x:c r="O126" s="8" t="n">
        <x:v>689</x:v>
      </x:c>
      <x:c r="P126" s="8" t="n">
        <x:v>6526</x:v>
      </x:c>
      <x:c r="Q126" s="8" t="n">
        <x:v>6937</x:v>
      </x:c>
      <x:c r="R126" s="8" t="n">
        <x:v>1090</x:v>
      </x:c>
      <x:c r="S126" s="8" t="n">
        <x:v>8027</x:v>
      </x:c>
      <x:c r="T126" s="11" t="n">
        <x:v>10.6</x:v>
      </x:c>
      <x:c r="U126" s="2" t="n">
        <x:v>2021</x:v>
      </x:c>
      <x:c r="V126" s="2" t="str">
        <x:v>https://www.mlit.go.jp/road/census/r3/data/csv/kasyo03.csv</x:v>
      </x:c>
      <x:c r="W126" s="2" t="n">
        <x:v>751</x:v>
      </x:c>
    </x:row>
    <x:row r="127" ht="21" customHeight="1">
      <x:c r="A127" s="7" t="str">
        <x:v>岩手：奥州市</x:v>
      </x:c>
      <x:c r="B127" s="2" t="str">
        <x:v>3304560190</x:v>
      </x:c>
      <x:c r="C127" s="2" t="str">
        <x:v>3000_21530</x:v>
      </x:c>
      <x:c r="D127" s="2" t="str">
        <x:v>3215</x:v>
      </x:c>
      <x:c r="E127" s="2" t="str">
        <x:v>一般国道４５６号</x:v>
      </x:c>
      <x:c r="F127" s="2" t="str">
        <x:v>奥州市江刺区大通り</x:v>
      </x:c>
      <x:c r="G127" s="2" t="str">
        <x:v>奥州市江刺区大通り</x:v>
      </x:c>
      <x:c r="H127" s="2" t="str">
        <x:v>観測</x:v>
      </x:c>
      <x:c r="I127" s="2" t="str">
        <x:v>観測</x:v>
      </x:c>
      <x:c r="J127" s="2" t="str">
        <x:v>12時間</x:v>
      </x:c>
      <x:c r="K127" s="2" t="str">
        <x:v>12時間</x:v>
      </x:c>
      <x:c r="L127" s="2" t="str">
        <x:v>20211021</x:v>
      </x:c>
      <x:c r="M127" s="2" t="str">
        <x:v>20211021</x:v>
      </x:c>
      <x:c r="N127" s="8" t="n">
        <x:v>5837</x:v>
      </x:c>
      <x:c r="O127" s="8" t="n">
        <x:v>689</x:v>
      </x:c>
      <x:c r="P127" s="8" t="n">
        <x:v>6526</x:v>
      </x:c>
      <x:c r="Q127" s="8" t="n">
        <x:v>6937</x:v>
      </x:c>
      <x:c r="R127" s="8" t="n">
        <x:v>1090</x:v>
      </x:c>
      <x:c r="S127" s="8" t="n">
        <x:v>8027</x:v>
      </x:c>
      <x:c r="T127" s="11" t="n">
        <x:v>10.6</x:v>
      </x:c>
      <x:c r="U127" s="2" t="n">
        <x:v>2021</x:v>
      </x:c>
      <x:c r="V127" s="2" t="str">
        <x:v>https://www.mlit.go.jp/road/census/r3/data/csv/kasyo03.csv</x:v>
      </x:c>
      <x:c r="W127" s="2" t="n">
        <x:v>752</x:v>
      </x:c>
    </x:row>
    <x:row r="128" ht="21" customHeight="1">
      <x:c r="A128" s="7" t="str">
        <x:v>岩手：奥州市</x:v>
      </x:c>
      <x:c r="B128" s="2" t="str">
        <x:v>3304560195</x:v>
      </x:c>
      <x:c r="C128" s="2" t="str">
        <x:v>3000_21530</x:v>
      </x:c>
      <x:c r="D128" s="2" t="str">
        <x:v>3215</x:v>
      </x:c>
      <x:c r="E128" s="2" t="str">
        <x:v>一般国道４５６号</x:v>
      </x:c>
      <x:c r="F128" s="2" t="str">
        <x:v>奥州市江刺区大通り</x:v>
      </x:c>
      <x:c r="G128" s="2" t="str">
        <x:v>奥州市江刺区大通り</x:v>
      </x:c>
      <x:c r="H128" s="2" t="str">
        <x:v>観測</x:v>
      </x:c>
      <x:c r="I128" s="2" t="str">
        <x:v>観測</x:v>
      </x:c>
      <x:c r="J128" s="2" t="str">
        <x:v>12時間</x:v>
      </x:c>
      <x:c r="K128" s="2" t="str">
        <x:v>12時間</x:v>
      </x:c>
      <x:c r="L128" s="2" t="str">
        <x:v>20211021</x:v>
      </x:c>
      <x:c r="M128" s="2" t="str">
        <x:v>20211021</x:v>
      </x:c>
      <x:c r="N128" s="8" t="n">
        <x:v>5837</x:v>
      </x:c>
      <x:c r="O128" s="8" t="n">
        <x:v>689</x:v>
      </x:c>
      <x:c r="P128" s="8" t="n">
        <x:v>6526</x:v>
      </x:c>
      <x:c r="Q128" s="8" t="n">
        <x:v>6937</x:v>
      </x:c>
      <x:c r="R128" s="8" t="n">
        <x:v>1090</x:v>
      </x:c>
      <x:c r="S128" s="8" t="n">
        <x:v>8027</x:v>
      </x:c>
      <x:c r="T128" s="11" t="n">
        <x:v>10.6</x:v>
      </x:c>
      <x:c r="U128" s="2" t="n">
        <x:v>2021</x:v>
      </x:c>
      <x:c r="V128" s="2" t="str">
        <x:v>https://www.mlit.go.jp/road/census/r3/data/csv/kasyo03.csv</x:v>
      </x:c>
      <x:c r="W128" s="2" t="n">
        <x:v>753</x:v>
      </x:c>
    </x:row>
    <x:row r="129" ht="21" customHeight="1">
      <x:c r="A129" s="7" t="str">
        <x:v>岩手：奥州市</x:v>
      </x:c>
      <x:c r="B129" s="2" t="str">
        <x:v>3304560370</x:v>
      </x:c>
      <x:c r="C129" s="2" t="str">
        <x:v>3000_21540</x:v>
      </x:c>
      <x:c r="D129" s="2" t="str">
        <x:v>3215</x:v>
      </x:c>
      <x:c r="E129" s="2" t="str">
        <x:v>一般国道４５６号（中堰工区）</x:v>
      </x:c>
      <x:c r="F129" s="2" t="str">
        <x:v>奥州市江刺区岩谷堂石原</x:v>
      </x:c>
      <x:c r="G129" s="2" t="str">
        <x:v>奥州市江刺区岩谷堂石原</x:v>
      </x:c>
      <x:c r="H129" s="2" t="str">
        <x:v>観測</x:v>
      </x:c>
      <x:c r="I129" s="2" t="str">
        <x:v>観測</x:v>
      </x:c>
      <x:c r="J129" s="2" t="str">
        <x:v>12時間</x:v>
      </x:c>
      <x:c r="K129" s="2" t="str">
        <x:v>12時間</x:v>
      </x:c>
      <x:c r="L129" s="2" t="str">
        <x:v>20211005</x:v>
      </x:c>
      <x:c r="M129" s="2" t="str">
        <x:v>20211005</x:v>
      </x:c>
      <x:c r="N129" s="8" t="n">
        <x:v>2675</x:v>
      </x:c>
      <x:c r="O129" s="8" t="n">
        <x:v>575</x:v>
      </x:c>
      <x:c r="P129" s="8" t="n">
        <x:v>3250</x:v>
      </x:c>
      <x:c r="Q129" s="8" t="n">
        <x:v>3165</x:v>
      </x:c>
      <x:c r="R129" s="8" t="n">
        <x:v>800</x:v>
      </x:c>
      <x:c r="S129" s="8" t="n">
        <x:v>3965</x:v>
      </x:c>
      <x:c r="T129" s="11" t="n">
        <x:v>17.7</x:v>
      </x:c>
      <x:c r="U129" s="2" t="n">
        <x:v>2021</x:v>
      </x:c>
      <x:c r="V129" s="2" t="str">
        <x:v>https://www.mlit.go.jp/road/census/r3/data/csv/kasyo03.csv</x:v>
      </x:c>
      <x:c r="W129" s="2" t="n">
        <x:v>754</x:v>
      </x:c>
    </x:row>
    <x:row r="130" ht="21" customHeight="1">
      <x:c r="A130" s="7" t="str">
        <x:v>岩手：奥州市</x:v>
      </x:c>
      <x:c r="B130" s="2" t="str">
        <x:v>3304560210</x:v>
      </x:c>
      <x:c r="C130" s="2" t="str">
        <x:v>3000_21540</x:v>
      </x:c>
      <x:c r="D130" s="2" t="str">
        <x:v>3215</x:v>
      </x:c>
      <x:c r="E130" s="2" t="str">
        <x:v>一般国道４５６号</x:v>
      </x:c>
      <x:c r="F130" s="2" t="str">
        <x:v>奥州市江刺区岩谷堂石原</x:v>
      </x:c>
      <x:c r="G130" s="2" t="str">
        <x:v>奥州市江刺区岩谷堂石原</x:v>
      </x:c>
      <x:c r="H130" s="2" t="str">
        <x:v>観測</x:v>
      </x:c>
      <x:c r="I130" s="2" t="str">
        <x:v>観測</x:v>
      </x:c>
      <x:c r="J130" s="2" t="str">
        <x:v>12時間</x:v>
      </x:c>
      <x:c r="K130" s="2" t="str">
        <x:v>12時間</x:v>
      </x:c>
      <x:c r="L130" s="2" t="str">
        <x:v>20211005</x:v>
      </x:c>
      <x:c r="M130" s="2" t="str">
        <x:v>20211005</x:v>
      </x:c>
      <x:c r="N130" s="8" t="n">
        <x:v>2675</x:v>
      </x:c>
      <x:c r="O130" s="8" t="n">
        <x:v>575</x:v>
      </x:c>
      <x:c r="P130" s="8" t="n">
        <x:v>3250</x:v>
      </x:c>
      <x:c r="Q130" s="8" t="n">
        <x:v>3165</x:v>
      </x:c>
      <x:c r="R130" s="8" t="n">
        <x:v>800</x:v>
      </x:c>
      <x:c r="S130" s="8" t="n">
        <x:v>3965</x:v>
      </x:c>
      <x:c r="T130" s="11" t="n">
        <x:v>17.7</x:v>
      </x:c>
      <x:c r="U130" s="2" t="n">
        <x:v>2021</x:v>
      </x:c>
      <x:c r="V130" s="2" t="str">
        <x:v>https://www.mlit.go.jp/road/census/r3/data/csv/kasyo03.csv</x:v>
      </x:c>
      <x:c r="W130" s="2" t="n">
        <x:v>755</x:v>
      </x:c>
    </x:row>
    <x:row r="131" ht="21" customHeight="1">
      <x:c r="A131" s="7" t="str">
        <x:v>岩手：奥州市</x:v>
      </x:c>
      <x:c r="B131" s="2" t="str">
        <x:v>3304560220</x:v>
      </x:c>
      <x:c r="C131" s="2" t="str">
        <x:v>3000_21540</x:v>
      </x:c>
      <x:c r="D131" s="2" t="str">
        <x:v>3215</x:v>
      </x:c>
      <x:c r="E131" s="2" t="str">
        <x:v>一般国道４５６号</x:v>
      </x:c>
      <x:c r="F131" s="2" t="str">
        <x:v>奥州市江刺区岩谷堂石原</x:v>
      </x:c>
      <x:c r="G131" s="2" t="str">
        <x:v>奥州市江刺区岩谷堂石原</x:v>
      </x:c>
      <x:c r="H131" s="2" t="str">
        <x:v>観測</x:v>
      </x:c>
      <x:c r="I131" s="2" t="str">
        <x:v>観測</x:v>
      </x:c>
      <x:c r="J131" s="2" t="str">
        <x:v>12時間</x:v>
      </x:c>
      <x:c r="K131" s="2" t="str">
        <x:v>12時間</x:v>
      </x:c>
      <x:c r="L131" s="2" t="str">
        <x:v>20211005</x:v>
      </x:c>
      <x:c r="M131" s="2" t="str">
        <x:v>20211005</x:v>
      </x:c>
      <x:c r="N131" s="8" t="n">
        <x:v>2675</x:v>
      </x:c>
      <x:c r="O131" s="8" t="n">
        <x:v>575</x:v>
      </x:c>
      <x:c r="P131" s="8" t="n">
        <x:v>3250</x:v>
      </x:c>
      <x:c r="Q131" s="8" t="n">
        <x:v>3165</x:v>
      </x:c>
      <x:c r="R131" s="8" t="n">
        <x:v>800</x:v>
      </x:c>
      <x:c r="S131" s="8" t="n">
        <x:v>3965</x:v>
      </x:c>
      <x:c r="T131" s="11" t="n">
        <x:v>17.7</x:v>
      </x:c>
      <x:c r="U131" s="2" t="n">
        <x:v>2021</x:v>
      </x:c>
      <x:c r="V131" s="2" t="str">
        <x:v>https://www.mlit.go.jp/road/census/r3/data/csv/kasyo03.csv</x:v>
      </x:c>
      <x:c r="W131" s="2" t="n">
        <x:v>756</x:v>
      </x:c>
    </x:row>
    <x:row r="132" ht="21" customHeight="1">
      <x:c r="A132" s="7" t="str">
        <x:v>岩手：奥州市</x:v>
      </x:c>
      <x:c r="B132" s="2" t="str">
        <x:v>3304560230</x:v>
      </x:c>
      <x:c r="C132" s="2" t="str">
        <x:v>3000_21540</x:v>
      </x:c>
      <x:c r="D132" s="2" t="str">
        <x:v>3215</x:v>
      </x:c>
      <x:c r="E132" s="2" t="str">
        <x:v>一般国道４５６号</x:v>
      </x:c>
      <x:c r="F132" s="2" t="str">
        <x:v>奥州市江刺区岩谷堂石原</x:v>
      </x:c>
      <x:c r="G132" s="2" t="str">
        <x:v>奥州市江刺区岩谷堂石原</x:v>
      </x:c>
      <x:c r="H132" s="2" t="str">
        <x:v>観測</x:v>
      </x:c>
      <x:c r="I132" s="2" t="str">
        <x:v>観測</x:v>
      </x:c>
      <x:c r="J132" s="2" t="str">
        <x:v>12時間</x:v>
      </x:c>
      <x:c r="K132" s="2" t="str">
        <x:v>12時間</x:v>
      </x:c>
      <x:c r="L132" s="2" t="str">
        <x:v>20211005</x:v>
      </x:c>
      <x:c r="M132" s="2" t="str">
        <x:v>20211005</x:v>
      </x:c>
      <x:c r="N132" s="8" t="n">
        <x:v>2675</x:v>
      </x:c>
      <x:c r="O132" s="8" t="n">
        <x:v>575</x:v>
      </x:c>
      <x:c r="P132" s="8" t="n">
        <x:v>3250</x:v>
      </x:c>
      <x:c r="Q132" s="8" t="n">
        <x:v>3165</x:v>
      </x:c>
      <x:c r="R132" s="8" t="n">
        <x:v>800</x:v>
      </x:c>
      <x:c r="S132" s="8" t="n">
        <x:v>3965</x:v>
      </x:c>
      <x:c r="T132" s="11" t="n">
        <x:v>17.7</x:v>
      </x:c>
      <x:c r="U132" s="2" t="n">
        <x:v>2021</x:v>
      </x:c>
      <x:c r="V132" s="2" t="str">
        <x:v>https://www.mlit.go.jp/road/census/r3/data/csv/kasyo03.csv</x:v>
      </x:c>
      <x:c r="W132" s="2" t="n">
        <x:v>757</x:v>
      </x:c>
    </x:row>
    <x:row r="133" ht="21" customHeight="1">
      <x:c r="A133" s="7" t="str">
        <x:v>岩手：奥州市</x:v>
      </x:c>
      <x:c r="B133" s="2" t="str">
        <x:v>3304560250</x:v>
      </x:c>
      <x:c r="C133" s="2" t="str">
        <x:v>3000_21550</x:v>
      </x:c>
      <x:c r="D133" s="2" t="str">
        <x:v>3215</x:v>
      </x:c>
      <x:c r="E133" s="2" t="str">
        <x:v>一般国道４５６号</x:v>
      </x:c>
      <x:c r="F133" s="2" t="str">
        <x:v>奥州市江刺区田原字横懸</x:v>
      </x:c>
      <x:c r="G133" s="2" t="str">
        <x:v>奥州市江刺区田原字横懸</x:v>
      </x:c>
      <x:c r="H133" s="2" t="str">
        <x:v>観測</x:v>
      </x:c>
      <x:c r="I133" s="2" t="str">
        <x:v>観測</x:v>
      </x:c>
      <x:c r="J133" s="2" t="str">
        <x:v>12時間</x:v>
      </x:c>
      <x:c r="K133" s="2" t="str">
        <x:v>12時間</x:v>
      </x:c>
      <x:c r="L133" s="2" t="str">
        <x:v>20211005</x:v>
      </x:c>
      <x:c r="M133" s="2" t="str">
        <x:v>20211005</x:v>
      </x:c>
      <x:c r="N133" s="8" t="n">
        <x:v>1507</x:v>
      </x:c>
      <x:c r="O133" s="8" t="n">
        <x:v>631</x:v>
      </x:c>
      <x:c r="P133" s="8" t="n">
        <x:v>2138</x:v>
      </x:c>
      <x:c r="Q133" s="8" t="n">
        <x:v>1828</x:v>
      </x:c>
      <x:c r="R133" s="8" t="n">
        <x:v>780</x:v>
      </x:c>
      <x:c r="S133" s="8" t="n">
        <x:v>2608</x:v>
      </x:c>
      <x:c r="T133" s="11" t="n">
        <x:v>29.5</x:v>
      </x:c>
      <x:c r="U133" s="2" t="n">
        <x:v>2021</x:v>
      </x:c>
      <x:c r="V133" s="2" t="str">
        <x:v>https://www.mlit.go.jp/road/census/r3/data/csv/kasyo03.csv</x:v>
      </x:c>
      <x:c r="W133" s="2" t="n">
        <x:v>758</x:v>
      </x:c>
    </x:row>
    <x:row r="134" ht="21" customHeight="1">
      <x:c r="A134" s="7" t="str">
        <x:v>岩手：奥州市</x:v>
      </x:c>
      <x:c r="B134" s="2" t="str">
        <x:v>3304560260</x:v>
      </x:c>
      <x:c r="C134" s="2" t="str">
        <x:v>3000_21550</x:v>
      </x:c>
      <x:c r="D134" s="2" t="str">
        <x:v>3215</x:v>
      </x:c>
      <x:c r="E134" s="2" t="str">
        <x:v>一般国道４５６号</x:v>
      </x:c>
      <x:c r="F134" s="2" t="str">
        <x:v>奥州市江刺区田原字横懸</x:v>
      </x:c>
      <x:c r="G134" s="2" t="str">
        <x:v>奥州市江刺区田原字横懸</x:v>
      </x:c>
      <x:c r="H134" s="2" t="str">
        <x:v>観測</x:v>
      </x:c>
      <x:c r="I134" s="2" t="str">
        <x:v>観測</x:v>
      </x:c>
      <x:c r="J134" s="2" t="str">
        <x:v>12時間</x:v>
      </x:c>
      <x:c r="K134" s="2" t="str">
        <x:v>12時間</x:v>
      </x:c>
      <x:c r="L134" s="2" t="str">
        <x:v>20211005</x:v>
      </x:c>
      <x:c r="M134" s="2" t="str">
        <x:v>20211005</x:v>
      </x:c>
      <x:c r="N134" s="8" t="n">
        <x:v>1507</x:v>
      </x:c>
      <x:c r="O134" s="8" t="n">
        <x:v>631</x:v>
      </x:c>
      <x:c r="P134" s="8" t="n">
        <x:v>2138</x:v>
      </x:c>
      <x:c r="Q134" s="8" t="n">
        <x:v>1828</x:v>
      </x:c>
      <x:c r="R134" s="8" t="n">
        <x:v>780</x:v>
      </x:c>
      <x:c r="S134" s="8" t="n">
        <x:v>2608</x:v>
      </x:c>
      <x:c r="T134" s="11" t="n">
        <x:v>29.5</x:v>
      </x:c>
      <x:c r="U134" s="2" t="n">
        <x:v>2021</x:v>
      </x:c>
      <x:c r="V134" s="2" t="str">
        <x:v>https://www.mlit.go.jp/road/census/r3/data/csv/kasyo03.csv</x:v>
      </x:c>
      <x:c r="W134" s="2" t="n">
        <x:v>759</x:v>
      </x:c>
    </x:row>
    <x:row r="135" ht="21" customHeight="1">
      <x:c r="A135" s="7" t="str">
        <x:v>岩手：奥州市</x:v>
      </x:c>
      <x:c r="B135" s="2" t="str">
        <x:v>3400080010</x:v>
      </x:c>
      <x:c r="C135" s="2" t="str">
        <x:v>3000_40230</x:v>
      </x:c>
      <x:c r="D135" s="2" t="str">
        <x:v>3215</x:v>
      </x:c>
      <x:c r="E135" s="2" t="str">
        <x:v>水沢米里線</x:v>
      </x:c>
      <x:c r="F135" s="2" t="str">
        <x:v>奥州市水沢区中谷記</x:v>
      </x:c>
      <x:c r="G135" s="2" t="str">
        <x:v>奥州市水沢区中谷記</x:v>
      </x:c>
      <x:c r="H135" s="2" t="str">
        <x:v>観測</x:v>
      </x:c>
      <x:c r="I135" s="2" t="str">
        <x:v>観測</x:v>
      </x:c>
      <x:c r="J135" s="2" t="str">
        <x:v>24時間</x:v>
      </x:c>
      <x:c r="K135" s="2" t="str">
        <x:v>24時間</x:v>
      </x:c>
      <x:c r="L135" s="2" t="str">
        <x:v>20210930</x:v>
      </x:c>
      <x:c r="M135" s="2" t="str">
        <x:v>20210930</x:v>
      </x:c>
      <x:c r="N135" s="8" t="n">
        <x:v>13724</x:v>
      </x:c>
      <x:c r="O135" s="8" t="n">
        <x:v>1123</x:v>
      </x:c>
      <x:c r="P135" s="8" t="n">
        <x:v>14847</x:v>
      </x:c>
      <x:c r="Q135" s="8" t="n">
        <x:v>16399</x:v>
      </x:c>
      <x:c r="R135" s="8" t="n">
        <x:v>1300</x:v>
      </x:c>
      <x:c r="S135" s="8" t="n">
        <x:v>17699</x:v>
      </x:c>
      <x:c r="T135" s="11" t="n">
        <x:v>7.6</x:v>
      </x:c>
      <x:c r="U135" s="2" t="n">
        <x:v>2021</x:v>
      </x:c>
      <x:c r="V135" s="2" t="str">
        <x:v>https://www.mlit.go.jp/road/census/r3/data/csv/kasyo03.csv</x:v>
      </x:c>
      <x:c r="W135" s="2" t="n">
        <x:v>809</x:v>
      </x:c>
    </x:row>
    <x:row r="136" ht="21" customHeight="1">
      <x:c r="A136" s="7" t="str">
        <x:v>岩手：奥州市</x:v>
      </x:c>
      <x:c r="B136" s="2" t="str">
        <x:v>3400080020</x:v>
      </x:c>
      <x:c r="C136" s="2" t="str">
        <x:v>3000_40230</x:v>
      </x:c>
      <x:c r="D136" s="2" t="str">
        <x:v>3215</x:v>
      </x:c>
      <x:c r="E136" s="2" t="str">
        <x:v>水沢米里線</x:v>
      </x:c>
      <x:c r="F136" s="2" t="str">
        <x:v>奥州市水沢区中谷記</x:v>
      </x:c>
      <x:c r="G136" s="2" t="str">
        <x:v>奥州市水沢区中谷記</x:v>
      </x:c>
      <x:c r="H136" s="2" t="str">
        <x:v>観測</x:v>
      </x:c>
      <x:c r="I136" s="2" t="str">
        <x:v>観測</x:v>
      </x:c>
      <x:c r="J136" s="2" t="str">
        <x:v>24時間</x:v>
      </x:c>
      <x:c r="K136" s="2" t="str">
        <x:v>24時間</x:v>
      </x:c>
      <x:c r="L136" s="2" t="str">
        <x:v>20210930</x:v>
      </x:c>
      <x:c r="M136" s="2" t="str">
        <x:v>20210930</x:v>
      </x:c>
      <x:c r="N136" s="8" t="n">
        <x:v>13724</x:v>
      </x:c>
      <x:c r="O136" s="8" t="n">
        <x:v>1123</x:v>
      </x:c>
      <x:c r="P136" s="8" t="n">
        <x:v>14847</x:v>
      </x:c>
      <x:c r="Q136" s="8" t="n">
        <x:v>16399</x:v>
      </x:c>
      <x:c r="R136" s="8" t="n">
        <x:v>1300</x:v>
      </x:c>
      <x:c r="S136" s="8" t="n">
        <x:v>17699</x:v>
      </x:c>
      <x:c r="T136" s="11" t="n">
        <x:v>7.6</x:v>
      </x:c>
      <x:c r="U136" s="2" t="n">
        <x:v>2021</x:v>
      </x:c>
      <x:c r="V136" s="2" t="str">
        <x:v>https://www.mlit.go.jp/road/census/r3/data/csv/kasyo03.csv</x:v>
      </x:c>
      <x:c r="W136" s="2" t="n">
        <x:v>810</x:v>
      </x:c>
    </x:row>
    <x:row r="137" ht="21" customHeight="1">
      <x:c r="A137" s="7" t="str">
        <x:v>岩手：奥州市</x:v>
      </x:c>
      <x:c r="B137" s="2" t="str">
        <x:v>3400080040</x:v>
      </x:c>
      <x:c r="C137" s="2" t="str">
        <x:v>3000_40240</x:v>
      </x:c>
      <x:c r="D137" s="2" t="str">
        <x:v>3215</x:v>
      </x:c>
      <x:c r="E137" s="2" t="str">
        <x:v>水沢米里線</x:v>
      </x:c>
      <x:c r="F137" s="2" t="str">
        <x:v>奥州市江刺区玉里字次丸</x:v>
      </x:c>
      <x:c r="G137" s="2" t="str">
        <x:v>奥州市江刺区玉里字次丸</x:v>
      </x:c>
      <x:c r="H137" s="2" t="str">
        <x:v>観測</x:v>
      </x:c>
      <x:c r="I137" s="2" t="str">
        <x:v>観測</x:v>
      </x:c>
      <x:c r="J137" s="2" t="str">
        <x:v>12時間</x:v>
      </x:c>
      <x:c r="K137" s="2" t="str">
        <x:v>12時間</x:v>
      </x:c>
      <x:c r="L137" s="2" t="str">
        <x:v>20210930</x:v>
      </x:c>
      <x:c r="M137" s="2" t="str">
        <x:v>20210930</x:v>
      </x:c>
      <x:c r="N137" s="8" t="n">
        <x:v>2707</x:v>
      </x:c>
      <x:c r="O137" s="8" t="n">
        <x:v>117</x:v>
      </x:c>
      <x:c r="P137" s="8" t="n">
        <x:v>2824</x:v>
      </x:c>
      <x:c r="Q137" s="8" t="n">
        <x:v>3135</x:v>
      </x:c>
      <x:c r="R137" s="8" t="n">
        <x:v>310</x:v>
      </x:c>
      <x:c r="S137" s="8" t="n">
        <x:v>3445</x:v>
      </x:c>
      <x:c r="T137" s="11" t="n">
        <x:v>4.1</x:v>
      </x:c>
      <x:c r="U137" s="2" t="n">
        <x:v>2021</x:v>
      </x:c>
      <x:c r="V137" s="2" t="str">
        <x:v>https://www.mlit.go.jp/road/census/r3/data/csv/kasyo03.csv</x:v>
      </x:c>
      <x:c r="W137" s="2" t="n">
        <x:v>811</x:v>
      </x:c>
    </x:row>
    <x:row r="138" ht="21" customHeight="1">
      <x:c r="A138" s="7" t="str">
        <x:v>岩手：奥州市</x:v>
      </x:c>
      <x:c r="B138" s="2" t="str">
        <x:v>3400080050</x:v>
      </x:c>
      <x:c r="C138" s="2" t="str">
        <x:v>3000_40240</x:v>
      </x:c>
      <x:c r="D138" s="2" t="str">
        <x:v>3215</x:v>
      </x:c>
      <x:c r="E138" s="2" t="str">
        <x:v>水沢米里線</x:v>
      </x:c>
      <x:c r="F138" s="2" t="str">
        <x:v>奥州市江刺区玉里字次丸</x:v>
      </x:c>
      <x:c r="G138" s="2" t="str">
        <x:v>奥州市江刺区玉里字次丸</x:v>
      </x:c>
      <x:c r="H138" s="2" t="str">
        <x:v>観測</x:v>
      </x:c>
      <x:c r="I138" s="2" t="str">
        <x:v>観測</x:v>
      </x:c>
      <x:c r="J138" s="2" t="str">
        <x:v>12時間</x:v>
      </x:c>
      <x:c r="K138" s="2" t="str">
        <x:v>12時間</x:v>
      </x:c>
      <x:c r="L138" s="2" t="str">
        <x:v>20210930</x:v>
      </x:c>
      <x:c r="M138" s="2" t="str">
        <x:v>20210930</x:v>
      </x:c>
      <x:c r="N138" s="8" t="n">
        <x:v>2707</x:v>
      </x:c>
      <x:c r="O138" s="8" t="n">
        <x:v>117</x:v>
      </x:c>
      <x:c r="P138" s="8" t="n">
        <x:v>2824</x:v>
      </x:c>
      <x:c r="Q138" s="8" t="n">
        <x:v>3135</x:v>
      </x:c>
      <x:c r="R138" s="8" t="n">
        <x:v>310</x:v>
      </x:c>
      <x:c r="S138" s="8" t="n">
        <x:v>3445</x:v>
      </x:c>
      <x:c r="T138" s="11" t="n">
        <x:v>4.1</x:v>
      </x:c>
      <x:c r="U138" s="2" t="n">
        <x:v>2021</x:v>
      </x:c>
      <x:c r="V138" s="2" t="str">
        <x:v>https://www.mlit.go.jp/road/census/r3/data/csv/kasyo03.csv</x:v>
      </x:c>
      <x:c r="W138" s="2" t="n">
        <x:v>812</x:v>
      </x:c>
    </x:row>
    <x:row r="139" ht="21" customHeight="1">
      <x:c r="A139" s="7" t="str">
        <x:v>岩手：奥州市</x:v>
      </x:c>
      <x:c r="B139" s="2" t="str">
        <x:v>3400080060</x:v>
      </x:c>
      <x:c r="C139" s="2" t="str">
        <x:v>3000_40250</x:v>
      </x:c>
      <x:c r="D139" s="2" t="str">
        <x:v>3215</x:v>
      </x:c>
      <x:c r="E139" s="2" t="str">
        <x:v>水沢米里線</x:v>
      </x:c>
      <x:c r="F139" s="2" t="str">
        <x:v>奥州市江刺区米里字人首</x:v>
      </x:c>
      <x:c r="G139" s="2" t="str">
        <x:v>奥州市江刺区米里字人首</x:v>
      </x:c>
      <x:c r="H139" s="2" t="str">
        <x:v>観測</x:v>
      </x:c>
      <x:c r="I139" s="2" t="str">
        <x:v>観測</x:v>
      </x:c>
      <x:c r="J139" s="2" t="str">
        <x:v>12時間</x:v>
      </x:c>
      <x:c r="K139" s="2" t="str">
        <x:v>12時間</x:v>
      </x:c>
      <x:c r="L139" s="2" t="str">
        <x:v>20211021</x:v>
      </x:c>
      <x:c r="M139" s="2" t="str">
        <x:v>20211021</x:v>
      </x:c>
      <x:c r="N139" s="8" t="n">
        <x:v>1025</x:v>
      </x:c>
      <x:c r="O139" s="8" t="n">
        <x:v>108</x:v>
      </x:c>
      <x:c r="P139" s="8" t="n">
        <x:v>1133</x:v>
      </x:c>
      <x:c r="Q139" s="8" t="n">
        <x:v>1180</x:v>
      </x:c>
      <x:c r="R139" s="8" t="n">
        <x:v>146</x:v>
      </x:c>
      <x:c r="S139" s="8" t="n">
        <x:v>1326</x:v>
      </x:c>
      <x:c r="T139" s="11" t="n">
        <x:v>9.5</x:v>
      </x:c>
      <x:c r="U139" s="2" t="n">
        <x:v>2021</x:v>
      </x:c>
      <x:c r="V139" s="2" t="str">
        <x:v>https://www.mlit.go.jp/road/census/r3/data/csv/kasyo03.csv</x:v>
      </x:c>
      <x:c r="W139" s="2" t="n">
        <x:v>813</x:v>
      </x:c>
    </x:row>
    <x:row r="140" ht="21" customHeight="1">
      <x:c r="A140" s="7" t="str">
        <x:v>岩手：奥州市</x:v>
      </x:c>
      <x:c r="B140" s="2" t="str">
        <x:v>3400080070</x:v>
      </x:c>
      <x:c r="C140" s="2" t="str">
        <x:v>3000_40250</x:v>
      </x:c>
      <x:c r="D140" s="2" t="str">
        <x:v>3215</x:v>
      </x:c>
      <x:c r="E140" s="2" t="str">
        <x:v>水沢米里線</x:v>
      </x:c>
      <x:c r="F140" s="2" t="str">
        <x:v>奥州市江刺区米里字人首</x:v>
      </x:c>
      <x:c r="G140" s="2" t="str">
        <x:v>奥州市江刺区米里字人首</x:v>
      </x:c>
      <x:c r="H140" s="2" t="str">
        <x:v>観測</x:v>
      </x:c>
      <x:c r="I140" s="2" t="str">
        <x:v>観測</x:v>
      </x:c>
      <x:c r="J140" s="2" t="str">
        <x:v>12時間</x:v>
      </x:c>
      <x:c r="K140" s="2" t="str">
        <x:v>12時間</x:v>
      </x:c>
      <x:c r="L140" s="2" t="str">
        <x:v>20211021</x:v>
      </x:c>
      <x:c r="M140" s="2" t="str">
        <x:v>20211021</x:v>
      </x:c>
      <x:c r="N140" s="8" t="n">
        <x:v>1025</x:v>
      </x:c>
      <x:c r="O140" s="8" t="n">
        <x:v>108</x:v>
      </x:c>
      <x:c r="P140" s="8" t="n">
        <x:v>1133</x:v>
      </x:c>
      <x:c r="Q140" s="8" t="n">
        <x:v>1180</x:v>
      </x:c>
      <x:c r="R140" s="8" t="n">
        <x:v>146</x:v>
      </x:c>
      <x:c r="S140" s="8" t="n">
        <x:v>1326</x:v>
      </x:c>
      <x:c r="T140" s="11" t="n">
        <x:v>9.5</x:v>
      </x:c>
      <x:c r="U140" s="2" t="n">
        <x:v>2021</x:v>
      </x:c>
      <x:c r="V140" s="2" t="str">
        <x:v>https://www.mlit.go.jp/road/census/r3/data/csv/kasyo03.csv</x:v>
      </x:c>
      <x:c r="W140" s="2" t="n">
        <x:v>814</x:v>
      </x:c>
    </x:row>
    <x:row r="141" ht="21" customHeight="1">
      <x:c r="A141" s="7" t="str">
        <x:v>岩手：奥州市</x:v>
      </x:c>
      <x:c r="B141" s="2" t="str">
        <x:v>3400080080</x:v>
      </x:c>
      <x:c r="C141" s="2" t="str">
        <x:v>3000_40260</x:v>
      </x:c>
      <x:c r="D141" s="2" t="str">
        <x:v>3215</x:v>
      </x:c>
      <x:c r="E141" s="2" t="str">
        <x:v>水沢米里線</x:v>
      </x:c>
      <x:c r="F141" s="2" t="str">
        <x:v>奥州市江刺区米里字火石沢</x:v>
      </x:c>
      <x:c r="G141" s="2" t="str">
        <x:v>奥州市江刺区米里字火石沢</x:v>
      </x:c>
      <x:c r="H141" s="2" t="str">
        <x:v>観測</x:v>
      </x:c>
      <x:c r="I141" s="2" t="str">
        <x:v>観測</x:v>
      </x:c>
      <x:c r="J141" s="2" t="str">
        <x:v>12時間</x:v>
      </x:c>
      <x:c r="K141" s="2" t="str">
        <x:v>12時間</x:v>
      </x:c>
      <x:c r="L141" s="2" t="str">
        <x:v>20211021</x:v>
      </x:c>
      <x:c r="M141" s="2" t="str">
        <x:v>20211021</x:v>
      </x:c>
      <x:c r="N141" s="8" t="n">
        <x:v>244</x:v>
      </x:c>
      <x:c r="O141" s="8" t="n">
        <x:v>34</x:v>
      </x:c>
      <x:c r="P141" s="8" t="n">
        <x:v>278</x:v>
      </x:c>
      <x:c r="Q141" s="8" t="n">
        <x:v>295</x:v>
      </x:c>
      <x:c r="R141" s="8" t="n">
        <x:v>50</x:v>
      </x:c>
      <x:c r="S141" s="8" t="n">
        <x:v>345</x:v>
      </x:c>
      <x:c r="T141" s="11" t="n">
        <x:v>12.2</x:v>
      </x:c>
      <x:c r="U141" s="2" t="n">
        <x:v>2021</x:v>
      </x:c>
      <x:c r="V141" s="2" t="str">
        <x:v>https://www.mlit.go.jp/road/census/r3/data/csv/kasyo03.csv</x:v>
      </x:c>
      <x:c r="W141" s="2" t="n">
        <x:v>815</x:v>
      </x:c>
    </x:row>
    <x:row r="142" ht="21" customHeight="1">
      <x:c r="A142" s="7" t="str">
        <x:v>岩手：奥州市</x:v>
      </x:c>
      <x:c r="B142" s="2" t="str">
        <x:v>3400100010</x:v>
      </x:c>
      <x:c r="C142" s="2" t="str">
        <x:v>3000_40310</x:v>
      </x:c>
      <x:c r="D142" s="2" t="str">
        <x:v>3215</x:v>
      </x:c>
      <x:c r="E142" s="2" t="str">
        <x:v>江刺室根線</x:v>
      </x:c>
      <x:c r="F142" s="2" t="str">
        <x:v>一関市大東町字川の畑</x:v>
      </x:c>
      <x:c r="G142" s="2" t="str">
        <x:v>一関市大東町字川の畑</x:v>
      </x:c>
      <x:c r="H142" s="2" t="str">
        <x:v>観測</x:v>
      </x:c>
      <x:c r="I142" s="2" t="str">
        <x:v>観測</x:v>
      </x:c>
      <x:c r="J142" s="2" t="str">
        <x:v>12時間</x:v>
      </x:c>
      <x:c r="K142" s="2" t="str">
        <x:v>12時間</x:v>
      </x:c>
      <x:c r="L142" s="2" t="str">
        <x:v>20211019</x:v>
      </x:c>
      <x:c r="M142" s="2" t="str">
        <x:v>20211019</x:v>
      </x:c>
      <x:c r="N142" s="8" t="n">
        <x:v>956</x:v>
      </x:c>
      <x:c r="O142" s="8" t="n">
        <x:v>73</x:v>
      </x:c>
      <x:c r="P142" s="8" t="n">
        <x:v>1029</x:v>
      </x:c>
      <x:c r="Q142" s="8" t="n">
        <x:v>1087</x:v>
      </x:c>
      <x:c r="R142" s="8" t="n">
        <x:v>107</x:v>
      </x:c>
      <x:c r="S142" s="8" t="n">
        <x:v>1194</x:v>
      </x:c>
      <x:c r="T142" s="11" t="n">
        <x:v>7.1</x:v>
      </x:c>
      <x:c r="U142" s="2" t="n">
        <x:v>2021</x:v>
      </x:c>
      <x:c r="V142" s="2" t="str">
        <x:v>https://www.mlit.go.jp/road/census/r3/data/csv/kasyo03.csv</x:v>
      </x:c>
      <x:c r="W142" s="2" t="n">
        <x:v>821</x:v>
      </x:c>
    </x:row>
    <x:row r="143" ht="21" customHeight="1">
      <x:c r="A143" s="7" t="str">
        <x:v>岩手：奥州市</x:v>
      </x:c>
      <x:c r="B143" s="2" t="str">
        <x:v>3400140085</x:v>
      </x:c>
      <x:c r="C143" s="2" t="str">
        <x:v>3000_40530</x:v>
      </x:c>
      <x:c r="D143" s="2" t="str">
        <x:v>3215</x:v>
      </x:c>
      <x:c r="E143" s="2" t="str">
        <x:v>一関北上線</x:v>
      </x:c>
      <x:c r="F143" s="2" t="str">
        <x:v>奥州市前沢区赤生津</x:v>
      </x:c>
      <x:c r="G143" s="2" t="str">
        <x:v>奥州市前沢区赤生津</x:v>
      </x:c>
      <x:c r="H143" s="2" t="str">
        <x:v>観測</x:v>
      </x:c>
      <x:c r="I143" s="2" t="str">
        <x:v>観測</x:v>
      </x:c>
      <x:c r="J143" s="2" t="str">
        <x:v>12時間</x:v>
      </x:c>
      <x:c r="K143" s="2" t="str">
        <x:v>12時間</x:v>
      </x:c>
      <x:c r="L143" s="2" t="str">
        <x:v>20211005</x:v>
      </x:c>
      <x:c r="M143" s="2" t="str">
        <x:v>20211005</x:v>
      </x:c>
      <x:c r="N143" s="8" t="n">
        <x:v>2203</x:v>
      </x:c>
      <x:c r="O143" s="8" t="n">
        <x:v>347</x:v>
      </x:c>
      <x:c r="P143" s="8" t="n">
        <x:v>2550</x:v>
      </x:c>
      <x:c r="Q143" s="8" t="n">
        <x:v>2589</x:v>
      </x:c>
      <x:c r="R143" s="8" t="n">
        <x:v>522</x:v>
      </x:c>
      <x:c r="S143" s="8" t="n">
        <x:v>3111</x:v>
      </x:c>
      <x:c r="T143" s="11" t="n">
        <x:v>13.6</x:v>
      </x:c>
      <x:c r="U143" s="2" t="n">
        <x:v>2021</x:v>
      </x:c>
      <x:c r="V143" s="2" t="str">
        <x:v>https://www.mlit.go.jp/road/census/r3/data/csv/kasyo03.csv</x:v>
      </x:c>
      <x:c r="W143" s="2" t="n">
        <x:v>879</x:v>
      </x:c>
    </x:row>
    <x:row r="144" ht="21" customHeight="1">
      <x:c r="A144" s="7" t="str">
        <x:v>岩手：奥州市</x:v>
      </x:c>
      <x:c r="B144" s="2" t="str">
        <x:v>3400140385</x:v>
      </x:c>
      <x:c r="C144" s="2" t="str">
        <x:v>3000_40530</x:v>
      </x:c>
      <x:c r="D144" s="2" t="str">
        <x:v>3215</x:v>
      </x:c>
      <x:c r="E144" s="2" t="str">
        <x:v>一関北上線</x:v>
      </x:c>
      <x:c r="F144" s="2" t="str">
        <x:v>奥州市前沢区赤生津</x:v>
      </x:c>
      <x:c r="G144" s="2" t="str">
        <x:v>奥州市前沢区赤生津</x:v>
      </x:c>
      <x:c r="H144" s="2" t="str">
        <x:v>観測</x:v>
      </x:c>
      <x:c r="I144" s="2" t="str">
        <x:v>観測</x:v>
      </x:c>
      <x:c r="J144" s="2" t="str">
        <x:v>12時間</x:v>
      </x:c>
      <x:c r="K144" s="2" t="str">
        <x:v>12時間</x:v>
      </x:c>
      <x:c r="L144" s="2" t="str">
        <x:v>20211005</x:v>
      </x:c>
      <x:c r="M144" s="2" t="str">
        <x:v>20211005</x:v>
      </x:c>
      <x:c r="N144" s="8" t="n">
        <x:v>2203</x:v>
      </x:c>
      <x:c r="O144" s="8" t="n">
        <x:v>347</x:v>
      </x:c>
      <x:c r="P144" s="8" t="n">
        <x:v>2550</x:v>
      </x:c>
      <x:c r="Q144" s="8" t="n">
        <x:v>2589</x:v>
      </x:c>
      <x:c r="R144" s="8" t="n">
        <x:v>522</x:v>
      </x:c>
      <x:c r="S144" s="8" t="n">
        <x:v>3111</x:v>
      </x:c>
      <x:c r="T144" s="11" t="n">
        <x:v>13.6</x:v>
      </x:c>
      <x:c r="U144" s="2" t="n">
        <x:v>2021</x:v>
      </x:c>
      <x:c r="V144" s="2" t="str">
        <x:v>https://www.mlit.go.jp/road/census/r3/data/csv/kasyo03.csv</x:v>
      </x:c>
      <x:c r="W144" s="2" t="n">
        <x:v>880</x:v>
      </x:c>
    </x:row>
    <x:row r="145" ht="21" customHeight="1">
      <x:c r="A145" s="7" t="str">
        <x:v>岩手：奥州市</x:v>
      </x:c>
      <x:c r="B145" s="2" t="str">
        <x:v>3400140390</x:v>
      </x:c>
      <x:c r="C145" s="2" t="str">
        <x:v>3000_40530</x:v>
      </x:c>
      <x:c r="D145" s="2" t="str">
        <x:v>3215</x:v>
      </x:c>
      <x:c r="E145" s="2" t="str">
        <x:v>一関北上線</x:v>
      </x:c>
      <x:c r="F145" s="2" t="str">
        <x:v>奥州市前沢区赤生津</x:v>
      </x:c>
      <x:c r="G145" s="2" t="str">
        <x:v>奥州市前沢区赤生津</x:v>
      </x:c>
      <x:c r="H145" s="2" t="str">
        <x:v>観測</x:v>
      </x:c>
      <x:c r="I145" s="2" t="str">
        <x:v>観測</x:v>
      </x:c>
      <x:c r="J145" s="2" t="str">
        <x:v>12時間</x:v>
      </x:c>
      <x:c r="K145" s="2" t="str">
        <x:v>12時間</x:v>
      </x:c>
      <x:c r="L145" s="2" t="str">
        <x:v>20211005</x:v>
      </x:c>
      <x:c r="M145" s="2" t="str">
        <x:v>20211005</x:v>
      </x:c>
      <x:c r="N145" s="8" t="n">
        <x:v>2203</x:v>
      </x:c>
      <x:c r="O145" s="8" t="n">
        <x:v>347</x:v>
      </x:c>
      <x:c r="P145" s="8" t="n">
        <x:v>2550</x:v>
      </x:c>
      <x:c r="Q145" s="8" t="n">
        <x:v>2589</x:v>
      </x:c>
      <x:c r="R145" s="8" t="n">
        <x:v>522</x:v>
      </x:c>
      <x:c r="S145" s="8" t="n">
        <x:v>3111</x:v>
      </x:c>
      <x:c r="T145" s="11" t="n">
        <x:v>13.6</x:v>
      </x:c>
      <x:c r="U145" s="2" t="n">
        <x:v>2021</x:v>
      </x:c>
      <x:c r="V145" s="2" t="str">
        <x:v>https://www.mlit.go.jp/road/census/r3/data/csv/kasyo03.csv</x:v>
      </x:c>
      <x:c r="W145" s="2" t="n">
        <x:v>881</x:v>
      </x:c>
    </x:row>
    <x:row r="146" ht="21" customHeight="1">
      <x:c r="A146" s="7" t="str">
        <x:v>岩手：奥州市</x:v>
      </x:c>
      <x:c r="B146" s="2" t="str">
        <x:v>3400140400</x:v>
      </x:c>
      <x:c r="C146" s="2" t="str">
        <x:v>3000_40530</x:v>
      </x:c>
      <x:c r="D146" s="2" t="str">
        <x:v>3215</x:v>
      </x:c>
      <x:c r="E146" s="2" t="str">
        <x:v>一関北上線</x:v>
      </x:c>
      <x:c r="F146" s="2" t="str">
        <x:v>奥州市前沢区赤生津</x:v>
      </x:c>
      <x:c r="G146" s="2" t="str">
        <x:v>奥州市前沢区赤生津</x:v>
      </x:c>
      <x:c r="H146" s="2" t="str">
        <x:v>観測</x:v>
      </x:c>
      <x:c r="I146" s="2" t="str">
        <x:v>観測</x:v>
      </x:c>
      <x:c r="J146" s="2" t="str">
        <x:v>12時間</x:v>
      </x:c>
      <x:c r="K146" s="2" t="str">
        <x:v>12時間</x:v>
      </x:c>
      <x:c r="L146" s="2" t="str">
        <x:v>20211005</x:v>
      </x:c>
      <x:c r="M146" s="2" t="str">
        <x:v>20211005</x:v>
      </x:c>
      <x:c r="N146" s="8" t="n">
        <x:v>2203</x:v>
      </x:c>
      <x:c r="O146" s="8" t="n">
        <x:v>347</x:v>
      </x:c>
      <x:c r="P146" s="8" t="n">
        <x:v>2550</x:v>
      </x:c>
      <x:c r="Q146" s="8" t="n">
        <x:v>2589</x:v>
      </x:c>
      <x:c r="R146" s="8" t="n">
        <x:v>522</x:v>
      </x:c>
      <x:c r="S146" s="8" t="n">
        <x:v>3111</x:v>
      </x:c>
      <x:c r="T146" s="11" t="n">
        <x:v>13.6</x:v>
      </x:c>
      <x:c r="U146" s="2" t="n">
        <x:v>2021</x:v>
      </x:c>
      <x:c r="V146" s="2" t="str">
        <x:v>https://www.mlit.go.jp/road/census/r3/data/csv/kasyo03.csv</x:v>
      </x:c>
      <x:c r="W146" s="2" t="n">
        <x:v>882</x:v>
      </x:c>
    </x:row>
    <x:row r="147" ht="21" customHeight="1">
      <x:c r="A147" s="7" t="str">
        <x:v>岩手：奥州市</x:v>
      </x:c>
      <x:c r="B147" s="2" t="str">
        <x:v>3400140110</x:v>
      </x:c>
      <x:c r="C147" s="2" t="str">
        <x:v>3000_40530</x:v>
      </x:c>
      <x:c r="D147" s="2" t="str">
        <x:v>3215</x:v>
      </x:c>
      <x:c r="E147" s="2" t="str">
        <x:v>一関北上線</x:v>
      </x:c>
      <x:c r="F147" s="2" t="str">
        <x:v>奥州市前沢区赤生津</x:v>
      </x:c>
      <x:c r="G147" s="2" t="str">
        <x:v>奥州市前沢区赤生津</x:v>
      </x:c>
      <x:c r="H147" s="2" t="str">
        <x:v>観測</x:v>
      </x:c>
      <x:c r="I147" s="2" t="str">
        <x:v>観測</x:v>
      </x:c>
      <x:c r="J147" s="2" t="str">
        <x:v>12時間</x:v>
      </x:c>
      <x:c r="K147" s="2" t="str">
        <x:v>12時間</x:v>
      </x:c>
      <x:c r="L147" s="2" t="str">
        <x:v>20211005</x:v>
      </x:c>
      <x:c r="M147" s="2" t="str">
        <x:v>20211005</x:v>
      </x:c>
      <x:c r="N147" s="8" t="n">
        <x:v>2203</x:v>
      </x:c>
      <x:c r="O147" s="8" t="n">
        <x:v>347</x:v>
      </x:c>
      <x:c r="P147" s="8" t="n">
        <x:v>2550</x:v>
      </x:c>
      <x:c r="Q147" s="8" t="n">
        <x:v>2589</x:v>
      </x:c>
      <x:c r="R147" s="8" t="n">
        <x:v>522</x:v>
      </x:c>
      <x:c r="S147" s="8" t="n">
        <x:v>3111</x:v>
      </x:c>
      <x:c r="T147" s="11" t="n">
        <x:v>13.6</x:v>
      </x:c>
      <x:c r="U147" s="2" t="n">
        <x:v>2021</x:v>
      </x:c>
      <x:c r="V147" s="2" t="str">
        <x:v>https://www.mlit.go.jp/road/census/r3/data/csv/kasyo03.csv</x:v>
      </x:c>
      <x:c r="W147" s="2" t="n">
        <x:v>883</x:v>
      </x:c>
    </x:row>
    <x:row r="148" ht="21" customHeight="1">
      <x:c r="A148" s="7" t="str">
        <x:v>岩手：奥州市</x:v>
      </x:c>
      <x:c r="B148" s="2" t="str">
        <x:v>3400140120</x:v>
      </x:c>
      <x:c r="C148" s="2" t="str">
        <x:v>3000_40530</x:v>
      </x:c>
      <x:c r="D148" s="2" t="str">
        <x:v>3215</x:v>
      </x:c>
      <x:c r="E148" s="2" t="str">
        <x:v>一関北上線</x:v>
      </x:c>
      <x:c r="F148" s="2" t="str">
        <x:v>奥州市前沢区赤生津</x:v>
      </x:c>
      <x:c r="G148" s="2" t="str">
        <x:v>奥州市前沢区赤生津</x:v>
      </x:c>
      <x:c r="H148" s="2" t="str">
        <x:v>観測</x:v>
      </x:c>
      <x:c r="I148" s="2" t="str">
        <x:v>観測</x:v>
      </x:c>
      <x:c r="J148" s="2" t="str">
        <x:v>12時間</x:v>
      </x:c>
      <x:c r="K148" s="2" t="str">
        <x:v>12時間</x:v>
      </x:c>
      <x:c r="L148" s="2" t="str">
        <x:v>20211005</x:v>
      </x:c>
      <x:c r="M148" s="2" t="str">
        <x:v>20211005</x:v>
      </x:c>
      <x:c r="N148" s="8" t="n">
        <x:v>2203</x:v>
      </x:c>
      <x:c r="O148" s="8" t="n">
        <x:v>347</x:v>
      </x:c>
      <x:c r="P148" s="8" t="n">
        <x:v>2550</x:v>
      </x:c>
      <x:c r="Q148" s="8" t="n">
        <x:v>2589</x:v>
      </x:c>
      <x:c r="R148" s="8" t="n">
        <x:v>522</x:v>
      </x:c>
      <x:c r="S148" s="8" t="n">
        <x:v>3111</x:v>
      </x:c>
      <x:c r="T148" s="11" t="n">
        <x:v>13.6</x:v>
      </x:c>
      <x:c r="U148" s="2" t="n">
        <x:v>2021</x:v>
      </x:c>
      <x:c r="V148" s="2" t="str">
        <x:v>https://www.mlit.go.jp/road/census/r3/data/csv/kasyo03.csv</x:v>
      </x:c>
      <x:c r="W148" s="2" t="n">
        <x:v>884</x:v>
      </x:c>
    </x:row>
    <x:row r="149" ht="21" customHeight="1">
      <x:c r="A149" s="7" t="str">
        <x:v>岩手：奥州市</x:v>
      </x:c>
      <x:c r="B149" s="2" t="str">
        <x:v>3400140124</x:v>
      </x:c>
      <x:c r="C149" s="2" t="str">
        <x:v>3000_40530</x:v>
      </x:c>
      <x:c r="D149" s="2" t="str">
        <x:v>3215</x:v>
      </x:c>
      <x:c r="E149" s="2" t="str">
        <x:v>一関北上線</x:v>
      </x:c>
      <x:c r="F149" s="2" t="str">
        <x:v>奥州市前沢区赤生津</x:v>
      </x:c>
      <x:c r="G149" s="2" t="str">
        <x:v>奥州市前沢区赤生津</x:v>
      </x:c>
      <x:c r="H149" s="2" t="str">
        <x:v>観測</x:v>
      </x:c>
      <x:c r="I149" s="2" t="str">
        <x:v>観測</x:v>
      </x:c>
      <x:c r="J149" s="2" t="str">
        <x:v>12時間</x:v>
      </x:c>
      <x:c r="K149" s="2" t="str">
        <x:v>12時間</x:v>
      </x:c>
      <x:c r="L149" s="2" t="str">
        <x:v>20211005</x:v>
      </x:c>
      <x:c r="M149" s="2" t="str">
        <x:v>20211005</x:v>
      </x:c>
      <x:c r="N149" s="8" t="n">
        <x:v>2203</x:v>
      </x:c>
      <x:c r="O149" s="8" t="n">
        <x:v>347</x:v>
      </x:c>
      <x:c r="P149" s="8" t="n">
        <x:v>2550</x:v>
      </x:c>
      <x:c r="Q149" s="8" t="n">
        <x:v>2589</x:v>
      </x:c>
      <x:c r="R149" s="8" t="n">
        <x:v>522</x:v>
      </x:c>
      <x:c r="S149" s="8" t="n">
        <x:v>3111</x:v>
      </x:c>
      <x:c r="T149" s="11" t="n">
        <x:v>13.6</x:v>
      </x:c>
      <x:c r="U149" s="2" t="n">
        <x:v>2021</x:v>
      </x:c>
      <x:c r="V149" s="2" t="str">
        <x:v>https://www.mlit.go.jp/road/census/r3/data/csv/kasyo03.csv</x:v>
      </x:c>
      <x:c r="W149" s="2" t="n">
        <x:v>885</x:v>
      </x:c>
    </x:row>
    <x:row r="150" ht="21" customHeight="1">
      <x:c r="A150" s="7" t="str">
        <x:v>岩手：奥州市</x:v>
      </x:c>
      <x:c r="B150" s="2" t="str">
        <x:v>3400140127</x:v>
      </x:c>
      <x:c r="C150" s="2" t="str">
        <x:v>3000_40530</x:v>
      </x:c>
      <x:c r="D150" s="2" t="str">
        <x:v>3215</x:v>
      </x:c>
      <x:c r="E150" s="2" t="str">
        <x:v>一関北上線</x:v>
      </x:c>
      <x:c r="F150" s="2" t="str">
        <x:v>奥州市前沢区赤生津</x:v>
      </x:c>
      <x:c r="G150" s="2" t="str">
        <x:v>奥州市前沢区赤生津</x:v>
      </x:c>
      <x:c r="H150" s="2" t="str">
        <x:v>観測</x:v>
      </x:c>
      <x:c r="I150" s="2" t="str">
        <x:v>観測</x:v>
      </x:c>
      <x:c r="J150" s="2" t="str">
        <x:v>12時間</x:v>
      </x:c>
      <x:c r="K150" s="2" t="str">
        <x:v>12時間</x:v>
      </x:c>
      <x:c r="L150" s="2" t="str">
        <x:v>20211005</x:v>
      </x:c>
      <x:c r="M150" s="2" t="str">
        <x:v>20211005</x:v>
      </x:c>
      <x:c r="N150" s="8" t="n">
        <x:v>2203</x:v>
      </x:c>
      <x:c r="O150" s="8" t="n">
        <x:v>347</x:v>
      </x:c>
      <x:c r="P150" s="8" t="n">
        <x:v>2550</x:v>
      </x:c>
      <x:c r="Q150" s="8" t="n">
        <x:v>2589</x:v>
      </x:c>
      <x:c r="R150" s="8" t="n">
        <x:v>522</x:v>
      </x:c>
      <x:c r="S150" s="8" t="n">
        <x:v>3111</x:v>
      </x:c>
      <x:c r="T150" s="11" t="n">
        <x:v>13.6</x:v>
      </x:c>
      <x:c r="U150" s="2" t="n">
        <x:v>2021</x:v>
      </x:c>
      <x:c r="V150" s="2" t="str">
        <x:v>https://www.mlit.go.jp/road/census/r3/data/csv/kasyo03.csv</x:v>
      </x:c>
      <x:c r="W150" s="2" t="n">
        <x:v>886</x:v>
      </x:c>
    </x:row>
    <x:row r="151" ht="21" customHeight="1">
      <x:c r="A151" s="7" t="str">
        <x:v>岩手：奥州市</x:v>
      </x:c>
      <x:c r="B151" s="2" t="str">
        <x:v>3400140130</x:v>
      </x:c>
      <x:c r="C151" s="2" t="str">
        <x:v>3000_40530</x:v>
      </x:c>
      <x:c r="D151" s="2" t="str">
        <x:v>3215</x:v>
      </x:c>
      <x:c r="E151" s="2" t="str">
        <x:v>一関北上線</x:v>
      </x:c>
      <x:c r="F151" s="2" t="str">
        <x:v>奥州市前沢区赤生津</x:v>
      </x:c>
      <x:c r="G151" s="2" t="str">
        <x:v>奥州市前沢区赤生津</x:v>
      </x:c>
      <x:c r="H151" s="2" t="str">
        <x:v>観測</x:v>
      </x:c>
      <x:c r="I151" s="2" t="str">
        <x:v>観測</x:v>
      </x:c>
      <x:c r="J151" s="2" t="str">
        <x:v>12時間</x:v>
      </x:c>
      <x:c r="K151" s="2" t="str">
        <x:v>12時間</x:v>
      </x:c>
      <x:c r="L151" s="2" t="str">
        <x:v>20211005</x:v>
      </x:c>
      <x:c r="M151" s="2" t="str">
        <x:v>20211005</x:v>
      </x:c>
      <x:c r="N151" s="8" t="n">
        <x:v>2203</x:v>
      </x:c>
      <x:c r="O151" s="8" t="n">
        <x:v>347</x:v>
      </x:c>
      <x:c r="P151" s="8" t="n">
        <x:v>2550</x:v>
      </x:c>
      <x:c r="Q151" s="8" t="n">
        <x:v>2589</x:v>
      </x:c>
      <x:c r="R151" s="8" t="n">
        <x:v>522</x:v>
      </x:c>
      <x:c r="S151" s="8" t="n">
        <x:v>3111</x:v>
      </x:c>
      <x:c r="T151" s="11" t="n">
        <x:v>13.6</x:v>
      </x:c>
      <x:c r="U151" s="2" t="n">
        <x:v>2021</x:v>
      </x:c>
      <x:c r="V151" s="2" t="str">
        <x:v>https://www.mlit.go.jp/road/census/r3/data/csv/kasyo03.csv</x:v>
      </x:c>
      <x:c r="W151" s="2" t="n">
        <x:v>887</x:v>
      </x:c>
    </x:row>
    <x:row r="152" ht="21" customHeight="1">
      <x:c r="A152" s="7" t="str">
        <x:v>岩手：奥州市</x:v>
      </x:c>
      <x:c r="B152" s="2" t="str">
        <x:v>3400140149</x:v>
      </x:c>
      <x:c r="C152" s="2" t="str">
        <x:v>3000_40540</x:v>
      </x:c>
      <x:c r="D152" s="2" t="str">
        <x:v>3215</x:v>
      </x:c>
      <x:c r="E152" s="2" t="str">
        <x:v>一関北上線</x:v>
      </x:c>
      <x:c r="F152" s="2" t="str">
        <x:v>奥州市水沢区黒石町船場</x:v>
      </x:c>
      <x:c r="G152" s="2" t="str">
        <x:v>奥州市水沢区黒石町船場</x:v>
      </x:c>
      <x:c r="H152" s="2" t="str">
        <x:v>観測</x:v>
      </x:c>
      <x:c r="I152" s="2" t="str">
        <x:v>観測</x:v>
      </x:c>
      <x:c r="J152" s="2" t="str">
        <x:v>12時間</x:v>
      </x:c>
      <x:c r="K152" s="2" t="str">
        <x:v>12時間</x:v>
      </x:c>
      <x:c r="L152" s="2" t="str">
        <x:v>20211005</x:v>
      </x:c>
      <x:c r="M152" s="2" t="str">
        <x:v>20211005</x:v>
      </x:c>
      <x:c r="N152" s="8" t="n">
        <x:v>2383</x:v>
      </x:c>
      <x:c r="O152" s="8" t="n">
        <x:v>589</x:v>
      </x:c>
      <x:c r="P152" s="8" t="n">
        <x:v>2972</x:v>
      </x:c>
      <x:c r="Q152" s="8" t="n">
        <x:v>2827</x:v>
      </x:c>
      <x:c r="R152" s="8" t="n">
        <x:v>769</x:v>
      </x:c>
      <x:c r="S152" s="8" t="n">
        <x:v>3596</x:v>
      </x:c>
      <x:c r="T152" s="11" t="n">
        <x:v>19.8</x:v>
      </x:c>
      <x:c r="U152" s="2" t="n">
        <x:v>2021</x:v>
      </x:c>
      <x:c r="V152" s="2" t="str">
        <x:v>https://www.mlit.go.jp/road/census/r3/data/csv/kasyo03.csv</x:v>
      </x:c>
      <x:c r="W152" s="2" t="n">
        <x:v>888</x:v>
      </x:c>
    </x:row>
    <x:row r="153" ht="21" customHeight="1">
      <x:c r="A153" s="7" t="str">
        <x:v>岩手：奥州市</x:v>
      </x:c>
      <x:c r="B153" s="2" t="str">
        <x:v>3400140330</x:v>
      </x:c>
      <x:c r="C153" s="2" t="str">
        <x:v>3000_40540</x:v>
      </x:c>
      <x:c r="D153" s="2" t="str">
        <x:v>3215</x:v>
      </x:c>
      <x:c r="E153" s="2" t="str">
        <x:v>一関北上線（北鵜ノ木地区）</x:v>
      </x:c>
      <x:c r="F153" s="2" t="str">
        <x:v>奥州市水沢区黒石町船場</x:v>
      </x:c>
      <x:c r="G153" s="2" t="str">
        <x:v>奥州市水沢区黒石町船場</x:v>
      </x:c>
      <x:c r="H153" s="2" t="str">
        <x:v>観測</x:v>
      </x:c>
      <x:c r="I153" s="2" t="str">
        <x:v>観測</x:v>
      </x:c>
      <x:c r="J153" s="2" t="str">
        <x:v>12時間</x:v>
      </x:c>
      <x:c r="K153" s="2" t="str">
        <x:v>12時間</x:v>
      </x:c>
      <x:c r="L153" s="2" t="str">
        <x:v>20211005</x:v>
      </x:c>
      <x:c r="M153" s="2" t="str">
        <x:v>20211005</x:v>
      </x:c>
      <x:c r="N153" s="8" t="n">
        <x:v>2383</x:v>
      </x:c>
      <x:c r="O153" s="8" t="n">
        <x:v>589</x:v>
      </x:c>
      <x:c r="P153" s="8" t="n">
        <x:v>2972</x:v>
      </x:c>
      <x:c r="Q153" s="8" t="n">
        <x:v>2827</x:v>
      </x:c>
      <x:c r="R153" s="8" t="n">
        <x:v>769</x:v>
      </x:c>
      <x:c r="S153" s="8" t="n">
        <x:v>3596</x:v>
      </x:c>
      <x:c r="T153" s="11" t="n">
        <x:v>19.8</x:v>
      </x:c>
      <x:c r="U153" s="2" t="n">
        <x:v>2021</x:v>
      </x:c>
      <x:c r="V153" s="2" t="str">
        <x:v>https://www.mlit.go.jp/road/census/r3/data/csv/kasyo03.csv</x:v>
      </x:c>
      <x:c r="W153" s="2" t="n">
        <x:v>889</x:v>
      </x:c>
    </x:row>
    <x:row r="154" ht="21" customHeight="1">
      <x:c r="A154" s="7" t="str">
        <x:v>岩手：奥州市</x:v>
      </x:c>
      <x:c r="B154" s="2" t="str">
        <x:v>3400140370</x:v>
      </x:c>
      <x:c r="C154" s="2" t="str">
        <x:v>3000_40540</x:v>
      </x:c>
      <x:c r="D154" s="2" t="str">
        <x:v>3215</x:v>
      </x:c>
      <x:c r="E154" s="2" t="str">
        <x:v>一関北上線（北鵜ノ木地区）</x:v>
      </x:c>
      <x:c r="F154" s="2" t="str">
        <x:v>奥州市水沢区黒石町船場</x:v>
      </x:c>
      <x:c r="G154" s="2" t="str">
        <x:v>奥州市水沢区黒石町船場</x:v>
      </x:c>
      <x:c r="H154" s="2" t="str">
        <x:v>観測</x:v>
      </x:c>
      <x:c r="I154" s="2" t="str">
        <x:v>観測</x:v>
      </x:c>
      <x:c r="J154" s="2" t="str">
        <x:v>12時間</x:v>
      </x:c>
      <x:c r="K154" s="2" t="str">
        <x:v>12時間</x:v>
      </x:c>
      <x:c r="L154" s="2" t="str">
        <x:v>20211005</x:v>
      </x:c>
      <x:c r="M154" s="2" t="str">
        <x:v>20211005</x:v>
      </x:c>
      <x:c r="N154" s="8" t="n">
        <x:v>2383</x:v>
      </x:c>
      <x:c r="O154" s="8" t="n">
        <x:v>589</x:v>
      </x:c>
      <x:c r="P154" s="8" t="n">
        <x:v>2972</x:v>
      </x:c>
      <x:c r="Q154" s="8" t="n">
        <x:v>2827</x:v>
      </x:c>
      <x:c r="R154" s="8" t="n">
        <x:v>769</x:v>
      </x:c>
      <x:c r="S154" s="8" t="n">
        <x:v>3596</x:v>
      </x:c>
      <x:c r="T154" s="11" t="n">
        <x:v>19.8</x:v>
      </x:c>
      <x:c r="U154" s="2" t="n">
        <x:v>2021</x:v>
      </x:c>
      <x:c r="V154" s="2" t="str">
        <x:v>https://www.mlit.go.jp/road/census/r3/data/csv/kasyo03.csv</x:v>
      </x:c>
      <x:c r="W154" s="2" t="n">
        <x:v>890</x:v>
      </x:c>
    </x:row>
    <x:row r="155" ht="21" customHeight="1">
      <x:c r="A155" s="7" t="str">
        <x:v>岩手：奥州市</x:v>
      </x:c>
      <x:c r="B155" s="2" t="str">
        <x:v>3400140170</x:v>
      </x:c>
      <x:c r="C155" s="2" t="str">
        <x:v>3000_40550</x:v>
      </x:c>
      <x:c r="D155" s="2" t="str">
        <x:v>3215</x:v>
      </x:c>
      <x:c r="E155" s="2" t="str">
        <x:v>一関北上線</x:v>
      </x:c>
      <x:c r="F155" s="2" t="str">
        <x:v>奥州市水沢区羽田町字森</x:v>
      </x:c>
      <x:c r="G155" s="2" t="str">
        <x:v>奥州市水沢区羽田町字森</x:v>
      </x:c>
      <x:c r="H155" s="2" t="str">
        <x:v>観測</x:v>
      </x:c>
      <x:c r="I155" s="2" t="str">
        <x:v>観測</x:v>
      </x:c>
      <x:c r="J155" s="2" t="str">
        <x:v>12時間</x:v>
      </x:c>
      <x:c r="K155" s="2" t="str">
        <x:v>12時間</x:v>
      </x:c>
      <x:c r="L155" s="2" t="str">
        <x:v>20211005</x:v>
      </x:c>
      <x:c r="M155" s="2" t="str">
        <x:v>20211005</x:v>
      </x:c>
      <x:c r="N155" s="8" t="n">
        <x:v>4870</x:v>
      </x:c>
      <x:c r="O155" s="8" t="n">
        <x:v>482</x:v>
      </x:c>
      <x:c r="P155" s="8" t="n">
        <x:v>5352</x:v>
      </x:c>
      <x:c r="Q155" s="8" t="n">
        <x:v>5717</x:v>
      </x:c>
      <x:c r="R155" s="8" t="n">
        <x:v>812</x:v>
      </x:c>
      <x:c r="S155" s="8" t="n">
        <x:v>6529</x:v>
      </x:c>
      <x:c r="T155" s="11" t="n">
        <x:v>9</x:v>
      </x:c>
      <x:c r="U155" s="2" t="n">
        <x:v>2021</x:v>
      </x:c>
      <x:c r="V155" s="2" t="str">
        <x:v>https://www.mlit.go.jp/road/census/r3/data/csv/kasyo03.csv</x:v>
      </x:c>
      <x:c r="W155" s="2" t="n">
        <x:v>891</x:v>
      </x:c>
    </x:row>
    <x:row r="156" ht="21" customHeight="1">
      <x:c r="A156" s="7" t="str">
        <x:v>岩手：奥州市</x:v>
      </x:c>
      <x:c r="B156" s="2" t="str">
        <x:v>3400140180</x:v>
      </x:c>
      <x:c r="C156" s="2" t="str">
        <x:v>3000_40550</x:v>
      </x:c>
      <x:c r="D156" s="2" t="str">
        <x:v>3215</x:v>
      </x:c>
      <x:c r="E156" s="2" t="str">
        <x:v>一関北上線</x:v>
      </x:c>
      <x:c r="F156" s="2" t="str">
        <x:v>奥州市水沢区羽田町字森</x:v>
      </x:c>
      <x:c r="G156" s="2" t="str">
        <x:v>奥州市水沢区羽田町字森</x:v>
      </x:c>
      <x:c r="H156" s="2" t="str">
        <x:v>観測</x:v>
      </x:c>
      <x:c r="I156" s="2" t="str">
        <x:v>観測</x:v>
      </x:c>
      <x:c r="J156" s="2" t="str">
        <x:v>12時間</x:v>
      </x:c>
      <x:c r="K156" s="2" t="str">
        <x:v>12時間</x:v>
      </x:c>
      <x:c r="L156" s="2" t="str">
        <x:v>20211005</x:v>
      </x:c>
      <x:c r="M156" s="2" t="str">
        <x:v>20211005</x:v>
      </x:c>
      <x:c r="N156" s="8" t="n">
        <x:v>4870</x:v>
      </x:c>
      <x:c r="O156" s="8" t="n">
        <x:v>482</x:v>
      </x:c>
      <x:c r="P156" s="8" t="n">
        <x:v>5352</x:v>
      </x:c>
      <x:c r="Q156" s="8" t="n">
        <x:v>5717</x:v>
      </x:c>
      <x:c r="R156" s="8" t="n">
        <x:v>812</x:v>
      </x:c>
      <x:c r="S156" s="8" t="n">
        <x:v>6529</x:v>
      </x:c>
      <x:c r="T156" s="11" t="n">
        <x:v>9</x:v>
      </x:c>
      <x:c r="U156" s="2" t="n">
        <x:v>2021</x:v>
      </x:c>
      <x:c r="V156" s="2" t="str">
        <x:v>https://www.mlit.go.jp/road/census/r3/data/csv/kasyo03.csv</x:v>
      </x:c>
      <x:c r="W156" s="2" t="n">
        <x:v>892</x:v>
      </x:c>
    </x:row>
    <x:row r="157" ht="21" customHeight="1">
      <x:c r="A157" s="7" t="str">
        <x:v>岩手：奥州市</x:v>
      </x:c>
      <x:c r="B157" s="2" t="str">
        <x:v>3400140200</x:v>
      </x:c>
      <x:c r="C157" s="2" t="str">
        <x:v>3000_40560</x:v>
      </x:c>
      <x:c r="D157" s="2" t="str">
        <x:v>3215</x:v>
      </x:c>
      <x:c r="E157" s="2" t="str">
        <x:v>一関北上線</x:v>
      </x:c>
      <x:c r="F157" s="2" t="str">
        <x:v>奥州市江刺区稲瀬山下</x:v>
      </x:c>
      <x:c r="G157" s="2" t="str">
        <x:v>奥州市江刺区稲瀬山下</x:v>
      </x:c>
      <x:c r="H157" s="2" t="str">
        <x:v>観測</x:v>
      </x:c>
      <x:c r="I157" s="2" t="str">
        <x:v>観測</x:v>
      </x:c>
      <x:c r="J157" s="2" t="str">
        <x:v>12時間</x:v>
      </x:c>
      <x:c r="K157" s="2" t="str">
        <x:v>12時間</x:v>
      </x:c>
      <x:c r="L157" s="2" t="str">
        <x:v>20211013</x:v>
      </x:c>
      <x:c r="M157" s="2" t="str">
        <x:v>20211013</x:v>
      </x:c>
      <x:c r="N157" s="8" t="n">
        <x:v>7486</x:v>
      </x:c>
      <x:c r="O157" s="8" t="n">
        <x:v>1239</x:v>
      </x:c>
      <x:c r="P157" s="8" t="n">
        <x:v>8725</x:v>
      </x:c>
      <x:c r="Q157" s="8" t="n">
        <x:v>9063</x:v>
      </x:c>
      <x:c r="R157" s="8" t="n">
        <x:v>1756</x:v>
      </x:c>
      <x:c r="S157" s="8" t="n">
        <x:v>10819</x:v>
      </x:c>
      <x:c r="T157" s="11" t="n">
        <x:v>14.2</x:v>
      </x:c>
      <x:c r="U157" s="2" t="n">
        <x:v>2021</x:v>
      </x:c>
      <x:c r="V157" s="2" t="str">
        <x:v>https://www.mlit.go.jp/road/census/r3/data/csv/kasyo03.csv</x:v>
      </x:c>
      <x:c r="W157" s="2" t="n">
        <x:v>893</x:v>
      </x:c>
    </x:row>
    <x:row r="158" ht="21" customHeight="1">
      <x:c r="A158" s="7" t="str">
        <x:v>岩手：奥州市</x:v>
      </x:c>
      <x:c r="B158" s="2" t="str">
        <x:v>3400140210</x:v>
      </x:c>
      <x:c r="C158" s="2" t="str">
        <x:v>3000_40560</x:v>
      </x:c>
      <x:c r="D158" s="2" t="str">
        <x:v>3215</x:v>
      </x:c>
      <x:c r="E158" s="2" t="str">
        <x:v>一関北上線</x:v>
      </x:c>
      <x:c r="F158" s="2" t="str">
        <x:v>奥州市江刺区稲瀬山下</x:v>
      </x:c>
      <x:c r="G158" s="2" t="str">
        <x:v>奥州市江刺区稲瀬山下</x:v>
      </x:c>
      <x:c r="H158" s="2" t="str">
        <x:v>観測</x:v>
      </x:c>
      <x:c r="I158" s="2" t="str">
        <x:v>観測</x:v>
      </x:c>
      <x:c r="J158" s="2" t="str">
        <x:v>12時間</x:v>
      </x:c>
      <x:c r="K158" s="2" t="str">
        <x:v>12時間</x:v>
      </x:c>
      <x:c r="L158" s="2" t="str">
        <x:v>20211013</x:v>
      </x:c>
      <x:c r="M158" s="2" t="str">
        <x:v>20211013</x:v>
      </x:c>
      <x:c r="N158" s="8" t="n">
        <x:v>7486</x:v>
      </x:c>
      <x:c r="O158" s="8" t="n">
        <x:v>1239</x:v>
      </x:c>
      <x:c r="P158" s="8" t="n">
        <x:v>8725</x:v>
      </x:c>
      <x:c r="Q158" s="8" t="n">
        <x:v>9063</x:v>
      </x:c>
      <x:c r="R158" s="8" t="n">
        <x:v>1756</x:v>
      </x:c>
      <x:c r="S158" s="8" t="n">
        <x:v>10819</x:v>
      </x:c>
      <x:c r="T158" s="11" t="n">
        <x:v>14.2</x:v>
      </x:c>
      <x:c r="U158" s="2" t="n">
        <x:v>2021</x:v>
      </x:c>
      <x:c r="V158" s="2" t="str">
        <x:v>https://www.mlit.go.jp/road/census/r3/data/csv/kasyo03.csv</x:v>
      </x:c>
      <x:c r="W158" s="2" t="n">
        <x:v>894</x:v>
      </x:c>
    </x:row>
    <x:row r="159" ht="21" customHeight="1">
      <x:c r="A159" s="7" t="str">
        <x:v>岩手：奥州市</x:v>
      </x:c>
      <x:c r="B159" s="2" t="str">
        <x:v>3400270010</x:v>
      </x:c>
      <x:c r="C159" s="2" t="str">
        <x:v>3000_40940</x:v>
      </x:c>
      <x:c r="D159" s="2" t="str">
        <x:v>3215</x:v>
      </x:c>
      <x:c r="E159" s="2" t="str">
        <x:v>江刺東和線</x:v>
      </x:c>
      <x:c r="F159" s="2" t="str">
        <x:v>奥州市江刺区米里大内沢</x:v>
      </x:c>
      <x:c r="G159" s="2" t="str">
        <x:v>奥州市江刺区米里大内沢</x:v>
      </x:c>
      <x:c r="H159" s="2" t="str">
        <x:v>観測</x:v>
      </x:c>
      <x:c r="I159" s="2" t="str">
        <x:v>観測</x:v>
      </x:c>
      <x:c r="J159" s="2" t="str">
        <x:v>12時間</x:v>
      </x:c>
      <x:c r="K159" s="2" t="str">
        <x:v>12時間</x:v>
      </x:c>
      <x:c r="L159" s="2" t="str">
        <x:v>20211021</x:v>
      </x:c>
      <x:c r="M159" s="2" t="str">
        <x:v>20211021</x:v>
      </x:c>
      <x:c r="N159" s="8" t="n">
        <x:v>308</x:v>
      </x:c>
      <x:c r="O159" s="8" t="n">
        <x:v>25</x:v>
      </x:c>
      <x:c r="P159" s="8" t="n">
        <x:v>333</x:v>
      </x:c>
      <x:c r="Q159" s="8" t="n">
        <x:v>343</x:v>
      </x:c>
      <x:c r="R159" s="8" t="n">
        <x:v>33</x:v>
      </x:c>
      <x:c r="S159" s="8" t="n">
        <x:v>376</x:v>
      </x:c>
      <x:c r="T159" s="11" t="n">
        <x:v>7.5</x:v>
      </x:c>
      <x:c r="U159" s="2" t="n">
        <x:v>2021</x:v>
      </x:c>
      <x:c r="V159" s="2" t="str">
        <x:v>https://www.mlit.go.jp/road/census/r3/data/csv/kasyo03.csv</x:v>
      </x:c>
      <x:c r="W159" s="2" t="n">
        <x:v>979</x:v>
      </x:c>
    </x:row>
    <x:row r="160" ht="21" customHeight="1">
      <x:c r="A160" s="7" t="str">
        <x:v>岩手：奥州市</x:v>
      </x:c>
      <x:c r="B160" s="2" t="str">
        <x:v>3400270020</x:v>
      </x:c>
      <x:c r="C160" s="2" t="str">
        <x:v>3000_40940</x:v>
      </x:c>
      <x:c r="D160" s="2" t="str">
        <x:v>3215</x:v>
      </x:c>
      <x:c r="E160" s="2" t="str">
        <x:v>江刺東和線</x:v>
      </x:c>
      <x:c r="F160" s="2" t="str">
        <x:v>奥州市江刺区米里大内沢</x:v>
      </x:c>
      <x:c r="G160" s="2" t="str">
        <x:v>奥州市江刺区米里大内沢</x:v>
      </x:c>
      <x:c r="H160" s="2" t="str">
        <x:v>観測</x:v>
      </x:c>
      <x:c r="I160" s="2" t="str">
        <x:v>観測</x:v>
      </x:c>
      <x:c r="J160" s="2" t="str">
        <x:v>12時間</x:v>
      </x:c>
      <x:c r="K160" s="2" t="str">
        <x:v>12時間</x:v>
      </x:c>
      <x:c r="L160" s="2" t="str">
        <x:v>20211021</x:v>
      </x:c>
      <x:c r="M160" s="2" t="str">
        <x:v>20211021</x:v>
      </x:c>
      <x:c r="N160" s="8" t="n">
        <x:v>308</x:v>
      </x:c>
      <x:c r="O160" s="8" t="n">
        <x:v>25</x:v>
      </x:c>
      <x:c r="P160" s="8" t="n">
        <x:v>333</x:v>
      </x:c>
      <x:c r="Q160" s="8" t="n">
        <x:v>343</x:v>
      </x:c>
      <x:c r="R160" s="8" t="n">
        <x:v>33</x:v>
      </x:c>
      <x:c r="S160" s="8" t="n">
        <x:v>376</x:v>
      </x:c>
      <x:c r="T160" s="11" t="n">
        <x:v>7.5</x:v>
      </x:c>
      <x:c r="U160" s="2" t="n">
        <x:v>2021</x:v>
      </x:c>
      <x:c r="V160" s="2" t="str">
        <x:v>https://www.mlit.go.jp/road/census/r3/data/csv/kasyo03.csv</x:v>
      </x:c>
      <x:c r="W160" s="2" t="n">
        <x:v>980</x:v>
      </x:c>
    </x:row>
    <x:row r="161" ht="21" customHeight="1">
      <x:c r="A161" s="7" t="str">
        <x:v>岩手：奥州市</x:v>
      </x:c>
      <x:c r="B161" s="2" t="str">
        <x:v>3400370160</x:v>
      </x:c>
      <x:c r="C161" s="2" t="str">
        <x:v>3000_41210</x:v>
      </x:c>
      <x:c r="D161" s="2" t="str">
        <x:v>3215</x:v>
      </x:c>
      <x:c r="E161" s="2" t="str">
        <x:v>花巻平泉線</x:v>
      </x:c>
      <x:c r="F161" s="2" t="str">
        <x:v>胆沢郡金ヶ崎町和光</x:v>
      </x:c>
      <x:c r="G161" s="2" t="str">
        <x:v>胆沢郡金ヶ崎町和光</x:v>
      </x:c>
      <x:c r="H161" s="2" t="str">
        <x:v>観測</x:v>
      </x:c>
      <x:c r="I161" s="2" t="str">
        <x:v>観測</x:v>
      </x:c>
      <x:c r="J161" s="2" t="str">
        <x:v>12時間</x:v>
      </x:c>
      <x:c r="K161" s="2" t="str">
        <x:v>12時間</x:v>
      </x:c>
      <x:c r="L161" s="2" t="str">
        <x:v>20211013</x:v>
      </x:c>
      <x:c r="M161" s="2" t="str">
        <x:v>20211013</x:v>
      </x:c>
      <x:c r="N161" s="8" t="n">
        <x:v>552</x:v>
      </x:c>
      <x:c r="O161" s="8" t="n">
        <x:v>124</x:v>
      </x:c>
      <x:c r="P161" s="8" t="n">
        <x:v>676</x:v>
      </x:c>
      <x:c r="Q161" s="8" t="n">
        <x:v>626</x:v>
      </x:c>
      <x:c r="R161" s="8" t="n">
        <x:v>138</x:v>
      </x:c>
      <x:c r="S161" s="8" t="n">
        <x:v>764</x:v>
      </x:c>
      <x:c r="T161" s="11" t="n">
        <x:v>18.3</x:v>
      </x:c>
      <x:c r="U161" s="2" t="n">
        <x:v>2021</x:v>
      </x:c>
      <x:c r="V161" s="2" t="str">
        <x:v>https://www.mlit.go.jp/road/census/r3/data/csv/kasyo03.csv</x:v>
      </x:c>
      <x:c r="W161" s="2" t="n">
        <x:v>1036</x:v>
      </x:c>
    </x:row>
    <x:row r="162" ht="21" customHeight="1">
      <x:c r="A162" s="7" t="str">
        <x:v>岩手：奥州市</x:v>
      </x:c>
      <x:c r="B162" s="2" t="str">
        <x:v>3400370180</x:v>
      </x:c>
      <x:c r="C162" s="2" t="str">
        <x:v>3000_41220</x:v>
      </x:c>
      <x:c r="D162" s="2" t="str">
        <x:v>3215</x:v>
      </x:c>
      <x:c r="E162" s="2" t="str">
        <x:v>花巻平泉線</x:v>
      </x:c>
      <x:c r="F162" s="2" t="str">
        <x:v>奥州市衣川区北股</x:v>
      </x:c>
      <x:c r="G162" s="2" t="str">
        <x:v>奥州市衣川区北股</x:v>
      </x:c>
      <x:c r="H162" s="2" t="str">
        <x:v>観測</x:v>
      </x:c>
      <x:c r="I162" s="2" t="str">
        <x:v>観測</x:v>
      </x:c>
      <x:c r="J162" s="2" t="str">
        <x:v>12時間</x:v>
      </x:c>
      <x:c r="K162" s="2" t="str">
        <x:v>12時間</x:v>
      </x:c>
      <x:c r="L162" s="2" t="str">
        <x:v>20211005</x:v>
      </x:c>
      <x:c r="M162" s="2" t="str">
        <x:v>20211005</x:v>
      </x:c>
      <x:c r="N162" s="8" t="n">
        <x:v>532</x:v>
      </x:c>
      <x:c r="O162" s="8" t="n">
        <x:v>41</x:v>
      </x:c>
      <x:c r="P162" s="8" t="n">
        <x:v>573</x:v>
      </x:c>
      <x:c r="Q162" s="8" t="n">
        <x:v>592</x:v>
      </x:c>
      <x:c r="R162" s="8" t="n">
        <x:v>55</x:v>
      </x:c>
      <x:c r="S162" s="8" t="n">
        <x:v>647</x:v>
      </x:c>
      <x:c r="T162" s="11" t="n">
        <x:v>7.2</x:v>
      </x:c>
      <x:c r="U162" s="2" t="n">
        <x:v>2021</x:v>
      </x:c>
      <x:c r="V162" s="2" t="str">
        <x:v>https://www.mlit.go.jp/road/census/r3/data/csv/kasyo03.csv</x:v>
      </x:c>
      <x:c r="W162" s="2" t="n">
        <x:v>1037</x:v>
      </x:c>
    </x:row>
    <x:row r="163" ht="21" customHeight="1">
      <x:c r="A163" s="7" t="str">
        <x:v>岩手：奥州市</x:v>
      </x:c>
      <x:c r="B163" s="2" t="str">
        <x:v>3400370190</x:v>
      </x:c>
      <x:c r="C163" s="2" t="str">
        <x:v>3000_41220</x:v>
      </x:c>
      <x:c r="D163" s="2" t="str">
        <x:v>3215</x:v>
      </x:c>
      <x:c r="E163" s="2" t="str">
        <x:v>花巻平泉線</x:v>
      </x:c>
      <x:c r="F163" s="2" t="str">
        <x:v>奥州市衣川区北股</x:v>
      </x:c>
      <x:c r="G163" s="2" t="str">
        <x:v>奥州市衣川区北股</x:v>
      </x:c>
      <x:c r="H163" s="2" t="str">
        <x:v>観測</x:v>
      </x:c>
      <x:c r="I163" s="2" t="str">
        <x:v>観測</x:v>
      </x:c>
      <x:c r="J163" s="2" t="str">
        <x:v>12時間</x:v>
      </x:c>
      <x:c r="K163" s="2" t="str">
        <x:v>12時間</x:v>
      </x:c>
      <x:c r="L163" s="2" t="str">
        <x:v>20211005</x:v>
      </x:c>
      <x:c r="M163" s="2" t="str">
        <x:v>20211005</x:v>
      </x:c>
      <x:c r="N163" s="8" t="n">
        <x:v>532</x:v>
      </x:c>
      <x:c r="O163" s="8" t="n">
        <x:v>41</x:v>
      </x:c>
      <x:c r="P163" s="8" t="n">
        <x:v>573</x:v>
      </x:c>
      <x:c r="Q163" s="8" t="n">
        <x:v>592</x:v>
      </x:c>
      <x:c r="R163" s="8" t="n">
        <x:v>55</x:v>
      </x:c>
      <x:c r="S163" s="8" t="n">
        <x:v>647</x:v>
      </x:c>
      <x:c r="T163" s="11" t="n">
        <x:v>7.2</x:v>
      </x:c>
      <x:c r="U163" s="2" t="n">
        <x:v>2021</x:v>
      </x:c>
      <x:c r="V163" s="2" t="str">
        <x:v>https://www.mlit.go.jp/road/census/r3/data/csv/kasyo03.csv</x:v>
      </x:c>
      <x:c r="W163" s="2" t="n">
        <x:v>1038</x:v>
      </x:c>
    </x:row>
    <x:row r="164" ht="21" customHeight="1">
      <x:c r="A164" s="7" t="str">
        <x:v>岩手：奥州市</x:v>
      </x:c>
      <x:c r="B164" s="2" t="str">
        <x:v>3400370195</x:v>
      </x:c>
      <x:c r="C164" s="2" t="str">
        <x:v>3000_41230</x:v>
      </x:c>
      <x:c r="D164" s="2" t="str">
        <x:v>3215</x:v>
      </x:c>
      <x:c r="E164" s="2" t="str">
        <x:v>花巻平泉線</x:v>
      </x:c>
      <x:c r="F164" s="2" t="str">
        <x:v>奥州市衣川区富田</x:v>
      </x:c>
      <x:c r="G164" s="2" t="str">
        <x:v>奥州市衣川区富田</x:v>
      </x:c>
      <x:c r="H164" s="2" t="str">
        <x:v>観測</x:v>
      </x:c>
      <x:c r="I164" s="2" t="str">
        <x:v>観測</x:v>
      </x:c>
      <x:c r="J164" s="2" t="str">
        <x:v>12時間</x:v>
      </x:c>
      <x:c r="K164" s="2" t="str">
        <x:v>12時間</x:v>
      </x:c>
      <x:c r="L164" s="2" t="str">
        <x:v>20211005</x:v>
      </x:c>
      <x:c r="M164" s="2" t="str">
        <x:v>20211005</x:v>
      </x:c>
      <x:c r="N164" s="8" t="n">
        <x:v>2747</x:v>
      </x:c>
      <x:c r="O164" s="8" t="n">
        <x:v>257</x:v>
      </x:c>
      <x:c r="P164" s="8" t="n">
        <x:v>3004</x:v>
      </x:c>
      <x:c r="Q164" s="8" t="n">
        <x:v>3188</x:v>
      </x:c>
      <x:c r="R164" s="8" t="n">
        <x:v>447</x:v>
      </x:c>
      <x:c r="S164" s="8" t="n">
        <x:v>3635</x:v>
      </x:c>
      <x:c r="T164" s="11" t="n">
        <x:v>8.6</x:v>
      </x:c>
      <x:c r="U164" s="2" t="n">
        <x:v>2021</x:v>
      </x:c>
      <x:c r="V164" s="2" t="str">
        <x:v>https://www.mlit.go.jp/road/census/r3/data/csv/kasyo03.csv</x:v>
      </x:c>
      <x:c r="W164" s="2" t="n">
        <x:v>1039</x:v>
      </x:c>
    </x:row>
    <x:row r="165" ht="21" customHeight="1">
      <x:c r="A165" s="7" t="str">
        <x:v>岩手：奥州市</x:v>
      </x:c>
      <x:c r="B165" s="2" t="str">
        <x:v>3400370395</x:v>
      </x:c>
      <x:c r="C165" s="2" t="str">
        <x:v>3000_41230</x:v>
      </x:c>
      <x:c r="D165" s="2" t="str">
        <x:v>3215</x:v>
      </x:c>
      <x:c r="E165" s="2" t="str">
        <x:v>花巻平泉線</x:v>
      </x:c>
      <x:c r="F165" s="2" t="str">
        <x:v>奥州市衣川区富田</x:v>
      </x:c>
      <x:c r="G165" s="2" t="str">
        <x:v>奥州市衣川区富田</x:v>
      </x:c>
      <x:c r="H165" s="2" t="str">
        <x:v>観測</x:v>
      </x:c>
      <x:c r="I165" s="2" t="str">
        <x:v>観測</x:v>
      </x:c>
      <x:c r="J165" s="2" t="str">
        <x:v>12時間</x:v>
      </x:c>
      <x:c r="K165" s="2" t="str">
        <x:v>12時間</x:v>
      </x:c>
      <x:c r="L165" s="2" t="str">
        <x:v>20211005</x:v>
      </x:c>
      <x:c r="M165" s="2" t="str">
        <x:v>20211005</x:v>
      </x:c>
      <x:c r="N165" s="8" t="n">
        <x:v>2747</x:v>
      </x:c>
      <x:c r="O165" s="8" t="n">
        <x:v>257</x:v>
      </x:c>
      <x:c r="P165" s="8" t="n">
        <x:v>3004</x:v>
      </x:c>
      <x:c r="Q165" s="8" t="n">
        <x:v>3188</x:v>
      </x:c>
      <x:c r="R165" s="8" t="n">
        <x:v>447</x:v>
      </x:c>
      <x:c r="S165" s="8" t="n">
        <x:v>3635</x:v>
      </x:c>
      <x:c r="T165" s="11" t="n">
        <x:v>8.6</x:v>
      </x:c>
      <x:c r="U165" s="2" t="n">
        <x:v>2021</x:v>
      </x:c>
      <x:c r="V165" s="2" t="str">
        <x:v>https://www.mlit.go.jp/road/census/r3/data/csv/kasyo03.csv</x:v>
      </x:c>
      <x:c r="W165" s="2" t="n">
        <x:v>1040</x:v>
      </x:c>
    </x:row>
    <x:row r="166" ht="21" customHeight="1">
      <x:c r="A166" s="7" t="str">
        <x:v>岩手：奥州市</x:v>
      </x:c>
      <x:c r="B166" s="2" t="str">
        <x:v>3400490040</x:v>
      </x:c>
      <x:c r="C166" s="2" t="str">
        <x:v>3000_41600</x:v>
      </x:c>
      <x:c r="D166" s="2" t="str">
        <x:v>3215</x:v>
      </x:c>
      <x:c r="E166" s="2" t="str">
        <x:v>栗駒平泉線</x:v>
      </x:c>
      <x:c r="F166" s="2" t="str">
        <x:v>一関市厳美町上菅生沢</x:v>
      </x:c>
      <x:c r="G166" s="2" t="str">
        <x:v>一関市厳美町上菅生沢</x:v>
      </x:c>
      <x:c r="H166" s="2" t="str">
        <x:v>観測</x:v>
      </x:c>
      <x:c r="I166" s="2" t="str">
        <x:v>観測</x:v>
      </x:c>
      <x:c r="J166" s="2" t="str">
        <x:v>12時間</x:v>
      </x:c>
      <x:c r="K166" s="2" t="str">
        <x:v>12時間</x:v>
      </x:c>
      <x:c r="L166" s="2" t="str">
        <x:v>20211013</x:v>
      </x:c>
      <x:c r="M166" s="2" t="str">
        <x:v>20211013</x:v>
      </x:c>
      <x:c r="N166" s="8" t="n">
        <x:v>187</x:v>
      </x:c>
      <x:c r="O166" s="8" t="n">
        <x:v>17</x:v>
      </x:c>
      <x:c r="P166" s="8" t="n">
        <x:v>204</x:v>
      </x:c>
      <x:c r="Q166" s="8" t="n">
        <x:v>224</x:v>
      </x:c>
      <x:c r="R166" s="8" t="n">
        <x:v>29</x:v>
      </x:c>
      <x:c r="S166" s="8" t="n">
        <x:v>253</x:v>
      </x:c>
      <x:c r="T166" s="11" t="n">
        <x:v>8.3</x:v>
      </x:c>
      <x:c r="U166" s="2" t="n">
        <x:v>2021</x:v>
      </x:c>
      <x:c r="V166" s="2" t="str">
        <x:v>https://www.mlit.go.jp/road/census/r3/data/csv/kasyo03.csv</x:v>
      </x:c>
      <x:c r="W166" s="2" t="n">
        <x:v>1125</x:v>
      </x:c>
    </x:row>
    <x:row r="167" ht="21" customHeight="1">
      <x:c r="A167" s="7" t="str">
        <x:v>岩手：奥州市</x:v>
      </x:c>
      <x:c r="B167" s="2" t="str">
        <x:v>3601060020</x:v>
      </x:c>
      <x:c r="C167" s="2" t="str">
        <x:v>3000_60110</x:v>
      </x:c>
      <x:c r="D167" s="2" t="str">
        <x:v>3215</x:v>
      </x:c>
      <x:c r="E167" s="2" t="str">
        <x:v>前沢東山線</x:v>
      </x:c>
      <x:c r="F167" s="2" t="str">
        <x:v>奥州市前沢区稲置</x:v>
      </x:c>
      <x:c r="G167" s="2" t="str">
        <x:v>奥州市前沢区稲置</x:v>
      </x:c>
      <x:c r="H167" s="2" t="str">
        <x:v>観測</x:v>
      </x:c>
      <x:c r="I167" s="2" t="str">
        <x:v>観測</x:v>
      </x:c>
      <x:c r="J167" s="2" t="str">
        <x:v>12時間</x:v>
      </x:c>
      <x:c r="K167" s="2" t="str">
        <x:v>12時間</x:v>
      </x:c>
      <x:c r="L167" s="2" t="str">
        <x:v>20211005</x:v>
      </x:c>
      <x:c r="M167" s="2" t="str">
        <x:v>20211005</x:v>
      </x:c>
      <x:c r="N167" s="8" t="n">
        <x:v>2294</x:v>
      </x:c>
      <x:c r="O167" s="8" t="n">
        <x:v>193</x:v>
      </x:c>
      <x:c r="P167" s="8" t="n">
        <x:v>2487</x:v>
      </x:c>
      <x:c r="Q167" s="8" t="n">
        <x:v>2670</x:v>
      </x:c>
      <x:c r="R167" s="8" t="n">
        <x:v>364</x:v>
      </x:c>
      <x:c r="S167" s="8" t="n">
        <x:v>3034</x:v>
      </x:c>
      <x:c r="T167" s="11" t="n">
        <x:v>7.8</x:v>
      </x:c>
      <x:c r="U167" s="2" t="n">
        <x:v>2021</x:v>
      </x:c>
      <x:c r="V167" s="2" t="str">
        <x:v>https://www.mlit.go.jp/road/census/r3/data/csv/kasyo03.csv</x:v>
      </x:c>
      <x:c r="W167" s="2" t="n">
        <x:v>1146</x:v>
      </x:c>
    </x:row>
    <x:row r="168" ht="21" customHeight="1">
      <x:c r="A168" s="7" t="str">
        <x:v>岩手：奥州市</x:v>
      </x:c>
      <x:c r="B168" s="2" t="str">
        <x:v>3601060040</x:v>
      </x:c>
      <x:c r="C168" s="2" t="str">
        <x:v>3000_60120</x:v>
      </x:c>
      <x:c r="D168" s="2" t="str">
        <x:v>3215</x:v>
      </x:c>
      <x:c r="E168" s="2" t="str">
        <x:v>前沢東山線</x:v>
      </x:c>
      <x:c r="F168" s="2" t="str">
        <x:v>奥州市前沢区生母</x:v>
      </x:c>
      <x:c r="G168" s="2" t="str">
        <x:v>奥州市前沢区生母</x:v>
      </x:c>
      <x:c r="H168" s="2" t="str">
        <x:v>観測</x:v>
      </x:c>
      <x:c r="I168" s="2" t="str">
        <x:v>観測</x:v>
      </x:c>
      <x:c r="J168" s="2" t="str">
        <x:v>12時間</x:v>
      </x:c>
      <x:c r="K168" s="2" t="str">
        <x:v>12時間</x:v>
      </x:c>
      <x:c r="L168" s="2" t="str">
        <x:v>20211013</x:v>
      </x:c>
      <x:c r="M168" s="2" t="str">
        <x:v>20211013</x:v>
      </x:c>
      <x:c r="N168" s="8" t="n">
        <x:v>702</x:v>
      </x:c>
      <x:c r="O168" s="8" t="n">
        <x:v>90</x:v>
      </x:c>
      <x:c r="P168" s="8" t="n">
        <x:v>792</x:v>
      </x:c>
      <x:c r="Q168" s="8" t="n">
        <x:v>803</x:v>
      </x:c>
      <x:c r="R168" s="8" t="n">
        <x:v>116</x:v>
      </x:c>
      <x:c r="S168" s="8" t="n">
        <x:v>919</x:v>
      </x:c>
      <x:c r="T168" s="11" t="n">
        <x:v>11.4</x:v>
      </x:c>
      <x:c r="U168" s="2" t="n">
        <x:v>2021</x:v>
      </x:c>
      <x:c r="V168" s="2" t="str">
        <x:v>https://www.mlit.go.jp/road/census/r3/data/csv/kasyo03.csv</x:v>
      </x:c>
      <x:c r="W168" s="2" t="n">
        <x:v>1147</x:v>
      </x:c>
    </x:row>
    <x:row r="169" ht="21" customHeight="1">
      <x:c r="A169" s="7" t="str">
        <x:v>岩手：奥州市</x:v>
      </x:c>
      <x:c r="B169" s="2" t="str">
        <x:v>3601060010</x:v>
      </x:c>
      <x:c r="C169" s="2" t="str">
        <x:v>3000_60110</x:v>
      </x:c>
      <x:c r="D169" s="2" t="str">
        <x:v>3215</x:v>
      </x:c>
      <x:c r="E169" s="2" t="str">
        <x:v>前沢東山線</x:v>
      </x:c>
      <x:c r="F169" s="2" t="str">
        <x:v>奥州市前沢区稲置</x:v>
      </x:c>
      <x:c r="G169" s="2" t="str">
        <x:v>奥州市前沢区稲置</x:v>
      </x:c>
      <x:c r="H169" s="2" t="str">
        <x:v>観測</x:v>
      </x:c>
      <x:c r="I169" s="2" t="str">
        <x:v>観測</x:v>
      </x:c>
      <x:c r="J169" s="2" t="str">
        <x:v>12時間</x:v>
      </x:c>
      <x:c r="K169" s="2" t="str">
        <x:v>12時間</x:v>
      </x:c>
      <x:c r="L169" s="2" t="str">
        <x:v>20211005</x:v>
      </x:c>
      <x:c r="M169" s="2" t="str">
        <x:v>20211005</x:v>
      </x:c>
      <x:c r="N169" s="8" t="n">
        <x:v>2294</x:v>
      </x:c>
      <x:c r="O169" s="8" t="n">
        <x:v>193</x:v>
      </x:c>
      <x:c r="P169" s="8" t="n">
        <x:v>2487</x:v>
      </x:c>
      <x:c r="Q169" s="8" t="n">
        <x:v>2670</x:v>
      </x:c>
      <x:c r="R169" s="8" t="n">
        <x:v>364</x:v>
      </x:c>
      <x:c r="S169" s="8" t="n">
        <x:v>3034</x:v>
      </x:c>
      <x:c r="T169" s="11" t="n">
        <x:v>7.8</x:v>
      </x:c>
      <x:c r="U169" s="2" t="n">
        <x:v>2021</x:v>
      </x:c>
      <x:c r="V169" s="2" t="str">
        <x:v>https://www.mlit.go.jp/road/census/r3/data/csv/kasyo03.csv</x:v>
      </x:c>
      <x:c r="W169" s="2" t="n">
        <x:v>1152</x:v>
      </x:c>
    </x:row>
    <x:row r="170" ht="21" customHeight="1">
      <x:c r="A170" s="7" t="str">
        <x:v>岩手：奥州市</x:v>
      </x:c>
      <x:c r="B170" s="2" t="str">
        <x:v>3601080010</x:v>
      </x:c>
      <x:c r="C170" s="2" t="str">
        <x:v>3000_60150</x:v>
      </x:c>
      <x:c r="D170" s="2" t="str">
        <x:v>3215</x:v>
      </x:c>
      <x:c r="E170" s="2" t="str">
        <x:v>江刺金ケ崎線</x:v>
      </x:c>
      <x:c r="F170" s="2" t="str">
        <x:v>奥州市江刺区稲瀬字三日町</x:v>
      </x:c>
      <x:c r="G170" s="2" t="str">
        <x:v>奥州市江刺区稲瀬字三日町</x:v>
      </x:c>
      <x:c r="H170" s="2" t="str">
        <x:v>観測</x:v>
      </x:c>
      <x:c r="I170" s="2" t="str">
        <x:v>観測</x:v>
      </x:c>
      <x:c r="J170" s="2" t="str">
        <x:v>12時間</x:v>
      </x:c>
      <x:c r="K170" s="2" t="str">
        <x:v>12時間</x:v>
      </x:c>
      <x:c r="L170" s="2" t="str">
        <x:v>20211021</x:v>
      </x:c>
      <x:c r="M170" s="2" t="str">
        <x:v>20211021</x:v>
      </x:c>
      <x:c r="N170" s="8" t="n">
        <x:v>3096</x:v>
      </x:c>
      <x:c r="O170" s="8" t="n">
        <x:v>136</x:v>
      </x:c>
      <x:c r="P170" s="8" t="n">
        <x:v>3232</x:v>
      </x:c>
      <x:c r="Q170" s="8" t="n">
        <x:v>3579</x:v>
      </x:c>
      <x:c r="R170" s="8" t="n">
        <x:v>332</x:v>
      </x:c>
      <x:c r="S170" s="8" t="n">
        <x:v>3911</x:v>
      </x:c>
      <x:c r="T170" s="11" t="n">
        <x:v>4.2</x:v>
      </x:c>
      <x:c r="U170" s="2" t="n">
        <x:v>2021</x:v>
      </x:c>
      <x:c r="V170" s="2" t="str">
        <x:v>https://www.mlit.go.jp/road/census/r3/data/csv/kasyo03.csv</x:v>
      </x:c>
      <x:c r="W170" s="2" t="n">
        <x:v>1154</x:v>
      </x:c>
    </x:row>
    <x:row r="171" ht="21" customHeight="1">
      <x:c r="A171" s="7" t="str">
        <x:v>岩手：奥州市</x:v>
      </x:c>
      <x:c r="B171" s="2" t="str">
        <x:v>3601130010</x:v>
      </x:c>
      <x:c r="C171" s="2" t="str">
        <x:v>3000_60200</x:v>
      </x:c>
      <x:c r="D171" s="2" t="str">
        <x:v>3215</x:v>
      </x:c>
      <x:c r="E171" s="2" t="str">
        <x:v>水沢停車場線</x:v>
      </x:c>
      <x:c r="F171" s="2" t="str">
        <x:v>奥州市水沢区駅前通り</x:v>
      </x:c>
      <x:c r="G171" s="2" t="str">
        <x:v>奥州市水沢区駅前通り</x:v>
      </x:c>
      <x:c r="H171" s="2" t="str">
        <x:v>観測</x:v>
      </x:c>
      <x:c r="I171" s="2" t="str">
        <x:v>観測</x:v>
      </x:c>
      <x:c r="J171" s="2" t="str">
        <x:v>12時間</x:v>
      </x:c>
      <x:c r="K171" s="2" t="str">
        <x:v>12時間</x:v>
      </x:c>
      <x:c r="L171" s="2" t="str">
        <x:v>20211005</x:v>
      </x:c>
      <x:c r="M171" s="2" t="str">
        <x:v>20211005</x:v>
      </x:c>
      <x:c r="N171" s="8" t="n">
        <x:v>2588</x:v>
      </x:c>
      <x:c r="O171" s="8" t="n">
        <x:v>172</x:v>
      </x:c>
      <x:c r="P171" s="8" t="n">
        <x:v>2760</x:v>
      </x:c>
      <x:c r="Q171" s="8" t="n">
        <x:v>2993</x:v>
      </x:c>
      <x:c r="R171" s="8" t="n">
        <x:v>347</x:v>
      </x:c>
      <x:c r="S171" s="8" t="n">
        <x:v>3340</x:v>
      </x:c>
      <x:c r="T171" s="11" t="n">
        <x:v>6.2</x:v>
      </x:c>
      <x:c r="U171" s="2" t="n">
        <x:v>2021</x:v>
      </x:c>
      <x:c r="V171" s="2" t="str">
        <x:v>https://www.mlit.go.jp/road/census/r3/data/csv/kasyo03.csv</x:v>
      </x:c>
      <x:c r="W171" s="2" t="n">
        <x:v>1168</x:v>
      </x:c>
    </x:row>
    <x:row r="172" ht="21" customHeight="1">
      <x:c r="A172" s="7" t="str">
        <x:v>岩手：奥州市</x:v>
      </x:c>
      <x:c r="B172" s="2" t="str">
        <x:v>3601130020</x:v>
      </x:c>
      <x:c r="C172" s="2" t="str">
        <x:v>3000_60200</x:v>
      </x:c>
      <x:c r="D172" s="2" t="str">
        <x:v>3215</x:v>
      </x:c>
      <x:c r="E172" s="2" t="str">
        <x:v>水沢停車場線</x:v>
      </x:c>
      <x:c r="F172" s="2" t="str">
        <x:v>奥州市水沢区駅前通り</x:v>
      </x:c>
      <x:c r="G172" s="2" t="str">
        <x:v>奥州市水沢区駅前通り</x:v>
      </x:c>
      <x:c r="H172" s="2" t="str">
        <x:v>観測</x:v>
      </x:c>
      <x:c r="I172" s="2" t="str">
        <x:v>観測</x:v>
      </x:c>
      <x:c r="J172" s="2" t="str">
        <x:v>12時間</x:v>
      </x:c>
      <x:c r="K172" s="2" t="str">
        <x:v>12時間</x:v>
      </x:c>
      <x:c r="L172" s="2" t="str">
        <x:v>20211005</x:v>
      </x:c>
      <x:c r="M172" s="2" t="str">
        <x:v>20211005</x:v>
      </x:c>
      <x:c r="N172" s="8" t="n">
        <x:v>2588</x:v>
      </x:c>
      <x:c r="O172" s="8" t="n">
        <x:v>172</x:v>
      </x:c>
      <x:c r="P172" s="8" t="n">
        <x:v>2760</x:v>
      </x:c>
      <x:c r="Q172" s="8" t="n">
        <x:v>2993</x:v>
      </x:c>
      <x:c r="R172" s="8" t="n">
        <x:v>347</x:v>
      </x:c>
      <x:c r="S172" s="8" t="n">
        <x:v>3340</x:v>
      </x:c>
      <x:c r="T172" s="11" t="n">
        <x:v>6.2</x:v>
      </x:c>
      <x:c r="U172" s="2" t="n">
        <x:v>2021</x:v>
      </x:c>
      <x:c r="V172" s="2" t="str">
        <x:v>https://www.mlit.go.jp/road/census/r3/data/csv/kasyo03.csv</x:v>
      </x:c>
      <x:c r="W172" s="2" t="n">
        <x:v>1169</x:v>
      </x:c>
    </x:row>
    <x:row r="173" ht="21" customHeight="1">
      <x:c r="A173" s="7" t="str">
        <x:v>岩手：奥州市</x:v>
      </x:c>
      <x:c r="B173" s="2" t="str">
        <x:v>3303970060</x:v>
      </x:c>
      <x:c r="C173" s="2" t="str">
        <x:v>3000_60640</x:v>
      </x:c>
      <x:c r="D173" s="2" t="str">
        <x:v>3215</x:v>
      </x:c>
      <x:c r="E173" s="2" t="str">
        <x:v>岩明岩谷堂線</x:v>
      </x:c>
      <x:c r="F173" s="2" t="str">
        <x:v>奥州市江刺区藤里若神子</x:v>
      </x:c>
      <x:c r="G173" s="2" t="str">
        <x:v>奥州市江刺区藤里若神子</x:v>
      </x:c>
      <x:c r="H173" s="2" t="str">
        <x:v>観測</x:v>
      </x:c>
      <x:c r="I173" s="2" t="str">
        <x:v>観測</x:v>
      </x:c>
      <x:c r="J173" s="2" t="str">
        <x:v>12時間</x:v>
      </x:c>
      <x:c r="K173" s="2" t="str">
        <x:v>12時間</x:v>
      </x:c>
      <x:c r="L173" s="2" t="str">
        <x:v>20211005</x:v>
      </x:c>
      <x:c r="M173" s="2" t="str">
        <x:v>20211005</x:v>
      </x:c>
      <x:c r="N173" s="8" t="n">
        <x:v>1967</x:v>
      </x:c>
      <x:c r="O173" s="8" t="n">
        <x:v>269</x:v>
      </x:c>
      <x:c r="P173" s="8" t="n">
        <x:v>2236</x:v>
      </x:c>
      <x:c r="Q173" s="8" t="n">
        <x:v>2309</x:v>
      </x:c>
      <x:c r="R173" s="8" t="n">
        <x:v>419</x:v>
      </x:c>
      <x:c r="S173" s="8" t="n">
        <x:v>2728</x:v>
      </x:c>
      <x:c r="T173" s="11" t="n">
        <x:v>12</x:v>
      </x:c>
      <x:c r="U173" s="2" t="n">
        <x:v>2021</x:v>
      </x:c>
      <x:c r="V173" s="2" t="str">
        <x:v>https://www.mlit.go.jp/road/census/r3/data/csv/kasyo03.csv</x:v>
      </x:c>
      <x:c r="W173" s="2" t="n">
        <x:v>1233</x:v>
      </x:c>
    </x:row>
    <x:row r="174" ht="21" customHeight="1">
      <x:c r="A174" s="7" t="str">
        <x:v>岩手：奥州市</x:v>
      </x:c>
      <x:c r="B174" s="2" t="str">
        <x:v>3601560010</x:v>
      </x:c>
      <x:c r="C174" s="2" t="str">
        <x:v>3000_60640</x:v>
      </x:c>
      <x:c r="D174" s="2" t="str">
        <x:v>3215</x:v>
      </x:c>
      <x:c r="E174" s="2" t="str">
        <x:v>岩明岩谷堂線</x:v>
      </x:c>
      <x:c r="F174" s="2" t="str">
        <x:v>奥州市江刺区藤里若神子</x:v>
      </x:c>
      <x:c r="G174" s="2" t="str">
        <x:v>奥州市江刺区藤里若神子</x:v>
      </x:c>
      <x:c r="H174" s="2" t="str">
        <x:v>観測</x:v>
      </x:c>
      <x:c r="I174" s="2" t="str">
        <x:v>観測</x:v>
      </x:c>
      <x:c r="J174" s="2" t="str">
        <x:v>12時間</x:v>
      </x:c>
      <x:c r="K174" s="2" t="str">
        <x:v>12時間</x:v>
      </x:c>
      <x:c r="L174" s="2" t="str">
        <x:v>20211005</x:v>
      </x:c>
      <x:c r="M174" s="2" t="str">
        <x:v>20211005</x:v>
      </x:c>
      <x:c r="N174" s="8" t="n">
        <x:v>1967</x:v>
      </x:c>
      <x:c r="O174" s="8" t="n">
        <x:v>269</x:v>
      </x:c>
      <x:c r="P174" s="8" t="n">
        <x:v>2236</x:v>
      </x:c>
      <x:c r="Q174" s="8" t="n">
        <x:v>2309</x:v>
      </x:c>
      <x:c r="R174" s="8" t="n">
        <x:v>419</x:v>
      </x:c>
      <x:c r="S174" s="8" t="n">
        <x:v>2728</x:v>
      </x:c>
      <x:c r="T174" s="11" t="n">
        <x:v>12</x:v>
      </x:c>
      <x:c r="U174" s="2" t="n">
        <x:v>2021</x:v>
      </x:c>
      <x:c r="V174" s="2" t="str">
        <x:v>https://www.mlit.go.jp/road/census/r3/data/csv/kasyo03.csv</x:v>
      </x:c>
      <x:c r="W174" s="2" t="n">
        <x:v>1234</x:v>
      </x:c>
    </x:row>
    <x:row r="175" ht="21" customHeight="1">
      <x:c r="A175" s="7" t="str">
        <x:v>岩手：奥州市</x:v>
      </x:c>
      <x:c r="B175" s="2" t="str">
        <x:v>3601560020</x:v>
      </x:c>
      <x:c r="C175" s="2" t="str">
        <x:v>3000_60640</x:v>
      </x:c>
      <x:c r="D175" s="2" t="str">
        <x:v>3215</x:v>
      </x:c>
      <x:c r="E175" s="2" t="str">
        <x:v>岩明岩谷堂線</x:v>
      </x:c>
      <x:c r="F175" s="2" t="str">
        <x:v>奥州市江刺区藤里若神子</x:v>
      </x:c>
      <x:c r="G175" s="2" t="str">
        <x:v>奥州市江刺区藤里若神子</x:v>
      </x:c>
      <x:c r="H175" s="2" t="str">
        <x:v>観測</x:v>
      </x:c>
      <x:c r="I175" s="2" t="str">
        <x:v>観測</x:v>
      </x:c>
      <x:c r="J175" s="2" t="str">
        <x:v>12時間</x:v>
      </x:c>
      <x:c r="K175" s="2" t="str">
        <x:v>12時間</x:v>
      </x:c>
      <x:c r="L175" s="2" t="str">
        <x:v>20211005</x:v>
      </x:c>
      <x:c r="M175" s="2" t="str">
        <x:v>20211005</x:v>
      </x:c>
      <x:c r="N175" s="8" t="n">
        <x:v>1967</x:v>
      </x:c>
      <x:c r="O175" s="8" t="n">
        <x:v>269</x:v>
      </x:c>
      <x:c r="P175" s="8" t="n">
        <x:v>2236</x:v>
      </x:c>
      <x:c r="Q175" s="8" t="n">
        <x:v>2309</x:v>
      </x:c>
      <x:c r="R175" s="8" t="n">
        <x:v>419</x:v>
      </x:c>
      <x:c r="S175" s="8" t="n">
        <x:v>2728</x:v>
      </x:c>
      <x:c r="T175" s="11" t="n">
        <x:v>12</x:v>
      </x:c>
      <x:c r="U175" s="2" t="n">
        <x:v>2021</x:v>
      </x:c>
      <x:c r="V175" s="2" t="str">
        <x:v>https://www.mlit.go.jp/road/census/r3/data/csv/kasyo03.csv</x:v>
      </x:c>
      <x:c r="W175" s="2" t="n">
        <x:v>1235</x:v>
      </x:c>
    </x:row>
    <x:row r="176" ht="21" customHeight="1">
      <x:c r="A176" s="7" t="str">
        <x:v>岩手：奥州市</x:v>
      </x:c>
      <x:c r="B176" s="2" t="str">
        <x:v>3601740020</x:v>
      </x:c>
      <x:c r="C176" s="2" t="str">
        <x:v>3000_60900</x:v>
      </x:c>
      <x:c r="D176" s="2" t="str">
        <x:v>3215</x:v>
      </x:c>
      <x:c r="E176" s="2" t="str">
        <x:v>小友米里線</x:v>
      </x:c>
      <x:c r="F176" s="2" t="str">
        <x:v>遠野市小友町鮎具</x:v>
      </x:c>
      <x:c r="G176" s="2" t="str">
        <x:v>遠野市小友町鮎具</x:v>
      </x:c>
      <x:c r="H176" s="2" t="str">
        <x:v>観測</x:v>
      </x:c>
      <x:c r="I176" s="2" t="str">
        <x:v>観測</x:v>
      </x:c>
      <x:c r="J176" s="2" t="str">
        <x:v>12時間</x:v>
      </x:c>
      <x:c r="K176" s="2" t="str">
        <x:v>12時間</x:v>
      </x:c>
      <x:c r="L176" s="2" t="str">
        <x:v>20211028</x:v>
      </x:c>
      <x:c r="M176" s="2" t="str">
        <x:v>20211028</x:v>
      </x:c>
      <x:c r="N176" s="8" t="n">
        <x:v>240</x:v>
      </x:c>
      <x:c r="O176" s="8" t="n">
        <x:v>36</x:v>
      </x:c>
      <x:c r="P176" s="8" t="n">
        <x:v>276</x:v>
      </x:c>
      <x:c r="Q176" s="8" t="n">
        <x:v>290</x:v>
      </x:c>
      <x:c r="R176" s="8" t="n">
        <x:v>52</x:v>
      </x:c>
      <x:c r="S176" s="8" t="n">
        <x:v>342</x:v>
      </x:c>
      <x:c r="T176" s="11" t="n">
        <x:v>13</x:v>
      </x:c>
      <x:c r="U176" s="2" t="n">
        <x:v>2021</x:v>
      </x:c>
      <x:c r="V176" s="2" t="str">
        <x:v>https://www.mlit.go.jp/road/census/r3/data/csv/kasyo03.csv</x:v>
      </x:c>
      <x:c r="W176" s="2" t="n">
        <x:v>1288</x:v>
      </x:c>
    </x:row>
    <x:row r="177" ht="21" customHeight="1">
      <x:c r="A177" s="7" t="str">
        <x:v>岩手：奥州市</x:v>
      </x:c>
      <x:c r="B177" s="2" t="str">
        <x:v>3601750010</x:v>
      </x:c>
      <x:c r="C177" s="2" t="str">
        <x:v>3000_60910</x:v>
      </x:c>
      <x:c r="D177" s="2" t="str">
        <x:v>3215</x:v>
      </x:c>
      <x:c r="E177" s="2" t="str">
        <x:v>陸中折居停車場線</x:v>
      </x:c>
      <x:c r="F177" s="2" t="str">
        <x:v> </x:v>
      </x:c>
      <x:c r="G177" s="2" t="str">
        <x:v> </x:v>
      </x:c>
      <x:c r="H177" s="2" t="str">
        <x:v>観測</x:v>
      </x:c>
      <x:c r="I177" s="2" t="str">
        <x:v>観測</x:v>
      </x:c>
      <x:c r="J177" s="2" t="str">
        <x:v>12時間</x:v>
      </x:c>
      <x:c r="K177" s="2" t="str">
        <x:v>12時間</x:v>
      </x:c>
      <x:c r="L177" s="2" t="str">
        <x:v>20211111</x:v>
      </x:c>
      <x:c r="M177" s="2" t="str">
        <x:v>20211111</x:v>
      </x:c>
      <x:c r="N177" s="8" t="n">
        <x:v>862</x:v>
      </x:c>
      <x:c r="O177" s="8" t="n">
        <x:v>58</x:v>
      </x:c>
      <x:c r="P177" s="8" t="n">
        <x:v>920</x:v>
      </x:c>
      <x:c r="Q177" s="8" t="n">
        <x:v>1000</x:v>
      </x:c>
      <x:c r="R177" s="8" t="n">
        <x:v>122</x:v>
      </x:c>
      <x:c r="S177" s="8" t="n">
        <x:v>1122</x:v>
      </x:c>
      <x:c r="T177" s="11" t="n">
        <x:v>6.3</x:v>
      </x:c>
      <x:c r="U177" s="2" t="n">
        <x:v>2021</x:v>
      </x:c>
      <x:c r="V177" s="2" t="str">
        <x:v>https://www.mlit.go.jp/road/census/r3/data/csv/kasyo03.csv</x:v>
      </x:c>
      <x:c r="W177" s="2" t="n">
        <x:v>1289</x:v>
      </x:c>
    </x:row>
    <x:row r="178" ht="21" customHeight="1">
      <x:c r="A178" s="7" t="str">
        <x:v>岩手：奥州市</x:v>
      </x:c>
      <x:c r="B178" s="2" t="str">
        <x:v>3601750020</x:v>
      </x:c>
      <x:c r="C178" s="2" t="str">
        <x:v>3000_60910</x:v>
      </x:c>
      <x:c r="D178" s="2" t="str">
        <x:v>3215</x:v>
      </x:c>
      <x:c r="E178" s="2" t="str">
        <x:v>陸中折居停車場線</x:v>
      </x:c>
      <x:c r="F178" s="2" t="str">
        <x:v> </x:v>
      </x:c>
      <x:c r="G178" s="2" t="str">
        <x:v> </x:v>
      </x:c>
      <x:c r="H178" s="2" t="str">
        <x:v>観測</x:v>
      </x:c>
      <x:c r="I178" s="2" t="str">
        <x:v>観測</x:v>
      </x:c>
      <x:c r="J178" s="2" t="str">
        <x:v>12時間</x:v>
      </x:c>
      <x:c r="K178" s="2" t="str">
        <x:v>12時間</x:v>
      </x:c>
      <x:c r="L178" s="2" t="str">
        <x:v>20211111</x:v>
      </x:c>
      <x:c r="M178" s="2" t="str">
        <x:v>20211111</x:v>
      </x:c>
      <x:c r="N178" s="8" t="n">
        <x:v>862</x:v>
      </x:c>
      <x:c r="O178" s="8" t="n">
        <x:v>58</x:v>
      </x:c>
      <x:c r="P178" s="8" t="n">
        <x:v>920</x:v>
      </x:c>
      <x:c r="Q178" s="8" t="n">
        <x:v>1000</x:v>
      </x:c>
      <x:c r="R178" s="8" t="n">
        <x:v>122</x:v>
      </x:c>
      <x:c r="S178" s="8" t="n">
        <x:v>1122</x:v>
      </x:c>
      <x:c r="T178" s="11" t="n">
        <x:v>6.3</x:v>
      </x:c>
      <x:c r="U178" s="2" t="n">
        <x:v>2021</x:v>
      </x:c>
      <x:c r="V178" s="2" t="str">
        <x:v>https://www.mlit.go.jp/road/census/r3/data/csv/kasyo03.csv</x:v>
      </x:c>
      <x:c r="W178" s="2" t="n">
        <x:v>1290</x:v>
      </x:c>
    </x:row>
    <x:row r="179" ht="21" customHeight="1">
      <x:c r="A179" s="7" t="str">
        <x:v>岩手：奥州市</x:v>
      </x:c>
      <x:c r="B179" s="2" t="str">
        <x:v>3601790010</x:v>
      </x:c>
      <x:c r="C179" s="2" t="str">
        <x:v>3000_60940</x:v>
      </x:c>
      <x:c r="D179" s="2" t="str">
        <x:v>3215</x:v>
      </x:c>
      <x:c r="E179" s="2" t="str">
        <x:v>玉里梁川線</x:v>
      </x:c>
      <x:c r="F179" s="2" t="str">
        <x:v>奥州市江刺区梁川中宿</x:v>
      </x:c>
      <x:c r="G179" s="2" t="str">
        <x:v>奥州市江刺区梁川中宿</x:v>
      </x:c>
      <x:c r="H179" s="2" t="str">
        <x:v>観測</x:v>
      </x:c>
      <x:c r="I179" s="2" t="str">
        <x:v>観測</x:v>
      </x:c>
      <x:c r="J179" s="2" t="str">
        <x:v>12時間</x:v>
      </x:c>
      <x:c r="K179" s="2" t="str">
        <x:v>12時間</x:v>
      </x:c>
      <x:c r="L179" s="2" t="str">
        <x:v>20211021</x:v>
      </x:c>
      <x:c r="M179" s="2" t="str">
        <x:v>20211021</x:v>
      </x:c>
      <x:c r="N179" s="8" t="n">
        <x:v>1502</x:v>
      </x:c>
      <x:c r="O179" s="8" t="n">
        <x:v>227</x:v>
      </x:c>
      <x:c r="P179" s="8" t="n">
        <x:v>1729</x:v>
      </x:c>
      <x:c r="Q179" s="8" t="n">
        <x:v>1759</x:v>
      </x:c>
      <x:c r="R179" s="8" t="n">
        <x:v>350</x:v>
      </x:c>
      <x:c r="S179" s="8" t="n">
        <x:v>2109</x:v>
      </x:c>
      <x:c r="T179" s="11" t="n">
        <x:v>13.1</x:v>
      </x:c>
      <x:c r="U179" s="2" t="n">
        <x:v>2021</x:v>
      </x:c>
      <x:c r="V179" s="2" t="str">
        <x:v>https://www.mlit.go.jp/road/census/r3/data/csv/kasyo03.csv</x:v>
      </x:c>
      <x:c r="W179" s="2" t="n">
        <x:v>1297</x:v>
      </x:c>
    </x:row>
    <x:row r="180" ht="21" customHeight="1">
      <x:c r="A180" s="7" t="str">
        <x:v>岩手：奥州市</x:v>
      </x:c>
      <x:c r="B180" s="2" t="str">
        <x:v>3601790020</x:v>
      </x:c>
      <x:c r="C180" s="2" t="str">
        <x:v>3000_60940</x:v>
      </x:c>
      <x:c r="D180" s="2" t="str">
        <x:v>3215</x:v>
      </x:c>
      <x:c r="E180" s="2" t="str">
        <x:v>玉里梁川線</x:v>
      </x:c>
      <x:c r="F180" s="2" t="str">
        <x:v>奥州市江刺区梁川中宿</x:v>
      </x:c>
      <x:c r="G180" s="2" t="str">
        <x:v>奥州市江刺区梁川中宿</x:v>
      </x:c>
      <x:c r="H180" s="2" t="str">
        <x:v>観測</x:v>
      </x:c>
      <x:c r="I180" s="2" t="str">
        <x:v>観測</x:v>
      </x:c>
      <x:c r="J180" s="2" t="str">
        <x:v>12時間</x:v>
      </x:c>
      <x:c r="K180" s="2" t="str">
        <x:v>12時間</x:v>
      </x:c>
      <x:c r="L180" s="2" t="str">
        <x:v>20211021</x:v>
      </x:c>
      <x:c r="M180" s="2" t="str">
        <x:v>20211021</x:v>
      </x:c>
      <x:c r="N180" s="8" t="n">
        <x:v>1502</x:v>
      </x:c>
      <x:c r="O180" s="8" t="n">
        <x:v>227</x:v>
      </x:c>
      <x:c r="P180" s="8" t="n">
        <x:v>1729</x:v>
      </x:c>
      <x:c r="Q180" s="8" t="n">
        <x:v>1759</x:v>
      </x:c>
      <x:c r="R180" s="8" t="n">
        <x:v>350</x:v>
      </x:c>
      <x:c r="S180" s="8" t="n">
        <x:v>2109</x:v>
      </x:c>
      <x:c r="T180" s="11" t="n">
        <x:v>13.1</x:v>
      </x:c>
      <x:c r="U180" s="2" t="n">
        <x:v>2021</x:v>
      </x:c>
      <x:c r="V180" s="2" t="str">
        <x:v>https://www.mlit.go.jp/road/census/r3/data/csv/kasyo03.csv</x:v>
      </x:c>
      <x:c r="W180" s="2" t="n">
        <x:v>1298</x:v>
      </x:c>
    </x:row>
    <x:row r="181" ht="21" customHeight="1">
      <x:c r="A181" s="7" t="str">
        <x:v>岩手：奥州市</x:v>
      </x:c>
      <x:c r="B181" s="2" t="str">
        <x:v>3601960010</x:v>
      </x:c>
      <x:c r="C181" s="2" t="str">
        <x:v>3000_61150</x:v>
      </x:c>
      <x:c r="D181" s="2" t="str">
        <x:v>3215</x:v>
      </x:c>
      <x:c r="E181" s="2" t="str">
        <x:v>胆沢金ヶ崎線</x:v>
      </x:c>
      <x:c r="F181" s="2" t="str">
        <x:v>胆沢郡金ヶ崎町永沢字関田前</x:v>
      </x:c>
      <x:c r="G181" s="2" t="str">
        <x:v>胆沢郡金ヶ崎町永沢字関田前</x:v>
      </x:c>
      <x:c r="H181" s="2" t="str">
        <x:v>観測</x:v>
      </x:c>
      <x:c r="I181" s="2" t="str">
        <x:v>観測</x:v>
      </x:c>
      <x:c r="J181" s="2" t="str">
        <x:v>12時間</x:v>
      </x:c>
      <x:c r="K181" s="2" t="str">
        <x:v>12時間</x:v>
      </x:c>
      <x:c r="L181" s="2" t="str">
        <x:v>20210930</x:v>
      </x:c>
      <x:c r="M181" s="2" t="str">
        <x:v>20210930</x:v>
      </x:c>
      <x:c r="N181" s="8" t="n">
        <x:v>1599</x:v>
      </x:c>
      <x:c r="O181" s="8" t="n">
        <x:v>91</x:v>
      </x:c>
      <x:c r="P181" s="8" t="n">
        <x:v>1690</x:v>
      </x:c>
      <x:c r="Q181" s="8" t="n">
        <x:v>1853</x:v>
      </x:c>
      <x:c r="R181" s="8" t="n">
        <x:v>209</x:v>
      </x:c>
      <x:c r="S181" s="8" t="n">
        <x:v>2062</x:v>
      </x:c>
      <x:c r="T181" s="11" t="n">
        <x:v>5.4</x:v>
      </x:c>
      <x:c r="U181" s="2" t="n">
        <x:v>2021</x:v>
      </x:c>
      <x:c r="V181" s="2" t="str">
        <x:v>https://www.mlit.go.jp/road/census/r3/data/csv/kasyo03.csv</x:v>
      </x:c>
      <x:c r="W181" s="2" t="n">
        <x:v>1326</x:v>
      </x:c>
    </x:row>
    <x:row r="182" ht="21" customHeight="1">
      <x:c r="A182" s="7" t="str">
        <x:v>岩手：奥州市</x:v>
      </x:c>
      <x:c r="B182" s="2" t="str">
        <x:v>3601970010</x:v>
      </x:c>
      <x:c r="C182" s="2" t="str">
        <x:v>3000_61170</x:v>
      </x:c>
      <x:c r="D182" s="2" t="str">
        <x:v>3215</x:v>
      </x:c>
      <x:c r="E182" s="2" t="str">
        <x:v>田原折居線</x:v>
      </x:c>
      <x:c r="F182" s="2" t="str">
        <x:v>奥州市江刺区田原高根下</x:v>
      </x:c>
      <x:c r="G182" s="2" t="str">
        <x:v>奥州市江刺区田原高根下</x:v>
      </x:c>
      <x:c r="H182" s="2" t="str">
        <x:v>観測</x:v>
      </x:c>
      <x:c r="I182" s="2" t="str">
        <x:v>観測</x:v>
      </x:c>
      <x:c r="J182" s="2" t="str">
        <x:v>12時間</x:v>
      </x:c>
      <x:c r="K182" s="2" t="str">
        <x:v>12時間</x:v>
      </x:c>
      <x:c r="L182" s="2" t="str">
        <x:v>20211005</x:v>
      </x:c>
      <x:c r="M182" s="2" t="str">
        <x:v>20211005</x:v>
      </x:c>
      <x:c r="N182" s="8" t="n">
        <x:v>288</x:v>
      </x:c>
      <x:c r="O182" s="8" t="n">
        <x:v>88</x:v>
      </x:c>
      <x:c r="P182" s="8" t="n">
        <x:v>376</x:v>
      </x:c>
      <x:c r="Q182" s="8" t="n">
        <x:v>357</x:v>
      </x:c>
      <x:c r="R182" s="8" t="n">
        <x:v>109</x:v>
      </x:c>
      <x:c r="S182" s="8" t="n">
        <x:v>466</x:v>
      </x:c>
      <x:c r="T182" s="11" t="n">
        <x:v>23.4</x:v>
      </x:c>
      <x:c r="U182" s="2" t="n">
        <x:v>2021</x:v>
      </x:c>
      <x:c r="V182" s="2" t="str">
        <x:v>https://www.mlit.go.jp/road/census/r3/data/csv/kasyo03.csv</x:v>
      </x:c>
      <x:c r="W182" s="2" t="n">
        <x:v>1329</x:v>
      </x:c>
    </x:row>
    <x:row r="183" ht="21" customHeight="1">
      <x:c r="A183" s="7" t="str">
        <x:v>岩手：奥州市</x:v>
      </x:c>
      <x:c r="B183" s="2" t="str">
        <x:v>3601970030</x:v>
      </x:c>
      <x:c r="C183" s="2" t="str">
        <x:v>3000_61180</x:v>
      </x:c>
      <x:c r="D183" s="2" t="str">
        <x:v>3215</x:v>
      </x:c>
      <x:c r="E183" s="2" t="str">
        <x:v>田原折居線</x:v>
      </x:c>
      <x:c r="F183" s="2" t="str">
        <x:v>奥州市前沢区古舘</x:v>
      </x:c>
      <x:c r="G183" s="2" t="str">
        <x:v>奥州市前沢区古舘</x:v>
      </x:c>
      <x:c r="H183" s="2" t="str">
        <x:v>観測</x:v>
      </x:c>
      <x:c r="I183" s="2" t="str">
        <x:v>観測</x:v>
      </x:c>
      <x:c r="J183" s="2" t="str">
        <x:v>12時間</x:v>
      </x:c>
      <x:c r="K183" s="2" t="str">
        <x:v>12時間</x:v>
      </x:c>
      <x:c r="L183" s="2" t="str">
        <x:v>20211005</x:v>
      </x:c>
      <x:c r="M183" s="2" t="str">
        <x:v>20211005</x:v>
      </x:c>
      <x:c r="N183" s="8" t="n">
        <x:v>760</x:v>
      </x:c>
      <x:c r="O183" s="8" t="n">
        <x:v>65</x:v>
      </x:c>
      <x:c r="P183" s="8" t="n">
        <x:v>825</x:v>
      </x:c>
      <x:c r="Q183" s="8" t="n">
        <x:v>855</x:v>
      </x:c>
      <x:c r="R183" s="8" t="n">
        <x:v>86</x:v>
      </x:c>
      <x:c r="S183" s="8" t="n">
        <x:v>941</x:v>
      </x:c>
      <x:c r="T183" s="11" t="n">
        <x:v>7.9</x:v>
      </x:c>
      <x:c r="U183" s="2" t="n">
        <x:v>2021</x:v>
      </x:c>
      <x:c r="V183" s="2" t="str">
        <x:v>https://www.mlit.go.jp/road/census/r3/data/csv/kasyo03.csv</x:v>
      </x:c>
      <x:c r="W183" s="2" t="n">
        <x:v>1330</x:v>
      </x:c>
    </x:row>
    <x:row r="184" ht="21" customHeight="1">
      <x:c r="A184" s="7" t="str">
        <x:v>岩手：奥州市</x:v>
      </x:c>
      <x:c r="B184" s="2" t="str">
        <x:v>3602260010</x:v>
      </x:c>
      <x:c r="C184" s="2" t="str">
        <x:v>3000_61550</x:v>
      </x:c>
      <x:c r="D184" s="2" t="str">
        <x:v>3215</x:v>
      </x:c>
      <x:c r="E184" s="2" t="str">
        <x:v>佐倉河真城線</x:v>
      </x:c>
      <x:c r="F184" s="2" t="str">
        <x:v>奥州市水沢区横町</x:v>
      </x:c>
      <x:c r="G184" s="2" t="str">
        <x:v>奥州市水沢区横町</x:v>
      </x:c>
      <x:c r="H184" s="2" t="str">
        <x:v>観測</x:v>
      </x:c>
      <x:c r="I184" s="2" t="str">
        <x:v>観測</x:v>
      </x:c>
      <x:c r="J184" s="2" t="str">
        <x:v>12時間</x:v>
      </x:c>
      <x:c r="K184" s="2" t="str">
        <x:v>12時間</x:v>
      </x:c>
      <x:c r="L184" s="2" t="str">
        <x:v>20211005</x:v>
      </x:c>
      <x:c r="M184" s="2" t="str">
        <x:v>20211005</x:v>
      </x:c>
      <x:c r="N184" s="8" t="n">
        <x:v>3154</x:v>
      </x:c>
      <x:c r="O184" s="8" t="n">
        <x:v>125</x:v>
      </x:c>
      <x:c r="P184" s="8" t="n">
        <x:v>3279</x:v>
      </x:c>
      <x:c r="Q184" s="8" t="n">
        <x:v>3633</x:v>
      </x:c>
      <x:c r="R184" s="8" t="n">
        <x:v>335</x:v>
      </x:c>
      <x:c r="S184" s="8" t="n">
        <x:v>3968</x:v>
      </x:c>
      <x:c r="T184" s="11" t="n">
        <x:v>3.8</x:v>
      </x:c>
      <x:c r="U184" s="2" t="n">
        <x:v>2021</x:v>
      </x:c>
      <x:c r="V184" s="2" t="str">
        <x:v>https://www.mlit.go.jp/road/census/r3/data/csv/kasyo03.csv</x:v>
      </x:c>
      <x:c r="W184" s="2" t="n">
        <x:v>1402</x:v>
      </x:c>
    </x:row>
    <x:row r="185" ht="21" customHeight="1">
      <x:c r="A185" s="7" t="str">
        <x:v>岩手：奥州市</x:v>
      </x:c>
      <x:c r="B185" s="2" t="str">
        <x:v>3602260020</x:v>
      </x:c>
      <x:c r="C185" s="2" t="str">
        <x:v>3000_61550</x:v>
      </x:c>
      <x:c r="D185" s="2" t="str">
        <x:v>3215</x:v>
      </x:c>
      <x:c r="E185" s="2" t="str">
        <x:v>佐倉河真城線</x:v>
      </x:c>
      <x:c r="F185" s="2" t="str">
        <x:v>奥州市水沢区横町</x:v>
      </x:c>
      <x:c r="G185" s="2" t="str">
        <x:v>奥州市水沢区横町</x:v>
      </x:c>
      <x:c r="H185" s="2" t="str">
        <x:v>観測</x:v>
      </x:c>
      <x:c r="I185" s="2" t="str">
        <x:v>観測</x:v>
      </x:c>
      <x:c r="J185" s="2" t="str">
        <x:v>12時間</x:v>
      </x:c>
      <x:c r="K185" s="2" t="str">
        <x:v>12時間</x:v>
      </x:c>
      <x:c r="L185" s="2" t="str">
        <x:v>20211005</x:v>
      </x:c>
      <x:c r="M185" s="2" t="str">
        <x:v>20211005</x:v>
      </x:c>
      <x:c r="N185" s="8" t="n">
        <x:v>3154</x:v>
      </x:c>
      <x:c r="O185" s="8" t="n">
        <x:v>125</x:v>
      </x:c>
      <x:c r="P185" s="8" t="n">
        <x:v>3279</x:v>
      </x:c>
      <x:c r="Q185" s="8" t="n">
        <x:v>3633</x:v>
      </x:c>
      <x:c r="R185" s="8" t="n">
        <x:v>335</x:v>
      </x:c>
      <x:c r="S185" s="8" t="n">
        <x:v>3968</x:v>
      </x:c>
      <x:c r="T185" s="11" t="n">
        <x:v>3.8</x:v>
      </x:c>
      <x:c r="U185" s="2" t="n">
        <x:v>2021</x:v>
      </x:c>
      <x:c r="V185" s="2" t="str">
        <x:v>https://www.mlit.go.jp/road/census/r3/data/csv/kasyo03.csv</x:v>
      </x:c>
      <x:c r="W185" s="2" t="n">
        <x:v>1403</x:v>
      </x:c>
    </x:row>
    <x:row r="186" ht="21" customHeight="1">
      <x:c r="A186" s="7" t="str">
        <x:v>岩手：奥州市</x:v>
      </x:c>
      <x:c r="B186" s="2" t="str">
        <x:v>3602260030</x:v>
      </x:c>
      <x:c r="C186" s="2" t="str">
        <x:v>3000_61550</x:v>
      </x:c>
      <x:c r="D186" s="2" t="str">
        <x:v>3215</x:v>
      </x:c>
      <x:c r="E186" s="2" t="str">
        <x:v>佐倉河真城線</x:v>
      </x:c>
      <x:c r="F186" s="2" t="str">
        <x:v>奥州市水沢区横町</x:v>
      </x:c>
      <x:c r="G186" s="2" t="str">
        <x:v>奥州市水沢区横町</x:v>
      </x:c>
      <x:c r="H186" s="2" t="str">
        <x:v>観測</x:v>
      </x:c>
      <x:c r="I186" s="2" t="str">
        <x:v>観測</x:v>
      </x:c>
      <x:c r="J186" s="2" t="str">
        <x:v>12時間</x:v>
      </x:c>
      <x:c r="K186" s="2" t="str">
        <x:v>12時間</x:v>
      </x:c>
      <x:c r="L186" s="2" t="str">
        <x:v>20211005</x:v>
      </x:c>
      <x:c r="M186" s="2" t="str">
        <x:v>20211005</x:v>
      </x:c>
      <x:c r="N186" s="8" t="n">
        <x:v>3154</x:v>
      </x:c>
      <x:c r="O186" s="8" t="n">
        <x:v>125</x:v>
      </x:c>
      <x:c r="P186" s="8" t="n">
        <x:v>3279</x:v>
      </x:c>
      <x:c r="Q186" s="8" t="n">
        <x:v>3633</x:v>
      </x:c>
      <x:c r="R186" s="8" t="n">
        <x:v>335</x:v>
      </x:c>
      <x:c r="S186" s="8" t="n">
        <x:v>3968</x:v>
      </x:c>
      <x:c r="T186" s="11" t="n">
        <x:v>3.8</x:v>
      </x:c>
      <x:c r="U186" s="2" t="n">
        <x:v>2021</x:v>
      </x:c>
      <x:c r="V186" s="2" t="str">
        <x:v>https://www.mlit.go.jp/road/census/r3/data/csv/kasyo03.csv</x:v>
      </x:c>
      <x:c r="W186" s="2" t="n">
        <x:v>1404</x:v>
      </x:c>
    </x:row>
    <x:row r="187" ht="21" customHeight="1">
      <x:c r="A187" s="7" t="str">
        <x:v>岩手：奥州市</x:v>
      </x:c>
      <x:c r="B187" s="2" t="str">
        <x:v>3602260050</x:v>
      </x:c>
      <x:c r="C187" s="2" t="str">
        <x:v>3000_61550</x:v>
      </x:c>
      <x:c r="D187" s="2" t="str">
        <x:v>3215</x:v>
      </x:c>
      <x:c r="E187" s="2" t="str">
        <x:v>佐倉河真城線</x:v>
      </x:c>
      <x:c r="F187" s="2" t="str">
        <x:v>奥州市水沢区横町</x:v>
      </x:c>
      <x:c r="G187" s="2" t="str">
        <x:v>奥州市水沢区横町</x:v>
      </x:c>
      <x:c r="H187" s="2" t="str">
        <x:v>観測</x:v>
      </x:c>
      <x:c r="I187" s="2" t="str">
        <x:v>観測</x:v>
      </x:c>
      <x:c r="J187" s="2" t="str">
        <x:v>12時間</x:v>
      </x:c>
      <x:c r="K187" s="2" t="str">
        <x:v>12時間</x:v>
      </x:c>
      <x:c r="L187" s="2" t="str">
        <x:v>20211005</x:v>
      </x:c>
      <x:c r="M187" s="2" t="str">
        <x:v>20211005</x:v>
      </x:c>
      <x:c r="N187" s="8" t="n">
        <x:v>3154</x:v>
      </x:c>
      <x:c r="O187" s="8" t="n">
        <x:v>125</x:v>
      </x:c>
      <x:c r="P187" s="8" t="n">
        <x:v>3279</x:v>
      </x:c>
      <x:c r="Q187" s="8" t="n">
        <x:v>3633</x:v>
      </x:c>
      <x:c r="R187" s="8" t="n">
        <x:v>335</x:v>
      </x:c>
      <x:c r="S187" s="8" t="n">
        <x:v>3968</x:v>
      </x:c>
      <x:c r="T187" s="11" t="n">
        <x:v>3.8</x:v>
      </x:c>
      <x:c r="U187" s="2" t="n">
        <x:v>2021</x:v>
      </x:c>
      <x:c r="V187" s="2" t="str">
        <x:v>https://www.mlit.go.jp/road/census/r3/data/csv/kasyo03.csv</x:v>
      </x:c>
      <x:c r="W187" s="2" t="n">
        <x:v>1405</x:v>
      </x:c>
    </x:row>
    <x:row r="188" ht="21" customHeight="1">
      <x:c r="A188" s="7" t="str">
        <x:v>岩手：奥州市</x:v>
      </x:c>
      <x:c r="B188" s="2" t="str">
        <x:v>3602360005</x:v>
      </x:c>
      <x:c r="C188" s="2" t="str">
        <x:v>3000_61630</x:v>
      </x:c>
      <x:c r="D188" s="2" t="str">
        <x:v>3215</x:v>
      </x:c>
      <x:c r="E188" s="2" t="str">
        <x:v>衣川水沢線</x:v>
      </x:c>
      <x:c r="F188" s="2" t="str">
        <x:v>奥州市胆沢区恩俗</x:v>
      </x:c>
      <x:c r="G188" s="2" t="str">
        <x:v>奥州市胆沢区恩俗</x:v>
      </x:c>
      <x:c r="H188" s="2" t="str">
        <x:v>観測</x:v>
      </x:c>
      <x:c r="I188" s="2" t="str">
        <x:v>観測</x:v>
      </x:c>
      <x:c r="J188" s="2" t="str">
        <x:v>12時間</x:v>
      </x:c>
      <x:c r="K188" s="2" t="str">
        <x:v>12時間</x:v>
      </x:c>
      <x:c r="L188" s="2" t="str">
        <x:v>20211005</x:v>
      </x:c>
      <x:c r="M188" s="2" t="str">
        <x:v>20211005</x:v>
      </x:c>
      <x:c r="N188" s="8" t="n">
        <x:v>1647</x:v>
      </x:c>
      <x:c r="O188" s="8" t="n">
        <x:v>137</x:v>
      </x:c>
      <x:c r="P188" s="8" t="n">
        <x:v>1784</x:v>
      </x:c>
      <x:c r="Q188" s="8" t="n">
        <x:v>1914</x:v>
      </x:c>
      <x:c r="R188" s="8" t="n">
        <x:v>262</x:v>
      </x:c>
      <x:c r="S188" s="8" t="n">
        <x:v>2176</x:v>
      </x:c>
      <x:c r="T188" s="11" t="n">
        <x:v>7.7</x:v>
      </x:c>
      <x:c r="U188" s="2" t="n">
        <x:v>2021</x:v>
      </x:c>
      <x:c r="V188" s="2" t="str">
        <x:v>https://www.mlit.go.jp/road/census/r3/data/csv/kasyo03.csv</x:v>
      </x:c>
      <x:c r="W188" s="2" t="n">
        <x:v>1422</x:v>
      </x:c>
    </x:row>
    <x:row r="189" ht="21" customHeight="1">
      <x:c r="A189" s="7" t="str">
        <x:v>岩手：奥州市</x:v>
      </x:c>
      <x:c r="B189" s="2" t="str">
        <x:v>3602360010</x:v>
      </x:c>
      <x:c r="C189" s="2" t="str">
        <x:v>3000_61630</x:v>
      </x:c>
      <x:c r="D189" s="2" t="str">
        <x:v>3215</x:v>
      </x:c>
      <x:c r="E189" s="2" t="str">
        <x:v>衣川水沢線</x:v>
      </x:c>
      <x:c r="F189" s="2" t="str">
        <x:v>奥州市胆沢区恩俗</x:v>
      </x:c>
      <x:c r="G189" s="2" t="str">
        <x:v>奥州市胆沢区恩俗</x:v>
      </x:c>
      <x:c r="H189" s="2" t="str">
        <x:v>観測</x:v>
      </x:c>
      <x:c r="I189" s="2" t="str">
        <x:v>観測</x:v>
      </x:c>
      <x:c r="J189" s="2" t="str">
        <x:v>12時間</x:v>
      </x:c>
      <x:c r="K189" s="2" t="str">
        <x:v>12時間</x:v>
      </x:c>
      <x:c r="L189" s="2" t="str">
        <x:v>20211005</x:v>
      </x:c>
      <x:c r="M189" s="2" t="str">
        <x:v>20211005</x:v>
      </x:c>
      <x:c r="N189" s="8" t="n">
        <x:v>1647</x:v>
      </x:c>
      <x:c r="O189" s="8" t="n">
        <x:v>137</x:v>
      </x:c>
      <x:c r="P189" s="8" t="n">
        <x:v>1784</x:v>
      </x:c>
      <x:c r="Q189" s="8" t="n">
        <x:v>1914</x:v>
      </x:c>
      <x:c r="R189" s="8" t="n">
        <x:v>262</x:v>
      </x:c>
      <x:c r="S189" s="8" t="n">
        <x:v>2176</x:v>
      </x:c>
      <x:c r="T189" s="11" t="n">
        <x:v>7.7</x:v>
      </x:c>
      <x:c r="U189" s="2" t="n">
        <x:v>2021</x:v>
      </x:c>
      <x:c r="V189" s="2" t="str">
        <x:v>https://www.mlit.go.jp/road/census/r3/data/csv/kasyo03.csv</x:v>
      </x:c>
      <x:c r="W189" s="2" t="n">
        <x:v>1423</x:v>
      </x:c>
    </x:row>
    <x:row r="190" ht="21" customHeight="1">
      <x:c r="A190" s="7" t="str">
        <x:v>岩手：奥州市</x:v>
      </x:c>
      <x:c r="B190" s="2" t="str">
        <x:v>3601760020</x:v>
      </x:c>
      <x:c r="C190" s="2" t="str">
        <x:v>3000_61630</x:v>
      </x:c>
      <x:c r="D190" s="2" t="str">
        <x:v>3215</x:v>
      </x:c>
      <x:c r="E190" s="2" t="str">
        <x:v>衣川水沢線（旧　供養塚折居線）</x:v>
      </x:c>
      <x:c r="F190" s="2" t="str">
        <x:v>奥州市胆沢区恩俗</x:v>
      </x:c>
      <x:c r="G190" s="2" t="str">
        <x:v>奥州市胆沢区恩俗</x:v>
      </x:c>
      <x:c r="H190" s="2" t="str">
        <x:v>観測</x:v>
      </x:c>
      <x:c r="I190" s="2" t="str">
        <x:v>観測</x:v>
      </x:c>
      <x:c r="J190" s="2" t="str">
        <x:v>12時間</x:v>
      </x:c>
      <x:c r="K190" s="2" t="str">
        <x:v>12時間</x:v>
      </x:c>
      <x:c r="L190" s="2" t="str">
        <x:v>20211005</x:v>
      </x:c>
      <x:c r="M190" s="2" t="str">
        <x:v>20211005</x:v>
      </x:c>
      <x:c r="N190" s="8" t="n">
        <x:v>1647</x:v>
      </x:c>
      <x:c r="O190" s="8" t="n">
        <x:v>137</x:v>
      </x:c>
      <x:c r="P190" s="8" t="n">
        <x:v>1784</x:v>
      </x:c>
      <x:c r="Q190" s="8" t="n">
        <x:v>1914</x:v>
      </x:c>
      <x:c r="R190" s="8" t="n">
        <x:v>262</x:v>
      </x:c>
      <x:c r="S190" s="8" t="n">
        <x:v>2176</x:v>
      </x:c>
      <x:c r="T190" s="11" t="n">
        <x:v>7.7</x:v>
      </x:c>
      <x:c r="U190" s="2" t="n">
        <x:v>2021</x:v>
      </x:c>
      <x:c r="V190" s="2" t="str">
        <x:v>https://www.mlit.go.jp/road/census/r3/data/csv/kasyo03.csv</x:v>
      </x:c>
      <x:c r="W190" s="2" t="n">
        <x:v>1424</x:v>
      </x:c>
    </x:row>
    <x:row r="191" ht="21" customHeight="1">
      <x:c r="A191" s="7" t="str">
        <x:v>岩手：奥州市</x:v>
      </x:c>
      <x:c r="B191" s="2" t="str">
        <x:v>3602360025</x:v>
      </x:c>
      <x:c r="C191" s="2" t="str">
        <x:v>3000_61640</x:v>
      </x:c>
      <x:c r="D191" s="2" t="str">
        <x:v>3215</x:v>
      </x:c>
      <x:c r="E191" s="2" t="str">
        <x:v>衣川水沢線</x:v>
      </x:c>
      <x:c r="F191" s="2" t="str">
        <x:v>奥州市水沢区福原</x:v>
      </x:c>
      <x:c r="G191" s="2" t="str">
        <x:v>奥州市水沢区福原</x:v>
      </x:c>
      <x:c r="H191" s="2" t="str">
        <x:v>観測</x:v>
      </x:c>
      <x:c r="I191" s="2" t="str">
        <x:v>観測</x:v>
      </x:c>
      <x:c r="J191" s="2" t="str">
        <x:v>12時間</x:v>
      </x:c>
      <x:c r="K191" s="2" t="str">
        <x:v>12時間</x:v>
      </x:c>
      <x:c r="L191" s="2" t="str">
        <x:v>20211005</x:v>
      </x:c>
      <x:c r="M191" s="2" t="str">
        <x:v>20211005</x:v>
      </x:c>
      <x:c r="N191" s="8" t="n">
        <x:v>4963</x:v>
      </x:c>
      <x:c r="O191" s="8" t="n">
        <x:v>205</x:v>
      </x:c>
      <x:c r="P191" s="8" t="n">
        <x:v>5168</x:v>
      </x:c>
      <x:c r="Q191" s="8" t="n">
        <x:v>5777</x:v>
      </x:c>
      <x:c r="R191" s="8" t="n">
        <x:v>580</x:v>
      </x:c>
      <x:c r="S191" s="8" t="n">
        <x:v>6357</x:v>
      </x:c>
      <x:c r="T191" s="11" t="n">
        <x:v>4</x:v>
      </x:c>
      <x:c r="U191" s="2" t="n">
        <x:v>2021</x:v>
      </x:c>
      <x:c r="V191" s="2" t="str">
        <x:v>https://www.mlit.go.jp/road/census/r3/data/csv/kasyo03.csv</x:v>
      </x:c>
      <x:c r="W191" s="2" t="n">
        <x:v>1425</x:v>
      </x:c>
    </x:row>
    <x:row r="192" ht="21" customHeight="1">
      <x:c r="A192" s="7" t="str">
        <x:v>岩手：奥州市</x:v>
      </x:c>
      <x:c r="B192" s="2" t="str">
        <x:v>3602360030</x:v>
      </x:c>
      <x:c r="C192" s="2" t="str">
        <x:v>3000_61640</x:v>
      </x:c>
      <x:c r="D192" s="2" t="str">
        <x:v>3215</x:v>
      </x:c>
      <x:c r="E192" s="2" t="str">
        <x:v>衣川水沢線</x:v>
      </x:c>
      <x:c r="F192" s="2" t="str">
        <x:v>奥州市水沢区福原</x:v>
      </x:c>
      <x:c r="G192" s="2" t="str">
        <x:v>奥州市水沢区福原</x:v>
      </x:c>
      <x:c r="H192" s="2" t="str">
        <x:v>観測</x:v>
      </x:c>
      <x:c r="I192" s="2" t="str">
        <x:v>観測</x:v>
      </x:c>
      <x:c r="J192" s="2" t="str">
        <x:v>12時間</x:v>
      </x:c>
      <x:c r="K192" s="2" t="str">
        <x:v>12時間</x:v>
      </x:c>
      <x:c r="L192" s="2" t="str">
        <x:v>20211005</x:v>
      </x:c>
      <x:c r="M192" s="2" t="str">
        <x:v>20211005</x:v>
      </x:c>
      <x:c r="N192" s="8" t="n">
        <x:v>4963</x:v>
      </x:c>
      <x:c r="O192" s="8" t="n">
        <x:v>205</x:v>
      </x:c>
      <x:c r="P192" s="8" t="n">
        <x:v>5168</x:v>
      </x:c>
      <x:c r="Q192" s="8" t="n">
        <x:v>5777</x:v>
      </x:c>
      <x:c r="R192" s="8" t="n">
        <x:v>580</x:v>
      </x:c>
      <x:c r="S192" s="8" t="n">
        <x:v>6357</x:v>
      </x:c>
      <x:c r="T192" s="11" t="n">
        <x:v>4</x:v>
      </x:c>
      <x:c r="U192" s="2" t="n">
        <x:v>2021</x:v>
      </x:c>
      <x:c r="V192" s="2" t="str">
        <x:v>https://www.mlit.go.jp/road/census/r3/data/csv/kasyo03.csv</x:v>
      </x:c>
      <x:c r="W192" s="2" t="n">
        <x:v>1426</x:v>
      </x:c>
    </x:row>
    <x:row r="193" ht="21" customHeight="1">
      <x:c r="A193" s="7" t="str">
        <x:v>岩手：奥州市</x:v>
      </x:c>
      <x:c r="B193" s="2" t="str">
        <x:v>3602880050</x:v>
      </x:c>
      <x:c r="C193" s="2" t="str">
        <x:v>3000_61650</x:v>
      </x:c>
      <x:c r="D193" s="2" t="str">
        <x:v>3215</x:v>
      </x:c>
      <x:c r="E193" s="2" t="str">
        <x:v>衣川水沢線（旧　北上水沢線）</x:v>
      </x:c>
      <x:c r="F193" s="2" t="str">
        <x:v>奥州市水沢区佐倉河大手町</x:v>
      </x:c>
      <x:c r="G193" s="2" t="str">
        <x:v>奥州市水沢区佐倉河大手町</x:v>
      </x:c>
      <x:c r="H193" s="2" t="str">
        <x:v>観測</x:v>
      </x:c>
      <x:c r="I193" s="2" t="str">
        <x:v>観測</x:v>
      </x:c>
      <x:c r="J193" s="2" t="str">
        <x:v>12時間</x:v>
      </x:c>
      <x:c r="K193" s="2" t="str">
        <x:v>12時間</x:v>
      </x:c>
      <x:c r="L193" s="2" t="str">
        <x:v>20211005</x:v>
      </x:c>
      <x:c r="M193" s="2" t="str">
        <x:v>20211005</x:v>
      </x:c>
      <x:c r="N193" s="8" t="n">
        <x:v>10275</x:v>
      </x:c>
      <x:c r="O193" s="8" t="n">
        <x:v>598</x:v>
      </x:c>
      <x:c r="P193" s="8" t="n">
        <x:v>10873</x:v>
      </x:c>
      <x:c r="Q193" s="8" t="n">
        <x:v>12329</x:v>
      </x:c>
      <x:c r="R193" s="8" t="n">
        <x:v>1154</x:v>
      </x:c>
      <x:c r="S193" s="8" t="n">
        <x:v>13483</x:v>
      </x:c>
      <x:c r="T193" s="11" t="n">
        <x:v>5.5</x:v>
      </x:c>
      <x:c r="U193" s="2" t="n">
        <x:v>2021</x:v>
      </x:c>
      <x:c r="V193" s="2" t="str">
        <x:v>https://www.mlit.go.jp/road/census/r3/data/csv/kasyo03.csv</x:v>
      </x:c>
      <x:c r="W193" s="2" t="n">
        <x:v>1427</x:v>
      </x:c>
    </x:row>
    <x:row r="194" ht="21" customHeight="1">
      <x:c r="A194" s="7" t="str">
        <x:v>岩手：奥州市</x:v>
      </x:c>
      <x:c r="B194" s="2" t="str">
        <x:v>3602350020</x:v>
      </x:c>
      <x:c r="C194" s="2" t="str">
        <x:v>3000_61655</x:v>
      </x:c>
      <x:c r="D194" s="2" t="str">
        <x:v>3215</x:v>
      </x:c>
      <x:c r="E194" s="2" t="str">
        <x:v>衣川水沢線（旧　永沢水沢線）</x:v>
      </x:c>
      <x:c r="F194" s="2" t="str">
        <x:v>奥州市水沢区佐倉河西関田２２－５</x:v>
      </x:c>
      <x:c r="G194" s="2" t="str">
        <x:v>奥州市水沢区佐倉河西関田22-5</x:v>
      </x:c>
      <x:c r="H194" s="2" t="str">
        <x:v>観測</x:v>
      </x:c>
      <x:c r="I194" s="2" t="str">
        <x:v>観測</x:v>
      </x:c>
      <x:c r="J194" s="2" t="str">
        <x:v>12時間</x:v>
      </x:c>
      <x:c r="K194" s="2" t="str">
        <x:v>12時間</x:v>
      </x:c>
      <x:c r="L194" s="2" t="str">
        <x:v>20211005</x:v>
      </x:c>
      <x:c r="M194" s="2" t="str">
        <x:v>20211005</x:v>
      </x:c>
      <x:c r="N194" s="8" t="n">
        <x:v>6690</x:v>
      </x:c>
      <x:c r="O194" s="8" t="n">
        <x:v>368</x:v>
      </x:c>
      <x:c r="P194" s="8" t="n">
        <x:v>7058</x:v>
      </x:c>
      <x:c r="Q194" s="8" t="n">
        <x:v>7821</x:v>
      </x:c>
      <x:c r="R194" s="8" t="n">
        <x:v>860</x:v>
      </x:c>
      <x:c r="S194" s="8" t="n">
        <x:v>8681</x:v>
      </x:c>
      <x:c r="T194" s="11" t="n">
        <x:v>5.2</x:v>
      </x:c>
      <x:c r="U194" s="2" t="n">
        <x:v>2021</x:v>
      </x:c>
      <x:c r="V194" s="2" t="str">
        <x:v>https://www.mlit.go.jp/road/census/r3/data/csv/kasyo03.csv</x:v>
      </x:c>
      <x:c r="W194" s="2" t="n">
        <x:v>1428</x:v>
      </x:c>
    </x:row>
    <x:row r="195" ht="21" customHeight="1">
      <x:c r="A195" s="7" t="str">
        <x:v>岩手：奥州市</x:v>
      </x:c>
      <x:c r="B195" s="2" t="str">
        <x:v>3602350100</x:v>
      </x:c>
      <x:c r="C195" s="2" t="str">
        <x:v>3000_61655</x:v>
      </x:c>
      <x:c r="D195" s="2" t="str">
        <x:v>3215</x:v>
      </x:c>
      <x:c r="E195" s="2" t="str">
        <x:v>衣川水沢線</x:v>
      </x:c>
      <x:c r="F195" s="2" t="str">
        <x:v>奥州市水沢区佐倉河西関田２２－５</x:v>
      </x:c>
      <x:c r="G195" s="2" t="str">
        <x:v>奥州市水沢区佐倉河西関田22-5</x:v>
      </x:c>
      <x:c r="H195" s="2" t="str">
        <x:v>観測</x:v>
      </x:c>
      <x:c r="I195" s="2" t="str">
        <x:v>観測</x:v>
      </x:c>
      <x:c r="J195" s="2" t="str">
        <x:v>12時間</x:v>
      </x:c>
      <x:c r="K195" s="2" t="str">
        <x:v>12時間</x:v>
      </x:c>
      <x:c r="L195" s="2" t="str">
        <x:v>20211005</x:v>
      </x:c>
      <x:c r="M195" s="2" t="str">
        <x:v>20211005</x:v>
      </x:c>
      <x:c r="N195" s="8" t="n">
        <x:v>6690</x:v>
      </x:c>
      <x:c r="O195" s="8" t="n">
        <x:v>368</x:v>
      </x:c>
      <x:c r="P195" s="8" t="n">
        <x:v>7058</x:v>
      </x:c>
      <x:c r="Q195" s="8" t="n">
        <x:v>7821</x:v>
      </x:c>
      <x:c r="R195" s="8" t="n">
        <x:v>860</x:v>
      </x:c>
      <x:c r="S195" s="8" t="n">
        <x:v>8681</x:v>
      </x:c>
      <x:c r="T195" s="11" t="n">
        <x:v>5.2</x:v>
      </x:c>
      <x:c r="U195" s="2" t="n">
        <x:v>2021</x:v>
      </x:c>
      <x:c r="V195" s="2" t="str">
        <x:v>https://www.mlit.go.jp/road/census/r3/data/csv/kasyo03.csv</x:v>
      </x:c>
      <x:c r="W195" s="2" t="n">
        <x:v>1429</x:v>
      </x:c>
    </x:row>
    <x:row r="196" ht="21" customHeight="1">
      <x:c r="A196" s="7" t="str">
        <x:v>岩手：奥州市</x:v>
      </x:c>
      <x:c r="B196" s="2" t="str">
        <x:v>3602370070</x:v>
      </x:c>
      <x:c r="C196" s="2" t="str">
        <x:v>3000_61670</x:v>
      </x:c>
      <x:c r="D196" s="2" t="str">
        <x:v>3215</x:v>
      </x:c>
      <x:c r="E196" s="2" t="str">
        <x:v>長坂束稲前沢線</x:v>
      </x:c>
      <x:c r="F196" s="2" t="str">
        <x:v>奥州市前沢区八幡</x:v>
      </x:c>
      <x:c r="G196" s="2" t="str">
        <x:v>奥州市前沢区八幡</x:v>
      </x:c>
      <x:c r="H196" s="2" t="str">
        <x:v>観測</x:v>
      </x:c>
      <x:c r="I196" s="2" t="str">
        <x:v>観測</x:v>
      </x:c>
      <x:c r="J196" s="2" t="str">
        <x:v>12時間</x:v>
      </x:c>
      <x:c r="K196" s="2" t="str">
        <x:v>12時間</x:v>
      </x:c>
      <x:c r="L196" s="2" t="str">
        <x:v>20211005</x:v>
      </x:c>
      <x:c r="M196" s="2" t="str">
        <x:v>20211005</x:v>
      </x:c>
      <x:c r="N196" s="8" t="n">
        <x:v>1793</x:v>
      </x:c>
      <x:c r="O196" s="8" t="n">
        <x:v>102</x:v>
      </x:c>
      <x:c r="P196" s="8" t="n">
        <x:v>1895</x:v>
      </x:c>
      <x:c r="Q196" s="8" t="n">
        <x:v>2073</x:v>
      </x:c>
      <x:c r="R196" s="8" t="n">
        <x:v>239</x:v>
      </x:c>
      <x:c r="S196" s="8" t="n">
        <x:v>2312</x:v>
      </x:c>
      <x:c r="T196" s="11" t="n">
        <x:v>5.4</x:v>
      </x:c>
      <x:c r="U196" s="2" t="n">
        <x:v>2021</x:v>
      </x:c>
      <x:c r="V196" s="2" t="str">
        <x:v>https://www.mlit.go.jp/road/census/r3/data/csv/kasyo03.csv</x:v>
      </x:c>
      <x:c r="W196" s="2" t="n">
        <x:v>1436</x:v>
      </x:c>
    </x:row>
    <x:row r="197" ht="21" customHeight="1">
      <x:c r="A197" s="7" t="str">
        <x:v>岩手：奥州市</x:v>
      </x:c>
      <x:c r="B197" s="2" t="str">
        <x:v>3602370090</x:v>
      </x:c>
      <x:c r="C197" s="2" t="str">
        <x:v>3000_61670</x:v>
      </x:c>
      <x:c r="D197" s="2" t="str">
        <x:v>3215</x:v>
      </x:c>
      <x:c r="E197" s="2" t="str">
        <x:v>長坂束稲前沢線</x:v>
      </x:c>
      <x:c r="F197" s="2" t="str">
        <x:v>奥州市前沢区八幡</x:v>
      </x:c>
      <x:c r="G197" s="2" t="str">
        <x:v>奥州市前沢区八幡</x:v>
      </x:c>
      <x:c r="H197" s="2" t="str">
        <x:v>観測</x:v>
      </x:c>
      <x:c r="I197" s="2" t="str">
        <x:v>観測</x:v>
      </x:c>
      <x:c r="J197" s="2" t="str">
        <x:v>12時間</x:v>
      </x:c>
      <x:c r="K197" s="2" t="str">
        <x:v>12時間</x:v>
      </x:c>
      <x:c r="L197" s="2" t="str">
        <x:v>20211005</x:v>
      </x:c>
      <x:c r="M197" s="2" t="str">
        <x:v>20211005</x:v>
      </x:c>
      <x:c r="N197" s="8" t="n">
        <x:v>1793</x:v>
      </x:c>
      <x:c r="O197" s="8" t="n">
        <x:v>102</x:v>
      </x:c>
      <x:c r="P197" s="8" t="n">
        <x:v>1895</x:v>
      </x:c>
      <x:c r="Q197" s="8" t="n">
        <x:v>2073</x:v>
      </x:c>
      <x:c r="R197" s="8" t="n">
        <x:v>239</x:v>
      </x:c>
      <x:c r="S197" s="8" t="n">
        <x:v>2312</x:v>
      </x:c>
      <x:c r="T197" s="11" t="n">
        <x:v>5.4</x:v>
      </x:c>
      <x:c r="U197" s="2" t="n">
        <x:v>2021</x:v>
      </x:c>
      <x:c r="V197" s="2" t="str">
        <x:v>https://www.mlit.go.jp/road/census/r3/data/csv/kasyo03.csv</x:v>
      </x:c>
      <x:c r="W197" s="2" t="n">
        <x:v>1438</x:v>
      </x:c>
    </x:row>
    <x:row r="198" ht="21" customHeight="1">
      <x:c r="A198" s="7" t="str">
        <x:v>岩手：奥州市</x:v>
      </x:c>
      <x:c r="B198" s="2" t="str">
        <x:v>3602370180</x:v>
      </x:c>
      <x:c r="C198" s="2" t="str">
        <x:v>3000_61670</x:v>
      </x:c>
      <x:c r="D198" s="2" t="str">
        <x:v>3215</x:v>
      </x:c>
      <x:c r="E198" s="2" t="str">
        <x:v>長坂束稲前沢線</x:v>
      </x:c>
      <x:c r="F198" s="2" t="str">
        <x:v>奥州市前沢区八幡</x:v>
      </x:c>
      <x:c r="G198" s="2" t="str">
        <x:v>奥州市前沢区八幡</x:v>
      </x:c>
      <x:c r="H198" s="2" t="str">
        <x:v>観測</x:v>
      </x:c>
      <x:c r="I198" s="2" t="str">
        <x:v>観測</x:v>
      </x:c>
      <x:c r="J198" s="2" t="str">
        <x:v>12時間</x:v>
      </x:c>
      <x:c r="K198" s="2" t="str">
        <x:v>12時間</x:v>
      </x:c>
      <x:c r="L198" s="2" t="str">
        <x:v>20211005</x:v>
      </x:c>
      <x:c r="M198" s="2" t="str">
        <x:v>20211005</x:v>
      </x:c>
      <x:c r="N198" s="8" t="n">
        <x:v>1793</x:v>
      </x:c>
      <x:c r="O198" s="8" t="n">
        <x:v>102</x:v>
      </x:c>
      <x:c r="P198" s="8" t="n">
        <x:v>1895</x:v>
      </x:c>
      <x:c r="Q198" s="8" t="n">
        <x:v>2073</x:v>
      </x:c>
      <x:c r="R198" s="8" t="n">
        <x:v>239</x:v>
      </x:c>
      <x:c r="S198" s="8" t="n">
        <x:v>2312</x:v>
      </x:c>
      <x:c r="T198" s="11" t="n">
        <x:v>5.4</x:v>
      </x:c>
      <x:c r="U198" s="2" t="n">
        <x:v>2021</x:v>
      </x:c>
      <x:c r="V198" s="2" t="str">
        <x:v>https://www.mlit.go.jp/road/census/r3/data/csv/kasyo03.csv</x:v>
      </x:c>
      <x:c r="W198" s="2" t="n">
        <x:v>1439</x:v>
      </x:c>
    </x:row>
    <x:row r="199" ht="21" customHeight="1">
      <x:c r="A199" s="7" t="str">
        <x:v>岩手：奥州市</x:v>
      </x:c>
      <x:c r="B199" s="2" t="str">
        <x:v>3602370105</x:v>
      </x:c>
      <x:c r="C199" s="2" t="str">
        <x:v>3000_61670</x:v>
      </x:c>
      <x:c r="D199" s="2" t="str">
        <x:v>3215</x:v>
      </x:c>
      <x:c r="E199" s="2" t="str">
        <x:v>長坂束稲前沢線</x:v>
      </x:c>
      <x:c r="F199" s="2" t="str">
        <x:v>奥州市前沢区八幡</x:v>
      </x:c>
      <x:c r="G199" s="2" t="str">
        <x:v>奥州市前沢区八幡</x:v>
      </x:c>
      <x:c r="H199" s="2" t="str">
        <x:v>観測</x:v>
      </x:c>
      <x:c r="I199" s="2" t="str">
        <x:v>観測</x:v>
      </x:c>
      <x:c r="J199" s="2" t="str">
        <x:v>12時間</x:v>
      </x:c>
      <x:c r="K199" s="2" t="str">
        <x:v>12時間</x:v>
      </x:c>
      <x:c r="L199" s="2" t="str">
        <x:v>20211005</x:v>
      </x:c>
      <x:c r="M199" s="2" t="str">
        <x:v>20211005</x:v>
      </x:c>
      <x:c r="N199" s="8" t="n">
        <x:v>1793</x:v>
      </x:c>
      <x:c r="O199" s="8" t="n">
        <x:v>102</x:v>
      </x:c>
      <x:c r="P199" s="8" t="n">
        <x:v>1895</x:v>
      </x:c>
      <x:c r="Q199" s="8" t="n">
        <x:v>2073</x:v>
      </x:c>
      <x:c r="R199" s="8" t="n">
        <x:v>239</x:v>
      </x:c>
      <x:c r="S199" s="8" t="n">
        <x:v>2312</x:v>
      </x:c>
      <x:c r="T199" s="11" t="n">
        <x:v>5.4</x:v>
      </x:c>
      <x:c r="U199" s="2" t="n">
        <x:v>2021</x:v>
      </x:c>
      <x:c r="V199" s="2" t="str">
        <x:v>https://www.mlit.go.jp/road/census/r3/data/csv/kasyo03.csv</x:v>
      </x:c>
      <x:c r="W199" s="2" t="n">
        <x:v>1440</x:v>
      </x:c>
    </x:row>
    <x:row r="200" ht="21" customHeight="1">
      <x:c r="A200" s="7" t="str">
        <x:v>岩手：奥州市</x:v>
      </x:c>
      <x:c r="B200" s="2" t="str">
        <x:v>3602370110</x:v>
      </x:c>
      <x:c r="C200" s="2" t="str">
        <x:v>3000_61670</x:v>
      </x:c>
      <x:c r="D200" s="2" t="str">
        <x:v>3215</x:v>
      </x:c>
      <x:c r="E200" s="2" t="str">
        <x:v>長坂束稲前沢線</x:v>
      </x:c>
      <x:c r="F200" s="2" t="str">
        <x:v>奥州市前沢区八幡</x:v>
      </x:c>
      <x:c r="G200" s="2" t="str">
        <x:v>奥州市前沢区八幡</x:v>
      </x:c>
      <x:c r="H200" s="2" t="str">
        <x:v>観測</x:v>
      </x:c>
      <x:c r="I200" s="2" t="str">
        <x:v>観測</x:v>
      </x:c>
      <x:c r="J200" s="2" t="str">
        <x:v>12時間</x:v>
      </x:c>
      <x:c r="K200" s="2" t="str">
        <x:v>12時間</x:v>
      </x:c>
      <x:c r="L200" s="2" t="str">
        <x:v>20211005</x:v>
      </x:c>
      <x:c r="M200" s="2" t="str">
        <x:v>20211005</x:v>
      </x:c>
      <x:c r="N200" s="8" t="n">
        <x:v>1793</x:v>
      </x:c>
      <x:c r="O200" s="8" t="n">
        <x:v>102</x:v>
      </x:c>
      <x:c r="P200" s="8" t="n">
        <x:v>1895</x:v>
      </x:c>
      <x:c r="Q200" s="8" t="n">
        <x:v>2073</x:v>
      </x:c>
      <x:c r="R200" s="8" t="n">
        <x:v>239</x:v>
      </x:c>
      <x:c r="S200" s="8" t="n">
        <x:v>2312</x:v>
      </x:c>
      <x:c r="T200" s="11" t="n">
        <x:v>5.4</x:v>
      </x:c>
      <x:c r="U200" s="2" t="n">
        <x:v>2021</x:v>
      </x:c>
      <x:c r="V200" s="2" t="str">
        <x:v>https://www.mlit.go.jp/road/census/r3/data/csv/kasyo03.csv</x:v>
      </x:c>
      <x:c r="W200" s="2" t="n">
        <x:v>1441</x:v>
      </x:c>
    </x:row>
    <x:row r="201" ht="21" customHeight="1">
      <x:c r="A201" s="7" t="str">
        <x:v>岩手：奥州市</x:v>
      </x:c>
      <x:c r="B201" s="2" t="str">
        <x:v>3602370120</x:v>
      </x:c>
      <x:c r="C201" s="2" t="str">
        <x:v>3000_61670</x:v>
      </x:c>
      <x:c r="D201" s="2" t="str">
        <x:v>3215</x:v>
      </x:c>
      <x:c r="E201" s="2" t="str">
        <x:v>長坂束稲前沢線</x:v>
      </x:c>
      <x:c r="F201" s="2" t="str">
        <x:v>奥州市前沢区八幡</x:v>
      </x:c>
      <x:c r="G201" s="2" t="str">
        <x:v>奥州市前沢区八幡</x:v>
      </x:c>
      <x:c r="H201" s="2" t="str">
        <x:v>観測</x:v>
      </x:c>
      <x:c r="I201" s="2" t="str">
        <x:v>観測</x:v>
      </x:c>
      <x:c r="J201" s="2" t="str">
        <x:v>12時間</x:v>
      </x:c>
      <x:c r="K201" s="2" t="str">
        <x:v>12時間</x:v>
      </x:c>
      <x:c r="L201" s="2" t="str">
        <x:v>20211005</x:v>
      </x:c>
      <x:c r="M201" s="2" t="str">
        <x:v>20211005</x:v>
      </x:c>
      <x:c r="N201" s="8" t="n">
        <x:v>1793</x:v>
      </x:c>
      <x:c r="O201" s="8" t="n">
        <x:v>102</x:v>
      </x:c>
      <x:c r="P201" s="8" t="n">
        <x:v>1895</x:v>
      </x:c>
      <x:c r="Q201" s="8" t="n">
        <x:v>2073</x:v>
      </x:c>
      <x:c r="R201" s="8" t="n">
        <x:v>239</x:v>
      </x:c>
      <x:c r="S201" s="8" t="n">
        <x:v>2312</x:v>
      </x:c>
      <x:c r="T201" s="11" t="n">
        <x:v>5.4</x:v>
      </x:c>
      <x:c r="U201" s="2" t="n">
        <x:v>2021</x:v>
      </x:c>
      <x:c r="V201" s="2" t="str">
        <x:v>https://www.mlit.go.jp/road/census/r3/data/csv/kasyo03.csv</x:v>
      </x:c>
      <x:c r="W201" s="2" t="n">
        <x:v>1442</x:v>
      </x:c>
    </x:row>
    <x:row r="202" ht="21" customHeight="1">
      <x:c r="A202" s="7" t="str">
        <x:v>岩手：奥州市</x:v>
      </x:c>
      <x:c r="B202" s="2" t="str">
        <x:v>3602370150</x:v>
      </x:c>
      <x:c r="C202" s="2" t="str">
        <x:v>3000_61680</x:v>
      </x:c>
      <x:c r="D202" s="2" t="str">
        <x:v>3215</x:v>
      </x:c>
      <x:c r="E202" s="2" t="str">
        <x:v>長坂束稲前沢線</x:v>
      </x:c>
      <x:c r="F202" s="2" t="str">
        <x:v>奥州市前沢区字照井舘</x:v>
      </x:c>
      <x:c r="G202" s="2" t="str">
        <x:v>奥州市前沢区字照井舘</x:v>
      </x:c>
      <x:c r="H202" s="2" t="str">
        <x:v>観測</x:v>
      </x:c>
      <x:c r="I202" s="2" t="str">
        <x:v>観測</x:v>
      </x:c>
      <x:c r="J202" s="2" t="str">
        <x:v>12時間</x:v>
      </x:c>
      <x:c r="K202" s="2" t="str">
        <x:v>12時間</x:v>
      </x:c>
      <x:c r="L202" s="2" t="str">
        <x:v>20211005</x:v>
      </x:c>
      <x:c r="M202" s="2" t="str">
        <x:v>20211005</x:v>
      </x:c>
      <x:c r="N202" s="8" t="n">
        <x:v>1118</x:v>
      </x:c>
      <x:c r="O202" s="8" t="n">
        <x:v>152</x:v>
      </x:c>
      <x:c r="P202" s="8" t="n">
        <x:v>1270</x:v>
      </x:c>
      <x:c r="Q202" s="8" t="n">
        <x:v>1281</x:v>
      </x:c>
      <x:c r="R202" s="8" t="n">
        <x:v>192</x:v>
      </x:c>
      <x:c r="S202" s="8" t="n">
        <x:v>1473</x:v>
      </x:c>
      <x:c r="T202" s="11" t="n">
        <x:v>12</x:v>
      </x:c>
      <x:c r="U202" s="2" t="n">
        <x:v>2021</x:v>
      </x:c>
      <x:c r="V202" s="2" t="str">
        <x:v>https://www.mlit.go.jp/road/census/r3/data/csv/kasyo03.csv</x:v>
      </x:c>
      <x:c r="W202" s="2" t="n">
        <x:v>1444</x:v>
      </x:c>
    </x:row>
    <x:row r="203" ht="21" customHeight="1">
      <x:c r="A203" s="7" t="str">
        <x:v>岩手：奥州市</x:v>
      </x:c>
      <x:c r="B203" s="2" t="str">
        <x:v>3602430010</x:v>
      </x:c>
      <x:c r="C203" s="2" t="str">
        <x:v>3000_61790</x:v>
      </x:c>
      <x:c r="D203" s="2" t="str">
        <x:v>3215</x:v>
      </x:c>
      <x:c r="E203" s="2" t="str">
        <x:v>新城馬口沢線</x:v>
      </x:c>
      <x:c r="F203" s="2" t="str">
        <x:v>奥州市前沢区五十人町</x:v>
      </x:c>
      <x:c r="G203" s="2" t="str">
        <x:v>奥州市前沢区五十人町</x:v>
      </x:c>
      <x:c r="H203" s="2" t="str">
        <x:v>観測</x:v>
      </x:c>
      <x:c r="I203" s="2" t="str">
        <x:v>観測</x:v>
      </x:c>
      <x:c r="J203" s="2" t="str">
        <x:v>12時間</x:v>
      </x:c>
      <x:c r="K203" s="2" t="str">
        <x:v>12時間</x:v>
      </x:c>
      <x:c r="L203" s="2" t="str">
        <x:v>20211005</x:v>
      </x:c>
      <x:c r="M203" s="2" t="str">
        <x:v>20211005</x:v>
      </x:c>
      <x:c r="N203" s="8" t="n">
        <x:v>3791</x:v>
      </x:c>
      <x:c r="O203" s="8" t="n">
        <x:v>247</x:v>
      </x:c>
      <x:c r="P203" s="8" t="n">
        <x:v>4038</x:v>
      </x:c>
      <x:c r="Q203" s="8" t="n">
        <x:v>4437</x:v>
      </x:c>
      <x:c r="R203" s="8" t="n">
        <x:v>530</x:v>
      </x:c>
      <x:c r="S203" s="8" t="n">
        <x:v>4967</x:v>
      </x:c>
      <x:c r="T203" s="11" t="n">
        <x:v>6.1</x:v>
      </x:c>
      <x:c r="U203" s="2" t="n">
        <x:v>2021</x:v>
      </x:c>
      <x:c r="V203" s="2" t="str">
        <x:v>https://www.mlit.go.jp/road/census/r3/data/csv/kasyo03.csv</x:v>
      </x:c>
      <x:c r="W203" s="2" t="n">
        <x:v>1462</x:v>
      </x:c>
    </x:row>
    <x:row r="204" ht="21" customHeight="1">
      <x:c r="A204" s="7" t="str">
        <x:v>岩手：奥州市</x:v>
      </x:c>
      <x:c r="B204" s="2" t="str">
        <x:v>3602430020</x:v>
      </x:c>
      <x:c r="C204" s="2" t="str">
        <x:v>3000_61790</x:v>
      </x:c>
      <x:c r="D204" s="2" t="str">
        <x:v>3215</x:v>
      </x:c>
      <x:c r="E204" s="2" t="str">
        <x:v>新城馬口沢線</x:v>
      </x:c>
      <x:c r="F204" s="2" t="str">
        <x:v>奥州市前沢区五十人町</x:v>
      </x:c>
      <x:c r="G204" s="2" t="str">
        <x:v>奥州市前沢区五十人町</x:v>
      </x:c>
      <x:c r="H204" s="2" t="str">
        <x:v>観測</x:v>
      </x:c>
      <x:c r="I204" s="2" t="str">
        <x:v>観測</x:v>
      </x:c>
      <x:c r="J204" s="2" t="str">
        <x:v>12時間</x:v>
      </x:c>
      <x:c r="K204" s="2" t="str">
        <x:v>12時間</x:v>
      </x:c>
      <x:c r="L204" s="2" t="str">
        <x:v>20211005</x:v>
      </x:c>
      <x:c r="M204" s="2" t="str">
        <x:v>20211005</x:v>
      </x:c>
      <x:c r="N204" s="8" t="n">
        <x:v>3791</x:v>
      </x:c>
      <x:c r="O204" s="8" t="n">
        <x:v>247</x:v>
      </x:c>
      <x:c r="P204" s="8" t="n">
        <x:v>4038</x:v>
      </x:c>
      <x:c r="Q204" s="8" t="n">
        <x:v>4437</x:v>
      </x:c>
      <x:c r="R204" s="8" t="n">
        <x:v>530</x:v>
      </x:c>
      <x:c r="S204" s="8" t="n">
        <x:v>4967</x:v>
      </x:c>
      <x:c r="T204" s="11" t="n">
        <x:v>6.1</x:v>
      </x:c>
      <x:c r="U204" s="2" t="n">
        <x:v>2021</x:v>
      </x:c>
      <x:c r="V204" s="2" t="str">
        <x:v>https://www.mlit.go.jp/road/census/r3/data/csv/kasyo03.csv</x:v>
      </x:c>
      <x:c r="W204" s="2" t="n">
        <x:v>1463</x:v>
      </x:c>
    </x:row>
    <x:row r="205" ht="21" customHeight="1">
      <x:c r="A205" s="7" t="str">
        <x:v>岩手：奥州市</x:v>
      </x:c>
      <x:c r="B205" s="2" t="str">
        <x:v>3602430030</x:v>
      </x:c>
      <x:c r="C205" s="2" t="str">
        <x:v>3000_61790</x:v>
      </x:c>
      <x:c r="D205" s="2" t="str">
        <x:v>3215</x:v>
      </x:c>
      <x:c r="E205" s="2" t="str">
        <x:v>新城馬口沢線</x:v>
      </x:c>
      <x:c r="F205" s="2" t="str">
        <x:v>奥州市前沢区五十人町</x:v>
      </x:c>
      <x:c r="G205" s="2" t="str">
        <x:v>奥州市前沢区五十人町</x:v>
      </x:c>
      <x:c r="H205" s="2" t="str">
        <x:v>観測</x:v>
      </x:c>
      <x:c r="I205" s="2" t="str">
        <x:v>観測</x:v>
      </x:c>
      <x:c r="J205" s="2" t="str">
        <x:v>12時間</x:v>
      </x:c>
      <x:c r="K205" s="2" t="str">
        <x:v>12時間</x:v>
      </x:c>
      <x:c r="L205" s="2" t="str">
        <x:v>20211005</x:v>
      </x:c>
      <x:c r="M205" s="2" t="str">
        <x:v>20211005</x:v>
      </x:c>
      <x:c r="N205" s="8" t="n">
        <x:v>3791</x:v>
      </x:c>
      <x:c r="O205" s="8" t="n">
        <x:v>247</x:v>
      </x:c>
      <x:c r="P205" s="8" t="n">
        <x:v>4038</x:v>
      </x:c>
      <x:c r="Q205" s="8" t="n">
        <x:v>4437</x:v>
      </x:c>
      <x:c r="R205" s="8" t="n">
        <x:v>530</x:v>
      </x:c>
      <x:c r="S205" s="8" t="n">
        <x:v>4967</x:v>
      </x:c>
      <x:c r="T205" s="11" t="n">
        <x:v>6.1</x:v>
      </x:c>
      <x:c r="U205" s="2" t="n">
        <x:v>2021</x:v>
      </x:c>
      <x:c r="V205" s="2" t="str">
        <x:v>https://www.mlit.go.jp/road/census/r3/data/csv/kasyo03.csv</x:v>
      </x:c>
      <x:c r="W205" s="2" t="n">
        <x:v>1464</x:v>
      </x:c>
    </x:row>
    <x:row r="206" ht="21" customHeight="1">
      <x:c r="A206" s="7" t="str">
        <x:v>岩手：奥州市</x:v>
      </x:c>
      <x:c r="B206" s="2" t="str">
        <x:v>3602430040</x:v>
      </x:c>
      <x:c r="C206" s="2" t="str">
        <x:v>3000_61790</x:v>
      </x:c>
      <x:c r="D206" s="2" t="str">
        <x:v>3215</x:v>
      </x:c>
      <x:c r="E206" s="2" t="str">
        <x:v>新城馬口沢線</x:v>
      </x:c>
      <x:c r="F206" s="2" t="str">
        <x:v>奥州市前沢区五十人町</x:v>
      </x:c>
      <x:c r="G206" s="2" t="str">
        <x:v>奥州市前沢区五十人町</x:v>
      </x:c>
      <x:c r="H206" s="2" t="str">
        <x:v>観測</x:v>
      </x:c>
      <x:c r="I206" s="2" t="str">
        <x:v>観測</x:v>
      </x:c>
      <x:c r="J206" s="2" t="str">
        <x:v>12時間</x:v>
      </x:c>
      <x:c r="K206" s="2" t="str">
        <x:v>12時間</x:v>
      </x:c>
      <x:c r="L206" s="2" t="str">
        <x:v>20211005</x:v>
      </x:c>
      <x:c r="M206" s="2" t="str">
        <x:v>20211005</x:v>
      </x:c>
      <x:c r="N206" s="8" t="n">
        <x:v>3791</x:v>
      </x:c>
      <x:c r="O206" s="8" t="n">
        <x:v>247</x:v>
      </x:c>
      <x:c r="P206" s="8" t="n">
        <x:v>4038</x:v>
      </x:c>
      <x:c r="Q206" s="8" t="n">
        <x:v>4437</x:v>
      </x:c>
      <x:c r="R206" s="8" t="n">
        <x:v>530</x:v>
      </x:c>
      <x:c r="S206" s="8" t="n">
        <x:v>4967</x:v>
      </x:c>
      <x:c r="T206" s="11" t="n">
        <x:v>6.1</x:v>
      </x:c>
      <x:c r="U206" s="2" t="n">
        <x:v>2021</x:v>
      </x:c>
      <x:c r="V206" s="2" t="str">
        <x:v>https://www.mlit.go.jp/road/census/r3/data/csv/kasyo03.csv</x:v>
      </x:c>
      <x:c r="W206" s="2" t="n">
        <x:v>1465</x:v>
      </x:c>
    </x:row>
    <x:row r="207" ht="21" customHeight="1">
      <x:c r="A207" s="7" t="str">
        <x:v>岩手：奥州市</x:v>
      </x:c>
      <x:c r="B207" s="2" t="str">
        <x:v>3602510010</x:v>
      </x:c>
      <x:c r="C207" s="2" t="str">
        <x:v>3000_61880</x:v>
      </x:c>
      <x:c r="D207" s="2" t="str">
        <x:v>3215</x:v>
      </x:c>
      <x:c r="E207" s="2" t="str">
        <x:v>玉里水沢線</x:v>
      </x:c>
      <x:c r="F207" s="2" t="str">
        <x:v>奥州市水沢区佐倉河字四丑</x:v>
      </x:c>
      <x:c r="G207" s="2" t="str">
        <x:v>奥州市水沢区佐倉河字四丑</x:v>
      </x:c>
      <x:c r="H207" s="2" t="str">
        <x:v>観測</x:v>
      </x:c>
      <x:c r="I207" s="2" t="str">
        <x:v>観測</x:v>
      </x:c>
      <x:c r="J207" s="2" t="str">
        <x:v>12時間</x:v>
      </x:c>
      <x:c r="K207" s="2" t="str">
        <x:v>12時間</x:v>
      </x:c>
      <x:c r="L207" s="2" t="str">
        <x:v>20211005</x:v>
      </x:c>
      <x:c r="M207" s="2" t="str">
        <x:v>20211005</x:v>
      </x:c>
      <x:c r="N207" s="8" t="n">
        <x:v>8409</x:v>
      </x:c>
      <x:c r="O207" s="8" t="n">
        <x:v>707</x:v>
      </x:c>
      <x:c r="P207" s="8" t="n">
        <x:v>9116</x:v>
      </x:c>
      <x:c r="Q207" s="8" t="n">
        <x:v>10063</x:v>
      </x:c>
      <x:c r="R207" s="8" t="n">
        <x:v>1241</x:v>
      </x:c>
      <x:c r="S207" s="8" t="n">
        <x:v>11304</x:v>
      </x:c>
      <x:c r="T207" s="11" t="n">
        <x:v>7.8</x:v>
      </x:c>
      <x:c r="U207" s="2" t="n">
        <x:v>2021</x:v>
      </x:c>
      <x:c r="V207" s="2" t="str">
        <x:v>https://www.mlit.go.jp/road/census/r3/data/csv/kasyo03.csv</x:v>
      </x:c>
      <x:c r="W207" s="2" t="n">
        <x:v>1477</x:v>
      </x:c>
    </x:row>
    <x:row r="208" ht="21" customHeight="1">
      <x:c r="A208" s="7" t="str">
        <x:v>岩手：奥州市</x:v>
      </x:c>
      <x:c r="B208" s="2" t="str">
        <x:v>3602510020</x:v>
      </x:c>
      <x:c r="C208" s="2" t="str">
        <x:v>3000_61880</x:v>
      </x:c>
      <x:c r="D208" s="2" t="str">
        <x:v>3215</x:v>
      </x:c>
      <x:c r="E208" s="2" t="str">
        <x:v>玉里水沢線</x:v>
      </x:c>
      <x:c r="F208" s="2" t="str">
        <x:v>奥州市水沢区佐倉河字四丑</x:v>
      </x:c>
      <x:c r="G208" s="2" t="str">
        <x:v>奥州市水沢区佐倉河字四丑</x:v>
      </x:c>
      <x:c r="H208" s="2" t="str">
        <x:v>観測</x:v>
      </x:c>
      <x:c r="I208" s="2" t="str">
        <x:v>観測</x:v>
      </x:c>
      <x:c r="J208" s="2" t="str">
        <x:v>12時間</x:v>
      </x:c>
      <x:c r="K208" s="2" t="str">
        <x:v>12時間</x:v>
      </x:c>
      <x:c r="L208" s="2" t="str">
        <x:v>20211005</x:v>
      </x:c>
      <x:c r="M208" s="2" t="str">
        <x:v>20211005</x:v>
      </x:c>
      <x:c r="N208" s="8" t="n">
        <x:v>8409</x:v>
      </x:c>
      <x:c r="O208" s="8" t="n">
        <x:v>707</x:v>
      </x:c>
      <x:c r="P208" s="8" t="n">
        <x:v>9116</x:v>
      </x:c>
      <x:c r="Q208" s="8" t="n">
        <x:v>10063</x:v>
      </x:c>
      <x:c r="R208" s="8" t="n">
        <x:v>1241</x:v>
      </x:c>
      <x:c r="S208" s="8" t="n">
        <x:v>11304</x:v>
      </x:c>
      <x:c r="T208" s="11" t="n">
        <x:v>7.8</x:v>
      </x:c>
      <x:c r="U208" s="2" t="n">
        <x:v>2021</x:v>
      </x:c>
      <x:c r="V208" s="2" t="str">
        <x:v>https://www.mlit.go.jp/road/census/r3/data/csv/kasyo03.csv</x:v>
      </x:c>
      <x:c r="W208" s="2" t="n">
        <x:v>1478</x:v>
      </x:c>
    </x:row>
    <x:row r="209" ht="21" customHeight="1">
      <x:c r="A209" s="7" t="str">
        <x:v>岩手：奥州市</x:v>
      </x:c>
      <x:c r="B209" s="2" t="str">
        <x:v>3602510030</x:v>
      </x:c>
      <x:c r="C209" s="2" t="str">
        <x:v>3000_61880</x:v>
      </x:c>
      <x:c r="D209" s="2" t="str">
        <x:v>3215</x:v>
      </x:c>
      <x:c r="E209" s="2" t="str">
        <x:v>玉里水沢線</x:v>
      </x:c>
      <x:c r="F209" s="2" t="str">
        <x:v>奥州市水沢区佐倉河字四丑</x:v>
      </x:c>
      <x:c r="G209" s="2" t="str">
        <x:v>奥州市水沢区佐倉河字四丑</x:v>
      </x:c>
      <x:c r="H209" s="2" t="str">
        <x:v>観測</x:v>
      </x:c>
      <x:c r="I209" s="2" t="str">
        <x:v>観測</x:v>
      </x:c>
      <x:c r="J209" s="2" t="str">
        <x:v>12時間</x:v>
      </x:c>
      <x:c r="K209" s="2" t="str">
        <x:v>12時間</x:v>
      </x:c>
      <x:c r="L209" s="2" t="str">
        <x:v>20211005</x:v>
      </x:c>
      <x:c r="M209" s="2" t="str">
        <x:v>20211005</x:v>
      </x:c>
      <x:c r="N209" s="8" t="n">
        <x:v>8409</x:v>
      </x:c>
      <x:c r="O209" s="8" t="n">
        <x:v>707</x:v>
      </x:c>
      <x:c r="P209" s="8" t="n">
        <x:v>9116</x:v>
      </x:c>
      <x:c r="Q209" s="8" t="n">
        <x:v>10063</x:v>
      </x:c>
      <x:c r="R209" s="8" t="n">
        <x:v>1241</x:v>
      </x:c>
      <x:c r="S209" s="8" t="n">
        <x:v>11304</x:v>
      </x:c>
      <x:c r="T209" s="11" t="n">
        <x:v>7.8</x:v>
      </x:c>
      <x:c r="U209" s="2" t="n">
        <x:v>2021</x:v>
      </x:c>
      <x:c r="V209" s="2" t="str">
        <x:v>https://www.mlit.go.jp/road/census/r3/data/csv/kasyo03.csv</x:v>
      </x:c>
      <x:c r="W209" s="2" t="n">
        <x:v>1479</x:v>
      </x:c>
    </x:row>
    <x:row r="210" ht="21" customHeight="1">
      <x:c r="A210" s="7" t="str">
        <x:v>岩手：奥州市</x:v>
      </x:c>
      <x:c r="B210" s="2" t="str">
        <x:v>3602510040</x:v>
      </x:c>
      <x:c r="C210" s="2" t="str">
        <x:v>3000_61880</x:v>
      </x:c>
      <x:c r="D210" s="2" t="str">
        <x:v>3215</x:v>
      </x:c>
      <x:c r="E210" s="2" t="str">
        <x:v>玉里水沢線</x:v>
      </x:c>
      <x:c r="F210" s="2" t="str">
        <x:v>奥州市水沢区佐倉河字四丑</x:v>
      </x:c>
      <x:c r="G210" s="2" t="str">
        <x:v>奥州市水沢区佐倉河字四丑</x:v>
      </x:c>
      <x:c r="H210" s="2" t="str">
        <x:v>観測</x:v>
      </x:c>
      <x:c r="I210" s="2" t="str">
        <x:v>観測</x:v>
      </x:c>
      <x:c r="J210" s="2" t="str">
        <x:v>12時間</x:v>
      </x:c>
      <x:c r="K210" s="2" t="str">
        <x:v>12時間</x:v>
      </x:c>
      <x:c r="L210" s="2" t="str">
        <x:v>20211005</x:v>
      </x:c>
      <x:c r="M210" s="2" t="str">
        <x:v>20211005</x:v>
      </x:c>
      <x:c r="N210" s="8" t="n">
        <x:v>8409</x:v>
      </x:c>
      <x:c r="O210" s="8" t="n">
        <x:v>707</x:v>
      </x:c>
      <x:c r="P210" s="8" t="n">
        <x:v>9116</x:v>
      </x:c>
      <x:c r="Q210" s="8" t="n">
        <x:v>10063</x:v>
      </x:c>
      <x:c r="R210" s="8" t="n">
        <x:v>1241</x:v>
      </x:c>
      <x:c r="S210" s="8" t="n">
        <x:v>11304</x:v>
      </x:c>
      <x:c r="T210" s="11" t="n">
        <x:v>7.8</x:v>
      </x:c>
      <x:c r="U210" s="2" t="n">
        <x:v>2021</x:v>
      </x:c>
      <x:c r="V210" s="2" t="str">
        <x:v>https://www.mlit.go.jp/road/census/r3/data/csv/kasyo03.csv</x:v>
      </x:c>
      <x:c r="W210" s="2" t="n">
        <x:v>1480</x:v>
      </x:c>
    </x:row>
    <x:row r="211" ht="21" customHeight="1">
      <x:c r="A211" s="7" t="str">
        <x:v>岩手：奥州市</x:v>
      </x:c>
      <x:c r="B211" s="2" t="str">
        <x:v>3602510050</x:v>
      </x:c>
      <x:c r="C211" s="2" t="str">
        <x:v>3000_61880</x:v>
      </x:c>
      <x:c r="D211" s="2" t="str">
        <x:v>3215</x:v>
      </x:c>
      <x:c r="E211" s="2" t="str">
        <x:v>玉里水沢線</x:v>
      </x:c>
      <x:c r="F211" s="2" t="str">
        <x:v>奥州市水沢区佐倉河字四丑</x:v>
      </x:c>
      <x:c r="G211" s="2" t="str">
        <x:v>奥州市水沢区佐倉河字四丑</x:v>
      </x:c>
      <x:c r="H211" s="2" t="str">
        <x:v>観測</x:v>
      </x:c>
      <x:c r="I211" s="2" t="str">
        <x:v>観測</x:v>
      </x:c>
      <x:c r="J211" s="2" t="str">
        <x:v>12時間</x:v>
      </x:c>
      <x:c r="K211" s="2" t="str">
        <x:v>12時間</x:v>
      </x:c>
      <x:c r="L211" s="2" t="str">
        <x:v>20211005</x:v>
      </x:c>
      <x:c r="M211" s="2" t="str">
        <x:v>20211005</x:v>
      </x:c>
      <x:c r="N211" s="8" t="n">
        <x:v>8409</x:v>
      </x:c>
      <x:c r="O211" s="8" t="n">
        <x:v>707</x:v>
      </x:c>
      <x:c r="P211" s="8" t="n">
        <x:v>9116</x:v>
      </x:c>
      <x:c r="Q211" s="8" t="n">
        <x:v>10063</x:v>
      </x:c>
      <x:c r="R211" s="8" t="n">
        <x:v>1241</x:v>
      </x:c>
      <x:c r="S211" s="8" t="n">
        <x:v>11304</x:v>
      </x:c>
      <x:c r="T211" s="11" t="n">
        <x:v>7.8</x:v>
      </x:c>
      <x:c r="U211" s="2" t="n">
        <x:v>2021</x:v>
      </x:c>
      <x:c r="V211" s="2" t="str">
        <x:v>https://www.mlit.go.jp/road/census/r3/data/csv/kasyo03.csv</x:v>
      </x:c>
      <x:c r="W211" s="2" t="n">
        <x:v>1481</x:v>
      </x:c>
    </x:row>
    <x:row r="212" ht="21" customHeight="1">
      <x:c r="A212" s="7" t="str">
        <x:v>岩手：奥州市</x:v>
      </x:c>
      <x:c r="B212" s="2" t="str">
        <x:v>3602550010</x:v>
      </x:c>
      <x:c r="C212" s="2" t="str">
        <x:v>3000_61940</x:v>
      </x:c>
      <x:c r="D212" s="2" t="str">
        <x:v>3215</x:v>
      </x:c>
      <x:c r="E212" s="2" t="str">
        <x:v>広瀬三ヶ尻線</x:v>
      </x:c>
      <x:c r="F212" s="2" t="str">
        <x:v>奥州市江刺区稲瀬字水先</x:v>
      </x:c>
      <x:c r="G212" s="2" t="str">
        <x:v>奥州市江刺区稲瀬字水先</x:v>
      </x:c>
      <x:c r="H212" s="2" t="str">
        <x:v>観測</x:v>
      </x:c>
      <x:c r="I212" s="2" t="str">
        <x:v>観測</x:v>
      </x:c>
      <x:c r="J212" s="2" t="str">
        <x:v>12時間</x:v>
      </x:c>
      <x:c r="K212" s="2" t="str">
        <x:v>12時間</x:v>
      </x:c>
      <x:c r="L212" s="2" t="str">
        <x:v>20210930</x:v>
      </x:c>
      <x:c r="M212" s="2" t="str">
        <x:v>20210930</x:v>
      </x:c>
      <x:c r="N212" s="8" t="n">
        <x:v>3576</x:v>
      </x:c>
      <x:c r="O212" s="8" t="n">
        <x:v>749</x:v>
      </x:c>
      <x:c r="P212" s="8" t="n">
        <x:v>4325</x:v>
      </x:c>
      <x:c r="Q212" s="8" t="n">
        <x:v>4211</x:v>
      </x:c>
      <x:c r="R212" s="8" t="n">
        <x:v>1022</x:v>
      </x:c>
      <x:c r="S212" s="8" t="n">
        <x:v>5233</x:v>
      </x:c>
      <x:c r="T212" s="11" t="n">
        <x:v>17.3</x:v>
      </x:c>
      <x:c r="U212" s="2" t="n">
        <x:v>2021</x:v>
      </x:c>
      <x:c r="V212" s="2" t="str">
        <x:v>https://www.mlit.go.jp/road/census/r3/data/csv/kasyo03.csv</x:v>
      </x:c>
      <x:c r="W212" s="2" t="n">
        <x:v>1491</x:v>
      </x:c>
    </x:row>
    <x:row r="213" ht="21" customHeight="1">
      <x:c r="A213" s="7" t="str">
        <x:v>岩手：奥州市</x:v>
      </x:c>
      <x:c r="B213" s="2" t="str">
        <x:v>3602550020</x:v>
      </x:c>
      <x:c r="C213" s="2" t="str">
        <x:v>3000_61940</x:v>
      </x:c>
      <x:c r="D213" s="2" t="str">
        <x:v>3215</x:v>
      </x:c>
      <x:c r="E213" s="2" t="str">
        <x:v>広瀬三ヶ尻線</x:v>
      </x:c>
      <x:c r="F213" s="2" t="str">
        <x:v>奥州市江刺区稲瀬字水先</x:v>
      </x:c>
      <x:c r="G213" s="2" t="str">
        <x:v>奥州市江刺区稲瀬字水先</x:v>
      </x:c>
      <x:c r="H213" s="2" t="str">
        <x:v>観測</x:v>
      </x:c>
      <x:c r="I213" s="2" t="str">
        <x:v>観測</x:v>
      </x:c>
      <x:c r="J213" s="2" t="str">
        <x:v>12時間</x:v>
      </x:c>
      <x:c r="K213" s="2" t="str">
        <x:v>12時間</x:v>
      </x:c>
      <x:c r="L213" s="2" t="str">
        <x:v>20210930</x:v>
      </x:c>
      <x:c r="M213" s="2" t="str">
        <x:v>20210930</x:v>
      </x:c>
      <x:c r="N213" s="8" t="n">
        <x:v>3576</x:v>
      </x:c>
      <x:c r="O213" s="8" t="n">
        <x:v>749</x:v>
      </x:c>
      <x:c r="P213" s="8" t="n">
        <x:v>4325</x:v>
      </x:c>
      <x:c r="Q213" s="8" t="n">
        <x:v>4211</x:v>
      </x:c>
      <x:c r="R213" s="8" t="n">
        <x:v>1022</x:v>
      </x:c>
      <x:c r="S213" s="8" t="n">
        <x:v>5233</x:v>
      </x:c>
      <x:c r="T213" s="11" t="n">
        <x:v>17.3</x:v>
      </x:c>
      <x:c r="U213" s="2" t="n">
        <x:v>2021</x:v>
      </x:c>
      <x:c r="V213" s="2" t="str">
        <x:v>https://www.mlit.go.jp/road/census/r3/data/csv/kasyo03.csv</x:v>
      </x:c>
      <x:c r="W213" s="2" t="n">
        <x:v>1492</x:v>
      </x:c>
    </x:row>
    <x:row r="214" ht="21" customHeight="1">
      <x:c r="A214" s="7" t="str">
        <x:v>岩手：奥州市</x:v>
      </x:c>
      <x:c r="B214" s="2" t="str">
        <x:v>3602620020</x:v>
      </x:c>
      <x:c r="C214" s="2" t="str">
        <x:v>3000_62030</x:v>
      </x:c>
      <x:c r="D214" s="2" t="str">
        <x:v>3215</x:v>
      </x:c>
      <x:c r="E214" s="2" t="str">
        <x:v>沖田田原線</x:v>
      </x:c>
      <x:c r="F214" s="2" t="str">
        <x:v>一関市大東町丑石</x:v>
      </x:c>
      <x:c r="G214" s="2" t="str">
        <x:v>一関市大東町丑石</x:v>
      </x:c>
      <x:c r="H214" s="2" t="str">
        <x:v>観測</x:v>
      </x:c>
      <x:c r="I214" s="2" t="str">
        <x:v>観測</x:v>
      </x:c>
      <x:c r="J214" s="2" t="str">
        <x:v>12時間</x:v>
      </x:c>
      <x:c r="K214" s="2" t="str">
        <x:v>12時間</x:v>
      </x:c>
      <x:c r="L214" s="2" t="str">
        <x:v>20211019</x:v>
      </x:c>
      <x:c r="M214" s="2" t="str">
        <x:v>20211019</x:v>
      </x:c>
      <x:c r="N214" s="8" t="n">
        <x:v>864</x:v>
      </x:c>
      <x:c r="O214" s="8" t="n">
        <x:v>62</x:v>
      </x:c>
      <x:c r="P214" s="8" t="n">
        <x:v>926</x:v>
      </x:c>
      <x:c r="Q214" s="8" t="n">
        <x:v>971</x:v>
      </x:c>
      <x:c r="R214" s="8" t="n">
        <x:v>85</x:v>
      </x:c>
      <x:c r="S214" s="8" t="n">
        <x:v>1056</x:v>
      </x:c>
      <x:c r="T214" s="11" t="n">
        <x:v>6.7</x:v>
      </x:c>
      <x:c r="U214" s="2" t="n">
        <x:v>2021</x:v>
      </x:c>
      <x:c r="V214" s="2" t="str">
        <x:v>https://www.mlit.go.jp/road/census/r3/data/csv/kasyo03.csv</x:v>
      </x:c>
      <x:c r="W214" s="2" t="n">
        <x:v>1510</x:v>
      </x:c>
    </x:row>
    <x:row r="215" ht="21" customHeight="1">
      <x:c r="A215" s="7" t="str">
        <x:v>岩手：奥州市</x:v>
      </x:c>
      <x:c r="B215" s="2" t="str">
        <x:v>3602700040</x:v>
      </x:c>
      <x:c r="C215" s="2" t="str">
        <x:v>3000_62140</x:v>
      </x:c>
      <x:c r="D215" s="2" t="str">
        <x:v>3215</x:v>
      </x:c>
      <x:c r="E215" s="2" t="str">
        <x:v>西根佐倉河線</x:v>
      </x:c>
      <x:c r="F215" s="2" t="str">
        <x:v>胆沢郡金ヶ崎町金ヶ崎</x:v>
      </x:c>
      <x:c r="G215" s="2" t="str">
        <x:v>胆沢郡金ヶ崎町金ヶ崎</x:v>
      </x:c>
      <x:c r="H215" s="2" t="str">
        <x:v>観測</x:v>
      </x:c>
      <x:c r="I215" s="2" t="str">
        <x:v>観測</x:v>
      </x:c>
      <x:c r="J215" s="2" t="str">
        <x:v>12時間</x:v>
      </x:c>
      <x:c r="K215" s="2" t="str">
        <x:v>12時間</x:v>
      </x:c>
      <x:c r="L215" s="2" t="str">
        <x:v>20210930</x:v>
      </x:c>
      <x:c r="M215" s="2" t="str">
        <x:v>20210930</x:v>
      </x:c>
      <x:c r="N215" s="8" t="n">
        <x:v>5292</x:v>
      </x:c>
      <x:c r="O215" s="8" t="n">
        <x:v>269</x:v>
      </x:c>
      <x:c r="P215" s="8" t="n">
        <x:v>5561</x:v>
      </x:c>
      <x:c r="Q215" s="8" t="n">
        <x:v>6209</x:v>
      </x:c>
      <x:c r="R215" s="8" t="n">
        <x:v>631</x:v>
      </x:c>
      <x:c r="S215" s="8" t="n">
        <x:v>6840</x:v>
      </x:c>
      <x:c r="T215" s="11" t="n">
        <x:v>4.8</x:v>
      </x:c>
      <x:c r="U215" s="2" t="n">
        <x:v>2021</x:v>
      </x:c>
      <x:c r="V215" s="2" t="str">
        <x:v>https://www.mlit.go.jp/road/census/r3/data/csv/kasyo03.csv</x:v>
      </x:c>
      <x:c r="W215" s="2" t="n">
        <x:v>1533</x:v>
      </x:c>
    </x:row>
    <x:row r="216" ht="21" customHeight="1">
      <x:c r="A216" s="7" t="str">
        <x:v>岩手：奥州市</x:v>
      </x:c>
      <x:c r="B216" s="2" t="str">
        <x:v>3602830005</x:v>
      </x:c>
      <x:c r="C216" s="2" t="str">
        <x:v>3000_62300</x:v>
      </x:c>
      <x:c r="D216" s="2" t="str">
        <x:v>3215</x:v>
      </x:c>
      <x:c r="E216" s="2" t="str">
        <x:v>衣川前沢線</x:v>
      </x:c>
      <x:c r="F216" s="2" t="str">
        <x:v>奥州市前沢区合ノ沢</x:v>
      </x:c>
      <x:c r="G216" s="2" t="str">
        <x:v>奥州市前沢区合ノ沢</x:v>
      </x:c>
      <x:c r="H216" s="2" t="str">
        <x:v>観測</x:v>
      </x:c>
      <x:c r="I216" s="2" t="str">
        <x:v>観測</x:v>
      </x:c>
      <x:c r="J216" s="2" t="str">
        <x:v>12時間</x:v>
      </x:c>
      <x:c r="K216" s="2" t="str">
        <x:v>12時間</x:v>
      </x:c>
      <x:c r="L216" s="2" t="str">
        <x:v>20211005</x:v>
      </x:c>
      <x:c r="M216" s="2" t="str">
        <x:v>20211005</x:v>
      </x:c>
      <x:c r="N216" s="8" t="n">
        <x:v>2104</x:v>
      </x:c>
      <x:c r="O216" s="8" t="n">
        <x:v>1367</x:v>
      </x:c>
      <x:c r="P216" s="8" t="n">
        <x:v>3471</x:v>
      </x:c>
      <x:c r="Q216" s="8" t="n">
        <x:v>2611</x:v>
      </x:c>
      <x:c r="R216" s="8" t="n">
        <x:v>1589</x:v>
      </x:c>
      <x:c r="S216" s="8" t="n">
        <x:v>4200</x:v>
      </x:c>
      <x:c r="T216" s="11" t="n">
        <x:v>39.4</x:v>
      </x:c>
      <x:c r="U216" s="2" t="n">
        <x:v>2021</x:v>
      </x:c>
      <x:c r="V216" s="2" t="str">
        <x:v>https://www.mlit.go.jp/road/census/r3/data/csv/kasyo03.csv</x:v>
      </x:c>
      <x:c r="W216" s="2" t="n">
        <x:v>1567</x:v>
      </x:c>
    </x:row>
    <x:row r="217" ht="21" customHeight="1">
      <x:c r="A217" s="7" t="str">
        <x:v>岩手：奥州市</x:v>
      </x:c>
      <x:c r="B217" s="2" t="str">
        <x:v>3602830010</x:v>
      </x:c>
      <x:c r="C217" s="2" t="str">
        <x:v>3000_62300</x:v>
      </x:c>
      <x:c r="D217" s="2" t="str">
        <x:v>3215</x:v>
      </x:c>
      <x:c r="E217" s="2" t="str">
        <x:v>衣川前沢線</x:v>
      </x:c>
      <x:c r="F217" s="2" t="str">
        <x:v>奥州市前沢区合ノ沢</x:v>
      </x:c>
      <x:c r="G217" s="2" t="str">
        <x:v>奥州市前沢区合ノ沢</x:v>
      </x:c>
      <x:c r="H217" s="2" t="str">
        <x:v>観測</x:v>
      </x:c>
      <x:c r="I217" s="2" t="str">
        <x:v>観測</x:v>
      </x:c>
      <x:c r="J217" s="2" t="str">
        <x:v>12時間</x:v>
      </x:c>
      <x:c r="K217" s="2" t="str">
        <x:v>12時間</x:v>
      </x:c>
      <x:c r="L217" s="2" t="str">
        <x:v>20211005</x:v>
      </x:c>
      <x:c r="M217" s="2" t="str">
        <x:v>20211005</x:v>
      </x:c>
      <x:c r="N217" s="8" t="n">
        <x:v>2104</x:v>
      </x:c>
      <x:c r="O217" s="8" t="n">
        <x:v>1367</x:v>
      </x:c>
      <x:c r="P217" s="8" t="n">
        <x:v>3471</x:v>
      </x:c>
      <x:c r="Q217" s="8" t="n">
        <x:v>2611</x:v>
      </x:c>
      <x:c r="R217" s="8" t="n">
        <x:v>1589</x:v>
      </x:c>
      <x:c r="S217" s="8" t="n">
        <x:v>4200</x:v>
      </x:c>
      <x:c r="T217" s="11" t="n">
        <x:v>39.4</x:v>
      </x:c>
      <x:c r="U217" s="2" t="n">
        <x:v>2021</x:v>
      </x:c>
      <x:c r="V217" s="2" t="str">
        <x:v>https://www.mlit.go.jp/road/census/r3/data/csv/kasyo03.csv</x:v>
      </x:c>
      <x:c r="W217" s="2" t="n">
        <x:v>1568</x:v>
      </x:c>
    </x:row>
    <x:row r="218" ht="21" customHeight="1">
      <x:c r="A218" s="7" t="str">
        <x:v>岩手：奥州市</x:v>
      </x:c>
      <x:c r="B218" s="2" t="str">
        <x:v>3602870020</x:v>
      </x:c>
      <x:c r="C218" s="2" t="str">
        <x:v>3000_62370</x:v>
      </x:c>
      <x:c r="D218" s="2" t="str">
        <x:v>3215</x:v>
      </x:c>
      <x:c r="E218" s="2" t="str">
        <x:v>口内伊手線</x:v>
      </x:c>
      <x:c r="F218" s="2" t="str">
        <x:v>奥州市江刺区西川目</x:v>
      </x:c>
      <x:c r="G218" s="2" t="str">
        <x:v>奥州市江刺区西川目</x:v>
      </x:c>
      <x:c r="H218" s="2" t="str">
        <x:v>観測</x:v>
      </x:c>
      <x:c r="I218" s="2" t="str">
        <x:v>観測</x:v>
      </x:c>
      <x:c r="J218" s="2" t="str">
        <x:v>12時間</x:v>
      </x:c>
      <x:c r="K218" s="2" t="str">
        <x:v>12時間</x:v>
      </x:c>
      <x:c r="L218" s="2" t="str">
        <x:v>20211021</x:v>
      </x:c>
      <x:c r="M218" s="2" t="str">
        <x:v>20211021</x:v>
      </x:c>
      <x:c r="N218" s="8" t="n">
        <x:v>917</x:v>
      </x:c>
      <x:c r="O218" s="8" t="n">
        <x:v>108</x:v>
      </x:c>
      <x:c r="P218" s="8" t="n">
        <x:v>1025</x:v>
      </x:c>
      <x:c r="Q218" s="8" t="n">
        <x:v>1041</x:v>
      </x:c>
      <x:c r="R218" s="8" t="n">
        <x:v>138</x:v>
      </x:c>
      <x:c r="S218" s="8" t="n">
        <x:v>1179</x:v>
      </x:c>
      <x:c r="T218" s="11" t="n">
        <x:v>10.5</x:v>
      </x:c>
      <x:c r="U218" s="2" t="n">
        <x:v>2021</x:v>
      </x:c>
      <x:c r="V218" s="2" t="str">
        <x:v>https://www.mlit.go.jp/road/census/r3/data/csv/kasyo03.csv</x:v>
      </x:c>
      <x:c r="W218" s="2" t="n">
        <x:v>1586</x:v>
      </x:c>
    </x:row>
    <x:row r="219" ht="21" customHeight="1">
      <x:c r="A219" s="7" t="str">
        <x:v>岩手：奥州市</x:v>
      </x:c>
      <x:c r="B219" s="2" t="str">
        <x:v>3602870030</x:v>
      </x:c>
      <x:c r="C219" s="2" t="str">
        <x:v>3000_62380</x:v>
      </x:c>
      <x:c r="D219" s="2" t="str">
        <x:v>3215</x:v>
      </x:c>
      <x:c r="E219" s="2" t="str">
        <x:v>口内伊手線</x:v>
      </x:c>
      <x:c r="F219" s="2" t="str">
        <x:v>奥州市江刺区下芦沢</x:v>
      </x:c>
      <x:c r="G219" s="2" t="str">
        <x:v>奥州市江刺区下芦沢</x:v>
      </x:c>
      <x:c r="H219" s="2" t="str">
        <x:v>観測</x:v>
      </x:c>
      <x:c r="I219" s="2" t="str">
        <x:v>観測</x:v>
      </x:c>
      <x:c r="J219" s="2" t="str">
        <x:v>12時間</x:v>
      </x:c>
      <x:c r="K219" s="2" t="str">
        <x:v>12時間</x:v>
      </x:c>
      <x:c r="L219" s="2" t="str">
        <x:v>20210930</x:v>
      </x:c>
      <x:c r="M219" s="2" t="str">
        <x:v>20210930</x:v>
      </x:c>
      <x:c r="N219" s="8" t="n">
        <x:v>152</x:v>
      </x:c>
      <x:c r="O219" s="8" t="n">
        <x:v>6</x:v>
      </x:c>
      <x:c r="P219" s="8" t="n">
        <x:v>158</x:v>
      </x:c>
      <x:c r="Q219" s="8" t="n">
        <x:v>181</x:v>
      </x:c>
      <x:c r="R219" s="8" t="n">
        <x:v>15</x:v>
      </x:c>
      <x:c r="S219" s="8" t="n">
        <x:v>196</x:v>
      </x:c>
      <x:c r="T219" s="11" t="n">
        <x:v>3.8</x:v>
      </x:c>
      <x:c r="U219" s="2" t="n">
        <x:v>2021</x:v>
      </x:c>
      <x:c r="V219" s="2" t="str">
        <x:v>https://www.mlit.go.jp/road/census/r3/data/csv/kasyo03.csv</x:v>
      </x:c>
      <x:c r="W219" s="2" t="n">
        <x:v>1587</x:v>
      </x:c>
    </x:row>
    <x:row r="220" ht="21" customHeight="1">
      <x:c r="A220" s="7" t="str">
        <x:v>岩手：奥州市</x:v>
      </x:c>
      <x:c r="B220" s="2" t="str">
        <x:v>3602870040</x:v>
      </x:c>
      <x:c r="C220" s="2" t="str">
        <x:v>3000_62380</x:v>
      </x:c>
      <x:c r="D220" s="2" t="str">
        <x:v>3215</x:v>
      </x:c>
      <x:c r="E220" s="2" t="str">
        <x:v>口内伊手線</x:v>
      </x:c>
      <x:c r="F220" s="2" t="str">
        <x:v>奥州市江刺区下芦沢</x:v>
      </x:c>
      <x:c r="G220" s="2" t="str">
        <x:v>奥州市江刺区下芦沢</x:v>
      </x:c>
      <x:c r="H220" s="2" t="str">
        <x:v>観測</x:v>
      </x:c>
      <x:c r="I220" s="2" t="str">
        <x:v>観測</x:v>
      </x:c>
      <x:c r="J220" s="2" t="str">
        <x:v>12時間</x:v>
      </x:c>
      <x:c r="K220" s="2" t="str">
        <x:v>12時間</x:v>
      </x:c>
      <x:c r="L220" s="2" t="str">
        <x:v>20210930</x:v>
      </x:c>
      <x:c r="M220" s="2" t="str">
        <x:v>20210930</x:v>
      </x:c>
      <x:c r="N220" s="8" t="n">
        <x:v>152</x:v>
      </x:c>
      <x:c r="O220" s="8" t="n">
        <x:v>6</x:v>
      </x:c>
      <x:c r="P220" s="8" t="n">
        <x:v>158</x:v>
      </x:c>
      <x:c r="Q220" s="8" t="n">
        <x:v>181</x:v>
      </x:c>
      <x:c r="R220" s="8" t="n">
        <x:v>15</x:v>
      </x:c>
      <x:c r="S220" s="8" t="n">
        <x:v>196</x:v>
      </x:c>
      <x:c r="T220" s="11" t="n">
        <x:v>3.8</x:v>
      </x:c>
      <x:c r="U220" s="2" t="n">
        <x:v>2021</x:v>
      </x:c>
      <x:c r="V220" s="2" t="str">
        <x:v>https://www.mlit.go.jp/road/census/r3/data/csv/kasyo03.csv</x:v>
      </x:c>
      <x:c r="W220" s="2" t="n">
        <x:v>1588</x:v>
      </x:c>
    </x:row>
    <x:row r="221" ht="21" customHeight="1">
      <x:c r="A221" s="7" t="str">
        <x:v>岩手：奥州市</x:v>
      </x:c>
      <x:c r="B221" s="2" t="str">
        <x:v>3602870050</x:v>
      </x:c>
      <x:c r="C221" s="2" t="str">
        <x:v>3000_62380</x:v>
      </x:c>
      <x:c r="D221" s="2" t="str">
        <x:v>3215</x:v>
      </x:c>
      <x:c r="E221" s="2" t="str">
        <x:v>口内伊手線</x:v>
      </x:c>
      <x:c r="F221" s="2" t="str">
        <x:v>奥州市江刺区下芦沢</x:v>
      </x:c>
      <x:c r="G221" s="2" t="str">
        <x:v>奥州市江刺区下芦沢</x:v>
      </x:c>
      <x:c r="H221" s="2" t="str">
        <x:v>観測</x:v>
      </x:c>
      <x:c r="I221" s="2" t="str">
        <x:v>観測</x:v>
      </x:c>
      <x:c r="J221" s="2" t="str">
        <x:v>12時間</x:v>
      </x:c>
      <x:c r="K221" s="2" t="str">
        <x:v>12時間</x:v>
      </x:c>
      <x:c r="L221" s="2" t="str">
        <x:v>20210930</x:v>
      </x:c>
      <x:c r="M221" s="2" t="str">
        <x:v>20210930</x:v>
      </x:c>
      <x:c r="N221" s="8" t="n">
        <x:v>152</x:v>
      </x:c>
      <x:c r="O221" s="8" t="n">
        <x:v>6</x:v>
      </x:c>
      <x:c r="P221" s="8" t="n">
        <x:v>158</x:v>
      </x:c>
      <x:c r="Q221" s="8" t="n">
        <x:v>181</x:v>
      </x:c>
      <x:c r="R221" s="8" t="n">
        <x:v>15</x:v>
      </x:c>
      <x:c r="S221" s="8" t="n">
        <x:v>196</x:v>
      </x:c>
      <x:c r="T221" s="11" t="n">
        <x:v>3.8</x:v>
      </x:c>
      <x:c r="U221" s="2" t="n">
        <x:v>2021</x:v>
      </x:c>
      <x:c r="V221" s="2" t="str">
        <x:v>https://www.mlit.go.jp/road/census/r3/data/csv/kasyo03.csv</x:v>
      </x:c>
      <x:c r="W221" s="2" t="n">
        <x:v>1589</x:v>
      </x:c>
    </x:row>
    <x:row r="222" ht="21" customHeight="1">
      <x:c r="A222" s="7" t="str">
        <x:v>岩手：奥州市</x:v>
      </x:c>
      <x:c r="B222" s="2" t="str">
        <x:v>3300041080</x:v>
      </x:c>
      <x:c r="C222" s="2" t="str">
        <x:v>3000_62550</x:v>
      </x:c>
      <x:c r="D222" s="2" t="str">
        <x:v>3215</x:v>
      </x:c>
      <x:c r="E222" s="2" t="str">
        <x:v>三日町瀬原線</x:v>
      </x:c>
      <x:c r="F222" s="2" t="str">
        <x:v>西磐井郡平泉町衣関</x:v>
      </x:c>
      <x:c r="G222" s="2" t="str">
        <x:v>西磐井郡平泉町衣関</x:v>
      </x:c>
      <x:c r="H222" s="2" t="str">
        <x:v>観測</x:v>
      </x:c>
      <x:c r="I222" s="2" t="str">
        <x:v>観測</x:v>
      </x:c>
      <x:c r="J222" s="2" t="str">
        <x:v>12時間</x:v>
      </x:c>
      <x:c r="K222" s="2" t="str">
        <x:v>12時間</x:v>
      </x:c>
      <x:c r="L222" s="2" t="str">
        <x:v>20211007</x:v>
      </x:c>
      <x:c r="M222" s="2" t="str">
        <x:v>20211007</x:v>
      </x:c>
      <x:c r="N222" s="8" t="n">
        <x:v>4046</x:v>
      </x:c>
      <x:c r="O222" s="8" t="n">
        <x:v>384</x:v>
      </x:c>
      <x:c r="P222" s="8" t="n">
        <x:v>4430</x:v>
      </x:c>
      <x:c r="Q222" s="8" t="n">
        <x:v>4758</x:v>
      </x:c>
      <x:c r="R222" s="8" t="n">
        <x:v>691</x:v>
      </x:c>
      <x:c r="S222" s="8" t="n">
        <x:v>5449</x:v>
      </x:c>
      <x:c r="T222" s="11" t="n">
        <x:v>8.7</x:v>
      </x:c>
      <x:c r="U222" s="2" t="n">
        <x:v>2021</x:v>
      </x:c>
      <x:c r="V222" s="2" t="str">
        <x:v>https://www.mlit.go.jp/road/census/r3/data/csv/kasyo03.csv</x:v>
      </x:c>
      <x:c r="W222" s="2" t="n">
        <x:v>1625</x:v>
      </x:c>
    </x:row>
    <x:row r="223" ht="21" customHeight="1">
      <x:c r="A223" s="7" t="str">
        <x:v>岩手：奥州市</x:v>
      </x:c>
      <x:c r="B223" s="2" t="str">
        <x:v>3300041090</x:v>
      </x:c>
      <x:c r="C223" s="2" t="str">
        <x:v>3000_62550</x:v>
      </x:c>
      <x:c r="D223" s="2" t="str">
        <x:v>3215</x:v>
      </x:c>
      <x:c r="E223" s="2" t="str">
        <x:v>三日町瀬原線</x:v>
      </x:c>
      <x:c r="F223" s="2" t="str">
        <x:v>西磐井郡平泉町衣関</x:v>
      </x:c>
      <x:c r="G223" s="2" t="str">
        <x:v>西磐井郡平泉町衣関</x:v>
      </x:c>
      <x:c r="H223" s="2" t="str">
        <x:v>観測</x:v>
      </x:c>
      <x:c r="I223" s="2" t="str">
        <x:v>観測</x:v>
      </x:c>
      <x:c r="J223" s="2" t="str">
        <x:v>12時間</x:v>
      </x:c>
      <x:c r="K223" s="2" t="str">
        <x:v>12時間</x:v>
      </x:c>
      <x:c r="L223" s="2" t="str">
        <x:v>20211007</x:v>
      </x:c>
      <x:c r="M223" s="2" t="str">
        <x:v>20211007</x:v>
      </x:c>
      <x:c r="N223" s="8" t="n">
        <x:v>4046</x:v>
      </x:c>
      <x:c r="O223" s="8" t="n">
        <x:v>384</x:v>
      </x:c>
      <x:c r="P223" s="8" t="n">
        <x:v>4430</x:v>
      </x:c>
      <x:c r="Q223" s="8" t="n">
        <x:v>4758</x:v>
      </x:c>
      <x:c r="R223" s="8" t="n">
        <x:v>691</x:v>
      </x:c>
      <x:c r="S223" s="8" t="n">
        <x:v>5449</x:v>
      </x:c>
      <x:c r="T223" s="11" t="n">
        <x:v>8.7</x:v>
      </x:c>
      <x:c r="U223" s="2" t="n">
        <x:v>2021</x:v>
      </x:c>
      <x:c r="V223" s="2" t="str">
        <x:v>https://www.mlit.go.jp/road/census/r3/data/csv/kasyo03.csv</x:v>
      </x:c>
      <x:c r="W223" s="2" t="n">
        <x:v>1626</x:v>
      </x:c>
    </x:row>
    <x:row r="224" ht="21" customHeight="1">
      <x:c r="A224" s="7" t="str">
        <x:v>岩手：奥州市</x:v>
      </x:c>
      <x:c r="B224" s="2" t="str">
        <x:v>3603020010</x:v>
      </x:c>
      <x:c r="C224" s="2" t="str">
        <x:v>3000_62580</x:v>
      </x:c>
      <x:c r="D224" s="2" t="str">
        <x:v>3215</x:v>
      </x:c>
      <x:c r="E224" s="2" t="str">
        <x:v>前沢北上線</x:v>
      </x:c>
      <x:c r="F224" s="2" t="str">
        <x:v>奥州市胆沢小山字下十文字281-1地先</x:v>
      </x:c>
      <x:c r="G224" s="2" t="str">
        <x:v>奥州市胆沢小山字下十文字281-1地先</x:v>
      </x:c>
      <x:c r="H224" s="2" t="str">
        <x:v>推定</x:v>
      </x:c>
      <x:c r="I224" s="2" t="str">
        <x:v>推定</x:v>
      </x:c>
      <x:c r="J224" s="2" t="str">
        <x:v>12時間</x:v>
      </x:c>
      <x:c r="K224" s="2" t="str">
        <x:v>12時間</x:v>
      </x:c>
      <x:c r="L224" s="2" t="str">
        <x:v>20211111</x:v>
      </x:c>
      <x:c r="M224" s="2" t="str">
        <x:v>20211111</x:v>
      </x:c>
      <x:c r="N224" s="8" t="n">
        <x:v>2350</x:v>
      </x:c>
      <x:c r="O224" s="8" t="n">
        <x:v>1380</x:v>
      </x:c>
      <x:c r="P224" s="8" t="n">
        <x:v>3730</x:v>
      </x:c>
      <x:c r="Q224" s="8" t="n">
        <x:v>2908</x:v>
      </x:c>
      <x:c r="R224" s="8" t="n">
        <x:v>1642</x:v>
      </x:c>
      <x:c r="S224" s="8" t="n">
        <x:v>4550</x:v>
      </x:c>
      <x:c r="T224" s="11" t="n">
        <x:v>37</x:v>
      </x:c>
      <x:c r="U224" s="2" t="n">
        <x:v>2021</x:v>
      </x:c>
      <x:c r="V224" s="2" t="str">
        <x:v>https://www.mlit.go.jp/road/census/r3/data/csv/kasyo03.csv</x:v>
      </x:c>
      <x:c r="W224" s="2" t="n">
        <x:v>1638</x:v>
      </x:c>
    </x:row>
    <x:row r="225" ht="21" customHeight="1">
      <x:c r="A225" s="7" t="str">
        <x:v>岩手：奥州市</x:v>
      </x:c>
      <x:c r="B225" s="2" t="str">
        <x:v>3603020020</x:v>
      </x:c>
      <x:c r="C225" s="2" t="str">
        <x:v>3000_62580</x:v>
      </x:c>
      <x:c r="D225" s="2" t="str">
        <x:v>3215</x:v>
      </x:c>
      <x:c r="E225" s="2" t="str">
        <x:v>前沢北上線</x:v>
      </x:c>
      <x:c r="F225" s="2" t="str">
        <x:v>奥州市胆沢小山字下十文字281-1地先</x:v>
      </x:c>
      <x:c r="G225" s="2" t="str">
        <x:v>奥州市胆沢小山字下十文字281-1地先</x:v>
      </x:c>
      <x:c r="H225" s="2" t="str">
        <x:v>推定</x:v>
      </x:c>
      <x:c r="I225" s="2" t="str">
        <x:v>推定</x:v>
      </x:c>
      <x:c r="J225" s="2" t="str">
        <x:v>12時間</x:v>
      </x:c>
      <x:c r="K225" s="2" t="str">
        <x:v>12時間</x:v>
      </x:c>
      <x:c r="L225" s="2" t="str">
        <x:v>20211111</x:v>
      </x:c>
      <x:c r="M225" s="2" t="str">
        <x:v>20211111</x:v>
      </x:c>
      <x:c r="N225" s="8" t="n">
        <x:v>2350</x:v>
      </x:c>
      <x:c r="O225" s="8" t="n">
        <x:v>1380</x:v>
      </x:c>
      <x:c r="P225" s="8" t="n">
        <x:v>3730</x:v>
      </x:c>
      <x:c r="Q225" s="8" t="n">
        <x:v>2908</x:v>
      </x:c>
      <x:c r="R225" s="8" t="n">
        <x:v>1642</x:v>
      </x:c>
      <x:c r="S225" s="8" t="n">
        <x:v>4550</x:v>
      </x:c>
      <x:c r="T225" s="11" t="n">
        <x:v>37</x:v>
      </x:c>
      <x:c r="U225" s="2" t="n">
        <x:v>2021</x:v>
      </x:c>
      <x:c r="V225" s="2" t="str">
        <x:v>https://www.mlit.go.jp/road/census/r3/data/csv/kasyo03.csv</x:v>
      </x:c>
      <x:c r="W225" s="2" t="n">
        <x:v>1639</x:v>
      </x:c>
    </x:row>
    <x:row r="226" ht="21" customHeight="1">
      <x:c r="A226" s="7" t="str">
        <x:v>岩手：奥州市</x:v>
      </x:c>
      <x:c r="B226" s="2" t="str">
        <x:v>3603020030</x:v>
      </x:c>
      <x:c r="C226" s="2" t="str">
        <x:v>3000_62590</x:v>
      </x:c>
      <x:c r="D226" s="2" t="str">
        <x:v>3215</x:v>
      </x:c>
      <x:c r="E226" s="2" t="str">
        <x:v>前沢北上線</x:v>
      </x:c>
      <x:c r="F226" s="2" t="str">
        <x:v>胆沢郡金ケ崎町西根高谷野原904-4地先</x:v>
      </x:c>
      <x:c r="G226" s="2" t="str">
        <x:v>胆沢郡金ケ崎町西根高谷野原904-4地先</x:v>
      </x:c>
      <x:c r="H226" s="2" t="str">
        <x:v>推定</x:v>
      </x:c>
      <x:c r="I226" s="2" t="str">
        <x:v>推定</x:v>
      </x:c>
      <x:c r="J226" s="2" t="str">
        <x:v>12時間</x:v>
      </x:c>
      <x:c r="K226" s="2" t="str">
        <x:v>12時間</x:v>
      </x:c>
      <x:c r="L226" s="2" t="str">
        <x:v>20211111</x:v>
      </x:c>
      <x:c r="M226" s="2" t="str">
        <x:v>20211111</x:v>
      </x:c>
      <x:c r="N226" s="8" t="n">
        <x:v>1974</x:v>
      </x:c>
      <x:c r="O226" s="8" t="n">
        <x:v>1262</x:v>
      </x:c>
      <x:c r="P226" s="8" t="n">
        <x:v>3236</x:v>
      </x:c>
      <x:c r="Q226" s="8" t="n">
        <x:v>2464</x:v>
      </x:c>
      <x:c r="R226" s="8" t="n">
        <x:v>1484</x:v>
      </x:c>
      <x:c r="S226" s="8" t="n">
        <x:v>3948</x:v>
      </x:c>
      <x:c r="T226" s="11" t="n">
        <x:v>39</x:v>
      </x:c>
      <x:c r="U226" s="2" t="n">
        <x:v>2021</x:v>
      </x:c>
      <x:c r="V226" s="2" t="str">
        <x:v>https://www.mlit.go.jp/road/census/r3/data/csv/kasyo03.csv</x:v>
      </x:c>
      <x:c r="W226" s="2" t="n">
        <x:v>1640</x:v>
      </x:c>
    </x:row>
    <x:row r="227" ht="21" customHeight="1">
      <x:c r="A227" s="7" t="str">
        <x:v>山梨：韮崎市</x:v>
      </x:c>
      <x:c r="B227" s="2" t="str">
        <x:v>19111000180</x:v>
      </x:c>
      <x:c r="C227" s="2" t="str">
        <x:v>19000_70</x:v>
      </x:c>
      <x:c r="D227" s="2" t="str">
        <x:v>19207</x:v>
      </x:c>
      <x:c r="E227" s="2" t="str">
        <x:v>中央自動車道西宮線</x:v>
      </x:c>
      <x:c r="F227" s="2" t="str">
        <x:v>双葉JCT～韮崎</x:v>
      </x:c>
      <x:c r="G227" s="2" t="str">
        <x:v>双葉JCT～韮崎</x:v>
      </x:c>
      <x:c r="H227" s="2" t="str">
        <x:v>観測</x:v>
      </x:c>
      <x:c r="I227" s="2" t="str">
        <x:v>観測</x:v>
      </x:c>
      <x:c r="J227" s="2" t="str">
        <x:v>24時間</x:v>
      </x:c>
      <x:c r="K227" s="2" t="str">
        <x:v>24時間</x:v>
      </x:c>
      <x:c r="L227" s="2" t="str">
        <x:v>20210929</x:v>
      </x:c>
      <x:c r="M227" s="2" t="str">
        <x:v>20210929</x:v>
      </x:c>
      <x:c r="N227" s="8" t="n">
        <x:v>16449</x:v>
      </x:c>
      <x:c r="O227" s="8" t="n">
        <x:v>5013</x:v>
      </x:c>
      <x:c r="P227" s="8" t="n">
        <x:v>21462</x:v>
      </x:c>
      <x:c r="Q227" s="8" t="n">
        <x:v>19627</x:v>
      </x:c>
      <x:c r="R227" s="8" t="n">
        <x:v>10440</x:v>
      </x:c>
      <x:c r="S227" s="8" t="n">
        <x:v>30067</x:v>
      </x:c>
      <x:c r="T227" s="11" t="n">
        <x:v>23.4</x:v>
      </x:c>
      <x:c r="U227" s="2" t="n">
        <x:v>2021</x:v>
      </x:c>
      <x:c r="V227" s="2" t="str">
        <x:v>https://www.mlit.go.jp/road/census/r3/data/csv/kasyo19.csv</x:v>
      </x:c>
      <x:c r="W227" s="2" t="n">
        <x:v>20</x:v>
      </x:c>
    </x:row>
    <x:row r="228" ht="21" customHeight="1">
      <x:c r="A228" s="7" t="str">
        <x:v>山梨：韮崎市</x:v>
      </x:c>
      <x:c r="B228" s="2" t="str">
        <x:v>19111000190</x:v>
      </x:c>
      <x:c r="C228" s="2" t="str">
        <x:v>19000_80</x:v>
      </x:c>
      <x:c r="D228" s="2" t="str">
        <x:v>19207</x:v>
      </x:c>
      <x:c r="E228" s="2" t="str">
        <x:v>中央自動車道西宮線</x:v>
      </x:c>
      <x:c r="F228" s="2" t="str">
        <x:v>韮崎～須玉</x:v>
      </x:c>
      <x:c r="G228" s="2" t="str">
        <x:v>韮崎～須玉</x:v>
      </x:c>
      <x:c r="H228" s="2" t="str">
        <x:v>観測</x:v>
      </x:c>
      <x:c r="I228" s="2" t="str">
        <x:v>観測</x:v>
      </x:c>
      <x:c r="J228" s="2" t="str">
        <x:v>24時間</x:v>
      </x:c>
      <x:c r="K228" s="2" t="str">
        <x:v>24時間</x:v>
      </x:c>
      <x:c r="L228" s="2" t="str">
        <x:v>20210929</x:v>
      </x:c>
      <x:c r="M228" s="2" t="str">
        <x:v>20210929</x:v>
      </x:c>
      <x:c r="N228" s="8" t="n">
        <x:v>15037</x:v>
      </x:c>
      <x:c r="O228" s="8" t="n">
        <x:v>4706</x:v>
      </x:c>
      <x:c r="P228" s="8" t="n">
        <x:v>19743</x:v>
      </x:c>
      <x:c r="Q228" s="8" t="n">
        <x:v>17994</x:v>
      </x:c>
      <x:c r="R228" s="8" t="n">
        <x:v>10088</x:v>
      </x:c>
      <x:c r="S228" s="8" t="n">
        <x:v>28082</x:v>
      </x:c>
      <x:c r="T228" s="11" t="n">
        <x:v>23.8</x:v>
      </x:c>
      <x:c r="U228" s="2" t="n">
        <x:v>2021</x:v>
      </x:c>
      <x:c r="V228" s="2" t="str">
        <x:v>https://www.mlit.go.jp/road/census/r3/data/csv/kasyo19.csv</x:v>
      </x:c>
      <x:c r="W228" s="2" t="n">
        <x:v>21</x:v>
      </x:c>
    </x:row>
    <x:row r="229" ht="21" customHeight="1">
      <x:c r="A229" s="7" t="str">
        <x:v>山梨：韮崎市</x:v>
      </x:c>
      <x:c r="B229" s="2" t="str">
        <x:v>19300200650</x:v>
      </x:c>
      <x:c r="C229" s="2" t="str">
        <x:v>19000_10160</x:v>
      </x:c>
      <x:c r="D229" s="2" t="str">
        <x:v>19207</x:v>
      </x:c>
      <x:c r="E229" s="2" t="str">
        <x:v>一般国道２０号</x:v>
      </x:c>
      <x:c r="F229" s="2" t="str">
        <x:v>韮崎市栄1丁目1-62</x:v>
      </x:c>
      <x:c r="G229" s="2" t="str">
        <x:v>韮崎市栄1丁目1-62</x:v>
      </x:c>
      <x:c r="H229" s="2" t="str">
        <x:v>観測</x:v>
      </x:c>
      <x:c r="I229" s="2" t="str">
        <x:v>観測</x:v>
      </x:c>
      <x:c r="J229" s="2" t="str">
        <x:v>12時間</x:v>
      </x:c>
      <x:c r="K229" s="2" t="str">
        <x:v>12時間</x:v>
      </x:c>
      <x:c r="L229" s="2" t="str">
        <x:v>20211201</x:v>
      </x:c>
      <x:c r="M229" s="2" t="str">
        <x:v>20211201</x:v>
      </x:c>
      <x:c r="N229" s="8" t="n">
        <x:v>13844</x:v>
      </x:c>
      <x:c r="O229" s="8" t="n">
        <x:v>2587</x:v>
      </x:c>
      <x:c r="P229" s="8" t="n">
        <x:v>16431</x:v>
      </x:c>
      <x:c r="Q229" s="8" t="n">
        <x:v>16570</x:v>
      </x:c>
      <x:c r="R229" s="8" t="n">
        <x:v>5612</x:v>
      </x:c>
      <x:c r="S229" s="8" t="n">
        <x:v>22182</x:v>
      </x:c>
      <x:c r="T229" s="11" t="n">
        <x:v>15.7</x:v>
      </x:c>
      <x:c r="U229" s="2" t="n">
        <x:v>2021</x:v>
      </x:c>
      <x:c r="V229" s="2" t="str">
        <x:v>https://www.mlit.go.jp/road/census/r3/data/csv/kasyo19.csv</x:v>
      </x:c>
      <x:c r="W229" s="2" t="n">
        <x:v>128</x:v>
      </x:c>
    </x:row>
    <x:row r="230" ht="21" customHeight="1">
      <x:c r="A230" s="7" t="str">
        <x:v>山梨：韮崎市</x:v>
      </x:c>
      <x:c r="B230" s="2" t="str">
        <x:v>19300200660</x:v>
      </x:c>
      <x:c r="C230" s="2" t="str">
        <x:v>19000_10170</x:v>
      </x:c>
      <x:c r="D230" s="2" t="str">
        <x:v>19207</x:v>
      </x:c>
      <x:c r="E230" s="2" t="str">
        <x:v>一般国道２０号</x:v>
      </x:c>
      <x:c r="F230" s="2" t="str">
        <x:v>韮崎市円野町上円井1862-1</x:v>
      </x:c>
      <x:c r="G230" s="2" t="str">
        <x:v>韮崎市円野町上円井1862-1</x:v>
      </x:c>
      <x:c r="H230" s="2" t="str">
        <x:v>観測</x:v>
      </x:c>
      <x:c r="I230" s="2" t="str">
        <x:v>観測</x:v>
      </x:c>
      <x:c r="J230" s="2" t="str">
        <x:v>12時間</x:v>
      </x:c>
      <x:c r="K230" s="2" t="str">
        <x:v>12時間</x:v>
      </x:c>
      <x:c r="L230" s="2" t="str">
        <x:v>20211207</x:v>
      </x:c>
      <x:c r="M230" s="2" t="str">
        <x:v>20211207</x:v>
      </x:c>
      <x:c r="N230" s="8" t="n">
        <x:v>6844</x:v>
      </x:c>
      <x:c r="O230" s="8" t="n">
        <x:v>711</x:v>
      </x:c>
      <x:c r="P230" s="8" t="n">
        <x:v>7555</x:v>
      </x:c>
      <x:c r="Q230" s="8" t="n">
        <x:v>8097</x:v>
      </x:c>
      <x:c r="R230" s="8" t="n">
        <x:v>2102</x:v>
      </x:c>
      <x:c r="S230" s="8" t="n">
        <x:v>10199</x:v>
      </x:c>
      <x:c r="T230" s="11" t="n">
        <x:v>9.4</x:v>
      </x:c>
      <x:c r="U230" s="2" t="n">
        <x:v>2021</x:v>
      </x:c>
      <x:c r="V230" s="2" t="str">
        <x:v>https://www.mlit.go.jp/road/census/r3/data/csv/kasyo19.csv</x:v>
      </x:c>
      <x:c r="W230" s="2" t="n">
        <x:v>129</x:v>
      </x:c>
    </x:row>
    <x:row r="231" ht="21" customHeight="1">
      <x:c r="A231" s="7" t="str">
        <x:v>山梨：韮崎市</x:v>
      </x:c>
      <x:c r="B231" s="2" t="str">
        <x:v>19300200670</x:v>
      </x:c>
      <x:c r="C231" s="2" t="str">
        <x:v>19000_10170</x:v>
      </x:c>
      <x:c r="D231" s="2" t="str">
        <x:v>19207</x:v>
      </x:c>
      <x:c r="E231" s="2" t="str">
        <x:v>一般国道２０号</x:v>
      </x:c>
      <x:c r="F231" s="2" t="str">
        <x:v>韮崎市円野町上円井1862-1</x:v>
      </x:c>
      <x:c r="G231" s="2" t="str">
        <x:v>韮崎市円野町上円井1862-1</x:v>
      </x:c>
      <x:c r="H231" s="2" t="str">
        <x:v>観測</x:v>
      </x:c>
      <x:c r="I231" s="2" t="str">
        <x:v>観測</x:v>
      </x:c>
      <x:c r="J231" s="2" t="str">
        <x:v>12時間</x:v>
      </x:c>
      <x:c r="K231" s="2" t="str">
        <x:v>12時間</x:v>
      </x:c>
      <x:c r="L231" s="2" t="str">
        <x:v>20211207</x:v>
      </x:c>
      <x:c r="M231" s="2" t="str">
        <x:v>20211207</x:v>
      </x:c>
      <x:c r="N231" s="8" t="n">
        <x:v>6844</x:v>
      </x:c>
      <x:c r="O231" s="8" t="n">
        <x:v>711</x:v>
      </x:c>
      <x:c r="P231" s="8" t="n">
        <x:v>7555</x:v>
      </x:c>
      <x:c r="Q231" s="8" t="n">
        <x:v>8097</x:v>
      </x:c>
      <x:c r="R231" s="8" t="n">
        <x:v>2102</x:v>
      </x:c>
      <x:c r="S231" s="8" t="n">
        <x:v>10199</x:v>
      </x:c>
      <x:c r="T231" s="11" t="n">
        <x:v>9.4</x:v>
      </x:c>
      <x:c r="U231" s="2" t="n">
        <x:v>2021</x:v>
      </x:c>
      <x:c r="V231" s="2" t="str">
        <x:v>https://www.mlit.go.jp/road/census/r3/data/csv/kasyo19.csv</x:v>
      </x:c>
      <x:c r="W231" s="2" t="n">
        <x:v>130</x:v>
      </x:c>
    </x:row>
    <x:row r="232" ht="21" customHeight="1">
      <x:c r="A232" s="7" t="str">
        <x:v>山梨：韮崎市</x:v>
      </x:c>
      <x:c r="B232" s="2" t="str">
        <x:v>19300200680</x:v>
      </x:c>
      <x:c r="C232" s="2" t="str">
        <x:v>19000_10170</x:v>
      </x:c>
      <x:c r="D232" s="2" t="str">
        <x:v>19207</x:v>
      </x:c>
      <x:c r="E232" s="2" t="str">
        <x:v>一般国道２０号</x:v>
      </x:c>
      <x:c r="F232" s="2" t="str">
        <x:v>韮崎市円野町上円井1862-1</x:v>
      </x:c>
      <x:c r="G232" s="2" t="str">
        <x:v>韮崎市円野町上円井1862-1</x:v>
      </x:c>
      <x:c r="H232" s="2" t="str">
        <x:v>観測</x:v>
      </x:c>
      <x:c r="I232" s="2" t="str">
        <x:v>観測</x:v>
      </x:c>
      <x:c r="J232" s="2" t="str">
        <x:v>12時間</x:v>
      </x:c>
      <x:c r="K232" s="2" t="str">
        <x:v>12時間</x:v>
      </x:c>
      <x:c r="L232" s="2" t="str">
        <x:v>20211207</x:v>
      </x:c>
      <x:c r="M232" s="2" t="str">
        <x:v>20211207</x:v>
      </x:c>
      <x:c r="N232" s="8" t="n">
        <x:v>6844</x:v>
      </x:c>
      <x:c r="O232" s="8" t="n">
        <x:v>711</x:v>
      </x:c>
      <x:c r="P232" s="8" t="n">
        <x:v>7555</x:v>
      </x:c>
      <x:c r="Q232" s="8" t="n">
        <x:v>8097</x:v>
      </x:c>
      <x:c r="R232" s="8" t="n">
        <x:v>2102</x:v>
      </x:c>
      <x:c r="S232" s="8" t="n">
        <x:v>10199</x:v>
      </x:c>
      <x:c r="T232" s="11" t="n">
        <x:v>9.4</x:v>
      </x:c>
      <x:c r="U232" s="2" t="n">
        <x:v>2021</x:v>
      </x:c>
      <x:c r="V232" s="2" t="str">
        <x:v>https://www.mlit.go.jp/road/census/r3/data/csv/kasyo19.csv</x:v>
      </x:c>
      <x:c r="W232" s="2" t="n">
        <x:v>131</x:v>
      </x:c>
    </x:row>
    <x:row r="233" ht="21" customHeight="1">
      <x:c r="A233" s="7" t="str">
        <x:v>山梨：韮崎市</x:v>
      </x:c>
      <x:c r="B233" s="2" t="str">
        <x:v>19300200690</x:v>
      </x:c>
      <x:c r="C233" s="2" t="str">
        <x:v>19000_10170</x:v>
      </x:c>
      <x:c r="D233" s="2" t="str">
        <x:v>19207</x:v>
      </x:c>
      <x:c r="E233" s="2" t="str">
        <x:v>一般国道２０号</x:v>
      </x:c>
      <x:c r="F233" s="2" t="str">
        <x:v>韮崎市円野町上円井1862-1</x:v>
      </x:c>
      <x:c r="G233" s="2" t="str">
        <x:v>韮崎市円野町上円井1862-1</x:v>
      </x:c>
      <x:c r="H233" s="2" t="str">
        <x:v>観測</x:v>
      </x:c>
      <x:c r="I233" s="2" t="str">
        <x:v>観測</x:v>
      </x:c>
      <x:c r="J233" s="2" t="str">
        <x:v>12時間</x:v>
      </x:c>
      <x:c r="K233" s="2" t="str">
        <x:v>12時間</x:v>
      </x:c>
      <x:c r="L233" s="2" t="str">
        <x:v>20211207</x:v>
      </x:c>
      <x:c r="M233" s="2" t="str">
        <x:v>20211207</x:v>
      </x:c>
      <x:c r="N233" s="8" t="n">
        <x:v>6844</x:v>
      </x:c>
      <x:c r="O233" s="8" t="n">
        <x:v>711</x:v>
      </x:c>
      <x:c r="P233" s="8" t="n">
        <x:v>7555</x:v>
      </x:c>
      <x:c r="Q233" s="8" t="n">
        <x:v>8097</x:v>
      </x:c>
      <x:c r="R233" s="8" t="n">
        <x:v>2102</x:v>
      </x:c>
      <x:c r="S233" s="8" t="n">
        <x:v>10199</x:v>
      </x:c>
      <x:c r="T233" s="11" t="n">
        <x:v>9.4</x:v>
      </x:c>
      <x:c r="U233" s="2" t="n">
        <x:v>2021</x:v>
      </x:c>
      <x:c r="V233" s="2" t="str">
        <x:v>https://www.mlit.go.jp/road/census/r3/data/csv/kasyo19.csv</x:v>
      </x:c>
      <x:c r="W233" s="2" t="n">
        <x:v>132</x:v>
      </x:c>
    </x:row>
    <x:row r="234" ht="21" customHeight="1">
      <x:c r="A234" s="7" t="str">
        <x:v>山梨：韮崎市</x:v>
      </x:c>
      <x:c r="B234" s="2" t="str">
        <x:v>19301410010</x:v>
      </x:c>
      <x:c r="C234" s="2" t="str">
        <x:v>19000_16010</x:v>
      </x:c>
      <x:c r="D234" s="2" t="str">
        <x:v>19207</x:v>
      </x:c>
      <x:c r="E234" s="2" t="str">
        <x:v>一般国道１４１号</x:v>
      </x:c>
      <x:c r="F234" s="2"/>
      <x:c r="G234" s="2"/>
      <x:c r="H234" s="2" t="str">
        <x:v>推定</x:v>
      </x:c>
      <x:c r="I234" s="2" t="str">
        <x:v>推定</x:v>
      </x:c>
      <x:c r="J234" s="2" t="str">
        <x:v>未記載</x:v>
      </x:c>
      <x:c r="K234" s="2" t="str">
        <x:v>未記載</x:v>
      </x:c>
      <x:c r="L234" s="2"/>
      <x:c r="M234" s="2"/>
      <x:c r="N234" s="8" t="n">
        <x:v>6935</x:v>
      </x:c>
      <x:c r="O234" s="8" t="n">
        <x:v>1331</x:v>
      </x:c>
      <x:c r="P234" s="8" t="n">
        <x:v>8266</x:v>
      </x:c>
      <x:c r="Q234" s="8" t="n">
        <x:v>8934</x:v>
      </x:c>
      <x:c r="R234" s="8" t="n">
        <x:v>1812</x:v>
      </x:c>
      <x:c r="S234" s="8" t="n">
        <x:v>10746</x:v>
      </x:c>
      <x:c r="T234" s="11" t="n">
        <x:v>16.1</x:v>
      </x:c>
      <x:c r="U234" s="2" t="n">
        <x:v>2021</x:v>
      </x:c>
      <x:c r="V234" s="2" t="str">
        <x:v>https://www.mlit.go.jp/road/census/r3/data/csv/kasyo19.csv</x:v>
      </x:c>
      <x:c r="W234" s="2" t="n">
        <x:v>334</x:v>
      </x:c>
    </x:row>
    <x:row r="235" ht="21" customHeight="1">
      <x:c r="A235" s="7" t="str">
        <x:v>山梨：韮崎市</x:v>
      </x:c>
      <x:c r="B235" s="2" t="str">
        <x:v>19301410020</x:v>
      </x:c>
      <x:c r="C235" s="2" t="str">
        <x:v>19000_16020</x:v>
      </x:c>
      <x:c r="D235" s="2" t="str">
        <x:v>19207</x:v>
      </x:c>
      <x:c r="E235" s="2" t="str">
        <x:v>一般国道１４１号</x:v>
      </x:c>
      <x:c r="F235" s="2" t="str">
        <x:v>韮崎市中田町小田川１３４１</x:v>
      </x:c>
      <x:c r="G235" s="2" t="str">
        <x:v>韮崎市中田町小田川１３４１</x:v>
      </x:c>
      <x:c r="H235" s="2" t="str">
        <x:v>観測</x:v>
      </x:c>
      <x:c r="I235" s="2" t="str">
        <x:v>観測</x:v>
      </x:c>
      <x:c r="J235" s="2" t="str">
        <x:v>24時間</x:v>
      </x:c>
      <x:c r="K235" s="2" t="str">
        <x:v>24時間</x:v>
      </x:c>
      <x:c r="L235" s="2" t="str">
        <x:v>20211021</x:v>
      </x:c>
      <x:c r="M235" s="2" t="str">
        <x:v>20211021</x:v>
      </x:c>
      <x:c r="N235" s="8" t="n">
        <x:v>9208</x:v>
      </x:c>
      <x:c r="O235" s="8" t="n">
        <x:v>1039</x:v>
      </x:c>
      <x:c r="P235" s="8" t="n">
        <x:v>10247</x:v>
      </x:c>
      <x:c r="Q235" s="8" t="n">
        <x:v>11419</x:v>
      </x:c>
      <x:c r="R235" s="8" t="n">
        <x:v>1485</x:v>
      </x:c>
      <x:c r="S235" s="8" t="n">
        <x:v>12904</x:v>
      </x:c>
      <x:c r="T235" s="11" t="n">
        <x:v>10.1</x:v>
      </x:c>
      <x:c r="U235" s="2" t="n">
        <x:v>2021</x:v>
      </x:c>
      <x:c r="V235" s="2" t="str">
        <x:v>https://www.mlit.go.jp/road/census/r3/data/csv/kasyo19.csv</x:v>
      </x:c>
      <x:c r="W235" s="2" t="n">
        <x:v>335</x:v>
      </x:c>
    </x:row>
    <x:row r="236" ht="21" customHeight="1">
      <x:c r="A236" s="7" t="str">
        <x:v>山梨：韮崎市</x:v>
      </x:c>
      <x:c r="B236" s="2" t="str">
        <x:v>19301410030</x:v>
      </x:c>
      <x:c r="C236" s="2" t="str">
        <x:v>19000_16020</x:v>
      </x:c>
      <x:c r="D236" s="2" t="str">
        <x:v>19207</x:v>
      </x:c>
      <x:c r="E236" s="2" t="str">
        <x:v>一般国道１４１号</x:v>
      </x:c>
      <x:c r="F236" s="2" t="str">
        <x:v>韮崎市中田町小田川１３４１</x:v>
      </x:c>
      <x:c r="G236" s="2" t="str">
        <x:v>韮崎市中田町小田川１３４１</x:v>
      </x:c>
      <x:c r="H236" s="2" t="str">
        <x:v>観測</x:v>
      </x:c>
      <x:c r="I236" s="2" t="str">
        <x:v>観測</x:v>
      </x:c>
      <x:c r="J236" s="2" t="str">
        <x:v>24時間</x:v>
      </x:c>
      <x:c r="K236" s="2" t="str">
        <x:v>24時間</x:v>
      </x:c>
      <x:c r="L236" s="2" t="str">
        <x:v>20211021</x:v>
      </x:c>
      <x:c r="M236" s="2" t="str">
        <x:v>20211021</x:v>
      </x:c>
      <x:c r="N236" s="8" t="n">
        <x:v>9208</x:v>
      </x:c>
      <x:c r="O236" s="8" t="n">
        <x:v>1039</x:v>
      </x:c>
      <x:c r="P236" s="8" t="n">
        <x:v>10247</x:v>
      </x:c>
      <x:c r="Q236" s="8" t="n">
        <x:v>11419</x:v>
      </x:c>
      <x:c r="R236" s="8" t="n">
        <x:v>1485</x:v>
      </x:c>
      <x:c r="S236" s="8" t="n">
        <x:v>12904</x:v>
      </x:c>
      <x:c r="T236" s="11" t="n">
        <x:v>10.1</x:v>
      </x:c>
      <x:c r="U236" s="2" t="n">
        <x:v>2021</x:v>
      </x:c>
      <x:c r="V236" s="2" t="str">
        <x:v>https://www.mlit.go.jp/road/census/r3/data/csv/kasyo19.csv</x:v>
      </x:c>
      <x:c r="W236" s="2" t="n">
        <x:v>336</x:v>
      </x:c>
    </x:row>
    <x:row r="237" ht="21" customHeight="1">
      <x:c r="A237" s="7" t="str">
        <x:v>山梨：韮崎市</x:v>
      </x:c>
      <x:c r="B237" s="2" t="str">
        <x:v>19301410040</x:v>
      </x:c>
      <x:c r="C237" s="2" t="str">
        <x:v>19000_16020</x:v>
      </x:c>
      <x:c r="D237" s="2" t="str">
        <x:v>19207</x:v>
      </x:c>
      <x:c r="E237" s="2" t="str">
        <x:v>一般国道１４１号</x:v>
      </x:c>
      <x:c r="F237" s="2" t="str">
        <x:v>韮崎市中田町小田川１３４１</x:v>
      </x:c>
      <x:c r="G237" s="2" t="str">
        <x:v>韮崎市中田町小田川１３４１</x:v>
      </x:c>
      <x:c r="H237" s="2" t="str">
        <x:v>観測</x:v>
      </x:c>
      <x:c r="I237" s="2" t="str">
        <x:v>観測</x:v>
      </x:c>
      <x:c r="J237" s="2" t="str">
        <x:v>24時間</x:v>
      </x:c>
      <x:c r="K237" s="2" t="str">
        <x:v>24時間</x:v>
      </x:c>
      <x:c r="L237" s="2" t="str">
        <x:v>20211021</x:v>
      </x:c>
      <x:c r="M237" s="2" t="str">
        <x:v>20211021</x:v>
      </x:c>
      <x:c r="N237" s="8" t="n">
        <x:v>9208</x:v>
      </x:c>
      <x:c r="O237" s="8" t="n">
        <x:v>1039</x:v>
      </x:c>
      <x:c r="P237" s="8" t="n">
        <x:v>10247</x:v>
      </x:c>
      <x:c r="Q237" s="8" t="n">
        <x:v>11419</x:v>
      </x:c>
      <x:c r="R237" s="8" t="n">
        <x:v>1485</x:v>
      </x:c>
      <x:c r="S237" s="8" t="n">
        <x:v>12904</x:v>
      </x:c>
      <x:c r="T237" s="11" t="n">
        <x:v>10.1</x:v>
      </x:c>
      <x:c r="U237" s="2" t="n">
        <x:v>2021</x:v>
      </x:c>
      <x:c r="V237" s="2" t="str">
        <x:v>https://www.mlit.go.jp/road/census/r3/data/csv/kasyo19.csv</x:v>
      </x:c>
      <x:c r="W237" s="2" t="n">
        <x:v>337</x:v>
      </x:c>
    </x:row>
    <x:row r="238" ht="21" customHeight="1">
      <x:c r="A238" s="7" t="str">
        <x:v>山梨：韮崎市</x:v>
      </x:c>
      <x:c r="B238" s="2" t="str">
        <x:v>19301410050</x:v>
      </x:c>
      <x:c r="C238" s="2" t="str">
        <x:v>19000_16030</x:v>
      </x:c>
      <x:c r="D238" s="2" t="str">
        <x:v>19207</x:v>
      </x:c>
      <x:c r="E238" s="2" t="str">
        <x:v>一般国道１４１号</x:v>
      </x:c>
      <x:c r="F238" s="2" t="str">
        <x:v>北杜市須玉町若神子１８７３－４</x:v>
      </x:c>
      <x:c r="G238" s="2" t="str">
        <x:v>北杜市須玉町若神子１８７３－４</x:v>
      </x:c>
      <x:c r="H238" s="2" t="str">
        <x:v>観測</x:v>
      </x:c>
      <x:c r="I238" s="2" t="str">
        <x:v>観測</x:v>
      </x:c>
      <x:c r="J238" s="2" t="str">
        <x:v>12時間</x:v>
      </x:c>
      <x:c r="K238" s="2" t="str">
        <x:v>12時間</x:v>
      </x:c>
      <x:c r="L238" s="2" t="str">
        <x:v>20211021</x:v>
      </x:c>
      <x:c r="M238" s="2" t="str">
        <x:v>20211021</x:v>
      </x:c>
      <x:c r="N238" s="8" t="n">
        <x:v>13643</x:v>
      </x:c>
      <x:c r="O238" s="8" t="n">
        <x:v>1735</x:v>
      </x:c>
      <x:c r="P238" s="8" t="n">
        <x:v>15378</x:v>
      </x:c>
      <x:c r="Q238" s="8" t="n">
        <x:v>17638</x:v>
      </x:c>
      <x:c r="R238" s="8" t="n">
        <x:v>2969</x:v>
      </x:c>
      <x:c r="S238" s="8" t="n">
        <x:v>20607</x:v>
      </x:c>
      <x:c r="T238" s="11" t="n">
        <x:v>11.3</x:v>
      </x:c>
      <x:c r="U238" s="2" t="n">
        <x:v>2021</x:v>
      </x:c>
      <x:c r="V238" s="2" t="str">
        <x:v>https://www.mlit.go.jp/road/census/r3/data/csv/kasyo19.csv</x:v>
      </x:c>
      <x:c r="W238" s="2" t="n">
        <x:v>338</x:v>
      </x:c>
    </x:row>
    <x:row r="239" ht="21" customHeight="1">
      <x:c r="A239" s="7" t="str">
        <x:v>山梨：韮崎市</x:v>
      </x:c>
      <x:c r="B239" s="2" t="str">
        <x:v>19400060160</x:v>
      </x:c>
      <x:c r="C239" s="2" t="str">
        <x:v>19000_40330</x:v>
      </x:c>
      <x:c r="D239" s="2" t="str">
        <x:v>19207</x:v>
      </x:c>
      <x:c r="E239" s="2" t="str">
        <x:v>甲府韮崎線</x:v>
      </x:c>
      <x:c r="F239" s="2" t="str">
        <x:v>甲斐市宇津谷５１８６</x:v>
      </x:c>
      <x:c r="G239" s="2" t="str">
        <x:v>甲斐市宇津谷５１８６</x:v>
      </x:c>
      <x:c r="H239" s="2" t="str">
        <x:v>観測</x:v>
      </x:c>
      <x:c r="I239" s="2" t="str">
        <x:v>観測</x:v>
      </x:c>
      <x:c r="J239" s="2" t="str">
        <x:v>12時間</x:v>
      </x:c>
      <x:c r="K239" s="2" t="str">
        <x:v>12時間</x:v>
      </x:c>
      <x:c r="L239" s="2" t="str">
        <x:v>20211021</x:v>
      </x:c>
      <x:c r="M239" s="2" t="str">
        <x:v>20211021</x:v>
      </x:c>
      <x:c r="N239" s="8" t="n">
        <x:v>6842</x:v>
      </x:c>
      <x:c r="O239" s="8" t="n">
        <x:v>233</x:v>
      </x:c>
      <x:c r="P239" s="8" t="n">
        <x:v>7075</x:v>
      </x:c>
      <x:c r="Q239" s="8" t="n">
        <x:v>8551</x:v>
      </x:c>
      <x:c r="R239" s="8" t="n">
        <x:v>647</x:v>
      </x:c>
      <x:c r="S239" s="8" t="n">
        <x:v>9198</x:v>
      </x:c>
      <x:c r="T239" s="11" t="n">
        <x:v>3.3</x:v>
      </x:c>
      <x:c r="U239" s="2" t="n">
        <x:v>2021</x:v>
      </x:c>
      <x:c r="V239" s="2" t="str">
        <x:v>https://www.mlit.go.jp/road/census/r3/data/csv/kasyo19.csv</x:v>
      </x:c>
      <x:c r="W239" s="2" t="n">
        <x:v>506</x:v>
      </x:c>
    </x:row>
    <x:row r="240" ht="21" customHeight="1">
      <x:c r="A240" s="7" t="str">
        <x:v>山梨：韮崎市</x:v>
      </x:c>
      <x:c r="B240" s="2" t="str">
        <x:v>19400060170</x:v>
      </x:c>
      <x:c r="C240" s="2" t="str">
        <x:v>19000_40330</x:v>
      </x:c>
      <x:c r="D240" s="2" t="str">
        <x:v>19207</x:v>
      </x:c>
      <x:c r="E240" s="2" t="str">
        <x:v>甲府韮崎線</x:v>
      </x:c>
      <x:c r="F240" s="2" t="str">
        <x:v>甲斐市宇津谷５１８６</x:v>
      </x:c>
      <x:c r="G240" s="2" t="str">
        <x:v>甲斐市宇津谷５１８６</x:v>
      </x:c>
      <x:c r="H240" s="2" t="str">
        <x:v>観測</x:v>
      </x:c>
      <x:c r="I240" s="2" t="str">
        <x:v>観測</x:v>
      </x:c>
      <x:c r="J240" s="2" t="str">
        <x:v>12時間</x:v>
      </x:c>
      <x:c r="K240" s="2" t="str">
        <x:v>12時間</x:v>
      </x:c>
      <x:c r="L240" s="2" t="str">
        <x:v>20211021</x:v>
      </x:c>
      <x:c r="M240" s="2" t="str">
        <x:v>20211021</x:v>
      </x:c>
      <x:c r="N240" s="8" t="n">
        <x:v>6842</x:v>
      </x:c>
      <x:c r="O240" s="8" t="n">
        <x:v>233</x:v>
      </x:c>
      <x:c r="P240" s="8" t="n">
        <x:v>7075</x:v>
      </x:c>
      <x:c r="Q240" s="8" t="n">
        <x:v>8551</x:v>
      </x:c>
      <x:c r="R240" s="8" t="n">
        <x:v>647</x:v>
      </x:c>
      <x:c r="S240" s="8" t="n">
        <x:v>9198</x:v>
      </x:c>
      <x:c r="T240" s="11" t="n">
        <x:v>3.3</x:v>
      </x:c>
      <x:c r="U240" s="2" t="n">
        <x:v>2021</x:v>
      </x:c>
      <x:c r="V240" s="2" t="str">
        <x:v>https://www.mlit.go.jp/road/census/r3/data/csv/kasyo19.csv</x:v>
      </x:c>
      <x:c r="W240" s="2" t="n">
        <x:v>507</x:v>
      </x:c>
    </x:row>
    <x:row r="241" ht="21" customHeight="1">
      <x:c r="A241" s="7" t="str">
        <x:v>山梨：韮崎市</x:v>
      </x:c>
      <x:c r="B241" s="2" t="str">
        <x:v>19400060260</x:v>
      </x:c>
      <x:c r="C241" s="2" t="str">
        <x:v>19000_40370</x:v>
      </x:c>
      <x:c r="D241" s="2" t="str">
        <x:v>19207</x:v>
      </x:c>
      <x:c r="E241" s="2" t="str">
        <x:v>甲府韮崎線</x:v>
      </x:c>
      <x:c r="F241" s="2"/>
      <x:c r="G241" s="2"/>
      <x:c r="H241" s="2" t="str">
        <x:v>推定</x:v>
      </x:c>
      <x:c r="I241" s="2" t="str">
        <x:v>推定</x:v>
      </x:c>
      <x:c r="J241" s="2" t="str">
        <x:v>未記載</x:v>
      </x:c>
      <x:c r="K241" s="2" t="str">
        <x:v>未記載</x:v>
      </x:c>
      <x:c r="L241" s="2"/>
      <x:c r="M241" s="2"/>
      <x:c r="N241" s="8" t="n">
        <x:v>8122</x:v>
      </x:c>
      <x:c r="O241" s="8" t="n">
        <x:v>401</x:v>
      </x:c>
      <x:c r="P241" s="8" t="n">
        <x:v>8523</x:v>
      </x:c>
      <x:c r="Q241" s="8" t="n">
        <x:v>10188</x:v>
      </x:c>
      <x:c r="R241" s="8" t="n">
        <x:v>892</x:v>
      </x:c>
      <x:c r="S241" s="8" t="n">
        <x:v>11080</x:v>
      </x:c>
      <x:c r="T241" s="11" t="n">
        <x:v>4.7</x:v>
      </x:c>
      <x:c r="U241" s="2" t="n">
        <x:v>2021</x:v>
      </x:c>
      <x:c r="V241" s="2" t="str">
        <x:v>https://www.mlit.go.jp/road/census/r3/data/csv/kasyo19.csv</x:v>
      </x:c>
      <x:c r="W241" s="2" t="n">
        <x:v>513</x:v>
      </x:c>
    </x:row>
    <x:row r="242" ht="21" customHeight="1">
      <x:c r="A242" s="7" t="str">
        <x:v>山梨：韮崎市</x:v>
      </x:c>
      <x:c r="B242" s="2" t="str">
        <x:v>19400120010</x:v>
      </x:c>
      <x:c r="C242" s="2" t="str">
        <x:v>19000_40620</x:v>
      </x:c>
      <x:c r="D242" s="2" t="str">
        <x:v>19207</x:v>
      </x:c>
      <x:c r="E242" s="2" t="str">
        <x:v>韮崎南アルプス中央線</x:v>
      </x:c>
      <x:c r="F242" s="2" t="str">
        <x:v>韮崎市円野町下円井１７５</x:v>
      </x:c>
      <x:c r="G242" s="2" t="str">
        <x:v>韮崎市円野町下円井１７５</x:v>
      </x:c>
      <x:c r="H242" s="2" t="str">
        <x:v>観測</x:v>
      </x:c>
      <x:c r="I242" s="2" t="str">
        <x:v>観測</x:v>
      </x:c>
      <x:c r="J242" s="2" t="str">
        <x:v>12時間</x:v>
      </x:c>
      <x:c r="K242" s="2" t="str">
        <x:v>12時間</x:v>
      </x:c>
      <x:c r="L242" s="2" t="str">
        <x:v>20211021</x:v>
      </x:c>
      <x:c r="M242" s="2" t="str">
        <x:v>20211021</x:v>
      </x:c>
      <x:c r="N242" s="8" t="n">
        <x:v>2031</x:v>
      </x:c>
      <x:c r="O242" s="8" t="n">
        <x:v>215</x:v>
      </x:c>
      <x:c r="P242" s="8" t="n">
        <x:v>2246</x:v>
      </x:c>
      <x:c r="Q242" s="8" t="n">
        <x:v>2430</x:v>
      </x:c>
      <x:c r="R242" s="8" t="n">
        <x:v>310</x:v>
      </x:c>
      <x:c r="S242" s="8" t="n">
        <x:v>2740</x:v>
      </x:c>
      <x:c r="T242" s="11" t="n">
        <x:v>9.6</x:v>
      </x:c>
      <x:c r="U242" s="2" t="n">
        <x:v>2021</x:v>
      </x:c>
      <x:c r="V242" s="2" t="str">
        <x:v>https://www.mlit.go.jp/road/census/r3/data/csv/kasyo19.csv</x:v>
      </x:c>
      <x:c r="W242" s="2" t="n">
        <x:v>562</x:v>
      </x:c>
    </x:row>
    <x:row r="243" ht="21" customHeight="1">
      <x:c r="A243" s="7" t="str">
        <x:v>山梨：韮崎市</x:v>
      </x:c>
      <x:c r="B243" s="2" t="str">
        <x:v>19400120020</x:v>
      </x:c>
      <x:c r="C243" s="2" t="str">
        <x:v>19000_40630</x:v>
      </x:c>
      <x:c r="D243" s="2" t="str">
        <x:v>19207</x:v>
      </x:c>
      <x:c r="E243" s="2" t="str">
        <x:v>韮崎南アルプス中央線</x:v>
      </x:c>
      <x:c r="F243" s="2"/>
      <x:c r="G243" s="2"/>
      <x:c r="H243" s="2" t="str">
        <x:v>推定</x:v>
      </x:c>
      <x:c r="I243" s="2" t="str">
        <x:v>推定</x:v>
      </x:c>
      <x:c r="J243" s="2" t="str">
        <x:v>未記載</x:v>
      </x:c>
      <x:c r="K243" s="2" t="str">
        <x:v>未記載</x:v>
      </x:c>
      <x:c r="L243" s="2"/>
      <x:c r="M243" s="2"/>
      <x:c r="N243" s="8" t="n">
        <x:v>4110</x:v>
      </x:c>
      <x:c r="O243" s="8" t="n">
        <x:v>328</x:v>
      </x:c>
      <x:c r="P243" s="8" t="n">
        <x:v>4438</x:v>
      </x:c>
      <x:c r="Q243" s="8" t="n">
        <x:v>5051</x:v>
      </x:c>
      <x:c r="R243" s="8" t="n">
        <x:v>541</x:v>
      </x:c>
      <x:c r="S243" s="8" t="n">
        <x:v>5592</x:v>
      </x:c>
      <x:c r="T243" s="11" t="n">
        <x:v>7.4</x:v>
      </x:c>
      <x:c r="U243" s="2" t="n">
        <x:v>2021</x:v>
      </x:c>
      <x:c r="V243" s="2" t="str">
        <x:v>https://www.mlit.go.jp/road/census/r3/data/csv/kasyo19.csv</x:v>
      </x:c>
      <x:c r="W243" s="2" t="n">
        <x:v>563</x:v>
      </x:c>
    </x:row>
    <x:row r="244" ht="21" customHeight="1">
      <x:c r="A244" s="7" t="str">
        <x:v>山梨：韮崎市</x:v>
      </x:c>
      <x:c r="B244" s="2" t="str">
        <x:v>19400120030</x:v>
      </x:c>
      <x:c r="C244" s="2" t="str">
        <x:v>19000_40640</x:v>
      </x:c>
      <x:c r="D244" s="2" t="str">
        <x:v>19207</x:v>
      </x:c>
      <x:c r="E244" s="2" t="str">
        <x:v>韮崎南アルプス中央線</x:v>
      </x:c>
      <x:c r="F244" s="2" t="str">
        <x:v>韮崎市旭町上條北割３２３２－１</x:v>
      </x:c>
      <x:c r="G244" s="2" t="str">
        <x:v>韮崎市旭町上條北割３２３２－１</x:v>
      </x:c>
      <x:c r="H244" s="2" t="str">
        <x:v>観測</x:v>
      </x:c>
      <x:c r="I244" s="2" t="str">
        <x:v>観測</x:v>
      </x:c>
      <x:c r="J244" s="2" t="str">
        <x:v>12時間</x:v>
      </x:c>
      <x:c r="K244" s="2" t="str">
        <x:v>12時間</x:v>
      </x:c>
      <x:c r="L244" s="2" t="str">
        <x:v>20211021</x:v>
      </x:c>
      <x:c r="M244" s="2" t="str">
        <x:v>20211021</x:v>
      </x:c>
      <x:c r="N244" s="8" t="n">
        <x:v>5307</x:v>
      </x:c>
      <x:c r="O244" s="8" t="n">
        <x:v>579</x:v>
      </x:c>
      <x:c r="P244" s="8" t="n">
        <x:v>5886</x:v>
      </x:c>
      <x:c r="Q244" s="8" t="n">
        <x:v>6639</x:v>
      </x:c>
      <x:c r="R244" s="8" t="n">
        <x:v>895</x:v>
      </x:c>
      <x:c r="S244" s="8" t="n">
        <x:v>7534</x:v>
      </x:c>
      <x:c r="T244" s="11" t="n">
        <x:v>9.8</x:v>
      </x:c>
      <x:c r="U244" s="2" t="n">
        <x:v>2021</x:v>
      </x:c>
      <x:c r="V244" s="2" t="str">
        <x:v>https://www.mlit.go.jp/road/census/r3/data/csv/kasyo19.csv</x:v>
      </x:c>
      <x:c r="W244" s="2" t="n">
        <x:v>564</x:v>
      </x:c>
    </x:row>
    <x:row r="245" ht="21" customHeight="1">
      <x:c r="A245" s="7" t="str">
        <x:v>山梨：韮崎市</x:v>
      </x:c>
      <x:c r="B245" s="2" t="str">
        <x:v>19400170090</x:v>
      </x:c>
      <x:c r="C245" s="2" t="str">
        <x:v>19000_40810</x:v>
      </x:c>
      <x:c r="D245" s="2" t="str">
        <x:v>19207</x:v>
      </x:c>
      <x:c r="E245" s="2" t="str">
        <x:v>茅野北杜韮崎線</x:v>
      </x:c>
      <x:c r="F245" s="2" t="str">
        <x:v>北杜市須玉町若神子新町７９５</x:v>
      </x:c>
      <x:c r="G245" s="2" t="str">
        <x:v>北杜市須玉町若神子新町７９５</x:v>
      </x:c>
      <x:c r="H245" s="2" t="str">
        <x:v>観測</x:v>
      </x:c>
      <x:c r="I245" s="2" t="str">
        <x:v>観測</x:v>
      </x:c>
      <x:c r="J245" s="2" t="str">
        <x:v>12時間</x:v>
      </x:c>
      <x:c r="K245" s="2" t="str">
        <x:v>12時間</x:v>
      </x:c>
      <x:c r="L245" s="2" t="str">
        <x:v>20211021</x:v>
      </x:c>
      <x:c r="M245" s="2" t="str">
        <x:v>20211021</x:v>
      </x:c>
      <x:c r="N245" s="8" t="n">
        <x:v>5774</x:v>
      </x:c>
      <x:c r="O245" s="8" t="n">
        <x:v>345</x:v>
      </x:c>
      <x:c r="P245" s="8" t="n">
        <x:v>6119</x:v>
      </x:c>
      <x:c r="Q245" s="8" t="n">
        <x:v>7160</x:v>
      </x:c>
      <x:c r="R245" s="8" t="n">
        <x:v>672</x:v>
      </x:c>
      <x:c r="S245" s="8" t="n">
        <x:v>7832</x:v>
      </x:c>
      <x:c r="T245" s="11" t="n">
        <x:v>5.6</x:v>
      </x:c>
      <x:c r="U245" s="2" t="n">
        <x:v>2021</x:v>
      </x:c>
      <x:c r="V245" s="2" t="str">
        <x:v>https://www.mlit.go.jp/road/census/r3/data/csv/kasyo19.csv</x:v>
      </x:c>
      <x:c r="W245" s="2" t="n">
        <x:v>598</x:v>
      </x:c>
    </x:row>
    <x:row r="246" ht="21" customHeight="1">
      <x:c r="A246" s="7" t="str">
        <x:v>山梨：韮崎市</x:v>
      </x:c>
      <x:c r="B246" s="2" t="str">
        <x:v>19400170100</x:v>
      </x:c>
      <x:c r="C246" s="2" t="str">
        <x:v>19000_40820</x:v>
      </x:c>
      <x:c r="D246" s="2" t="str">
        <x:v>19207</x:v>
      </x:c>
      <x:c r="E246" s="2" t="str">
        <x:v>茅野北杜韮崎線</x:v>
      </x:c>
      <x:c r="F246" s="2"/>
      <x:c r="G246" s="2"/>
      <x:c r="H246" s="2" t="str">
        <x:v>推定</x:v>
      </x:c>
      <x:c r="I246" s="2" t="str">
        <x:v>推定</x:v>
      </x:c>
      <x:c r="J246" s="2" t="str">
        <x:v>未記載</x:v>
      </x:c>
      <x:c r="K246" s="2" t="str">
        <x:v>未記載</x:v>
      </x:c>
      <x:c r="L246" s="2"/>
      <x:c r="M246" s="2"/>
      <x:c r="N246" s="8" t="n">
        <x:v>4243</x:v>
      </x:c>
      <x:c r="O246" s="8" t="n">
        <x:v>590</x:v>
      </x:c>
      <x:c r="P246" s="8" t="n">
        <x:v>4833</x:v>
      </x:c>
      <x:c r="Q246" s="8" t="n">
        <x:v>5296</x:v>
      </x:c>
      <x:c r="R246" s="8" t="n">
        <x:v>842</x:v>
      </x:c>
      <x:c r="S246" s="8" t="n">
        <x:v>6138</x:v>
      </x:c>
      <x:c r="T246" s="11" t="n">
        <x:v>12.2</x:v>
      </x:c>
      <x:c r="U246" s="2" t="n">
        <x:v>2021</x:v>
      </x:c>
      <x:c r="V246" s="2" t="str">
        <x:v>https://www.mlit.go.jp/road/census/r3/data/csv/kasyo19.csv</x:v>
      </x:c>
      <x:c r="W246" s="2" t="n">
        <x:v>599</x:v>
      </x:c>
    </x:row>
    <x:row r="247" ht="21" customHeight="1">
      <x:c r="A247" s="7" t="str">
        <x:v>山梨：韮崎市</x:v>
      </x:c>
      <x:c r="B247" s="2" t="str">
        <x:v>19400170102</x:v>
      </x:c>
      <x:c r="C247" s="2" t="str">
        <x:v>19000_40820</x:v>
      </x:c>
      <x:c r="D247" s="2" t="str">
        <x:v>19207</x:v>
      </x:c>
      <x:c r="E247" s="2" t="str">
        <x:v>茅野北杜韮崎線</x:v>
      </x:c>
      <x:c r="F247" s="2"/>
      <x:c r="G247" s="2"/>
      <x:c r="H247" s="2" t="str">
        <x:v>推定</x:v>
      </x:c>
      <x:c r="I247" s="2" t="str">
        <x:v>推定</x:v>
      </x:c>
      <x:c r="J247" s="2" t="str">
        <x:v>未記載</x:v>
      </x:c>
      <x:c r="K247" s="2" t="str">
        <x:v>未記載</x:v>
      </x:c>
      <x:c r="L247" s="2"/>
      <x:c r="M247" s="2"/>
      <x:c r="N247" s="8" t="n">
        <x:v>4243</x:v>
      </x:c>
      <x:c r="O247" s="8" t="n">
        <x:v>590</x:v>
      </x:c>
      <x:c r="P247" s="8" t="n">
        <x:v>4833</x:v>
      </x:c>
      <x:c r="Q247" s="8" t="n">
        <x:v>5296</x:v>
      </x:c>
      <x:c r="R247" s="8" t="n">
        <x:v>842</x:v>
      </x:c>
      <x:c r="S247" s="8" t="n">
        <x:v>6138</x:v>
      </x:c>
      <x:c r="T247" s="11" t="n">
        <x:v>12.2</x:v>
      </x:c>
      <x:c r="U247" s="2" t="n">
        <x:v>2021</x:v>
      </x:c>
      <x:c r="V247" s="2" t="str">
        <x:v>https://www.mlit.go.jp/road/census/r3/data/csv/kasyo19.csv</x:v>
      </x:c>
      <x:c r="W247" s="2" t="n">
        <x:v>600</x:v>
      </x:c>
    </x:row>
    <x:row r="248" ht="21" customHeight="1">
      <x:c r="A248" s="7" t="str">
        <x:v>山梨：韮崎市</x:v>
      </x:c>
      <x:c r="B248" s="2" t="str">
        <x:v>19400170170</x:v>
      </x:c>
      <x:c r="C248" s="2" t="str">
        <x:v>19000_40860</x:v>
      </x:c>
      <x:c r="D248" s="2" t="str">
        <x:v>19207</x:v>
      </x:c>
      <x:c r="E248" s="2" t="str">
        <x:v>茅野北杜韮崎線</x:v>
      </x:c>
      <x:c r="F248" s="2"/>
      <x:c r="G248" s="2"/>
      <x:c r="H248" s="2" t="str">
        <x:v>未記載</x:v>
      </x:c>
      <x:c r="I248" s="2" t="str">
        <x:v>未記載</x:v>
      </x:c>
      <x:c r="J248" s="2" t="str">
        <x:v>未記載</x:v>
      </x:c>
      <x:c r="K248" s="2" t="str">
        <x:v>未記載</x:v>
      </x:c>
      <x:c r="L248" s="2"/>
      <x:c r="M248" s="2"/>
      <x:c r="N248" s="8"/>
      <x:c r="O248" s="8"/>
      <x:c r="P248" s="8"/>
      <x:c r="Q248" s="8"/>
      <x:c r="R248" s="8"/>
      <x:c r="S248" s="8"/>
      <x:c r="T248" s="11"/>
      <x:c r="U248" s="2" t="n">
        <x:v>2021</x:v>
      </x:c>
      <x:c r="V248" s="2" t="str">
        <x:v>https://www.mlit.go.jp/road/census/r3/data/csv/kasyo19.csv</x:v>
      </x:c>
      <x:c r="W248" s="2" t="n">
        <x:v>601</x:v>
      </x:c>
    </x:row>
    <x:row r="249" ht="21" customHeight="1">
      <x:c r="A249" s="7" t="str">
        <x:v>山梨：韮崎市</x:v>
      </x:c>
      <x:c r="B249" s="2" t="str">
        <x:v>19400170110</x:v>
      </x:c>
      <x:c r="C249" s="2" t="str">
        <x:v>19000_40840</x:v>
      </x:c>
      <x:c r="D249" s="2" t="str">
        <x:v>19207</x:v>
      </x:c>
      <x:c r="E249" s="2" t="str">
        <x:v>茅野北杜韮崎線</x:v>
      </x:c>
      <x:c r="F249" s="2"/>
      <x:c r="G249" s="2"/>
      <x:c r="H249" s="2" t="str">
        <x:v>推定</x:v>
      </x:c>
      <x:c r="I249" s="2" t="str">
        <x:v>推定</x:v>
      </x:c>
      <x:c r="J249" s="2" t="str">
        <x:v>未記載</x:v>
      </x:c>
      <x:c r="K249" s="2" t="str">
        <x:v>未記載</x:v>
      </x:c>
      <x:c r="L249" s="2"/>
      <x:c r="M249" s="2"/>
      <x:c r="N249" s="8" t="n">
        <x:v>4243</x:v>
      </x:c>
      <x:c r="O249" s="8" t="n">
        <x:v>590</x:v>
      </x:c>
      <x:c r="P249" s="8" t="n">
        <x:v>4833</x:v>
      </x:c>
      <x:c r="Q249" s="8" t="n">
        <x:v>5296</x:v>
      </x:c>
      <x:c r="R249" s="8" t="n">
        <x:v>842</x:v>
      </x:c>
      <x:c r="S249" s="8" t="n">
        <x:v>6138</x:v>
      </x:c>
      <x:c r="T249" s="11" t="n">
        <x:v>12.2</x:v>
      </x:c>
      <x:c r="U249" s="2" t="n">
        <x:v>2021</x:v>
      </x:c>
      <x:c r="V249" s="2" t="str">
        <x:v>https://www.mlit.go.jp/road/census/r3/data/csv/kasyo19.csv</x:v>
      </x:c>
      <x:c r="W249" s="2" t="n">
        <x:v>602</x:v>
      </x:c>
    </x:row>
    <x:row r="250" ht="21" customHeight="1">
      <x:c r="A250" s="7" t="str">
        <x:v>山梨：韮崎市</x:v>
      </x:c>
      <x:c r="B250" s="2" t="str">
        <x:v>19400170120</x:v>
      </x:c>
      <x:c r="C250" s="2" t="str">
        <x:v>19000_40840</x:v>
      </x:c>
      <x:c r="D250" s="2" t="str">
        <x:v>19207</x:v>
      </x:c>
      <x:c r="E250" s="2" t="str">
        <x:v>茅野北杜韮崎線</x:v>
      </x:c>
      <x:c r="F250" s="2"/>
      <x:c r="G250" s="2"/>
      <x:c r="H250" s="2" t="str">
        <x:v>推定</x:v>
      </x:c>
      <x:c r="I250" s="2" t="str">
        <x:v>推定</x:v>
      </x:c>
      <x:c r="J250" s="2" t="str">
        <x:v>未記載</x:v>
      </x:c>
      <x:c r="K250" s="2" t="str">
        <x:v>未記載</x:v>
      </x:c>
      <x:c r="L250" s="2"/>
      <x:c r="M250" s="2"/>
      <x:c r="N250" s="8" t="n">
        <x:v>4243</x:v>
      </x:c>
      <x:c r="O250" s="8" t="n">
        <x:v>590</x:v>
      </x:c>
      <x:c r="P250" s="8" t="n">
        <x:v>4833</x:v>
      </x:c>
      <x:c r="Q250" s="8" t="n">
        <x:v>5296</x:v>
      </x:c>
      <x:c r="R250" s="8" t="n">
        <x:v>842</x:v>
      </x:c>
      <x:c r="S250" s="8" t="n">
        <x:v>6138</x:v>
      </x:c>
      <x:c r="T250" s="11" t="n">
        <x:v>12.2</x:v>
      </x:c>
      <x:c r="U250" s="2" t="n">
        <x:v>2021</x:v>
      </x:c>
      <x:c r="V250" s="2" t="str">
        <x:v>https://www.mlit.go.jp/road/census/r3/data/csv/kasyo19.csv</x:v>
      </x:c>
      <x:c r="W250" s="2" t="n">
        <x:v>603</x:v>
      </x:c>
    </x:row>
    <x:row r="251" ht="21" customHeight="1">
      <x:c r="A251" s="7" t="str">
        <x:v>山梨：韮崎市</x:v>
      </x:c>
      <x:c r="B251" s="2" t="str">
        <x:v>19400230010</x:v>
      </x:c>
      <x:c r="C251" s="2" t="str">
        <x:v>19000_41060</x:v>
      </x:c>
      <x:c r="D251" s="2" t="str">
        <x:v>19207</x:v>
      </x:c>
      <x:c r="E251" s="2" t="str">
        <x:v>韮崎増富線</x:v>
      </x:c>
      <x:c r="F251" s="2"/>
      <x:c r="G251" s="2"/>
      <x:c r="H251" s="2" t="str">
        <x:v>推定</x:v>
      </x:c>
      <x:c r="I251" s="2" t="str">
        <x:v>推定</x:v>
      </x:c>
      <x:c r="J251" s="2" t="str">
        <x:v>未記載</x:v>
      </x:c>
      <x:c r="K251" s="2" t="str">
        <x:v>未記載</x:v>
      </x:c>
      <x:c r="L251" s="2"/>
      <x:c r="M251" s="2"/>
      <x:c r="N251" s="8" t="n">
        <x:v>854</x:v>
      </x:c>
      <x:c r="O251" s="8" t="n">
        <x:v>50</x:v>
      </x:c>
      <x:c r="P251" s="8" t="n">
        <x:v>904</x:v>
      </x:c>
      <x:c r="Q251" s="8" t="n">
        <x:v>1013</x:v>
      </x:c>
      <x:c r="R251" s="8" t="n">
        <x:v>72</x:v>
      </x:c>
      <x:c r="S251" s="8" t="n">
        <x:v>1085</x:v>
      </x:c>
      <x:c r="T251" s="11" t="n">
        <x:v>5.5</x:v>
      </x:c>
      <x:c r="U251" s="2" t="n">
        <x:v>2021</x:v>
      </x:c>
      <x:c r="V251" s="2" t="str">
        <x:v>https://www.mlit.go.jp/road/census/r3/data/csv/kasyo19.csv</x:v>
      </x:c>
      <x:c r="W251" s="2" t="n">
        <x:v>639</x:v>
      </x:c>
    </x:row>
    <x:row r="252" ht="21" customHeight="1">
      <x:c r="A252" s="7" t="str">
        <x:v>山梨：韮崎市</x:v>
      </x:c>
      <x:c r="B252" s="2" t="str">
        <x:v>19400270010</x:v>
      </x:c>
      <x:c r="C252" s="2" t="str">
        <x:v>19000_41210</x:v>
      </x:c>
      <x:c r="D252" s="2" t="str">
        <x:v>19207</x:v>
      </x:c>
      <x:c r="E252" s="2" t="str">
        <x:v>韮崎昇仙峡線</x:v>
      </x:c>
      <x:c r="F252" s="2" t="str">
        <x:v>韮崎市若宮一丁目３－７</x:v>
      </x:c>
      <x:c r="G252" s="2" t="str">
        <x:v>韮崎市若宮一丁目３－７</x:v>
      </x:c>
      <x:c r="H252" s="2" t="str">
        <x:v>観測</x:v>
      </x:c>
      <x:c r="I252" s="2" t="str">
        <x:v>観測</x:v>
      </x:c>
      <x:c r="J252" s="2" t="str">
        <x:v>12時間</x:v>
      </x:c>
      <x:c r="K252" s="2" t="str">
        <x:v>12時間</x:v>
      </x:c>
      <x:c r="L252" s="2" t="str">
        <x:v>20211021</x:v>
      </x:c>
      <x:c r="M252" s="2" t="str">
        <x:v>20211021</x:v>
      </x:c>
      <x:c r="N252" s="8" t="n">
        <x:v>6471</x:v>
      </x:c>
      <x:c r="O252" s="8" t="n">
        <x:v>291</x:v>
      </x:c>
      <x:c r="P252" s="8" t="n">
        <x:v>6762</x:v>
      </x:c>
      <x:c r="Q252" s="8" t="n">
        <x:v>8052</x:v>
      </x:c>
      <x:c r="R252" s="8" t="n">
        <x:v>671</x:v>
      </x:c>
      <x:c r="S252" s="8" t="n">
        <x:v>8723</x:v>
      </x:c>
      <x:c r="T252" s="11" t="n">
        <x:v>4.3</x:v>
      </x:c>
      <x:c r="U252" s="2" t="n">
        <x:v>2021</x:v>
      </x:c>
      <x:c r="V252" s="2" t="str">
        <x:v>https://www.mlit.go.jp/road/census/r3/data/csv/kasyo19.csv</x:v>
      </x:c>
      <x:c r="W252" s="2" t="n">
        <x:v>666</x:v>
      </x:c>
    </x:row>
    <x:row r="253" ht="21" customHeight="1">
      <x:c r="A253" s="7" t="str">
        <x:v>山梨：韮崎市</x:v>
      </x:c>
      <x:c r="B253" s="2" t="str">
        <x:v>19400270020</x:v>
      </x:c>
      <x:c r="C253" s="2" t="str">
        <x:v>19000_41220</x:v>
      </x:c>
      <x:c r="D253" s="2" t="str">
        <x:v>19207</x:v>
      </x:c>
      <x:c r="E253" s="2" t="str">
        <x:v>韮崎昇仙峡線</x:v>
      </x:c>
      <x:c r="F253" s="2" t="str">
        <x:v>韮崎市穂坂町宮久保１２１６</x:v>
      </x:c>
      <x:c r="G253" s="2" t="str">
        <x:v>韮崎市穂坂町宮久保１２１６</x:v>
      </x:c>
      <x:c r="H253" s="2" t="str">
        <x:v>観測</x:v>
      </x:c>
      <x:c r="I253" s="2" t="str">
        <x:v>観測</x:v>
      </x:c>
      <x:c r="J253" s="2" t="str">
        <x:v>12時間</x:v>
      </x:c>
      <x:c r="K253" s="2" t="str">
        <x:v>12時間</x:v>
      </x:c>
      <x:c r="L253" s="2" t="str">
        <x:v>20211021</x:v>
      </x:c>
      <x:c r="M253" s="2" t="str">
        <x:v>20211021</x:v>
      </x:c>
      <x:c r="N253" s="8" t="n">
        <x:v>7645</x:v>
      </x:c>
      <x:c r="O253" s="8" t="n">
        <x:v>820</x:v>
      </x:c>
      <x:c r="P253" s="8" t="n">
        <x:v>8465</x:v>
      </x:c>
      <x:c r="Q253" s="8" t="n">
        <x:v>9747</x:v>
      </x:c>
      <x:c r="R253" s="8" t="n">
        <x:v>1342</x:v>
      </x:c>
      <x:c r="S253" s="8" t="n">
        <x:v>11089</x:v>
      </x:c>
      <x:c r="T253" s="11" t="n">
        <x:v>9.7</x:v>
      </x:c>
      <x:c r="U253" s="2" t="n">
        <x:v>2021</x:v>
      </x:c>
      <x:c r="V253" s="2" t="str">
        <x:v>https://www.mlit.go.jp/road/census/r3/data/csv/kasyo19.csv</x:v>
      </x:c>
      <x:c r="W253" s="2" t="n">
        <x:v>667</x:v>
      </x:c>
    </x:row>
    <x:row r="254" ht="21" customHeight="1">
      <x:c r="A254" s="7" t="str">
        <x:v>山梨：韮崎市</x:v>
      </x:c>
      <x:c r="B254" s="2" t="str">
        <x:v>19400270030</x:v>
      </x:c>
      <x:c r="C254" s="2" t="str">
        <x:v>19000_41220</x:v>
      </x:c>
      <x:c r="D254" s="2" t="str">
        <x:v>19207</x:v>
      </x:c>
      <x:c r="E254" s="2" t="str">
        <x:v>韮崎昇仙峡線</x:v>
      </x:c>
      <x:c r="F254" s="2" t="str">
        <x:v>韮崎市穂坂町宮久保１２１６</x:v>
      </x:c>
      <x:c r="G254" s="2" t="str">
        <x:v>韮崎市穂坂町宮久保１２１６</x:v>
      </x:c>
      <x:c r="H254" s="2" t="str">
        <x:v>観測</x:v>
      </x:c>
      <x:c r="I254" s="2" t="str">
        <x:v>観測</x:v>
      </x:c>
      <x:c r="J254" s="2" t="str">
        <x:v>12時間</x:v>
      </x:c>
      <x:c r="K254" s="2" t="str">
        <x:v>12時間</x:v>
      </x:c>
      <x:c r="L254" s="2" t="str">
        <x:v>20211021</x:v>
      </x:c>
      <x:c r="M254" s="2" t="str">
        <x:v>20211021</x:v>
      </x:c>
      <x:c r="N254" s="8" t="n">
        <x:v>7645</x:v>
      </x:c>
      <x:c r="O254" s="8" t="n">
        <x:v>820</x:v>
      </x:c>
      <x:c r="P254" s="8" t="n">
        <x:v>8465</x:v>
      </x:c>
      <x:c r="Q254" s="8" t="n">
        <x:v>9747</x:v>
      </x:c>
      <x:c r="R254" s="8" t="n">
        <x:v>1342</x:v>
      </x:c>
      <x:c r="S254" s="8" t="n">
        <x:v>11089</x:v>
      </x:c>
      <x:c r="T254" s="11" t="n">
        <x:v>9.7</x:v>
      </x:c>
      <x:c r="U254" s="2" t="n">
        <x:v>2021</x:v>
      </x:c>
      <x:c r="V254" s="2" t="str">
        <x:v>https://www.mlit.go.jp/road/census/r3/data/csv/kasyo19.csv</x:v>
      </x:c>
      <x:c r="W254" s="2" t="n">
        <x:v>668</x:v>
      </x:c>
    </x:row>
    <x:row r="255" ht="21" customHeight="1">
      <x:c r="A255" s="7" t="str">
        <x:v>山梨：韮崎市</x:v>
      </x:c>
      <x:c r="B255" s="2" t="str">
        <x:v>19400270040</x:v>
      </x:c>
      <x:c r="C255" s="2" t="str">
        <x:v>19000_41230</x:v>
      </x:c>
      <x:c r="D255" s="2" t="str">
        <x:v>19207</x:v>
      </x:c>
      <x:c r="E255" s="2" t="str">
        <x:v>韮崎昇仙峡線</x:v>
      </x:c>
      <x:c r="F255" s="2"/>
      <x:c r="G255" s="2"/>
      <x:c r="H255" s="2" t="str">
        <x:v>推定</x:v>
      </x:c>
      <x:c r="I255" s="2" t="str">
        <x:v>推定</x:v>
      </x:c>
      <x:c r="J255" s="2" t="str">
        <x:v>未記載</x:v>
      </x:c>
      <x:c r="K255" s="2" t="str">
        <x:v>未記載</x:v>
      </x:c>
      <x:c r="L255" s="2"/>
      <x:c r="M255" s="2"/>
      <x:c r="N255" s="8" t="n">
        <x:v>197</x:v>
      </x:c>
      <x:c r="O255" s="8" t="n">
        <x:v>9</x:v>
      </x:c>
      <x:c r="P255" s="8" t="n">
        <x:v>206</x:v>
      </x:c>
      <x:c r="Q255" s="8" t="n">
        <x:v>211</x:v>
      </x:c>
      <x:c r="R255" s="8" t="n">
        <x:v>11</x:v>
      </x:c>
      <x:c r="S255" s="8" t="n">
        <x:v>222</x:v>
      </x:c>
      <x:c r="T255" s="11" t="n">
        <x:v>4.5</x:v>
      </x:c>
      <x:c r="U255" s="2" t="n">
        <x:v>2021</x:v>
      </x:c>
      <x:c r="V255" s="2" t="str">
        <x:v>https://www.mlit.go.jp/road/census/r3/data/csv/kasyo19.csv</x:v>
      </x:c>
      <x:c r="W255" s="2" t="n">
        <x:v>669</x:v>
      </x:c>
    </x:row>
    <x:row r="256" ht="21" customHeight="1">
      <x:c r="A256" s="7" t="str">
        <x:v>山梨：韮崎市</x:v>
      </x:c>
      <x:c r="B256" s="2" t="str">
        <x:v>19400270050</x:v>
      </x:c>
      <x:c r="C256" s="2" t="str">
        <x:v>19000_41230</x:v>
      </x:c>
      <x:c r="D256" s="2" t="str">
        <x:v>19207</x:v>
      </x:c>
      <x:c r="E256" s="2" t="str">
        <x:v>韮崎昇仙峡線</x:v>
      </x:c>
      <x:c r="F256" s="2"/>
      <x:c r="G256" s="2"/>
      <x:c r="H256" s="2" t="str">
        <x:v>推定</x:v>
      </x:c>
      <x:c r="I256" s="2" t="str">
        <x:v>推定</x:v>
      </x:c>
      <x:c r="J256" s="2" t="str">
        <x:v>未記載</x:v>
      </x:c>
      <x:c r="K256" s="2" t="str">
        <x:v>未記載</x:v>
      </x:c>
      <x:c r="L256" s="2"/>
      <x:c r="M256" s="2"/>
      <x:c r="N256" s="8" t="n">
        <x:v>197</x:v>
      </x:c>
      <x:c r="O256" s="8" t="n">
        <x:v>9</x:v>
      </x:c>
      <x:c r="P256" s="8" t="n">
        <x:v>206</x:v>
      </x:c>
      <x:c r="Q256" s="8" t="n">
        <x:v>211</x:v>
      </x:c>
      <x:c r="R256" s="8" t="n">
        <x:v>11</x:v>
      </x:c>
      <x:c r="S256" s="8" t="n">
        <x:v>222</x:v>
      </x:c>
      <x:c r="T256" s="11" t="n">
        <x:v>4.5</x:v>
      </x:c>
      <x:c r="U256" s="2" t="n">
        <x:v>2021</x:v>
      </x:c>
      <x:c r="V256" s="2" t="str">
        <x:v>https://www.mlit.go.jp/road/census/r3/data/csv/kasyo19.csv</x:v>
      </x:c>
      <x:c r="W256" s="2" t="n">
        <x:v>670</x:v>
      </x:c>
    </x:row>
    <x:row r="257" ht="21" customHeight="1">
      <x:c r="A257" s="7" t="str">
        <x:v>山梨：韮崎市</x:v>
      </x:c>
      <x:c r="B257" s="2" t="str">
        <x:v>19400270060</x:v>
      </x:c>
      <x:c r="C257" s="2" t="str">
        <x:v>19000_41230</x:v>
      </x:c>
      <x:c r="D257" s="2" t="str">
        <x:v>19207</x:v>
      </x:c>
      <x:c r="E257" s="2" t="str">
        <x:v>韮崎昇仙峡線</x:v>
      </x:c>
      <x:c r="F257" s="2"/>
      <x:c r="G257" s="2"/>
      <x:c r="H257" s="2" t="str">
        <x:v>推定</x:v>
      </x:c>
      <x:c r="I257" s="2" t="str">
        <x:v>推定</x:v>
      </x:c>
      <x:c r="J257" s="2" t="str">
        <x:v>未記載</x:v>
      </x:c>
      <x:c r="K257" s="2" t="str">
        <x:v>未記載</x:v>
      </x:c>
      <x:c r="L257" s="2"/>
      <x:c r="M257" s="2"/>
      <x:c r="N257" s="8" t="n">
        <x:v>197</x:v>
      </x:c>
      <x:c r="O257" s="8" t="n">
        <x:v>9</x:v>
      </x:c>
      <x:c r="P257" s="8" t="n">
        <x:v>206</x:v>
      </x:c>
      <x:c r="Q257" s="8" t="n">
        <x:v>211</x:v>
      </x:c>
      <x:c r="R257" s="8" t="n">
        <x:v>11</x:v>
      </x:c>
      <x:c r="S257" s="8" t="n">
        <x:v>222</x:v>
      </x:c>
      <x:c r="T257" s="11" t="n">
        <x:v>4.5</x:v>
      </x:c>
      <x:c r="U257" s="2" t="n">
        <x:v>2021</x:v>
      </x:c>
      <x:c r="V257" s="2" t="str">
        <x:v>https://www.mlit.go.jp/road/census/r3/data/csv/kasyo19.csv</x:v>
      </x:c>
      <x:c r="W257" s="2" t="n">
        <x:v>671</x:v>
      </x:c>
    </x:row>
    <x:row r="258" ht="21" customHeight="1">
      <x:c r="A258" s="7" t="str">
        <x:v>山梨：韮崎市</x:v>
      </x:c>
      <x:c r="B258" s="2" t="str">
        <x:v>19400270080</x:v>
      </x:c>
      <x:c r="C258" s="2" t="str">
        <x:v>19000_41230</x:v>
      </x:c>
      <x:c r="D258" s="2" t="str">
        <x:v>19207</x:v>
      </x:c>
      <x:c r="E258" s="2" t="str">
        <x:v>韮崎昇仙峡線</x:v>
      </x:c>
      <x:c r="F258" s="2"/>
      <x:c r="G258" s="2"/>
      <x:c r="H258" s="2" t="str">
        <x:v>推定</x:v>
      </x:c>
      <x:c r="I258" s="2" t="str">
        <x:v>推定</x:v>
      </x:c>
      <x:c r="J258" s="2" t="str">
        <x:v>未記載</x:v>
      </x:c>
      <x:c r="K258" s="2" t="str">
        <x:v>未記載</x:v>
      </x:c>
      <x:c r="L258" s="2"/>
      <x:c r="M258" s="2"/>
      <x:c r="N258" s="8" t="n">
        <x:v>197</x:v>
      </x:c>
      <x:c r="O258" s="8" t="n">
        <x:v>9</x:v>
      </x:c>
      <x:c r="P258" s="8" t="n">
        <x:v>206</x:v>
      </x:c>
      <x:c r="Q258" s="8" t="n">
        <x:v>211</x:v>
      </x:c>
      <x:c r="R258" s="8" t="n">
        <x:v>11</x:v>
      </x:c>
      <x:c r="S258" s="8" t="n">
        <x:v>222</x:v>
      </x:c>
      <x:c r="T258" s="11" t="n">
        <x:v>4.5</x:v>
      </x:c>
      <x:c r="U258" s="2" t="n">
        <x:v>2021</x:v>
      </x:c>
      <x:c r="V258" s="2" t="str">
        <x:v>https://www.mlit.go.jp/road/census/r3/data/csv/kasyo19.csv</x:v>
      </x:c>
      <x:c r="W258" s="2" t="n">
        <x:v>673</x:v>
      </x:c>
    </x:row>
    <x:row r="259" ht="21" customHeight="1">
      <x:c r="A259" s="7" t="str">
        <x:v>山梨：韮崎市</x:v>
      </x:c>
      <x:c r="B259" s="2" t="str">
        <x:v>19300520380</x:v>
      </x:c>
      <x:c r="C259" s="2" t="str">
        <x:v>19000_41765</x:v>
      </x:c>
      <x:c r="D259" s="2" t="str">
        <x:v>19207</x:v>
      </x:c>
      <x:c r="E259" s="2" t="str">
        <x:v>韮崎南アルプス富士川線</x:v>
      </x:c>
      <x:c r="F259" s="2" t="str">
        <x:v>韮崎市龍岡町下條東割９４５</x:v>
      </x:c>
      <x:c r="G259" s="2" t="str">
        <x:v>韮崎市龍岡町下條東割９４５</x:v>
      </x:c>
      <x:c r="H259" s="2" t="str">
        <x:v>観測</x:v>
      </x:c>
      <x:c r="I259" s="2" t="str">
        <x:v>観測</x:v>
      </x:c>
      <x:c r="J259" s="2" t="str">
        <x:v>12時間</x:v>
      </x:c>
      <x:c r="K259" s="2" t="str">
        <x:v>12時間</x:v>
      </x:c>
      <x:c r="L259" s="2" t="str">
        <x:v>20211130</x:v>
      </x:c>
      <x:c r="M259" s="2" t="str">
        <x:v>20211130</x:v>
      </x:c>
      <x:c r="N259" s="8" t="n">
        <x:v>8320</x:v>
      </x:c>
      <x:c r="O259" s="8" t="n">
        <x:v>707</x:v>
      </x:c>
      <x:c r="P259" s="8" t="n">
        <x:v>9027</x:v>
      </x:c>
      <x:c r="Q259" s="8" t="n">
        <x:v>10503</x:v>
      </x:c>
      <x:c r="R259" s="8" t="n">
        <x:v>1232</x:v>
      </x:c>
      <x:c r="S259" s="8" t="n">
        <x:v>11735</x:v>
      </x:c>
      <x:c r="T259" s="11" t="n">
        <x:v>7.8</x:v>
      </x:c>
      <x:c r="U259" s="2" t="n">
        <x:v>2021</x:v>
      </x:c>
      <x:c r="V259" s="2" t="str">
        <x:v>https://www.mlit.go.jp/road/census/r3/data/csv/kasyo19.csv</x:v>
      </x:c>
      <x:c r="W259" s="2" t="n">
        <x:v>771</x:v>
      </x:c>
    </x:row>
    <x:row r="260" ht="21" customHeight="1">
      <x:c r="A260" s="7" t="str">
        <x:v>山梨：韮崎市</x:v>
      </x:c>
      <x:c r="B260" s="2" t="str">
        <x:v>19300520370</x:v>
      </x:c>
      <x:c r="C260" s="2" t="str">
        <x:v>19000_41765</x:v>
      </x:c>
      <x:c r="D260" s="2" t="str">
        <x:v>19207</x:v>
      </x:c>
      <x:c r="E260" s="2" t="str">
        <x:v>韮崎南アルプス富士川線</x:v>
      </x:c>
      <x:c r="F260" s="2" t="str">
        <x:v>韮崎市龍岡町下條東割９４５</x:v>
      </x:c>
      <x:c r="G260" s="2" t="str">
        <x:v>韮崎市龍岡町下條東割９４５</x:v>
      </x:c>
      <x:c r="H260" s="2" t="str">
        <x:v>観測</x:v>
      </x:c>
      <x:c r="I260" s="2" t="str">
        <x:v>観測</x:v>
      </x:c>
      <x:c r="J260" s="2" t="str">
        <x:v>12時間</x:v>
      </x:c>
      <x:c r="K260" s="2" t="str">
        <x:v>12時間</x:v>
      </x:c>
      <x:c r="L260" s="2" t="str">
        <x:v>20211130</x:v>
      </x:c>
      <x:c r="M260" s="2" t="str">
        <x:v>20211130</x:v>
      </x:c>
      <x:c r="N260" s="8" t="n">
        <x:v>8320</x:v>
      </x:c>
      <x:c r="O260" s="8" t="n">
        <x:v>707</x:v>
      </x:c>
      <x:c r="P260" s="8" t="n">
        <x:v>9027</x:v>
      </x:c>
      <x:c r="Q260" s="8" t="n">
        <x:v>10503</x:v>
      </x:c>
      <x:c r="R260" s="8" t="n">
        <x:v>1232</x:v>
      </x:c>
      <x:c r="S260" s="8" t="n">
        <x:v>11735</x:v>
      </x:c>
      <x:c r="T260" s="11" t="n">
        <x:v>7.8</x:v>
      </x:c>
      <x:c r="U260" s="2" t="n">
        <x:v>2021</x:v>
      </x:c>
      <x:c r="V260" s="2" t="str">
        <x:v>https://www.mlit.go.jp/road/census/r3/data/csv/kasyo19.csv</x:v>
      </x:c>
      <x:c r="W260" s="2" t="n">
        <x:v>772</x:v>
      </x:c>
    </x:row>
    <x:row r="261" ht="21" customHeight="1">
      <x:c r="A261" s="7" t="str">
        <x:v>山梨：韮崎市</x:v>
      </x:c>
      <x:c r="B261" s="2" t="str">
        <x:v>19300520360</x:v>
      </x:c>
      <x:c r="C261" s="2" t="str">
        <x:v>19000_41770</x:v>
      </x:c>
      <x:c r="D261" s="2" t="str">
        <x:v>19207</x:v>
      </x:c>
      <x:c r="E261" s="2" t="str">
        <x:v>韮崎南アルプス富士川線</x:v>
      </x:c>
      <x:c r="F261" s="2" t="str">
        <x:v>韮崎市龍岡町下條南割５９６－１３</x:v>
      </x:c>
      <x:c r="G261" s="2" t="str">
        <x:v>韮崎市龍岡町下條南割５９６－１３</x:v>
      </x:c>
      <x:c r="H261" s="2" t="str">
        <x:v>観測</x:v>
      </x:c>
      <x:c r="I261" s="2" t="str">
        <x:v>観測</x:v>
      </x:c>
      <x:c r="J261" s="2" t="str">
        <x:v>12時間</x:v>
      </x:c>
      <x:c r="K261" s="2" t="str">
        <x:v>12時間</x:v>
      </x:c>
      <x:c r="L261" s="2" t="str">
        <x:v>20211021</x:v>
      </x:c>
      <x:c r="M261" s="2" t="str">
        <x:v>20211021</x:v>
      </x:c>
      <x:c r="N261" s="8" t="n">
        <x:v>9157</x:v>
      </x:c>
      <x:c r="O261" s="8" t="n">
        <x:v>1529</x:v>
      </x:c>
      <x:c r="P261" s="8" t="n">
        <x:v>10686</x:v>
      </x:c>
      <x:c r="Q261" s="8" t="n">
        <x:v>11741</x:v>
      </x:c>
      <x:c r="R261" s="8" t="n">
        <x:v>2151</x:v>
      </x:c>
      <x:c r="S261" s="8" t="n">
        <x:v>13892</x:v>
      </x:c>
      <x:c r="T261" s="11" t="n">
        <x:v>14.3</x:v>
      </x:c>
      <x:c r="U261" s="2" t="n">
        <x:v>2021</x:v>
      </x:c>
      <x:c r="V261" s="2" t="str">
        <x:v>https://www.mlit.go.jp/road/census/r3/data/csv/kasyo19.csv</x:v>
      </x:c>
      <x:c r="W261" s="2" t="n">
        <x:v>773</x:v>
      </x:c>
    </x:row>
    <x:row r="262" ht="21" customHeight="1">
      <x:c r="A262" s="7" t="str">
        <x:v>山梨：韮崎市</x:v>
      </x:c>
      <x:c r="B262" s="2" t="str">
        <x:v>19606020010</x:v>
      </x:c>
      <x:c r="C262" s="2" t="str">
        <x:v>19000_61280</x:v>
      </x:c>
      <x:c r="D262" s="2" t="str">
        <x:v>19207</x:v>
      </x:c>
      <x:c r="E262" s="2" t="str">
        <x:v>武田八幡神社線</x:v>
      </x:c>
      <x:c r="F262" s="2"/>
      <x:c r="G262" s="2"/>
      <x:c r="H262" s="2" t="str">
        <x:v>推定</x:v>
      </x:c>
      <x:c r="I262" s="2" t="str">
        <x:v>推定</x:v>
      </x:c>
      <x:c r="J262" s="2" t="str">
        <x:v>未記載</x:v>
      </x:c>
      <x:c r="K262" s="2" t="str">
        <x:v>未記載</x:v>
      </x:c>
      <x:c r="L262" s="2"/>
      <x:c r="M262" s="2"/>
      <x:c r="N262" s="8" t="n">
        <x:v>2335</x:v>
      </x:c>
      <x:c r="O262" s="8" t="n">
        <x:v>152</x:v>
      </x:c>
      <x:c r="P262" s="8" t="n">
        <x:v>2487</x:v>
      </x:c>
      <x:c r="Q262" s="8" t="n">
        <x:v>2781</x:v>
      </x:c>
      <x:c r="R262" s="8" t="n">
        <x:v>253</x:v>
      </x:c>
      <x:c r="S262" s="8" t="n">
        <x:v>3034</x:v>
      </x:c>
      <x:c r="T262" s="11" t="n">
        <x:v>6.1</x:v>
      </x:c>
      <x:c r="U262" s="2" t="n">
        <x:v>2021</x:v>
      </x:c>
      <x:c r="V262" s="2" t="str">
        <x:v>https://www.mlit.go.jp/road/census/r3/data/csv/kasyo19.csv</x:v>
      </x:c>
      <x:c r="W262" s="2" t="n">
        <x:v>986</x:v>
      </x:c>
    </x:row>
    <x:row r="263" ht="21" customHeight="1">
      <x:c r="A263" s="7" t="str">
        <x:v>山梨：韮崎市</x:v>
      </x:c>
      <x:c r="B263" s="2" t="str">
        <x:v>19606020020</x:v>
      </x:c>
      <x:c r="C263" s="2" t="str">
        <x:v>19000_61290</x:v>
      </x:c>
      <x:c r="D263" s="2" t="str">
        <x:v>19207</x:v>
      </x:c>
      <x:c r="E263" s="2" t="str">
        <x:v>武田八幡神社線</x:v>
      </x:c>
      <x:c r="F263" s="2"/>
      <x:c r="G263" s="2"/>
      <x:c r="H263" s="2" t="str">
        <x:v>推定</x:v>
      </x:c>
      <x:c r="I263" s="2" t="str">
        <x:v>推定</x:v>
      </x:c>
      <x:c r="J263" s="2" t="str">
        <x:v>未記載</x:v>
      </x:c>
      <x:c r="K263" s="2" t="str">
        <x:v>未記載</x:v>
      </x:c>
      <x:c r="L263" s="2"/>
      <x:c r="M263" s="2"/>
      <x:c r="N263" s="8" t="n">
        <x:v>2335</x:v>
      </x:c>
      <x:c r="O263" s="8" t="n">
        <x:v>152</x:v>
      </x:c>
      <x:c r="P263" s="8" t="n">
        <x:v>2487</x:v>
      </x:c>
      <x:c r="Q263" s="8" t="n">
        <x:v>2781</x:v>
      </x:c>
      <x:c r="R263" s="8" t="n">
        <x:v>253</x:v>
      </x:c>
      <x:c r="S263" s="8" t="n">
        <x:v>3034</x:v>
      </x:c>
      <x:c r="T263" s="11" t="n">
        <x:v>6.1</x:v>
      </x:c>
      <x:c r="U263" s="2" t="n">
        <x:v>2021</x:v>
      </x:c>
      <x:c r="V263" s="2" t="str">
        <x:v>https://www.mlit.go.jp/road/census/r3/data/csv/kasyo19.csv</x:v>
      </x:c>
      <x:c r="W263" s="2" t="n">
        <x:v>987</x:v>
      </x:c>
    </x:row>
    <x:row r="264" ht="21" customHeight="1">
      <x:c r="A264" s="7" t="str">
        <x:v>山梨：韮崎市</x:v>
      </x:c>
      <x:c r="B264" s="2" t="str">
        <x:v>19606020030</x:v>
      </x:c>
      <x:c r="C264" s="2" t="str">
        <x:v>19000_61290</x:v>
      </x:c>
      <x:c r="D264" s="2" t="str">
        <x:v>19207</x:v>
      </x:c>
      <x:c r="E264" s="2" t="str">
        <x:v>武田八幡神社線</x:v>
      </x:c>
      <x:c r="F264" s="2"/>
      <x:c r="G264" s="2"/>
      <x:c r="H264" s="2" t="str">
        <x:v>推定</x:v>
      </x:c>
      <x:c r="I264" s="2" t="str">
        <x:v>推定</x:v>
      </x:c>
      <x:c r="J264" s="2" t="str">
        <x:v>未記載</x:v>
      </x:c>
      <x:c r="K264" s="2" t="str">
        <x:v>未記載</x:v>
      </x:c>
      <x:c r="L264" s="2"/>
      <x:c r="M264" s="2"/>
      <x:c r="N264" s="8" t="n">
        <x:v>2335</x:v>
      </x:c>
      <x:c r="O264" s="8" t="n">
        <x:v>152</x:v>
      </x:c>
      <x:c r="P264" s="8" t="n">
        <x:v>2487</x:v>
      </x:c>
      <x:c r="Q264" s="8" t="n">
        <x:v>2781</x:v>
      </x:c>
      <x:c r="R264" s="8" t="n">
        <x:v>253</x:v>
      </x:c>
      <x:c r="S264" s="8" t="n">
        <x:v>3034</x:v>
      </x:c>
      <x:c r="T264" s="11" t="n">
        <x:v>6.1</x:v>
      </x:c>
      <x:c r="U264" s="2" t="n">
        <x:v>2021</x:v>
      </x:c>
      <x:c r="V264" s="2" t="str">
        <x:v>https://www.mlit.go.jp/road/census/r3/data/csv/kasyo19.csv</x:v>
      </x:c>
      <x:c r="W264" s="2" t="n">
        <x:v>988</x:v>
      </x:c>
    </x:row>
    <x:row r="265" ht="21" customHeight="1">
      <x:c r="A265" s="7" t="str">
        <x:v>山梨：韮崎市</x:v>
      </x:c>
      <x:c r="B265" s="2" t="str">
        <x:v>19606030010</x:v>
      </x:c>
      <x:c r="C265" s="2" t="str">
        <x:v>19000_61300</x:v>
      </x:c>
      <x:c r="D265" s="2" t="str">
        <x:v>19207</x:v>
      </x:c>
      <x:c r="E265" s="2" t="str">
        <x:v>穴山停車場線</x:v>
      </x:c>
      <x:c r="F265" s="2"/>
      <x:c r="G265" s="2"/>
      <x:c r="H265" s="2" t="str">
        <x:v>推定</x:v>
      </x:c>
      <x:c r="I265" s="2" t="str">
        <x:v>推定</x:v>
      </x:c>
      <x:c r="J265" s="2" t="str">
        <x:v>未記載</x:v>
      </x:c>
      <x:c r="K265" s="2" t="str">
        <x:v>未記載</x:v>
      </x:c>
      <x:c r="L265" s="2"/>
      <x:c r="M265" s="2"/>
      <x:c r="N265" s="8" t="n">
        <x:v>1511</x:v>
      </x:c>
      <x:c r="O265" s="8" t="n">
        <x:v>269</x:v>
      </x:c>
      <x:c r="P265" s="8" t="n">
        <x:v>1780</x:v>
      </x:c>
      <x:c r="Q265" s="8" t="n">
        <x:v>1816</x:v>
      </x:c>
      <x:c r="R265" s="8" t="n">
        <x:v>338</x:v>
      </x:c>
      <x:c r="S265" s="8" t="n">
        <x:v>2154</x:v>
      </x:c>
      <x:c r="T265" s="11" t="n">
        <x:v>15.1</x:v>
      </x:c>
      <x:c r="U265" s="2" t="n">
        <x:v>2021</x:v>
      </x:c>
      <x:c r="V265" s="2" t="str">
        <x:v>https://www.mlit.go.jp/road/census/r3/data/csv/kasyo19.csv</x:v>
      </x:c>
      <x:c r="W265" s="2" t="n">
        <x:v>989</x:v>
      </x:c>
    </x:row>
    <x:row r="266" ht="21" customHeight="1">
      <x:c r="A266" s="7" t="str">
        <x:v>山梨：韮崎市</x:v>
      </x:c>
      <x:c r="B266" s="2" t="str">
        <x:v>19606070010</x:v>
      </x:c>
      <x:c r="C266" s="2" t="str">
        <x:v>19000_61340</x:v>
      </x:c>
      <x:c r="D266" s="2" t="str">
        <x:v>19207</x:v>
      </x:c>
      <x:c r="E266" s="2" t="str">
        <x:v>北原下条南割線</x:v>
      </x:c>
      <x:c r="F266" s="2"/>
      <x:c r="G266" s="2"/>
      <x:c r="H266" s="2" t="str">
        <x:v>推定</x:v>
      </x:c>
      <x:c r="I266" s="2" t="str">
        <x:v>推定</x:v>
      </x:c>
      <x:c r="J266" s="2" t="str">
        <x:v>未記載</x:v>
      </x:c>
      <x:c r="K266" s="2" t="str">
        <x:v>未記載</x:v>
      </x:c>
      <x:c r="L266" s="2"/>
      <x:c r="M266" s="2"/>
      <x:c r="N266" s="8" t="n">
        <x:v>3133</x:v>
      </x:c>
      <x:c r="O266" s="8" t="n">
        <x:v>287</x:v>
      </x:c>
      <x:c r="P266" s="8" t="n">
        <x:v>3420</x:v>
      </x:c>
      <x:c r="Q266" s="8" t="n">
        <x:v>3805</x:v>
      </x:c>
      <x:c r="R266" s="8" t="n">
        <x:v>436</x:v>
      </x:c>
      <x:c r="S266" s="8" t="n">
        <x:v>4241</x:v>
      </x:c>
      <x:c r="T266" s="11" t="n">
        <x:v>8.4</x:v>
      </x:c>
      <x:c r="U266" s="2" t="n">
        <x:v>2021</x:v>
      </x:c>
      <x:c r="V266" s="2" t="str">
        <x:v>https://www.mlit.go.jp/road/census/r3/data/csv/kasyo19.csv</x:v>
      </x:c>
      <x:c r="W266" s="2" t="n">
        <x:v>993</x:v>
      </x:c>
    </x:row>
    <x:row r="267" ht="21" customHeight="1">
      <x:c r="A267" s="7" t="str">
        <x:v>山梨：韮崎市</x:v>
      </x:c>
      <x:c r="B267" s="2" t="str">
        <x:v>19606130010</x:v>
      </x:c>
      <x:c r="C267" s="2" t="str">
        <x:v>19000_61450</x:v>
      </x:c>
      <x:c r="D267" s="2" t="str">
        <x:v>19207</x:v>
      </x:c>
      <x:c r="E267" s="2" t="str">
        <x:v>甘利山公園線</x:v>
      </x:c>
      <x:c r="F267" s="2"/>
      <x:c r="G267" s="2"/>
      <x:c r="H267" s="2" t="str">
        <x:v>推定</x:v>
      </x:c>
      <x:c r="I267" s="2" t="str">
        <x:v>推定</x:v>
      </x:c>
      <x:c r="J267" s="2" t="str">
        <x:v>未記載</x:v>
      </x:c>
      <x:c r="K267" s="2" t="str">
        <x:v>未記載</x:v>
      </x:c>
      <x:c r="L267" s="2"/>
      <x:c r="M267" s="2"/>
      <x:c r="N267" s="8" t="n">
        <x:v>699</x:v>
      </x:c>
      <x:c r="O267" s="8" t="n">
        <x:v>78</x:v>
      </x:c>
      <x:c r="P267" s="8" t="n">
        <x:v>777</x:v>
      </x:c>
      <x:c r="Q267" s="8" t="n">
        <x:v>832</x:v>
      </x:c>
      <x:c r="R267" s="8" t="n">
        <x:v>93</x:v>
      </x:c>
      <x:c r="S267" s="8" t="n">
        <x:v>925</x:v>
      </x:c>
      <x:c r="T267" s="11" t="n">
        <x:v>10</x:v>
      </x:c>
      <x:c r="U267" s="2" t="n">
        <x:v>2021</x:v>
      </x:c>
      <x:c r="V267" s="2" t="str">
        <x:v>https://www.mlit.go.jp/road/census/r3/data/csv/kasyo19.csv</x:v>
      </x:c>
      <x:c r="W267" s="2" t="n">
        <x:v>1005</x:v>
      </x:c>
    </x:row>
    <x:row r="268" ht="21" customHeight="1">
      <x:c r="A268" s="7" t="str">
        <x:v>山梨：韮崎市</x:v>
      </x:c>
      <x:c r="B268" s="2" t="str">
        <x:v>19606130020</x:v>
      </x:c>
      <x:c r="C268" s="2" t="str">
        <x:v>19000_61450</x:v>
      </x:c>
      <x:c r="D268" s="2" t="str">
        <x:v>19207</x:v>
      </x:c>
      <x:c r="E268" s="2" t="str">
        <x:v>甘利山公園線</x:v>
      </x:c>
      <x:c r="F268" s="2"/>
      <x:c r="G268" s="2"/>
      <x:c r="H268" s="2" t="str">
        <x:v>推定</x:v>
      </x:c>
      <x:c r="I268" s="2" t="str">
        <x:v>推定</x:v>
      </x:c>
      <x:c r="J268" s="2" t="str">
        <x:v>未記載</x:v>
      </x:c>
      <x:c r="K268" s="2" t="str">
        <x:v>未記載</x:v>
      </x:c>
      <x:c r="L268" s="2"/>
      <x:c r="M268" s="2"/>
      <x:c r="N268" s="8" t="n">
        <x:v>699</x:v>
      </x:c>
      <x:c r="O268" s="8" t="n">
        <x:v>78</x:v>
      </x:c>
      <x:c r="P268" s="8" t="n">
        <x:v>777</x:v>
      </x:c>
      <x:c r="Q268" s="8" t="n">
        <x:v>832</x:v>
      </x:c>
      <x:c r="R268" s="8" t="n">
        <x:v>93</x:v>
      </x:c>
      <x:c r="S268" s="8" t="n">
        <x:v>925</x:v>
      </x:c>
      <x:c r="T268" s="11" t="n">
        <x:v>10</x:v>
      </x:c>
      <x:c r="U268" s="2" t="n">
        <x:v>2021</x:v>
      </x:c>
      <x:c r="V268" s="2" t="str">
        <x:v>https://www.mlit.go.jp/road/census/r3/data/csv/kasyo19.csv</x:v>
      </x:c>
      <x:c r="W268" s="2" t="n">
        <x:v>1006</x:v>
      </x:c>
    </x:row>
    <x:row r="269" ht="21" customHeight="1">
      <x:c r="A269" s="7" t="str">
        <x:v>山梨：韮崎市</x:v>
      </x:c>
      <x:c r="B269" s="2" t="str">
        <x:v>19606130030</x:v>
      </x:c>
      <x:c r="C269" s="2" t="str">
        <x:v>19000_61450</x:v>
      </x:c>
      <x:c r="D269" s="2" t="str">
        <x:v>19207</x:v>
      </x:c>
      <x:c r="E269" s="2" t="str">
        <x:v>甘利山公園線</x:v>
      </x:c>
      <x:c r="F269" s="2"/>
      <x:c r="G269" s="2"/>
      <x:c r="H269" s="2" t="str">
        <x:v>推定</x:v>
      </x:c>
      <x:c r="I269" s="2" t="str">
        <x:v>推定</x:v>
      </x:c>
      <x:c r="J269" s="2" t="str">
        <x:v>未記載</x:v>
      </x:c>
      <x:c r="K269" s="2" t="str">
        <x:v>未記載</x:v>
      </x:c>
      <x:c r="L269" s="2"/>
      <x:c r="M269" s="2"/>
      <x:c r="N269" s="8" t="n">
        <x:v>699</x:v>
      </x:c>
      <x:c r="O269" s="8" t="n">
        <x:v>78</x:v>
      </x:c>
      <x:c r="P269" s="8" t="n">
        <x:v>777</x:v>
      </x:c>
      <x:c r="Q269" s="8" t="n">
        <x:v>832</x:v>
      </x:c>
      <x:c r="R269" s="8" t="n">
        <x:v>93</x:v>
      </x:c>
      <x:c r="S269" s="8" t="n">
        <x:v>925</x:v>
      </x:c>
      <x:c r="T269" s="11" t="n">
        <x:v>10</x:v>
      </x:c>
      <x:c r="U269" s="2" t="n">
        <x:v>2021</x:v>
      </x:c>
      <x:c r="V269" s="2" t="str">
        <x:v>https://www.mlit.go.jp/road/census/r3/data/csv/kasyo19.csv</x:v>
      </x:c>
      <x:c r="W269" s="2" t="n">
        <x:v>1007</x:v>
      </x:c>
    </x:row>
    <x:row r="270" ht="21" customHeight="1">
      <x:c r="A270" s="7" t="str">
        <x:v>山梨：韮崎市</x:v>
      </x:c>
      <x:c r="B270" s="2" t="str">
        <x:v>19606160030</x:v>
      </x:c>
      <x:c r="C270" s="2" t="str">
        <x:v>19000_61490</x:v>
      </x:c>
      <x:c r="D270" s="2" t="str">
        <x:v>19207</x:v>
      </x:c>
      <x:c r="E270" s="2" t="str">
        <x:v>島上条宮久保絵見堂線</x:v>
      </x:c>
      <x:c r="F270" s="2" t="str">
        <x:v>甲斐市宇津谷２７９５－５</x:v>
      </x:c>
      <x:c r="G270" s="2" t="str">
        <x:v>甲斐市宇津谷２７９５－５</x:v>
      </x:c>
      <x:c r="H270" s="2" t="str">
        <x:v>観測</x:v>
      </x:c>
      <x:c r="I270" s="2" t="str">
        <x:v>観測</x:v>
      </x:c>
      <x:c r="J270" s="2" t="str">
        <x:v>12時間</x:v>
      </x:c>
      <x:c r="K270" s="2" t="str">
        <x:v>12時間</x:v>
      </x:c>
      <x:c r="L270" s="2" t="str">
        <x:v>20211207</x:v>
      </x:c>
      <x:c r="M270" s="2" t="str">
        <x:v>20211207</x:v>
      </x:c>
      <x:c r="N270" s="8" t="n">
        <x:v>2612</x:v>
      </x:c>
      <x:c r="O270" s="8" t="n">
        <x:v>99</x:v>
      </x:c>
      <x:c r="P270" s="8" t="n">
        <x:v>2711</x:v>
      </x:c>
      <x:c r="Q270" s="8" t="n">
        <x:v>3091</x:v>
      </x:c>
      <x:c r="R270" s="8" t="n">
        <x:v>216</x:v>
      </x:c>
      <x:c r="S270" s="8" t="n">
        <x:v>3307</x:v>
      </x:c>
      <x:c r="T270" s="11" t="n">
        <x:v>3.7</x:v>
      </x:c>
      <x:c r="U270" s="2" t="n">
        <x:v>2021</x:v>
      </x:c>
      <x:c r="V270" s="2" t="str">
        <x:v>https://www.mlit.go.jp/road/census/r3/data/csv/kasyo19.csv</x:v>
      </x:c>
      <x:c r="W270" s="2" t="n">
        <x:v>1014</x:v>
      </x:c>
    </x:row>
    <x:row r="271" ht="21" customHeight="1">
      <x:c r="A271" s="7" t="str">
        <x:v>山梨：韮崎市</x:v>
      </x:c>
      <x:c r="B271" s="2" t="str">
        <x:v>19606160050</x:v>
      </x:c>
      <x:c r="C271" s="2" t="str">
        <x:v>19000_61490</x:v>
      </x:c>
      <x:c r="D271" s="2" t="str">
        <x:v>19207</x:v>
      </x:c>
      <x:c r="E271" s="2" t="str">
        <x:v>島上条宮久保絵見堂線</x:v>
      </x:c>
      <x:c r="F271" s="2" t="str">
        <x:v>甲斐市宇津谷２７９５－５</x:v>
      </x:c>
      <x:c r="G271" s="2" t="str">
        <x:v>甲斐市宇津谷２７９５－５</x:v>
      </x:c>
      <x:c r="H271" s="2" t="str">
        <x:v>観測</x:v>
      </x:c>
      <x:c r="I271" s="2" t="str">
        <x:v>観測</x:v>
      </x:c>
      <x:c r="J271" s="2" t="str">
        <x:v>12時間</x:v>
      </x:c>
      <x:c r="K271" s="2" t="str">
        <x:v>12時間</x:v>
      </x:c>
      <x:c r="L271" s="2" t="str">
        <x:v>20211207</x:v>
      </x:c>
      <x:c r="M271" s="2" t="str">
        <x:v>20211207</x:v>
      </x:c>
      <x:c r="N271" s="8" t="n">
        <x:v>2612</x:v>
      </x:c>
      <x:c r="O271" s="8" t="n">
        <x:v>99</x:v>
      </x:c>
      <x:c r="P271" s="8" t="n">
        <x:v>2711</x:v>
      </x:c>
      <x:c r="Q271" s="8" t="n">
        <x:v>3091</x:v>
      </x:c>
      <x:c r="R271" s="8" t="n">
        <x:v>216</x:v>
      </x:c>
      <x:c r="S271" s="8" t="n">
        <x:v>3307</x:v>
      </x:c>
      <x:c r="T271" s="11" t="n">
        <x:v>3.7</x:v>
      </x:c>
      <x:c r="U271" s="2" t="n">
        <x:v>2021</x:v>
      </x:c>
      <x:c r="V271" s="2" t="str">
        <x:v>https://www.mlit.go.jp/road/census/r3/data/csv/kasyo19.csv</x:v>
      </x:c>
      <x:c r="W271" s="2" t="n">
        <x:v>1016</x:v>
      </x:c>
    </x:row>
    <x:row r="272" ht="21" customHeight="1">
      <x:c r="A272" s="7" t="str">
        <x:v>山梨：韮崎市</x:v>
      </x:c>
      <x:c r="B272" s="2" t="str">
        <x:v>19606160070</x:v>
      </x:c>
      <x:c r="C272" s="2" t="str">
        <x:v>19000_61500</x:v>
      </x:c>
      <x:c r="D272" s="2" t="str">
        <x:v>19207</x:v>
      </x:c>
      <x:c r="E272" s="2" t="str">
        <x:v>島上条宮久保絵見堂線</x:v>
      </x:c>
      <x:c r="F272" s="2"/>
      <x:c r="G272" s="2"/>
      <x:c r="H272" s="2" t="str">
        <x:v>推定</x:v>
      </x:c>
      <x:c r="I272" s="2" t="str">
        <x:v>推定</x:v>
      </x:c>
      <x:c r="J272" s="2" t="str">
        <x:v>未記載</x:v>
      </x:c>
      <x:c r="K272" s="2" t="str">
        <x:v>未記載</x:v>
      </x:c>
      <x:c r="L272" s="2"/>
      <x:c r="M272" s="2"/>
      <x:c r="N272" s="8" t="n">
        <x:v>550</x:v>
      </x:c>
      <x:c r="O272" s="8" t="n">
        <x:v>41</x:v>
      </x:c>
      <x:c r="P272" s="8" t="n">
        <x:v>591</x:v>
      </x:c>
      <x:c r="Q272" s="8" t="n">
        <x:v>644</x:v>
      </x:c>
      <x:c r="R272" s="8" t="n">
        <x:v>53</x:v>
      </x:c>
      <x:c r="S272" s="8" t="n">
        <x:v>697</x:v>
      </x:c>
      <x:c r="T272" s="11" t="n">
        <x:v>6.9</x:v>
      </x:c>
      <x:c r="U272" s="2" t="n">
        <x:v>2021</x:v>
      </x:c>
      <x:c r="V272" s="2" t="str">
        <x:v>https://www.mlit.go.jp/road/census/r3/data/csv/kasyo19.csv</x:v>
      </x:c>
      <x:c r="W272" s="2" t="n">
        <x:v>1017</x:v>
      </x:c>
    </x:row>
    <x:row r="273" ht="21" customHeight="1">
      <x:c r="A273" s="7" t="str">
        <x:v>山梨：韮崎市</x:v>
      </x:c>
      <x:c r="B273" s="2" t="str">
        <x:v>19606160080</x:v>
      </x:c>
      <x:c r="C273" s="2" t="str">
        <x:v>19000_61500</x:v>
      </x:c>
      <x:c r="D273" s="2" t="str">
        <x:v>19207</x:v>
      </x:c>
      <x:c r="E273" s="2" t="str">
        <x:v>島上条宮久保絵見堂線</x:v>
      </x:c>
      <x:c r="F273" s="2"/>
      <x:c r="G273" s="2"/>
      <x:c r="H273" s="2" t="str">
        <x:v>推定</x:v>
      </x:c>
      <x:c r="I273" s="2" t="str">
        <x:v>推定</x:v>
      </x:c>
      <x:c r="J273" s="2" t="str">
        <x:v>未記載</x:v>
      </x:c>
      <x:c r="K273" s="2" t="str">
        <x:v>未記載</x:v>
      </x:c>
      <x:c r="L273" s="2"/>
      <x:c r="M273" s="2"/>
      <x:c r="N273" s="8" t="n">
        <x:v>550</x:v>
      </x:c>
      <x:c r="O273" s="8" t="n">
        <x:v>41</x:v>
      </x:c>
      <x:c r="P273" s="8" t="n">
        <x:v>591</x:v>
      </x:c>
      <x:c r="Q273" s="8" t="n">
        <x:v>644</x:v>
      </x:c>
      <x:c r="R273" s="8" t="n">
        <x:v>53</x:v>
      </x:c>
      <x:c r="S273" s="8" t="n">
        <x:v>697</x:v>
      </x:c>
      <x:c r="T273" s="11" t="n">
        <x:v>6.9</x:v>
      </x:c>
      <x:c r="U273" s="2" t="n">
        <x:v>2021</x:v>
      </x:c>
      <x:c r="V273" s="2" t="str">
        <x:v>https://www.mlit.go.jp/road/census/r3/data/csv/kasyo19.csv</x:v>
      </x:c>
      <x:c r="W273" s="2" t="n">
        <x:v>1018</x:v>
      </x:c>
    </x:row>
    <x:row r="274" ht="21" customHeight="1">
      <x:c r="A274" s="7" t="str">
        <x:v>山梨：韮崎市</x:v>
      </x:c>
      <x:c r="B274" s="2" t="str">
        <x:v>19606160120</x:v>
      </x:c>
      <x:c r="C274" s="2" t="str">
        <x:v>19000_61520</x:v>
      </x:c>
      <x:c r="D274" s="2" t="str">
        <x:v>19207</x:v>
      </x:c>
      <x:c r="E274" s="2" t="str">
        <x:v>島上条宮久保絵見堂線</x:v>
      </x:c>
      <x:c r="F274" s="2"/>
      <x:c r="G274" s="2"/>
      <x:c r="H274" s="2" t="str">
        <x:v>推定</x:v>
      </x:c>
      <x:c r="I274" s="2" t="str">
        <x:v>推定</x:v>
      </x:c>
      <x:c r="J274" s="2" t="str">
        <x:v>未記載</x:v>
      </x:c>
      <x:c r="K274" s="2" t="str">
        <x:v>未記載</x:v>
      </x:c>
      <x:c r="L274" s="2"/>
      <x:c r="M274" s="2"/>
      <x:c r="N274" s="8" t="n">
        <x:v>197</x:v>
      </x:c>
      <x:c r="O274" s="8" t="n">
        <x:v>9</x:v>
      </x:c>
      <x:c r="P274" s="8" t="n">
        <x:v>206</x:v>
      </x:c>
      <x:c r="Q274" s="8" t="n">
        <x:v>211</x:v>
      </x:c>
      <x:c r="R274" s="8" t="n">
        <x:v>11</x:v>
      </x:c>
      <x:c r="S274" s="8" t="n">
        <x:v>222</x:v>
      </x:c>
      <x:c r="T274" s="11" t="n">
        <x:v>4.5</x:v>
      </x:c>
      <x:c r="U274" s="2" t="n">
        <x:v>2021</x:v>
      </x:c>
      <x:c r="V274" s="2" t="str">
        <x:v>https://www.mlit.go.jp/road/census/r3/data/csv/kasyo19.csv</x:v>
      </x:c>
      <x:c r="W274" s="2" t="n">
        <x:v>1020</x:v>
      </x:c>
    </x:row>
    <x:row r="275" ht="21" customHeight="1">
      <x:c r="A275" s="7" t="str">
        <x:v>山梨：韮崎市</x:v>
      </x:c>
      <x:c r="B275" s="2" t="str">
        <x:v>19606210040</x:v>
      </x:c>
      <x:c r="C275" s="2" t="str">
        <x:v>19000_61590</x:v>
      </x:c>
      <x:c r="D275" s="2" t="str">
        <x:v>19207</x:v>
      </x:c>
      <x:c r="E275" s="2" t="str">
        <x:v>須玉中田線</x:v>
      </x:c>
      <x:c r="F275" s="2"/>
      <x:c r="G275" s="2"/>
      <x:c r="H275" s="2" t="str">
        <x:v>推定</x:v>
      </x:c>
      <x:c r="I275" s="2" t="str">
        <x:v>推定</x:v>
      </x:c>
      <x:c r="J275" s="2" t="str">
        <x:v>未記載</x:v>
      </x:c>
      <x:c r="K275" s="2" t="str">
        <x:v>未記載</x:v>
      </x:c>
      <x:c r="L275" s="2"/>
      <x:c r="M275" s="2"/>
      <x:c r="N275" s="8" t="n">
        <x:v>4000</x:v>
      </x:c>
      <x:c r="O275" s="8" t="n">
        <x:v>320</x:v>
      </x:c>
      <x:c r="P275" s="8" t="n">
        <x:v>4320</x:v>
      </x:c>
      <x:c r="Q275" s="8" t="n">
        <x:v>4882</x:v>
      </x:c>
      <x:c r="R275" s="8" t="n">
        <x:v>518</x:v>
      </x:c>
      <x:c r="S275" s="8" t="n">
        <x:v>5400</x:v>
      </x:c>
      <x:c r="T275" s="11" t="n">
        <x:v>7.4</x:v>
      </x:c>
      <x:c r="U275" s="2" t="n">
        <x:v>2021</x:v>
      </x:c>
      <x:c r="V275" s="2" t="str">
        <x:v>https://www.mlit.go.jp/road/census/r3/data/csv/kasyo19.csv</x:v>
      </x:c>
      <x:c r="W275" s="2" t="n">
        <x:v>1029</x:v>
      </x:c>
    </x:row>
    <x:row r="276" ht="21" customHeight="1">
      <x:c r="A276" s="7" t="str">
        <x:v>熊本：合志市・大津町</x:v>
      </x:c>
      <x:c r="B276" s="2" t="str">
        <x:v>43110300080</x:v>
      </x:c>
      <x:c r="C276" s="2" t="str">
        <x:v>43000_50</x:v>
      </x:c>
      <x:c r="D276" s="2" t="str">
        <x:v>43216</x:v>
      </x:c>
      <x:c r="E276" s="2" t="str">
        <x:v>九州縦貫自動車道鹿児島線宮崎線</x:v>
      </x:c>
      <x:c r="F276" s="2" t="str">
        <x:v>北熊本スマート～熊本</x:v>
      </x:c>
      <x:c r="G276" s="2" t="str">
        <x:v>北熊本スマート～熊本</x:v>
      </x:c>
      <x:c r="H276" s="2" t="str">
        <x:v>観測</x:v>
      </x:c>
      <x:c r="I276" s="2" t="str">
        <x:v>観測</x:v>
      </x:c>
      <x:c r="J276" s="2" t="str">
        <x:v>24時間</x:v>
      </x:c>
      <x:c r="K276" s="2" t="str">
        <x:v>24時間</x:v>
      </x:c>
      <x:c r="L276" s="2" t="str">
        <x:v>20210929</x:v>
      </x:c>
      <x:c r="M276" s="2" t="str">
        <x:v>20210929</x:v>
      </x:c>
      <x:c r="N276" s="8" t="n">
        <x:v>16892</x:v>
      </x:c>
      <x:c r="O276" s="8" t="n">
        <x:v>7989</x:v>
      </x:c>
      <x:c r="P276" s="8" t="n">
        <x:v>24881</x:v>
      </x:c>
      <x:c r="Q276" s="8" t="n">
        <x:v>20239</x:v>
      </x:c>
      <x:c r="R276" s="8" t="n">
        <x:v>12823</x:v>
      </x:c>
      <x:c r="S276" s="8" t="n">
        <x:v>33062</x:v>
      </x:c>
      <x:c r="T276" s="11" t="n">
        <x:v>32.1</x:v>
      </x:c>
      <x:c r="U276" s="2" t="n">
        <x:v>2021</x:v>
      </x:c>
      <x:c r="V276" s="2" t="str">
        <x:v>https://www.mlit.go.jp/road/census/r3/data/csv/kasyo43.csv</x:v>
      </x:c>
      <x:c r="W276" s="2" t="n">
        <x:v>10</x:v>
      </x:c>
    </x:row>
    <x:row r="277" ht="21" customHeight="1">
      <x:c r="A277" s="7" t="str">
        <x:v>熊本：合志市・大津町</x:v>
      </x:c>
      <x:c r="B277" s="2" t="str">
        <x:v>43300030830</x:v>
      </x:c>
      <x:c r="C277" s="2" t="str">
        <x:v>43000_10350</x:v>
      </x:c>
      <x:c r="D277" s="2" t="str">
        <x:v>43216</x:v>
      </x:c>
      <x:c r="E277" s="2" t="str">
        <x:v>一般国道３号（熊本北バイパス）</x:v>
      </x:c>
      <x:c r="F277" s="2" t="str">
        <x:v>熊本市北区清水新地5丁目</x:v>
      </x:c>
      <x:c r="G277" s="2" t="str">
        <x:v>熊本市北区清水新地5丁目</x:v>
      </x:c>
      <x:c r="H277" s="2" t="str">
        <x:v>推定</x:v>
      </x:c>
      <x:c r="I277" s="2" t="str">
        <x:v>推定</x:v>
      </x:c>
      <x:c r="J277" s="2" t="str">
        <x:v>12時間</x:v>
      </x:c>
      <x:c r="K277" s="2" t="str">
        <x:v>12時間</x:v>
      </x:c>
      <x:c r="L277" s="2" t="str">
        <x:v>20191016</x:v>
      </x:c>
      <x:c r="M277" s="2" t="str">
        <x:v>20191016</x:v>
      </x:c>
      <x:c r="N277" s="8" t="n">
        <x:v>23513</x:v>
      </x:c>
      <x:c r="O277" s="8" t="n">
        <x:v>1661</x:v>
      </x:c>
      <x:c r="P277" s="8" t="n">
        <x:v>25174</x:v>
      </x:c>
      <x:c r="Q277" s="8" t="n">
        <x:v>30468</x:v>
      </x:c>
      <x:c r="R277" s="8" t="n">
        <x:v>2258</x:v>
      </x:c>
      <x:c r="S277" s="8" t="n">
        <x:v>32726</x:v>
      </x:c>
      <x:c r="T277" s="11" t="n">
        <x:v>6.6</x:v>
      </x:c>
      <x:c r="U277" s="2" t="n">
        <x:v>2021</x:v>
      </x:c>
      <x:c r="V277" s="2" t="str">
        <x:v>https://www.mlit.go.jp/road/census/r3/data/csv/kasyo43.csv</x:v>
      </x:c>
      <x:c r="W277" s="2" t="n">
        <x:v>148</x:v>
      </x:c>
    </x:row>
    <x:row r="278" ht="21" customHeight="1">
      <x:c r="A278" s="7" t="str">
        <x:v>熊本：合志市・大津町</x:v>
      </x:c>
      <x:c r="B278" s="2" t="str">
        <x:v>43300570180</x:v>
      </x:c>
      <x:c r="C278" s="2" t="str">
        <x:v>43000_10470</x:v>
      </x:c>
      <x:c r="D278" s="2" t="str">
        <x:v>43403</x:v>
      </x:c>
      <x:c r="E278" s="2" t="str">
        <x:v>一般国道５７号</x:v>
      </x:c>
      <x:c r="F278" s="2" t="str">
        <x:v>菊池郡大津町吹田</x:v>
      </x:c>
      <x:c r="G278" s="2" t="str">
        <x:v>菊池郡大津町吹田</x:v>
      </x:c>
      <x:c r="H278" s="2" t="str">
        <x:v>推定</x:v>
      </x:c>
      <x:c r="I278" s="2" t="str">
        <x:v>推定</x:v>
      </x:c>
      <x:c r="J278" s="2" t="str">
        <x:v>12時間</x:v>
      </x:c>
      <x:c r="K278" s="2" t="str">
        <x:v>12時間</x:v>
      </x:c>
      <x:c r="L278" s="2" t="str">
        <x:v>20191106</x:v>
      </x:c>
      <x:c r="M278" s="2" t="str">
        <x:v>20191106</x:v>
      </x:c>
      <x:c r="N278" s="8" t="n">
        <x:v>11302</x:v>
      </x:c>
      <x:c r="O278" s="8" t="n">
        <x:v>2233</x:v>
      </x:c>
      <x:c r="P278" s="8" t="n">
        <x:v>13535</x:v>
      </x:c>
      <x:c r="Q278" s="8" t="n">
        <x:v>15013</x:v>
      </x:c>
      <x:c r="R278" s="8" t="n">
        <x:v>2988</x:v>
      </x:c>
      <x:c r="S278" s="8" t="n">
        <x:v>18001</x:v>
      </x:c>
      <x:c r="T278" s="11" t="n">
        <x:v>16.5</x:v>
      </x:c>
      <x:c r="U278" s="2" t="n">
        <x:v>2021</x:v>
      </x:c>
      <x:c r="V278" s="2" t="str">
        <x:v>https://www.mlit.go.jp/road/census/r3/data/csv/kasyo43.csv</x:v>
      </x:c>
      <x:c r="W278" s="2" t="n">
        <x:v>184</x:v>
      </x:c>
    </x:row>
    <x:row r="279" ht="21" customHeight="1">
      <x:c r="A279" s="7" t="str">
        <x:v>熊本：合志市・大津町</x:v>
      </x:c>
      <x:c r="B279" s="2" t="str">
        <x:v>43300570190</x:v>
      </x:c>
      <x:c r="C279" s="2" t="str">
        <x:v>43000_10470</x:v>
      </x:c>
      <x:c r="D279" s="2" t="str">
        <x:v>43403</x:v>
      </x:c>
      <x:c r="E279" s="2" t="str">
        <x:v>一般国道５７号</x:v>
      </x:c>
      <x:c r="F279" s="2" t="str">
        <x:v>菊池郡大津町吹田</x:v>
      </x:c>
      <x:c r="G279" s="2" t="str">
        <x:v>菊池郡大津町吹田</x:v>
      </x:c>
      <x:c r="H279" s="2" t="str">
        <x:v>推定</x:v>
      </x:c>
      <x:c r="I279" s="2" t="str">
        <x:v>推定</x:v>
      </x:c>
      <x:c r="J279" s="2" t="str">
        <x:v>12時間</x:v>
      </x:c>
      <x:c r="K279" s="2" t="str">
        <x:v>12時間</x:v>
      </x:c>
      <x:c r="L279" s="2" t="str">
        <x:v>20191106</x:v>
      </x:c>
      <x:c r="M279" s="2" t="str">
        <x:v>20191106</x:v>
      </x:c>
      <x:c r="N279" s="8" t="n">
        <x:v>11302</x:v>
      </x:c>
      <x:c r="O279" s="8" t="n">
        <x:v>2233</x:v>
      </x:c>
      <x:c r="P279" s="8" t="n">
        <x:v>13535</x:v>
      </x:c>
      <x:c r="Q279" s="8" t="n">
        <x:v>15013</x:v>
      </x:c>
      <x:c r="R279" s="8" t="n">
        <x:v>2988</x:v>
      </x:c>
      <x:c r="S279" s="8" t="n">
        <x:v>18001</x:v>
      </x:c>
      <x:c r="T279" s="11" t="n">
        <x:v>16.5</x:v>
      </x:c>
      <x:c r="U279" s="2" t="n">
        <x:v>2021</x:v>
      </x:c>
      <x:c r="V279" s="2" t="str">
        <x:v>https://www.mlit.go.jp/road/census/r3/data/csv/kasyo43.csv</x:v>
      </x:c>
      <x:c r="W279" s="2" t="n">
        <x:v>185</x:v>
      </x:c>
    </x:row>
    <x:row r="280" ht="21" customHeight="1">
      <x:c r="A280" s="7" t="str">
        <x:v>熊本：合志市・大津町</x:v>
      </x:c>
      <x:c r="B280" s="2" t="str">
        <x:v>43300570200</x:v>
      </x:c>
      <x:c r="C280" s="2" t="str">
        <x:v>43000_10475</x:v>
      </x:c>
      <x:c r="D280" s="2" t="str">
        <x:v>43403</x:v>
      </x:c>
      <x:c r="E280" s="2" t="str">
        <x:v>一般国道５７号</x:v>
      </x:c>
      <x:c r="F280" s="2" t="str">
        <x:v>菊池郡大津町引水</x:v>
      </x:c>
      <x:c r="G280" s="2" t="str">
        <x:v>菊池郡大津町引水</x:v>
      </x:c>
      <x:c r="H280" s="2" t="str">
        <x:v>推定</x:v>
      </x:c>
      <x:c r="I280" s="2" t="str">
        <x:v>推定</x:v>
      </x:c>
      <x:c r="J280" s="2" t="str">
        <x:v>12時間</x:v>
      </x:c>
      <x:c r="K280" s="2" t="str">
        <x:v>12時間</x:v>
      </x:c>
      <x:c r="L280" s="2" t="str">
        <x:v>20191106</x:v>
      </x:c>
      <x:c r="M280" s="2" t="str">
        <x:v>20191106</x:v>
      </x:c>
      <x:c r="N280" s="8" t="n">
        <x:v>15701</x:v>
      </x:c>
      <x:c r="O280" s="8" t="n">
        <x:v>1310</x:v>
      </x:c>
      <x:c r="P280" s="8" t="n">
        <x:v>17011</x:v>
      </x:c>
      <x:c r="Q280" s="8" t="n">
        <x:v>19359</x:v>
      </x:c>
      <x:c r="R280" s="8" t="n">
        <x:v>1735</x:v>
      </x:c>
      <x:c r="S280" s="8" t="n">
        <x:v>21094</x:v>
      </x:c>
      <x:c r="T280" s="11" t="n">
        <x:v>7.7</x:v>
      </x:c>
      <x:c r="U280" s="2" t="n">
        <x:v>2021</x:v>
      </x:c>
      <x:c r="V280" s="2" t="str">
        <x:v>https://www.mlit.go.jp/road/census/r3/data/csv/kasyo43.csv</x:v>
      </x:c>
      <x:c r="W280" s="2" t="n">
        <x:v>186</x:v>
      </x:c>
    </x:row>
    <x:row r="281" ht="21" customHeight="1">
      <x:c r="A281" s="7" t="str">
        <x:v>熊本：合志市・大津町</x:v>
      </x:c>
      <x:c r="B281" s="2" t="str">
        <x:v>43300570205</x:v>
      </x:c>
      <x:c r="C281" s="2" t="str">
        <x:v>43000_10480</x:v>
      </x:c>
      <x:c r="D281" s="2" t="str">
        <x:v>43403</x:v>
      </x:c>
      <x:c r="E281" s="2" t="str">
        <x:v>一般国道５７号</x:v>
      </x:c>
      <x:c r="F281" s="2" t="str">
        <x:v>菊池郡大津町室</x:v>
      </x:c>
      <x:c r="G281" s="2" t="str">
        <x:v>菊池郡大津町室</x:v>
      </x:c>
      <x:c r="H281" s="2" t="str">
        <x:v>観測</x:v>
      </x:c>
      <x:c r="I281" s="2" t="str">
        <x:v>観測</x:v>
      </x:c>
      <x:c r="J281" s="2" t="str">
        <x:v>24時間</x:v>
      </x:c>
      <x:c r="K281" s="2" t="str">
        <x:v>24時間</x:v>
      </x:c>
      <x:c r="L281" s="2" t="str">
        <x:v>20211000</x:v>
      </x:c>
      <x:c r="M281" s="2" t="str">
        <x:v>20211000</x:v>
      </x:c>
      <x:c r="N281" s="8" t="n">
        <x:v>20239</x:v>
      </x:c>
      <x:c r="O281" s="8" t="n">
        <x:v>1867</x:v>
      </x:c>
      <x:c r="P281" s="8" t="n">
        <x:v>22106</x:v>
      </x:c>
      <x:c r="Q281" s="8" t="n">
        <x:v>25078</x:v>
      </x:c>
      <x:c r="R281" s="8" t="n">
        <x:v>2430</x:v>
      </x:c>
      <x:c r="S281" s="8" t="n">
        <x:v>27508</x:v>
      </x:c>
      <x:c r="T281" s="11" t="n">
        <x:v>8.4</x:v>
      </x:c>
      <x:c r="U281" s="2" t="n">
        <x:v>2021</x:v>
      </x:c>
      <x:c r="V281" s="2" t="str">
        <x:v>https://www.mlit.go.jp/road/census/r3/data/csv/kasyo43.csv</x:v>
      </x:c>
      <x:c r="W281" s="2" t="n">
        <x:v>187</x:v>
      </x:c>
    </x:row>
    <x:row r="282" ht="21" customHeight="1">
      <x:c r="A282" s="7" t="str">
        <x:v>熊本：合志市・大津町</x:v>
      </x:c>
      <x:c r="B282" s="2" t="str">
        <x:v>43300570210</x:v>
      </x:c>
      <x:c r="C282" s="2" t="str">
        <x:v>43000_10480</x:v>
      </x:c>
      <x:c r="D282" s="2" t="str">
        <x:v>43403</x:v>
      </x:c>
      <x:c r="E282" s="2" t="str">
        <x:v>一般国道５７号</x:v>
      </x:c>
      <x:c r="F282" s="2" t="str">
        <x:v>菊池郡大津町室</x:v>
      </x:c>
      <x:c r="G282" s="2" t="str">
        <x:v>菊池郡大津町室</x:v>
      </x:c>
      <x:c r="H282" s="2" t="str">
        <x:v>観測</x:v>
      </x:c>
      <x:c r="I282" s="2" t="str">
        <x:v>観測</x:v>
      </x:c>
      <x:c r="J282" s="2" t="str">
        <x:v>24時間</x:v>
      </x:c>
      <x:c r="K282" s="2" t="str">
        <x:v>24時間</x:v>
      </x:c>
      <x:c r="L282" s="2" t="str">
        <x:v>20211000</x:v>
      </x:c>
      <x:c r="M282" s="2" t="str">
        <x:v>20211000</x:v>
      </x:c>
      <x:c r="N282" s="8" t="n">
        <x:v>20239</x:v>
      </x:c>
      <x:c r="O282" s="8" t="n">
        <x:v>1867</x:v>
      </x:c>
      <x:c r="P282" s="8" t="n">
        <x:v>22106</x:v>
      </x:c>
      <x:c r="Q282" s="8" t="n">
        <x:v>25078</x:v>
      </x:c>
      <x:c r="R282" s="8" t="n">
        <x:v>2430</x:v>
      </x:c>
      <x:c r="S282" s="8" t="n">
        <x:v>27508</x:v>
      </x:c>
      <x:c r="T282" s="11" t="n">
        <x:v>8.4</x:v>
      </x:c>
      <x:c r="U282" s="2" t="n">
        <x:v>2021</x:v>
      </x:c>
      <x:c r="V282" s="2" t="str">
        <x:v>https://www.mlit.go.jp/road/census/r3/data/csv/kasyo43.csv</x:v>
      </x:c>
      <x:c r="W282" s="2" t="n">
        <x:v>188</x:v>
      </x:c>
    </x:row>
    <x:row r="283" ht="21" customHeight="1">
      <x:c r="A283" s="7" t="str">
        <x:v>熊本：合志市・大津町</x:v>
      </x:c>
      <x:c r="B283" s="2" t="str">
        <x:v>43300570220</x:v>
      </x:c>
      <x:c r="C283" s="2" t="str">
        <x:v>43000_10480</x:v>
      </x:c>
      <x:c r="D283" s="2" t="str">
        <x:v>43403</x:v>
      </x:c>
      <x:c r="E283" s="2" t="str">
        <x:v>一般国道５７号</x:v>
      </x:c>
      <x:c r="F283" s="2" t="str">
        <x:v>菊池郡大津町室</x:v>
      </x:c>
      <x:c r="G283" s="2" t="str">
        <x:v>菊池郡大津町室</x:v>
      </x:c>
      <x:c r="H283" s="2" t="str">
        <x:v>観測</x:v>
      </x:c>
      <x:c r="I283" s="2" t="str">
        <x:v>観測</x:v>
      </x:c>
      <x:c r="J283" s="2" t="str">
        <x:v>24時間</x:v>
      </x:c>
      <x:c r="K283" s="2" t="str">
        <x:v>24時間</x:v>
      </x:c>
      <x:c r="L283" s="2" t="str">
        <x:v>20211000</x:v>
      </x:c>
      <x:c r="M283" s="2" t="str">
        <x:v>20211000</x:v>
      </x:c>
      <x:c r="N283" s="8" t="n">
        <x:v>20239</x:v>
      </x:c>
      <x:c r="O283" s="8" t="n">
        <x:v>1867</x:v>
      </x:c>
      <x:c r="P283" s="8" t="n">
        <x:v>22106</x:v>
      </x:c>
      <x:c r="Q283" s="8" t="n">
        <x:v>25078</x:v>
      </x:c>
      <x:c r="R283" s="8" t="n">
        <x:v>2430</x:v>
      </x:c>
      <x:c r="S283" s="8" t="n">
        <x:v>27508</x:v>
      </x:c>
      <x:c r="T283" s="11" t="n">
        <x:v>8.4</x:v>
      </x:c>
      <x:c r="U283" s="2" t="n">
        <x:v>2021</x:v>
      </x:c>
      <x:c r="V283" s="2" t="str">
        <x:v>https://www.mlit.go.jp/road/census/r3/data/csv/kasyo43.csv</x:v>
      </x:c>
      <x:c r="W283" s="2" t="n">
        <x:v>189</x:v>
      </x:c>
    </x:row>
    <x:row r="284" ht="21" customHeight="1">
      <x:c r="A284" s="7" t="str">
        <x:v>熊本：合志市・大津町</x:v>
      </x:c>
      <x:c r="B284" s="2" t="str">
        <x:v>43300570230</x:v>
      </x:c>
      <x:c r="C284" s="2" t="str">
        <x:v>43000_10490</x:v>
      </x:c>
      <x:c r="D284" s="2" t="str">
        <x:v>43403</x:v>
      </x:c>
      <x:c r="E284" s="2" t="str">
        <x:v>一般国道５７号</x:v>
      </x:c>
      <x:c r="F284" s="2" t="str">
        <x:v>菊池郡菊陽町津久礼</x:v>
      </x:c>
      <x:c r="G284" s="2" t="str">
        <x:v>菊池郡菊陽町津久礼</x:v>
      </x:c>
      <x:c r="H284" s="2" t="str">
        <x:v>推定</x:v>
      </x:c>
      <x:c r="I284" s="2" t="str">
        <x:v>推定</x:v>
      </x:c>
      <x:c r="J284" s="2" t="str">
        <x:v>12時間</x:v>
      </x:c>
      <x:c r="K284" s="2" t="str">
        <x:v>12時間</x:v>
      </x:c>
      <x:c r="L284" s="2" t="str">
        <x:v>20191119</x:v>
      </x:c>
      <x:c r="M284" s="2" t="str">
        <x:v>20191119</x:v>
      </x:c>
      <x:c r="N284" s="8" t="n">
        <x:v>20876</x:v>
      </x:c>
      <x:c r="O284" s="8" t="n">
        <x:v>1380</x:v>
      </x:c>
      <x:c r="P284" s="8" t="n">
        <x:v>22256</x:v>
      </x:c>
      <x:c r="Q284" s="8" t="n">
        <x:v>26264</x:v>
      </x:c>
      <x:c r="R284" s="8" t="n">
        <x:v>1779</x:v>
      </x:c>
      <x:c r="S284" s="8" t="n">
        <x:v>28043</x:v>
      </x:c>
      <x:c r="T284" s="11" t="n">
        <x:v>6.2</x:v>
      </x:c>
      <x:c r="U284" s="2" t="n">
        <x:v>2021</x:v>
      </x:c>
      <x:c r="V284" s="2" t="str">
        <x:v>https://www.mlit.go.jp/road/census/r3/data/csv/kasyo43.csv</x:v>
      </x:c>
      <x:c r="W284" s="2" t="n">
        <x:v>190</x:v>
      </x:c>
    </x:row>
    <x:row r="285" ht="21" customHeight="1">
      <x:c r="A285" s="7" t="str">
        <x:v>熊本：合志市・大津町</x:v>
      </x:c>
      <x:c r="B285" s="2" t="str">
        <x:v>43300570580</x:v>
      </x:c>
      <x:c r="C285" s="2" t="str">
        <x:v>43000_10614</x:v>
      </x:c>
      <x:c r="D285" s="2" t="str">
        <x:v>43403</x:v>
      </x:c>
      <x:c r="E285" s="2" t="str">
        <x:v>一般国道５７号（北側復旧道路）</x:v>
      </x:c>
      <x:c r="F285" s="2" t="str">
        <x:v>阿蘇市車帰</x:v>
      </x:c>
      <x:c r="G285" s="2" t="str">
        <x:v>阿蘇市車帰</x:v>
      </x:c>
      <x:c r="H285" s="2" t="str">
        <x:v>観測</x:v>
      </x:c>
      <x:c r="I285" s="2" t="str">
        <x:v>観測</x:v>
      </x:c>
      <x:c r="J285" s="2" t="str">
        <x:v>24時間</x:v>
      </x:c>
      <x:c r="K285" s="2" t="str">
        <x:v>24時間</x:v>
      </x:c>
      <x:c r="L285" s="2" t="str">
        <x:v>20211000</x:v>
      </x:c>
      <x:c r="M285" s="2" t="str">
        <x:v>20211000</x:v>
      </x:c>
      <x:c r="N285" s="8" t="n">
        <x:v>8553</x:v>
      </x:c>
      <x:c r="O285" s="8" t="n">
        <x:v>1422</x:v>
      </x:c>
      <x:c r="P285" s="8" t="n">
        <x:v>9975</x:v>
      </x:c>
      <x:c r="Q285" s="8" t="n">
        <x:v>10704</x:v>
      </x:c>
      <x:c r="R285" s="8" t="n">
        <x:v>1927</x:v>
      </x:c>
      <x:c r="S285" s="8" t="n">
        <x:v>12631</x:v>
      </x:c>
      <x:c r="T285" s="11" t="n">
        <x:v>14.3</x:v>
      </x:c>
      <x:c r="U285" s="2" t="n">
        <x:v>2021</x:v>
      </x:c>
      <x:c r="V285" s="2" t="str">
        <x:v>https://www.mlit.go.jp/road/census/r3/data/csv/kasyo43.csv</x:v>
      </x:c>
      <x:c r="W285" s="2" t="n">
        <x:v>235</x:v>
      </x:c>
    </x:row>
    <x:row r="286" ht="21" customHeight="1">
      <x:c r="A286" s="7" t="str">
        <x:v>熊本：合志市・大津町</x:v>
      </x:c>
      <x:c r="B286" s="2" t="str">
        <x:v>43300570590</x:v>
      </x:c>
      <x:c r="C286" s="2" t="str">
        <x:v>43000_10615</x:v>
      </x:c>
      <x:c r="D286" s="2" t="str">
        <x:v>43403</x:v>
      </x:c>
      <x:c r="E286" s="2" t="str">
        <x:v>一般国道５７号（北側復旧道路）</x:v>
      </x:c>
      <x:c r="F286" s="2" t="str">
        <x:v>菊池郡大津町大津</x:v>
      </x:c>
      <x:c r="G286" s="2" t="str">
        <x:v>菊池郡大津町大津</x:v>
      </x:c>
      <x:c r="H286" s="2" t="str">
        <x:v>観測</x:v>
      </x:c>
      <x:c r="I286" s="2" t="str">
        <x:v>観測</x:v>
      </x:c>
      <x:c r="J286" s="2" t="str">
        <x:v>12時間</x:v>
      </x:c>
      <x:c r="K286" s="2" t="str">
        <x:v>12時間</x:v>
      </x:c>
      <x:c r="L286" s="2" t="str">
        <x:v>20211006</x:v>
      </x:c>
      <x:c r="M286" s="2" t="str">
        <x:v>20211006</x:v>
      </x:c>
      <x:c r="N286" s="8" t="n">
        <x:v>5496</x:v>
      </x:c>
      <x:c r="O286" s="8" t="n">
        <x:v>868</x:v>
      </x:c>
      <x:c r="P286" s="8" t="n">
        <x:v>6364</x:v>
      </x:c>
      <x:c r="Q286" s="8" t="n">
        <x:v>6888</x:v>
      </x:c>
      <x:c r="R286" s="8" t="n">
        <x:v>1194</x:v>
      </x:c>
      <x:c r="S286" s="8" t="n">
        <x:v>8082</x:v>
      </x:c>
      <x:c r="T286" s="11" t="n">
        <x:v>13.6</x:v>
      </x:c>
      <x:c r="U286" s="2" t="n">
        <x:v>2021</x:v>
      </x:c>
      <x:c r="V286" s="2" t="str">
        <x:v>https://www.mlit.go.jp/road/census/r3/data/csv/kasyo43.csv</x:v>
      </x:c>
      <x:c r="W286" s="2" t="n">
        <x:v>236</x:v>
      </x:c>
    </x:row>
    <x:row r="287" ht="21" customHeight="1">
      <x:c r="A287" s="7" t="str">
        <x:v>熊本：合志市・大津町</x:v>
      </x:c>
      <x:c r="B287" s="2" t="str">
        <x:v>43303250160</x:v>
      </x:c>
      <x:c r="C287" s="2" t="str">
        <x:v>43000_12710</x:v>
      </x:c>
      <x:c r="D287" s="2" t="str">
        <x:v>43403</x:v>
      </x:c>
      <x:c r="E287" s="2" t="str">
        <x:v>一般国道３２５号</x:v>
      </x:c>
      <x:c r="F287" s="2" t="str">
        <x:v>菊池市旭志伊坂</x:v>
      </x:c>
      <x:c r="G287" s="2" t="str">
        <x:v>菊池市旭志伊坂</x:v>
      </x:c>
      <x:c r="H287" s="2" t="str">
        <x:v>観測</x:v>
      </x:c>
      <x:c r="I287" s="2" t="str">
        <x:v>観測</x:v>
      </x:c>
      <x:c r="J287" s="2" t="str">
        <x:v>12時間</x:v>
      </x:c>
      <x:c r="K287" s="2" t="str">
        <x:v>12時間</x:v>
      </x:c>
      <x:c r="L287" s="2" t="str">
        <x:v>20211118</x:v>
      </x:c>
      <x:c r="M287" s="2" t="str">
        <x:v>20211118</x:v>
      </x:c>
      <x:c r="N287" s="8" t="n">
        <x:v>16208</x:v>
      </x:c>
      <x:c r="O287" s="8" t="n">
        <x:v>3095</x:v>
      </x:c>
      <x:c r="P287" s="8" t="n">
        <x:v>19303</x:v>
      </x:c>
      <x:c r="Q287" s="8" t="n">
        <x:v>20544</x:v>
      </x:c>
      <x:c r="R287" s="8" t="n">
        <x:v>3971</x:v>
      </x:c>
      <x:c r="S287" s="8" t="n">
        <x:v>24515</x:v>
      </x:c>
      <x:c r="T287" s="11" t="n">
        <x:v>16</x:v>
      </x:c>
      <x:c r="U287" s="2" t="n">
        <x:v>2021</x:v>
      </x:c>
      <x:c r="V287" s="2" t="str">
        <x:v>https://www.mlit.go.jp/road/census/r3/data/csv/kasyo43.csv</x:v>
      </x:c>
      <x:c r="W287" s="2" t="n">
        <x:v>480</x:v>
      </x:c>
    </x:row>
    <x:row r="288" ht="21" customHeight="1">
      <x:c r="A288" s="7" t="str">
        <x:v>熊本：合志市・大津町</x:v>
      </x:c>
      <x:c r="B288" s="2" t="str">
        <x:v>43303250170</x:v>
      </x:c>
      <x:c r="C288" s="2" t="str">
        <x:v>43000_12720</x:v>
      </x:c>
      <x:c r="D288" s="2" t="str">
        <x:v>43403</x:v>
      </x:c>
      <x:c r="E288" s="2" t="str">
        <x:v>一般国道３２５号</x:v>
      </x:c>
      <x:c r="F288" s="2" t="str">
        <x:v>菊池郡大津町杉水</x:v>
      </x:c>
      <x:c r="G288" s="2" t="str">
        <x:v>菊池郡大津町杉水</x:v>
      </x:c>
      <x:c r="H288" s="2" t="str">
        <x:v>観測</x:v>
      </x:c>
      <x:c r="I288" s="2" t="str">
        <x:v>観測</x:v>
      </x:c>
      <x:c r="J288" s="2" t="str">
        <x:v>12時間</x:v>
      </x:c>
      <x:c r="K288" s="2" t="str">
        <x:v>12時間</x:v>
      </x:c>
      <x:c r="L288" s="2" t="str">
        <x:v>20211118</x:v>
      </x:c>
      <x:c r="M288" s="2" t="str">
        <x:v>20211118</x:v>
      </x:c>
      <x:c r="N288" s="8" t="n">
        <x:v>16971</x:v>
      </x:c>
      <x:c r="O288" s="8" t="n">
        <x:v>3136</x:v>
      </x:c>
      <x:c r="P288" s="8" t="n">
        <x:v>20107</x:v>
      </x:c>
      <x:c r="Q288" s="8" t="n">
        <x:v>21633</x:v>
      </x:c>
      <x:c r="R288" s="8" t="n">
        <x:v>4104</x:v>
      </x:c>
      <x:c r="S288" s="8" t="n">
        <x:v>25737</x:v>
      </x:c>
      <x:c r="T288" s="11" t="n">
        <x:v>15.6</x:v>
      </x:c>
      <x:c r="U288" s="2" t="n">
        <x:v>2021</x:v>
      </x:c>
      <x:c r="V288" s="2" t="str">
        <x:v>https://www.mlit.go.jp/road/census/r3/data/csv/kasyo43.csv</x:v>
      </x:c>
      <x:c r="W288" s="2" t="n">
        <x:v>481</x:v>
      </x:c>
    </x:row>
    <x:row r="289" ht="21" customHeight="1">
      <x:c r="A289" s="7" t="str">
        <x:v>熊本：合志市・大津町</x:v>
      </x:c>
      <x:c r="B289" s="2" t="str">
        <x:v>43303250180</x:v>
      </x:c>
      <x:c r="C289" s="2" t="str">
        <x:v>43000_12720</x:v>
      </x:c>
      <x:c r="D289" s="2" t="str">
        <x:v>43403</x:v>
      </x:c>
      <x:c r="E289" s="2" t="str">
        <x:v>一般国道３２５号</x:v>
      </x:c>
      <x:c r="F289" s="2" t="str">
        <x:v>菊池郡大津町杉水</x:v>
      </x:c>
      <x:c r="G289" s="2" t="str">
        <x:v>菊池郡大津町杉水</x:v>
      </x:c>
      <x:c r="H289" s="2" t="str">
        <x:v>観測</x:v>
      </x:c>
      <x:c r="I289" s="2" t="str">
        <x:v>観測</x:v>
      </x:c>
      <x:c r="J289" s="2" t="str">
        <x:v>12時間</x:v>
      </x:c>
      <x:c r="K289" s="2" t="str">
        <x:v>12時間</x:v>
      </x:c>
      <x:c r="L289" s="2" t="str">
        <x:v>20211118</x:v>
      </x:c>
      <x:c r="M289" s="2" t="str">
        <x:v>20211118</x:v>
      </x:c>
      <x:c r="N289" s="8" t="n">
        <x:v>16971</x:v>
      </x:c>
      <x:c r="O289" s="8" t="n">
        <x:v>3136</x:v>
      </x:c>
      <x:c r="P289" s="8" t="n">
        <x:v>20107</x:v>
      </x:c>
      <x:c r="Q289" s="8" t="n">
        <x:v>21633</x:v>
      </x:c>
      <x:c r="R289" s="8" t="n">
        <x:v>4104</x:v>
      </x:c>
      <x:c r="S289" s="8" t="n">
        <x:v>25737</x:v>
      </x:c>
      <x:c r="T289" s="11" t="n">
        <x:v>15.6</x:v>
      </x:c>
      <x:c r="U289" s="2" t="n">
        <x:v>2021</x:v>
      </x:c>
      <x:c r="V289" s="2" t="str">
        <x:v>https://www.mlit.go.jp/road/census/r3/data/csv/kasyo43.csv</x:v>
      </x:c>
      <x:c r="W289" s="2" t="n">
        <x:v>482</x:v>
      </x:c>
    </x:row>
    <x:row r="290" ht="21" customHeight="1">
      <x:c r="A290" s="7" t="str">
        <x:v>熊本：合志市・大津町</x:v>
      </x:c>
      <x:c r="B290" s="2" t="str">
        <x:v>43303250190</x:v>
      </x:c>
      <x:c r="C290" s="2" t="str">
        <x:v>43000_12720</x:v>
      </x:c>
      <x:c r="D290" s="2" t="str">
        <x:v>43403</x:v>
      </x:c>
      <x:c r="E290" s="2" t="str">
        <x:v>一般国道３２５号</x:v>
      </x:c>
      <x:c r="F290" s="2" t="str">
        <x:v>菊池郡大津町杉水</x:v>
      </x:c>
      <x:c r="G290" s="2" t="str">
        <x:v>菊池郡大津町杉水</x:v>
      </x:c>
      <x:c r="H290" s="2" t="str">
        <x:v>観測</x:v>
      </x:c>
      <x:c r="I290" s="2" t="str">
        <x:v>観測</x:v>
      </x:c>
      <x:c r="J290" s="2" t="str">
        <x:v>12時間</x:v>
      </x:c>
      <x:c r="K290" s="2" t="str">
        <x:v>12時間</x:v>
      </x:c>
      <x:c r="L290" s="2" t="str">
        <x:v>20211118</x:v>
      </x:c>
      <x:c r="M290" s="2" t="str">
        <x:v>20211118</x:v>
      </x:c>
      <x:c r="N290" s="8" t="n">
        <x:v>16971</x:v>
      </x:c>
      <x:c r="O290" s="8" t="n">
        <x:v>3136</x:v>
      </x:c>
      <x:c r="P290" s="8" t="n">
        <x:v>20107</x:v>
      </x:c>
      <x:c r="Q290" s="8" t="n">
        <x:v>21633</x:v>
      </x:c>
      <x:c r="R290" s="8" t="n">
        <x:v>4104</x:v>
      </x:c>
      <x:c r="S290" s="8" t="n">
        <x:v>25737</x:v>
      </x:c>
      <x:c r="T290" s="11" t="n">
        <x:v>15.6</x:v>
      </x:c>
      <x:c r="U290" s="2" t="n">
        <x:v>2021</x:v>
      </x:c>
      <x:c r="V290" s="2" t="str">
        <x:v>https://www.mlit.go.jp/road/census/r3/data/csv/kasyo43.csv</x:v>
      </x:c>
      <x:c r="W290" s="2" t="n">
        <x:v>483</x:v>
      </x:c>
    </x:row>
    <x:row r="291" ht="21" customHeight="1">
      <x:c r="A291" s="7" t="str">
        <x:v>熊本：合志市・大津町</x:v>
      </x:c>
      <x:c r="B291" s="2" t="str">
        <x:v>43303870220</x:v>
      </x:c>
      <x:c r="C291" s="2" t="str">
        <x:v>43000_12860</x:v>
      </x:c>
      <x:c r="D291" s="2" t="str">
        <x:v>43216</x:v>
      </x:c>
      <x:c r="E291" s="2" t="str">
        <x:v>一般国道３８７号</x:v>
      </x:c>
      <x:c r="F291" s="2" t="str">
        <x:v>菊池市泗水町吉富</x:v>
      </x:c>
      <x:c r="G291" s="2" t="str">
        <x:v>菊池市泗水町吉富</x:v>
      </x:c>
      <x:c r="H291" s="2" t="str">
        <x:v>観測</x:v>
      </x:c>
      <x:c r="I291" s="2" t="str">
        <x:v>観測</x:v>
      </x:c>
      <x:c r="J291" s="2" t="str">
        <x:v>12時間</x:v>
      </x:c>
      <x:c r="K291" s="2" t="str">
        <x:v>12時間</x:v>
      </x:c>
      <x:c r="L291" s="2" t="str">
        <x:v>20211118</x:v>
      </x:c>
      <x:c r="M291" s="2" t="str">
        <x:v>20211118</x:v>
      </x:c>
      <x:c r="N291" s="8" t="n">
        <x:v>11518</x:v>
      </x:c>
      <x:c r="O291" s="8" t="n">
        <x:v>773</x:v>
      </x:c>
      <x:c r="P291" s="8" t="n">
        <x:v>12291</x:v>
      </x:c>
      <x:c r="Q291" s="8" t="n">
        <x:v>14209</x:v>
      </x:c>
      <x:c r="R291" s="8" t="n">
        <x:v>1278</x:v>
      </x:c>
      <x:c r="S291" s="8" t="n">
        <x:v>15487</x:v>
      </x:c>
      <x:c r="T291" s="11" t="n">
        <x:v>6.3</x:v>
      </x:c>
      <x:c r="U291" s="2" t="n">
        <x:v>2021</x:v>
      </x:c>
      <x:c r="V291" s="2" t="str">
        <x:v>https://www.mlit.go.jp/road/census/r3/data/csv/kasyo43.csv</x:v>
      </x:c>
      <x:c r="W291" s="2" t="n">
        <x:v>516</x:v>
      </x:c>
    </x:row>
    <x:row r="292" ht="21" customHeight="1">
      <x:c r="A292" s="7" t="str">
        <x:v>熊本：合志市・大津町</x:v>
      </x:c>
      <x:c r="B292" s="2" t="str">
        <x:v>43303870225</x:v>
      </x:c>
      <x:c r="C292" s="2" t="str">
        <x:v>43000_12870</x:v>
      </x:c>
      <x:c r="D292" s="2" t="str">
        <x:v>43216</x:v>
      </x:c>
      <x:c r="E292" s="2" t="str">
        <x:v>一般国道３８７号</x:v>
      </x:c>
      <x:c r="F292" s="2" t="str">
        <x:v>合志市須屋</x:v>
      </x:c>
      <x:c r="G292" s="2" t="str">
        <x:v>合志市須屋</x:v>
      </x:c>
      <x:c r="H292" s="2" t="str">
        <x:v>観測</x:v>
      </x:c>
      <x:c r="I292" s="2" t="str">
        <x:v>観測</x:v>
      </x:c>
      <x:c r="J292" s="2" t="str">
        <x:v>24時間</x:v>
      </x:c>
      <x:c r="K292" s="2" t="str">
        <x:v>24時間</x:v>
      </x:c>
      <x:c r="L292" s="2" t="str">
        <x:v>20211028</x:v>
      </x:c>
      <x:c r="M292" s="2" t="str">
        <x:v>20211028</x:v>
      </x:c>
      <x:c r="N292" s="8" t="n">
        <x:v>12203</x:v>
      </x:c>
      <x:c r="O292" s="8" t="n">
        <x:v>1627</x:v>
      </x:c>
      <x:c r="P292" s="8" t="n">
        <x:v>13830</x:v>
      </x:c>
      <x:c r="Q292" s="8" t="n">
        <x:v>16185</x:v>
      </x:c>
      <x:c r="R292" s="8" t="n">
        <x:v>1938</x:v>
      </x:c>
      <x:c r="S292" s="8" t="n">
        <x:v>18123</x:v>
      </x:c>
      <x:c r="T292" s="11" t="n">
        <x:v>11.8</x:v>
      </x:c>
      <x:c r="U292" s="2" t="n">
        <x:v>2021</x:v>
      </x:c>
      <x:c r="V292" s="2" t="str">
        <x:v>https://www.mlit.go.jp/road/census/r3/data/csv/kasyo43.csv</x:v>
      </x:c>
      <x:c r="W292" s="2" t="n">
        <x:v>517</x:v>
      </x:c>
    </x:row>
    <x:row r="293" ht="21" customHeight="1">
      <x:c r="A293" s="7" t="str">
        <x:v>熊本：合志市・大津町</x:v>
      </x:c>
      <x:c r="B293" s="2" t="str">
        <x:v>43303870230</x:v>
      </x:c>
      <x:c r="C293" s="2" t="str">
        <x:v>43000_12870</x:v>
      </x:c>
      <x:c r="D293" s="2" t="str">
        <x:v>43216</x:v>
      </x:c>
      <x:c r="E293" s="2" t="str">
        <x:v>一般国道３８７号</x:v>
      </x:c>
      <x:c r="F293" s="2" t="str">
        <x:v>合志市須屋</x:v>
      </x:c>
      <x:c r="G293" s="2" t="str">
        <x:v>合志市須屋</x:v>
      </x:c>
      <x:c r="H293" s="2" t="str">
        <x:v>観測</x:v>
      </x:c>
      <x:c r="I293" s="2" t="str">
        <x:v>観測</x:v>
      </x:c>
      <x:c r="J293" s="2" t="str">
        <x:v>24時間</x:v>
      </x:c>
      <x:c r="K293" s="2" t="str">
        <x:v>24時間</x:v>
      </x:c>
      <x:c r="L293" s="2" t="str">
        <x:v>20211028</x:v>
      </x:c>
      <x:c r="M293" s="2" t="str">
        <x:v>20211028</x:v>
      </x:c>
      <x:c r="N293" s="8" t="n">
        <x:v>12203</x:v>
      </x:c>
      <x:c r="O293" s="8" t="n">
        <x:v>1627</x:v>
      </x:c>
      <x:c r="P293" s="8" t="n">
        <x:v>13830</x:v>
      </x:c>
      <x:c r="Q293" s="8" t="n">
        <x:v>16185</x:v>
      </x:c>
      <x:c r="R293" s="8" t="n">
        <x:v>1938</x:v>
      </x:c>
      <x:c r="S293" s="8" t="n">
        <x:v>18123</x:v>
      </x:c>
      <x:c r="T293" s="11" t="n">
        <x:v>11.8</x:v>
      </x:c>
      <x:c r="U293" s="2" t="n">
        <x:v>2021</x:v>
      </x:c>
      <x:c r="V293" s="2" t="str">
        <x:v>https://www.mlit.go.jp/road/census/r3/data/csv/kasyo43.csv</x:v>
      </x:c>
      <x:c r="W293" s="2" t="n">
        <x:v>518</x:v>
      </x:c>
    </x:row>
    <x:row r="294" ht="21" customHeight="1">
      <x:c r="A294" s="7" t="str">
        <x:v>熊本：合志市・大津町</x:v>
      </x:c>
      <x:c r="B294" s="2" t="str">
        <x:v>43303870240</x:v>
      </x:c>
      <x:c r="C294" s="2" t="str">
        <x:v>43000_12870</x:v>
      </x:c>
      <x:c r="D294" s="2" t="str">
        <x:v>43216</x:v>
      </x:c>
      <x:c r="E294" s="2" t="str">
        <x:v>一般国道３８７号</x:v>
      </x:c>
      <x:c r="F294" s="2" t="str">
        <x:v>合志市須屋</x:v>
      </x:c>
      <x:c r="G294" s="2" t="str">
        <x:v>合志市須屋</x:v>
      </x:c>
      <x:c r="H294" s="2" t="str">
        <x:v>観測</x:v>
      </x:c>
      <x:c r="I294" s="2" t="str">
        <x:v>観測</x:v>
      </x:c>
      <x:c r="J294" s="2" t="str">
        <x:v>24時間</x:v>
      </x:c>
      <x:c r="K294" s="2" t="str">
        <x:v>24時間</x:v>
      </x:c>
      <x:c r="L294" s="2" t="str">
        <x:v>20211028</x:v>
      </x:c>
      <x:c r="M294" s="2" t="str">
        <x:v>20211028</x:v>
      </x:c>
      <x:c r="N294" s="8" t="n">
        <x:v>12203</x:v>
      </x:c>
      <x:c r="O294" s="8" t="n">
        <x:v>1627</x:v>
      </x:c>
      <x:c r="P294" s="8" t="n">
        <x:v>13830</x:v>
      </x:c>
      <x:c r="Q294" s="8" t="n">
        <x:v>16185</x:v>
      </x:c>
      <x:c r="R294" s="8" t="n">
        <x:v>1938</x:v>
      </x:c>
      <x:c r="S294" s="8" t="n">
        <x:v>18123</x:v>
      </x:c>
      <x:c r="T294" s="11" t="n">
        <x:v>11.8</x:v>
      </x:c>
      <x:c r="U294" s="2" t="n">
        <x:v>2021</x:v>
      </x:c>
      <x:c r="V294" s="2" t="str">
        <x:v>https://www.mlit.go.jp/road/census/r3/data/csv/kasyo43.csv</x:v>
      </x:c>
      <x:c r="W294" s="2" t="n">
        <x:v>519</x:v>
      </x:c>
    </x:row>
    <x:row r="295" ht="21" customHeight="1">
      <x:c r="A295" s="7" t="str">
        <x:v>熊本：合志市・大津町</x:v>
      </x:c>
      <x:c r="B295" s="2" t="str">
        <x:v>43303870250</x:v>
      </x:c>
      <x:c r="C295" s="2" t="str">
        <x:v>43000_12870</x:v>
      </x:c>
      <x:c r="D295" s="2" t="str">
        <x:v>43216</x:v>
      </x:c>
      <x:c r="E295" s="2" t="str">
        <x:v>一般国道３８７号</x:v>
      </x:c>
      <x:c r="F295" s="2" t="str">
        <x:v>合志市須屋</x:v>
      </x:c>
      <x:c r="G295" s="2" t="str">
        <x:v>合志市須屋</x:v>
      </x:c>
      <x:c r="H295" s="2" t="str">
        <x:v>観測</x:v>
      </x:c>
      <x:c r="I295" s="2" t="str">
        <x:v>観測</x:v>
      </x:c>
      <x:c r="J295" s="2" t="str">
        <x:v>24時間</x:v>
      </x:c>
      <x:c r="K295" s="2" t="str">
        <x:v>24時間</x:v>
      </x:c>
      <x:c r="L295" s="2" t="str">
        <x:v>20211028</x:v>
      </x:c>
      <x:c r="M295" s="2" t="str">
        <x:v>20211028</x:v>
      </x:c>
      <x:c r="N295" s="8" t="n">
        <x:v>12203</x:v>
      </x:c>
      <x:c r="O295" s="8" t="n">
        <x:v>1627</x:v>
      </x:c>
      <x:c r="P295" s="8" t="n">
        <x:v>13830</x:v>
      </x:c>
      <x:c r="Q295" s="8" t="n">
        <x:v>16185</x:v>
      </x:c>
      <x:c r="R295" s="8" t="n">
        <x:v>1938</x:v>
      </x:c>
      <x:c r="S295" s="8" t="n">
        <x:v>18123</x:v>
      </x:c>
      <x:c r="T295" s="11" t="n">
        <x:v>11.8</x:v>
      </x:c>
      <x:c r="U295" s="2" t="n">
        <x:v>2021</x:v>
      </x:c>
      <x:c r="V295" s="2" t="str">
        <x:v>https://www.mlit.go.jp/road/census/r3/data/csv/kasyo43.csv</x:v>
      </x:c>
      <x:c r="W295" s="2" t="n">
        <x:v>520</x:v>
      </x:c>
    </x:row>
    <x:row r="296" ht="21" customHeight="1">
      <x:c r="A296" s="7" t="str">
        <x:v>熊本：合志市・大津町</x:v>
      </x:c>
      <x:c r="B296" s="2" t="str">
        <x:v>43303870260</x:v>
      </x:c>
      <x:c r="C296" s="2" t="str">
        <x:v>43000_12880</x:v>
      </x:c>
      <x:c r="D296" s="2" t="str">
        <x:v>43216</x:v>
      </x:c>
      <x:c r="E296" s="2" t="str">
        <x:v>一般国道３８７号</x:v>
      </x:c>
      <x:c r="F296" s="2"/>
      <x:c r="G296" s="2"/>
      <x:c r="H296" s="2" t="str">
        <x:v>推定</x:v>
      </x:c>
      <x:c r="I296" s="2" t="str">
        <x:v>推定</x:v>
      </x:c>
      <x:c r="J296" s="2" t="str">
        <x:v>未記載</x:v>
      </x:c>
      <x:c r="K296" s="2" t="str">
        <x:v>未記載</x:v>
      </x:c>
      <x:c r="L296" s="2"/>
      <x:c r="M296" s="2"/>
      <x:c r="N296" s="8" t="n">
        <x:v>22498</x:v>
      </x:c>
      <x:c r="O296" s="8" t="n">
        <x:v>1930</x:v>
      </x:c>
      <x:c r="P296" s="8" t="n">
        <x:v>24428</x:v>
      </x:c>
      <x:c r="Q296" s="8" t="n">
        <x:v>28610</x:v>
      </x:c>
      <x:c r="R296" s="8" t="n">
        <x:v>3146</x:v>
      </x:c>
      <x:c r="S296" s="8" t="n">
        <x:v>31756</x:v>
      </x:c>
      <x:c r="T296" s="11" t="n">
        <x:v>7.9</x:v>
      </x:c>
      <x:c r="U296" s="2" t="n">
        <x:v>2021</x:v>
      </x:c>
      <x:c r="V296" s="2" t="str">
        <x:v>https://www.mlit.go.jp/road/census/r3/data/csv/kasyo43.csv</x:v>
      </x:c>
      <x:c r="W296" s="2" t="n">
        <x:v>521</x:v>
      </x:c>
    </x:row>
    <x:row r="297" ht="21" customHeight="1">
      <x:c r="A297" s="7" t="str">
        <x:v>熊本：合志市・大津町</x:v>
      </x:c>
      <x:c r="B297" s="2" t="str">
        <x:v>43304430130</x:v>
      </x:c>
      <x:c r="C297" s="2" t="str">
        <x:v>43000_13090</x:v>
      </x:c>
      <x:c r="D297" s="2" t="str">
        <x:v>43403</x:v>
      </x:c>
      <x:c r="E297" s="2" t="str">
        <x:v>一般国道４４３号</x:v>
      </x:c>
      <x:c r="F297" s="2" t="str">
        <x:v>菊池郡大津町灰塚</x:v>
      </x:c>
      <x:c r="G297" s="2" t="str">
        <x:v>菊池郡大津町灰塚</x:v>
      </x:c>
      <x:c r="H297" s="2" t="str">
        <x:v>観測</x:v>
      </x:c>
      <x:c r="I297" s="2" t="str">
        <x:v>観測</x:v>
      </x:c>
      <x:c r="J297" s="2" t="str">
        <x:v>12時間</x:v>
      </x:c>
      <x:c r="K297" s="2" t="str">
        <x:v>12時間</x:v>
      </x:c>
      <x:c r="L297" s="2" t="str">
        <x:v>20211118</x:v>
      </x:c>
      <x:c r="M297" s="2" t="str">
        <x:v>20211118</x:v>
      </x:c>
      <x:c r="N297" s="8" t="n">
        <x:v>12376</x:v>
      </x:c>
      <x:c r="O297" s="8" t="n">
        <x:v>2277</x:v>
      </x:c>
      <x:c r="P297" s="8" t="n">
        <x:v>14653</x:v>
      </x:c>
      <x:c r="Q297" s="8" t="n">
        <x:v>15442</x:v>
      </x:c>
      <x:c r="R297" s="8" t="n">
        <x:v>2874</x:v>
      </x:c>
      <x:c r="S297" s="8" t="n">
        <x:v>18316</x:v>
      </x:c>
      <x:c r="T297" s="11" t="n">
        <x:v>15.5</x:v>
      </x:c>
      <x:c r="U297" s="2" t="n">
        <x:v>2021</x:v>
      </x:c>
      <x:c r="V297" s="2" t="str">
        <x:v>https://www.mlit.go.jp/road/census/r3/data/csv/kasyo43.csv</x:v>
      </x:c>
      <x:c r="W297" s="2" t="n">
        <x:v>565</x:v>
      </x:c>
    </x:row>
    <x:row r="298" ht="21" customHeight="1">
      <x:c r="A298" s="7" t="str">
        <x:v>熊本：合志市・大津町</x:v>
      </x:c>
      <x:c r="B298" s="2" t="str">
        <x:v>43304430140</x:v>
      </x:c>
      <x:c r="C298" s="2" t="str">
        <x:v>43000_13100</x:v>
      </x:c>
      <x:c r="D298" s="2" t="str">
        <x:v>43403</x:v>
      </x:c>
      <x:c r="E298" s="2" t="str">
        <x:v>一般国道４４３号</x:v>
      </x:c>
      <x:c r="F298" s="2" t="str">
        <x:v>菊池郡菊陽町久保田</x:v>
      </x:c>
      <x:c r="G298" s="2" t="str">
        <x:v>菊池郡菊陽町久保田</x:v>
      </x:c>
      <x:c r="H298" s="2" t="str">
        <x:v>観測</x:v>
      </x:c>
      <x:c r="I298" s="2" t="str">
        <x:v>観測</x:v>
      </x:c>
      <x:c r="J298" s="2" t="str">
        <x:v>12時間</x:v>
      </x:c>
      <x:c r="K298" s="2" t="str">
        <x:v>12時間</x:v>
      </x:c>
      <x:c r="L298" s="2" t="str">
        <x:v>20211118</x:v>
      </x:c>
      <x:c r="M298" s="2" t="str">
        <x:v>20211118</x:v>
      </x:c>
      <x:c r="N298" s="8" t="n">
        <x:v>11485</x:v>
      </x:c>
      <x:c r="O298" s="8" t="n">
        <x:v>919</x:v>
      </x:c>
      <x:c r="P298" s="8" t="n">
        <x:v>12404</x:v>
      </x:c>
      <x:c r="Q298" s="8" t="n">
        <x:v>14207</x:v>
      </x:c>
      <x:c r="R298" s="8" t="n">
        <x:v>1422</x:v>
      </x:c>
      <x:c r="S298" s="8" t="n">
        <x:v>15629</x:v>
      </x:c>
      <x:c r="T298" s="11" t="n">
        <x:v>7.4</x:v>
      </x:c>
      <x:c r="U298" s="2" t="n">
        <x:v>2021</x:v>
      </x:c>
      <x:c r="V298" s="2" t="str">
        <x:v>https://www.mlit.go.jp/road/census/r3/data/csv/kasyo43.csv</x:v>
      </x:c>
      <x:c r="W298" s="2" t="n">
        <x:v>566</x:v>
      </x:c>
    </x:row>
    <x:row r="299" ht="21" customHeight="1">
      <x:c r="A299" s="7" t="str">
        <x:v>熊本：合志市・大津町</x:v>
      </x:c>
      <x:c r="B299" s="2" t="str">
        <x:v>43400230070</x:v>
      </x:c>
      <x:c r="C299" s="2" t="str">
        <x:v>43000_40490</x:v>
      </x:c>
      <x:c r="D299" s="2" t="str">
        <x:v>43403</x:v>
      </x:c>
      <x:c r="E299" s="2" t="str">
        <x:v>菊池赤水線</x:v>
      </x:c>
      <x:c r="F299" s="2" t="str">
        <x:v>菊池郡大津町矢護川</x:v>
      </x:c>
      <x:c r="G299" s="2" t="str">
        <x:v>菊池郡大津町矢護川</x:v>
      </x:c>
      <x:c r="H299" s="2" t="str">
        <x:v>観測</x:v>
      </x:c>
      <x:c r="I299" s="2" t="str">
        <x:v>観測</x:v>
      </x:c>
      <x:c r="J299" s="2" t="str">
        <x:v>12時間</x:v>
      </x:c>
      <x:c r="K299" s="2" t="str">
        <x:v>12時間</x:v>
      </x:c>
      <x:c r="L299" s="2" t="str">
        <x:v>20211118</x:v>
      </x:c>
      <x:c r="M299" s="2" t="str">
        <x:v>20211118</x:v>
      </x:c>
      <x:c r="N299" s="8" t="n">
        <x:v>309</x:v>
      </x:c>
      <x:c r="O299" s="8" t="n">
        <x:v>27</x:v>
      </x:c>
      <x:c r="P299" s="8" t="n">
        <x:v>336</x:v>
      </x:c>
      <x:c r="Q299" s="8" t="n">
        <x:v>366</x:v>
      </x:c>
      <x:c r="R299" s="8" t="n">
        <x:v>34</x:v>
      </x:c>
      <x:c r="S299" s="8" t="n">
        <x:v>400</x:v>
      </x:c>
      <x:c r="T299" s="11" t="n">
        <x:v>8</x:v>
      </x:c>
      <x:c r="U299" s="2" t="n">
        <x:v>2021</x:v>
      </x:c>
      <x:c r="V299" s="2" t="str">
        <x:v>https://www.mlit.go.jp/road/census/r3/data/csv/kasyo43.csv</x:v>
      </x:c>
      <x:c r="W299" s="2" t="n">
        <x:v>808</x:v>
      </x:c>
    </x:row>
    <x:row r="300" ht="21" customHeight="1">
      <x:c r="A300" s="7" t="str">
        <x:v>熊本：合志市・大津町</x:v>
      </x:c>
      <x:c r="B300" s="2" t="str">
        <x:v>43400230080</x:v>
      </x:c>
      <x:c r="C300" s="2" t="str">
        <x:v>43000_40490</x:v>
      </x:c>
      <x:c r="D300" s="2" t="str">
        <x:v>43403</x:v>
      </x:c>
      <x:c r="E300" s="2" t="str">
        <x:v>菊池赤水線</x:v>
      </x:c>
      <x:c r="F300" s="2" t="str">
        <x:v>菊池郡大津町矢護川</x:v>
      </x:c>
      <x:c r="G300" s="2" t="str">
        <x:v>菊池郡大津町矢護川</x:v>
      </x:c>
      <x:c r="H300" s="2" t="str">
        <x:v>観測</x:v>
      </x:c>
      <x:c r="I300" s="2" t="str">
        <x:v>観測</x:v>
      </x:c>
      <x:c r="J300" s="2" t="str">
        <x:v>12時間</x:v>
      </x:c>
      <x:c r="K300" s="2" t="str">
        <x:v>12時間</x:v>
      </x:c>
      <x:c r="L300" s="2" t="str">
        <x:v>20211118</x:v>
      </x:c>
      <x:c r="M300" s="2" t="str">
        <x:v>20211118</x:v>
      </x:c>
      <x:c r="N300" s="8" t="n">
        <x:v>309</x:v>
      </x:c>
      <x:c r="O300" s="8" t="n">
        <x:v>27</x:v>
      </x:c>
      <x:c r="P300" s="8" t="n">
        <x:v>336</x:v>
      </x:c>
      <x:c r="Q300" s="8" t="n">
        <x:v>366</x:v>
      </x:c>
      <x:c r="R300" s="8" t="n">
        <x:v>34</x:v>
      </x:c>
      <x:c r="S300" s="8" t="n">
        <x:v>400</x:v>
      </x:c>
      <x:c r="T300" s="11" t="n">
        <x:v>8</x:v>
      </x:c>
      <x:c r="U300" s="2" t="n">
        <x:v>2021</x:v>
      </x:c>
      <x:c r="V300" s="2" t="str">
        <x:v>https://www.mlit.go.jp/road/census/r3/data/csv/kasyo43.csv</x:v>
      </x:c>
      <x:c r="W300" s="2" t="n">
        <x:v>809</x:v>
      </x:c>
    </x:row>
    <x:row r="301" ht="21" customHeight="1">
      <x:c r="A301" s="7" t="str">
        <x:v>熊本：合志市・大津町</x:v>
      </x:c>
      <x:c r="B301" s="2" t="str">
        <x:v>43400230090</x:v>
      </x:c>
      <x:c r="C301" s="2" t="str">
        <x:v>43000_40490</x:v>
      </x:c>
      <x:c r="D301" s="2" t="str">
        <x:v>43403</x:v>
      </x:c>
      <x:c r="E301" s="2" t="str">
        <x:v>菊池赤水線</x:v>
      </x:c>
      <x:c r="F301" s="2" t="str">
        <x:v>菊池郡大津町矢護川</x:v>
      </x:c>
      <x:c r="G301" s="2" t="str">
        <x:v>菊池郡大津町矢護川</x:v>
      </x:c>
      <x:c r="H301" s="2" t="str">
        <x:v>観測</x:v>
      </x:c>
      <x:c r="I301" s="2" t="str">
        <x:v>観測</x:v>
      </x:c>
      <x:c r="J301" s="2" t="str">
        <x:v>12時間</x:v>
      </x:c>
      <x:c r="K301" s="2" t="str">
        <x:v>12時間</x:v>
      </x:c>
      <x:c r="L301" s="2" t="str">
        <x:v>20211118</x:v>
      </x:c>
      <x:c r="M301" s="2" t="str">
        <x:v>20211118</x:v>
      </x:c>
      <x:c r="N301" s="8" t="n">
        <x:v>309</x:v>
      </x:c>
      <x:c r="O301" s="8" t="n">
        <x:v>27</x:v>
      </x:c>
      <x:c r="P301" s="8" t="n">
        <x:v>336</x:v>
      </x:c>
      <x:c r="Q301" s="8" t="n">
        <x:v>366</x:v>
      </x:c>
      <x:c r="R301" s="8" t="n">
        <x:v>34</x:v>
      </x:c>
      <x:c r="S301" s="8" t="n">
        <x:v>400</x:v>
      </x:c>
      <x:c r="T301" s="11" t="n">
        <x:v>8</x:v>
      </x:c>
      <x:c r="U301" s="2" t="n">
        <x:v>2021</x:v>
      </x:c>
      <x:c r="V301" s="2" t="str">
        <x:v>https://www.mlit.go.jp/road/census/r3/data/csv/kasyo43.csv</x:v>
      </x:c>
      <x:c r="W301" s="2" t="n">
        <x:v>810</x:v>
      </x:c>
    </x:row>
    <x:row r="302" ht="21" customHeight="1">
      <x:c r="A302" s="7" t="str">
        <x:v>熊本：合志市・大津町</x:v>
      </x:c>
      <x:c r="B302" s="2" t="str">
        <x:v>43400300010</x:v>
      </x:c>
      <x:c r="C302" s="2" t="str">
        <x:v>43000_40800</x:v>
      </x:c>
      <x:c r="D302" s="2" t="str">
        <x:v>43403</x:v>
      </x:c>
      <x:c r="E302" s="2" t="str">
        <x:v>大津植木線（現道）</x:v>
      </x:c>
      <x:c r="F302" s="2" t="str">
        <x:v>菊池郡大津町引水</x:v>
      </x:c>
      <x:c r="G302" s="2" t="str">
        <x:v>菊池郡大津町引水</x:v>
      </x:c>
      <x:c r="H302" s="2" t="str">
        <x:v>観測</x:v>
      </x:c>
      <x:c r="I302" s="2" t="str">
        <x:v>観測</x:v>
      </x:c>
      <x:c r="J302" s="2" t="str">
        <x:v>12時間</x:v>
      </x:c>
      <x:c r="K302" s="2" t="str">
        <x:v>12時間</x:v>
      </x:c>
      <x:c r="L302" s="2" t="str">
        <x:v>20211118</x:v>
      </x:c>
      <x:c r="M302" s="2" t="str">
        <x:v>20211118</x:v>
      </x:c>
      <x:c r="N302" s="8" t="n">
        <x:v>3450</x:v>
      </x:c>
      <x:c r="O302" s="8" t="n">
        <x:v>209</x:v>
      </x:c>
      <x:c r="P302" s="8" t="n">
        <x:v>3659</x:v>
      </x:c>
      <x:c r="Q302" s="8" t="n">
        <x:v>4149</x:v>
      </x:c>
      <x:c r="R302" s="8" t="n">
        <x:v>315</x:v>
      </x:c>
      <x:c r="S302" s="8" t="n">
        <x:v>4464</x:v>
      </x:c>
      <x:c r="T302" s="11" t="n">
        <x:v>5.7</x:v>
      </x:c>
      <x:c r="U302" s="2" t="n">
        <x:v>2021</x:v>
      </x:c>
      <x:c r="V302" s="2" t="str">
        <x:v>https://www.mlit.go.jp/road/census/r3/data/csv/kasyo43.csv</x:v>
      </x:c>
      <x:c r="W302" s="2" t="n">
        <x:v>909</x:v>
      </x:c>
    </x:row>
    <x:row r="303" ht="21" customHeight="1">
      <x:c r="A303" s="7" t="str">
        <x:v>熊本：合志市・大津町</x:v>
      </x:c>
      <x:c r="B303" s="2" t="str">
        <x:v>43400300020</x:v>
      </x:c>
      <x:c r="C303" s="2" t="str">
        <x:v>43000_40800</x:v>
      </x:c>
      <x:c r="D303" s="2" t="str">
        <x:v>43403</x:v>
      </x:c>
      <x:c r="E303" s="2" t="str">
        <x:v>大津植木線（現道）</x:v>
      </x:c>
      <x:c r="F303" s="2" t="str">
        <x:v>菊池郡大津町引水</x:v>
      </x:c>
      <x:c r="G303" s="2" t="str">
        <x:v>菊池郡大津町引水</x:v>
      </x:c>
      <x:c r="H303" s="2" t="str">
        <x:v>観測</x:v>
      </x:c>
      <x:c r="I303" s="2" t="str">
        <x:v>観測</x:v>
      </x:c>
      <x:c r="J303" s="2" t="str">
        <x:v>12時間</x:v>
      </x:c>
      <x:c r="K303" s="2" t="str">
        <x:v>12時間</x:v>
      </x:c>
      <x:c r="L303" s="2" t="str">
        <x:v>20211118</x:v>
      </x:c>
      <x:c r="M303" s="2" t="str">
        <x:v>20211118</x:v>
      </x:c>
      <x:c r="N303" s="8" t="n">
        <x:v>3450</x:v>
      </x:c>
      <x:c r="O303" s="8" t="n">
        <x:v>209</x:v>
      </x:c>
      <x:c r="P303" s="8" t="n">
        <x:v>3659</x:v>
      </x:c>
      <x:c r="Q303" s="8" t="n">
        <x:v>4149</x:v>
      </x:c>
      <x:c r="R303" s="8" t="n">
        <x:v>315</x:v>
      </x:c>
      <x:c r="S303" s="8" t="n">
        <x:v>4464</x:v>
      </x:c>
      <x:c r="T303" s="11" t="n">
        <x:v>5.7</x:v>
      </x:c>
      <x:c r="U303" s="2" t="n">
        <x:v>2021</x:v>
      </x:c>
      <x:c r="V303" s="2" t="str">
        <x:v>https://www.mlit.go.jp/road/census/r3/data/csv/kasyo43.csv</x:v>
      </x:c>
      <x:c r="W303" s="2" t="n">
        <x:v>910</x:v>
      </x:c>
    </x:row>
    <x:row r="304" ht="21" customHeight="1">
      <x:c r="A304" s="7" t="str">
        <x:v>熊本：合志市・大津町</x:v>
      </x:c>
      <x:c r="B304" s="2" t="str">
        <x:v>43400300030</x:v>
      </x:c>
      <x:c r="C304" s="2" t="str">
        <x:v>43000_40800</x:v>
      </x:c>
      <x:c r="D304" s="2" t="str">
        <x:v>43403</x:v>
      </x:c>
      <x:c r="E304" s="2" t="str">
        <x:v>大津植木線（現道）</x:v>
      </x:c>
      <x:c r="F304" s="2" t="str">
        <x:v>菊池郡大津町引水</x:v>
      </x:c>
      <x:c r="G304" s="2" t="str">
        <x:v>菊池郡大津町引水</x:v>
      </x:c>
      <x:c r="H304" s="2" t="str">
        <x:v>観測</x:v>
      </x:c>
      <x:c r="I304" s="2" t="str">
        <x:v>観測</x:v>
      </x:c>
      <x:c r="J304" s="2" t="str">
        <x:v>12時間</x:v>
      </x:c>
      <x:c r="K304" s="2" t="str">
        <x:v>12時間</x:v>
      </x:c>
      <x:c r="L304" s="2" t="str">
        <x:v>20211118</x:v>
      </x:c>
      <x:c r="M304" s="2" t="str">
        <x:v>20211118</x:v>
      </x:c>
      <x:c r="N304" s="8" t="n">
        <x:v>3450</x:v>
      </x:c>
      <x:c r="O304" s="8" t="n">
        <x:v>209</x:v>
      </x:c>
      <x:c r="P304" s="8" t="n">
        <x:v>3659</x:v>
      </x:c>
      <x:c r="Q304" s="8" t="n">
        <x:v>4149</x:v>
      </x:c>
      <x:c r="R304" s="8" t="n">
        <x:v>315</x:v>
      </x:c>
      <x:c r="S304" s="8" t="n">
        <x:v>4464</x:v>
      </x:c>
      <x:c r="T304" s="11" t="n">
        <x:v>5.7</x:v>
      </x:c>
      <x:c r="U304" s="2" t="n">
        <x:v>2021</x:v>
      </x:c>
      <x:c r="V304" s="2" t="str">
        <x:v>https://www.mlit.go.jp/road/census/r3/data/csv/kasyo43.csv</x:v>
      </x:c>
      <x:c r="W304" s="2" t="n">
        <x:v>911</x:v>
      </x:c>
    </x:row>
    <x:row r="305" ht="21" customHeight="1">
      <x:c r="A305" s="7" t="str">
        <x:v>熊本：合志市・大津町</x:v>
      </x:c>
      <x:c r="B305" s="2" t="str">
        <x:v>43400300040</x:v>
      </x:c>
      <x:c r="C305" s="2" t="str">
        <x:v>43000_40800</x:v>
      </x:c>
      <x:c r="D305" s="2" t="str">
        <x:v>43403</x:v>
      </x:c>
      <x:c r="E305" s="2" t="str">
        <x:v>大津植木線（現道）</x:v>
      </x:c>
      <x:c r="F305" s="2" t="str">
        <x:v>菊池郡大津町引水</x:v>
      </x:c>
      <x:c r="G305" s="2" t="str">
        <x:v>菊池郡大津町引水</x:v>
      </x:c>
      <x:c r="H305" s="2" t="str">
        <x:v>観測</x:v>
      </x:c>
      <x:c r="I305" s="2" t="str">
        <x:v>観測</x:v>
      </x:c>
      <x:c r="J305" s="2" t="str">
        <x:v>12時間</x:v>
      </x:c>
      <x:c r="K305" s="2" t="str">
        <x:v>12時間</x:v>
      </x:c>
      <x:c r="L305" s="2" t="str">
        <x:v>20211118</x:v>
      </x:c>
      <x:c r="M305" s="2" t="str">
        <x:v>20211118</x:v>
      </x:c>
      <x:c r="N305" s="8" t="n">
        <x:v>3450</x:v>
      </x:c>
      <x:c r="O305" s="8" t="n">
        <x:v>209</x:v>
      </x:c>
      <x:c r="P305" s="8" t="n">
        <x:v>3659</x:v>
      </x:c>
      <x:c r="Q305" s="8" t="n">
        <x:v>4149</x:v>
      </x:c>
      <x:c r="R305" s="8" t="n">
        <x:v>315</x:v>
      </x:c>
      <x:c r="S305" s="8" t="n">
        <x:v>4464</x:v>
      </x:c>
      <x:c r="T305" s="11" t="n">
        <x:v>5.7</x:v>
      </x:c>
      <x:c r="U305" s="2" t="n">
        <x:v>2021</x:v>
      </x:c>
      <x:c r="V305" s="2" t="str">
        <x:v>https://www.mlit.go.jp/road/census/r3/data/csv/kasyo43.csv</x:v>
      </x:c>
      <x:c r="W305" s="2" t="n">
        <x:v>912</x:v>
      </x:c>
    </x:row>
    <x:row r="306" ht="21" customHeight="1">
      <x:c r="A306" s="7" t="str">
        <x:v>熊本：合志市・大津町</x:v>
      </x:c>
      <x:c r="B306" s="2" t="str">
        <x:v>43400300050</x:v>
      </x:c>
      <x:c r="C306" s="2" t="str">
        <x:v>43000_40800</x:v>
      </x:c>
      <x:c r="D306" s="2" t="str">
        <x:v>43403</x:v>
      </x:c>
      <x:c r="E306" s="2" t="str">
        <x:v>大津植木線（現道）</x:v>
      </x:c>
      <x:c r="F306" s="2" t="str">
        <x:v>菊池郡大津町引水</x:v>
      </x:c>
      <x:c r="G306" s="2" t="str">
        <x:v>菊池郡大津町引水</x:v>
      </x:c>
      <x:c r="H306" s="2" t="str">
        <x:v>観測</x:v>
      </x:c>
      <x:c r="I306" s="2" t="str">
        <x:v>観測</x:v>
      </x:c>
      <x:c r="J306" s="2" t="str">
        <x:v>12時間</x:v>
      </x:c>
      <x:c r="K306" s="2" t="str">
        <x:v>12時間</x:v>
      </x:c>
      <x:c r="L306" s="2" t="str">
        <x:v>20211118</x:v>
      </x:c>
      <x:c r="M306" s="2" t="str">
        <x:v>20211118</x:v>
      </x:c>
      <x:c r="N306" s="8" t="n">
        <x:v>3450</x:v>
      </x:c>
      <x:c r="O306" s="8" t="n">
        <x:v>209</x:v>
      </x:c>
      <x:c r="P306" s="8" t="n">
        <x:v>3659</x:v>
      </x:c>
      <x:c r="Q306" s="8" t="n">
        <x:v>4149</x:v>
      </x:c>
      <x:c r="R306" s="8" t="n">
        <x:v>315</x:v>
      </x:c>
      <x:c r="S306" s="8" t="n">
        <x:v>4464</x:v>
      </x:c>
      <x:c r="T306" s="11" t="n">
        <x:v>5.7</x:v>
      </x:c>
      <x:c r="U306" s="2" t="n">
        <x:v>2021</x:v>
      </x:c>
      <x:c r="V306" s="2" t="str">
        <x:v>https://www.mlit.go.jp/road/census/r3/data/csv/kasyo43.csv</x:v>
      </x:c>
      <x:c r="W306" s="2" t="n">
        <x:v>913</x:v>
      </x:c>
    </x:row>
    <x:row r="307" ht="21" customHeight="1">
      <x:c r="A307" s="7" t="str">
        <x:v>熊本：合志市・大津町</x:v>
      </x:c>
      <x:c r="B307" s="2" t="str">
        <x:v>43400300070</x:v>
      </x:c>
      <x:c r="C307" s="2" t="str">
        <x:v>43000_40810</x:v>
      </x:c>
      <x:c r="D307" s="2" t="str">
        <x:v>43403</x:v>
      </x:c>
      <x:c r="E307" s="2" t="str">
        <x:v>大津植木線（現道）</x:v>
      </x:c>
      <x:c r="F307" s="2" t="str">
        <x:v>菊池郡菊陽町原水</x:v>
      </x:c>
      <x:c r="G307" s="2" t="str">
        <x:v>菊池郡菊陽町原水</x:v>
      </x:c>
      <x:c r="H307" s="2" t="str">
        <x:v>観測</x:v>
      </x:c>
      <x:c r="I307" s="2" t="str">
        <x:v>観測</x:v>
      </x:c>
      <x:c r="J307" s="2" t="str">
        <x:v>12時間</x:v>
      </x:c>
      <x:c r="K307" s="2" t="str">
        <x:v>12時間</x:v>
      </x:c>
      <x:c r="L307" s="2" t="str">
        <x:v>20211118</x:v>
      </x:c>
      <x:c r="M307" s="2" t="str">
        <x:v>20211118</x:v>
      </x:c>
      <x:c r="N307" s="8" t="n">
        <x:v>11212</x:v>
      </x:c>
      <x:c r="O307" s="8" t="n">
        <x:v>1369</x:v>
      </x:c>
      <x:c r="P307" s="8" t="n">
        <x:v>12581</x:v>
      </x:c>
      <x:c r="Q307" s="8" t="n">
        <x:v>13848</x:v>
      </x:c>
      <x:c r="R307" s="8" t="n">
        <x:v>1878</x:v>
      </x:c>
      <x:c r="S307" s="8" t="n">
        <x:v>15726</x:v>
      </x:c>
      <x:c r="T307" s="11" t="n">
        <x:v>10.9</x:v>
      </x:c>
      <x:c r="U307" s="2" t="n">
        <x:v>2021</x:v>
      </x:c>
      <x:c r="V307" s="2" t="str">
        <x:v>https://www.mlit.go.jp/road/census/r3/data/csv/kasyo43.csv</x:v>
      </x:c>
      <x:c r="W307" s="2" t="n">
        <x:v>914</x:v>
      </x:c>
    </x:row>
    <x:row r="308" ht="21" customHeight="1">
      <x:c r="A308" s="7" t="str">
        <x:v>熊本：合志市・大津町</x:v>
      </x:c>
      <x:c r="B308" s="2" t="str">
        <x:v>43400300100</x:v>
      </x:c>
      <x:c r="C308" s="2" t="str">
        <x:v>43000_40820</x:v>
      </x:c>
      <x:c r="D308" s="2" t="str">
        <x:v>43216</x:v>
      </x:c>
      <x:c r="E308" s="2" t="str">
        <x:v>大津植木線（旧道、現道）</x:v>
      </x:c>
      <x:c r="F308" s="2" t="str">
        <x:v>合志市福原</x:v>
      </x:c>
      <x:c r="G308" s="2" t="str">
        <x:v>合志市福原</x:v>
      </x:c>
      <x:c r="H308" s="2" t="str">
        <x:v>観測</x:v>
      </x:c>
      <x:c r="I308" s="2" t="str">
        <x:v>観測</x:v>
      </x:c>
      <x:c r="J308" s="2" t="str">
        <x:v>12時間</x:v>
      </x:c>
      <x:c r="K308" s="2" t="str">
        <x:v>12時間</x:v>
      </x:c>
      <x:c r="L308" s="2" t="str">
        <x:v>20211118</x:v>
      </x:c>
      <x:c r="M308" s="2" t="str">
        <x:v>20211118</x:v>
      </x:c>
      <x:c r="N308" s="8" t="n">
        <x:v>2777</x:v>
      </x:c>
      <x:c r="O308" s="8" t="n">
        <x:v>376</x:v>
      </x:c>
      <x:c r="P308" s="8" t="n">
        <x:v>3153</x:v>
      </x:c>
      <x:c r="Q308" s="8" t="n">
        <x:v>3307</x:v>
      </x:c>
      <x:c r="R308" s="8" t="n">
        <x:v>445</x:v>
      </x:c>
      <x:c r="S308" s="8" t="n">
        <x:v>3752</x:v>
      </x:c>
      <x:c r="T308" s="11" t="n">
        <x:v>11.9</x:v>
      </x:c>
      <x:c r="U308" s="2" t="n">
        <x:v>2021</x:v>
      </x:c>
      <x:c r="V308" s="2" t="str">
        <x:v>https://www.mlit.go.jp/road/census/r3/data/csv/kasyo43.csv</x:v>
      </x:c>
      <x:c r="W308" s="2" t="n">
        <x:v>918</x:v>
      </x:c>
    </x:row>
    <x:row r="309" ht="21" customHeight="1">
      <x:c r="A309" s="7" t="str">
        <x:v>熊本：合志市・大津町</x:v>
      </x:c>
      <x:c r="B309" s="2" t="str">
        <x:v>43400300110</x:v>
      </x:c>
      <x:c r="C309" s="2" t="str">
        <x:v>43000_40830</x:v>
      </x:c>
      <x:c r="D309" s="2" t="str">
        <x:v>43216</x:v>
      </x:c>
      <x:c r="E309" s="2" t="str">
        <x:v>大津植木線（現道）</x:v>
      </x:c>
      <x:c r="F309" s="2" t="str">
        <x:v>合志市合生</x:v>
      </x:c>
      <x:c r="G309" s="2" t="str">
        <x:v>合志市合生</x:v>
      </x:c>
      <x:c r="H309" s="2" t="str">
        <x:v>推定</x:v>
      </x:c>
      <x:c r="I309" s="2" t="str">
        <x:v>推定</x:v>
      </x:c>
      <x:c r="J309" s="2" t="str">
        <x:v>12時間</x:v>
      </x:c>
      <x:c r="K309" s="2" t="str">
        <x:v>12時間</x:v>
      </x:c>
      <x:c r="L309" s="2" t="str">
        <x:v>20210216</x:v>
      </x:c>
      <x:c r="M309" s="2" t="str">
        <x:v>20210216</x:v>
      </x:c>
      <x:c r="N309" s="8" t="n">
        <x:v>6663</x:v>
      </x:c>
      <x:c r="O309" s="8" t="n">
        <x:v>1167</x:v>
      </x:c>
      <x:c r="P309" s="8" t="n">
        <x:v>7830</x:v>
      </x:c>
      <x:c r="Q309" s="8" t="n">
        <x:v>7722</x:v>
      </x:c>
      <x:c r="R309" s="8" t="n">
        <x:v>1282</x:v>
      </x:c>
      <x:c r="S309" s="8" t="n">
        <x:v>9004</x:v>
      </x:c>
      <x:c r="T309" s="11" t="n">
        <x:v>14.9</x:v>
      </x:c>
      <x:c r="U309" s="2" t="n">
        <x:v>2021</x:v>
      </x:c>
      <x:c r="V309" s="2" t="str">
        <x:v>https://www.mlit.go.jp/road/census/r3/data/csv/kasyo43.csv</x:v>
      </x:c>
      <x:c r="W309" s="2" t="n">
        <x:v>919</x:v>
      </x:c>
    </x:row>
    <x:row r="310" ht="21" customHeight="1">
      <x:c r="A310" s="7" t="str">
        <x:v>熊本：合志市・大津町</x:v>
      </x:c>
      <x:c r="B310" s="2" t="str">
        <x:v>43400300120</x:v>
      </x:c>
      <x:c r="C310" s="2" t="str">
        <x:v>43000_40830</x:v>
      </x:c>
      <x:c r="D310" s="2" t="str">
        <x:v>43216</x:v>
      </x:c>
      <x:c r="E310" s="2" t="str">
        <x:v>大津植木線（現道）</x:v>
      </x:c>
      <x:c r="F310" s="2" t="str">
        <x:v>合志市合生</x:v>
      </x:c>
      <x:c r="G310" s="2" t="str">
        <x:v>合志市合生</x:v>
      </x:c>
      <x:c r="H310" s="2" t="str">
        <x:v>推定</x:v>
      </x:c>
      <x:c r="I310" s="2" t="str">
        <x:v>推定</x:v>
      </x:c>
      <x:c r="J310" s="2" t="str">
        <x:v>12時間</x:v>
      </x:c>
      <x:c r="K310" s="2" t="str">
        <x:v>12時間</x:v>
      </x:c>
      <x:c r="L310" s="2" t="str">
        <x:v>20210216</x:v>
      </x:c>
      <x:c r="M310" s="2" t="str">
        <x:v>20210216</x:v>
      </x:c>
      <x:c r="N310" s="8" t="n">
        <x:v>6663</x:v>
      </x:c>
      <x:c r="O310" s="8" t="n">
        <x:v>1167</x:v>
      </x:c>
      <x:c r="P310" s="8" t="n">
        <x:v>7830</x:v>
      </x:c>
      <x:c r="Q310" s="8" t="n">
        <x:v>7722</x:v>
      </x:c>
      <x:c r="R310" s="8" t="n">
        <x:v>1282</x:v>
      </x:c>
      <x:c r="S310" s="8" t="n">
        <x:v>9004</x:v>
      </x:c>
      <x:c r="T310" s="11" t="n">
        <x:v>14.9</x:v>
      </x:c>
      <x:c r="U310" s="2" t="n">
        <x:v>2021</x:v>
      </x:c>
      <x:c r="V310" s="2" t="str">
        <x:v>https://www.mlit.go.jp/road/census/r3/data/csv/kasyo43.csv</x:v>
      </x:c>
      <x:c r="W310" s="2" t="n">
        <x:v>920</x:v>
      </x:c>
    </x:row>
    <x:row r="311" ht="21" customHeight="1">
      <x:c r="A311" s="7" t="str">
        <x:v>熊本：合志市・大津町</x:v>
      </x:c>
      <x:c r="B311" s="2" t="str">
        <x:v>43400300125</x:v>
      </x:c>
      <x:c r="C311" s="2" t="str">
        <x:v>43000_40830</x:v>
      </x:c>
      <x:c r="D311" s="2" t="str">
        <x:v>43216</x:v>
      </x:c>
      <x:c r="E311" s="2" t="str">
        <x:v>大津植木線（現道）</x:v>
      </x:c>
      <x:c r="F311" s="2" t="str">
        <x:v>合志市合生</x:v>
      </x:c>
      <x:c r="G311" s="2" t="str">
        <x:v>合志市合生</x:v>
      </x:c>
      <x:c r="H311" s="2" t="str">
        <x:v>推定</x:v>
      </x:c>
      <x:c r="I311" s="2" t="str">
        <x:v>推定</x:v>
      </x:c>
      <x:c r="J311" s="2" t="str">
        <x:v>12時間</x:v>
      </x:c>
      <x:c r="K311" s="2" t="str">
        <x:v>12時間</x:v>
      </x:c>
      <x:c r="L311" s="2" t="str">
        <x:v>20210216</x:v>
      </x:c>
      <x:c r="M311" s="2" t="str">
        <x:v>20210216</x:v>
      </x:c>
      <x:c r="N311" s="8" t="n">
        <x:v>6663</x:v>
      </x:c>
      <x:c r="O311" s="8" t="n">
        <x:v>1167</x:v>
      </x:c>
      <x:c r="P311" s="8" t="n">
        <x:v>7830</x:v>
      </x:c>
      <x:c r="Q311" s="8" t="n">
        <x:v>7722</x:v>
      </x:c>
      <x:c r="R311" s="8" t="n">
        <x:v>1282</x:v>
      </x:c>
      <x:c r="S311" s="8" t="n">
        <x:v>9004</x:v>
      </x:c>
      <x:c r="T311" s="11" t="n">
        <x:v>14.9</x:v>
      </x:c>
      <x:c r="U311" s="2" t="n">
        <x:v>2021</x:v>
      </x:c>
      <x:c r="V311" s="2" t="str">
        <x:v>https://www.mlit.go.jp/road/census/r3/data/csv/kasyo43.csv</x:v>
      </x:c>
      <x:c r="W311" s="2" t="n">
        <x:v>921</x:v>
      </x:c>
    </x:row>
    <x:row r="312" ht="21" customHeight="1">
      <x:c r="A312" s="7" t="str">
        <x:v>熊本：合志市・大津町</x:v>
      </x:c>
      <x:c r="B312" s="2" t="str">
        <x:v>43400300130</x:v>
      </x:c>
      <x:c r="C312" s="2" t="str">
        <x:v>43000_40830</x:v>
      </x:c>
      <x:c r="D312" s="2" t="str">
        <x:v>43216</x:v>
      </x:c>
      <x:c r="E312" s="2" t="str">
        <x:v>大津植木線（現道）</x:v>
      </x:c>
      <x:c r="F312" s="2" t="str">
        <x:v>合志市合生</x:v>
      </x:c>
      <x:c r="G312" s="2" t="str">
        <x:v>合志市合生</x:v>
      </x:c>
      <x:c r="H312" s="2" t="str">
        <x:v>推定</x:v>
      </x:c>
      <x:c r="I312" s="2" t="str">
        <x:v>推定</x:v>
      </x:c>
      <x:c r="J312" s="2" t="str">
        <x:v>12時間</x:v>
      </x:c>
      <x:c r="K312" s="2" t="str">
        <x:v>12時間</x:v>
      </x:c>
      <x:c r="L312" s="2" t="str">
        <x:v>20210216</x:v>
      </x:c>
      <x:c r="M312" s="2" t="str">
        <x:v>20210216</x:v>
      </x:c>
      <x:c r="N312" s="8" t="n">
        <x:v>6663</x:v>
      </x:c>
      <x:c r="O312" s="8" t="n">
        <x:v>1167</x:v>
      </x:c>
      <x:c r="P312" s="8" t="n">
        <x:v>7830</x:v>
      </x:c>
      <x:c r="Q312" s="8" t="n">
        <x:v>7722</x:v>
      </x:c>
      <x:c r="R312" s="8" t="n">
        <x:v>1282</x:v>
      </x:c>
      <x:c r="S312" s="8" t="n">
        <x:v>9004</x:v>
      </x:c>
      <x:c r="T312" s="11" t="n">
        <x:v>14.9</x:v>
      </x:c>
      <x:c r="U312" s="2" t="n">
        <x:v>2021</x:v>
      </x:c>
      <x:c r="V312" s="2" t="str">
        <x:v>https://www.mlit.go.jp/road/census/r3/data/csv/kasyo43.csv</x:v>
      </x:c>
      <x:c r="W312" s="2" t="n">
        <x:v>922</x:v>
      </x:c>
    </x:row>
    <x:row r="313" ht="21" customHeight="1">
      <x:c r="A313" s="7" t="str">
        <x:v>熊本：合志市・大津町</x:v>
      </x:c>
      <x:c r="B313" s="2" t="str">
        <x:v>43400300140</x:v>
      </x:c>
      <x:c r="C313" s="2" t="str">
        <x:v>43000_40840</x:v>
      </x:c>
      <x:c r="D313" s="2" t="str">
        <x:v>43216</x:v>
      </x:c>
      <x:c r="E313" s="2" t="str">
        <x:v>大津植木線（現道）</x:v>
      </x:c>
      <x:c r="F313" s="2" t="str">
        <x:v>合志市野の島</x:v>
      </x:c>
      <x:c r="G313" s="2" t="str">
        <x:v>合志市野の島</x:v>
      </x:c>
      <x:c r="H313" s="2" t="str">
        <x:v>観測</x:v>
      </x:c>
      <x:c r="I313" s="2" t="str">
        <x:v>観測</x:v>
      </x:c>
      <x:c r="J313" s="2" t="str">
        <x:v>24時間</x:v>
      </x:c>
      <x:c r="K313" s="2" t="str">
        <x:v>24時間</x:v>
      </x:c>
      <x:c r="L313" s="2" t="str">
        <x:v>20211028</x:v>
      </x:c>
      <x:c r="M313" s="2" t="str">
        <x:v>20211028</x:v>
      </x:c>
      <x:c r="N313" s="8" t="n">
        <x:v>6969</x:v>
      </x:c>
      <x:c r="O313" s="8" t="n">
        <x:v>1220</x:v>
      </x:c>
      <x:c r="P313" s="8" t="n">
        <x:v>8189</x:v>
      </x:c>
      <x:c r="Q313" s="8" t="n">
        <x:v>8567</x:v>
      </x:c>
      <x:c r="R313" s="8" t="n">
        <x:v>1335</x:v>
      </x:c>
      <x:c r="S313" s="8" t="n">
        <x:v>9902</x:v>
      </x:c>
      <x:c r="T313" s="11" t="n">
        <x:v>14.9</x:v>
      </x:c>
      <x:c r="U313" s="2" t="n">
        <x:v>2021</x:v>
      </x:c>
      <x:c r="V313" s="2" t="str">
        <x:v>https://www.mlit.go.jp/road/census/r3/data/csv/kasyo43.csv</x:v>
      </x:c>
      <x:c r="W313" s="2" t="n">
        <x:v>923</x:v>
      </x:c>
    </x:row>
    <x:row r="314" ht="21" customHeight="1">
      <x:c r="A314" s="7" t="str">
        <x:v>熊本：合志市・大津町</x:v>
      </x:c>
      <x:c r="B314" s="2" t="str">
        <x:v>43400300150</x:v>
      </x:c>
      <x:c r="C314" s="2" t="str">
        <x:v>43000_40850</x:v>
      </x:c>
      <x:c r="D314" s="2" t="str">
        <x:v>43216</x:v>
      </x:c>
      <x:c r="E314" s="2" t="str">
        <x:v>大津植木線（現道）</x:v>
      </x:c>
      <x:c r="F314" s="2" t="str">
        <x:v>合志市野々島</x:v>
      </x:c>
      <x:c r="G314" s="2" t="str">
        <x:v>合志市野々島</x:v>
      </x:c>
      <x:c r="H314" s="2" t="str">
        <x:v>観測</x:v>
      </x:c>
      <x:c r="I314" s="2" t="str">
        <x:v>観測</x:v>
      </x:c>
      <x:c r="J314" s="2" t="str">
        <x:v>12時間</x:v>
      </x:c>
      <x:c r="K314" s="2" t="str">
        <x:v>12時間</x:v>
      </x:c>
      <x:c r="L314" s="2" t="str">
        <x:v>20211116</x:v>
      </x:c>
      <x:c r="M314" s="2" t="str">
        <x:v>20211116</x:v>
      </x:c>
      <x:c r="N314" s="8" t="n">
        <x:v>5043</x:v>
      </x:c>
      <x:c r="O314" s="8" t="n">
        <x:v>825</x:v>
      </x:c>
      <x:c r="P314" s="8" t="n">
        <x:v>5868</x:v>
      </x:c>
      <x:c r="Q314" s="8" t="n">
        <x:v>6226</x:v>
      </x:c>
      <x:c r="R314" s="8" t="n">
        <x:v>1050</x:v>
      </x:c>
      <x:c r="S314" s="8" t="n">
        <x:v>7276</x:v>
      </x:c>
      <x:c r="T314" s="11" t="n">
        <x:v>14.1</x:v>
      </x:c>
      <x:c r="U314" s="2" t="n">
        <x:v>2021</x:v>
      </x:c>
      <x:c r="V314" s="2" t="str">
        <x:v>https://www.mlit.go.jp/road/census/r3/data/csv/kasyo43.csv</x:v>
      </x:c>
      <x:c r="W314" s="2" t="n">
        <x:v>924</x:v>
      </x:c>
    </x:row>
    <x:row r="315" ht="21" customHeight="1">
      <x:c r="A315" s="7" t="str">
        <x:v>熊本：合志市・大津町</x:v>
      </x:c>
      <x:c r="B315" s="2" t="str">
        <x:v>43400300190</x:v>
      </x:c>
      <x:c r="C315" s="2" t="str">
        <x:v>43000_40860</x:v>
      </x:c>
      <x:c r="D315" s="2" t="str">
        <x:v>43216</x:v>
      </x:c>
      <x:c r="E315" s="2" t="str">
        <x:v>大津植木線</x:v>
      </x:c>
      <x:c r="F315" s="2"/>
      <x:c r="G315" s="2"/>
      <x:c r="H315" s="2" t="str">
        <x:v>未記載</x:v>
      </x:c>
      <x:c r="I315" s="2" t="str">
        <x:v>未記載</x:v>
      </x:c>
      <x:c r="J315" s="2" t="str">
        <x:v>未記載</x:v>
      </x:c>
      <x:c r="K315" s="2" t="str">
        <x:v>未記載</x:v>
      </x:c>
      <x:c r="L315" s="2"/>
      <x:c r="M315" s="2"/>
      <x:c r="N315" s="8"/>
      <x:c r="O315" s="8"/>
      <x:c r="P315" s="8"/>
      <x:c r="Q315" s="8"/>
      <x:c r="R315" s="8"/>
      <x:c r="S315" s="8"/>
      <x:c r="T315" s="11"/>
      <x:c r="U315" s="2" t="n">
        <x:v>2021</x:v>
      </x:c>
      <x:c r="V315" s="2" t="str">
        <x:v>https://www.mlit.go.jp/road/census/r3/data/csv/kasyo43.csv</x:v>
      </x:c>
      <x:c r="W315" s="2" t="n">
        <x:v>927</x:v>
      </x:c>
    </x:row>
    <x:row r="316" ht="21" customHeight="1">
      <x:c r="A316" s="7" t="str">
        <x:v>熊本：合志市・大津町</x:v>
      </x:c>
      <x:c r="B316" s="2" t="str">
        <x:v>43400360120</x:v>
      </x:c>
      <x:c r="C316" s="2" t="str">
        <x:v>43000_41120</x:v>
      </x:c>
      <x:c r="D316" s="2" t="str">
        <x:v>43403</x:v>
      </x:c>
      <x:c r="E316" s="2" t="str">
        <x:v>熊本益城大津線</x:v>
      </x:c>
      <x:c r="F316" s="2"/>
      <x:c r="G316" s="2"/>
      <x:c r="H316" s="2" t="str">
        <x:v>推定</x:v>
      </x:c>
      <x:c r="I316" s="2" t="str">
        <x:v>推定</x:v>
      </x:c>
      <x:c r="J316" s="2" t="str">
        <x:v>未記載</x:v>
      </x:c>
      <x:c r="K316" s="2" t="str">
        <x:v>未記載</x:v>
      </x:c>
      <x:c r="L316" s="2"/>
      <x:c r="M316" s="2"/>
      <x:c r="N316" s="8" t="n">
        <x:v>9263</x:v>
      </x:c>
      <x:c r="O316" s="8" t="n">
        <x:v>1870</x:v>
      </x:c>
      <x:c r="P316" s="8" t="n">
        <x:v>11133</x:v>
      </x:c>
      <x:c r="Q316" s="8" t="n">
        <x:v>11604</x:v>
      </x:c>
      <x:c r="R316" s="8" t="n">
        <x:v>2312</x:v>
      </x:c>
      <x:c r="S316" s="8" t="n">
        <x:v>13916</x:v>
      </x:c>
      <x:c r="T316" s="11" t="n">
        <x:v>16.8</x:v>
      </x:c>
      <x:c r="U316" s="2" t="n">
        <x:v>2021</x:v>
      </x:c>
      <x:c r="V316" s="2" t="str">
        <x:v>https://www.mlit.go.jp/road/census/r3/data/csv/kasyo43.csv</x:v>
      </x:c>
      <x:c r="W316" s="2" t="n">
        <x:v>1002</x:v>
      </x:c>
    </x:row>
    <x:row r="317" ht="21" customHeight="1">
      <x:c r="A317" s="7" t="str">
        <x:v>熊本：合志市・大津町</x:v>
      </x:c>
      <x:c r="B317" s="2" t="str">
        <x:v>43400370060</x:v>
      </x:c>
      <x:c r="C317" s="2" t="str">
        <x:v>43000_41130</x:v>
      </x:c>
      <x:c r="D317" s="2" t="str">
        <x:v>43216</x:v>
      </x:c>
      <x:c r="E317" s="2" t="str">
        <x:v>熊本菊鹿線</x:v>
      </x:c>
      <x:c r="F317" s="2" t="str">
        <x:v>熊本市北区八景水谷</x:v>
      </x:c>
      <x:c r="G317" s="2" t="str">
        <x:v>熊本市北区八景水谷</x:v>
      </x:c>
      <x:c r="H317" s="2" t="str">
        <x:v>観測</x:v>
      </x:c>
      <x:c r="I317" s="2" t="str">
        <x:v>観測</x:v>
      </x:c>
      <x:c r="J317" s="2" t="str">
        <x:v>24時間</x:v>
      </x:c>
      <x:c r="K317" s="2" t="str">
        <x:v>24時間</x:v>
      </x:c>
      <x:c r="L317" s="2" t="str">
        <x:v>20211116</x:v>
      </x:c>
      <x:c r="M317" s="2" t="str">
        <x:v>20211116</x:v>
      </x:c>
      <x:c r="N317" s="8" t="n">
        <x:v>8233</x:v>
      </x:c>
      <x:c r="O317" s="8" t="n">
        <x:v>223</x:v>
      </x:c>
      <x:c r="P317" s="8" t="n">
        <x:v>8456</x:v>
      </x:c>
      <x:c r="Q317" s="8" t="n">
        <x:v>10479</x:v>
      </x:c>
      <x:c r="R317" s="8" t="n">
        <x:v>285</x:v>
      </x:c>
      <x:c r="S317" s="8" t="n">
        <x:v>10764</x:v>
      </x:c>
      <x:c r="T317" s="11" t="n">
        <x:v>2.6</x:v>
      </x:c>
      <x:c r="U317" s="2" t="n">
        <x:v>2021</x:v>
      </x:c>
      <x:c r="V317" s="2" t="str">
        <x:v>https://www.mlit.go.jp/road/census/r3/data/csv/kasyo43.csv</x:v>
      </x:c>
      <x:c r="W317" s="2" t="n">
        <x:v>1007</x:v>
      </x:c>
    </x:row>
    <x:row r="318" ht="21" customHeight="1">
      <x:c r="A318" s="7" t="str">
        <x:v>熊本：合志市・大津町</x:v>
      </x:c>
      <x:c r="B318" s="2" t="str">
        <x:v>43400370070</x:v>
      </x:c>
      <x:c r="C318" s="2" t="str">
        <x:v>43000_41130</x:v>
      </x:c>
      <x:c r="D318" s="2" t="str">
        <x:v>43216</x:v>
      </x:c>
      <x:c r="E318" s="2" t="str">
        <x:v>熊本菊鹿線</x:v>
      </x:c>
      <x:c r="F318" s="2" t="str">
        <x:v>熊本市北区八景水谷</x:v>
      </x:c>
      <x:c r="G318" s="2" t="str">
        <x:v>熊本市北区八景水谷</x:v>
      </x:c>
      <x:c r="H318" s="2" t="str">
        <x:v>観測</x:v>
      </x:c>
      <x:c r="I318" s="2" t="str">
        <x:v>観測</x:v>
      </x:c>
      <x:c r="J318" s="2" t="str">
        <x:v>24時間</x:v>
      </x:c>
      <x:c r="K318" s="2" t="str">
        <x:v>24時間</x:v>
      </x:c>
      <x:c r="L318" s="2" t="str">
        <x:v>20211116</x:v>
      </x:c>
      <x:c r="M318" s="2" t="str">
        <x:v>20211116</x:v>
      </x:c>
      <x:c r="N318" s="8" t="n">
        <x:v>8233</x:v>
      </x:c>
      <x:c r="O318" s="8" t="n">
        <x:v>223</x:v>
      </x:c>
      <x:c r="P318" s="8" t="n">
        <x:v>8456</x:v>
      </x:c>
      <x:c r="Q318" s="8" t="n">
        <x:v>10479</x:v>
      </x:c>
      <x:c r="R318" s="8" t="n">
        <x:v>285</x:v>
      </x:c>
      <x:c r="S318" s="8" t="n">
        <x:v>10764</x:v>
      </x:c>
      <x:c r="T318" s="11" t="n">
        <x:v>2.6</x:v>
      </x:c>
      <x:c r="U318" s="2" t="n">
        <x:v>2021</x:v>
      </x:c>
      <x:c r="V318" s="2" t="str">
        <x:v>https://www.mlit.go.jp/road/census/r3/data/csv/kasyo43.csv</x:v>
      </x:c>
      <x:c r="W318" s="2" t="n">
        <x:v>1008</x:v>
      </x:c>
    </x:row>
    <x:row r="319" ht="21" customHeight="1">
      <x:c r="A319" s="7" t="str">
        <x:v>熊本：合志市・大津町</x:v>
      </x:c>
      <x:c r="B319" s="2" t="str">
        <x:v>43400370090</x:v>
      </x:c>
      <x:c r="C319" s="2" t="str">
        <x:v>43000_41140</x:v>
      </x:c>
      <x:c r="D319" s="2" t="str">
        <x:v>43216</x:v>
      </x:c>
      <x:c r="E319" s="2" t="str">
        <x:v>熊本菊鹿線</x:v>
      </x:c>
      <x:c r="F319" s="2" t="str">
        <x:v>合志市須屋</x:v>
      </x:c>
      <x:c r="G319" s="2" t="str">
        <x:v>合志市須屋</x:v>
      </x:c>
      <x:c r="H319" s="2" t="str">
        <x:v>観測</x:v>
      </x:c>
      <x:c r="I319" s="2" t="str">
        <x:v>観測</x:v>
      </x:c>
      <x:c r="J319" s="2" t="str">
        <x:v>12時間</x:v>
      </x:c>
      <x:c r="K319" s="2" t="str">
        <x:v>12時間</x:v>
      </x:c>
      <x:c r="L319" s="2" t="str">
        <x:v>20211118</x:v>
      </x:c>
      <x:c r="M319" s="2" t="str">
        <x:v>20211118</x:v>
      </x:c>
      <x:c r="N319" s="8" t="n">
        <x:v>10536</x:v>
      </x:c>
      <x:c r="O319" s="8" t="n">
        <x:v>577</x:v>
      </x:c>
      <x:c r="P319" s="8" t="n">
        <x:v>11113</x:v>
      </x:c>
      <x:c r="Q319" s="8" t="n">
        <x:v>12960</x:v>
      </x:c>
      <x:c r="R319" s="8" t="n">
        <x:v>1042</x:v>
      </x:c>
      <x:c r="S319" s="8" t="n">
        <x:v>14002</x:v>
      </x:c>
      <x:c r="T319" s="11" t="n">
        <x:v>5.2</x:v>
      </x:c>
      <x:c r="U319" s="2" t="n">
        <x:v>2021</x:v>
      </x:c>
      <x:c r="V319" s="2" t="str">
        <x:v>https://www.mlit.go.jp/road/census/r3/data/csv/kasyo43.csv</x:v>
      </x:c>
      <x:c r="W319" s="2" t="n">
        <x:v>1009</x:v>
      </x:c>
    </x:row>
    <x:row r="320" ht="21" customHeight="1">
      <x:c r="A320" s="7" t="str">
        <x:v>熊本：合志市・大津町</x:v>
      </x:c>
      <x:c r="B320" s="2" t="str">
        <x:v>43400370100</x:v>
      </x:c>
      <x:c r="C320" s="2" t="str">
        <x:v>43000_41140</x:v>
      </x:c>
      <x:c r="D320" s="2" t="str">
        <x:v>43216</x:v>
      </x:c>
      <x:c r="E320" s="2" t="str">
        <x:v>熊本菊鹿線</x:v>
      </x:c>
      <x:c r="F320" s="2" t="str">
        <x:v>合志市須屋</x:v>
      </x:c>
      <x:c r="G320" s="2" t="str">
        <x:v>合志市須屋</x:v>
      </x:c>
      <x:c r="H320" s="2" t="str">
        <x:v>観測</x:v>
      </x:c>
      <x:c r="I320" s="2" t="str">
        <x:v>観測</x:v>
      </x:c>
      <x:c r="J320" s="2" t="str">
        <x:v>12時間</x:v>
      </x:c>
      <x:c r="K320" s="2" t="str">
        <x:v>12時間</x:v>
      </x:c>
      <x:c r="L320" s="2" t="str">
        <x:v>20211118</x:v>
      </x:c>
      <x:c r="M320" s="2" t="str">
        <x:v>20211118</x:v>
      </x:c>
      <x:c r="N320" s="8" t="n">
        <x:v>10536</x:v>
      </x:c>
      <x:c r="O320" s="8" t="n">
        <x:v>577</x:v>
      </x:c>
      <x:c r="P320" s="8" t="n">
        <x:v>11113</x:v>
      </x:c>
      <x:c r="Q320" s="8" t="n">
        <x:v>12960</x:v>
      </x:c>
      <x:c r="R320" s="8" t="n">
        <x:v>1042</x:v>
      </x:c>
      <x:c r="S320" s="8" t="n">
        <x:v>14002</x:v>
      </x:c>
      <x:c r="T320" s="11" t="n">
        <x:v>5.2</x:v>
      </x:c>
      <x:c r="U320" s="2" t="n">
        <x:v>2021</x:v>
      </x:c>
      <x:c r="V320" s="2" t="str">
        <x:v>https://www.mlit.go.jp/road/census/r3/data/csv/kasyo43.csv</x:v>
      </x:c>
      <x:c r="W320" s="2" t="n">
        <x:v>1010</x:v>
      </x:c>
    </x:row>
    <x:row r="321" ht="21" customHeight="1">
      <x:c r="A321" s="7" t="str">
        <x:v>熊本：合志市・大津町</x:v>
      </x:c>
      <x:c r="B321" s="2" t="str">
        <x:v>43400490020</x:v>
      </x:c>
      <x:c r="C321" s="2" t="str">
        <x:v>43000_41460</x:v>
      </x:c>
      <x:c r="D321" s="2" t="str">
        <x:v>43216</x:v>
      </x:c>
      <x:c r="E321" s="2" t="str">
        <x:v>熊本大津線</x:v>
      </x:c>
      <x:c r="F321" s="2"/>
      <x:c r="G321" s="2"/>
      <x:c r="H321" s="2" t="str">
        <x:v>推定</x:v>
      </x:c>
      <x:c r="I321" s="2" t="str">
        <x:v>推定</x:v>
      </x:c>
      <x:c r="J321" s="2" t="str">
        <x:v>未記載</x:v>
      </x:c>
      <x:c r="K321" s="2" t="str">
        <x:v>未記載</x:v>
      </x:c>
      <x:c r="L321" s="2"/>
      <x:c r="M321" s="2"/>
      <x:c r="N321" s="8" t="n">
        <x:v>11625</x:v>
      </x:c>
      <x:c r="O321" s="8" t="n">
        <x:v>690</x:v>
      </x:c>
      <x:c r="P321" s="8" t="n">
        <x:v>12315</x:v>
      </x:c>
      <x:c r="Q321" s="8" t="n">
        <x:v>14311</x:v>
      </x:c>
      <x:c r="R321" s="8" t="n">
        <x:v>1206</x:v>
      </x:c>
      <x:c r="S321" s="8" t="n">
        <x:v>15517</x:v>
      </x:c>
      <x:c r="T321" s="11" t="n">
        <x:v>5.6</x:v>
      </x:c>
      <x:c r="U321" s="2" t="n">
        <x:v>2021</x:v>
      </x:c>
      <x:c r="V321" s="2" t="str">
        <x:v>https://www.mlit.go.jp/road/census/r3/data/csv/kasyo43.csv</x:v>
      </x:c>
      <x:c r="W321" s="2" t="n">
        <x:v>1097</x:v>
      </x:c>
    </x:row>
    <x:row r="322" ht="21" customHeight="1">
      <x:c r="A322" s="7" t="str">
        <x:v>熊本：合志市・大津町</x:v>
      </x:c>
      <x:c r="B322" s="2" t="str">
        <x:v>43400490080</x:v>
      </x:c>
      <x:c r="C322" s="2" t="str">
        <x:v>43000_41470</x:v>
      </x:c>
      <x:c r="D322" s="2" t="str">
        <x:v>43216</x:v>
      </x:c>
      <x:c r="E322" s="2" t="str">
        <x:v>熊本大津線</x:v>
      </x:c>
      <x:c r="F322" s="2"/>
      <x:c r="G322" s="2"/>
      <x:c r="H322" s="2" t="str">
        <x:v>推定</x:v>
      </x:c>
      <x:c r="I322" s="2" t="str">
        <x:v>推定</x:v>
      </x:c>
      <x:c r="J322" s="2" t="str">
        <x:v>未記載</x:v>
      </x:c>
      <x:c r="K322" s="2" t="str">
        <x:v>未記載</x:v>
      </x:c>
      <x:c r="L322" s="2"/>
      <x:c r="M322" s="2"/>
      <x:c r="N322" s="8" t="n">
        <x:v>11588</x:v>
      </x:c>
      <x:c r="O322" s="8" t="n">
        <x:v>727</x:v>
      </x:c>
      <x:c r="P322" s="8" t="n">
        <x:v>12315</x:v>
      </x:c>
      <x:c r="Q322" s="8" t="n">
        <x:v>14274</x:v>
      </x:c>
      <x:c r="R322" s="8" t="n">
        <x:v>1243</x:v>
      </x:c>
      <x:c r="S322" s="8" t="n">
        <x:v>15517</x:v>
      </x:c>
      <x:c r="T322" s="11" t="n">
        <x:v>5.9</x:v>
      </x:c>
      <x:c r="U322" s="2" t="n">
        <x:v>2021</x:v>
      </x:c>
      <x:c r="V322" s="2" t="str">
        <x:v>https://www.mlit.go.jp/road/census/r3/data/csv/kasyo43.csv</x:v>
      </x:c>
      <x:c r="W322" s="2" t="n">
        <x:v>1103</x:v>
      </x:c>
    </x:row>
    <x:row r="323" ht="21" customHeight="1">
      <x:c r="A323" s="7" t="str">
        <x:v>熊本：合志市・大津町</x:v>
      </x:c>
      <x:c r="B323" s="2" t="str">
        <x:v>43400490090</x:v>
      </x:c>
      <x:c r="C323" s="2" t="str">
        <x:v>43000_41480</x:v>
      </x:c>
      <x:c r="D323" s="2" t="str">
        <x:v>43216</x:v>
      </x:c>
      <x:c r="E323" s="2" t="str">
        <x:v>熊本大津線</x:v>
      </x:c>
      <x:c r="F323" s="2" t="str">
        <x:v>合志市幾久富</x:v>
      </x:c>
      <x:c r="G323" s="2" t="str">
        <x:v>合志市幾久富</x:v>
      </x:c>
      <x:c r="H323" s="2" t="str">
        <x:v>観測</x:v>
      </x:c>
      <x:c r="I323" s="2" t="str">
        <x:v>観測</x:v>
      </x:c>
      <x:c r="J323" s="2" t="str">
        <x:v>12時間</x:v>
      </x:c>
      <x:c r="K323" s="2" t="str">
        <x:v>12時間</x:v>
      </x:c>
      <x:c r="L323" s="2" t="str">
        <x:v>20211118</x:v>
      </x:c>
      <x:c r="M323" s="2" t="str">
        <x:v>20211118</x:v>
      </x:c>
      <x:c r="N323" s="8" t="n">
        <x:v>15411</x:v>
      </x:c>
      <x:c r="O323" s="8" t="n">
        <x:v>1201</x:v>
      </x:c>
      <x:c r="P323" s="8" t="n">
        <x:v>16612</x:v>
      </x:c>
      <x:c r="Q323" s="8" t="n">
        <x:v>19056</x:v>
      </x:c>
      <x:c r="R323" s="8" t="n">
        <x:v>1875</x:v>
      </x:c>
      <x:c r="S323" s="8" t="n">
        <x:v>20931</x:v>
      </x:c>
      <x:c r="T323" s="11" t="n">
        <x:v>7.2</x:v>
      </x:c>
      <x:c r="U323" s="2" t="n">
        <x:v>2021</x:v>
      </x:c>
      <x:c r="V323" s="2" t="str">
        <x:v>https://www.mlit.go.jp/road/census/r3/data/csv/kasyo43.csv</x:v>
      </x:c>
      <x:c r="W323" s="2" t="n">
        <x:v>1104</x:v>
      </x:c>
    </x:row>
    <x:row r="324" ht="21" customHeight="1">
      <x:c r="A324" s="7" t="str">
        <x:v>熊本：合志市・大津町</x:v>
      </x:c>
      <x:c r="B324" s="2" t="str">
        <x:v>43400490100</x:v>
      </x:c>
      <x:c r="C324" s="2" t="str">
        <x:v>43000_41480</x:v>
      </x:c>
      <x:c r="D324" s="2" t="str">
        <x:v>43216</x:v>
      </x:c>
      <x:c r="E324" s="2" t="str">
        <x:v>熊本大津線</x:v>
      </x:c>
      <x:c r="F324" s="2" t="str">
        <x:v>合志市幾久富</x:v>
      </x:c>
      <x:c r="G324" s="2" t="str">
        <x:v>合志市幾久富</x:v>
      </x:c>
      <x:c r="H324" s="2" t="str">
        <x:v>観測</x:v>
      </x:c>
      <x:c r="I324" s="2" t="str">
        <x:v>観測</x:v>
      </x:c>
      <x:c r="J324" s="2" t="str">
        <x:v>12時間</x:v>
      </x:c>
      <x:c r="K324" s="2" t="str">
        <x:v>12時間</x:v>
      </x:c>
      <x:c r="L324" s="2" t="str">
        <x:v>20211118</x:v>
      </x:c>
      <x:c r="M324" s="2" t="str">
        <x:v>20211118</x:v>
      </x:c>
      <x:c r="N324" s="8" t="n">
        <x:v>15411</x:v>
      </x:c>
      <x:c r="O324" s="8" t="n">
        <x:v>1201</x:v>
      </x:c>
      <x:c r="P324" s="8" t="n">
        <x:v>16612</x:v>
      </x:c>
      <x:c r="Q324" s="8" t="n">
        <x:v>19056</x:v>
      </x:c>
      <x:c r="R324" s="8" t="n">
        <x:v>1875</x:v>
      </x:c>
      <x:c r="S324" s="8" t="n">
        <x:v>20931</x:v>
      </x:c>
      <x:c r="T324" s="11" t="n">
        <x:v>7.2</x:v>
      </x:c>
      <x:c r="U324" s="2" t="n">
        <x:v>2021</x:v>
      </x:c>
      <x:c r="V324" s="2" t="str">
        <x:v>https://www.mlit.go.jp/road/census/r3/data/csv/kasyo43.csv</x:v>
      </x:c>
      <x:c r="W324" s="2" t="n">
        <x:v>1105</x:v>
      </x:c>
    </x:row>
    <x:row r="325" ht="21" customHeight="1">
      <x:c r="A325" s="7" t="str">
        <x:v>熊本：合志市・大津町</x:v>
      </x:c>
      <x:c r="B325" s="2" t="str">
        <x:v>43400490120</x:v>
      </x:c>
      <x:c r="C325" s="2" t="str">
        <x:v>43000_40830</x:v>
      </x:c>
      <x:c r="D325" s="2" t="str">
        <x:v>43216</x:v>
      </x:c>
      <x:c r="E325" s="2" t="str">
        <x:v>熊本大津線</x:v>
      </x:c>
      <x:c r="F325" s="2" t="str">
        <x:v>合志市合生</x:v>
      </x:c>
      <x:c r="G325" s="2" t="str">
        <x:v>合志市合生</x:v>
      </x:c>
      <x:c r="H325" s="2" t="str">
        <x:v>推定</x:v>
      </x:c>
      <x:c r="I325" s="2" t="str">
        <x:v>推定</x:v>
      </x:c>
      <x:c r="J325" s="2" t="str">
        <x:v>12時間</x:v>
      </x:c>
      <x:c r="K325" s="2" t="str">
        <x:v>12時間</x:v>
      </x:c>
      <x:c r="L325" s="2" t="str">
        <x:v>20210216</x:v>
      </x:c>
      <x:c r="M325" s="2" t="str">
        <x:v>20210216</x:v>
      </x:c>
      <x:c r="N325" s="8" t="n">
        <x:v>6663</x:v>
      </x:c>
      <x:c r="O325" s="8" t="n">
        <x:v>1167</x:v>
      </x:c>
      <x:c r="P325" s="8" t="n">
        <x:v>7830</x:v>
      </x:c>
      <x:c r="Q325" s="8" t="n">
        <x:v>7722</x:v>
      </x:c>
      <x:c r="R325" s="8" t="n">
        <x:v>1282</x:v>
      </x:c>
      <x:c r="S325" s="8" t="n">
        <x:v>9004</x:v>
      </x:c>
      <x:c r="T325" s="11" t="n">
        <x:v>14.9</x:v>
      </x:c>
      <x:c r="U325" s="2" t="n">
        <x:v>2021</x:v>
      </x:c>
      <x:c r="V325" s="2" t="str">
        <x:v>https://www.mlit.go.jp/road/census/r3/data/csv/kasyo43.csv</x:v>
      </x:c>
      <x:c r="W325" s="2" t="n">
        <x:v>1106</x:v>
      </x:c>
    </x:row>
    <x:row r="326" ht="21" customHeight="1">
      <x:c r="A326" s="7" t="str">
        <x:v>熊本：合志市・大津町</x:v>
      </x:c>
      <x:c r="B326" s="2" t="str">
        <x:v>43400490130</x:v>
      </x:c>
      <x:c r="C326" s="2" t="str">
        <x:v>43000_41490</x:v>
      </x:c>
      <x:c r="D326" s="2" t="str">
        <x:v>43216</x:v>
      </x:c>
      <x:c r="E326" s="2" t="str">
        <x:v>熊本大津線</x:v>
      </x:c>
      <x:c r="F326" s="2"/>
      <x:c r="G326" s="2"/>
      <x:c r="H326" s="2" t="str">
        <x:v>推定</x:v>
      </x:c>
      <x:c r="I326" s="2" t="str">
        <x:v>推定</x:v>
      </x:c>
      <x:c r="J326" s="2" t="str">
        <x:v>未記載</x:v>
      </x:c>
      <x:c r="K326" s="2" t="str">
        <x:v>未記載</x:v>
      </x:c>
      <x:c r="L326" s="2"/>
      <x:c r="M326" s="2"/>
      <x:c r="N326" s="8" t="n">
        <x:v>614</x:v>
      </x:c>
      <x:c r="O326" s="8" t="n">
        <x:v>109</x:v>
      </x:c>
      <x:c r="P326" s="8" t="n">
        <x:v>723</x:v>
      </x:c>
      <x:c r="Q326" s="8" t="n">
        <x:v>711</x:v>
      </x:c>
      <x:c r="R326" s="8" t="n">
        <x:v>120</x:v>
      </x:c>
      <x:c r="S326" s="8" t="n">
        <x:v>831</x:v>
      </x:c>
      <x:c r="T326" s="11" t="n">
        <x:v>15.1</x:v>
      </x:c>
      <x:c r="U326" s="2" t="n">
        <x:v>2021</x:v>
      </x:c>
      <x:c r="V326" s="2" t="str">
        <x:v>https://www.mlit.go.jp/road/census/r3/data/csv/kasyo43.csv</x:v>
      </x:c>
      <x:c r="W326" s="2" t="n">
        <x:v>1107</x:v>
      </x:c>
    </x:row>
    <x:row r="327" ht="21" customHeight="1">
      <x:c r="A327" s="7" t="str">
        <x:v>熊本：合志市・大津町</x:v>
      </x:c>
      <x:c r="B327" s="2" t="str">
        <x:v>43400490150</x:v>
      </x:c>
      <x:c r="C327" s="2" t="str">
        <x:v>43000_41490</x:v>
      </x:c>
      <x:c r="D327" s="2" t="str">
        <x:v>43403</x:v>
      </x:c>
      <x:c r="E327" s="2" t="str">
        <x:v>熊本大津線</x:v>
      </x:c>
      <x:c r="F327" s="2"/>
      <x:c r="G327" s="2"/>
      <x:c r="H327" s="2" t="str">
        <x:v>推定</x:v>
      </x:c>
      <x:c r="I327" s="2" t="str">
        <x:v>推定</x:v>
      </x:c>
      <x:c r="J327" s="2" t="str">
        <x:v>未記載</x:v>
      </x:c>
      <x:c r="K327" s="2" t="str">
        <x:v>未記載</x:v>
      </x:c>
      <x:c r="L327" s="2"/>
      <x:c r="M327" s="2"/>
      <x:c r="N327" s="8" t="n">
        <x:v>614</x:v>
      </x:c>
      <x:c r="O327" s="8" t="n">
        <x:v>109</x:v>
      </x:c>
      <x:c r="P327" s="8" t="n">
        <x:v>723</x:v>
      </x:c>
      <x:c r="Q327" s="8" t="n">
        <x:v>711</x:v>
      </x:c>
      <x:c r="R327" s="8" t="n">
        <x:v>120</x:v>
      </x:c>
      <x:c r="S327" s="8" t="n">
        <x:v>831</x:v>
      </x:c>
      <x:c r="T327" s="11" t="n">
        <x:v>15.1</x:v>
      </x:c>
      <x:c r="U327" s="2" t="n">
        <x:v>2021</x:v>
      </x:c>
      <x:c r="V327" s="2" t="str">
        <x:v>https://www.mlit.go.jp/road/census/r3/data/csv/kasyo43.csv</x:v>
      </x:c>
      <x:c r="W327" s="2" t="n">
        <x:v>1109</x:v>
      </x:c>
    </x:row>
    <x:row r="328" ht="21" customHeight="1">
      <x:c r="A328" s="7" t="str">
        <x:v>熊本：合志市・大津町</x:v>
      </x:c>
      <x:c r="B328" s="2" t="str">
        <x:v>43400490160</x:v>
      </x:c>
      <x:c r="C328" s="2" t="str">
        <x:v>43000_41490</x:v>
      </x:c>
      <x:c r="D328" s="2" t="str">
        <x:v>43403</x:v>
      </x:c>
      <x:c r="E328" s="2" t="str">
        <x:v>熊本大津線</x:v>
      </x:c>
      <x:c r="F328" s="2"/>
      <x:c r="G328" s="2"/>
      <x:c r="H328" s="2" t="str">
        <x:v>推定</x:v>
      </x:c>
      <x:c r="I328" s="2" t="str">
        <x:v>推定</x:v>
      </x:c>
      <x:c r="J328" s="2" t="str">
        <x:v>未記載</x:v>
      </x:c>
      <x:c r="K328" s="2" t="str">
        <x:v>未記載</x:v>
      </x:c>
      <x:c r="L328" s="2"/>
      <x:c r="M328" s="2"/>
      <x:c r="N328" s="8" t="n">
        <x:v>614</x:v>
      </x:c>
      <x:c r="O328" s="8" t="n">
        <x:v>109</x:v>
      </x:c>
      <x:c r="P328" s="8" t="n">
        <x:v>723</x:v>
      </x:c>
      <x:c r="Q328" s="8" t="n">
        <x:v>711</x:v>
      </x:c>
      <x:c r="R328" s="8" t="n">
        <x:v>120</x:v>
      </x:c>
      <x:c r="S328" s="8" t="n">
        <x:v>831</x:v>
      </x:c>
      <x:c r="T328" s="11" t="n">
        <x:v>15.1</x:v>
      </x:c>
      <x:c r="U328" s="2" t="n">
        <x:v>2021</x:v>
      </x:c>
      <x:c r="V328" s="2" t="str">
        <x:v>https://www.mlit.go.jp/road/census/r3/data/csv/kasyo43.csv</x:v>
      </x:c>
      <x:c r="W328" s="2" t="n">
        <x:v>1110</x:v>
      </x:c>
    </x:row>
    <x:row r="329" ht="21" customHeight="1">
      <x:c r="A329" s="7" t="str">
        <x:v>熊本：合志市・大津町</x:v>
      </x:c>
      <x:c r="B329" s="2" t="str">
        <x:v>43400490180</x:v>
      </x:c>
      <x:c r="C329" s="2" t="str">
        <x:v>43000_41490</x:v>
      </x:c>
      <x:c r="D329" s="2" t="str">
        <x:v>43403</x:v>
      </x:c>
      <x:c r="E329" s="2" t="str">
        <x:v>熊本大津線</x:v>
      </x:c>
      <x:c r="F329" s="2"/>
      <x:c r="G329" s="2"/>
      <x:c r="H329" s="2" t="str">
        <x:v>推定</x:v>
      </x:c>
      <x:c r="I329" s="2" t="str">
        <x:v>推定</x:v>
      </x:c>
      <x:c r="J329" s="2" t="str">
        <x:v>未記載</x:v>
      </x:c>
      <x:c r="K329" s="2" t="str">
        <x:v>未記載</x:v>
      </x:c>
      <x:c r="L329" s="2"/>
      <x:c r="M329" s="2"/>
      <x:c r="N329" s="8" t="n">
        <x:v>614</x:v>
      </x:c>
      <x:c r="O329" s="8" t="n">
        <x:v>109</x:v>
      </x:c>
      <x:c r="P329" s="8" t="n">
        <x:v>723</x:v>
      </x:c>
      <x:c r="Q329" s="8" t="n">
        <x:v>711</x:v>
      </x:c>
      <x:c r="R329" s="8" t="n">
        <x:v>120</x:v>
      </x:c>
      <x:c r="S329" s="8" t="n">
        <x:v>831</x:v>
      </x:c>
      <x:c r="T329" s="11" t="n">
        <x:v>15.1</x:v>
      </x:c>
      <x:c r="U329" s="2" t="n">
        <x:v>2021</x:v>
      </x:c>
      <x:c r="V329" s="2" t="str">
        <x:v>https://www.mlit.go.jp/road/census/r3/data/csv/kasyo43.csv</x:v>
      </x:c>
      <x:c r="W329" s="2" t="n">
        <x:v>1112</x:v>
      </x:c>
    </x:row>
    <x:row r="330" ht="21" customHeight="1">
      <x:c r="A330" s="7" t="str">
        <x:v>熊本：合志市・大津町</x:v>
      </x:c>
      <x:c r="B330" s="2" t="str">
        <x:v>43601380090</x:v>
      </x:c>
      <x:c r="C330" s="2" t="str">
        <x:v>43000_60300</x:v>
      </x:c>
      <x:c r="D330" s="2" t="str">
        <x:v>43216</x:v>
      </x:c>
      <x:c r="E330" s="2" t="str">
        <x:v>辛川鹿本線</x:v>
      </x:c>
      <x:c r="F330" s="2"/>
      <x:c r="G330" s="2"/>
      <x:c r="H330" s="2" t="str">
        <x:v>推定</x:v>
      </x:c>
      <x:c r="I330" s="2" t="str">
        <x:v>推定</x:v>
      </x:c>
      <x:c r="J330" s="2" t="str">
        <x:v>未記載</x:v>
      </x:c>
      <x:c r="K330" s="2" t="str">
        <x:v>未記載</x:v>
      </x:c>
      <x:c r="L330" s="2"/>
      <x:c r="M330" s="2"/>
      <x:c r="N330" s="8" t="n">
        <x:v>4742</x:v>
      </x:c>
      <x:c r="O330" s="8" t="n">
        <x:v>346</x:v>
      </x:c>
      <x:c r="P330" s="8" t="n">
        <x:v>5088</x:v>
      </x:c>
      <x:c r="Q330" s="8" t="n">
        <x:v>5697</x:v>
      </x:c>
      <x:c r="R330" s="8" t="n">
        <x:v>510</x:v>
      </x:c>
      <x:c r="S330" s="8" t="n">
        <x:v>6207</x:v>
      </x:c>
      <x:c r="T330" s="11" t="n">
        <x:v>6.8</x:v>
      </x:c>
      <x:c r="U330" s="2" t="n">
        <x:v>2021</x:v>
      </x:c>
      <x:c r="V330" s="2" t="str">
        <x:v>https://www.mlit.go.jp/road/census/r3/data/csv/kasyo43.csv</x:v>
      </x:c>
      <x:c r="W330" s="2" t="n">
        <x:v>1279</x:v>
      </x:c>
    </x:row>
    <x:row r="331" ht="21" customHeight="1">
      <x:c r="A331" s="7" t="str">
        <x:v>熊本：合志市・大津町</x:v>
      </x:c>
      <x:c r="B331" s="2" t="str">
        <x:v>43601380110</x:v>
      </x:c>
      <x:c r="C331" s="2" t="str">
        <x:v>43000_60310</x:v>
      </x:c>
      <x:c r="D331" s="2" t="str">
        <x:v>43216</x:v>
      </x:c>
      <x:c r="E331" s="2" t="str">
        <x:v>辛川鹿本線</x:v>
      </x:c>
      <x:c r="F331" s="2"/>
      <x:c r="G331" s="2"/>
      <x:c r="H331" s="2" t="str">
        <x:v>推定</x:v>
      </x:c>
      <x:c r="I331" s="2" t="str">
        <x:v>推定</x:v>
      </x:c>
      <x:c r="J331" s="2" t="str">
        <x:v>未記載</x:v>
      </x:c>
      <x:c r="K331" s="2" t="str">
        <x:v>未記載</x:v>
      </x:c>
      <x:c r="L331" s="2"/>
      <x:c r="M331" s="2"/>
      <x:c r="N331" s="8" t="n">
        <x:v>4742</x:v>
      </x:c>
      <x:c r="O331" s="8" t="n">
        <x:v>346</x:v>
      </x:c>
      <x:c r="P331" s="8" t="n">
        <x:v>5088</x:v>
      </x:c>
      <x:c r="Q331" s="8" t="n">
        <x:v>5697</x:v>
      </x:c>
      <x:c r="R331" s="8" t="n">
        <x:v>510</x:v>
      </x:c>
      <x:c r="S331" s="8" t="n">
        <x:v>6207</x:v>
      </x:c>
      <x:c r="T331" s="11" t="n">
        <x:v>6.8</x:v>
      </x:c>
      <x:c r="U331" s="2" t="n">
        <x:v>2021</x:v>
      </x:c>
      <x:c r="V331" s="2" t="str">
        <x:v>https://www.mlit.go.jp/road/census/r3/data/csv/kasyo43.csv</x:v>
      </x:c>
      <x:c r="W331" s="2" t="n">
        <x:v>1281</x:v>
      </x:c>
    </x:row>
    <x:row r="332" ht="21" customHeight="1">
      <x:c r="A332" s="7" t="str">
        <x:v>熊本：合志市・大津町</x:v>
      </x:c>
      <x:c r="B332" s="2" t="str">
        <x:v>43601380120</x:v>
      </x:c>
      <x:c r="C332" s="2" t="str">
        <x:v>43000_60320</x:v>
      </x:c>
      <x:c r="D332" s="2" t="str">
        <x:v>43216</x:v>
      </x:c>
      <x:c r="E332" s="2" t="str">
        <x:v>辛川鹿本線</x:v>
      </x:c>
      <x:c r="F332" s="2" t="str">
        <x:v>合志市福原</x:v>
      </x:c>
      <x:c r="G332" s="2" t="str">
        <x:v>合志市福原</x:v>
      </x:c>
      <x:c r="H332" s="2" t="str">
        <x:v>観測</x:v>
      </x:c>
      <x:c r="I332" s="2" t="str">
        <x:v>観測</x:v>
      </x:c>
      <x:c r="J332" s="2" t="str">
        <x:v>12時間</x:v>
      </x:c>
      <x:c r="K332" s="2" t="str">
        <x:v>12時間</x:v>
      </x:c>
      <x:c r="L332" s="2" t="str">
        <x:v>20211118</x:v>
      </x:c>
      <x:c r="M332" s="2" t="str">
        <x:v>20211118</x:v>
      </x:c>
      <x:c r="N332" s="8" t="n">
        <x:v>6690</x:v>
      </x:c>
      <x:c r="O332" s="8" t="n">
        <x:v>675</x:v>
      </x:c>
      <x:c r="P332" s="8" t="n">
        <x:v>7365</x:v>
      </x:c>
      <x:c r="Q332" s="8" t="n">
        <x:v>8072</x:v>
      </x:c>
      <x:c r="R332" s="8" t="n">
        <x:v>913</x:v>
      </x:c>
      <x:c r="S332" s="8" t="n">
        <x:v>8985</x:v>
      </x:c>
      <x:c r="T332" s="11" t="n">
        <x:v>9.2</x:v>
      </x:c>
      <x:c r="U332" s="2" t="n">
        <x:v>2021</x:v>
      </x:c>
      <x:c r="V332" s="2" t="str">
        <x:v>https://www.mlit.go.jp/road/census/r3/data/csv/kasyo43.csv</x:v>
      </x:c>
      <x:c r="W332" s="2" t="n">
        <x:v>1282</x:v>
      </x:c>
    </x:row>
    <x:row r="333" ht="21" customHeight="1">
      <x:c r="A333" s="7" t="str">
        <x:v>熊本：合志市・大津町</x:v>
      </x:c>
      <x:c r="B333" s="2" t="str">
        <x:v>43601380140</x:v>
      </x:c>
      <x:c r="C333" s="2" t="str">
        <x:v>43000_60330</x:v>
      </x:c>
      <x:c r="D333" s="2" t="str">
        <x:v>43216</x:v>
      </x:c>
      <x:c r="E333" s="2" t="str">
        <x:v>辛川鹿本線</x:v>
      </x:c>
      <x:c r="F333" s="2"/>
      <x:c r="G333" s="2"/>
      <x:c r="H333" s="2" t="str">
        <x:v>未記載</x:v>
      </x:c>
      <x:c r="I333" s="2" t="str">
        <x:v>未記載</x:v>
      </x:c>
      <x:c r="J333" s="2" t="str">
        <x:v>未記載</x:v>
      </x:c>
      <x:c r="K333" s="2" t="str">
        <x:v>未記載</x:v>
      </x:c>
      <x:c r="L333" s="2"/>
      <x:c r="M333" s="2"/>
      <x:c r="N333" s="8"/>
      <x:c r="O333" s="8"/>
      <x:c r="P333" s="8"/>
      <x:c r="Q333" s="8"/>
      <x:c r="R333" s="8"/>
      <x:c r="S333" s="8"/>
      <x:c r="T333" s="11"/>
      <x:c r="U333" s="2" t="n">
        <x:v>2021</x:v>
      </x:c>
      <x:c r="V333" s="2" t="str">
        <x:v>https://www.mlit.go.jp/road/census/r3/data/csv/kasyo43.csv</x:v>
      </x:c>
      <x:c r="W333" s="2" t="n">
        <x:v>1283</x:v>
      </x:c>
    </x:row>
    <x:row r="334" ht="21" customHeight="1">
      <x:c r="A334" s="7" t="str">
        <x:v>熊本：合志市・大津町</x:v>
      </x:c>
      <x:c r="B334" s="2" t="str">
        <x:v>43601380340</x:v>
      </x:c>
      <x:c r="C334" s="2" t="str">
        <x:v>43000_60430</x:v>
      </x:c>
      <x:c r="D334" s="2" t="str">
        <x:v>43216</x:v>
      </x:c>
      <x:c r="E334" s="2" t="str">
        <x:v>辛川鹿本線</x:v>
      </x:c>
      <x:c r="F334" s="2" t="str">
        <x:v>合志市福原</x:v>
      </x:c>
      <x:c r="G334" s="2" t="str">
        <x:v>合志市福原</x:v>
      </x:c>
      <x:c r="H334" s="2" t="str">
        <x:v>観測</x:v>
      </x:c>
      <x:c r="I334" s="2" t="str">
        <x:v>観測</x:v>
      </x:c>
      <x:c r="J334" s="2" t="str">
        <x:v>12時間</x:v>
      </x:c>
      <x:c r="K334" s="2" t="str">
        <x:v>12時間</x:v>
      </x:c>
      <x:c r="L334" s="2" t="str">
        <x:v>20211118</x:v>
      </x:c>
      <x:c r="M334" s="2" t="str">
        <x:v>20211118</x:v>
      </x:c>
      <x:c r="N334" s="8" t="n">
        <x:v>9540</x:v>
      </x:c>
      <x:c r="O334" s="8" t="n">
        <x:v>1039</x:v>
      </x:c>
      <x:c r="P334" s="8" t="n">
        <x:v>10579</x:v>
      </x:c>
      <x:c r="Q334" s="8" t="n">
        <x:v>11759</x:v>
      </x:c>
      <x:c r="R334" s="8" t="n">
        <x:v>1465</x:v>
      </x:c>
      <x:c r="S334" s="8" t="n">
        <x:v>13224</x:v>
      </x:c>
      <x:c r="T334" s="11" t="n">
        <x:v>9.8</x:v>
      </x:c>
      <x:c r="U334" s="2" t="n">
        <x:v>2021</x:v>
      </x:c>
      <x:c r="V334" s="2" t="str">
        <x:v>https://www.mlit.go.jp/road/census/r3/data/csv/kasyo43.csv</x:v>
      </x:c>
      <x:c r="W334" s="2" t="n">
        <x:v>1303</x:v>
      </x:c>
    </x:row>
    <x:row r="335" ht="21" customHeight="1">
      <x:c r="A335" s="7" t="str">
        <x:v>熊本：合志市・大津町</x:v>
      </x:c>
      <x:c r="B335" s="2" t="str">
        <x:v>43601380360</x:v>
      </x:c>
      <x:c r="C335" s="2" t="str">
        <x:v>43000_60430</x:v>
      </x:c>
      <x:c r="D335" s="2" t="str">
        <x:v>43216</x:v>
      </x:c>
      <x:c r="E335" s="2" t="str">
        <x:v>辛川鹿本線</x:v>
      </x:c>
      <x:c r="F335" s="2" t="str">
        <x:v>合志市福原</x:v>
      </x:c>
      <x:c r="G335" s="2" t="str">
        <x:v>合志市福原</x:v>
      </x:c>
      <x:c r="H335" s="2" t="str">
        <x:v>観測</x:v>
      </x:c>
      <x:c r="I335" s="2" t="str">
        <x:v>観測</x:v>
      </x:c>
      <x:c r="J335" s="2" t="str">
        <x:v>12時間</x:v>
      </x:c>
      <x:c r="K335" s="2" t="str">
        <x:v>12時間</x:v>
      </x:c>
      <x:c r="L335" s="2" t="str">
        <x:v>20211118</x:v>
      </x:c>
      <x:c r="M335" s="2" t="str">
        <x:v>20211118</x:v>
      </x:c>
      <x:c r="N335" s="8" t="n">
        <x:v>9540</x:v>
      </x:c>
      <x:c r="O335" s="8" t="n">
        <x:v>1039</x:v>
      </x:c>
      <x:c r="P335" s="8" t="n">
        <x:v>10579</x:v>
      </x:c>
      <x:c r="Q335" s="8" t="n">
        <x:v>11759</x:v>
      </x:c>
      <x:c r="R335" s="8" t="n">
        <x:v>1465</x:v>
      </x:c>
      <x:c r="S335" s="8" t="n">
        <x:v>13224</x:v>
      </x:c>
      <x:c r="T335" s="11" t="n">
        <x:v>9.8</x:v>
      </x:c>
      <x:c r="U335" s="2" t="n">
        <x:v>2021</x:v>
      </x:c>
      <x:c r="V335" s="2" t="str">
        <x:v>https://www.mlit.go.jp/road/census/r3/data/csv/kasyo43.csv</x:v>
      </x:c>
      <x:c r="W335" s="2" t="n">
        <x:v>1305</x:v>
      </x:c>
    </x:row>
    <x:row r="336" ht="21" customHeight="1">
      <x:c r="A336" s="7" t="str">
        <x:v>熊本：合志市・大津町</x:v>
      </x:c>
      <x:c r="B336" s="2" t="str">
        <x:v>43601450010</x:v>
      </x:c>
      <x:c r="C336" s="2" t="str">
        <x:v>43000_60530</x:v>
      </x:c>
      <x:c r="D336" s="2" t="str">
        <x:v>43403</x:v>
      </x:c>
      <x:c r="E336" s="2" t="str">
        <x:v>瀬田熊本線</x:v>
      </x:c>
      <x:c r="F336" s="2"/>
      <x:c r="G336" s="2"/>
      <x:c r="H336" s="2" t="str">
        <x:v>推定</x:v>
      </x:c>
      <x:c r="I336" s="2" t="str">
        <x:v>推定</x:v>
      </x:c>
      <x:c r="J336" s="2" t="str">
        <x:v>未記載</x:v>
      </x:c>
      <x:c r="K336" s="2" t="str">
        <x:v>未記載</x:v>
      </x:c>
      <x:c r="L336" s="2"/>
      <x:c r="M336" s="2"/>
      <x:c r="N336" s="8" t="n">
        <x:v>1639</x:v>
      </x:c>
      <x:c r="O336" s="8" t="n">
        <x:v>86</x:v>
      </x:c>
      <x:c r="P336" s="8" t="n">
        <x:v>1725</x:v>
      </x:c>
      <x:c r="Q336" s="8" t="n">
        <x:v>1929</x:v>
      </x:c>
      <x:c r="R336" s="8" t="n">
        <x:v>124</x:v>
      </x:c>
      <x:c r="S336" s="8" t="n">
        <x:v>2053</x:v>
      </x:c>
      <x:c r="T336" s="11" t="n">
        <x:v>5</x:v>
      </x:c>
      <x:c r="U336" s="2" t="n">
        <x:v>2021</x:v>
      </x:c>
      <x:c r="V336" s="2" t="str">
        <x:v>https://www.mlit.go.jp/road/census/r3/data/csv/kasyo43.csv</x:v>
      </x:c>
      <x:c r="W336" s="2" t="n">
        <x:v>1324</x:v>
      </x:c>
    </x:row>
    <x:row r="337" ht="21" customHeight="1">
      <x:c r="A337" s="7" t="str">
        <x:v>熊本：合志市・大津町</x:v>
      </x:c>
      <x:c r="B337" s="2" t="str">
        <x:v>43601450020</x:v>
      </x:c>
      <x:c r="C337" s="2" t="str">
        <x:v>43000_60530</x:v>
      </x:c>
      <x:c r="D337" s="2" t="str">
        <x:v>43403</x:v>
      </x:c>
      <x:c r="E337" s="2" t="str">
        <x:v>瀬田熊本線</x:v>
      </x:c>
      <x:c r="F337" s="2"/>
      <x:c r="G337" s="2"/>
      <x:c r="H337" s="2" t="str">
        <x:v>推定</x:v>
      </x:c>
      <x:c r="I337" s="2" t="str">
        <x:v>推定</x:v>
      </x:c>
      <x:c r="J337" s="2" t="str">
        <x:v>未記載</x:v>
      </x:c>
      <x:c r="K337" s="2" t="str">
        <x:v>未記載</x:v>
      </x:c>
      <x:c r="L337" s="2"/>
      <x:c r="M337" s="2"/>
      <x:c r="N337" s="8" t="n">
        <x:v>1639</x:v>
      </x:c>
      <x:c r="O337" s="8" t="n">
        <x:v>86</x:v>
      </x:c>
      <x:c r="P337" s="8" t="n">
        <x:v>1725</x:v>
      </x:c>
      <x:c r="Q337" s="8" t="n">
        <x:v>1929</x:v>
      </x:c>
      <x:c r="R337" s="8" t="n">
        <x:v>124</x:v>
      </x:c>
      <x:c r="S337" s="8" t="n">
        <x:v>2053</x:v>
      </x:c>
      <x:c r="T337" s="11" t="n">
        <x:v>5</x:v>
      </x:c>
      <x:c r="U337" s="2" t="n">
        <x:v>2021</x:v>
      </x:c>
      <x:c r="V337" s="2" t="str">
        <x:v>https://www.mlit.go.jp/road/census/r3/data/csv/kasyo43.csv</x:v>
      </x:c>
      <x:c r="W337" s="2" t="n">
        <x:v>1325</x:v>
      </x:c>
    </x:row>
    <x:row r="338" ht="21" customHeight="1">
      <x:c r="A338" s="7" t="str">
        <x:v>熊本：合志市・大津町</x:v>
      </x:c>
      <x:c r="B338" s="2" t="str">
        <x:v>43601450030</x:v>
      </x:c>
      <x:c r="C338" s="2" t="str">
        <x:v>43000_60530</x:v>
      </x:c>
      <x:c r="D338" s="2" t="str">
        <x:v>43403</x:v>
      </x:c>
      <x:c r="E338" s="2" t="str">
        <x:v>瀬田熊本線</x:v>
      </x:c>
      <x:c r="F338" s="2"/>
      <x:c r="G338" s="2"/>
      <x:c r="H338" s="2" t="str">
        <x:v>推定</x:v>
      </x:c>
      <x:c r="I338" s="2" t="str">
        <x:v>推定</x:v>
      </x:c>
      <x:c r="J338" s="2" t="str">
        <x:v>未記載</x:v>
      </x:c>
      <x:c r="K338" s="2" t="str">
        <x:v>未記載</x:v>
      </x:c>
      <x:c r="L338" s="2"/>
      <x:c r="M338" s="2"/>
      <x:c r="N338" s="8" t="n">
        <x:v>1639</x:v>
      </x:c>
      <x:c r="O338" s="8" t="n">
        <x:v>86</x:v>
      </x:c>
      <x:c r="P338" s="8" t="n">
        <x:v>1725</x:v>
      </x:c>
      <x:c r="Q338" s="8" t="n">
        <x:v>1929</x:v>
      </x:c>
      <x:c r="R338" s="8" t="n">
        <x:v>124</x:v>
      </x:c>
      <x:c r="S338" s="8" t="n">
        <x:v>2053</x:v>
      </x:c>
      <x:c r="T338" s="11" t="n">
        <x:v>5</x:v>
      </x:c>
      <x:c r="U338" s="2" t="n">
        <x:v>2021</x:v>
      </x:c>
      <x:c r="V338" s="2" t="str">
        <x:v>https://www.mlit.go.jp/road/census/r3/data/csv/kasyo43.csv</x:v>
      </x:c>
      <x:c r="W338" s="2" t="n">
        <x:v>1326</x:v>
      </x:c>
    </x:row>
    <x:row r="339" ht="21" customHeight="1">
      <x:c r="A339" s="7" t="str">
        <x:v>熊本：合志市・大津町</x:v>
      </x:c>
      <x:c r="B339" s="2" t="str">
        <x:v>43601450040</x:v>
      </x:c>
      <x:c r="C339" s="2" t="str">
        <x:v>43000_60530</x:v>
      </x:c>
      <x:c r="D339" s="2" t="str">
        <x:v>43403</x:v>
      </x:c>
      <x:c r="E339" s="2" t="str">
        <x:v>瀬田熊本線</x:v>
      </x:c>
      <x:c r="F339" s="2"/>
      <x:c r="G339" s="2"/>
      <x:c r="H339" s="2" t="str">
        <x:v>推定</x:v>
      </x:c>
      <x:c r="I339" s="2" t="str">
        <x:v>推定</x:v>
      </x:c>
      <x:c r="J339" s="2" t="str">
        <x:v>未記載</x:v>
      </x:c>
      <x:c r="K339" s="2" t="str">
        <x:v>未記載</x:v>
      </x:c>
      <x:c r="L339" s="2"/>
      <x:c r="M339" s="2"/>
      <x:c r="N339" s="8" t="n">
        <x:v>1639</x:v>
      </x:c>
      <x:c r="O339" s="8" t="n">
        <x:v>86</x:v>
      </x:c>
      <x:c r="P339" s="8" t="n">
        <x:v>1725</x:v>
      </x:c>
      <x:c r="Q339" s="8" t="n">
        <x:v>1929</x:v>
      </x:c>
      <x:c r="R339" s="8" t="n">
        <x:v>124</x:v>
      </x:c>
      <x:c r="S339" s="8" t="n">
        <x:v>2053</x:v>
      </x:c>
      <x:c r="T339" s="11" t="n">
        <x:v>5</x:v>
      </x:c>
      <x:c r="U339" s="2" t="n">
        <x:v>2021</x:v>
      </x:c>
      <x:c r="V339" s="2" t="str">
        <x:v>https://www.mlit.go.jp/road/census/r3/data/csv/kasyo43.csv</x:v>
      </x:c>
      <x:c r="W339" s="2" t="n">
        <x:v>1327</x:v>
      </x:c>
    </x:row>
    <x:row r="340" ht="21" customHeight="1">
      <x:c r="A340" s="7" t="str">
        <x:v>熊本：合志市・大津町</x:v>
      </x:c>
      <x:c r="B340" s="2" t="str">
        <x:v>43601720010</x:v>
      </x:c>
      <x:c r="C340" s="2" t="str">
        <x:v>43000_60840</x:v>
      </x:c>
      <x:c r="D340" s="2" t="str">
        <x:v>43403</x:v>
      </x:c>
      <x:c r="E340" s="2" t="str">
        <x:v>大津停車場線</x:v>
      </x:c>
      <x:c r="F340" s="2"/>
      <x:c r="G340" s="2"/>
      <x:c r="H340" s="2" t="str">
        <x:v>推定</x:v>
      </x:c>
      <x:c r="I340" s="2" t="str">
        <x:v>推定</x:v>
      </x:c>
      <x:c r="J340" s="2" t="str">
        <x:v>未記載</x:v>
      </x:c>
      <x:c r="K340" s="2" t="str">
        <x:v>未記載</x:v>
      </x:c>
      <x:c r="L340" s="2"/>
      <x:c r="M340" s="2"/>
      <x:c r="N340" s="8" t="n">
        <x:v>2320</x:v>
      </x:c>
      <x:c r="O340" s="8" t="n">
        <x:v>153</x:v>
      </x:c>
      <x:c r="P340" s="8" t="n">
        <x:v>2473</x:v>
      </x:c>
      <x:c r="Q340" s="8" t="n">
        <x:v>2772</x:v>
      </x:c>
      <x:c r="R340" s="8" t="n">
        <x:v>220</x:v>
      </x:c>
      <x:c r="S340" s="8" t="n">
        <x:v>2992</x:v>
      </x:c>
      <x:c r="T340" s="11" t="n">
        <x:v>6.2</x:v>
      </x:c>
      <x:c r="U340" s="2" t="n">
        <x:v>2021</x:v>
      </x:c>
      <x:c r="V340" s="2" t="str">
        <x:v>https://www.mlit.go.jp/road/census/r3/data/csv/kasyo43.csv</x:v>
      </x:c>
      <x:c r="W340" s="2" t="n">
        <x:v>1398</x:v>
      </x:c>
    </x:row>
    <x:row r="341" ht="21" customHeight="1">
      <x:c r="A341" s="7" t="str">
        <x:v>熊本：合志市・大津町</x:v>
      </x:c>
      <x:c r="B341" s="2" t="str">
        <x:v>43602020010</x:v>
      </x:c>
      <x:c r="C341" s="2" t="str">
        <x:v>43000_61140</x:v>
      </x:c>
      <x:c r="D341" s="2" t="str">
        <x:v>43403</x:v>
      </x:c>
      <x:c r="E341" s="2" t="str">
        <x:v>矢護川大津線</x:v>
      </x:c>
      <x:c r="F341" s="2"/>
      <x:c r="G341" s="2"/>
      <x:c r="H341" s="2" t="str">
        <x:v>推定</x:v>
      </x:c>
      <x:c r="I341" s="2" t="str">
        <x:v>推定</x:v>
      </x:c>
      <x:c r="J341" s="2" t="str">
        <x:v>未記載</x:v>
      </x:c>
      <x:c r="K341" s="2" t="str">
        <x:v>未記載</x:v>
      </x:c>
      <x:c r="L341" s="2"/>
      <x:c r="M341" s="2"/>
      <x:c r="N341" s="8" t="n">
        <x:v>2150</x:v>
      </x:c>
      <x:c r="O341" s="8" t="n">
        <x:v>205</x:v>
      </x:c>
      <x:c r="P341" s="8" t="n">
        <x:v>2355</x:v>
      </x:c>
      <x:c r="Q341" s="8" t="n">
        <x:v>2581</x:v>
      </x:c>
      <x:c r="R341" s="8" t="n">
        <x:v>269</x:v>
      </x:c>
      <x:c r="S341" s="8" t="n">
        <x:v>2850</x:v>
      </x:c>
      <x:c r="T341" s="11" t="n">
        <x:v>8.7</x:v>
      </x:c>
      <x:c r="U341" s="2" t="n">
        <x:v>2021</x:v>
      </x:c>
      <x:c r="V341" s="2" t="str">
        <x:v>https://www.mlit.go.jp/road/census/r3/data/csv/kasyo43.csv</x:v>
      </x:c>
      <x:c r="W341" s="2" t="n">
        <x:v>1454</x:v>
      </x:c>
    </x:row>
    <x:row r="342" ht="21" customHeight="1">
      <x:c r="A342" s="7" t="str">
        <x:v>熊本：合志市・大津町</x:v>
      </x:c>
      <x:c r="B342" s="2" t="str">
        <x:v>43602020070</x:v>
      </x:c>
      <x:c r="C342" s="2" t="str">
        <x:v>43000_61150</x:v>
      </x:c>
      <x:c r="D342" s="2" t="str">
        <x:v>43403</x:v>
      </x:c>
      <x:c r="E342" s="2" t="str">
        <x:v>矢護川大津線</x:v>
      </x:c>
      <x:c r="F342" s="2"/>
      <x:c r="G342" s="2"/>
      <x:c r="H342" s="2" t="str">
        <x:v>未記載</x:v>
      </x:c>
      <x:c r="I342" s="2" t="str">
        <x:v>未記載</x:v>
      </x:c>
      <x:c r="J342" s="2" t="str">
        <x:v>未記載</x:v>
      </x:c>
      <x:c r="K342" s="2" t="str">
        <x:v>未記載</x:v>
      </x:c>
      <x:c r="L342" s="2"/>
      <x:c r="M342" s="2"/>
      <x:c r="N342" s="8"/>
      <x:c r="O342" s="8"/>
      <x:c r="P342" s="8"/>
      <x:c r="Q342" s="8"/>
      <x:c r="R342" s="8"/>
      <x:c r="S342" s="8"/>
      <x:c r="T342" s="11"/>
      <x:c r="U342" s="2" t="n">
        <x:v>2021</x:v>
      </x:c>
      <x:c r="V342" s="2" t="str">
        <x:v>https://www.mlit.go.jp/road/census/r3/data/csv/kasyo43.csv</x:v>
      </x:c>
      <x:c r="W342" s="2" t="n">
        <x:v>1455</x:v>
      </x:c>
    </x:row>
    <x:row r="343" ht="21" customHeight="1">
      <x:c r="A343" s="7" t="str">
        <x:v>熊本：合志市・大津町</x:v>
      </x:c>
      <x:c r="B343" s="2" t="str">
        <x:v>43602020030</x:v>
      </x:c>
      <x:c r="C343" s="2" t="str">
        <x:v>43000_61160</x:v>
      </x:c>
      <x:c r="D343" s="2" t="str">
        <x:v>43403</x:v>
      </x:c>
      <x:c r="E343" s="2" t="str">
        <x:v>矢護川大津線</x:v>
      </x:c>
      <x:c r="F343" s="2"/>
      <x:c r="G343" s="2"/>
      <x:c r="H343" s="2" t="str">
        <x:v>未記載</x:v>
      </x:c>
      <x:c r="I343" s="2" t="str">
        <x:v>未記載</x:v>
      </x:c>
      <x:c r="J343" s="2" t="str">
        <x:v>未記載</x:v>
      </x:c>
      <x:c r="K343" s="2" t="str">
        <x:v>未記載</x:v>
      </x:c>
      <x:c r="L343" s="2"/>
      <x:c r="M343" s="2"/>
      <x:c r="N343" s="8"/>
      <x:c r="O343" s="8"/>
      <x:c r="P343" s="8"/>
      <x:c r="Q343" s="8"/>
      <x:c r="R343" s="8"/>
      <x:c r="S343" s="8"/>
      <x:c r="T343" s="11"/>
      <x:c r="U343" s="2" t="n">
        <x:v>2021</x:v>
      </x:c>
      <x:c r="V343" s="2" t="str">
        <x:v>https://www.mlit.go.jp/road/census/r3/data/csv/kasyo43.csv</x:v>
      </x:c>
      <x:c r="W343" s="2" t="n">
        <x:v>1456</x:v>
      </x:c>
    </x:row>
    <x:row r="344" ht="21" customHeight="1">
      <x:c r="A344" s="7" t="str">
        <x:v>熊本：合志市・大津町</x:v>
      </x:c>
      <x:c r="B344" s="2" t="str">
        <x:v>43602020040</x:v>
      </x:c>
      <x:c r="C344" s="2" t="str">
        <x:v>43000_61160</x:v>
      </x:c>
      <x:c r="D344" s="2" t="str">
        <x:v>43403</x:v>
      </x:c>
      <x:c r="E344" s="2" t="str">
        <x:v>矢護川大津線</x:v>
      </x:c>
      <x:c r="F344" s="2"/>
      <x:c r="G344" s="2"/>
      <x:c r="H344" s="2" t="str">
        <x:v>未記載</x:v>
      </x:c>
      <x:c r="I344" s="2" t="str">
        <x:v>未記載</x:v>
      </x:c>
      <x:c r="J344" s="2" t="str">
        <x:v>未記載</x:v>
      </x:c>
      <x:c r="K344" s="2" t="str">
        <x:v>未記載</x:v>
      </x:c>
      <x:c r="L344" s="2"/>
      <x:c r="M344" s="2"/>
      <x:c r="N344" s="8"/>
      <x:c r="O344" s="8"/>
      <x:c r="P344" s="8"/>
      <x:c r="Q344" s="8"/>
      <x:c r="R344" s="8"/>
      <x:c r="S344" s="8"/>
      <x:c r="T344" s="11"/>
      <x:c r="U344" s="2" t="n">
        <x:v>2021</x:v>
      </x:c>
      <x:c r="V344" s="2" t="str">
        <x:v>https://www.mlit.go.jp/road/census/r3/data/csv/kasyo43.csv</x:v>
      </x:c>
      <x:c r="W344" s="2" t="n">
        <x:v>1457</x:v>
      </x:c>
    </x:row>
    <x:row r="345" ht="21" customHeight="1">
      <x:c r="A345" s="7" t="str">
        <x:v>熊本：合志市・大津町</x:v>
      </x:c>
      <x:c r="B345" s="2" t="str">
        <x:v>43602020050</x:v>
      </x:c>
      <x:c r="C345" s="2" t="str">
        <x:v>43000_61170</x:v>
      </x:c>
      <x:c r="D345" s="2" t="str">
        <x:v>43403</x:v>
      </x:c>
      <x:c r="E345" s="2" t="str">
        <x:v>矢護川大津線</x:v>
      </x:c>
      <x:c r="F345" s="2"/>
      <x:c r="G345" s="2"/>
      <x:c r="H345" s="2" t="str">
        <x:v>推定</x:v>
      </x:c>
      <x:c r="I345" s="2" t="str">
        <x:v>推定</x:v>
      </x:c>
      <x:c r="J345" s="2" t="str">
        <x:v>未記載</x:v>
      </x:c>
      <x:c r="K345" s="2" t="str">
        <x:v>未記載</x:v>
      </x:c>
      <x:c r="L345" s="2"/>
      <x:c r="M345" s="2"/>
      <x:c r="N345" s="8" t="n">
        <x:v>5138</x:v>
      </x:c>
      <x:c r="O345" s="8" t="n">
        <x:v>399</x:v>
      </x:c>
      <x:c r="P345" s="8" t="n">
        <x:v>5537</x:v>
      </x:c>
      <x:c r="Q345" s="8" t="n">
        <x:v>6220</x:v>
      </x:c>
      <x:c r="R345" s="8" t="n">
        <x:v>591</x:v>
      </x:c>
      <x:c r="S345" s="8" t="n">
        <x:v>6811</x:v>
      </x:c>
      <x:c r="T345" s="11" t="n">
        <x:v>7.2</x:v>
      </x:c>
      <x:c r="U345" s="2" t="n">
        <x:v>2021</x:v>
      </x:c>
      <x:c r="V345" s="2" t="str">
        <x:v>https://www.mlit.go.jp/road/census/r3/data/csv/kasyo43.csv</x:v>
      </x:c>
      <x:c r="W345" s="2" t="n">
        <x:v>1458</x:v>
      </x:c>
    </x:row>
    <x:row r="346" ht="21" customHeight="1">
      <x:c r="A346" s="7" t="str">
        <x:v>熊本：合志市・大津町</x:v>
      </x:c>
      <x:c r="B346" s="2" t="str">
        <x:v>43602070140</x:v>
      </x:c>
      <x:c r="C346" s="2" t="str">
        <x:v>43000_61230</x:v>
      </x:c>
      <x:c r="D346" s="2" t="str">
        <x:v>43403</x:v>
      </x:c>
      <x:c r="E346" s="2" t="str">
        <x:v>瀬田竜田線</x:v>
      </x:c>
      <x:c r="F346" s="2"/>
      <x:c r="G346" s="2"/>
      <x:c r="H346" s="2" t="str">
        <x:v>推定</x:v>
      </x:c>
      <x:c r="I346" s="2" t="str">
        <x:v>推定</x:v>
      </x:c>
      <x:c r="J346" s="2" t="str">
        <x:v>未記載</x:v>
      </x:c>
      <x:c r="K346" s="2" t="str">
        <x:v>未記載</x:v>
      </x:c>
      <x:c r="L346" s="2"/>
      <x:c r="M346" s="2"/>
      <x:c r="N346" s="8" t="n">
        <x:v>3702</x:v>
      </x:c>
      <x:c r="O346" s="8" t="n">
        <x:v>166</x:v>
      </x:c>
      <x:c r="P346" s="8" t="n">
        <x:v>3868</x:v>
      </x:c>
      <x:c r="Q346" s="8" t="n">
        <x:v>4434</x:v>
      </x:c>
      <x:c r="R346" s="8" t="n">
        <x:v>285</x:v>
      </x:c>
      <x:c r="S346" s="8" t="n">
        <x:v>4719</x:v>
      </x:c>
      <x:c r="T346" s="11" t="n">
        <x:v>4.3</x:v>
      </x:c>
      <x:c r="U346" s="2" t="n">
        <x:v>2021</x:v>
      </x:c>
      <x:c r="V346" s="2" t="str">
        <x:v>https://www.mlit.go.jp/road/census/r3/data/csv/kasyo43.csv</x:v>
      </x:c>
      <x:c r="W346" s="2" t="n">
        <x:v>1467</x:v>
      </x:c>
    </x:row>
    <x:row r="347" ht="21" customHeight="1">
      <x:c r="A347" s="7" t="str">
        <x:v>熊本：合志市・大津町</x:v>
      </x:c>
      <x:c r="B347" s="2" t="str">
        <x:v>43602070150</x:v>
      </x:c>
      <x:c r="C347" s="2" t="str">
        <x:v>43000_61230</x:v>
      </x:c>
      <x:c r="D347" s="2" t="str">
        <x:v>43403</x:v>
      </x:c>
      <x:c r="E347" s="2" t="str">
        <x:v>瀬田竜田線</x:v>
      </x:c>
      <x:c r="F347" s="2"/>
      <x:c r="G347" s="2"/>
      <x:c r="H347" s="2" t="str">
        <x:v>推定</x:v>
      </x:c>
      <x:c r="I347" s="2" t="str">
        <x:v>推定</x:v>
      </x:c>
      <x:c r="J347" s="2" t="str">
        <x:v>未記載</x:v>
      </x:c>
      <x:c r="K347" s="2" t="str">
        <x:v>未記載</x:v>
      </x:c>
      <x:c r="L347" s="2"/>
      <x:c r="M347" s="2"/>
      <x:c r="N347" s="8" t="n">
        <x:v>3702</x:v>
      </x:c>
      <x:c r="O347" s="8" t="n">
        <x:v>166</x:v>
      </x:c>
      <x:c r="P347" s="8" t="n">
        <x:v>3868</x:v>
      </x:c>
      <x:c r="Q347" s="8" t="n">
        <x:v>4434</x:v>
      </x:c>
      <x:c r="R347" s="8" t="n">
        <x:v>285</x:v>
      </x:c>
      <x:c r="S347" s="8" t="n">
        <x:v>4719</x:v>
      </x:c>
      <x:c r="T347" s="11" t="n">
        <x:v>4.3</x:v>
      </x:c>
      <x:c r="U347" s="2" t="n">
        <x:v>2021</x:v>
      </x:c>
      <x:c r="V347" s="2" t="str">
        <x:v>https://www.mlit.go.jp/road/census/r3/data/csv/kasyo43.csv</x:v>
      </x:c>
      <x:c r="W347" s="2" t="n">
        <x:v>1468</x:v>
      </x:c>
    </x:row>
    <x:row r="348" ht="21" customHeight="1">
      <x:c r="A348" s="7" t="str">
        <x:v>熊本：合志市・大津町</x:v>
      </x:c>
      <x:c r="B348" s="2" t="str">
        <x:v>43602070160</x:v>
      </x:c>
      <x:c r="C348" s="2" t="str">
        <x:v>43000_61230</x:v>
      </x:c>
      <x:c r="D348" s="2" t="str">
        <x:v>43403</x:v>
      </x:c>
      <x:c r="E348" s="2" t="str">
        <x:v>瀬田竜田線</x:v>
      </x:c>
      <x:c r="F348" s="2"/>
      <x:c r="G348" s="2"/>
      <x:c r="H348" s="2" t="str">
        <x:v>推定</x:v>
      </x:c>
      <x:c r="I348" s="2" t="str">
        <x:v>推定</x:v>
      </x:c>
      <x:c r="J348" s="2" t="str">
        <x:v>未記載</x:v>
      </x:c>
      <x:c r="K348" s="2" t="str">
        <x:v>未記載</x:v>
      </x:c>
      <x:c r="L348" s="2"/>
      <x:c r="M348" s="2"/>
      <x:c r="N348" s="8" t="n">
        <x:v>3702</x:v>
      </x:c>
      <x:c r="O348" s="8" t="n">
        <x:v>166</x:v>
      </x:c>
      <x:c r="P348" s="8" t="n">
        <x:v>3868</x:v>
      </x:c>
      <x:c r="Q348" s="8" t="n">
        <x:v>4434</x:v>
      </x:c>
      <x:c r="R348" s="8" t="n">
        <x:v>285</x:v>
      </x:c>
      <x:c r="S348" s="8" t="n">
        <x:v>4719</x:v>
      </x:c>
      <x:c r="T348" s="11" t="n">
        <x:v>4.3</x:v>
      </x:c>
      <x:c r="U348" s="2" t="n">
        <x:v>2021</x:v>
      </x:c>
      <x:c r="V348" s="2" t="str">
        <x:v>https://www.mlit.go.jp/road/census/r3/data/csv/kasyo43.csv</x:v>
      </x:c>
      <x:c r="W348" s="2" t="n">
        <x:v>1469</x:v>
      </x:c>
    </x:row>
    <x:row r="349" ht="21" customHeight="1">
      <x:c r="A349" s="7" t="str">
        <x:v>熊本：合志市・大津町</x:v>
      </x:c>
      <x:c r="B349" s="2" t="str">
        <x:v>43602070170</x:v>
      </x:c>
      <x:c r="C349" s="2" t="str">
        <x:v>43000_61230</x:v>
      </x:c>
      <x:c r="D349" s="2" t="str">
        <x:v>43403</x:v>
      </x:c>
      <x:c r="E349" s="2" t="str">
        <x:v>瀬田竜田線</x:v>
      </x:c>
      <x:c r="F349" s="2"/>
      <x:c r="G349" s="2"/>
      <x:c r="H349" s="2" t="str">
        <x:v>推定</x:v>
      </x:c>
      <x:c r="I349" s="2" t="str">
        <x:v>推定</x:v>
      </x:c>
      <x:c r="J349" s="2" t="str">
        <x:v>未記載</x:v>
      </x:c>
      <x:c r="K349" s="2" t="str">
        <x:v>未記載</x:v>
      </x:c>
      <x:c r="L349" s="2"/>
      <x:c r="M349" s="2"/>
      <x:c r="N349" s="8" t="n">
        <x:v>3702</x:v>
      </x:c>
      <x:c r="O349" s="8" t="n">
        <x:v>166</x:v>
      </x:c>
      <x:c r="P349" s="8" t="n">
        <x:v>3868</x:v>
      </x:c>
      <x:c r="Q349" s="8" t="n">
        <x:v>4434</x:v>
      </x:c>
      <x:c r="R349" s="8" t="n">
        <x:v>285</x:v>
      </x:c>
      <x:c r="S349" s="8" t="n">
        <x:v>4719</x:v>
      </x:c>
      <x:c r="T349" s="11" t="n">
        <x:v>4.3</x:v>
      </x:c>
      <x:c r="U349" s="2" t="n">
        <x:v>2021</x:v>
      </x:c>
      <x:c r="V349" s="2" t="str">
        <x:v>https://www.mlit.go.jp/road/census/r3/data/csv/kasyo43.csv</x:v>
      </x:c>
      <x:c r="W349" s="2" t="n">
        <x:v>1470</x:v>
      </x:c>
    </x:row>
    <x:row r="350" ht="21" customHeight="1">
      <x:c r="A350" s="7" t="str">
        <x:v>熊本：合志市・大津町</x:v>
      </x:c>
      <x:c r="B350" s="2" t="str">
        <x:v>43602070180</x:v>
      </x:c>
      <x:c r="C350" s="2" t="str">
        <x:v>43000_61230</x:v>
      </x:c>
      <x:c r="D350" s="2" t="str">
        <x:v>43403</x:v>
      </x:c>
      <x:c r="E350" s="2" t="str">
        <x:v>瀬田竜田線</x:v>
      </x:c>
      <x:c r="F350" s="2"/>
      <x:c r="G350" s="2"/>
      <x:c r="H350" s="2" t="str">
        <x:v>推定</x:v>
      </x:c>
      <x:c r="I350" s="2" t="str">
        <x:v>推定</x:v>
      </x:c>
      <x:c r="J350" s="2" t="str">
        <x:v>未記載</x:v>
      </x:c>
      <x:c r="K350" s="2" t="str">
        <x:v>未記載</x:v>
      </x:c>
      <x:c r="L350" s="2"/>
      <x:c r="M350" s="2"/>
      <x:c r="N350" s="8" t="n">
        <x:v>3702</x:v>
      </x:c>
      <x:c r="O350" s="8" t="n">
        <x:v>166</x:v>
      </x:c>
      <x:c r="P350" s="8" t="n">
        <x:v>3868</x:v>
      </x:c>
      <x:c r="Q350" s="8" t="n">
        <x:v>4434</x:v>
      </x:c>
      <x:c r="R350" s="8" t="n">
        <x:v>285</x:v>
      </x:c>
      <x:c r="S350" s="8" t="n">
        <x:v>4719</x:v>
      </x:c>
      <x:c r="T350" s="11" t="n">
        <x:v>4.3</x:v>
      </x:c>
      <x:c r="U350" s="2" t="n">
        <x:v>2021</x:v>
      </x:c>
      <x:c r="V350" s="2" t="str">
        <x:v>https://www.mlit.go.jp/road/census/r3/data/csv/kasyo43.csv</x:v>
      </x:c>
      <x:c r="W350" s="2" t="n">
        <x:v>1471</x:v>
      </x:c>
    </x:row>
    <x:row r="351" ht="21" customHeight="1">
      <x:c r="A351" s="7" t="str">
        <x:v>熊本：合志市・大津町</x:v>
      </x:c>
      <x:c r="B351" s="2" t="str">
        <x:v>43602070190</x:v>
      </x:c>
      <x:c r="C351" s="2" t="str">
        <x:v>43000_61230</x:v>
      </x:c>
      <x:c r="D351" s="2" t="str">
        <x:v>43403</x:v>
      </x:c>
      <x:c r="E351" s="2" t="str">
        <x:v>瀬田竜田線</x:v>
      </x:c>
      <x:c r="F351" s="2"/>
      <x:c r="G351" s="2"/>
      <x:c r="H351" s="2" t="str">
        <x:v>推定</x:v>
      </x:c>
      <x:c r="I351" s="2" t="str">
        <x:v>推定</x:v>
      </x:c>
      <x:c r="J351" s="2" t="str">
        <x:v>未記載</x:v>
      </x:c>
      <x:c r="K351" s="2" t="str">
        <x:v>未記載</x:v>
      </x:c>
      <x:c r="L351" s="2"/>
      <x:c r="M351" s="2"/>
      <x:c r="N351" s="8" t="n">
        <x:v>3702</x:v>
      </x:c>
      <x:c r="O351" s="8" t="n">
        <x:v>166</x:v>
      </x:c>
      <x:c r="P351" s="8" t="n">
        <x:v>3868</x:v>
      </x:c>
      <x:c r="Q351" s="8" t="n">
        <x:v>4434</x:v>
      </x:c>
      <x:c r="R351" s="8" t="n">
        <x:v>285</x:v>
      </x:c>
      <x:c r="S351" s="8" t="n">
        <x:v>4719</x:v>
      </x:c>
      <x:c r="T351" s="11" t="n">
        <x:v>4.3</x:v>
      </x:c>
      <x:c r="U351" s="2" t="n">
        <x:v>2021</x:v>
      </x:c>
      <x:c r="V351" s="2" t="str">
        <x:v>https://www.mlit.go.jp/road/census/r3/data/csv/kasyo43.csv</x:v>
      </x:c>
      <x:c r="W351" s="2" t="n">
        <x:v>1472</x:v>
      </x:c>
    </x:row>
    <x:row r="352" ht="21" customHeight="1">
      <x:c r="A352" s="7" t="str">
        <x:v>熊本：合志市・大津町</x:v>
      </x:c>
      <x:c r="B352" s="2" t="str">
        <x:v>43602070200</x:v>
      </x:c>
      <x:c r="C352" s="2" t="str">
        <x:v>43000_61230</x:v>
      </x:c>
      <x:c r="D352" s="2" t="str">
        <x:v>43403</x:v>
      </x:c>
      <x:c r="E352" s="2" t="str">
        <x:v>瀬田竜田線</x:v>
      </x:c>
      <x:c r="F352" s="2"/>
      <x:c r="G352" s="2"/>
      <x:c r="H352" s="2" t="str">
        <x:v>推定</x:v>
      </x:c>
      <x:c r="I352" s="2" t="str">
        <x:v>推定</x:v>
      </x:c>
      <x:c r="J352" s="2" t="str">
        <x:v>未記載</x:v>
      </x:c>
      <x:c r="K352" s="2" t="str">
        <x:v>未記載</x:v>
      </x:c>
      <x:c r="L352" s="2"/>
      <x:c r="M352" s="2"/>
      <x:c r="N352" s="8" t="n">
        <x:v>3702</x:v>
      </x:c>
      <x:c r="O352" s="8" t="n">
        <x:v>166</x:v>
      </x:c>
      <x:c r="P352" s="8" t="n">
        <x:v>3868</x:v>
      </x:c>
      <x:c r="Q352" s="8" t="n">
        <x:v>4434</x:v>
      </x:c>
      <x:c r="R352" s="8" t="n">
        <x:v>285</x:v>
      </x:c>
      <x:c r="S352" s="8" t="n">
        <x:v>4719</x:v>
      </x:c>
      <x:c r="T352" s="11" t="n">
        <x:v>4.3</x:v>
      </x:c>
      <x:c r="U352" s="2" t="n">
        <x:v>2021</x:v>
      </x:c>
      <x:c r="V352" s="2" t="str">
        <x:v>https://www.mlit.go.jp/road/census/r3/data/csv/kasyo43.csv</x:v>
      </x:c>
      <x:c r="W352" s="2" t="n">
        <x:v>1473</x:v>
      </x:c>
    </x:row>
    <x:row r="353" ht="21" customHeight="1">
      <x:c r="A353" s="7" t="str">
        <x:v>熊本：合志市・大津町</x:v>
      </x:c>
      <x:c r="B353" s="2" t="str">
        <x:v>43602070210</x:v>
      </x:c>
      <x:c r="C353" s="2" t="str">
        <x:v>43000_61230</x:v>
      </x:c>
      <x:c r="D353" s="2" t="str">
        <x:v>43403</x:v>
      </x:c>
      <x:c r="E353" s="2" t="str">
        <x:v>瀬田竜田線</x:v>
      </x:c>
      <x:c r="F353" s="2"/>
      <x:c r="G353" s="2"/>
      <x:c r="H353" s="2" t="str">
        <x:v>推定</x:v>
      </x:c>
      <x:c r="I353" s="2" t="str">
        <x:v>推定</x:v>
      </x:c>
      <x:c r="J353" s="2" t="str">
        <x:v>未記載</x:v>
      </x:c>
      <x:c r="K353" s="2" t="str">
        <x:v>未記載</x:v>
      </x:c>
      <x:c r="L353" s="2"/>
      <x:c r="M353" s="2"/>
      <x:c r="N353" s="8" t="n">
        <x:v>3702</x:v>
      </x:c>
      <x:c r="O353" s="8" t="n">
        <x:v>166</x:v>
      </x:c>
      <x:c r="P353" s="8" t="n">
        <x:v>3868</x:v>
      </x:c>
      <x:c r="Q353" s="8" t="n">
        <x:v>4434</x:v>
      </x:c>
      <x:c r="R353" s="8" t="n">
        <x:v>285</x:v>
      </x:c>
      <x:c r="S353" s="8" t="n">
        <x:v>4719</x:v>
      </x:c>
      <x:c r="T353" s="11" t="n">
        <x:v>4.3</x:v>
      </x:c>
      <x:c r="U353" s="2" t="n">
        <x:v>2021</x:v>
      </x:c>
      <x:c r="V353" s="2" t="str">
        <x:v>https://www.mlit.go.jp/road/census/r3/data/csv/kasyo43.csv</x:v>
      </x:c>
      <x:c r="W353" s="2" t="n">
        <x:v>1474</x:v>
      </x:c>
    </x:row>
    <x:row r="354" ht="21" customHeight="1">
      <x:c r="A354" s="7" t="str">
        <x:v>熊本：合志市・大津町</x:v>
      </x:c>
      <x:c r="B354" s="2" t="str">
        <x:v>43602080010</x:v>
      </x:c>
      <x:c r="C354" s="2" t="str">
        <x:v>43000_61260</x:v>
      </x:c>
      <x:c r="D354" s="2" t="str">
        <x:v>43403</x:v>
      </x:c>
      <x:c r="E354" s="2" t="str">
        <x:v>外牧大林線</x:v>
      </x:c>
      <x:c r="F354" s="2"/>
      <x:c r="G354" s="2"/>
      <x:c r="H354" s="2" t="str">
        <x:v>未記載</x:v>
      </x:c>
      <x:c r="I354" s="2" t="str">
        <x:v>未記載</x:v>
      </x:c>
      <x:c r="J354" s="2" t="str">
        <x:v>未記載</x:v>
      </x:c>
      <x:c r="K354" s="2" t="str">
        <x:v>未記載</x:v>
      </x:c>
      <x:c r="L354" s="2"/>
      <x:c r="M354" s="2"/>
      <x:c r="N354" s="8"/>
      <x:c r="O354" s="8"/>
      <x:c r="P354" s="8"/>
      <x:c r="Q354" s="8"/>
      <x:c r="R354" s="8"/>
      <x:c r="S354" s="8"/>
      <x:c r="T354" s="11"/>
      <x:c r="U354" s="2" t="n">
        <x:v>2021</x:v>
      </x:c>
      <x:c r="V354" s="2" t="str">
        <x:v>https://www.mlit.go.jp/road/census/r3/data/csv/kasyo43.csv</x:v>
      </x:c>
      <x:c r="W354" s="2" t="n">
        <x:v>1484</x:v>
      </x:c>
    </x:row>
    <x:row r="355" ht="21" customHeight="1">
      <x:c r="A355" s="7" t="str">
        <x:v>熊本：合志市・大津町</x:v>
      </x:c>
      <x:c r="B355" s="2" t="str">
        <x:v>43602080030</x:v>
      </x:c>
      <x:c r="C355" s="2" t="str">
        <x:v>43000_61270</x:v>
      </x:c>
      <x:c r="D355" s="2" t="str">
        <x:v>43403</x:v>
      </x:c>
      <x:c r="E355" s="2" t="str">
        <x:v>外牧大林線</x:v>
      </x:c>
      <x:c r="F355" s="2"/>
      <x:c r="G355" s="2"/>
      <x:c r="H355" s="2" t="str">
        <x:v>推定</x:v>
      </x:c>
      <x:c r="I355" s="2" t="str">
        <x:v>推定</x:v>
      </x:c>
      <x:c r="J355" s="2" t="str">
        <x:v>未記載</x:v>
      </x:c>
      <x:c r="K355" s="2" t="str">
        <x:v>未記載</x:v>
      </x:c>
      <x:c r="L355" s="2"/>
      <x:c r="M355" s="2"/>
      <x:c r="N355" s="8" t="n">
        <x:v>242</x:v>
      </x:c>
      <x:c r="O355" s="8" t="n">
        <x:v>10</x:v>
      </x:c>
      <x:c r="P355" s="8" t="n">
        <x:v>252</x:v>
      </x:c>
      <x:c r="Q355" s="8" t="n">
        <x:v>295</x:v>
      </x:c>
      <x:c r="R355" s="8" t="n">
        <x:v>20</x:v>
      </x:c>
      <x:c r="S355" s="8" t="n">
        <x:v>315</x:v>
      </x:c>
      <x:c r="T355" s="11" t="n">
        <x:v>4</x:v>
      </x:c>
      <x:c r="U355" s="2" t="n">
        <x:v>2021</x:v>
      </x:c>
      <x:c r="V355" s="2" t="str">
        <x:v>https://www.mlit.go.jp/road/census/r3/data/csv/kasyo43.csv</x:v>
      </x:c>
      <x:c r="W355" s="2" t="n">
        <x:v>1485</x:v>
      </x:c>
    </x:row>
    <x:row r="356" ht="21" customHeight="1">
      <x:c r="A356" s="7" t="str">
        <x:v>熊本：合志市・大津町</x:v>
      </x:c>
      <x:c r="B356" s="2" t="str">
        <x:v>43602110010</x:v>
      </x:c>
      <x:c r="C356" s="2" t="str">
        <x:v>43000_61300</x:v>
      </x:c>
      <x:c r="D356" s="2" t="str">
        <x:v>43403</x:v>
      </x:c>
      <x:c r="E356" s="2" t="str">
        <x:v>岩坂陣内線</x:v>
      </x:c>
      <x:c r="F356" s="2"/>
      <x:c r="G356" s="2"/>
      <x:c r="H356" s="2" t="str">
        <x:v>推定</x:v>
      </x:c>
      <x:c r="I356" s="2" t="str">
        <x:v>推定</x:v>
      </x:c>
      <x:c r="J356" s="2" t="str">
        <x:v>未記載</x:v>
      </x:c>
      <x:c r="K356" s="2" t="str">
        <x:v>未記載</x:v>
      </x:c>
      <x:c r="L356" s="2"/>
      <x:c r="M356" s="2"/>
      <x:c r="N356" s="8" t="n">
        <x:v>2627</x:v>
      </x:c>
      <x:c r="O356" s="8" t="n">
        <x:v>98</x:v>
      </x:c>
      <x:c r="P356" s="8" t="n">
        <x:v>2725</x:v>
      </x:c>
      <x:c r="Q356" s="8" t="n">
        <x:v>3124</x:v>
      </x:c>
      <x:c r="R356" s="8" t="n">
        <x:v>173</x:v>
      </x:c>
      <x:c r="S356" s="8" t="n">
        <x:v>3297</x:v>
      </x:c>
      <x:c r="T356" s="11" t="n">
        <x:v>3.6</x:v>
      </x:c>
      <x:c r="U356" s="2" t="n">
        <x:v>2021</x:v>
      </x:c>
      <x:c r="V356" s="2" t="str">
        <x:v>https://www.mlit.go.jp/road/census/r3/data/csv/kasyo43.csv</x:v>
      </x:c>
      <x:c r="W356" s="2" t="n">
        <x:v>1489</x:v>
      </x:c>
    </x:row>
    <x:row r="357" ht="21" customHeight="1">
      <x:c r="A357" s="7" t="str">
        <x:v>熊本：合志市・大津町</x:v>
      </x:c>
      <x:c r="B357" s="2" t="str">
        <x:v>43602250020</x:v>
      </x:c>
      <x:c r="C357" s="2" t="str">
        <x:v>43000_61530</x:v>
      </x:c>
      <x:c r="D357" s="2" t="str">
        <x:v>43403</x:v>
      </x:c>
      <x:c r="E357" s="2" t="str">
        <x:v>山西大津線</x:v>
      </x:c>
      <x:c r="F357" s="2"/>
      <x:c r="G357" s="2"/>
      <x:c r="H357" s="2" t="str">
        <x:v>推定</x:v>
      </x:c>
      <x:c r="I357" s="2" t="str">
        <x:v>推定</x:v>
      </x:c>
      <x:c r="J357" s="2" t="str">
        <x:v>未記載</x:v>
      </x:c>
      <x:c r="K357" s="2" t="str">
        <x:v>未記載</x:v>
      </x:c>
      <x:c r="L357" s="2"/>
      <x:c r="M357" s="2"/>
      <x:c r="N357" s="8" t="n">
        <x:v>1186</x:v>
      </x:c>
      <x:c r="O357" s="8" t="n">
        <x:v>112</x:v>
      </x:c>
      <x:c r="P357" s="8" t="n">
        <x:v>1298</x:v>
      </x:c>
      <x:c r="Q357" s="8" t="n">
        <x:v>1391</x:v>
      </x:c>
      <x:c r="R357" s="8" t="n">
        <x:v>141</x:v>
      </x:c>
      <x:c r="S357" s="8" t="n">
        <x:v>1532</x:v>
      </x:c>
      <x:c r="T357" s="11" t="n">
        <x:v>8.6</x:v>
      </x:c>
      <x:c r="U357" s="2" t="n">
        <x:v>2021</x:v>
      </x:c>
      <x:c r="V357" s="2" t="str">
        <x:v>https://www.mlit.go.jp/road/census/r3/data/csv/kasyo43.csv</x:v>
      </x:c>
      <x:c r="W357" s="2" t="n">
        <x:v>1528</x:v>
      </x:c>
    </x:row>
    <x:row r="358" ht="21" customHeight="1">
      <x:c r="A358" s="7" t="str">
        <x:v>熊本：合志市・大津町</x:v>
      </x:c>
      <x:c r="B358" s="2" t="str">
        <x:v>43602250030</x:v>
      </x:c>
      <x:c r="C358" s="2" t="str">
        <x:v>43000_61530</x:v>
      </x:c>
      <x:c r="D358" s="2" t="str">
        <x:v>43403</x:v>
      </x:c>
      <x:c r="E358" s="2" t="str">
        <x:v>山西大津線</x:v>
      </x:c>
      <x:c r="F358" s="2"/>
      <x:c r="G358" s="2"/>
      <x:c r="H358" s="2" t="str">
        <x:v>推定</x:v>
      </x:c>
      <x:c r="I358" s="2" t="str">
        <x:v>推定</x:v>
      </x:c>
      <x:c r="J358" s="2" t="str">
        <x:v>未記載</x:v>
      </x:c>
      <x:c r="K358" s="2" t="str">
        <x:v>未記載</x:v>
      </x:c>
      <x:c r="L358" s="2"/>
      <x:c r="M358" s="2"/>
      <x:c r="N358" s="8" t="n">
        <x:v>1186</x:v>
      </x:c>
      <x:c r="O358" s="8" t="n">
        <x:v>112</x:v>
      </x:c>
      <x:c r="P358" s="8" t="n">
        <x:v>1298</x:v>
      </x:c>
      <x:c r="Q358" s="8" t="n">
        <x:v>1391</x:v>
      </x:c>
      <x:c r="R358" s="8" t="n">
        <x:v>141</x:v>
      </x:c>
      <x:c r="S358" s="8" t="n">
        <x:v>1532</x:v>
      </x:c>
      <x:c r="T358" s="11" t="n">
        <x:v>8.6</x:v>
      </x:c>
      <x:c r="U358" s="2" t="n">
        <x:v>2021</x:v>
      </x:c>
      <x:c r="V358" s="2" t="str">
        <x:v>https://www.mlit.go.jp/road/census/r3/data/csv/kasyo43.csv</x:v>
      </x:c>
      <x:c r="W358" s="2" t="n">
        <x:v>1529</x:v>
      </x:c>
    </x:row>
    <x:row r="359" ht="21" customHeight="1">
      <x:c r="A359" s="7" t="str">
        <x:v>熊本：合志市・大津町</x:v>
      </x:c>
      <x:c r="B359" s="2" t="str">
        <x:v>43602250050</x:v>
      </x:c>
      <x:c r="C359" s="2" t="str">
        <x:v>43000_61540</x:v>
      </x:c>
      <x:c r="D359" s="2" t="str">
        <x:v>43403</x:v>
      </x:c>
      <x:c r="E359" s="2" t="str">
        <x:v>山西大津線</x:v>
      </x:c>
      <x:c r="F359" s="2"/>
      <x:c r="G359" s="2"/>
      <x:c r="H359" s="2" t="str">
        <x:v>未記載</x:v>
      </x:c>
      <x:c r="I359" s="2" t="str">
        <x:v>未記載</x:v>
      </x:c>
      <x:c r="J359" s="2" t="str">
        <x:v>未記載</x:v>
      </x:c>
      <x:c r="K359" s="2" t="str">
        <x:v>未記載</x:v>
      </x:c>
      <x:c r="L359" s="2"/>
      <x:c r="M359" s="2"/>
      <x:c r="N359" s="8"/>
      <x:c r="O359" s="8"/>
      <x:c r="P359" s="8"/>
      <x:c r="Q359" s="8"/>
      <x:c r="R359" s="8"/>
      <x:c r="S359" s="8"/>
      <x:c r="T359" s="11"/>
      <x:c r="U359" s="2" t="n">
        <x:v>2021</x:v>
      </x:c>
      <x:c r="V359" s="2" t="str">
        <x:v>https://www.mlit.go.jp/road/census/r3/data/csv/kasyo43.csv</x:v>
      </x:c>
      <x:c r="W359" s="2" t="n">
        <x:v>1530</x:v>
      </x:c>
    </x:row>
    <x:row r="360" ht="21" customHeight="1">
      <x:c r="A360" s="7" t="str">
        <x:v>熊本：合志市・大津町</x:v>
      </x:c>
      <x:c r="B360" s="2" t="str">
        <x:v>43603160030</x:v>
      </x:c>
      <x:c r="C360" s="2" t="str">
        <x:v>43000_62560</x:v>
      </x:c>
      <x:c r="D360" s="2" t="str">
        <x:v>43216</x:v>
      </x:c>
      <x:c r="E360" s="2" t="str">
        <x:v>住吉熊本線</x:v>
      </x:c>
      <x:c r="F360" s="2" t="str">
        <x:v>菊池市泗水町住吉</x:v>
      </x:c>
      <x:c r="G360" s="2" t="str">
        <x:v>菊池市泗水町住吉</x:v>
      </x:c>
      <x:c r="H360" s="2" t="str">
        <x:v>観測</x:v>
      </x:c>
      <x:c r="I360" s="2" t="str">
        <x:v>観測</x:v>
      </x:c>
      <x:c r="J360" s="2" t="str">
        <x:v>12時間</x:v>
      </x:c>
      <x:c r="K360" s="2" t="str">
        <x:v>12時間</x:v>
      </x:c>
      <x:c r="L360" s="2" t="str">
        <x:v>20211118</x:v>
      </x:c>
      <x:c r="M360" s="2" t="str">
        <x:v>20211118</x:v>
      </x:c>
      <x:c r="N360" s="8" t="n">
        <x:v>3191</x:v>
      </x:c>
      <x:c r="O360" s="8" t="n">
        <x:v>414</x:v>
      </x:c>
      <x:c r="P360" s="8" t="n">
        <x:v>3605</x:v>
      </x:c>
      <x:c r="Q360" s="8" t="n">
        <x:v>3851</x:v>
      </x:c>
      <x:c r="R360" s="8" t="n">
        <x:v>511</x:v>
      </x:c>
      <x:c r="S360" s="8" t="n">
        <x:v>4362</x:v>
      </x:c>
      <x:c r="T360" s="11" t="n">
        <x:v>11.5</x:v>
      </x:c>
      <x:c r="U360" s="2" t="n">
        <x:v>2021</x:v>
      </x:c>
      <x:c r="V360" s="2" t="str">
        <x:v>https://www.mlit.go.jp/road/census/r3/data/csv/kasyo43.csv</x:v>
      </x:c>
      <x:c r="W360" s="2" t="n">
        <x:v>1780</x:v>
      </x:c>
    </x:row>
    <x:row r="361" ht="21" customHeight="1">
      <x:c r="A361" s="7" t="str">
        <x:v>熊本：合志市・大津町</x:v>
      </x:c>
      <x:c r="B361" s="2" t="str">
        <x:v>43603160050</x:v>
      </x:c>
      <x:c r="C361" s="2" t="str">
        <x:v>43000_62570</x:v>
      </x:c>
      <x:c r="D361" s="2" t="str">
        <x:v>43216</x:v>
      </x:c>
      <x:c r="E361" s="2" t="str">
        <x:v>住吉熊本線</x:v>
      </x:c>
      <x:c r="F361" s="2" t="str">
        <x:v>合志市幾久富字八丁谷</x:v>
      </x:c>
      <x:c r="G361" s="2" t="str">
        <x:v>合志市幾久富字八丁谷</x:v>
      </x:c>
      <x:c r="H361" s="2" t="str">
        <x:v>観測</x:v>
      </x:c>
      <x:c r="I361" s="2" t="str">
        <x:v>観測</x:v>
      </x:c>
      <x:c r="J361" s="2" t="str">
        <x:v>12時間</x:v>
      </x:c>
      <x:c r="K361" s="2" t="str">
        <x:v>12時間</x:v>
      </x:c>
      <x:c r="L361" s="2" t="str">
        <x:v>20211118</x:v>
      </x:c>
      <x:c r="M361" s="2" t="str">
        <x:v>20211118</x:v>
      </x:c>
      <x:c r="N361" s="8" t="n">
        <x:v>10937</x:v>
      </x:c>
      <x:c r="O361" s="8" t="n">
        <x:v>1181</x:v>
      </x:c>
      <x:c r="P361" s="8" t="n">
        <x:v>12118</x:v>
      </x:c>
      <x:c r="Q361" s="8" t="n">
        <x:v>13659</x:v>
      </x:c>
      <x:c r="R361" s="8" t="n">
        <x:v>1731</x:v>
      </x:c>
      <x:c r="S361" s="8" t="n">
        <x:v>15390</x:v>
      </x:c>
      <x:c r="T361" s="11" t="n">
        <x:v>9.7</x:v>
      </x:c>
      <x:c r="U361" s="2" t="n">
        <x:v>2021</x:v>
      </x:c>
      <x:c r="V361" s="2" t="str">
        <x:v>https://www.mlit.go.jp/road/census/r3/data/csv/kasyo43.csv</x:v>
      </x:c>
      <x:c r="W361" s="2" t="n">
        <x:v>1781</x:v>
      </x:c>
    </x:row>
    <x:row r="362" ht="21" customHeight="1">
      <x:c r="A362" s="7" t="str">
        <x:v>熊本：合志市・大津町</x:v>
      </x:c>
      <x:c r="B362" s="2" t="str">
        <x:v>43603160110</x:v>
      </x:c>
      <x:c r="C362" s="2" t="str">
        <x:v>43000_62590</x:v>
      </x:c>
      <x:c r="D362" s="2" t="str">
        <x:v>43216</x:v>
      </x:c>
      <x:c r="E362" s="2" t="str">
        <x:v>住吉熊本線</x:v>
      </x:c>
      <x:c r="F362" s="2"/>
      <x:c r="G362" s="2"/>
      <x:c r="H362" s="2" t="str">
        <x:v>未記載</x:v>
      </x:c>
      <x:c r="I362" s="2" t="str">
        <x:v>未記載</x:v>
      </x:c>
      <x:c r="J362" s="2" t="str">
        <x:v>未記載</x:v>
      </x:c>
      <x:c r="K362" s="2" t="str">
        <x:v>未記載</x:v>
      </x:c>
      <x:c r="L362" s="2"/>
      <x:c r="M362" s="2"/>
      <x:c r="N362" s="8"/>
      <x:c r="O362" s="8"/>
      <x:c r="P362" s="8"/>
      <x:c r="Q362" s="8"/>
      <x:c r="R362" s="8"/>
      <x:c r="S362" s="8"/>
      <x:c r="T362" s="11"/>
      <x:c r="U362" s="2" t="n">
        <x:v>2021</x:v>
      </x:c>
      <x:c r="V362" s="2" t="str">
        <x:v>https://www.mlit.go.jp/road/census/r3/data/csv/kasyo43.csv</x:v>
      </x:c>
      <x:c r="W362" s="2" t="n">
        <x:v>1789</x:v>
      </x:c>
    </x:row>
    <x:row r="363" ht="21" customHeight="1">
      <x:c r="A363" s="7" t="str">
        <x:v>熊本：合志市・大津町</x:v>
      </x:c>
      <x:c r="B363" s="2" t="str">
        <x:v>43603390024</x:v>
      </x:c>
      <x:c r="C363" s="2" t="str">
        <x:v>43000_62980</x:v>
      </x:c>
      <x:c r="D363" s="2" t="str">
        <x:v>43403</x:v>
      </x:c>
      <x:c r="E363" s="2" t="str">
        <x:v>北外輪山大津線</x:v>
      </x:c>
      <x:c r="F363" s="2" t="str">
        <x:v>菊池郡大津町古城</x:v>
      </x:c>
      <x:c r="G363" s="2" t="str">
        <x:v>菊池郡大津町古城</x:v>
      </x:c>
      <x:c r="H363" s="2" t="str">
        <x:v>観測</x:v>
      </x:c>
      <x:c r="I363" s="2" t="str">
        <x:v>観測</x:v>
      </x:c>
      <x:c r="J363" s="2" t="str">
        <x:v>24時間</x:v>
      </x:c>
      <x:c r="K363" s="2" t="str">
        <x:v>24時間</x:v>
      </x:c>
      <x:c r="L363" s="2" t="str">
        <x:v>20211006</x:v>
      </x:c>
      <x:c r="M363" s="2" t="str">
        <x:v>20211006</x:v>
      </x:c>
      <x:c r="N363" s="8" t="n">
        <x:v>2143</x:v>
      </x:c>
      <x:c r="O363" s="8" t="n">
        <x:v>216</x:v>
      </x:c>
      <x:c r="P363" s="8" t="n">
        <x:v>2359</x:v>
      </x:c>
      <x:c r="Q363" s="8" t="n">
        <x:v>2551</x:v>
      </x:c>
      <x:c r="R363" s="8" t="n">
        <x:v>259</x:v>
      </x:c>
      <x:c r="S363" s="8" t="n">
        <x:v>2810</x:v>
      </x:c>
      <x:c r="T363" s="11" t="n">
        <x:v>9.2</x:v>
      </x:c>
      <x:c r="U363" s="2" t="n">
        <x:v>2021</x:v>
      </x:c>
      <x:c r="V363" s="2" t="str">
        <x:v>https://www.mlit.go.jp/road/census/r3/data/csv/kasyo43.csv</x:v>
      </x:c>
      <x:c r="W363" s="2" t="n">
        <x:v>1877</x:v>
      </x:c>
    </x:row>
    <x:row r="364" ht="21" customHeight="1">
      <x:c r="A364" s="7" t="str">
        <x:v>熊本：合志市・大津町</x:v>
      </x:c>
      <x:c r="B364" s="2" t="str">
        <x:v>43603390027</x:v>
      </x:c>
      <x:c r="C364" s="2" t="str">
        <x:v>43000_62980</x:v>
      </x:c>
      <x:c r="D364" s="2" t="str">
        <x:v>43403</x:v>
      </x:c>
      <x:c r="E364" s="2" t="str">
        <x:v>北外輪山大津線</x:v>
      </x:c>
      <x:c r="F364" s="2" t="str">
        <x:v>菊池郡大津町古城</x:v>
      </x:c>
      <x:c r="G364" s="2" t="str">
        <x:v>菊池郡大津町古城</x:v>
      </x:c>
      <x:c r="H364" s="2" t="str">
        <x:v>観測</x:v>
      </x:c>
      <x:c r="I364" s="2" t="str">
        <x:v>観測</x:v>
      </x:c>
      <x:c r="J364" s="2" t="str">
        <x:v>24時間</x:v>
      </x:c>
      <x:c r="K364" s="2" t="str">
        <x:v>24時間</x:v>
      </x:c>
      <x:c r="L364" s="2" t="str">
        <x:v>20211006</x:v>
      </x:c>
      <x:c r="M364" s="2" t="str">
        <x:v>20211006</x:v>
      </x:c>
      <x:c r="N364" s="8" t="n">
        <x:v>2143</x:v>
      </x:c>
      <x:c r="O364" s="8" t="n">
        <x:v>216</x:v>
      </x:c>
      <x:c r="P364" s="8" t="n">
        <x:v>2359</x:v>
      </x:c>
      <x:c r="Q364" s="8" t="n">
        <x:v>2551</x:v>
      </x:c>
      <x:c r="R364" s="8" t="n">
        <x:v>259</x:v>
      </x:c>
      <x:c r="S364" s="8" t="n">
        <x:v>2810</x:v>
      </x:c>
      <x:c r="T364" s="11" t="n">
        <x:v>9.2</x:v>
      </x:c>
      <x:c r="U364" s="2" t="n">
        <x:v>2021</x:v>
      </x:c>
      <x:c r="V364" s="2" t="str">
        <x:v>https://www.mlit.go.jp/road/census/r3/data/csv/kasyo43.csv</x:v>
      </x:c>
      <x:c r="W364" s="2" t="n">
        <x:v>1878</x:v>
      </x:c>
    </x:row>
    <x:row r="365" ht="21" customHeight="1">
      <x:c r="A365" s="7" t="str">
        <x:v>熊本：合志市・大津町</x:v>
      </x:c>
      <x:c r="B365" s="2" t="str">
        <x:v>43603390030</x:v>
      </x:c>
      <x:c r="C365" s="2" t="str">
        <x:v>43000_62980</x:v>
      </x:c>
      <x:c r="D365" s="2" t="str">
        <x:v>43403</x:v>
      </x:c>
      <x:c r="E365" s="2" t="str">
        <x:v>北外輪山大津線</x:v>
      </x:c>
      <x:c r="F365" s="2" t="str">
        <x:v>菊池郡大津町古城</x:v>
      </x:c>
      <x:c r="G365" s="2" t="str">
        <x:v>菊池郡大津町古城</x:v>
      </x:c>
      <x:c r="H365" s="2" t="str">
        <x:v>観測</x:v>
      </x:c>
      <x:c r="I365" s="2" t="str">
        <x:v>観測</x:v>
      </x:c>
      <x:c r="J365" s="2" t="str">
        <x:v>24時間</x:v>
      </x:c>
      <x:c r="K365" s="2" t="str">
        <x:v>24時間</x:v>
      </x:c>
      <x:c r="L365" s="2" t="str">
        <x:v>20211006</x:v>
      </x:c>
      <x:c r="M365" s="2" t="str">
        <x:v>20211006</x:v>
      </x:c>
      <x:c r="N365" s="8" t="n">
        <x:v>2143</x:v>
      </x:c>
      <x:c r="O365" s="8" t="n">
        <x:v>216</x:v>
      </x:c>
      <x:c r="P365" s="8" t="n">
        <x:v>2359</x:v>
      </x:c>
      <x:c r="Q365" s="8" t="n">
        <x:v>2551</x:v>
      </x:c>
      <x:c r="R365" s="8" t="n">
        <x:v>259</x:v>
      </x:c>
      <x:c r="S365" s="8" t="n">
        <x:v>2810</x:v>
      </x:c>
      <x:c r="T365" s="11" t="n">
        <x:v>9.2</x:v>
      </x:c>
      <x:c r="U365" s="2" t="n">
        <x:v>2021</x:v>
      </x:c>
      <x:c r="V365" s="2" t="str">
        <x:v>https://www.mlit.go.jp/road/census/r3/data/csv/kasyo43.csv</x:v>
      </x:c>
      <x:c r="W365" s="2" t="n">
        <x:v>1879</x:v>
      </x:c>
    </x:row>
    <x:row r="366" ht="21" customHeight="1">
      <x:c r="A366" s="7" t="str">
        <x:v>熊本：合志市・大津町</x:v>
      </x:c>
      <x:c r="B366" s="2" t="str">
        <x:v>43603410020</x:v>
      </x:c>
      <x:c r="C366" s="2" t="str">
        <x:v>43000_63010</x:v>
      </x:c>
      <x:c r="D366" s="2" t="str">
        <x:v>43216</x:v>
      </x:c>
      <x:c r="E366" s="2" t="str">
        <x:v>大津西合志線</x:v>
      </x:c>
      <x:c r="F366" s="2" t="str">
        <x:v>合志市竹迫</x:v>
      </x:c>
      <x:c r="G366" s="2" t="str">
        <x:v>合志市竹迫</x:v>
      </x:c>
      <x:c r="H366" s="2" t="str">
        <x:v>観測</x:v>
      </x:c>
      <x:c r="I366" s="2" t="str">
        <x:v>観測</x:v>
      </x:c>
      <x:c r="J366" s="2" t="str">
        <x:v>12時間</x:v>
      </x:c>
      <x:c r="K366" s="2" t="str">
        <x:v>12時間</x:v>
      </x:c>
      <x:c r="L366" s="2" t="str">
        <x:v>20211118</x:v>
      </x:c>
      <x:c r="M366" s="2" t="str">
        <x:v>20211118</x:v>
      </x:c>
      <x:c r="N366" s="8" t="n">
        <x:v>10709</x:v>
      </x:c>
      <x:c r="O366" s="8" t="n">
        <x:v>1374</x:v>
      </x:c>
      <x:c r="P366" s="8" t="n">
        <x:v>12083</x:v>
      </x:c>
      <x:c r="Q366" s="8" t="n">
        <x:v>13139</x:v>
      </x:c>
      <x:c r="R366" s="8" t="n">
        <x:v>1844</x:v>
      </x:c>
      <x:c r="S366" s="8" t="n">
        <x:v>14983</x:v>
      </x:c>
      <x:c r="T366" s="11" t="n">
        <x:v>11.4</x:v>
      </x:c>
      <x:c r="U366" s="2" t="n">
        <x:v>2021</x:v>
      </x:c>
      <x:c r="V366" s="2" t="str">
        <x:v>https://www.mlit.go.jp/road/census/r3/data/csv/kasyo43.csv</x:v>
      </x:c>
      <x:c r="W366" s="2" t="n">
        <x:v>1882</x:v>
      </x:c>
    </x:row>
    <x:row r="367" ht="21" customHeight="1">
      <x:c r="A367" s="7" t="str">
        <x:v>熊本：合志市・大津町</x:v>
      </x:c>
      <x:c r="B367" s="2" t="str">
        <x:v>43603410030</x:v>
      </x:c>
      <x:c r="C367" s="2" t="str">
        <x:v>43000_63010</x:v>
      </x:c>
      <x:c r="D367" s="2" t="str">
        <x:v>43216</x:v>
      </x:c>
      <x:c r="E367" s="2" t="str">
        <x:v>大津西合志線</x:v>
      </x:c>
      <x:c r="F367" s="2" t="str">
        <x:v>合志市竹迫</x:v>
      </x:c>
      <x:c r="G367" s="2" t="str">
        <x:v>合志市竹迫</x:v>
      </x:c>
      <x:c r="H367" s="2" t="str">
        <x:v>観測</x:v>
      </x:c>
      <x:c r="I367" s="2" t="str">
        <x:v>観測</x:v>
      </x:c>
      <x:c r="J367" s="2" t="str">
        <x:v>12時間</x:v>
      </x:c>
      <x:c r="K367" s="2" t="str">
        <x:v>12時間</x:v>
      </x:c>
      <x:c r="L367" s="2" t="str">
        <x:v>20211118</x:v>
      </x:c>
      <x:c r="M367" s="2" t="str">
        <x:v>20211118</x:v>
      </x:c>
      <x:c r="N367" s="8" t="n">
        <x:v>10709</x:v>
      </x:c>
      <x:c r="O367" s="8" t="n">
        <x:v>1374</x:v>
      </x:c>
      <x:c r="P367" s="8" t="n">
        <x:v>12083</x:v>
      </x:c>
      <x:c r="Q367" s="8" t="n">
        <x:v>13139</x:v>
      </x:c>
      <x:c r="R367" s="8" t="n">
        <x:v>1844</x:v>
      </x:c>
      <x:c r="S367" s="8" t="n">
        <x:v>14983</x:v>
      </x:c>
      <x:c r="T367" s="11" t="n">
        <x:v>11.4</x:v>
      </x:c>
      <x:c r="U367" s="2" t="n">
        <x:v>2021</x:v>
      </x:c>
      <x:c r="V367" s="2" t="str">
        <x:v>https://www.mlit.go.jp/road/census/r3/data/csv/kasyo43.csv</x:v>
      </x:c>
      <x:c r="W367" s="2" t="n">
        <x:v>1883</x:v>
      </x:c>
    </x:row>
    <x:row r="368" ht="21" customHeight="1">
      <x:c r="A368" s="7" t="str">
        <x:v>熊本：合志市・大津町</x:v>
      </x:c>
      <x:c r="B368" s="2" t="str">
        <x:v>43603410040</x:v>
      </x:c>
      <x:c r="C368" s="2" t="str">
        <x:v>43000_63020</x:v>
      </x:c>
      <x:c r="D368" s="2" t="str">
        <x:v>43216</x:v>
      </x:c>
      <x:c r="E368" s="2" t="str">
        <x:v>大津西合志線</x:v>
      </x:c>
      <x:c r="F368" s="2" t="str">
        <x:v>合志市栄</x:v>
      </x:c>
      <x:c r="G368" s="2" t="str">
        <x:v>合志市栄</x:v>
      </x:c>
      <x:c r="H368" s="2" t="str">
        <x:v>観測</x:v>
      </x:c>
      <x:c r="I368" s="2" t="str">
        <x:v>観測</x:v>
      </x:c>
      <x:c r="J368" s="2" t="str">
        <x:v>12時間</x:v>
      </x:c>
      <x:c r="K368" s="2" t="str">
        <x:v>12時間</x:v>
      </x:c>
      <x:c r="L368" s="2" t="str">
        <x:v>20211118</x:v>
      </x:c>
      <x:c r="M368" s="2" t="str">
        <x:v>20211118</x:v>
      </x:c>
      <x:c r="N368" s="8" t="n">
        <x:v>11221</x:v>
      </x:c>
      <x:c r="O368" s="8" t="n">
        <x:v>1611</x:v>
      </x:c>
      <x:c r="P368" s="8" t="n">
        <x:v>12832</x:v>
      </x:c>
      <x:c r="Q368" s="8" t="n">
        <x:v>14020</x:v>
      </x:c>
      <x:c r="R368" s="8" t="n">
        <x:v>2148</x:v>
      </x:c>
      <x:c r="S368" s="8" t="n">
        <x:v>16168</x:v>
      </x:c>
      <x:c r="T368" s="11" t="n">
        <x:v>12.6</x:v>
      </x:c>
      <x:c r="U368" s="2" t="n">
        <x:v>2021</x:v>
      </x:c>
      <x:c r="V368" s="2" t="str">
        <x:v>https://www.mlit.go.jp/road/census/r3/data/csv/kasyo43.csv</x:v>
      </x:c>
      <x:c r="W368" s="2" t="n">
        <x:v>1884</x:v>
      </x:c>
    </x:row>
  </x:sheetData>
  <x:pageMargins left="0.7" right="0.7" top="0.75" bottom="0.75" header="0.3" footer="0.3"/>
  <x:tableParts count="1">
    <x:tablePart xmlns:r="http://schemas.openxmlformats.org/officeDocument/2006/relationships" r:id="Rea74f89e6dbf42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9" hidden="0" customWidth="1"/>
    <x:col min="3" max="3" width="36" hidden="0" customWidth="1"/>
    <x:col min="4" max="4" width="49" hidden="0" customWidth="1"/>
    <x:col min="5" max="5" width="45" hidden="0" customWidth="1"/>
    <x:col min="6" max="6" width="44" hidden="0" customWidth="1"/>
    <x:col min="7" max="7" width="62" hidden="0" customWidth="1"/>
    <x:col min="8" max="8" width="6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12" t="str">
        <x:v>TEL拠点とデータの更新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43" customHeight="1">
      <x:c r="A5" s="6" t="str">
        <x:v>拠点</x:v>
      </x:c>
      <x:c r="B5" s="6" t="str">
        <x:v>所在地</x:v>
      </x:c>
      <x:c r="C5" s="6" t="str">
        <x:v>道路の抽出範囲</x:v>
      </x:c>
      <x:c r="D5" s="6" t="str">
        <x:v>港湾の監視候補</x:v>
      </x:c>
      <x:c r="E5" s="6" t="str">
        <x:v>主な製品・機能</x:v>
      </x:c>
      <x:c r="F5" s="6" t="str">
        <x:v>選定上の注意</x:v>
      </x:c>
      <x:c r="G5" s="6" t="str">
        <x:v>拠点情報URL</x:v>
      </x:c>
      <x:c r="H5" s="2"/>
    </x:row>
    <x:row r="6" ht="75" customHeight="1">
      <x:c r="A6" s="13" t="str">
        <x:v>東京エレクトロン宮城</x:v>
      </x:c>
      <x:c r="B6" s="13" t="str">
        <x:v>宮城県黒川郡大和町テクノヒルズ1番</x:v>
      </x:c>
      <x:c r="C6" s="13" t="str">
        <x:v>大和町・富谷市の2021年道路区間</x:v>
      </x:c>
      <x:c r="D6" s="13" t="str">
        <x:v>仙台塩釜</x:v>
      </x:c>
      <x:c r="E6" s="13" t="str">
        <x:v>プラズマエッチング装置</x:v>
      </x:c>
      <x:c r="F6" s="13" t="str">
        <x:v>市町村内の候補区間。工場出入口の交通量ではない。</x:v>
      </x:c>
      <x:c r="G6" s="13" t="str">
        <x:v>https://www.tel.co.jp/about/locations/tml.html</x:v>
      </x:c>
      <x:c r="H6" s="2"/>
    </x:row>
    <x:row r="7" ht="75" customHeight="1">
      <x:c r="A7" s="13" t="str">
        <x:v>テクノロジーソリューションズ本社</x:v>
      </x:c>
      <x:c r="B7" s="13" t="str">
        <x:v>山梨県韮崎市藤井町北下条2381-1</x:v>
      </x:c>
      <x:c r="C7" s="13" t="str">
        <x:v>韮崎市の2021年道路区間</x:v>
      </x:c>
      <x:c r="D7" s="13" t="str">
        <x:v>東京・横浜・清水</x:v>
      </x:c>
      <x:c r="E7" s="13" t="str">
        <x:v>熱処理・枚葉成膜装置等</x:v>
      </x:c>
      <x:c r="F7" s="13" t="str">
        <x:v>港湾利用は地理的な監視候補であり、TELの実際の利用港は未確認。</x:v>
      </x:c>
      <x:c r="G7" s="13" t="str">
        <x:v>https://www.tel.co.jp/about/locations/tyl.html</x:v>
      </x:c>
      <x:c r="H7" s="2"/>
    </x:row>
    <x:row r="8" ht="75" customHeight="1">
      <x:c r="A8" s="13" t="str">
        <x:v>テクノロジーソリューションズ穂坂</x:v>
      </x:c>
      <x:c r="B8" s="13" t="str">
        <x:v>山梨県韮崎市穂坂町三ツ沢650</x:v>
      </x:c>
      <x:c r="C8" s="13" t="str">
        <x:v>韮崎市の2021年道路区間</x:v>
      </x:c>
      <x:c r="D8" s="13" t="str">
        <x:v>東京・横浜・清水</x:v>
      </x:c>
      <x:c r="E8" s="13" t="str">
        <x:v>開発・製造拠点</x:v>
      </x:c>
      <x:c r="F8" s="13" t="str">
        <x:v>本社・穂坂に同じ市の区間集合を使用。交通量を二重に集計しない。</x:v>
      </x:c>
      <x:c r="G8" s="13" t="str">
        <x:v>https://www.tel.co.jp/about/locations/tyl.html</x:v>
      </x:c>
      <x:c r="H8" s="2"/>
    </x:row>
    <x:row r="9" ht="75" customHeight="1">
      <x:c r="A9" s="13" t="str">
        <x:v>テクノロジーソリューションズ東北</x:v>
      </x:c>
      <x:c r="B9" s="13" t="str">
        <x:v>岩手県奥州市江刺岩谷堂字松長根52</x:v>
      </x:c>
      <x:c r="C9" s="13" t="str">
        <x:v>奥州市の2021年道路区間</x:v>
      </x:c>
      <x:c r="D9" s="13" t="str">
        <x:v>仙台塩釜</x:v>
      </x:c>
      <x:c r="E9" s="13" t="str">
        <x:v>開発・製造拠点</x:v>
      </x:c>
      <x:c r="F9" s="13" t="str">
        <x:v>2026年の会社情報。2021年の拠点構成をそのまま示すものではない。</x:v>
      </x:c>
      <x:c r="G9" s="13" t="str">
        <x:v>https://www.tel.co.jp/about/locations/tyl.html</x:v>
      </x:c>
      <x:c r="H9" s="2"/>
    </x:row>
    <x:row r="10" ht="75" customHeight="1">
      <x:c r="A10" s="13" t="str">
        <x:v>東京エレクトロン九州 本社</x:v>
      </x:c>
      <x:c r="B10" s="13" t="str">
        <x:v>熊本県合志市福原1-1</x:v>
      </x:c>
      <x:c r="C10" s="13" t="str">
        <x:v>合志市の2021年道路区間</x:v>
      </x:c>
      <x:c r="D10" s="13" t="str">
        <x:v>博多・熊本・八代</x:v>
      </x:c>
      <x:c r="E10" s="13" t="str">
        <x:v>コータ／デベロッパ・洗浄装置等</x:v>
      </x:c>
      <x:c r="F10" s="13" t="str">
        <x:v>地域物流の候補。TEL以外の半導体・一般物流も含む。</x:v>
      </x:c>
      <x:c r="G10" s="13" t="str">
        <x:v>https://www.tel.co.jp/about/locations/tkl.html</x:v>
      </x:c>
      <x:c r="H10" s="2"/>
    </x:row>
    <x:row r="11" ht="75" customHeight="1">
      <x:c r="A11" s="13" t="str">
        <x:v>東京エレクトロン九州 大津</x:v>
      </x:c>
      <x:c r="B11" s="13" t="str">
        <x:v>熊本県菊池郡大津町高尾野272-4</x:v>
      </x:c>
      <x:c r="C11" s="13" t="str">
        <x:v>大津町の2021年区間。月次は国道57号「大津」ほか</x:v>
      </x:c>
      <x:c r="D11" s="13" t="str">
        <x:v>博多・熊本・八代</x:v>
      </x:c>
      <x:c r="E11" s="13" t="str">
        <x:v>開発・製造拠点</x:v>
      </x:c>
      <x:c r="F11" s="13" t="str">
        <x:v>国道57号「大津」は町内の幹線観測地点。工場専用道路ではない。</x:v>
      </x:c>
      <x:c r="G11" s="13" t="str">
        <x:v>https://www.tel.co.jp/about/locations/tkl.html</x:v>
      </x:c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43" customHeight="1">
      <x:c r="A14" s="6" t="str">
        <x:v>項目</x:v>
      </x:c>
      <x:c r="B14" s="6" t="str">
        <x:v>定義・管理方法</x:v>
      </x:c>
      <x:c r="C14" s="6" t="str">
        <x:v>URL</x:v>
      </x:c>
      <x:c r="D14" s="2"/>
      <x:c r="E14" s="2"/>
      <x:c r="F14" s="2"/>
      <x:c r="G14" s="2"/>
      <x:c r="H14" s="2"/>
    </x:row>
    <x:row r="15" ht="66" customHeight="1">
      <x:c r="A15" s="2" t="str">
        <x:v>期間</x:v>
      </x:c>
      <x:c r="B15" s="13" t="str">
        <x:v>2021年1月以降を収録。月次道路の公開中データは2024年4月以降。取得日：2026年10月1日。</x:v>
      </x:c>
      <x:c r="C15" s="13" t="str"/>
      <x:c r="D15" s="2"/>
      <x:c r="E15" s="2"/>
      <x:c r="F15" s="2"/>
      <x:c r="G15" s="2"/>
      <x:c r="H15" s="2"/>
    </x:row>
    <x:row r="16" ht="66" customHeight="1">
      <x:c r="A16" s="2" t="str">
        <x:v>FT</x:v>
      </x:c>
      <x:c r="B16" s="13" t="str">
        <x:v>港湾貨物量はフレート・トン。容積と重量等による数量で、貨物自動車の重量トンとは直接比較しない。</x:v>
      </x:c>
      <x:c r="C16" s="13" t="str">
        <x:v>https://www.mlit.go.jp/k-toukei/content/001610332.pdf</x:v>
      </x:c>
      <x:c r="D16" s="2"/>
      <x:c r="E16" s="2"/>
      <x:c r="F16" s="2"/>
      <x:c r="G16" s="2"/>
      <x:c r="H16" s="2"/>
    </x:row>
    <x:row r="17" ht="66" customHeight="1">
      <x:c r="A17" s="2" t="str">
        <x:v>TEU</x:v>
      </x:c>
      <x:c r="B17" s="13" t="str">
        <x:v>20フィートコンテナ換算。回送中の空コンテナを含む。半導体製造装置の個数ではない。</x:v>
      </x:c>
      <x:c r="C17" s="13" t="str">
        <x:v>https://www.mlit.go.jp/k-toukei/content/001610332.pdf</x:v>
      </x:c>
      <x:c r="D17" s="2"/>
      <x:c r="E17" s="2"/>
      <x:c r="F17" s="2"/>
      <x:c r="G17" s="2"/>
      <x:c r="H17" s="2"/>
    </x:row>
    <x:row r="18" ht="66" customHeight="1">
      <x:c r="A18" s="2" t="str">
        <x:v>航送トラック等</x:v>
      </x:c>
      <x:c r="B18" s="13" t="str">
        <x:v>自動車航送船による車種別台数。2026年原表は「トラック等（4m以上12m未満）」、過去年は「トラック」表記。車種分類変更の影響に注意。</x:v>
      </x:c>
      <x:c r="C18" s="13" t="str">
        <x:v>https://www.mlit.go.jp/k-toukei/kouwan.html</x:v>
      </x:c>
      <x:c r="D18" s="2"/>
      <x:c r="E18" s="2"/>
      <x:c r="F18" s="2"/>
      <x:c r="G18" s="2"/>
      <x:c r="H18" s="2"/>
    </x:row>
    <x:row r="19" ht="66" customHeight="1">
      <x:c r="A19" s="2" t="str">
        <x:v>移出・移入</x:v>
      </x:c>
      <x:c r="B19" s="13" t="str">
        <x:v>国内の他港との海上輸送。輸出・輸入は海外港との輸送。道路の工場発着とは区分が異なる。</x:v>
      </x:c>
      <x:c r="C19" s="13" t="str">
        <x:v>https://www.mlit.go.jp/k-toukei/content/001610332.pdf</x:v>
      </x:c>
      <x:c r="D19" s="2"/>
      <x:c r="E19" s="2"/>
      <x:c r="F19" s="2"/>
      <x:c r="G19" s="2"/>
      <x:c r="H19" s="2"/>
    </x:row>
    <x:row r="20" ht="66" customHeight="1">
      <x:c r="A20" s="2" t="str">
        <x:v>大型車</x:v>
      </x:c>
      <x:c r="B20" s="13" t="str">
        <x:v>道路統計は普通貨物車・バス等を含む。台数は荷物重量でも積載状態でもない。</x:v>
      </x:c>
      <x:c r="C20" s="13" t="str">
        <x:v>https://www.mlit.go.jp/road/census/r3/data/pdf/kasyorep.pdf</x:v>
      </x:c>
      <x:c r="D20" s="2"/>
      <x:c r="E20" s="2"/>
      <x:c r="F20" s="2"/>
      <x:c r="G20" s="2"/>
      <x:c r="H20" s="2"/>
    </x:row>
    <x:row r="21" ht="66" customHeight="1">
      <x:c r="A21" s="2" t="str">
        <x:v>道路月次の原表0</x:v>
      </x:c>
      <x:c r="B21" s="13" t="str">
        <x:v>九州地方整備局の公開サイトは0を欠測として表示する。Excelも空欄に変換し、取得状況列に残した。</x:v>
      </x:c>
      <x:c r="C21" s="13" t="str">
        <x:v>https://www.qsr.mlit.go.jp/n-michi/useful/kotsuryo/shukei/</x:v>
      </x:c>
      <x:c r="D21" s="2"/>
      <x:c r="E21" s="2"/>
      <x:c r="F21" s="2"/>
      <x:c r="G21" s="2"/>
      <x:c r="H21" s="2"/>
    </x:row>
    <x:row r="22" ht="66" customHeight="1">
      <x:c r="A22" s="2" t="str">
        <x:v>道路月次の精度</x:v>
      </x:c>
      <x:c r="B22" s="13" t="str">
        <x:v>原表の丸めた台／日を保持。全車と小型＋大型が丸めで一致しない場合がある。全日・平日・休日を足し合わせない。</x:v>
      </x:c>
      <x:c r="C22" s="13" t="str">
        <x:v>https://www.qsr.mlit.go.jp/n-michi/useful/kotsuryo/shukei/</x:v>
      </x:c>
      <x:c r="D22" s="2"/>
      <x:c r="E22" s="2"/>
      <x:c r="F22" s="2"/>
      <x:c r="G22" s="2"/>
      <x:c r="H22" s="2"/>
    </x:row>
    <x:row r="23" ht="66" customHeight="1">
      <x:c r="A23" s="2" t="str">
        <x:v>2021年道路</x:v>
      </x:c>
      <x:c r="B23" s="13" t="str">
        <x:v>2021年度調査の地点比較用。観測・推定を区分し、過去年の観測日も原表通りに保持。24時間値には12時間観測からの推定も含む。</x:v>
      </x:c>
      <x:c r="C23" s="13" t="str">
        <x:v>https://www.mlit.go.jp/road/census/r3/data/pdf/kasyorep.pdf</x:v>
      </x:c>
      <x:c r="D23" s="2"/>
      <x:c r="E23" s="2"/>
      <x:c r="F23" s="2"/>
      <x:c r="G23" s="2"/>
      <x:c r="H23" s="2"/>
    </x:row>
    <x:row r="24" ht="66" customHeight="1">
      <x:c r="A24" s="2" t="str">
        <x:v>道路の重複</x:v>
      </x:c>
      <x:c r="B24" s="13" t="str">
        <x:v>同じ交通量調査単位IDが複数の基本区間に付く。区間値を合計して台数を作らない。まずID・観測地点で候補を絞る。</x:v>
      </x:c>
      <x:c r="C24" s="13" t="str">
        <x:v>https://www.mlit.go.jp/road/census/r3/</x:v>
      </x:c>
      <x:c r="D24" s="2"/>
      <x:c r="E24" s="2"/>
      <x:c r="F24" s="2"/>
      <x:c r="G24" s="2"/>
      <x:c r="H24" s="2"/>
    </x:row>
    <x:row r="25" ht="66" customHeight="1">
      <x:c r="A25" s="2" t="str">
        <x:v>観測日コード</x:v>
      </x:c>
      <x:c r="B25" s="13" t="str">
        <x:v>YYYYMMDD。日が00の場合は日未記載の月情報。架空の観測日を付けず、原表コードを文字列で保持。</x:v>
      </x:c>
      <x:c r="C25" s="13" t="str"/>
      <x:c r="D25" s="2"/>
      <x:c r="E25" s="2"/>
      <x:c r="F25" s="2"/>
      <x:c r="G25" s="2"/>
      <x:c r="H25" s="2"/>
    </x:row>
    <x:row r="26" ht="66" customHeight="1">
      <x:c r="A26" s="2" t="str">
        <x:v>港湾の欠測</x:v>
      </x:c>
      <x:c r="B26" s="13" t="str">
        <x:v>原表の「－」は文字列のまま保持。未報告月をゼロとして集計しない。集計状況は貨物合計の数値取得有無。</x:v>
      </x:c>
      <x:c r="C26" s="13" t="str">
        <x:v>https://www.mlit.go.jp/k-toukei/content/001610323.pdf</x:v>
      </x:c>
      <x:c r="D26" s="2"/>
      <x:c r="E26" s="2"/>
      <x:c r="F26" s="2"/>
      <x:c r="G26" s="2"/>
      <x:c r="H26" s="2"/>
    </x:row>
    <x:row r="27" ht="66" customHeight="1">
      <x:c r="A27" s="2" t="str">
        <x:v>全国貨物</x:v>
      </x:c>
      <x:c r="B27" s="13" t="str">
        <x:v>全国の貨物自動車輸送重量。営業用・自家用を含む。普通車の最大積載量区分は営業用普通車の内数。</x:v>
      </x:c>
      <x:c r="C27" s="13" t="str">
        <x:v>https://www.mlit.go.jp/k-toukei/jidousya.html</x:v>
      </x:c>
      <x:c r="D27" s="2"/>
      <x:c r="E27" s="2"/>
      <x:c r="F27" s="2"/>
      <x:c r="G27" s="2"/>
      <x:c r="H27" s="2"/>
    </x:row>
    <x:row r="28" ht="66" customHeight="1">
      <x:c r="A28" s="2" t="str">
        <x:v>予測への利用</x:v>
      </x:c>
      <x:c r="B28" s="13" t="str">
        <x:v>港湾・道路は地域全体の活動。TEL出荷量との関係や先行期間は未検証。航空輸送もあり、港湾だけでは全出荷を把握できない。</x:v>
      </x:c>
      <x:c r="C28" s="13" t="str"/>
      <x:c r="D28" s="2"/>
      <x:c r="E28" s="2"/>
      <x:c r="F28" s="2"/>
      <x:c r="G28" s="2"/>
      <x:c r="H28" s="2"/>
    </x:row>
    <x:row r="29" ht="66" customHeight="1">
      <x:c r="A29" s="2" t="str">
        <x:v>公表の遅れ</x:v>
      </x:c>
      <x:c r="B29" s="13" t="str">
        <x:v>当月の物流が先行しても、統計公表が決算より遅い場合は業績予測に使えない。現在取得した改訂値と当時の公表値を区別する。</x:v>
      </x:c>
      <x:c r="C29" s="13" t="str"/>
      <x:c r="D29" s="2"/>
      <x:c r="E29" s="2"/>
      <x:c r="F29" s="2"/>
      <x:c r="G29" s="2"/>
      <x:c r="H29" s="2"/>
    </x:row>
    <x:row r="30" ht="66" customHeight="1">
      <x:c r="A30" s="2" t="str">
        <x:v>港湾の更新</x:v>
      </x:c>
      <x:c r="B30" s="13" t="str">
        <x:v>e-Statで「港別集計値」を検索。該当年のファイルを再取得し、年月・港湾の組み合わせで置換する。過去月の改訂も確認。</x:v>
      </x:c>
      <x:c r="C30" s="13" t="str">
        <x:v>https://www.e-stat.go.jp/stat-search/files?layout=dataset&amp;toukei=00600280</x:v>
      </x:c>
      <x:c r="D30" s="2"/>
      <x:c r="E30" s="2"/>
      <x:c r="F30" s="2"/>
      <x:c r="G30" s="2"/>
      <x:c r="H30" s="2"/>
    </x:row>
    <x:row r="31" ht="66" customHeight="1">
      <x:c r="A31" s="2" t="str">
        <x:v>道路月次の更新</x:v>
      </x:c>
      <x:c r="B31" s="13" t="str">
        <x:v>公開サイトの地点情報・交通量JSONを取得。年月・地点ID・日区分で置換。0は欠測。2021～2023年はこの取得元では未取得。</x:v>
      </x:c>
      <x:c r="C31" s="13" t="str">
        <x:v>https://www.qsr.mlit.go.jp/n-michi/useful/kotsuryo/shukei/</x:v>
      </x:c>
      <x:c r="D31" s="2"/>
      <x:c r="E31" s="2"/>
      <x:c r="F31" s="2"/>
      <x:c r="G31" s="2"/>
      <x:c r="H31" s="2"/>
    </x:row>
    <x:row r="32" ht="66" customHeight="1">
      <x:c r="A32" s="2" t="str">
        <x:v>全国貨物の更新</x:v>
      </x:c>
      <x:c r="B32" s="13" t="str">
        <x:v>自動車輸送統計月報「2-1 総括表 輸送トン数の推移」を取得し、年月キーで置換。前年同月比はExcelで再計算。</x:v>
      </x:c>
      <x:c r="C32" s="13" t="str">
        <x:v>https://www.e-stat.go.jp/stat-search/files?layout=dataset&amp;toukei=00600330</x:v>
      </x:c>
      <x:c r="D32" s="2"/>
      <x:c r="E32" s="2"/>
      <x:c r="F32" s="2"/>
      <x:c r="G32" s="2"/>
      <x:c r="H32" s="2"/>
    </x:row>
    <x:row r="33" ht="66" customHeight="1">
      <x:c r="A33" s="2" t="str">
        <x:v>Excel操作</x:v>
      </x:c>
      <x:c r="B33" s="13" t="str">
        <x:v>各データシートの1行目を固定しフィルター付き。表最終行への追記後、計算列の数式を下までコピーする。</x:v>
      </x:c>
      <x:c r="C33" s="13" t="str"/>
      <x:c r="D33" s="2"/>
      <x:c r="E33" s="2"/>
      <x:c r="F33" s="2"/>
      <x:c r="G33" s="2"/>
      <x:c r="H33" s="2"/>
    </x:row>
    <x:row r="34" ht="66" customHeight="1">
      <x:c r="A34" s="2" t="str">
        <x:v>グラフの更新</x:v>
      </x:c>
      <x:c r="B34" s="13" t="str">
        <x:v>データ表の差し替え・並べ替えはキーで反映。サマリーの年月一覧・数式・グラフ範囲は新しい月まで延長する。自動取得機能は未実装。</x:v>
      </x:c>
      <x:c r="C34" s="13" t="str"/>
      <x:c r="D34" s="2"/>
      <x:c r="E34" s="2"/>
      <x:c r="F34" s="2"/>
      <x:c r="G34" s="2"/>
      <x:c r="H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</x:row>
    <x:row r="36" ht="84" customHeight="1">
      <x:c r="A36" s="13" t="str">
        <x:v>原表の不整合</x:v>
      </x:c>
      <x:c r="B36" s="13" t="str">
        <x:v>全国貨物2021年6月は合計319,526、営業用211,836、自家用97,132千トン。差10,558千トンを検算列で表示し、原表値を保持。</x:v>
      </x:c>
      <x:c r="C36" s="13" t="str">
        <x:v>https://www.e-stat.go.jp/stat-search/file-download?statInfId=000032180512&amp;fileKind=0</x:v>
      </x:c>
      <x:c r="D36" s="2"/>
      <x:c r="E36" s="2"/>
      <x:c r="F36" s="2"/>
      <x:c r="G36" s="2"/>
      <x:c r="H36" s="2"/>
    </x:row>
    <x:row r="37" ht="84" customHeight="1">
      <x:c r="A37" s="13" t="str">
        <x:v>月報と年報</x:v>
      </x:c>
      <x:c r="B37" s="13" t="str">
        <x:v>異なる時点の月報をつないだ系列。年報の年間合計と一致しない場合があるため、比較には同じ公表版を使用する。</x:v>
      </x:c>
      <x:c r="C37" s="13" t="str">
        <x:v>https://www.mlit.go.jp/k-toukei/jidousya.html</x:v>
      </x:c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</x:row>
  </x:sheetData>
  <x:pageMargins left="0.7" right="0.7" top="0.75" bottom="0.75" header="0.3" footer="0.3"/>
</x:worksheet>
</file>